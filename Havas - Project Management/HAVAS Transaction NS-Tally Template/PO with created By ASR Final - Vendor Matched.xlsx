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PO with created By ASR" sheetId="1" r:id="rId1"/>
    <sheet name="PO Final" sheetId="2" r:id="rId2"/>
  </sheets>
  <definedNames>
    <definedName name="_xlnm._FilterDatabase" localSheetId="0" hidden="1">'PO with created By ASR'!$A$1:$AC$2992</definedName>
    <definedName name="_xlnm._FilterDatabase" localSheetId="1" hidden="1">'PO Final'!$A$1:$XFA$3105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<sst xmlns="http://schemas.openxmlformats.org/spreadsheetml/2006/main" count="53404" uniqueCount="4368">
  <si>
    <t>External Id</t>
  </si>
  <si>
    <t>Voucher No</t>
  </si>
  <si>
    <t>Date</t>
  </si>
  <si>
    <t>Vendor raw</t>
  </si>
  <si>
    <t>Vendor without location</t>
  </si>
  <si>
    <t>Matched Vendor</t>
  </si>
  <si>
    <t>Branch</t>
  </si>
  <si>
    <t>Vch Type</t>
  </si>
  <si>
    <t>Created By</t>
  </si>
  <si>
    <t>Project</t>
  </si>
  <si>
    <t>Type of Expense</t>
  </si>
  <si>
    <t>Nature of Document</t>
  </si>
  <si>
    <t>Place of Supply</t>
  </si>
  <si>
    <t>Subsidiary</t>
  </si>
  <si>
    <t>Terms</t>
  </si>
  <si>
    <t>Approval Status</t>
  </si>
  <si>
    <t>Department</t>
  </si>
  <si>
    <t>Line of business</t>
  </si>
  <si>
    <t>Subsidiary Location</t>
  </si>
  <si>
    <t>Nexus Override</t>
  </si>
  <si>
    <t>Nexus</t>
  </si>
  <si>
    <t>Currency</t>
  </si>
  <si>
    <t>Item raw</t>
  </si>
  <si>
    <t>Item Matched</t>
  </si>
  <si>
    <t>Quantity Lookup</t>
  </si>
  <si>
    <t>Rate Lookup</t>
  </si>
  <si>
    <t>Order By (Other Refernence) raw</t>
  </si>
  <si>
    <t>Order By (Other Refernence) Matched</t>
  </si>
  <si>
    <t>HSN &amp; SAC Code</t>
  </si>
  <si>
    <t>B/2025/PO/000001</t>
  </si>
  <si>
    <t>H P Ramareddy-Blr</t>
  </si>
  <si>
    <t>11014 H P Ramareddy</t>
  </si>
  <si>
    <t>B - Bangalore</t>
  </si>
  <si>
    <t>Purchase Order-Blr</t>
  </si>
  <si>
    <t>1115173 Nagaraju R</t>
  </si>
  <si>
    <t>Indirect Expense</t>
  </si>
  <si>
    <t>Invoices for inward supply from unregistered person</t>
  </si>
  <si>
    <t>10 Days</t>
  </si>
  <si>
    <t>Pending Approval</t>
  </si>
  <si>
    <t>Nexus-Karnataka</t>
  </si>
  <si>
    <t>Indian Rupee</t>
  </si>
  <si>
    <t>Office Rent</t>
  </si>
  <si>
    <t>Rent Office</t>
  </si>
  <si>
    <t>CGST Input for KT (DT) 9%</t>
  </si>
  <si>
    <t>B/2025/PO/000002</t>
  </si>
  <si>
    <t>A Ramareddy (Rent)-Blr</t>
  </si>
  <si>
    <t>11009 A Ramareddy (Rent)</t>
  </si>
  <si>
    <t>B/2025/PO/000003</t>
  </si>
  <si>
    <t>H P Ramareddy Utility-Blr</t>
  </si>
  <si>
    <t>11015 H P Ramareddy Utility</t>
  </si>
  <si>
    <t>Water Charges</t>
  </si>
  <si>
    <t>B/2025/PO/000004</t>
  </si>
  <si>
    <t>Renaissance Bengaluru Race Course Hotel (Dharampal Satyapal Ltd)-Blr</t>
  </si>
  <si>
    <t>10403  Renaissance Bengaluru Race Course Hotel (Dharampal Satyapal Ltd)</t>
  </si>
  <si>
    <t>1138596 Yogesh A</t>
  </si>
  <si>
    <t>SB 22267</t>
  </si>
  <si>
    <t>Direct Expense</t>
  </si>
  <si>
    <t>90 Days</t>
  </si>
  <si>
    <t>BU North</t>
  </si>
  <si>
    <t>Event Management</t>
  </si>
  <si>
    <t>Delhi</t>
  </si>
  <si>
    <t>STAY CHARGES (DE)</t>
  </si>
  <si>
    <t>Stay Charges - Events</t>
  </si>
  <si>
    <t>Alok Khanna</t>
  </si>
  <si>
    <t>1137790 Alok Khanna</t>
  </si>
  <si>
    <t>B/2025/PO/000005</t>
  </si>
  <si>
    <t>Electricity Expenses</t>
  </si>
  <si>
    <t>B/2025/PO/000006</t>
  </si>
  <si>
    <t>Lynx Security &amp; Detectives Services (P) Ltd-Blr</t>
  </si>
  <si>
    <t>11520  Lynx Security &amp; Detectives Services (P) Ltd</t>
  </si>
  <si>
    <t>Security Charges</t>
  </si>
  <si>
    <t>Anurama V</t>
  </si>
  <si>
    <t>1131024 Anurama V</t>
  </si>
  <si>
    <t>B/2025/PO/000007</t>
  </si>
  <si>
    <t>Mayur Enterprises-Blr</t>
  </si>
  <si>
    <t>11521 Mayur Enterprises</t>
  </si>
  <si>
    <t>Ineligible CGST Input-Gen</t>
  </si>
  <si>
    <t>B/2025/PO/000008</t>
  </si>
  <si>
    <t>K Vishwanath Gouda Rent-Blr</t>
  </si>
  <si>
    <t>11016 K Vishwanath Gouda Rent</t>
  </si>
  <si>
    <t>Rent - Storage Room</t>
  </si>
  <si>
    <t>Rent Storage Room</t>
  </si>
  <si>
    <t>B/2025/PO/000009</t>
  </si>
  <si>
    <t>K-Corp-Blr</t>
  </si>
  <si>
    <t>Computer Hire Charges</t>
  </si>
  <si>
    <t>B/2025/PO/000010</t>
  </si>
  <si>
    <t>Aaa Rental Llp-Mum</t>
  </si>
  <si>
    <t>11626 Aaa Rental Llp</t>
  </si>
  <si>
    <t>45 Days</t>
  </si>
  <si>
    <t>Tijo Joseph</t>
  </si>
  <si>
    <t>1128119 Tijo Joseph</t>
  </si>
  <si>
    <t>B/2025/PO/000011</t>
  </si>
  <si>
    <t>Bharti Airtel Ltd.-Del</t>
  </si>
  <si>
    <t>Immediate</t>
  </si>
  <si>
    <t>Internet Expenses</t>
  </si>
  <si>
    <t>Internet Expenses - Events</t>
  </si>
  <si>
    <t>C/2025/PO/000001</t>
  </si>
  <si>
    <t>Elsie Mathew-Che</t>
  </si>
  <si>
    <t>11012 Elsie Mathew</t>
  </si>
  <si>
    <t>C - Chennai</t>
  </si>
  <si>
    <t>Purchase Order-Che</t>
  </si>
  <si>
    <t>Nexus-Tamil Nadu</t>
  </si>
  <si>
    <t>Aravind Kumar S</t>
  </si>
  <si>
    <t>1044838 Aravind Kumar.S</t>
  </si>
  <si>
    <t>C/2025/PO/000002</t>
  </si>
  <si>
    <t>Race View Tower Association-Che</t>
  </si>
  <si>
    <t>11525 Race View Tower Association</t>
  </si>
  <si>
    <t>Office Maintainance Expenses</t>
  </si>
  <si>
    <t>C/2025/PO/000003</t>
  </si>
  <si>
    <t>Unicare Hospitality Services Pvt Ltd-Che</t>
  </si>
  <si>
    <t>12571  Unicare Hospitality Services Pvt Ltd</t>
  </si>
  <si>
    <t>CGST Input for TN (DT) 9%</t>
  </si>
  <si>
    <t>B/2025/PO/000012</t>
  </si>
  <si>
    <t>Siva Sankar Cabs-Blr</t>
  </si>
  <si>
    <t>10089 Siva Sankar Cabs</t>
  </si>
  <si>
    <t>SB 22270</t>
  </si>
  <si>
    <t>30 Days</t>
  </si>
  <si>
    <t>BU South</t>
  </si>
  <si>
    <t>Bangalore</t>
  </si>
  <si>
    <t>CAR HIRE CHARGES - EVENTS (DE)</t>
  </si>
  <si>
    <t>CarHireCharges</t>
  </si>
  <si>
    <t>Thirtha Patil</t>
  </si>
  <si>
    <t>1138809 Thirtha Patil</t>
  </si>
  <si>
    <t>B/2025/PO/000013</t>
  </si>
  <si>
    <t>Arun Kumar M  -CR</t>
  </si>
  <si>
    <t>SB 22190</t>
  </si>
  <si>
    <t>CONVEYANCE - EVENTS (DE)</t>
  </si>
  <si>
    <t>Conveyance</t>
  </si>
  <si>
    <t>Amrita Sawhney</t>
  </si>
  <si>
    <t>1122672 Amrita Sawhney</t>
  </si>
  <si>
    <t>B/2025/PO/000014</t>
  </si>
  <si>
    <t>Sky Office Stationers-Blr</t>
  </si>
  <si>
    <t>12417 Sky Office Stationers</t>
  </si>
  <si>
    <t>EBP BlrChe</t>
  </si>
  <si>
    <t>Staff Welfare</t>
  </si>
  <si>
    <t>Staff Welfare - Others</t>
  </si>
  <si>
    <t>C/2025/PO/000004</t>
  </si>
  <si>
    <t>The Westin Chennai Velachery (MFAR Hotels and Resorts Pvt Ltd)-Che</t>
  </si>
  <si>
    <t>10468  The Westin Chennai Velachery (MFAR Hotels and Resorts Pvt Ltd)</t>
  </si>
  <si>
    <t>SB 22254</t>
  </si>
  <si>
    <t>EVENT EXPENSES-GIVE AWAYS</t>
  </si>
  <si>
    <t>Event Expenses - Giveaways</t>
  </si>
  <si>
    <t>Harshit Jain</t>
  </si>
  <si>
    <t>1044966 Harshit Jain</t>
  </si>
  <si>
    <t>D/2025/PO/000001</t>
  </si>
  <si>
    <t>Jarvas Smart Solutions Pvt Ltd-Del</t>
  </si>
  <si>
    <t>12882  Jarvas Smart Solutions Pvt Ltd</t>
  </si>
  <si>
    <t>D - Delhi</t>
  </si>
  <si>
    <t>Purchase Order-Del</t>
  </si>
  <si>
    <t>SB 22159</t>
  </si>
  <si>
    <t>Nexus-Delhi</t>
  </si>
  <si>
    <t>STAGE &amp; SET EXPENSES (DE)</t>
  </si>
  <si>
    <t>Stage &amp; Set Expenses - Events</t>
  </si>
  <si>
    <t>Ravi Kiroula</t>
  </si>
  <si>
    <t>1128186 Ravi Kiroula</t>
  </si>
  <si>
    <t>IGST Input for DL (DT) 18%</t>
  </si>
  <si>
    <t>D/2025/PO/000002</t>
  </si>
  <si>
    <t>Rishi Computers-Del</t>
  </si>
  <si>
    <t>12343 Rishi Computers</t>
  </si>
  <si>
    <t>1135026 Gaurav Khurana</t>
  </si>
  <si>
    <t>Laptop Dell(P)</t>
  </si>
  <si>
    <t>Abhishek</t>
  </si>
  <si>
    <t>1140231 Abhishek Jadhav</t>
  </si>
  <si>
    <t>CGST Input for DL (DT) 9%</t>
  </si>
  <si>
    <t>D/2025/PO/000003</t>
  </si>
  <si>
    <t>Computer</t>
  </si>
  <si>
    <t>D/2025/PO/000004</t>
  </si>
  <si>
    <t>Saksham Signs Pvt Ltd-Del</t>
  </si>
  <si>
    <t>12886  Saksham Signs Pvt Ltd</t>
  </si>
  <si>
    <t>D/2025/PO/000005</t>
  </si>
  <si>
    <t>Gurdeep Kaur-Del</t>
  </si>
  <si>
    <t>11103 Gurdeep Kaur</t>
  </si>
  <si>
    <t>Gurpreet Singh</t>
  </si>
  <si>
    <t>1044881 Gurpreet Singh Khani</t>
  </si>
  <si>
    <t>D/2025/PO/000006</t>
  </si>
  <si>
    <t>D/2025/PO/000007</t>
  </si>
  <si>
    <t>Gurpreet</t>
  </si>
  <si>
    <t>D/2025/PO/000008</t>
  </si>
  <si>
    <t>D/2025/PO/000009</t>
  </si>
  <si>
    <t>A/2025/PO/000001</t>
  </si>
  <si>
    <t>Ekatra Collective Pvt Ltd-Mum</t>
  </si>
  <si>
    <t>12858  Ekatra Collective Pvt Ltd</t>
  </si>
  <si>
    <t>A - Mumbai</t>
  </si>
  <si>
    <t>Purchase Order-Mum</t>
  </si>
  <si>
    <t>1138574 Swapnil Bangal</t>
  </si>
  <si>
    <t>SB 22256</t>
  </si>
  <si>
    <t>Chennai</t>
  </si>
  <si>
    <t>Nexus-Maharashtra</t>
  </si>
  <si>
    <t>Clinton Jesuraja</t>
  </si>
  <si>
    <t>1044969 Clinton J</t>
  </si>
  <si>
    <t>IGST Input for MH 12%</t>
  </si>
  <si>
    <t>A/2025/PO/000002</t>
  </si>
  <si>
    <t>Noaman Digital Partnership Firm-Mum</t>
  </si>
  <si>
    <t>SB 22123</t>
  </si>
  <si>
    <t>BU West</t>
  </si>
  <si>
    <t>Mumbai</t>
  </si>
  <si>
    <t>PRINTING &amp; STATIONERY - EVENTS</t>
  </si>
  <si>
    <t>Printing &amp; Stationery - Events</t>
  </si>
  <si>
    <t xml:space="preserve">Aftab Shaikh
</t>
  </si>
  <si>
    <t>1133492 Aftab Mobin Shaikh</t>
  </si>
  <si>
    <t>CGST Input for MH (DT) 9%</t>
  </si>
  <si>
    <t>A/2025/PO/000003</t>
  </si>
  <si>
    <t>Turbonet Systems Pvt Ltd-Mum</t>
  </si>
  <si>
    <t>12560  Turbonet Systems Pvt Ltd</t>
  </si>
  <si>
    <t>SB 22212</t>
  </si>
  <si>
    <t>Courier Charges - Events</t>
  </si>
  <si>
    <t xml:space="preserve">Neetuprakash Poojary
</t>
  </si>
  <si>
    <t>1044835 Neetu Prakash Poojary</t>
  </si>
  <si>
    <t>A/2025/PO/000004</t>
  </si>
  <si>
    <t>Jaguar Security Services Pvt Ltd-Mum</t>
  </si>
  <si>
    <t>12046  Jaguar Security Services Pvt Ltd</t>
  </si>
  <si>
    <t>SB 21718</t>
  </si>
  <si>
    <t>SECURITY CHARGES - EVENTS</t>
  </si>
  <si>
    <t>Security Charges - Events</t>
  </si>
  <si>
    <t>Hari Bailwal</t>
  </si>
  <si>
    <t>1044898 Hari Bailwal</t>
  </si>
  <si>
    <t>IGST Input for MH (DT) 18%</t>
  </si>
  <si>
    <t>C/2025/PO/000005</t>
  </si>
  <si>
    <t>Tata Teleservices Ltd-Blr</t>
  </si>
  <si>
    <t>10964  Tata Teleservices Ltd</t>
  </si>
  <si>
    <t>15 Days</t>
  </si>
  <si>
    <t>Amir Merchant</t>
  </si>
  <si>
    <t>1044800 Amir Merchant</t>
  </si>
  <si>
    <t>D/2025/PO/000010</t>
  </si>
  <si>
    <t>Goldline Security Systems-Del</t>
  </si>
  <si>
    <t>12880 Goldline Security Systems</t>
  </si>
  <si>
    <t>Fire Alarm (Office Equipment)</t>
  </si>
  <si>
    <t>Pankaj</t>
  </si>
  <si>
    <t>1044903 Pankaj Kumar Mishra</t>
  </si>
  <si>
    <t>D/2025/PO/000011</t>
  </si>
  <si>
    <t>D/2025/PO/000012</t>
  </si>
  <si>
    <t>Wanderers Adventure Sports Pvt Ltd-Del</t>
  </si>
  <si>
    <t>10103  Wanderers Adventure Sports Pvt Ltd</t>
  </si>
  <si>
    <t>EVENT EXPENSES /OTHERS</t>
  </si>
  <si>
    <t>Event Expenses - Others</t>
  </si>
  <si>
    <t>SONIA</t>
  </si>
  <si>
    <t>1114836 Sonia Thakur</t>
  </si>
  <si>
    <t>D/2025/PO/000013</t>
  </si>
  <si>
    <t>Studio Merchandise Pvt Ltd-Del</t>
  </si>
  <si>
    <t>12464  Studio Merchandise Pvt Ltd</t>
  </si>
  <si>
    <t>SB 22120</t>
  </si>
  <si>
    <t>Varun Sondhi</t>
  </si>
  <si>
    <t>1129995 Varun Sodhi</t>
  </si>
  <si>
    <t>A/2025/PO/000005</t>
  </si>
  <si>
    <t>Fairfield By Marriott Mumbai (Associated Hospitality Pvt Ltd)-Mum</t>
  </si>
  <si>
    <t>11911  Fairfield By Marriott Mumbai (Associated Hospitality Pvt Ltd)</t>
  </si>
  <si>
    <t>A/2025/PO/000006</t>
  </si>
  <si>
    <t>Black Hat Talent Solutions &amp; Consulting Pvt Ltd-Mum</t>
  </si>
  <si>
    <t>10572  Black Hat Talent Solutions &amp; Consulting Pvt Ltd</t>
  </si>
  <si>
    <t>SB 22196</t>
  </si>
  <si>
    <t>PERFORMER EXPENSES</t>
  </si>
  <si>
    <t>Performer Expenses</t>
  </si>
  <si>
    <t>SHRUTI GUPTA</t>
  </si>
  <si>
    <t>1135015 Shruti Gupta</t>
  </si>
  <si>
    <t>A/2025/PO/000007</t>
  </si>
  <si>
    <t>Phonographic Performance Limited-Mum</t>
  </si>
  <si>
    <t>PERMISSION EXPENSES</t>
  </si>
  <si>
    <t>Permission Expenses</t>
  </si>
  <si>
    <t>Mangesh Waghmare</t>
  </si>
  <si>
    <t>1044806 Mangesh Waghmare</t>
  </si>
  <si>
    <t>A/2025/PO/000008</t>
  </si>
  <si>
    <t>Novex Communications Pvt. Ltd.-Mum</t>
  </si>
  <si>
    <t xml:space="preserve">Mangesh Waghmare
</t>
  </si>
  <si>
    <t>A/2025/PO/000009</t>
  </si>
  <si>
    <t>The Indian Performing Right Society Ltd.-Mum</t>
  </si>
  <si>
    <t>A/2025/PO/000010</t>
  </si>
  <si>
    <t>A/2025/PO/000011</t>
  </si>
  <si>
    <t>A/2025/PO/000012</t>
  </si>
  <si>
    <t>Rentastic-Mum</t>
  </si>
  <si>
    <t>A/2025/PO/000013</t>
  </si>
  <si>
    <t>Zinque (Sweet Spot) (OTV)-Mum</t>
  </si>
  <si>
    <t>SB 21768</t>
  </si>
  <si>
    <t>B/2025/PO/000015</t>
  </si>
  <si>
    <t>The Oberoi Bengaluru-Blr</t>
  </si>
  <si>
    <t>10455  The Oberoi Bengaluru</t>
  </si>
  <si>
    <t>SB 22277</t>
  </si>
  <si>
    <t>F&amp;B Charges Events</t>
  </si>
  <si>
    <t>B/2025/PO/000016</t>
  </si>
  <si>
    <t>Time Marketing-Blr</t>
  </si>
  <si>
    <t>12541 Time Marketing</t>
  </si>
  <si>
    <t>SB 22276</t>
  </si>
  <si>
    <t xml:space="preserve">Abdul Rehman
?
</t>
  </si>
  <si>
    <t>1044827 Abdul Rahman</t>
  </si>
  <si>
    <t>B/2025/PO/000017</t>
  </si>
  <si>
    <t>Abdul Rehman -CR</t>
  </si>
  <si>
    <t>SB 21960</t>
  </si>
  <si>
    <t>Rahul Deherkar</t>
  </si>
  <si>
    <t>1044803 Rahul Deherkar</t>
  </si>
  <si>
    <t>B/2025/PO/000018</t>
  </si>
  <si>
    <t>B/2025/PO/000019</t>
  </si>
  <si>
    <t>Navyatha Sagar D-Blr</t>
  </si>
  <si>
    <t>10766 Navyatha Sagar D</t>
  </si>
  <si>
    <t>MANPOWER SUPPLY</t>
  </si>
  <si>
    <t>Manpower Supply</t>
  </si>
  <si>
    <t>Pravesh</t>
  </si>
  <si>
    <t>1044913 Parvesh Mahalwal</t>
  </si>
  <si>
    <t>B/2025/PO/000020</t>
  </si>
  <si>
    <t>DJ VJ Joshua-Blr</t>
  </si>
  <si>
    <t>12878 DJ VJ Joshua</t>
  </si>
  <si>
    <t>Parvesh</t>
  </si>
  <si>
    <t>B/2025/PO/000021</t>
  </si>
  <si>
    <t>Yash Gifts-Blr</t>
  </si>
  <si>
    <t>12634 Yash  Gifts</t>
  </si>
  <si>
    <t>Abdul Rehman</t>
  </si>
  <si>
    <t>B/2025/PO/000022</t>
  </si>
  <si>
    <t>Sumair Shariff-Blr</t>
  </si>
  <si>
    <t>11436 Sumair Shariff</t>
  </si>
  <si>
    <t>B/2025/PO/000023</t>
  </si>
  <si>
    <t>Foundsys Technologies Pvt Ltd-Blr</t>
  </si>
  <si>
    <t>11931  Foundsys Technologies Pvt Ltd</t>
  </si>
  <si>
    <t>SB 22266</t>
  </si>
  <si>
    <t>INTERNET EXPENSES - EVENTS</t>
  </si>
  <si>
    <t>Abdhul Rehman</t>
  </si>
  <si>
    <t>B/2025/PO/000024</t>
  </si>
  <si>
    <t>S R Creations-Blr</t>
  </si>
  <si>
    <t>11428 S R Creations</t>
  </si>
  <si>
    <t>SB 22285</t>
  </si>
  <si>
    <t>Event Management Charges (DE)</t>
  </si>
  <si>
    <t>Event Management Charges</t>
  </si>
  <si>
    <t>Ravish</t>
  </si>
  <si>
    <t>1129362 Ravish Nair</t>
  </si>
  <si>
    <t>B/2025/PO/000025</t>
  </si>
  <si>
    <t>Rahul Luthra</t>
  </si>
  <si>
    <t>1132253 Rahul Luthra</t>
  </si>
  <si>
    <t>C/2025/PO/000006</t>
  </si>
  <si>
    <t>Gala Event Solutions-Che</t>
  </si>
  <si>
    <t>11939 Gala Event Solutions</t>
  </si>
  <si>
    <t>SB 22274</t>
  </si>
  <si>
    <t>Ashwath Rao</t>
  </si>
  <si>
    <t>1044942 Ashwath Rao</t>
  </si>
  <si>
    <t>C/2025/PO/000007</t>
  </si>
  <si>
    <t>Clinton J  for Expense-CR</t>
  </si>
  <si>
    <t>Train &amp; Bus Fare (General)</t>
  </si>
  <si>
    <t>Train &amp; Bus Fare - Events</t>
  </si>
  <si>
    <t>Anchan Bipin</t>
  </si>
  <si>
    <t>1044804 Bipin Anchan</t>
  </si>
  <si>
    <t>C/2025/PO/000008</t>
  </si>
  <si>
    <t>SB 22284</t>
  </si>
  <si>
    <t xml:space="preserve">Praveen Raj
</t>
  </si>
  <si>
    <t>1044869 M Praveen Raj</t>
  </si>
  <si>
    <t>D/2025/PO/000014</t>
  </si>
  <si>
    <t>Benson Trophies And Awards-Del</t>
  </si>
  <si>
    <t>11719 Benson Trophies And Awards</t>
  </si>
  <si>
    <t>Ravi Lal</t>
  </si>
  <si>
    <t>D/2025/PO/000015</t>
  </si>
  <si>
    <t>Digital Emotions Pvt Ltd-Del</t>
  </si>
  <si>
    <t>11826  Digital Emotions Pvt Ltd</t>
  </si>
  <si>
    <t>PROFESSIONAL FEES-EVENTS</t>
  </si>
  <si>
    <t>Professional Fee - Events</t>
  </si>
  <si>
    <t>Imran Khan</t>
  </si>
  <si>
    <t>1044965 Imran Khan</t>
  </si>
  <si>
    <t>D/2025/PO/000016</t>
  </si>
  <si>
    <t>Sunil Kumar  -CR</t>
  </si>
  <si>
    <t>SUNIL KUMAR</t>
  </si>
  <si>
    <t>1142277 Sunil Kumar</t>
  </si>
  <si>
    <t>D/2025/PO/000017</t>
  </si>
  <si>
    <t>Nitin Kumar ...........  -CR</t>
  </si>
  <si>
    <t>NITIN KUMAR</t>
  </si>
  <si>
    <t>1044976 Nitin Kumar</t>
  </si>
  <si>
    <t>D/2025/PO/000018</t>
  </si>
  <si>
    <t>Yogesh Kumar Bansal  -CR</t>
  </si>
  <si>
    <t>YOGESH KUMAR BANSAL</t>
  </si>
  <si>
    <t>1130111 Yogesh Kumar Bansal</t>
  </si>
  <si>
    <t>D/2025/PO/000019</t>
  </si>
  <si>
    <t>D/2025/PO/000020</t>
  </si>
  <si>
    <t>Samarth Kapoor  -CR</t>
  </si>
  <si>
    <t>SAMARTH KAPOOR</t>
  </si>
  <si>
    <t>1139551 Kapoor Samarth</t>
  </si>
  <si>
    <t>D/2025/PO/000021</t>
  </si>
  <si>
    <t>Beats Light &amp; Sound Pvt Ltd-Del</t>
  </si>
  <si>
    <t>11717  Beats Light &amp; Sound Pvt Ltd</t>
  </si>
  <si>
    <t>EQUIPMENTS &amp; TECHNICAL OPERATION CHGS.</t>
  </si>
  <si>
    <t>Equipment &amp; Technical Operation Charges</t>
  </si>
  <si>
    <t>Sonia Thakur</t>
  </si>
  <si>
    <t>D/2025/PO/000022</t>
  </si>
  <si>
    <t>Shivam Video Pvt.Ltd.-Del</t>
  </si>
  <si>
    <t>Sonia</t>
  </si>
  <si>
    <t>D/2025/PO/000023</t>
  </si>
  <si>
    <t>Ravi.........-CR</t>
  </si>
  <si>
    <t>RAVI</t>
  </si>
  <si>
    <t>D/2025/PO/000024</t>
  </si>
  <si>
    <t>All4One Events-Del</t>
  </si>
  <si>
    <t>11655 All4One Events</t>
  </si>
  <si>
    <t>D/2025/PO/000025</t>
  </si>
  <si>
    <t>Anurag Jadli  -CR</t>
  </si>
  <si>
    <t>ANURAG JADLI</t>
  </si>
  <si>
    <t>1132963 Anurag Jadli</t>
  </si>
  <si>
    <t>D/2025/PO/000026</t>
  </si>
  <si>
    <t>Ask 4 Car Care- Delhi-Del</t>
  </si>
  <si>
    <t>11687 Ask 4 Car Care</t>
  </si>
  <si>
    <t>D/2025/PO/000027</t>
  </si>
  <si>
    <t>Shield Guard India Pvt Ltd-Del</t>
  </si>
  <si>
    <t>12387  Shield Guard India Pvt Ltd</t>
  </si>
  <si>
    <t>D/2025/PO/000028</t>
  </si>
  <si>
    <t>Kunwar Singh Chauhan  -CR</t>
  </si>
  <si>
    <t>SB 22158</t>
  </si>
  <si>
    <t>KUNWAR SINGH CHAUHAN</t>
  </si>
  <si>
    <t>1141533 Kunwar Singh Chauhan</t>
  </si>
  <si>
    <t>D/2025/PO/000029</t>
  </si>
  <si>
    <t>Bodhi Tree Entertainment-Del</t>
  </si>
  <si>
    <t>11741 Bodhi Tree Entertainment</t>
  </si>
  <si>
    <t>PHOTOGRAPHY EXPENSES EVENTS</t>
  </si>
  <si>
    <t>Photography Expenses - Events</t>
  </si>
  <si>
    <t>D/2025/PO/000030</t>
  </si>
  <si>
    <t>Raghav Bhardwaj  -CR</t>
  </si>
  <si>
    <t>RAGHAV BHARDWAJ</t>
  </si>
  <si>
    <t>1135466 Raghav Bhardwaj</t>
  </si>
  <si>
    <t>D/2025/PO/000031</t>
  </si>
  <si>
    <t>Webcontxt India Pvt Ltd-Del</t>
  </si>
  <si>
    <t>12615  Webcontxt India Pvt Ltd</t>
  </si>
  <si>
    <t>D/2025/PO/000032</t>
  </si>
  <si>
    <t>Vijender  -CR</t>
  </si>
  <si>
    <t>SITE EXPENSES - EVENTS</t>
  </si>
  <si>
    <t>Site Expenses - Events</t>
  </si>
  <si>
    <t>VIJENDER</t>
  </si>
  <si>
    <t>1128882 Vijender H</t>
  </si>
  <si>
    <t>D/2025/PO/000033</t>
  </si>
  <si>
    <t>Brief Cab-Del</t>
  </si>
  <si>
    <t>11745 Brief Cab</t>
  </si>
  <si>
    <t>D/2025/PO/000034</t>
  </si>
  <si>
    <t>Keshav Sargur  -CR</t>
  </si>
  <si>
    <t>KESHAV SARGUR</t>
  </si>
  <si>
    <t>1137430 Keshav Sargur</t>
  </si>
  <si>
    <t>D/2025/PO/000035</t>
  </si>
  <si>
    <t>Minter Cstech Pvt.Ltd.-Del</t>
  </si>
  <si>
    <t>D/2025/PO/000036</t>
  </si>
  <si>
    <t>Garv Aggarwal  -CR</t>
  </si>
  <si>
    <t>GARV AGGARWAL</t>
  </si>
  <si>
    <t>1126975 Garv Aggarwal</t>
  </si>
  <si>
    <t>D/2025/PO/000037</t>
  </si>
  <si>
    <t>D/2025/PO/000038</t>
  </si>
  <si>
    <t>Prachi Signal  -CR</t>
  </si>
  <si>
    <t>PRACHI SIGNAL</t>
  </si>
  <si>
    <t>1141542 Prachi Singal</t>
  </si>
  <si>
    <t>D/2025/PO/000039</t>
  </si>
  <si>
    <t>Garnertech Innovation Pvt Ltd-Del</t>
  </si>
  <si>
    <t>11941  Garnertech Innovation Pvt Ltd</t>
  </si>
  <si>
    <t>D/2025/PO/000040</t>
  </si>
  <si>
    <t>D/2025/PO/000041</t>
  </si>
  <si>
    <t>Priyanka Nagi  -CR</t>
  </si>
  <si>
    <t>PRIYANKA NAGI</t>
  </si>
  <si>
    <t>1141333 Priyanka Nagi</t>
  </si>
  <si>
    <t>D/2025/PO/000042</t>
  </si>
  <si>
    <t>Sadika Madan  -CR</t>
  </si>
  <si>
    <t>SADIKA MADAN</t>
  </si>
  <si>
    <t>D/2025/PO/000043</t>
  </si>
  <si>
    <t>D/2025/PO/000044</t>
  </si>
  <si>
    <t>D/2025/PO/000045</t>
  </si>
  <si>
    <t>D/2025/PO/000046</t>
  </si>
  <si>
    <t>D/2025/PO/000047</t>
  </si>
  <si>
    <t>D/2025/PO/000048</t>
  </si>
  <si>
    <t>Ajeet Singh  -CR</t>
  </si>
  <si>
    <t>10519 Ajeet Singh</t>
  </si>
  <si>
    <t>AJEET SINGH</t>
  </si>
  <si>
    <t>1141982 Ajeet Singh</t>
  </si>
  <si>
    <t>D/2025/PO/000049</t>
  </si>
  <si>
    <t>Sidhant Saxena.....-CR</t>
  </si>
  <si>
    <t>SIDHANT SAXENA</t>
  </si>
  <si>
    <t>1044810 Sidhant Saxena</t>
  </si>
  <si>
    <t>D/2025/PO/000050</t>
  </si>
  <si>
    <t>Innovative Gifting Solutions-Del</t>
  </si>
  <si>
    <t>11264 Innovative Gifting Solutions</t>
  </si>
  <si>
    <t>SB 22279</t>
  </si>
  <si>
    <t>Amarpreet Singh</t>
  </si>
  <si>
    <t>1044857 Amarpreet Singh</t>
  </si>
  <si>
    <t>D/2025/PO/000051</t>
  </si>
  <si>
    <t>SB 22272</t>
  </si>
  <si>
    <t>D/2025/PO/000052</t>
  </si>
  <si>
    <t>Sanjay Dutt Dobriyal  -CR</t>
  </si>
  <si>
    <t>Sanjay</t>
  </si>
  <si>
    <t>1141840 Sanjay Datt Dobriyal</t>
  </si>
  <si>
    <t>A/2025/PO/Gen/0001</t>
  </si>
  <si>
    <t>(cancelled)</t>
  </si>
  <si>
    <t>Purchase Order(Gen)-Mum</t>
  </si>
  <si>
    <t>A/2025/PO/Gen/0002</t>
  </si>
  <si>
    <t>Ventura Lifestyles Pvt Ltd-Mum</t>
  </si>
  <si>
    <t>12585  Ventura Lifestyles Pvt Ltd</t>
  </si>
  <si>
    <t>Chair(P)</t>
  </si>
  <si>
    <t xml:space="preserve">Bipin Anchan
</t>
  </si>
  <si>
    <t>A/2025/PO/000016</t>
  </si>
  <si>
    <t>Manoj Chaudhari  -CR</t>
  </si>
  <si>
    <t>1127248 Pradnya Gharat</t>
  </si>
  <si>
    <t>A/2025/PO/000014</t>
  </si>
  <si>
    <t>The Comptment Hotel Pvt Ltd-Mum</t>
  </si>
  <si>
    <t>12686  The Comptment Hotel Pvt Ltd</t>
  </si>
  <si>
    <t>A/2025/PO/000015</t>
  </si>
  <si>
    <t>SB 22246</t>
  </si>
  <si>
    <t>A/2025/PO/000017</t>
  </si>
  <si>
    <t>Vidicom Enterprises-Mum</t>
  </si>
  <si>
    <t>11144 Vidicom Enterprises</t>
  </si>
  <si>
    <t>A/2025/PO/000018</t>
  </si>
  <si>
    <t>Neha Sareen-Mum</t>
  </si>
  <si>
    <t>12875 Neha Sareen</t>
  </si>
  <si>
    <t>A/2025/PO/000019</t>
  </si>
  <si>
    <t>Khyati Kava-Mum</t>
  </si>
  <si>
    <t>10709 Khyati Kava</t>
  </si>
  <si>
    <t>A/2025/PO/000020</t>
  </si>
  <si>
    <t>B/2025/PO/000026</t>
  </si>
  <si>
    <t>Lyra Entertainment And Media-Blr</t>
  </si>
  <si>
    <t>SB 22280</t>
  </si>
  <si>
    <t>B/2025/PO/000027</t>
  </si>
  <si>
    <t>Srinivasa Dasari</t>
  </si>
  <si>
    <t>1133840 Srinivasa Dasari</t>
  </si>
  <si>
    <t>B/2025/PO/000028</t>
  </si>
  <si>
    <t>B/2025/PO/000029</t>
  </si>
  <si>
    <t>Ashok Raj R  -CR</t>
  </si>
  <si>
    <t>C/2025/PO/000009</t>
  </si>
  <si>
    <t>R Anandan  -CR</t>
  </si>
  <si>
    <t>TRAIN &amp; BUS FARE - EVENTS (DE)</t>
  </si>
  <si>
    <t>Train&amp;BusFare</t>
  </si>
  <si>
    <t>C/2025/PO/000010</t>
  </si>
  <si>
    <t>Pro Audio Solutions India Pvt Ltd-Che</t>
  </si>
  <si>
    <t>12288  Pro Audio Solutions India Pvt Ltd</t>
  </si>
  <si>
    <t>Brijesh L</t>
  </si>
  <si>
    <t>1138054 Brijesh CL</t>
  </si>
  <si>
    <t>D/2025/PO/000053</t>
  </si>
  <si>
    <t>GURPREET</t>
  </si>
  <si>
    <t>D/2025/PO/000054</t>
  </si>
  <si>
    <t>Audio Design -Del</t>
  </si>
  <si>
    <t>11695 Audio Design</t>
  </si>
  <si>
    <t>SACHIN VAID</t>
  </si>
  <si>
    <t>1144209 Sachin Vaid</t>
  </si>
  <si>
    <t>D/2025/PO/000055</t>
  </si>
  <si>
    <t>Sachin Vaid</t>
  </si>
  <si>
    <t>D/2025/PO/000056</t>
  </si>
  <si>
    <t>D/2025/PO/000057</t>
  </si>
  <si>
    <t>Computer Expenses</t>
  </si>
  <si>
    <t>D/2025/PO/000058</t>
  </si>
  <si>
    <t>D/2025/PO/000059</t>
  </si>
  <si>
    <t>Zara Communication-Del</t>
  </si>
  <si>
    <t>12888 Zara Communication</t>
  </si>
  <si>
    <t>D/2025/PO/000060</t>
  </si>
  <si>
    <t>D/2025/PO/000061</t>
  </si>
  <si>
    <t>Powerpro-Del</t>
  </si>
  <si>
    <t>D/2025/PO/000062</t>
  </si>
  <si>
    <t>Praveen Kumar(CR)-Del</t>
  </si>
  <si>
    <t>D/2025/PO/000063</t>
  </si>
  <si>
    <t>Pavleen Kaurr Qaumi-Del</t>
  </si>
  <si>
    <t>10804 Pavleen Kaurr Qaumi</t>
  </si>
  <si>
    <t>D/2025/PO/000064</t>
  </si>
  <si>
    <t>D/2025/PO/000065</t>
  </si>
  <si>
    <t>Dream Factory Pvt. Ltd.-Del</t>
  </si>
  <si>
    <t>Kunwar</t>
  </si>
  <si>
    <t>D/2025/PO/000066</t>
  </si>
  <si>
    <t>Kunwar Chauhan</t>
  </si>
  <si>
    <t>D/2025/PO/000067</t>
  </si>
  <si>
    <t>Hertz And Pixelz-Del</t>
  </si>
  <si>
    <t>11983 Hertz And Pixelz</t>
  </si>
  <si>
    <t>D/2025/PO/000068</t>
  </si>
  <si>
    <t>D/2025/PO/000069</t>
  </si>
  <si>
    <t>Golden Faces-Del</t>
  </si>
  <si>
    <t>10044 Golden Faces</t>
  </si>
  <si>
    <t>D/2025/PO/000070</t>
  </si>
  <si>
    <t>D/2025/PO/000071</t>
  </si>
  <si>
    <t>Sushil Nain</t>
  </si>
  <si>
    <t>1123291 Sushil Nain</t>
  </si>
  <si>
    <t>D/2025/PO/000072</t>
  </si>
  <si>
    <t>D/2025/PO/000073</t>
  </si>
  <si>
    <t>D/2025/PO/000074</t>
  </si>
  <si>
    <t>Red Carpet Events And Entertainment-Del</t>
  </si>
  <si>
    <t>12326 Red Carpet Events And Entertainment</t>
  </si>
  <si>
    <t>D/2025/PO/000075</t>
  </si>
  <si>
    <t>Murti Medicare Centre-Del</t>
  </si>
  <si>
    <t>11326 Murti Medicare Centre</t>
  </si>
  <si>
    <t>A/2025/PO/000021</t>
  </si>
  <si>
    <t>Abhimanyu Awate -CR</t>
  </si>
  <si>
    <t>A/2025/PO/000022</t>
  </si>
  <si>
    <t>Ameya Integrated Services-Mum</t>
  </si>
  <si>
    <t>11662 Ameya Integrated Services</t>
  </si>
  <si>
    <t xml:space="preserve">Ashwin Mishra
</t>
  </si>
  <si>
    <t>1126471 Ashwin Mishra</t>
  </si>
  <si>
    <t>A/2025/PO/000023</t>
  </si>
  <si>
    <t>Emblaze Events (Sunita Harihar Sharma)-Mum</t>
  </si>
  <si>
    <t>11869 Emblaze Events (Sunita Harihar Sharma)</t>
  </si>
  <si>
    <t>A/2025/PO/000024</t>
  </si>
  <si>
    <t>A/2025/PO/000025</t>
  </si>
  <si>
    <t>A/2025/PO/000026</t>
  </si>
  <si>
    <t>A/2025/PO/000027</t>
  </si>
  <si>
    <t>Z Bliss Suites (Zolostays Property Solutions Pvt Ltd)-Mum</t>
  </si>
  <si>
    <t>12636  Z Bliss Suites (Zolostays Property Solutions Pvt Ltd)</t>
  </si>
  <si>
    <t xml:space="preserve">Nitesh Tembkar
</t>
  </si>
  <si>
    <t>1130468 Nitesh Tembkar</t>
  </si>
  <si>
    <t>CGST Input for MH @ 6%</t>
  </si>
  <si>
    <t>A/2025/PO/000028</t>
  </si>
  <si>
    <t>A/2025/PO/000029</t>
  </si>
  <si>
    <t>Sconce Global Pvt Ltd-Mum</t>
  </si>
  <si>
    <t>12371  Sconce Global Pvt Ltd</t>
  </si>
  <si>
    <t>A/2025/PO/000030</t>
  </si>
  <si>
    <t>A/2025/PO/000031</t>
  </si>
  <si>
    <t>A/2025/PO/000032</t>
  </si>
  <si>
    <t>Rak Lead Events-Mum</t>
  </si>
  <si>
    <t>12317 Rak Lead Events</t>
  </si>
  <si>
    <t>A/2025/PO/000033</t>
  </si>
  <si>
    <t>Sportocraft Enterprises-Mum</t>
  </si>
  <si>
    <t>12437 Sportocraft Enterprises</t>
  </si>
  <si>
    <t>B/2025/PO/000030</t>
  </si>
  <si>
    <t>B/2025/PO/000031</t>
  </si>
  <si>
    <t>Graflex INC-Blr</t>
  </si>
  <si>
    <t>11968 Graflex INC</t>
  </si>
  <si>
    <t>Tribhuvan  Kapoor</t>
  </si>
  <si>
    <t>1044924 Tribhuvan Kapoor</t>
  </si>
  <si>
    <t>B/2025/PO/000032</t>
  </si>
  <si>
    <t>J Davis Pro Sound &amp; Lightings (New)-Blr</t>
  </si>
  <si>
    <t>Tribhuvan Kapoor</t>
  </si>
  <si>
    <t>B/2025/PO/000033</t>
  </si>
  <si>
    <t>B/2025/PO/000034</t>
  </si>
  <si>
    <t>Innovative Systems and Solutions Pvt Ltd-Mum</t>
  </si>
  <si>
    <t>12032  Innovative Systems and Solutions Pvt Ltd</t>
  </si>
  <si>
    <t>Audio Visual Systems (FA)</t>
  </si>
  <si>
    <t xml:space="preserve">Shrikant Rele
</t>
  </si>
  <si>
    <t>1044964 Shrikant Rele</t>
  </si>
  <si>
    <t>IGST Input for KT (DT) 18%</t>
  </si>
  <si>
    <t>B/2025/PO/000035</t>
  </si>
  <si>
    <t xml:space="preserve">Raj Latotra  -CR
</t>
  </si>
  <si>
    <t>SB 22136</t>
  </si>
  <si>
    <t>B/2025/PO/000036</t>
  </si>
  <si>
    <t>Sathya Kumar S -CR</t>
  </si>
  <si>
    <t>B/2025/PO/000037</t>
  </si>
  <si>
    <t>SB 22282</t>
  </si>
  <si>
    <t>B/2025/PO/000038</t>
  </si>
  <si>
    <t>Jay Jagannath Samal Event Production-Blr</t>
  </si>
  <si>
    <t>12049 Jay Jagannath Samal Event Production</t>
  </si>
  <si>
    <t>Kapeel Parmekar</t>
  </si>
  <si>
    <t>1119879 Kapeel Parmekar</t>
  </si>
  <si>
    <t>B/2025/PO/000039</t>
  </si>
  <si>
    <t>Pixels2Print-Blr</t>
  </si>
  <si>
    <t>Kapeel Parmaker</t>
  </si>
  <si>
    <t>B/2025/PO/000040</t>
  </si>
  <si>
    <t>New Print House-Blr</t>
  </si>
  <si>
    <t>12196 New Print House</t>
  </si>
  <si>
    <t>CGST Input for KT @ 6%</t>
  </si>
  <si>
    <t>B/2025/PO/000041</t>
  </si>
  <si>
    <t>Event Life-Blr</t>
  </si>
  <si>
    <t>11892 Event Life</t>
  </si>
  <si>
    <t>B/2025/PO/000042</t>
  </si>
  <si>
    <t>Ashik Mobile Generator-Blr</t>
  </si>
  <si>
    <t>11685 Ashik Mobile Generator</t>
  </si>
  <si>
    <t>B/2025/PO/000043</t>
  </si>
  <si>
    <t>Jehovasoft Pvt Ltd-Blr</t>
  </si>
  <si>
    <t>12053  Jehovasoft Pvt Ltd</t>
  </si>
  <si>
    <t>B/2025/PO/000044</t>
  </si>
  <si>
    <t>VSFE Events LLP-Blr</t>
  </si>
  <si>
    <t>12612 VSFE Events LLP</t>
  </si>
  <si>
    <t>B/2025/PO/000045</t>
  </si>
  <si>
    <t>Blue Gem Entertainment and Events-Blr</t>
  </si>
  <si>
    <t>11737 Blue Gem Entertainment and Events</t>
  </si>
  <si>
    <t>B/2025/PO/000046</t>
  </si>
  <si>
    <t>Harshitha N-Blr</t>
  </si>
  <si>
    <t>10661 Harshitha N</t>
  </si>
  <si>
    <t>Arun Kumar M</t>
  </si>
  <si>
    <t>1143735 Arun Kumar M</t>
  </si>
  <si>
    <t>D/2025/PO/000076</t>
  </si>
  <si>
    <t>Kunal Sharma-Del</t>
  </si>
  <si>
    <t>10719 Kunal Sharma</t>
  </si>
  <si>
    <t>D/2025/PO/000077</t>
  </si>
  <si>
    <t>D/2025/PO/000078</t>
  </si>
  <si>
    <t>D/2025/PO/000079</t>
  </si>
  <si>
    <t>TBI Consulting Pvt Ltd-Del</t>
  </si>
  <si>
    <t>12490  TBI Consulting Pvt Ltd</t>
  </si>
  <si>
    <t>D/2025/PO/000080</t>
  </si>
  <si>
    <t>Atthah Info Media Pvt Ltd-Del</t>
  </si>
  <si>
    <t>11692  Atthah Info Media Pvt Ltd</t>
  </si>
  <si>
    <t>D/2025/PO/000081</t>
  </si>
  <si>
    <t>The Stage Factory-Del</t>
  </si>
  <si>
    <t>12530 The Stage Factory</t>
  </si>
  <si>
    <t>D/2025/PO/000082</t>
  </si>
  <si>
    <t>M &amp; G Associates-Del</t>
  </si>
  <si>
    <t>12143 M &amp; G Associates</t>
  </si>
  <si>
    <t>D/2025/PO/000083</t>
  </si>
  <si>
    <t>Clear Span Events Pvt Ltd-Del</t>
  </si>
  <si>
    <t>11772  Clear Span Events Pvt Ltd</t>
  </si>
  <si>
    <t>D/2025/PO/000084</t>
  </si>
  <si>
    <t>D/2025/PO/000085</t>
  </si>
  <si>
    <t>D/2025/PO/000086</t>
  </si>
  <si>
    <t>Rastey Commuting Services Pvt Ltd-Del</t>
  </si>
  <si>
    <t>12319  Rastey Commuting Services Pvt Ltd</t>
  </si>
  <si>
    <t>Ineligible CGST Input</t>
  </si>
  <si>
    <t>D/2025/PO/000087</t>
  </si>
  <si>
    <t>Corporate Gift-Del</t>
  </si>
  <si>
    <t>11790 Corporate Gift</t>
  </si>
  <si>
    <t>D/2025/PO/000088</t>
  </si>
  <si>
    <t>Ravi (EOFPR1927Q)-Del</t>
  </si>
  <si>
    <t>12715 Ravi (EOFPR1927Q)</t>
  </si>
  <si>
    <t>Expenses on A.VS/Films</t>
  </si>
  <si>
    <t>Expenses on AVs / Films</t>
  </si>
  <si>
    <t>Kunwar Singh Chauhan</t>
  </si>
  <si>
    <t>D/2025/PO/000089</t>
  </si>
  <si>
    <t>D/2025/PO/000090</t>
  </si>
  <si>
    <t>Inked-Del</t>
  </si>
  <si>
    <t>D/2025/PO/000091</t>
  </si>
  <si>
    <t>D/2025/PO/000092</t>
  </si>
  <si>
    <t>D/2025/PO/000093</t>
  </si>
  <si>
    <t>Yolekha Events-Del</t>
  </si>
  <si>
    <t>11496 Yolekha Events</t>
  </si>
  <si>
    <t>PANKAJ MISHRA</t>
  </si>
  <si>
    <t>CGST Input for DL @ 6%</t>
  </si>
  <si>
    <t>D/2025/PO/000094</t>
  </si>
  <si>
    <t>Pavni Enterprises-Del</t>
  </si>
  <si>
    <t>11122 Pavni Enterprises</t>
  </si>
  <si>
    <t>CGST Input for DL @ 2.5%</t>
  </si>
  <si>
    <t>D/2025/PO/000095</t>
  </si>
  <si>
    <t>D/2025/PO/000096</t>
  </si>
  <si>
    <t>Shree Ram Computers-Del</t>
  </si>
  <si>
    <t>11132 Shree Ram Computers</t>
  </si>
  <si>
    <t>Computer Expenses - Events</t>
  </si>
  <si>
    <t>D/2025/PO/000097</t>
  </si>
  <si>
    <t>D/2025/PO/000098</t>
  </si>
  <si>
    <t>Teleprompter Solution-Del</t>
  </si>
  <si>
    <t>12496 Teleprompter Solution</t>
  </si>
  <si>
    <t>D/2025/PO/000099</t>
  </si>
  <si>
    <t>Dev Ad World-Del</t>
  </si>
  <si>
    <t>11822 Dev Ad World</t>
  </si>
  <si>
    <t>A/2025/PO/000034</t>
  </si>
  <si>
    <t>U2 Entertainment-Mum</t>
  </si>
  <si>
    <t>12561 U2 Entertainment</t>
  </si>
  <si>
    <t>A/2025/PO/000035</t>
  </si>
  <si>
    <t>4Brains Technologies Pvt Ltd-Mum</t>
  </si>
  <si>
    <t>11618  4Brains Technologies Pvt Ltd</t>
  </si>
  <si>
    <t>A/2025/PO/000036</t>
  </si>
  <si>
    <t>Future Generali India Insurance Co. Ltd.-Mum</t>
  </si>
  <si>
    <t>INSURANCE EXPENSES-EVENT</t>
  </si>
  <si>
    <t>Insurance Expenses - Events</t>
  </si>
  <si>
    <t>A/2025/PO/000037</t>
  </si>
  <si>
    <t>Greenix Experience Pvt Ltd-Mum</t>
  </si>
  <si>
    <t>10297  Greenix Experience Pvt Ltd</t>
  </si>
  <si>
    <t>A/2025/PO/000038</t>
  </si>
  <si>
    <t>Utsara Sports Pvt Ltd (OTV)-Mum</t>
  </si>
  <si>
    <t>12887  Utsara Sports Pvt Ltd (OTV)</t>
  </si>
  <si>
    <t>SB 22269</t>
  </si>
  <si>
    <t xml:space="preserve">Sohan Darekar
</t>
  </si>
  <si>
    <t>1044807 Sohan Darekar</t>
  </si>
  <si>
    <t>A/2025/PO/000039</t>
  </si>
  <si>
    <t>Musafir.Com India Pvt Ltd-Mum</t>
  </si>
  <si>
    <t>10060  Musafir.Com India Pvt Ltd</t>
  </si>
  <si>
    <t>AIR FARE (DE)</t>
  </si>
  <si>
    <t>Air Fare - Events</t>
  </si>
  <si>
    <t>Sagar Khedekar</t>
  </si>
  <si>
    <t>1044829 Sagar Khedekar</t>
  </si>
  <si>
    <t>B/2025/PO/000047</t>
  </si>
  <si>
    <t>Mermaid Digital Pvt Ltd-Blr</t>
  </si>
  <si>
    <t>12136  Mermaid Digital Pvt Ltd</t>
  </si>
  <si>
    <t>B/2025/PO/000048</t>
  </si>
  <si>
    <t>Courier International Services-Blr</t>
  </si>
  <si>
    <t>11795 Courier International Services</t>
  </si>
  <si>
    <t>B/2025/PO/000049</t>
  </si>
  <si>
    <t>Radisson Blu Bengaluru (A unit of Charishma Hotels Pvt Ltd)-Blr</t>
  </si>
  <si>
    <t>10390  Radisson Blu Bengaluru (A unit of Charishma Hotels Pvt Ltd)</t>
  </si>
  <si>
    <t>B/2025/PO/000050</t>
  </si>
  <si>
    <t>Gigu Hospitality Pvt Ltd (OTV)-Blr</t>
  </si>
  <si>
    <t>12824  Gigu Hospitality Pvt Ltd (OTV)</t>
  </si>
  <si>
    <t>C/2025/PO/000011</t>
  </si>
  <si>
    <t>Sri Jay Enterprises-Che</t>
  </si>
  <si>
    <t>10010 Sri Jay Enterprises</t>
  </si>
  <si>
    <t>C/2025/PO/000012</t>
  </si>
  <si>
    <t>Airtel Ltd(Bill Booking)-Mum</t>
  </si>
  <si>
    <t>10112  Airtel Ltd(Bill Booking)</t>
  </si>
  <si>
    <t>Airtel mobile expenses(P)</t>
  </si>
  <si>
    <t>C/2025/PO/000013</t>
  </si>
  <si>
    <t>C/2025/PO/000014</t>
  </si>
  <si>
    <t>D/2025/PO/000100</t>
  </si>
  <si>
    <t>Complete Solutions Tour And Travels Pvt Ltd-Del</t>
  </si>
  <si>
    <t>11780  Complete Solutions Tour And Travels Pvt Ltd</t>
  </si>
  <si>
    <t>Amit Giri</t>
  </si>
  <si>
    <t>1133146 Amit Kumar Giri</t>
  </si>
  <si>
    <t>Ineligible IGST Input</t>
  </si>
  <si>
    <t>D/2025/PO/000101</t>
  </si>
  <si>
    <t>Bhimsen Food Service (Anju)-Del</t>
  </si>
  <si>
    <t>11087 Bhimsen Food Service (Anju)</t>
  </si>
  <si>
    <t>RAVI LAL</t>
  </si>
  <si>
    <t>D/2025/PO/000102</t>
  </si>
  <si>
    <t>Kalu Halder............. -CR</t>
  </si>
  <si>
    <t>D/2025/PO/000103</t>
  </si>
  <si>
    <t>D/2025/PO/000104</t>
  </si>
  <si>
    <t>Varun Sodhi</t>
  </si>
  <si>
    <t>A/2025/PO/Gen/0003</t>
  </si>
  <si>
    <t>Login Enterprises-Mum</t>
  </si>
  <si>
    <t>12106 Login  Enterprises</t>
  </si>
  <si>
    <t>Printing &amp; Stationery</t>
  </si>
  <si>
    <t>Rajaram Shinde</t>
  </si>
  <si>
    <t>1044802 Rajaram Shinde</t>
  </si>
  <si>
    <t>A/2025/PO/000040</t>
  </si>
  <si>
    <t>Garv Aggarwal</t>
  </si>
  <si>
    <t>A/2025/PO/000041</t>
  </si>
  <si>
    <t>Neetu Prakash Poojary Adv Account-CR</t>
  </si>
  <si>
    <t>A/2025/PO/000042</t>
  </si>
  <si>
    <t>Ushta Te Consultancy Services LLP-Mum</t>
  </si>
  <si>
    <t>12575 Ushta Te Consultancy Services LLP</t>
  </si>
  <si>
    <t>TELEMARKETING EXECUTIVE EXPENSES EVENTS</t>
  </si>
  <si>
    <t>Telemarketing Executive Expenses - Events</t>
  </si>
  <si>
    <t>Nazia M</t>
  </si>
  <si>
    <t>1044833 Nazia M</t>
  </si>
  <si>
    <t>A/2025/PO/000043</t>
  </si>
  <si>
    <t>Fisheye-Mum</t>
  </si>
  <si>
    <t>SB 22291</t>
  </si>
  <si>
    <t xml:space="preserve">Tapish Gupta
</t>
  </si>
  <si>
    <t>1140518 Tapish Gupta</t>
  </si>
  <si>
    <t>A/2025/PO/000044</t>
  </si>
  <si>
    <t>Chahek Podar</t>
  </si>
  <si>
    <t>1137927 Chahek Poddar</t>
  </si>
  <si>
    <t>A/2025/PO/000045</t>
  </si>
  <si>
    <t xml:space="preserve">Chahek Poddar
</t>
  </si>
  <si>
    <t>A/2025/PO/000049</t>
  </si>
  <si>
    <t>Shutterstock.Inc-Mum</t>
  </si>
  <si>
    <t>Event Exp (Foreign Currency)</t>
  </si>
  <si>
    <t>Event Expenses - Foreign Currency</t>
  </si>
  <si>
    <t>SONIA THAKUR</t>
  </si>
  <si>
    <t>B/2025/PO/000051</t>
  </si>
  <si>
    <t>Balaji Cargo Movers-Blr</t>
  </si>
  <si>
    <t>11505 Balaji Cargo Movers</t>
  </si>
  <si>
    <t>SB 22299</t>
  </si>
  <si>
    <t xml:space="preserve">Anandan R
</t>
  </si>
  <si>
    <t>1138930 Anandan R</t>
  </si>
  <si>
    <t>B/2025/PO/000052</t>
  </si>
  <si>
    <t>SB 22294</t>
  </si>
  <si>
    <t>B/2025/PO/000053</t>
  </si>
  <si>
    <t>Welcom Hotel Bengaluru (ITC Hotels Ltd)-Blr</t>
  </si>
  <si>
    <t>12873  Welcom Hotel Bengaluru (ITC Hotels Ltd)</t>
  </si>
  <si>
    <t>B/2025/PO/000054</t>
  </si>
  <si>
    <t>Uvfx-Blr</t>
  </si>
  <si>
    <t>B/2025/PO/000055</t>
  </si>
  <si>
    <t>B/2025/PO/000056</t>
  </si>
  <si>
    <t>Shah Jaju &amp; Associates-Mum</t>
  </si>
  <si>
    <t>12840 Shah Jaju &amp; Associates</t>
  </si>
  <si>
    <t>Professional Fees</t>
  </si>
  <si>
    <t>Rohan Parab</t>
  </si>
  <si>
    <t>1133042 Rohan Parab</t>
  </si>
  <si>
    <t>B/2025/PO/000057</t>
  </si>
  <si>
    <t>Infutech Solutions-Blr</t>
  </si>
  <si>
    <t>12027 Infutech Solutions</t>
  </si>
  <si>
    <t>B/2025/PO/000058</t>
  </si>
  <si>
    <t>Shiva Shankar  -CR</t>
  </si>
  <si>
    <t>SB 22271</t>
  </si>
  <si>
    <t>Nandini Nair</t>
  </si>
  <si>
    <t>1044814 Nandini Nair</t>
  </si>
  <si>
    <t>B/2025/PO/000059</t>
  </si>
  <si>
    <t>Sri Venkateshwara Enterprises-Blr</t>
  </si>
  <si>
    <t>11528 Sri Venkateshwara Enterprises</t>
  </si>
  <si>
    <t>Courier Charges</t>
  </si>
  <si>
    <t>D/2025/PO/000105</t>
  </si>
  <si>
    <t>Samarth Kapoor</t>
  </si>
  <si>
    <t>D/2025/PO/000106</t>
  </si>
  <si>
    <t>Vijayant Singh-Del</t>
  </si>
  <si>
    <t>10994 Vijayant Singh</t>
  </si>
  <si>
    <t>Nikhil</t>
  </si>
  <si>
    <t>1125228 Nikhil Sharma</t>
  </si>
  <si>
    <t>D/2025/PO/000107</t>
  </si>
  <si>
    <t>Himanshi Sharma  -CR</t>
  </si>
  <si>
    <t>Himanshi Sharma</t>
  </si>
  <si>
    <t>1141960 Himanshi Sharma</t>
  </si>
  <si>
    <t>D/2025/PO/000108</t>
  </si>
  <si>
    <t>Rakesh Kumar  -CR</t>
  </si>
  <si>
    <t>Rakesh</t>
  </si>
  <si>
    <t>D/2025/PO/000109</t>
  </si>
  <si>
    <t>Ngenius Brand Interaction Pvt Ltd-Del</t>
  </si>
  <si>
    <t>12201  Ngenius Brand Interaction Pvt Ltd</t>
  </si>
  <si>
    <t>D/2025/PO/000110</t>
  </si>
  <si>
    <t>Sajid Khan  -CR</t>
  </si>
  <si>
    <t>Sajid</t>
  </si>
  <si>
    <t>1044801 Sajid Shaikh</t>
  </si>
  <si>
    <t>A/2025/PO/000078</t>
  </si>
  <si>
    <t>Mahendra Mane -CR</t>
  </si>
  <si>
    <t>A/2025/PO/000075</t>
  </si>
  <si>
    <t>SB 22287</t>
  </si>
  <si>
    <t>A/2025/PO/000073</t>
  </si>
  <si>
    <t>SB 22286</t>
  </si>
  <si>
    <t>A/2025/PO/000046</t>
  </si>
  <si>
    <t>A/2025/PO/000047</t>
  </si>
  <si>
    <t>A/2025/PO/000048</t>
  </si>
  <si>
    <t>A/2025/PO/000050</t>
  </si>
  <si>
    <t>6Th Wall Production Pvt Ltd-Blr</t>
  </si>
  <si>
    <t>11620  6Th Wall Production Pvt Ltd</t>
  </si>
  <si>
    <t>A/2025/PO/000051</t>
  </si>
  <si>
    <t>Specs Care Audio Visual Pvt Ltd-Mum</t>
  </si>
  <si>
    <t>12434  Specs Care Audio Visual Pvt Ltd</t>
  </si>
  <si>
    <t>A/2025/PO/000052</t>
  </si>
  <si>
    <t>Sajan Power-Mum</t>
  </si>
  <si>
    <t>12360 Sajan Power</t>
  </si>
  <si>
    <t>A/2025/PO/000053</t>
  </si>
  <si>
    <t>Ultimate Source-Mum</t>
  </si>
  <si>
    <t>12568 Ultimate Source</t>
  </si>
  <si>
    <t>A/2025/PO/000054</t>
  </si>
  <si>
    <t>Abdul Shahid Shaikh-Mum</t>
  </si>
  <si>
    <t>10107 Abdul Shahid Shaikh</t>
  </si>
  <si>
    <t>A/2025/PO/000055</t>
  </si>
  <si>
    <t>Vinit Video Vision-Mum</t>
  </si>
  <si>
    <t>10235 Vinit Video Vision</t>
  </si>
  <si>
    <t>A/2025/PO/000056</t>
  </si>
  <si>
    <t>Strategink Solutions Pvt Ltd-Mum</t>
  </si>
  <si>
    <t>12462  Strategink Solutions Pvt Ltd</t>
  </si>
  <si>
    <t>SB 22268</t>
  </si>
  <si>
    <t>A/2025/PO/000057</t>
  </si>
  <si>
    <t>A/2025/PO/000058</t>
  </si>
  <si>
    <t>Creative Konnects-Mum</t>
  </si>
  <si>
    <t>12781 Creative Konnects</t>
  </si>
  <si>
    <t>SB 22298</t>
  </si>
  <si>
    <t>Event Management : Exhibitions</t>
  </si>
  <si>
    <t xml:space="preserve">Ashutosh Sapkal
</t>
  </si>
  <si>
    <t>1138111 Ashutosh Sapkal</t>
  </si>
  <si>
    <t>A/2025/PO/000059</t>
  </si>
  <si>
    <t>Peregrine Guarding Pvt Ltd-Mum</t>
  </si>
  <si>
    <t>12871  Peregrine Guarding Pvt Ltd</t>
  </si>
  <si>
    <t xml:space="preserve">Keval Rajyaguru
</t>
  </si>
  <si>
    <t>1137271 Keval Rajyaguru</t>
  </si>
  <si>
    <t>A/2025/PO/000060</t>
  </si>
  <si>
    <t>Vodafone Idea Ltd-Mum</t>
  </si>
  <si>
    <t>11068  Vodafone Idea Ltd</t>
  </si>
  <si>
    <t>A/2025/PO/000061</t>
  </si>
  <si>
    <t>Mangesh Waghmare -CR</t>
  </si>
  <si>
    <t>A/2025/PO/000062</t>
  </si>
  <si>
    <t>A/2025/PO/000063</t>
  </si>
  <si>
    <t>A/2025/PO/000064</t>
  </si>
  <si>
    <t>A/2025/PO/000065</t>
  </si>
  <si>
    <t>A/2025/PO/000066</t>
  </si>
  <si>
    <t>A/2025/PO/000067</t>
  </si>
  <si>
    <t>A/2025/PO/000070</t>
  </si>
  <si>
    <t>Santosh Bhogal Cash  -CR</t>
  </si>
  <si>
    <t>SB 22262</t>
  </si>
  <si>
    <t>A/2025/PO/000068</t>
  </si>
  <si>
    <t>Recorded Music Performance Ltd-Mum</t>
  </si>
  <si>
    <t>10856  Recorded Music Performance Ltd</t>
  </si>
  <si>
    <t>A/2025/PO/000069</t>
  </si>
  <si>
    <t>A/2025/PO/000071</t>
  </si>
  <si>
    <t>Bappa Creation-Mum</t>
  </si>
  <si>
    <t>12645 Bappa Creation</t>
  </si>
  <si>
    <t>SB 22302</t>
  </si>
  <si>
    <t>A/2025/PO/000072</t>
  </si>
  <si>
    <t>A. J. Creation-Mum</t>
  </si>
  <si>
    <t>A/2025/PO/000074</t>
  </si>
  <si>
    <t>Metro Enterprises (Viral Hirabhai Patel)-Mum</t>
  </si>
  <si>
    <t>12141 Metro Enterprises (Viral Hirabhai Patel)</t>
  </si>
  <si>
    <t>A/2025/PO/000076</t>
  </si>
  <si>
    <t>A/2025/PO/000077</t>
  </si>
  <si>
    <t>Mangesh Waghmare
?</t>
  </si>
  <si>
    <t>A/2025/PO/000079</t>
  </si>
  <si>
    <t>Godaddy.Com,Llc-Mum</t>
  </si>
  <si>
    <t>SB 22289</t>
  </si>
  <si>
    <t>Neetuprakash Poojary</t>
  </si>
  <si>
    <t>D/2025/PO/000111</t>
  </si>
  <si>
    <t>SB 22295</t>
  </si>
  <si>
    <t>Puneet Kumar</t>
  </si>
  <si>
    <t>1044999 Puneet Kumar</t>
  </si>
  <si>
    <t>D/2025/PO/000112</t>
  </si>
  <si>
    <t>Pandey Print Services-Del</t>
  </si>
  <si>
    <t>12236 Pandey Print Services</t>
  </si>
  <si>
    <t>D/2025/PO/000113</t>
  </si>
  <si>
    <t>Konceptz Galore-Del</t>
  </si>
  <si>
    <t>12648 Konceptz Galore</t>
  </si>
  <si>
    <t xml:space="preserve">Hazarat Ansari
</t>
  </si>
  <si>
    <t>1044826 Hazarat Ansari</t>
  </si>
  <si>
    <t>D/2025/PO/000114</t>
  </si>
  <si>
    <t>Society of Indian Automobile Manufacturers-Del</t>
  </si>
  <si>
    <t>11417 Society of Indian Automobile Manufacturers</t>
  </si>
  <si>
    <t>1044844 1044844 Devendra Kumar Kumar</t>
  </si>
  <si>
    <t>Tulika</t>
  </si>
  <si>
    <t>1130515 Tulika Ganguly</t>
  </si>
  <si>
    <t>D/2025/PO/000115</t>
  </si>
  <si>
    <t>A/2025/PO/000080</t>
  </si>
  <si>
    <t>Artiligent Solutions Pvt Ltd-Mum</t>
  </si>
  <si>
    <t>11680  Artiligent Solutions Pvt Ltd</t>
  </si>
  <si>
    <t xml:space="preserve">Shruti Punjani
</t>
  </si>
  <si>
    <t>1144320 Shruti Punjani</t>
  </si>
  <si>
    <t>A/2025/PO/000081</t>
  </si>
  <si>
    <t xml:space="preserve">Justin Francis
</t>
  </si>
  <si>
    <t>1140509 Justin Francis</t>
  </si>
  <si>
    <t>A/2025/PO/000082</t>
  </si>
  <si>
    <t>A/2025/PO/000083</t>
  </si>
  <si>
    <t>Om Screen Art Events-Mum</t>
  </si>
  <si>
    <t>12222 Om Screen Art Events</t>
  </si>
  <si>
    <t xml:space="preserve">Paresh Surve
</t>
  </si>
  <si>
    <t>1044926 Paresh Surve</t>
  </si>
  <si>
    <t>A/2025/PO/000084</t>
  </si>
  <si>
    <t>S T Sound System-Mum</t>
  </si>
  <si>
    <t>11137 S T Sound System</t>
  </si>
  <si>
    <t>A/2025/PO/000085</t>
  </si>
  <si>
    <t>Shiv Shakti Enterprises-Mum</t>
  </si>
  <si>
    <t>11130 Shiv Shakti Enterprises</t>
  </si>
  <si>
    <t>A/2025/PO/000086</t>
  </si>
  <si>
    <t>Videowaves-Mum</t>
  </si>
  <si>
    <t>A/2025/PO/000087</t>
  </si>
  <si>
    <t>A/2025/PO/000088</t>
  </si>
  <si>
    <t>A/2025/PO/000089</t>
  </si>
  <si>
    <t>B/2025/PO/000060</t>
  </si>
  <si>
    <t>Srikruthi C S-Blr</t>
  </si>
  <si>
    <t>12938 Srikruthi C S</t>
  </si>
  <si>
    <t xml:space="preserve">Libreta Dmello
</t>
  </si>
  <si>
    <t>1125215 Libreta D'mello</t>
  </si>
  <si>
    <t>B/2025/PO/000062</t>
  </si>
  <si>
    <t>Neha Khemka  -CR</t>
  </si>
  <si>
    <t>B/2025/PO/000061</t>
  </si>
  <si>
    <t>SB 22304</t>
  </si>
  <si>
    <t>COMPUTER HIRE CHARGES - EVENTS</t>
  </si>
  <si>
    <t>Computer Hire Charges - Events</t>
  </si>
  <si>
    <t xml:space="preserve">Sikandar Shaikh
</t>
  </si>
  <si>
    <t>1044848 Sikandar Shaikh</t>
  </si>
  <si>
    <t>B/2025/PO/000063</t>
  </si>
  <si>
    <t>SB 22293</t>
  </si>
  <si>
    <t>C/2025/PO/000015</t>
  </si>
  <si>
    <t>Atat Events And Entertainment Pvt Ltd-Che</t>
  </si>
  <si>
    <t>11689  Atat Events And Entertainment Pvt Ltd</t>
  </si>
  <si>
    <t>D/2025/PO/000116</t>
  </si>
  <si>
    <t>D/2025/PO/000117</t>
  </si>
  <si>
    <t>Unveil Solutions Pvt Ltd-Del</t>
  </si>
  <si>
    <t>11472  Unveil Solutions Pvt Ltd</t>
  </si>
  <si>
    <t>D/2025/PO/000118</t>
  </si>
  <si>
    <t>D/2025/PO/000119</t>
  </si>
  <si>
    <t>Cockpitmarx -Del</t>
  </si>
  <si>
    <t>SB 22281</t>
  </si>
  <si>
    <t xml:space="preserve">Paulraj S
</t>
  </si>
  <si>
    <t>1044852 Paulraj S</t>
  </si>
  <si>
    <t>D/2025/PO/000120</t>
  </si>
  <si>
    <t>Anchor Connect-Del</t>
  </si>
  <si>
    <t>10532 Anchor Connect</t>
  </si>
  <si>
    <t>PARVESH</t>
  </si>
  <si>
    <t>D/2025/PO/000121</t>
  </si>
  <si>
    <t>Zpay Solutions Private Limited-Del</t>
  </si>
  <si>
    <t>Kundan Badiwal</t>
  </si>
  <si>
    <t>1044819 Kundan Badiwal</t>
  </si>
  <si>
    <t>D/2025/PO/000122</t>
  </si>
  <si>
    <t>HARSHIT</t>
  </si>
  <si>
    <t>D/2025/PO/000123</t>
  </si>
  <si>
    <t>Pankaj Lohini-Del</t>
  </si>
  <si>
    <t>12876 Pankaj Lohini</t>
  </si>
  <si>
    <t>Pankaj Lohini</t>
  </si>
  <si>
    <t>D/2025/PO/000124</t>
  </si>
  <si>
    <t>Kanupriya Aggarwal  -CR</t>
  </si>
  <si>
    <t>Kanupriya</t>
  </si>
  <si>
    <t>1130743 Kanupriya Aggarwal</t>
  </si>
  <si>
    <t>D/2025/PO/000125</t>
  </si>
  <si>
    <t>D/2025/PO/000126</t>
  </si>
  <si>
    <t>Pankaj Kumar Mishra  -CR</t>
  </si>
  <si>
    <t>A/2025/PO/Gen/0004</t>
  </si>
  <si>
    <t>Genesis Infoserve Pvt Ltd-Mum</t>
  </si>
  <si>
    <t>11944  Genesis Infoserve Pvt Ltd</t>
  </si>
  <si>
    <t>Licence Fees</t>
  </si>
  <si>
    <t>A/2025/PO/000105</t>
  </si>
  <si>
    <t>Nikhita Vora  -CR</t>
  </si>
  <si>
    <t>A/2025/PO/000090</t>
  </si>
  <si>
    <t>PRAVESH</t>
  </si>
  <si>
    <t>A/2025/PO/000091</t>
  </si>
  <si>
    <t>A/2025/PO/000092</t>
  </si>
  <si>
    <t>A/2025/PO/000093</t>
  </si>
  <si>
    <t>A/2025/PO/000094</t>
  </si>
  <si>
    <t>A/2025/PO/000095</t>
  </si>
  <si>
    <t>The Chocolate Spoon Company Pvt Ltd-Mum</t>
  </si>
  <si>
    <t>12508  The Chocolate Spoon Company Pvt Ltd</t>
  </si>
  <si>
    <t>A/2025/PO/000096</t>
  </si>
  <si>
    <t>B K T Interior And Exhibition-Mum</t>
  </si>
  <si>
    <t>10023 B K T Interior And Exhibition</t>
  </si>
  <si>
    <t>SB 22310</t>
  </si>
  <si>
    <t>A/2025/PO/000103</t>
  </si>
  <si>
    <t>Nitin Kamble  -CR</t>
  </si>
  <si>
    <t>A/2025/PO/000101</t>
  </si>
  <si>
    <t>Sachin Jadhav -CR</t>
  </si>
  <si>
    <t>A/2025/PO/000100</t>
  </si>
  <si>
    <t>Suresh Pardhle  -CR</t>
  </si>
  <si>
    <t>TRANSPORT EXPENSES - EVENTS (DE)</t>
  </si>
  <si>
    <t>TransportExpenses</t>
  </si>
  <si>
    <t>A/2025/PO/000099</t>
  </si>
  <si>
    <t>A/2025/PO/000098</t>
  </si>
  <si>
    <t>A/2025/PO/000097</t>
  </si>
  <si>
    <t>Alok Khana</t>
  </si>
  <si>
    <t>A/2025/PO/000102</t>
  </si>
  <si>
    <t>Namala David-Mum</t>
  </si>
  <si>
    <t>10184 Namala David</t>
  </si>
  <si>
    <t>A/2025/PO/000104</t>
  </si>
  <si>
    <t>A/2025/PO/000106</t>
  </si>
  <si>
    <t>Events Power-Mum</t>
  </si>
  <si>
    <t>11895 Events Power</t>
  </si>
  <si>
    <t>A/2025/PO/000108</t>
  </si>
  <si>
    <t>A/2025/PO/000109</t>
  </si>
  <si>
    <t>A/2025/PO/000110</t>
  </si>
  <si>
    <t>Grrowwide Business Advisors Pvt Ltd-Mum</t>
  </si>
  <si>
    <t>11975  Grrowwide Business Advisors Pvt Ltd</t>
  </si>
  <si>
    <t>SOHAN DAREKAR</t>
  </si>
  <si>
    <t>B/2025/PO/000064</t>
  </si>
  <si>
    <t>Sri Gangothri Video-Blr</t>
  </si>
  <si>
    <t>12443 Sri Gangothri Video</t>
  </si>
  <si>
    <t>B/2025/PO/000065</t>
  </si>
  <si>
    <t>Mass Vision-Blr</t>
  </si>
  <si>
    <t>12126 Mass Vision</t>
  </si>
  <si>
    <t>B/2025/PO/000066</t>
  </si>
  <si>
    <t>B/2025/PO/000067</t>
  </si>
  <si>
    <t>Skypillars Manpower Agency-Blr</t>
  </si>
  <si>
    <t>12418 Skypillars Manpower Agency</t>
  </si>
  <si>
    <t>B/2025/PO/000068</t>
  </si>
  <si>
    <t>Thinking Brahma-Blr</t>
  </si>
  <si>
    <t>12537 Thinking Brahma</t>
  </si>
  <si>
    <t>B/2025/PO/000069</t>
  </si>
  <si>
    <t>B/2025/PO/000070</t>
  </si>
  <si>
    <t>Kolorkode-Blr</t>
  </si>
  <si>
    <t>B/2025/PO/000071</t>
  </si>
  <si>
    <t>ID Factory (OPC) Pvt Ltd-Blr</t>
  </si>
  <si>
    <t>12008  ID Factory (OPC) Pvt Ltd</t>
  </si>
  <si>
    <t>B/2025/PO/000072</t>
  </si>
  <si>
    <t>CGST Input for KT @ 2.5%</t>
  </si>
  <si>
    <t>D/2025/PO/000127</t>
  </si>
  <si>
    <t>21Fools Design &amp; Entertainment Pvt Ltd-Del</t>
  </si>
  <si>
    <t>11613  21Fools Design &amp; Entertainment Pvt Ltd</t>
  </si>
  <si>
    <t>SB 22297</t>
  </si>
  <si>
    <t>Ananya Mall</t>
  </si>
  <si>
    <t>1137304 Ananya Mall</t>
  </si>
  <si>
    <t>D/2025/PO/000128</t>
  </si>
  <si>
    <t>Modi Graphics-Del</t>
  </si>
  <si>
    <t>12164 Modi Graphics</t>
  </si>
  <si>
    <t>Amarpreet</t>
  </si>
  <si>
    <t>D/2025/PO/000129</t>
  </si>
  <si>
    <t>Epicurean Hospitality Services Pvt Ltd-Del</t>
  </si>
  <si>
    <t>11877  Epicurean Hospitality Services Pvt Ltd</t>
  </si>
  <si>
    <t>Virender Singh</t>
  </si>
  <si>
    <t>1138600 Virender Singh</t>
  </si>
  <si>
    <t>D/2025/PO/000130</t>
  </si>
  <si>
    <t>ITC Maurya New Delhi (ITC Hotels Ltd)-Del</t>
  </si>
  <si>
    <t>12872  ITC Maurya New Delhi (ITC Hotels Ltd)</t>
  </si>
  <si>
    <t>Virender</t>
  </si>
  <si>
    <t>D/2025/PO/000131</t>
  </si>
  <si>
    <t>Nock Time Service-Seema Kumari-Del</t>
  </si>
  <si>
    <t>SB 22309</t>
  </si>
  <si>
    <t>D/2025/PO/000132</t>
  </si>
  <si>
    <t>SB 22316</t>
  </si>
  <si>
    <t>D/2025/PO/000133</t>
  </si>
  <si>
    <t>A/2025/PO/000107</t>
  </si>
  <si>
    <t>Junobo Hotels Pvt Ltd-Mum</t>
  </si>
  <si>
    <t>12883  Junobo Hotels Pvt Ltd</t>
  </si>
  <si>
    <t>B/2025/PO/000073</t>
  </si>
  <si>
    <t>Gifting Plans-Blr</t>
  </si>
  <si>
    <t>11950 Gifting Plans</t>
  </si>
  <si>
    <t>SB 22301</t>
  </si>
  <si>
    <t>Ashwini D</t>
  </si>
  <si>
    <t>1135023 Ashwini D</t>
  </si>
  <si>
    <t>B/2025/PO/000074</t>
  </si>
  <si>
    <t>Reventus-Blr</t>
  </si>
  <si>
    <t>SB 22313</t>
  </si>
  <si>
    <t>B/2025/PO/000075</t>
  </si>
  <si>
    <t>Anurama V  -CR</t>
  </si>
  <si>
    <t>B/2025/PO/000076</t>
  </si>
  <si>
    <t>Megha Mittal -CR</t>
  </si>
  <si>
    <t>B/2025/PO/000077</t>
  </si>
  <si>
    <t>B/2025/PO/000078</t>
  </si>
  <si>
    <t>B/2025/PO/000079</t>
  </si>
  <si>
    <t>Farhan Shariff  -CR</t>
  </si>
  <si>
    <t>C/2025/PO/000016</t>
  </si>
  <si>
    <t>Eco Prints-Che</t>
  </si>
  <si>
    <t>11857 Eco Prints</t>
  </si>
  <si>
    <t xml:space="preserve">Brijesh CL
</t>
  </si>
  <si>
    <t>C/2025/PO/000017</t>
  </si>
  <si>
    <t>Neet (M) Fabricators-Che</t>
  </si>
  <si>
    <t>11044 Neet (M) Fabricators</t>
  </si>
  <si>
    <t>SB 22288</t>
  </si>
  <si>
    <t>C/2025/PO/000018</t>
  </si>
  <si>
    <t>C/2025/PO/000019</t>
  </si>
  <si>
    <t>C/2025/PO/000020</t>
  </si>
  <si>
    <t>D/2025/PO/000134</t>
  </si>
  <si>
    <t>Creo Solutions-Del</t>
  </si>
  <si>
    <t>11805 Creo Solutions</t>
  </si>
  <si>
    <t>D/2025/PO/000135</t>
  </si>
  <si>
    <t>Ravi Kiroula -CR</t>
  </si>
  <si>
    <t>D/2025/PO/000136</t>
  </si>
  <si>
    <t>D/2025/PO/000137</t>
  </si>
  <si>
    <t>D/2025/PO/000138</t>
  </si>
  <si>
    <t>D/2025/PO/000139</t>
  </si>
  <si>
    <t>Anurag Jadli</t>
  </si>
  <si>
    <t>D/2025/PO/000140</t>
  </si>
  <si>
    <t>Office Expenses (Misc)</t>
  </si>
  <si>
    <t>Pankaj Kumar Mishra</t>
  </si>
  <si>
    <t>D/2025/PO/000141</t>
  </si>
  <si>
    <t>Ravi Kothari</t>
  </si>
  <si>
    <t>1138541 Ravi Kothari</t>
  </si>
  <si>
    <t>D/2025/PO/000142</t>
  </si>
  <si>
    <t>SB 22315</t>
  </si>
  <si>
    <t>Deepika</t>
  </si>
  <si>
    <t>1119577 Deepika Sharma</t>
  </si>
  <si>
    <t>D/2025/PO/000143</t>
  </si>
  <si>
    <t>Deepika Sharma</t>
  </si>
  <si>
    <t>D/2025/PO/000144</t>
  </si>
  <si>
    <t>Perfect M &amp; C Services-Del</t>
  </si>
  <si>
    <t>12247 Perfect M &amp; C Services</t>
  </si>
  <si>
    <t>VENUE COST AND F &amp; B</t>
  </si>
  <si>
    <t>Venue Cost and F &amp; B</t>
  </si>
  <si>
    <t>D/2025/PO/000145</t>
  </si>
  <si>
    <t>Eventom-Del</t>
  </si>
  <si>
    <t>SB 22312</t>
  </si>
  <si>
    <t>Jatin Arora</t>
  </si>
  <si>
    <t>1142486 Jatin Arora</t>
  </si>
  <si>
    <t>D/2025/PO/000146</t>
  </si>
  <si>
    <t>JRS Creations &amp; Event Solutions (OPC) Pvt Ltd-Del</t>
  </si>
  <si>
    <t>12061  JRS Creations &amp; Event Solutions (OPC) Pvt Ltd</t>
  </si>
  <si>
    <t>Bharat Sharma</t>
  </si>
  <si>
    <t>1142458 Bharat Sharma</t>
  </si>
  <si>
    <t>D/2025/PO/000147</t>
  </si>
  <si>
    <t>Chandan Kumar-Del</t>
  </si>
  <si>
    <t>11186 Chandan Kumar</t>
  </si>
  <si>
    <t>D/2025/PO/000148</t>
  </si>
  <si>
    <t>Phd Print Solution-Del</t>
  </si>
  <si>
    <t>12253 PHD Print Solution</t>
  </si>
  <si>
    <t>Pankaj Mishra</t>
  </si>
  <si>
    <t>A/2025/PO/000134</t>
  </si>
  <si>
    <t>A/2025/PO/000133</t>
  </si>
  <si>
    <t>SB 22296</t>
  </si>
  <si>
    <t>A/2025/PO/000129</t>
  </si>
  <si>
    <t>A/2025/PO/000128</t>
  </si>
  <si>
    <t>A/2025/PO/000127</t>
  </si>
  <si>
    <t>A/2025/PO/000126</t>
  </si>
  <si>
    <t>A/2025/PO/000125</t>
  </si>
  <si>
    <t>Padmakar Jadhav -CR</t>
  </si>
  <si>
    <t>A/2025/PO/000124</t>
  </si>
  <si>
    <t>A/2025/PO/000123</t>
  </si>
  <si>
    <t>PARESH SURVE ADV FOR EXPENCES-CR</t>
  </si>
  <si>
    <t>A/2025/PO/000122</t>
  </si>
  <si>
    <t>A/2025/PO/000121</t>
  </si>
  <si>
    <t>Hemanshu Sawant  -CR</t>
  </si>
  <si>
    <t>A/2025/PO/000120</t>
  </si>
  <si>
    <t>A/2025/PO/000119</t>
  </si>
  <si>
    <t>A/2025/PO/000118</t>
  </si>
  <si>
    <t>Sanjay Kathale Cash -CR</t>
  </si>
  <si>
    <t>A/2025/PO/000117</t>
  </si>
  <si>
    <t>A/2025/PO/000116</t>
  </si>
  <si>
    <t>A/2025/PO/000115</t>
  </si>
  <si>
    <t>A/2025/PO/000114</t>
  </si>
  <si>
    <t>A/2025/PO/000111</t>
  </si>
  <si>
    <t>Victoria SA (ASIT Travel Agency)-Mum</t>
  </si>
  <si>
    <t>12889 Victoria SA (ASIT Travel Agency)</t>
  </si>
  <si>
    <t>Event Exp/others-Foriegn Remittance</t>
  </si>
  <si>
    <t>A/2025/PO/000112</t>
  </si>
  <si>
    <t>A/2025/PO/000113</t>
  </si>
  <si>
    <t>A/2025/PO/000130</t>
  </si>
  <si>
    <t>Pyramid Production-Mum</t>
  </si>
  <si>
    <t>12299 Pyramid Production</t>
  </si>
  <si>
    <t xml:space="preserve">Sumit Sangle
</t>
  </si>
  <si>
    <t>1136203 Sumit Sangle</t>
  </si>
  <si>
    <t>A/2025/PO/000131</t>
  </si>
  <si>
    <t>Digicraft-Mum</t>
  </si>
  <si>
    <t>A/2025/PO/000132</t>
  </si>
  <si>
    <t>B/2025/PO/000080</t>
  </si>
  <si>
    <t>Megascule-Blr</t>
  </si>
  <si>
    <t>SB 22317</t>
  </si>
  <si>
    <t>B/2025/PO/000081</t>
  </si>
  <si>
    <t>Conrad Bengaluru (Prestige Hospitality Ventures Ltd)-Blr</t>
  </si>
  <si>
    <t>10261  Conrad Bengaluru (Prestige Hospitality Ventures Ltd)</t>
  </si>
  <si>
    <t>SB 22318</t>
  </si>
  <si>
    <t>Venue Booking Charges Events</t>
  </si>
  <si>
    <t>Venue Booking Charges - Events</t>
  </si>
  <si>
    <t>Alok</t>
  </si>
  <si>
    <t>B/2025/PO/000082</t>
  </si>
  <si>
    <t>Shads Events And Networks-Blr</t>
  </si>
  <si>
    <t>11399 Shads Events And Networks</t>
  </si>
  <si>
    <t>B/2025/PO/000083</t>
  </si>
  <si>
    <t>1144749 Pooja S</t>
  </si>
  <si>
    <t>B/2025/PO/000085</t>
  </si>
  <si>
    <t>B/2025/PO/000084</t>
  </si>
  <si>
    <t>Dev Enterprises-Blr</t>
  </si>
  <si>
    <t>11823 Dev Enterprises</t>
  </si>
  <si>
    <t>B/2025/PO/000087</t>
  </si>
  <si>
    <t>C/2025/PO/000021</t>
  </si>
  <si>
    <t>SB 22319</t>
  </si>
  <si>
    <t>C/2025/PO/000022</t>
  </si>
  <si>
    <t>Nikhil Sharma</t>
  </si>
  <si>
    <t>D/2025/PO/000149</t>
  </si>
  <si>
    <t>Dell International Services India Pvt Ltd (CR)-Mum</t>
  </si>
  <si>
    <t>D/2025/PO/000150</t>
  </si>
  <si>
    <t>Bird Airport Hotel Pvt Ltd (Roseate Hotels &amp; Resorts)-Del</t>
  </si>
  <si>
    <t>10251  Bird Airport Hotel Pvt Ltd (Roseate Hotels &amp; Resorts)</t>
  </si>
  <si>
    <t>D/2025/PO/000151</t>
  </si>
  <si>
    <t>Alok Khanna  -CR</t>
  </si>
  <si>
    <t>10526 Alok Khanna</t>
  </si>
  <si>
    <t>D/2025/PO/000152</t>
  </si>
  <si>
    <t>Parvesh Mahalwal............... -CR</t>
  </si>
  <si>
    <t>D/2025/PO/000153</t>
  </si>
  <si>
    <t>Black Pearl Production Pvt Ltd-Del</t>
  </si>
  <si>
    <t>11734  Black Pearl Production Pvt Ltd</t>
  </si>
  <si>
    <t>D/2025/PO/000154</t>
  </si>
  <si>
    <t>A/2025/PO/Gen/0005</t>
  </si>
  <si>
    <t>Laptop(P)</t>
  </si>
  <si>
    <t>A/2025/PO/000135</t>
  </si>
  <si>
    <t>The Ritz-Carlton, Pune (Panchshil Corporate Park Pvt Ltd)-Mum</t>
  </si>
  <si>
    <t>A/2025/PO/000136</t>
  </si>
  <si>
    <t>SB 22320</t>
  </si>
  <si>
    <t>A/2025/PO/000137</t>
  </si>
  <si>
    <t>Pradeep Golak Das -Doodle Art-Mum</t>
  </si>
  <si>
    <t>A/2025/PO/000138</t>
  </si>
  <si>
    <t>Pro MFG Media Pvt Ltd-Mum</t>
  </si>
  <si>
    <t>12890  Pro MFG Media Pvt Ltd</t>
  </si>
  <si>
    <t>B/2025/PO/000086</t>
  </si>
  <si>
    <t>Duxmedia LLP-Blr</t>
  </si>
  <si>
    <t>11852 Duxmedia LLP</t>
  </si>
  <si>
    <t>TRIBHUVAN KAPOOR</t>
  </si>
  <si>
    <t>B/2025/PO/000088</t>
  </si>
  <si>
    <t>Vinayaka Wooden Die Makers-Blr</t>
  </si>
  <si>
    <t>11479 Vinayaka Wooden Die Makers</t>
  </si>
  <si>
    <t>B/2025/PO/000089</t>
  </si>
  <si>
    <t>Prismscale Pvt Ltd-Blr</t>
  </si>
  <si>
    <t>12869  Prismscale Pvt Ltd</t>
  </si>
  <si>
    <t>B/2025/PO/000090</t>
  </si>
  <si>
    <t>The Park Bangalore-Blr</t>
  </si>
  <si>
    <t>10458  The Park Bangalore</t>
  </si>
  <si>
    <t>B/2025/PO/000091</t>
  </si>
  <si>
    <t>B/2025/PO/000092</t>
  </si>
  <si>
    <t>Vsquare Corporate Services-Blr</t>
  </si>
  <si>
    <t>11058 Vsquare Corporate Services</t>
  </si>
  <si>
    <t xml:space="preserve">Abdul Rehman
</t>
  </si>
  <si>
    <t>B/2025/PO/000093</t>
  </si>
  <si>
    <t>B/2025/PO/000094</t>
  </si>
  <si>
    <t>B/2025/PO/000095</t>
  </si>
  <si>
    <t>B/2025/PO/000096</t>
  </si>
  <si>
    <t>Tarun Solutions-Blr</t>
  </si>
  <si>
    <t>10097 Tarun Solutions</t>
  </si>
  <si>
    <t>B/2025/PO/000097</t>
  </si>
  <si>
    <t>Tijo Joseph -CR</t>
  </si>
  <si>
    <t>B/2025/PO/000098</t>
  </si>
  <si>
    <t>1115173 Nagaraju R R -CR</t>
  </si>
  <si>
    <t>B/2025/PO/000099</t>
  </si>
  <si>
    <t>Safex Fire Services Ltd-Blr</t>
  </si>
  <si>
    <t>12354  Safex Fire Services Ltd</t>
  </si>
  <si>
    <t>Asset Maintainance Charges</t>
  </si>
  <si>
    <t>B/2025/PO/000100</t>
  </si>
  <si>
    <t>Stepone Office Stationers-Blr</t>
  </si>
  <si>
    <t>12459 Stepone Office Stationers</t>
  </si>
  <si>
    <t>B/2025/PO/000101</t>
  </si>
  <si>
    <t>Megha Mittal</t>
  </si>
  <si>
    <t>1044841 Megha Mittal</t>
  </si>
  <si>
    <t>B/2025/PO/000102</t>
  </si>
  <si>
    <t>B/2025/PO/000103</t>
  </si>
  <si>
    <t>B/2025/PO/000104</t>
  </si>
  <si>
    <t>Plate Project Hospitality LLP (OTV)-Blr</t>
  </si>
  <si>
    <t>12908 Plate Project Hospitality LLP (OTV)</t>
  </si>
  <si>
    <t>Neha Khemka</t>
  </si>
  <si>
    <t>1142365 Neha Khemka</t>
  </si>
  <si>
    <t>B/2025/PO/000105</t>
  </si>
  <si>
    <t xml:space="preserve">Thirtha Patil  -CR
</t>
  </si>
  <si>
    <t>B/2025/PO/000106</t>
  </si>
  <si>
    <t>B/2025/PO/000107</t>
  </si>
  <si>
    <t>Farhan Shariff</t>
  </si>
  <si>
    <t>1135929 Farhan Shariff</t>
  </si>
  <si>
    <t>D/2025/PO/000155</t>
  </si>
  <si>
    <t>D/2025/PO/000156</t>
  </si>
  <si>
    <t>Manya Chitkara-Del</t>
  </si>
  <si>
    <t>12891 Manya Chitkara</t>
  </si>
  <si>
    <t>TULIKA</t>
  </si>
  <si>
    <t>D/2025/PO/000157</t>
  </si>
  <si>
    <t>Anjali Malhotra-Del</t>
  </si>
  <si>
    <t>10534 Anjali Malhotra</t>
  </si>
  <si>
    <t>Shruti</t>
  </si>
  <si>
    <t>D/2025/PO/000158</t>
  </si>
  <si>
    <t>D/2025/PO/000159</t>
  </si>
  <si>
    <t>D/2025/PO/000160</t>
  </si>
  <si>
    <t>VARUN</t>
  </si>
  <si>
    <t>A/2025/PO/000139</t>
  </si>
  <si>
    <t>SB 22314</t>
  </si>
  <si>
    <t>A/2025/PO/000140</t>
  </si>
  <si>
    <t>A/2025/PO/000141</t>
  </si>
  <si>
    <t>Success Promos &amp; Events Pvt Ltd-Mum</t>
  </si>
  <si>
    <t>12469  Success Promos &amp; Events Pvt Ltd</t>
  </si>
  <si>
    <t>A/2025/PO/000142</t>
  </si>
  <si>
    <t>A/2025/PO/000143</t>
  </si>
  <si>
    <t xml:space="preserve">Rushabh Upadhyay
</t>
  </si>
  <si>
    <t>1137769 Rushabh Upadhyay</t>
  </si>
  <si>
    <t>A/2025/PO/000144</t>
  </si>
  <si>
    <t>C/2025/PO/000023</t>
  </si>
  <si>
    <t>H V Communication Pvt Ltd-Del</t>
  </si>
  <si>
    <t>Paulraj</t>
  </si>
  <si>
    <t>IGST Input for TN (DT) 18%</t>
  </si>
  <si>
    <t>D/2025/PO/000161</t>
  </si>
  <si>
    <t xml:space="preserve">Clinton Jesuraja
</t>
  </si>
  <si>
    <t>D/2025/PO/000162</t>
  </si>
  <si>
    <t>D/2025/PO/000163</t>
  </si>
  <si>
    <t>A/2025/PO/000145</t>
  </si>
  <si>
    <t>A/2025/PO/000146</t>
  </si>
  <si>
    <t>A/2025/PO/000147</t>
  </si>
  <si>
    <t>A/2025/PO/000148</t>
  </si>
  <si>
    <t>B/2025/PO/000108</t>
  </si>
  <si>
    <t>B/2025/PO/000109</t>
  </si>
  <si>
    <t>SB 22306</t>
  </si>
  <si>
    <t>VIRENDER</t>
  </si>
  <si>
    <t>C/2025/PO/000024</t>
  </si>
  <si>
    <t>Crystal Event &amp; Service-Che</t>
  </si>
  <si>
    <t>11809 Crystal Event &amp; Service</t>
  </si>
  <si>
    <t>D/2025/PO/000164</t>
  </si>
  <si>
    <t>D/2025/PO/000165</t>
  </si>
  <si>
    <t>Kalu</t>
  </si>
  <si>
    <t>1045055 Kalu Haldar</t>
  </si>
  <si>
    <t>D/2025/PO/000166</t>
  </si>
  <si>
    <t>GAURAV</t>
  </si>
  <si>
    <t>D/2025/PO/000167</t>
  </si>
  <si>
    <t>Chawla Movies-Del</t>
  </si>
  <si>
    <t>11762 Chawla Movies</t>
  </si>
  <si>
    <t>D/2025/PO/000168</t>
  </si>
  <si>
    <t>Prashant Vaishnav (Cr)-Del</t>
  </si>
  <si>
    <t>12712 Prashant Vaishnav (Cr)</t>
  </si>
  <si>
    <t>A/2025/PO/Gen/0006</t>
  </si>
  <si>
    <t xml:space="preserve">Hazarat
</t>
  </si>
  <si>
    <t>A/2025/PO/000171</t>
  </si>
  <si>
    <t>A/2025/PO/000165</t>
  </si>
  <si>
    <t>Vishal Vasani  -CR</t>
  </si>
  <si>
    <t>A/2025/PO/000164</t>
  </si>
  <si>
    <t>SB 22300</t>
  </si>
  <si>
    <t>A/2025/PO/000149</t>
  </si>
  <si>
    <t>KG Movie-Mum</t>
  </si>
  <si>
    <t>12076 KG Movie</t>
  </si>
  <si>
    <t>A/2025/PO/000150</t>
  </si>
  <si>
    <t>A/2025/PO/000151</t>
  </si>
  <si>
    <t>V.J. Productions-Mum</t>
  </si>
  <si>
    <t>A/2025/PO/000154</t>
  </si>
  <si>
    <t>A/2025/PO/000153</t>
  </si>
  <si>
    <t>A/2025/PO/000163</t>
  </si>
  <si>
    <t>A/2025/PO/000161</t>
  </si>
  <si>
    <t>Mohammad Danish  -CR</t>
  </si>
  <si>
    <t>10757 Mohammad Danish</t>
  </si>
  <si>
    <t>A/2025/PO/000159</t>
  </si>
  <si>
    <t>A/2025/PO/000158</t>
  </si>
  <si>
    <t>A/2025/PO/000156</t>
  </si>
  <si>
    <t>Rajesh Singh -CR</t>
  </si>
  <si>
    <t>A/2025/PO/000155</t>
  </si>
  <si>
    <t>Rushabh Vimlesh Upadhyay  -CR</t>
  </si>
  <si>
    <t>A/2025/PO/000152</t>
  </si>
  <si>
    <t>A/2025/PO/000157</t>
  </si>
  <si>
    <t>A/2025/PO/000160</t>
  </si>
  <si>
    <t>A/2025/PO/000162</t>
  </si>
  <si>
    <t>A/2025/PO/000166</t>
  </si>
  <si>
    <t>Poppy Jabbal-Mum</t>
  </si>
  <si>
    <t>12896 Poppy Jabbal</t>
  </si>
  <si>
    <t>A/2025/PO/000167</t>
  </si>
  <si>
    <t>A/2025/PO/000168</t>
  </si>
  <si>
    <t>ITC Narmada Ahmedabad (ITC Hotels Ltd)-Mum</t>
  </si>
  <si>
    <t>12892  ITC Narmada Ahmedabad (ITC Hotels Ltd)</t>
  </si>
  <si>
    <t xml:space="preserve">SUPRIYA NAIK
</t>
  </si>
  <si>
    <t>1127925 Supriya Naik</t>
  </si>
  <si>
    <t>A/2025/PO/000169</t>
  </si>
  <si>
    <t>SB 22115</t>
  </si>
  <si>
    <t>A/2025/PO/000170</t>
  </si>
  <si>
    <t>B/2025/PO/000110</t>
  </si>
  <si>
    <t>A V Links-Blr</t>
  </si>
  <si>
    <t>11083 A V Links</t>
  </si>
  <si>
    <t>B/2025/PO/000111</t>
  </si>
  <si>
    <t>B/2025/PO/000112</t>
  </si>
  <si>
    <t>Nariandkage Pvt Ltd-Blr</t>
  </si>
  <si>
    <t>12907  Nariandkage Pvt Ltd</t>
  </si>
  <si>
    <t>Arun Kumar</t>
  </si>
  <si>
    <t>B/2025/PO/000113</t>
  </si>
  <si>
    <t>A S Production-Blr</t>
  </si>
  <si>
    <t>11022 A S Production</t>
  </si>
  <si>
    <t>B/2025/PO/000114</t>
  </si>
  <si>
    <t>B/2025/PO/000115</t>
  </si>
  <si>
    <t>Reverb Sound And Light Studio-Blr</t>
  </si>
  <si>
    <t>11379 Reverb Sound And Light Studio</t>
  </si>
  <si>
    <t>B/2025/PO/000116</t>
  </si>
  <si>
    <t>Bison Wilderness Resorts Pvt Ltd (OTV)-Blr</t>
  </si>
  <si>
    <t>12906  Bison Wilderness Resorts Pvt Ltd (OTV)</t>
  </si>
  <si>
    <t>SB 22322</t>
  </si>
  <si>
    <t>Rahul</t>
  </si>
  <si>
    <t>B/2025/PO/000117</t>
  </si>
  <si>
    <t>B/2025/PO/000118</t>
  </si>
  <si>
    <t>B/2025/PO/000119</t>
  </si>
  <si>
    <t>C/2025/PO/000025</t>
  </si>
  <si>
    <t>C/2025/PO/000026</t>
  </si>
  <si>
    <t>D/2025/PO/000169</t>
  </si>
  <si>
    <t>Silvercrest Events &amp; Promotions Pvt Ltd-Del</t>
  </si>
  <si>
    <t>12411  Silvercrest Events &amp; Promotions Pvt Ltd</t>
  </si>
  <si>
    <t xml:space="preserve">Harsh Mudliyar
</t>
  </si>
  <si>
    <t>1123621 Harsh Mudliyar</t>
  </si>
  <si>
    <t>D/2025/PO/000170</t>
  </si>
  <si>
    <t>Mohd.Waris.....-CR</t>
  </si>
  <si>
    <t>Mohd Waris</t>
  </si>
  <si>
    <t>D/2025/PO/000171</t>
  </si>
  <si>
    <t>99 Online-Del</t>
  </si>
  <si>
    <t>11623 99 Online</t>
  </si>
  <si>
    <t>D/2025/PO/000172</t>
  </si>
  <si>
    <t>D/2025/PO/000173</t>
  </si>
  <si>
    <t>D/2025/PO/000174</t>
  </si>
  <si>
    <t>SB 22257</t>
  </si>
  <si>
    <t>D/2025/PO/000175</t>
  </si>
  <si>
    <t>Milovo (Anuradha Khilnani)-Del</t>
  </si>
  <si>
    <t>12150 Milovo (Anuradha Khilnani)</t>
  </si>
  <si>
    <t>Raghav</t>
  </si>
  <si>
    <t>D/2025/PO/000176</t>
  </si>
  <si>
    <t>D/2025/PO/000177</t>
  </si>
  <si>
    <t>Virender Singh  -CR</t>
  </si>
  <si>
    <t>A/2025/PO/000172</t>
  </si>
  <si>
    <t>Ashutosh Darekar -CR</t>
  </si>
  <si>
    <t>A/2025/PO/000173</t>
  </si>
  <si>
    <t>Supriya Naik  -CR</t>
  </si>
  <si>
    <t>A/2025/PO/000174</t>
  </si>
  <si>
    <t>Gulfaam Shaikh  -CR</t>
  </si>
  <si>
    <t>A/2025/PO/000175</t>
  </si>
  <si>
    <t>Front Of House-Mum</t>
  </si>
  <si>
    <t>11935 Front Of House</t>
  </si>
  <si>
    <t>A/2025/PO/000176</t>
  </si>
  <si>
    <t>Alliance International Tours &amp; Travels-Mum</t>
  </si>
  <si>
    <t>11656 Alliance International Tours &amp; Travels</t>
  </si>
  <si>
    <t>Sarita Stokes</t>
  </si>
  <si>
    <t>1044808 Sarita Stokes</t>
  </si>
  <si>
    <t>A/2025/PO/000177</t>
  </si>
  <si>
    <t>Chetan Handa  -CR</t>
  </si>
  <si>
    <t>SB 22324</t>
  </si>
  <si>
    <t>A/2025/PO/000178</t>
  </si>
  <si>
    <t>A/2025/PO/000179</t>
  </si>
  <si>
    <t>Colour N Chill (Pranali Patel)-Mum</t>
  </si>
  <si>
    <t>10593 Colour N Chill (Pranali Patel)</t>
  </si>
  <si>
    <t>A/2025/PO/000180</t>
  </si>
  <si>
    <t>Mohammed Saqib Ansari-Mum</t>
  </si>
  <si>
    <t>12708 Mohammed Saqib Ansari</t>
  </si>
  <si>
    <t>A/2025/PO/000181</t>
  </si>
  <si>
    <t>Mirah Hospitality &amp; Gourmet Solutions Pvt Ltd-Mum</t>
  </si>
  <si>
    <t>10372  Mirah Hospitality &amp; Gourmet Solutions Pvt Ltd</t>
  </si>
  <si>
    <t>SB 22330</t>
  </si>
  <si>
    <t>ALOK</t>
  </si>
  <si>
    <t>A/2025/PO/000182</t>
  </si>
  <si>
    <t>A/2025/PO/000183</t>
  </si>
  <si>
    <t>Shivam Logistics-Mum</t>
  </si>
  <si>
    <t>12391 Shivam Logistics</t>
  </si>
  <si>
    <t>C/2025/PO/000027</t>
  </si>
  <si>
    <t>C/2025/PO/000028</t>
  </si>
  <si>
    <t>Square Feet Productions-Che</t>
  </si>
  <si>
    <t>11054 Square Feet Productions</t>
  </si>
  <si>
    <t>SB 22336</t>
  </si>
  <si>
    <t>C/2025/PO/000029</t>
  </si>
  <si>
    <t>Aishwarya Anil Kumar-Che</t>
  </si>
  <si>
    <t>12895 Aishwarya Anil Kumar</t>
  </si>
  <si>
    <t>Beena Joseph</t>
  </si>
  <si>
    <t>1139448 Beena Joseph</t>
  </si>
  <si>
    <t>D/2025/PO/000178</t>
  </si>
  <si>
    <t>Shardul Singh-Del</t>
  </si>
  <si>
    <t>10906 Shardul Singh</t>
  </si>
  <si>
    <t>SHARDUL SINGH</t>
  </si>
  <si>
    <t>1145085 Shardul Singh</t>
  </si>
  <si>
    <t>D/2025/PO/000179</t>
  </si>
  <si>
    <t>PANKAJ KUMAR MISHRA</t>
  </si>
  <si>
    <t>D/2025/PO/000180</t>
  </si>
  <si>
    <t>D/2025/PO/000181</t>
  </si>
  <si>
    <t>D/2025/PO/000182</t>
  </si>
  <si>
    <t>D/2025/PO/000183</t>
  </si>
  <si>
    <t>R E Rogers India Pvt Ltd-Del</t>
  </si>
  <si>
    <t>12332  R E Rogers India Pvt Ltd</t>
  </si>
  <si>
    <t>A/2025/PO/000193</t>
  </si>
  <si>
    <t>Keval Rajyaguru  -CR</t>
  </si>
  <si>
    <t>A/2025/PO/000192</t>
  </si>
  <si>
    <t>A/2025/PO/000184</t>
  </si>
  <si>
    <t>SB 22332</t>
  </si>
  <si>
    <t>A/2025/PO/000185</t>
  </si>
  <si>
    <t>Neowiz Events-Mum</t>
  </si>
  <si>
    <t>12193 Neowiz Events</t>
  </si>
  <si>
    <t>A/2025/PO/000191</t>
  </si>
  <si>
    <t>Sagar Dixit  -CR</t>
  </si>
  <si>
    <t>A/2025/PO/000190</t>
  </si>
  <si>
    <t>Hazarat Ansari -CR</t>
  </si>
  <si>
    <t>A/2025/PO/000189</t>
  </si>
  <si>
    <t>Ghanshyam Asolkar -CR</t>
  </si>
  <si>
    <t>A/2025/PO/000186</t>
  </si>
  <si>
    <t>A/2025/PO/000187</t>
  </si>
  <si>
    <t>Shree Samarth Krupa Creation-Mum</t>
  </si>
  <si>
    <t>10084 Shree Samarth Krupa Creation</t>
  </si>
  <si>
    <t>SB 22333</t>
  </si>
  <si>
    <t>A/2025/PO/000188</t>
  </si>
  <si>
    <t>Sakshi Kaushal Patwa-Mum</t>
  </si>
  <si>
    <t>12897 Sakshi Kaushal Patwa</t>
  </si>
  <si>
    <t xml:space="preserve">Rohan Mane
</t>
  </si>
  <si>
    <t>1044854 Rohan Mane</t>
  </si>
  <si>
    <t>A/2025/PO/000194</t>
  </si>
  <si>
    <t>Meta Platforms Ireland Ltd-Mum</t>
  </si>
  <si>
    <t>11580  Meta Platforms Ireland Ltd</t>
  </si>
  <si>
    <t xml:space="preserve">TIJO JOSEPH
</t>
  </si>
  <si>
    <t>A/2025/PO/000195</t>
  </si>
  <si>
    <t>A/2025/PO/000196</t>
  </si>
  <si>
    <t>Dinesh Kanojia (Cr)-Mum</t>
  </si>
  <si>
    <t>A/2025/PO/000197</t>
  </si>
  <si>
    <t>Wellness Associates Fitness Solutions &amp; Management Pvt Ltd-Mum</t>
  </si>
  <si>
    <t>12617  Wellness Associates Fitness Solutions &amp; Management Pvt Ltd</t>
  </si>
  <si>
    <t xml:space="preserve">Hemanshu Sawant
</t>
  </si>
  <si>
    <t>1133800 Hemanshu Sawant</t>
  </si>
  <si>
    <t>A/2025/PO/000198</t>
  </si>
  <si>
    <t>K Raheja IT Park (Hyderabad) Ltd (OTV)-Blr</t>
  </si>
  <si>
    <t>12899  K Raheja IT Park (Hyderabad) Ltd (OTV)</t>
  </si>
  <si>
    <t>B/2025/PO/000120</t>
  </si>
  <si>
    <t>B/2025/PO/000121</t>
  </si>
  <si>
    <t>Biometric Attendance Machine</t>
  </si>
  <si>
    <t>C/2025/PO/000030</t>
  </si>
  <si>
    <t>SB 22340</t>
  </si>
  <si>
    <t xml:space="preserve">Aravind Kumar
</t>
  </si>
  <si>
    <t>C/2025/PO/000031</t>
  </si>
  <si>
    <t>Evangelin Dominiic  -CR</t>
  </si>
  <si>
    <t>C/2025/PO/000032</t>
  </si>
  <si>
    <t>C/2025/PO/000033</t>
  </si>
  <si>
    <t>Empee Hotels Limited (Hilton Chennai)-Che</t>
  </si>
  <si>
    <t>SB 22162</t>
  </si>
  <si>
    <t xml:space="preserve">SUPRIYA NAIK 
</t>
  </si>
  <si>
    <t>C/2025/PO/000034</t>
  </si>
  <si>
    <t>C/2025/PO/000035</t>
  </si>
  <si>
    <t>Praveen Raj Adv for Expenses-CR</t>
  </si>
  <si>
    <t>C/2025/PO/000036</t>
  </si>
  <si>
    <t>D/2025/PO/000184</t>
  </si>
  <si>
    <t>Utkarsh Luthra  -CR</t>
  </si>
  <si>
    <t>UTKARSH LUTHRA</t>
  </si>
  <si>
    <t>1139529 Utkarsh Luthra</t>
  </si>
  <si>
    <t>D/2025/PO/000185</t>
  </si>
  <si>
    <t>Harsh Arya  -CR</t>
  </si>
  <si>
    <t>HARSH ARYA</t>
  </si>
  <si>
    <t>1139550 Harsh Arya</t>
  </si>
  <si>
    <t>D/2025/PO/000186</t>
  </si>
  <si>
    <t>Ground Zero Events Pvt Ltd-Del</t>
  </si>
  <si>
    <t>11974  Ground Zero Events Pvt Ltd</t>
  </si>
  <si>
    <t>SB 22334</t>
  </si>
  <si>
    <t>D/2025/PO/000187</t>
  </si>
  <si>
    <t>D/2025/PO/000188</t>
  </si>
  <si>
    <t>Ananya</t>
  </si>
  <si>
    <t>D/2025/PO/000189</t>
  </si>
  <si>
    <t>D/2025/PO/000190</t>
  </si>
  <si>
    <t>D/2025/PO/000191</t>
  </si>
  <si>
    <t>D/2025/PO/000192</t>
  </si>
  <si>
    <t>D/2025/PO/000193</t>
  </si>
  <si>
    <t>Amrik Singh (Mika Singh)-Del</t>
  </si>
  <si>
    <t>12905 Amrik Singh (Mika Singh)</t>
  </si>
  <si>
    <t>SB 22341</t>
  </si>
  <si>
    <t>Praveen</t>
  </si>
  <si>
    <t>A/2025/PO/000199</t>
  </si>
  <si>
    <t>Elite International-Mum</t>
  </si>
  <si>
    <t>A/2025/PO/000200</t>
  </si>
  <si>
    <t>Shalini Digital Photo Studio-Mum</t>
  </si>
  <si>
    <t>12381 Shalini Digital Photo Studio</t>
  </si>
  <si>
    <t>A/2025/PO/000201</t>
  </si>
  <si>
    <t>A/2025/PO/000202</t>
  </si>
  <si>
    <t>A/2025/PO/000203</t>
  </si>
  <si>
    <t>A/2025/PO/000204</t>
  </si>
  <si>
    <t>A/2025/PO/000205</t>
  </si>
  <si>
    <t>Mahesh Borade-Mum</t>
  </si>
  <si>
    <t>10735 Mahesh Borade</t>
  </si>
  <si>
    <t>A/2025/PO/000206</t>
  </si>
  <si>
    <t>Kirti Kishor Lokhande-Mum</t>
  </si>
  <si>
    <t>10710 Kirti Kishor Lokhande</t>
  </si>
  <si>
    <t>A/2025/PO/000207</t>
  </si>
  <si>
    <t>Blink Entertainment-Mum</t>
  </si>
  <si>
    <t>11177 Blink Entertainment</t>
  </si>
  <si>
    <t>A/2025/PO/000225</t>
  </si>
  <si>
    <t>Rutika Dhotre  -CR</t>
  </si>
  <si>
    <t>A/2025/PO/000228</t>
  </si>
  <si>
    <t>A/2025/PO/000227</t>
  </si>
  <si>
    <t>A/2025/PO/000226</t>
  </si>
  <si>
    <t>A/2025/PO/000224</t>
  </si>
  <si>
    <t>A/2025/PO/000223</t>
  </si>
  <si>
    <t>A/2025/PO/000222</t>
  </si>
  <si>
    <t>A/2025/PO/000220</t>
  </si>
  <si>
    <t>A/2025/PO/000217</t>
  </si>
  <si>
    <t>Rajaram Shinde Cash -CR</t>
  </si>
  <si>
    <t>A/2025/PO/000216</t>
  </si>
  <si>
    <t>A/2025/PO/000215</t>
  </si>
  <si>
    <t>A/2025/PO/000214</t>
  </si>
  <si>
    <t>Ashwin Mishra  -CR</t>
  </si>
  <si>
    <t>A/2025/PO/000213</t>
  </si>
  <si>
    <t>Maitree Dang  -CR</t>
  </si>
  <si>
    <t>A/2025/PO/000209</t>
  </si>
  <si>
    <t>Aftab Shaikh  -CR</t>
  </si>
  <si>
    <t>A/2025/PO/000208</t>
  </si>
  <si>
    <t>A/2025/PO/000211</t>
  </si>
  <si>
    <t>A A Fur1044835 Neetu Prakash Poojaryre(Abbas Abdul Hussain Ujjainwala)-Mum</t>
  </si>
  <si>
    <t>11018 A A Fur1044835 Neetu Prakash Poojaryre (Abbas Abdul Hussain Ujjainwala)</t>
  </si>
  <si>
    <t>A/2025/PO/000212</t>
  </si>
  <si>
    <t>A/2025/PO/000210</t>
  </si>
  <si>
    <t>Tribal Monk Network LLP-Mum</t>
  </si>
  <si>
    <t>12910 Tribal Monk Network LLP</t>
  </si>
  <si>
    <t>A/2025/PO/000218</t>
  </si>
  <si>
    <t>Hotel Ratna Mahal (Shree Swami Samarth Hospitality) (Happay)-Mum</t>
  </si>
  <si>
    <t>12826 Hotel Ratna Mahal (Shree Swami   Samarth Hospitality) (Happay)</t>
  </si>
  <si>
    <t>Aftab</t>
  </si>
  <si>
    <t>A/2025/PO/000219</t>
  </si>
  <si>
    <t>A/2025/PO/000221</t>
  </si>
  <si>
    <t>Smile Entertainment-Mum</t>
  </si>
  <si>
    <t>12909 Smile Entertainment</t>
  </si>
  <si>
    <t>Naveen</t>
  </si>
  <si>
    <t>1138381 Naveen Mandal</t>
  </si>
  <si>
    <t>A/2025/PO/000229</t>
  </si>
  <si>
    <t>Proelectro Ltd-Mum</t>
  </si>
  <si>
    <t>12903  Proelectro Ltd</t>
  </si>
  <si>
    <t>A/2025/PO/000230</t>
  </si>
  <si>
    <t>Grand Hyatt Athens (Sygroy 115 Hotel Enterprises Single Member S A)-Mum</t>
  </si>
  <si>
    <t>12852 Grand Hyatt Athens (Sygroy 115 Hotel Enterprises Single Member S A)</t>
  </si>
  <si>
    <t>VENUE COST (FOREIGN CURRENCY)</t>
  </si>
  <si>
    <t>B/2025/PO/000122</t>
  </si>
  <si>
    <t>Triangle Property Developers Pvt Ltd-Blr</t>
  </si>
  <si>
    <t>12893  Triangle Property Developers Pvt Ltd</t>
  </si>
  <si>
    <t>Tribhuvan</t>
  </si>
  <si>
    <t>B/2025/PO/000123</t>
  </si>
  <si>
    <t>Akash Kumar</t>
  </si>
  <si>
    <t>1125213 Akash Kumar</t>
  </si>
  <si>
    <t>B/2025/PO/000124</t>
  </si>
  <si>
    <t>SB 22292</t>
  </si>
  <si>
    <t>B/2025/PO/000125</t>
  </si>
  <si>
    <t>C/2025/PO/000037</t>
  </si>
  <si>
    <t>C/2025/PO/000038</t>
  </si>
  <si>
    <t>C/2025/PO/000039</t>
  </si>
  <si>
    <t>C/2025/PO/000040</t>
  </si>
  <si>
    <t>C/2025/PO/000041</t>
  </si>
  <si>
    <t>Paulraj S  -CR</t>
  </si>
  <si>
    <t>C/2025/PO/000042</t>
  </si>
  <si>
    <t>C/2025/PO/000043</t>
  </si>
  <si>
    <t>D/2025/PO/000194</t>
  </si>
  <si>
    <t>Subodh Kumar Singh  -CR</t>
  </si>
  <si>
    <t>SUBODH KUMAR</t>
  </si>
  <si>
    <t>1138257 Subodh Kumar Singh</t>
  </si>
  <si>
    <t>D/2025/PO/000195</t>
  </si>
  <si>
    <t>Parvesh  Mahalwal</t>
  </si>
  <si>
    <t>D/2025/PO/000196</t>
  </si>
  <si>
    <t>Kritigya Yadav-Del</t>
  </si>
  <si>
    <t>12835 Kritigya Yadav</t>
  </si>
  <si>
    <t>SB 22329</t>
  </si>
  <si>
    <t>Anjas</t>
  </si>
  <si>
    <t>1114765 Anjas Mishra</t>
  </si>
  <si>
    <t>D/2025/PO/000197</t>
  </si>
  <si>
    <t>D/2025/PO/000198</t>
  </si>
  <si>
    <t>D/2025/PO/000199</t>
  </si>
  <si>
    <t>D/2025/PO/000200</t>
  </si>
  <si>
    <t>D/2025/PO/000201</t>
  </si>
  <si>
    <t>Lal Jha-Del</t>
  </si>
  <si>
    <t>12093 Lal Jha</t>
  </si>
  <si>
    <t>SEEMANT</t>
  </si>
  <si>
    <t>1140645 Seemant Mahalwal</t>
  </si>
  <si>
    <t>D/2025/PO/000202</t>
  </si>
  <si>
    <t>D/2025/PO/000203</t>
  </si>
  <si>
    <t>D/2025/PO/000204</t>
  </si>
  <si>
    <t>Anurag</t>
  </si>
  <si>
    <t>D/2025/PO/000205</t>
  </si>
  <si>
    <t>Varun Sondhi  -CR</t>
  </si>
  <si>
    <t>Varun</t>
  </si>
  <si>
    <t>D/2025/PO/000206</t>
  </si>
  <si>
    <t>Anil Kumar Singh..........-CR</t>
  </si>
  <si>
    <t>Anil Kumar Singh</t>
  </si>
  <si>
    <t>1044809 Anil Kumar Singh</t>
  </si>
  <si>
    <t>D/2025/PO/000207</t>
  </si>
  <si>
    <t>D/2025/PO/000208</t>
  </si>
  <si>
    <t>Rahul Luthra  -CR</t>
  </si>
  <si>
    <t>D/2025/PO/000209</t>
  </si>
  <si>
    <t>Samarth</t>
  </si>
  <si>
    <t>D/2025/PO/000210</t>
  </si>
  <si>
    <t>Bitu Kumar  -CR</t>
  </si>
  <si>
    <t>Bittu Kumar</t>
  </si>
  <si>
    <t>D/2025/PO/000211</t>
  </si>
  <si>
    <t>D/2025/PO/000212</t>
  </si>
  <si>
    <t>Sachin Vaid  -CR</t>
  </si>
  <si>
    <t>12718 Sachin Vaid</t>
  </si>
  <si>
    <t>D/2025/PO/000213</t>
  </si>
  <si>
    <t>Tribhuvan Kapoor.....-CR</t>
  </si>
  <si>
    <t>D/2025/PO/000214</t>
  </si>
  <si>
    <t>Ajeet</t>
  </si>
  <si>
    <t>D/2025/PO/000215</t>
  </si>
  <si>
    <t>Harshit Jain...............  -CR</t>
  </si>
  <si>
    <t>D/2025/PO/000216</t>
  </si>
  <si>
    <t>Puneet Kumar ........... -CR</t>
  </si>
  <si>
    <t>Puneet</t>
  </si>
  <si>
    <t>D/2025/PO/000217</t>
  </si>
  <si>
    <t>Blue Dart Express Limited-Del</t>
  </si>
  <si>
    <t>D/2025/PO/000218</t>
  </si>
  <si>
    <t>SB 22339</t>
  </si>
  <si>
    <t>D/2025/PO/000219</t>
  </si>
  <si>
    <t>Show Supporters LLP-Del</t>
  </si>
  <si>
    <t>12396 Show Supporters LLP</t>
  </si>
  <si>
    <t>D/2025/PO/000220</t>
  </si>
  <si>
    <t>D/2025/PO/000221</t>
  </si>
  <si>
    <t>A/2025/PO/Gen/0007</t>
  </si>
  <si>
    <t>Hindustan Computer &amp; Communication Services-Mum</t>
  </si>
  <si>
    <t>11987 Hindustan Computer &amp; Communication Services</t>
  </si>
  <si>
    <t>A/2025/PO/000233</t>
  </si>
  <si>
    <t>Tanoj Tandel  -CR</t>
  </si>
  <si>
    <t>A/2025/PO/000234</t>
  </si>
  <si>
    <t>Sachin Daripkar -CR</t>
  </si>
  <si>
    <t>A/2025/PO/000231</t>
  </si>
  <si>
    <t>Kissamago Transcriptions Pvt Ltd-Mum</t>
  </si>
  <si>
    <t>10711  Kissamago Transcriptions Pvt Ltd</t>
  </si>
  <si>
    <t xml:space="preserve">Lokesh Sonar
</t>
  </si>
  <si>
    <t>1044908 Lokesh Sonar</t>
  </si>
  <si>
    <t>A/2025/PO/000232</t>
  </si>
  <si>
    <t>Ultimate Event Solutions-Mum</t>
  </si>
  <si>
    <t>12567 Ultimate Event Solutions</t>
  </si>
  <si>
    <t>Parvesh Mahalwal</t>
  </si>
  <si>
    <t>A/2025/PO/000235</t>
  </si>
  <si>
    <t>A/2025/PO/000236</t>
  </si>
  <si>
    <t>A/2025/PO/000237</t>
  </si>
  <si>
    <t>A/2025/PO/000238</t>
  </si>
  <si>
    <t>A/2025/PO/000247</t>
  </si>
  <si>
    <t>A/2025/PO/000246</t>
  </si>
  <si>
    <t>A/2025/PO/000244</t>
  </si>
  <si>
    <t>A/2025/PO/000243</t>
  </si>
  <si>
    <t>A/2025/PO/000241</t>
  </si>
  <si>
    <t>A/2025/PO/000240</t>
  </si>
  <si>
    <t>A/2025/PO/000239</t>
  </si>
  <si>
    <t>A/2025/PO/000242</t>
  </si>
  <si>
    <t>Vansh Agrawal-Mum</t>
  </si>
  <si>
    <t>10987 Vansh Agrawal</t>
  </si>
  <si>
    <t>SB 22337</t>
  </si>
  <si>
    <t xml:space="preserve">Sagar Dixit
</t>
  </si>
  <si>
    <t>1133037 Sagar Dixit</t>
  </si>
  <si>
    <t>A/2025/PO/000245</t>
  </si>
  <si>
    <t>A/2025/PO/000248</t>
  </si>
  <si>
    <t>A/2025/PO/000249</t>
  </si>
  <si>
    <t>A/2025/PO/000250</t>
  </si>
  <si>
    <t>A/2025/PO/000251</t>
  </si>
  <si>
    <t>SRA Carpets (Happay)-Mum</t>
  </si>
  <si>
    <t>12753 SRA Carpets (Happay)</t>
  </si>
  <si>
    <t>Aftab S</t>
  </si>
  <si>
    <t>B/2025/PO/000126</t>
  </si>
  <si>
    <t>B/2025/PO/000127</t>
  </si>
  <si>
    <t>Avalon Inc-Blr</t>
  </si>
  <si>
    <t>11703 Avalon Inc</t>
  </si>
  <si>
    <t>B/2025/PO/000128</t>
  </si>
  <si>
    <t>Garv</t>
  </si>
  <si>
    <t>B/2025/PO/000129</t>
  </si>
  <si>
    <t>B/2025/PO/000130</t>
  </si>
  <si>
    <t>D/2025/PO/000222</t>
  </si>
  <si>
    <t>D/2025/PO/000223</t>
  </si>
  <si>
    <t>SB 21825</t>
  </si>
  <si>
    <t>D/2025/PO/000224</t>
  </si>
  <si>
    <t>D/2025/PO/000225</t>
  </si>
  <si>
    <t>Travelnama-Del</t>
  </si>
  <si>
    <t>Air Fare (General)</t>
  </si>
  <si>
    <t>Harshit</t>
  </si>
  <si>
    <t>A/2025/PO/000252</t>
  </si>
  <si>
    <t>Fabrile Productions-Mum</t>
  </si>
  <si>
    <t>11909 Fabrile Productions</t>
  </si>
  <si>
    <t>A/2025/PO/000253</t>
  </si>
  <si>
    <t>A/2025/PO/000254</t>
  </si>
  <si>
    <t>A/2025/PO/000255</t>
  </si>
  <si>
    <t>Soni Enterprise-Mum</t>
  </si>
  <si>
    <t>12424 Soni Enterprise</t>
  </si>
  <si>
    <t>A/2025/PO/000258</t>
  </si>
  <si>
    <t>A/2025/PO/000257</t>
  </si>
  <si>
    <t>A/2025/PO/000256</t>
  </si>
  <si>
    <t>The Infinite Impressions-Mum</t>
  </si>
  <si>
    <t>10098 The Infinite Impressions</t>
  </si>
  <si>
    <t>B/2025/PO/000131</t>
  </si>
  <si>
    <t>B/2025/PO/000132</t>
  </si>
  <si>
    <t>Nandini Nair -CR</t>
  </si>
  <si>
    <t>B/2025/PO/000133</t>
  </si>
  <si>
    <t>Praveen Raj</t>
  </si>
  <si>
    <t>C/2025/PO/000044</t>
  </si>
  <si>
    <t>C/2025/PO/000045</t>
  </si>
  <si>
    <t>C/2025/PO/000046</t>
  </si>
  <si>
    <t>C/2025/PO/000047</t>
  </si>
  <si>
    <t>Ashwath TV  for Expense-CR</t>
  </si>
  <si>
    <t>C/2025/PO/000048</t>
  </si>
  <si>
    <t>Win Technologies-Che</t>
  </si>
  <si>
    <t>12626 Win Technologies</t>
  </si>
  <si>
    <t>Clinton J</t>
  </si>
  <si>
    <t>A/2025/PO/000261</t>
  </si>
  <si>
    <t>A/2025/PO/000260</t>
  </si>
  <si>
    <t>A/2025/PO/000259</t>
  </si>
  <si>
    <t>B/2025/PO/000134</t>
  </si>
  <si>
    <t>B/2025/PO/000135</t>
  </si>
  <si>
    <t>Shrikanth Rele</t>
  </si>
  <si>
    <t>B/2025/PO/000136</t>
  </si>
  <si>
    <t>B/2025/PO/000137</t>
  </si>
  <si>
    <t>B/2025/PO/000138</t>
  </si>
  <si>
    <t>Chintan Shetty</t>
  </si>
  <si>
    <t>1139707 Chintan Shetty</t>
  </si>
  <si>
    <t>B/2025/PO/000139</t>
  </si>
  <si>
    <t>Jw Marriot Bengaluru-Blr</t>
  </si>
  <si>
    <t>10347  Jw Marriot Bengaluru</t>
  </si>
  <si>
    <t>SB 22331</t>
  </si>
  <si>
    <t>B/2025/PO/000140</t>
  </si>
  <si>
    <t>B/2025/PO/000141</t>
  </si>
  <si>
    <t>B/2025/PO/000142</t>
  </si>
  <si>
    <t>B/2025/PO/000143</t>
  </si>
  <si>
    <t>B/2025/PO/000144</t>
  </si>
  <si>
    <t>Gpm Xpress Logistics Pvt Ltd-Blr</t>
  </si>
  <si>
    <t>11966  Gpm Xpress Logistics Pvt Ltd</t>
  </si>
  <si>
    <t>B/2025/PO/000145</t>
  </si>
  <si>
    <t>C/2025/PO/000049</t>
  </si>
  <si>
    <t>Clinton Jesuraja
?</t>
  </si>
  <si>
    <t>C/2025/PO/000050</t>
  </si>
  <si>
    <t>D/2025/PO/000226</t>
  </si>
  <si>
    <t>D/2025/PO/000227</t>
  </si>
  <si>
    <t>Jetking Technologies Pvt Ltd-Del</t>
  </si>
  <si>
    <t>12056  Jetking Technologies Pvt Ltd</t>
  </si>
  <si>
    <t>A/2025/PO/Gen/0008</t>
  </si>
  <si>
    <t>Pcss Solutions Pvt. Ltd.-Mum</t>
  </si>
  <si>
    <t>MBP 14 SB/10C/10C GPU/24GB/1TB-HIN</t>
  </si>
  <si>
    <t>A/2025/PO/000262</t>
  </si>
  <si>
    <t>SB 22303</t>
  </si>
  <si>
    <t>A/2025/PO/000264</t>
  </si>
  <si>
    <t>A/2025/PO/000263</t>
  </si>
  <si>
    <t>A/2025/PO/000266</t>
  </si>
  <si>
    <t>SB 22349</t>
  </si>
  <si>
    <t>A/2025/PO/000265</t>
  </si>
  <si>
    <t>Seemant</t>
  </si>
  <si>
    <t>A/2025/PO/000267</t>
  </si>
  <si>
    <t>Skil Travel Pvt Ltd (CR)-Mum</t>
  </si>
  <si>
    <t>SB 22352</t>
  </si>
  <si>
    <t>A/2025/PO/000268</t>
  </si>
  <si>
    <t>Mimo Retail Pvt Ltd (Amazon)-Mum</t>
  </si>
  <si>
    <t>12900  Mimo Retail Pvt Ltd (Amazon)</t>
  </si>
  <si>
    <t>SB 22335</t>
  </si>
  <si>
    <t>A/2025/PO/000271</t>
  </si>
  <si>
    <t>Kalasiddha Creations-Mum</t>
  </si>
  <si>
    <t>12070 Kalasiddha Creations</t>
  </si>
  <si>
    <t>A/2025/PO/000269</t>
  </si>
  <si>
    <t>SB 22345</t>
  </si>
  <si>
    <t>A/2025/PO/000270</t>
  </si>
  <si>
    <t>A/2025/PO/000272</t>
  </si>
  <si>
    <t>A/2025/PO/000273</t>
  </si>
  <si>
    <t>Right Angle Productions LLP-Mum</t>
  </si>
  <si>
    <t>12810 Right Angle Productions LLP</t>
  </si>
  <si>
    <t>A/2025/PO/000274</t>
  </si>
  <si>
    <t>Sagar Services-Mum</t>
  </si>
  <si>
    <t>11052 Sagar Services</t>
  </si>
  <si>
    <t>A/2025/PO/000275</t>
  </si>
  <si>
    <t>Sai Leela Enterprises-Mum</t>
  </si>
  <si>
    <t>12670 Sai Leela Enterprises</t>
  </si>
  <si>
    <t>A/2025/PO/000276</t>
  </si>
  <si>
    <t>A/2025/PO/000277</t>
  </si>
  <si>
    <t>Hanja Express-Mum</t>
  </si>
  <si>
    <t>10046 Hanja Express</t>
  </si>
  <si>
    <t xml:space="preserve">Rajaram Shinde
</t>
  </si>
  <si>
    <t>B/2025/PO/000146</t>
  </si>
  <si>
    <t>B/2025/PO/000147</t>
  </si>
  <si>
    <t>B/2025/PO/000148</t>
  </si>
  <si>
    <t>B/2025/PO/000149</t>
  </si>
  <si>
    <t>B/2025/PO/000150</t>
  </si>
  <si>
    <t>B/2025/PO/000151</t>
  </si>
  <si>
    <t>Mervin  -CR</t>
  </si>
  <si>
    <t>Nazia</t>
  </si>
  <si>
    <t>B/2025/PO/000152</t>
  </si>
  <si>
    <t>B/2025/PO/000153</t>
  </si>
  <si>
    <t>C/2025/PO/000051</t>
  </si>
  <si>
    <t>C/2025/PO/000052</t>
  </si>
  <si>
    <t>Sri Thanigaivel Electricals-Che</t>
  </si>
  <si>
    <t>12446 Sri Thanigaivel Electricals</t>
  </si>
  <si>
    <t>C/2025/PO/000053</t>
  </si>
  <si>
    <t>Expressions Enlivened-Che</t>
  </si>
  <si>
    <t>11225 Expressions Enlivened</t>
  </si>
  <si>
    <t>C/2025/PO/000054</t>
  </si>
  <si>
    <t>Joshi prints-Che</t>
  </si>
  <si>
    <t>10015 Joshi Prints</t>
  </si>
  <si>
    <t>C/2025/PO/000055</t>
  </si>
  <si>
    <t>Rekha Stills-Che</t>
  </si>
  <si>
    <t>12328 Rekha Stills</t>
  </si>
  <si>
    <t>C/2025/PO/000056</t>
  </si>
  <si>
    <t>C/2025/PO/000057</t>
  </si>
  <si>
    <t>C/2025/PO/000058</t>
  </si>
  <si>
    <t>C/2025/PO/000059</t>
  </si>
  <si>
    <t>Aravind  Kumar S</t>
  </si>
  <si>
    <t>C/2025/PO/000060</t>
  </si>
  <si>
    <t>C/2025/PO/000061</t>
  </si>
  <si>
    <t>D/2025/PO/000228</t>
  </si>
  <si>
    <t>A/2025/PO/000302</t>
  </si>
  <si>
    <t>Sudhakar Sawant   -CR</t>
  </si>
  <si>
    <t>A/2025/PO/000295</t>
  </si>
  <si>
    <t>A/2025/PO/000278</t>
  </si>
  <si>
    <t>Woodcraft Production-Mum</t>
  </si>
  <si>
    <t>12630 Woodcraft Production</t>
  </si>
  <si>
    <t xml:space="preserve">Harish Aawade
</t>
  </si>
  <si>
    <t>1044958 Harish Aawade</t>
  </si>
  <si>
    <t>A/2025/PO/000279</t>
  </si>
  <si>
    <t>A/2025/PO/000280</t>
  </si>
  <si>
    <t>A/2025/PO/000281</t>
  </si>
  <si>
    <t>Vivify Productions-Mum</t>
  </si>
  <si>
    <t>12820 Vivify Productions</t>
  </si>
  <si>
    <t xml:space="preserve">Santosh Singh 
</t>
  </si>
  <si>
    <t>1044950 Santosh Singh</t>
  </si>
  <si>
    <t>A/2025/PO/000282</t>
  </si>
  <si>
    <t>Stage D閏or-Mum</t>
  </si>
  <si>
    <t>A/2025/PO/000283</t>
  </si>
  <si>
    <t>A/2025/PO/000284</t>
  </si>
  <si>
    <t>A/2025/PO/000285</t>
  </si>
  <si>
    <t>Bizzaro Event-Mum</t>
  </si>
  <si>
    <t>11733 Bizzaro Event</t>
  </si>
  <si>
    <t>A/2025/PO/000286</t>
  </si>
  <si>
    <t>Shree Vision-Mum</t>
  </si>
  <si>
    <t>12401 Shree Vision</t>
  </si>
  <si>
    <t>A/2025/PO/000287</t>
  </si>
  <si>
    <t>Sayyed Mohd Rafiq-Mum</t>
  </si>
  <si>
    <t>10895 Sayyed Mohd Rafiq</t>
  </si>
  <si>
    <t>A/2025/PO/000288</t>
  </si>
  <si>
    <t>Executant Media House Pvt Ltd -Mum</t>
  </si>
  <si>
    <t>11901  Executant Media House Pvt Ltd</t>
  </si>
  <si>
    <t>SB 22350</t>
  </si>
  <si>
    <t xml:space="preserve">Pinky Sharma
</t>
  </si>
  <si>
    <t>1133034 Pinky Sharma</t>
  </si>
  <si>
    <t>A/2025/PO/000289</t>
  </si>
  <si>
    <t xml:space="preserve">Sarfaraz Memon
</t>
  </si>
  <si>
    <t>1044982 Sarfaraz Memon</t>
  </si>
  <si>
    <t>A/2025/PO/000290</t>
  </si>
  <si>
    <t>Start Edge-Mum</t>
  </si>
  <si>
    <t>12458 Start Edge</t>
  </si>
  <si>
    <t xml:space="preserve">Nitin Kamble
</t>
  </si>
  <si>
    <t>1137768 Nitin Kamble</t>
  </si>
  <si>
    <t>A/2025/PO/000291</t>
  </si>
  <si>
    <t>A/2025/PO/000292</t>
  </si>
  <si>
    <t>Oriana Communications-Mum</t>
  </si>
  <si>
    <t>11121 Oriana Communications</t>
  </si>
  <si>
    <t>A/2025/PO/000293</t>
  </si>
  <si>
    <t>Razzmatazz Ventures Pvt Ltd-Mum</t>
  </si>
  <si>
    <t>12324  Razzmatazz Ventures Pvt Ltd</t>
  </si>
  <si>
    <t>A/2025/PO/000294</t>
  </si>
  <si>
    <t>Tm Ventures Pvt Ltd-Mum</t>
  </si>
  <si>
    <t>12545  Tm Ventures Pvt Ltd</t>
  </si>
  <si>
    <t>Maher Rustomji</t>
  </si>
  <si>
    <t>1143399 Maher Rustomji</t>
  </si>
  <si>
    <t>A/2025/PO/000296</t>
  </si>
  <si>
    <t>Host Vision Technologies-Mum</t>
  </si>
  <si>
    <t>12913 Host Vision Technologies</t>
  </si>
  <si>
    <t>A/2025/PO/000297</t>
  </si>
  <si>
    <t>SB 22354</t>
  </si>
  <si>
    <t>A/2025/PO/000298</t>
  </si>
  <si>
    <t>A/2025/PO/000299</t>
  </si>
  <si>
    <t>A/2025/PO/000300</t>
  </si>
  <si>
    <t>A/2025/PO/000301</t>
  </si>
  <si>
    <t>A/2025/PO/000303</t>
  </si>
  <si>
    <t>A/2025/PO/000304</t>
  </si>
  <si>
    <t>A/2025/PO/000305</t>
  </si>
  <si>
    <t>Vista Services (Sainath Govind Shirke)-Mum</t>
  </si>
  <si>
    <t>10237 Vista Services (Sainath Govind Shirke)</t>
  </si>
  <si>
    <t>A/2025/PO/000306</t>
  </si>
  <si>
    <t>Fairmont Mumbai (Shrem Airport Hotels Pvt Ltd)-Mum</t>
  </si>
  <si>
    <t>12914  Fairmont Mumbai (Shrem Airport Hotels Pvt Ltd)</t>
  </si>
  <si>
    <t>A/2025/PO/000307</t>
  </si>
  <si>
    <t>A/2025/PO/000308</t>
  </si>
  <si>
    <t>A/2025/PO/000309</t>
  </si>
  <si>
    <t>Atrika Majumdar-Mum</t>
  </si>
  <si>
    <t>10558 Atrika Majumdar</t>
  </si>
  <si>
    <t>A/2025/PO/000310</t>
  </si>
  <si>
    <t>Fastspring-Mum</t>
  </si>
  <si>
    <t>A/2025/PO/000311</t>
  </si>
  <si>
    <t>CHEHEK</t>
  </si>
  <si>
    <t>A/2025/PO/000312</t>
  </si>
  <si>
    <t>B/2025/PO/000154</t>
  </si>
  <si>
    <t>Ramesh C-Blr</t>
  </si>
  <si>
    <t>10847 Ramesh C</t>
  </si>
  <si>
    <t>Tejinder Nagi</t>
  </si>
  <si>
    <t>1137542 Tejindersingh Nagi</t>
  </si>
  <si>
    <t>B/2025/PO/000155</t>
  </si>
  <si>
    <t>Sarita stokes</t>
  </si>
  <si>
    <t>C/2025/PO/000062</t>
  </si>
  <si>
    <t>C/2025/PO/000063</t>
  </si>
  <si>
    <t>A/2025/PO/000350</t>
  </si>
  <si>
    <t>A/2025/PO/000339</t>
  </si>
  <si>
    <t>A/2025/PO/000336</t>
  </si>
  <si>
    <t>Sanil Thombare -CR</t>
  </si>
  <si>
    <t>A/2025/PO/000344</t>
  </si>
  <si>
    <t>A/2025/PO/000343</t>
  </si>
  <si>
    <t>Pinky Sharma  -CR</t>
  </si>
  <si>
    <t>A/2025/PO/000341</t>
  </si>
  <si>
    <t>A/2025/PO/000340</t>
  </si>
  <si>
    <t>A/2025/PO/000335</t>
  </si>
  <si>
    <t>A/2025/PO/000334</t>
  </si>
  <si>
    <t>A/2025/PO/000324</t>
  </si>
  <si>
    <t>Chahek Poddar  -CR</t>
  </si>
  <si>
    <t>A/2025/PO/000323</t>
  </si>
  <si>
    <t>A/2025/PO/000321</t>
  </si>
  <si>
    <t>A/2025/PO/000320</t>
  </si>
  <si>
    <t>A/2025/PO/000317</t>
  </si>
  <si>
    <t>A/2025/PO/000349</t>
  </si>
  <si>
    <t>A/2025/PO/000348</t>
  </si>
  <si>
    <t>A/2025/PO/000315</t>
  </si>
  <si>
    <t>Pritam Amberkar  -CR</t>
  </si>
  <si>
    <t>A/2025/PO/000313</t>
  </si>
  <si>
    <t>Sameer Tobaccowala -CR</t>
  </si>
  <si>
    <t>A/2025/PO/000314</t>
  </si>
  <si>
    <t>A/2025/PO/000316</t>
  </si>
  <si>
    <t>A/2025/PO/000318</t>
  </si>
  <si>
    <t>Sound.Com Pvt Ltd-Mum</t>
  </si>
  <si>
    <t>12427  Sound.Com Pvt Ltd</t>
  </si>
  <si>
    <t xml:space="preserve">Ghanshyam Asolkar
</t>
  </si>
  <si>
    <t>1045030 Ghanshyam Asolkar</t>
  </si>
  <si>
    <t>A/2025/PO/000319</t>
  </si>
  <si>
    <t>A/2025/PO/000325</t>
  </si>
  <si>
    <t>A/2025/PO/000322</t>
  </si>
  <si>
    <t>A/2025/PO/000326</t>
  </si>
  <si>
    <t>Jayant K Shetty-Mum</t>
  </si>
  <si>
    <t>12048 Jayant K Shetty</t>
  </si>
  <si>
    <t>A/2025/PO/000327</t>
  </si>
  <si>
    <t>A/2025/PO/000328</t>
  </si>
  <si>
    <t>A/2025/PO/000329</t>
  </si>
  <si>
    <t>A/2025/PO/000330</t>
  </si>
  <si>
    <t>Prem Enterprise-Mum</t>
  </si>
  <si>
    <t>11360 Prem Enterprise</t>
  </si>
  <si>
    <t>A/2025/PO/000331</t>
  </si>
  <si>
    <t>IKEA India Pvt Ltd (CR)-Mum</t>
  </si>
  <si>
    <t xml:space="preserve">Sumit S
</t>
  </si>
  <si>
    <t>A/2025/PO/000332</t>
  </si>
  <si>
    <t>A/2025/PO/000333</t>
  </si>
  <si>
    <t>SB 21861</t>
  </si>
  <si>
    <t>A/2025/PO/000337</t>
  </si>
  <si>
    <t>Sterling Book House-Mum</t>
  </si>
  <si>
    <t>12461 Sterling Book House</t>
  </si>
  <si>
    <t>SB 22348</t>
  </si>
  <si>
    <t>A/2025/PO/000338</t>
  </si>
  <si>
    <t>A/2025/PO/000342</t>
  </si>
  <si>
    <t>KUNDAN BADIWAL</t>
  </si>
  <si>
    <t>A/2025/PO/000345</t>
  </si>
  <si>
    <t>Jw Marriot Sahar Mumbai-Mum</t>
  </si>
  <si>
    <t>10349  Jw Marriot Sahar Mumbai</t>
  </si>
  <si>
    <t>A/2025/PO/000346</t>
  </si>
  <si>
    <t>Impact KORE Learning Llp-Mum</t>
  </si>
  <si>
    <t>12017 Impact KORE Learning Llp</t>
  </si>
  <si>
    <t>A/2025/PO/000347</t>
  </si>
  <si>
    <t>Twintech Entertainment LLP-Mum</t>
  </si>
  <si>
    <t>10981 Twintech Entertainment LLP</t>
  </si>
  <si>
    <t>A/2025/PO/000351</t>
  </si>
  <si>
    <t>Shree Padmavati Plastics (Happay)-Mum</t>
  </si>
  <si>
    <t>12901 Shree Padmavati Plastics (Happay)</t>
  </si>
  <si>
    <t>Himanshu sawant</t>
  </si>
  <si>
    <t>1139667 Himanshu Negi</t>
  </si>
  <si>
    <t>A/2025/PO/000352</t>
  </si>
  <si>
    <t>Four Points by Sheraton (Duet India Hotels Pune Pvt Ltd)-Mum</t>
  </si>
  <si>
    <t>10290  Four Points by Sheraton (Duet India Hotels Pune Pvt Ltd)</t>
  </si>
  <si>
    <t>B/2025/PO/000156</t>
  </si>
  <si>
    <t>C/2025/PO/000064</t>
  </si>
  <si>
    <t>A/2025/PO/000353</t>
  </si>
  <si>
    <t>D/2025/PO/000229</t>
  </si>
  <si>
    <t>Aloft Aerocity,U/o Central Park Infrastructure Development Pvt Ltd-Del</t>
  </si>
  <si>
    <t>D/2025/PO/000230</t>
  </si>
  <si>
    <t>D/2025/PO/000239</t>
  </si>
  <si>
    <t>Holiday Inn New Delhi (Eros Grand Resorts And Hotels Pvt Ltd)-Del</t>
  </si>
  <si>
    <t>12915  Holiday Inn New Delhi (Eros Grand Resorts And Hotels Pvt Ltd)</t>
  </si>
  <si>
    <t>A/2025/PO/000354</t>
  </si>
  <si>
    <t>B/2025/PO/000157</t>
  </si>
  <si>
    <t>B/2025/PO/000158</t>
  </si>
  <si>
    <t xml:space="preserve">Samadhan Babar
</t>
  </si>
  <si>
    <t>1044850 Samadhan Babar</t>
  </si>
  <si>
    <t>B/2025/PO/000159</t>
  </si>
  <si>
    <t>B/2025/PO/000160</t>
  </si>
  <si>
    <t>B/2025/PO/000161</t>
  </si>
  <si>
    <t>B/2025/PO/000162</t>
  </si>
  <si>
    <t>B/2025/PO/000163</t>
  </si>
  <si>
    <t>B/2025/PO/000164</t>
  </si>
  <si>
    <t>B/2025/PO/000165</t>
  </si>
  <si>
    <t>B/2025/PO/000166</t>
  </si>
  <si>
    <t>B/2025/PO/000167</t>
  </si>
  <si>
    <t>SB 22359</t>
  </si>
  <si>
    <t>B/2025/PO/000168</t>
  </si>
  <si>
    <t>Print With Me Pvt Ltd-Blr</t>
  </si>
  <si>
    <t>12286  Print With Me Pvt Ltd</t>
  </si>
  <si>
    <t>B/2025/PO/000169</t>
  </si>
  <si>
    <t>B/2025/PO/000170</t>
  </si>
  <si>
    <t>C/2025/PO/000065</t>
  </si>
  <si>
    <t>C/2025/PO/000066</t>
  </si>
  <si>
    <t>Live Productions-Che</t>
  </si>
  <si>
    <t>11114 Live Productions</t>
  </si>
  <si>
    <t>C/2025/PO/000067</t>
  </si>
  <si>
    <t>C/2025/PO/000068</t>
  </si>
  <si>
    <t>C/2025/PO/000069</t>
  </si>
  <si>
    <t>D/2025/PO/000231</t>
  </si>
  <si>
    <t>D/2025/PO/000232</t>
  </si>
  <si>
    <t>D/2025/PO/000233</t>
  </si>
  <si>
    <t>D/2025/PO/000234</t>
  </si>
  <si>
    <t>D/2025/PO/000235</t>
  </si>
  <si>
    <t>MOHD WARIS</t>
  </si>
  <si>
    <t>D/2025/PO/000236</t>
  </si>
  <si>
    <t>D/2025/PO/000237</t>
  </si>
  <si>
    <t>D/2025/PO/000238</t>
  </si>
  <si>
    <t>Lokjat Slv Solutions-Del</t>
  </si>
  <si>
    <t>12107 Lokjat Slv Solutions</t>
  </si>
  <si>
    <t>40 Days</t>
  </si>
  <si>
    <t>D/2025/PO/000251</t>
  </si>
  <si>
    <t>The Adityaraj Production-Del</t>
  </si>
  <si>
    <t>12503 The Adityaraj Production</t>
  </si>
  <si>
    <t>PRAVEEN</t>
  </si>
  <si>
    <t>A/2025/PO/000360</t>
  </si>
  <si>
    <t>Harsh Mudliyar  -CR</t>
  </si>
  <si>
    <t>A/2025/PO/000359</t>
  </si>
  <si>
    <t>Asif Khan  -CR</t>
  </si>
  <si>
    <t>A/2025/PO/000358</t>
  </si>
  <si>
    <t>Sunil Sawant -CR</t>
  </si>
  <si>
    <t>A/2025/PO/000355</t>
  </si>
  <si>
    <t>Fabworth Promoters Pvt Ltd-Mum</t>
  </si>
  <si>
    <t>10282  Fabworth Promoters Pvt Ltd</t>
  </si>
  <si>
    <t>SB 22355</t>
  </si>
  <si>
    <t>Harsh Mudliyar</t>
  </si>
  <si>
    <t>A/2025/PO/000356</t>
  </si>
  <si>
    <t>360 Bright Media-Mum</t>
  </si>
  <si>
    <t>10105 360 Bright Media</t>
  </si>
  <si>
    <t>A/2025/PO/000357</t>
  </si>
  <si>
    <t>Prince Graphics Pvt Ltd-Mum</t>
  </si>
  <si>
    <t>12284  Prince Graphics Pvt Ltd</t>
  </si>
  <si>
    <t xml:space="preserve">Maitree Dang
</t>
  </si>
  <si>
    <t>1132687 Maitree Dang</t>
  </si>
  <si>
    <t>A/2025/PO/000361</t>
  </si>
  <si>
    <t>SB 22351</t>
  </si>
  <si>
    <t>A/2025/PO/000362</t>
  </si>
  <si>
    <t>A/2025/PO/000363</t>
  </si>
  <si>
    <t>Mumbai Shree Garjana (Ajay Adsule)-Mum</t>
  </si>
  <si>
    <t>10760 Mumbai Shree Garjana (Ajay Adsule)</t>
  </si>
  <si>
    <t>A/2025/PO/000364</t>
  </si>
  <si>
    <t>A/2025/PO/000365</t>
  </si>
  <si>
    <t>Sagar Traders-Mum</t>
  </si>
  <si>
    <t>11387 Sagar Traders</t>
  </si>
  <si>
    <t>A/2025/PO/000366</t>
  </si>
  <si>
    <t>Shakti Digital-Mum</t>
  </si>
  <si>
    <t>12379 Shakti Digital</t>
  </si>
  <si>
    <t>A/2025/PO/000367</t>
  </si>
  <si>
    <t>Ambika Print Solutions-Mum</t>
  </si>
  <si>
    <t>11155 Ambika Print Solutions</t>
  </si>
  <si>
    <t>A/2025/PO/000368</t>
  </si>
  <si>
    <t>A/2025/PO/000369</t>
  </si>
  <si>
    <t>A/2025/PO/000370</t>
  </si>
  <si>
    <t>A/2025/PO/000371</t>
  </si>
  <si>
    <t>B/2025/PO/000171</t>
  </si>
  <si>
    <t>Lalit Arts India-Del</t>
  </si>
  <si>
    <t>12092 Lalit Arts India</t>
  </si>
  <si>
    <t>Rushabh Upadhyay</t>
  </si>
  <si>
    <t>B/2025/PO/000172</t>
  </si>
  <si>
    <t>B/2025/PO/000173</t>
  </si>
  <si>
    <t>B/2025/PO/000174</t>
  </si>
  <si>
    <t>B/2025/PO/000175</t>
  </si>
  <si>
    <t>Akshar Trading Company-Blr</t>
  </si>
  <si>
    <t>11651 Akshar Trading Company</t>
  </si>
  <si>
    <t>SB 22327</t>
  </si>
  <si>
    <t>B/2025/PO/000176</t>
  </si>
  <si>
    <t>Global Info Solution-Blr</t>
  </si>
  <si>
    <t>10653 Global Info Solution</t>
  </si>
  <si>
    <t>SB 22290</t>
  </si>
  <si>
    <t>B/2025/PO/000177</t>
  </si>
  <si>
    <t>Comfort Grid Technologies Pvt Ltd (OTV)-Blr</t>
  </si>
  <si>
    <t>SB 22156</t>
  </si>
  <si>
    <t>Shiva Shankar</t>
  </si>
  <si>
    <t>1131907 Shiva Shankar</t>
  </si>
  <si>
    <t>B/2025/PO/000178</t>
  </si>
  <si>
    <t>B/2025/PO/000179</t>
  </si>
  <si>
    <t>B/2025/PO/000180</t>
  </si>
  <si>
    <t>C/2025/PO/000070</t>
  </si>
  <si>
    <t>Mj Digital-Che</t>
  </si>
  <si>
    <t>12157 MJ Digital</t>
  </si>
  <si>
    <t>C/2025/PO/000071</t>
  </si>
  <si>
    <t>Shanmugam J-Che</t>
  </si>
  <si>
    <t>12917 Shanmugam J</t>
  </si>
  <si>
    <t>D/2025/PO/000240</t>
  </si>
  <si>
    <t>Bhavika Vig? -CR</t>
  </si>
  <si>
    <t>BHAVIKA VIG</t>
  </si>
  <si>
    <t>1143158 Bhavika Vig</t>
  </si>
  <si>
    <t>D/2025/PO/000241</t>
  </si>
  <si>
    <t>Khushi Khare  -CR</t>
  </si>
  <si>
    <t>KHUSHI KHARE</t>
  </si>
  <si>
    <t>1136511 Khushi Khare</t>
  </si>
  <si>
    <t>D/2025/PO/000242</t>
  </si>
  <si>
    <t>Shruti Gupta  -CR</t>
  </si>
  <si>
    <t>D/2025/PO/000243</t>
  </si>
  <si>
    <t>Sonia Thakur............ -CR</t>
  </si>
  <si>
    <t>D/2025/PO/000244</t>
  </si>
  <si>
    <t>D/2025/PO/000245</t>
  </si>
  <si>
    <t>Rahul Mehta  -CR</t>
  </si>
  <si>
    <t>Rahul Mehta</t>
  </si>
  <si>
    <t>1143647 Rahul Mehta</t>
  </si>
  <si>
    <t>D/2025/PO/000246</t>
  </si>
  <si>
    <t>Arunima Sharma  -CR</t>
  </si>
  <si>
    <t>Arunima Sharma</t>
  </si>
  <si>
    <t>1136810 Arunima Sharma</t>
  </si>
  <si>
    <t>D/2025/PO/000247</t>
  </si>
  <si>
    <t>Aishwarya Sakshi  -CR</t>
  </si>
  <si>
    <t>Aishwarya Sakshi</t>
  </si>
  <si>
    <t>1143403 Aishwarya Sakshi</t>
  </si>
  <si>
    <t>D/2025/PO/000248</t>
  </si>
  <si>
    <t>Skeleton Dance Crew-Del</t>
  </si>
  <si>
    <t>10920 Skeleton Dance Crew</t>
  </si>
  <si>
    <t>D/2025/PO/000249</t>
  </si>
  <si>
    <t>D/2025/PO/000250</t>
  </si>
  <si>
    <t>D/2025/PO/000252</t>
  </si>
  <si>
    <t>Zing Creations-Del</t>
  </si>
  <si>
    <t>12641 Zing Creations</t>
  </si>
  <si>
    <t>D/2025/PO/000254</t>
  </si>
  <si>
    <t>Abhinava Ghosh-Del</t>
  </si>
  <si>
    <t>10507 Abhinava Ghosh</t>
  </si>
  <si>
    <t>NIKHIL</t>
  </si>
  <si>
    <t>D/2025/PO/000255</t>
  </si>
  <si>
    <t>D/2025/PO/000257</t>
  </si>
  <si>
    <t>D/2025/PO/000258</t>
  </si>
  <si>
    <t>Harjinder Singh-Del</t>
  </si>
  <si>
    <t>12702 Harjinder Singh</t>
  </si>
  <si>
    <t>D/2025/PO/000253</t>
  </si>
  <si>
    <t>Ajay Sharma-Del</t>
  </si>
  <si>
    <t>12691 Ajay Sharma</t>
  </si>
  <si>
    <t>SB 22278</t>
  </si>
  <si>
    <t>D/2025/PO/000259</t>
  </si>
  <si>
    <t>Arudhi Sharma-Del</t>
  </si>
  <si>
    <t>10548 Arudhi Sharma</t>
  </si>
  <si>
    <t>Prerna</t>
  </si>
  <si>
    <t>1132254 Prerna Tandon</t>
  </si>
  <si>
    <t>D/2025/PO/000260</t>
  </si>
  <si>
    <t>D/2025/PO/000261</t>
  </si>
  <si>
    <t>Kailash Chander Pant-Del</t>
  </si>
  <si>
    <t>12703 Kailash Chander Pant</t>
  </si>
  <si>
    <t>A/2025/PO/000372</t>
  </si>
  <si>
    <t>Atharva Shinde-Mum</t>
  </si>
  <si>
    <t>10555 Atharva Shinde</t>
  </si>
  <si>
    <t>SB 22361</t>
  </si>
  <si>
    <t xml:space="preserve">Mayur Thakkar
</t>
  </si>
  <si>
    <t>1044811 Mayur Thakkar</t>
  </si>
  <si>
    <t>A/2025/PO/000373</t>
  </si>
  <si>
    <t>A/2025/PO/000374</t>
  </si>
  <si>
    <t>Balaji Enterprises (Vinod Dalvi)-Mum</t>
  </si>
  <si>
    <t>11712 Balaji Enterprises (Vinod Dalvi)</t>
  </si>
  <si>
    <t>A/2025/PO/000375</t>
  </si>
  <si>
    <t>A/2025/PO/000376</t>
  </si>
  <si>
    <t>SB 22353</t>
  </si>
  <si>
    <t>A/2025/PO/000377</t>
  </si>
  <si>
    <t>A/2025/PO/000378</t>
  </si>
  <si>
    <t>A/2025/PO/000379</t>
  </si>
  <si>
    <t>A/2025/PO/000380</t>
  </si>
  <si>
    <t>A/2025/PO/000381</t>
  </si>
  <si>
    <t>A/2025/PO/000382</t>
  </si>
  <si>
    <t>A/2025/PO/000383</t>
  </si>
  <si>
    <t>A/2025/PO/000384</t>
  </si>
  <si>
    <t xml:space="preserve">Pranil Buva
</t>
  </si>
  <si>
    <t>1129258 Pranil Buva</t>
  </si>
  <si>
    <t>A/2025/PO/000385</t>
  </si>
  <si>
    <t xml:space="preserve">Asif Khan
</t>
  </si>
  <si>
    <t>1131709 Asif Hakim Khan</t>
  </si>
  <si>
    <t>A/2025/PO/000386</t>
  </si>
  <si>
    <t>M K Interior-Mum</t>
  </si>
  <si>
    <t>11041 M K Interior</t>
  </si>
  <si>
    <t>A/2025/PO/000387</t>
  </si>
  <si>
    <t>KVS Rostam Hires-Mum</t>
  </si>
  <si>
    <t>12088 KVS Rostam Hires</t>
  </si>
  <si>
    <t>A/2025/PO/000388</t>
  </si>
  <si>
    <t>Sharad More-Mum</t>
  </si>
  <si>
    <t>10209 Sharad More</t>
  </si>
  <si>
    <t>A/2025/PO/000389</t>
  </si>
  <si>
    <t>PT Iplanner Bali Jaya-Mum</t>
  </si>
  <si>
    <t>12764 PT Iplanner Bali Jaya</t>
  </si>
  <si>
    <t>A/2025/PO/000390</t>
  </si>
  <si>
    <t>A/2025/PO/000391</t>
  </si>
  <si>
    <t>A/2025/PO/000392</t>
  </si>
  <si>
    <t>A/2025/PO/000393</t>
  </si>
  <si>
    <t>A/2025/PO/000394</t>
  </si>
  <si>
    <t>RJ Anmol (Anmol Sood)-Mum</t>
  </si>
  <si>
    <t>12934 RJ Anmol (Anmol Sood)</t>
  </si>
  <si>
    <t>SB 22368</t>
  </si>
  <si>
    <t>A/2025/PO/000399</t>
  </si>
  <si>
    <t>Krisha Chheda  -CR</t>
  </si>
  <si>
    <t>A/2025/PO/000395</t>
  </si>
  <si>
    <t>Third Wave Services Pvt Ltd-Mum</t>
  </si>
  <si>
    <t>12539  Third Wave Services Pvt Ltd</t>
  </si>
  <si>
    <t>A/2025/PO/000401</t>
  </si>
  <si>
    <t>A/2025/PO/000400</t>
  </si>
  <si>
    <t>A/2025/PO/000398</t>
  </si>
  <si>
    <t>A/2025/PO/000397</t>
  </si>
  <si>
    <t>Aalhad Bavkar  -CR</t>
  </si>
  <si>
    <t>A/2025/PO/000396</t>
  </si>
  <si>
    <t>Foodies Hospitality LLP-Mum</t>
  </si>
  <si>
    <t>11927 Foodies Hospitality LLP</t>
  </si>
  <si>
    <t>A/2025/PO/000405</t>
  </si>
  <si>
    <t>Rajhans Retail Services (Amazon)-Mum</t>
  </si>
  <si>
    <t>12949 Rajhans Retail Services (Amazon)</t>
  </si>
  <si>
    <t>Sagar Dixit</t>
  </si>
  <si>
    <t>B/2025/PO/000181</t>
  </si>
  <si>
    <t>SB 22377</t>
  </si>
  <si>
    <t>B/2025/PO/000182</t>
  </si>
  <si>
    <t>Taj Yeshwantpur,Bengaluru (The Indian Hotels Co Ltd)-Blr</t>
  </si>
  <si>
    <t>12922  Taj Yeshwantpur,Bengaluru (The Indian Hotels Co Ltd)</t>
  </si>
  <si>
    <t xml:space="preserve">Deepak Khairnar
</t>
  </si>
  <si>
    <t>1127205 Deepak Khairnar</t>
  </si>
  <si>
    <t>C/2025/PO/000072</t>
  </si>
  <si>
    <t>SB 22356</t>
  </si>
  <si>
    <t>C/2025/PO/000073</t>
  </si>
  <si>
    <t>DJ Raj (Rajkumar S)-Che</t>
  </si>
  <si>
    <t>12784 DJ Raj (Rajkumar S)</t>
  </si>
  <si>
    <t>C/2025/PO/000074</t>
  </si>
  <si>
    <t>C/2025/PO/000075</t>
  </si>
  <si>
    <t>C/2025/PO/000076</t>
  </si>
  <si>
    <t>C/2025/PO/000077</t>
  </si>
  <si>
    <t>D/2025/PO/000256</t>
  </si>
  <si>
    <t>DEEPIKA SHARMA</t>
  </si>
  <si>
    <t>D/2025/PO/000262</t>
  </si>
  <si>
    <t>Yash Sharma-Del</t>
  </si>
  <si>
    <t>11005 Yash Sharma</t>
  </si>
  <si>
    <t>D/2025/PO/000263</t>
  </si>
  <si>
    <t>Sambhav Babbar-Del</t>
  </si>
  <si>
    <t>10878 Sambhav Babbar</t>
  </si>
  <si>
    <t>D/2025/PO/000264</t>
  </si>
  <si>
    <t>Muhavra Enterprises Pvt Ltd-Del</t>
  </si>
  <si>
    <t>12173  Muhavra Enterprises Pvt Ltd</t>
  </si>
  <si>
    <t>SB 22240</t>
  </si>
  <si>
    <t>D/2025/PO/000265</t>
  </si>
  <si>
    <t>2626 Creative Studio Pvt Ltd-Del</t>
  </si>
  <si>
    <t>12765  2626 Creative Studio Pvt Ltd</t>
  </si>
  <si>
    <t>D/2025/PO/000266</t>
  </si>
  <si>
    <t>Garima Rathore-Del</t>
  </si>
  <si>
    <t>10644 Garima Rathore</t>
  </si>
  <si>
    <t>D/2025/PO/000267</t>
  </si>
  <si>
    <t>P Arora and Associates Pvt Ltd-Del</t>
  </si>
  <si>
    <t>12929  P Arora and Associates Pvt Ltd</t>
  </si>
  <si>
    <t>D/2025/PO/000268</t>
  </si>
  <si>
    <t>Royal Vacations Corporate Planners-Del</t>
  </si>
  <si>
    <t>12812 Royal Vacations Corporate Planners</t>
  </si>
  <si>
    <t>AMIR GIRI</t>
  </si>
  <si>
    <t>D/2025/PO/000269</t>
  </si>
  <si>
    <t>D/2025/PO/000270</t>
  </si>
  <si>
    <t>D/2025/PO/000271</t>
  </si>
  <si>
    <t>D/2025/PO/000272</t>
  </si>
  <si>
    <t>D/2025/PO/000273</t>
  </si>
  <si>
    <t>Rahul Sabar-Del</t>
  </si>
  <si>
    <t>12931 Rahul Sabar</t>
  </si>
  <si>
    <t>A/2025/PO/000424</t>
  </si>
  <si>
    <t>A/2025/PO/000423</t>
  </si>
  <si>
    <t>A/2025/PO/000418</t>
  </si>
  <si>
    <t>A/2025/PO/000417</t>
  </si>
  <si>
    <t>A/2025/PO/000416</t>
  </si>
  <si>
    <t>A/2025/PO/000402</t>
  </si>
  <si>
    <t>A/2025/PO/000403</t>
  </si>
  <si>
    <t>Elleven Media And Talent Agency Pvt Ltd-Del</t>
  </si>
  <si>
    <t>10631  Elleven Media And Talent Agency Pvt Ltd</t>
  </si>
  <si>
    <t>SB 22370</t>
  </si>
  <si>
    <t>A/2025/PO/000404</t>
  </si>
  <si>
    <t>A/2025/PO/000406</t>
  </si>
  <si>
    <t>A/2025/PO/000413</t>
  </si>
  <si>
    <t>A/2025/PO/000412</t>
  </si>
  <si>
    <t>Samadhan Babar -CR</t>
  </si>
  <si>
    <t>A/2025/PO/000408</t>
  </si>
  <si>
    <t>A/2025/PO/000407</t>
  </si>
  <si>
    <t>A/2025/PO/000409</t>
  </si>
  <si>
    <t>A/2025/PO/000410</t>
  </si>
  <si>
    <t>A/2025/PO/000411</t>
  </si>
  <si>
    <t>Drum Caf?Mum</t>
  </si>
  <si>
    <t>A/2025/PO/000414</t>
  </si>
  <si>
    <t>SB 22365</t>
  </si>
  <si>
    <t>A/2025/PO/000415</t>
  </si>
  <si>
    <t>A/2025/PO/000419</t>
  </si>
  <si>
    <t>Event City - An Affair To Remember-Mum</t>
  </si>
  <si>
    <t>A/2025/PO/000420</t>
  </si>
  <si>
    <t>A/2025/PO/000421</t>
  </si>
  <si>
    <t>A/2025/PO/000422</t>
  </si>
  <si>
    <t>A/2025/PO/000425</t>
  </si>
  <si>
    <t>Maadhu Creatives Production LLP-Mum</t>
  </si>
  <si>
    <t>12965 Maadhu Creatives Production LLP</t>
  </si>
  <si>
    <t>SB 22375</t>
  </si>
  <si>
    <t>A/2025/PO/000426</t>
  </si>
  <si>
    <t>A/2025/PO/000427</t>
  </si>
  <si>
    <t>A/2025/PO/000428</t>
  </si>
  <si>
    <t>A/2025/PO/000429</t>
  </si>
  <si>
    <t>A/2025/PO/000430</t>
  </si>
  <si>
    <t>A/2025/PO/000431</t>
  </si>
  <si>
    <t>A/2025/PO/000432</t>
  </si>
  <si>
    <t>A/2025/PO/000433</t>
  </si>
  <si>
    <t>A/2025/PO/000434</t>
  </si>
  <si>
    <t>Bombay Swadeshi Stores Ltd-Mum</t>
  </si>
  <si>
    <t>11179  Bombay Swadeshi Stores Ltd</t>
  </si>
  <si>
    <t>SB 22376</t>
  </si>
  <si>
    <t>A/2025/PO/000435</t>
  </si>
  <si>
    <t>TML Agency LLP-Mum</t>
  </si>
  <si>
    <t>12975 TML Agency LLP</t>
  </si>
  <si>
    <t>A/2025/PO/000436</t>
  </si>
  <si>
    <t>B/2025/PO/000183</t>
  </si>
  <si>
    <t>SB 22363</t>
  </si>
  <si>
    <t>B/2025/PO/000184</t>
  </si>
  <si>
    <t>Taylored Eventz-Blr</t>
  </si>
  <si>
    <t>12489 Taylored Eventz</t>
  </si>
  <si>
    <t>B/2025/PO/000185</t>
  </si>
  <si>
    <t>Rea Studio-Blr</t>
  </si>
  <si>
    <t>10074 Rea Studio</t>
  </si>
  <si>
    <t>B/2025/PO/000186</t>
  </si>
  <si>
    <t>B/2025/PO/000187</t>
  </si>
  <si>
    <t>B/2025/PO/000188</t>
  </si>
  <si>
    <t>House Of Lords Owners Association-Blr</t>
  </si>
  <si>
    <t>11013 House Of Lords Owners Association</t>
  </si>
  <si>
    <t>B/2025/PO/000189</t>
  </si>
  <si>
    <t>Raj Latotra</t>
  </si>
  <si>
    <t>1139068 Raj Latotra</t>
  </si>
  <si>
    <t>B/2025/PO/000190</t>
  </si>
  <si>
    <t>B/2025/PO/000191</t>
  </si>
  <si>
    <t>Ashwini D  -CR</t>
  </si>
  <si>
    <t>B/2025/PO/000192</t>
  </si>
  <si>
    <t>Farhan Sharif</t>
  </si>
  <si>
    <t>B/2025/PO/000193</t>
  </si>
  <si>
    <t>Citi Cabs Inc-Blr</t>
  </si>
  <si>
    <t>10028 Citi Cabs Inc</t>
  </si>
  <si>
    <t>C/2025/PO/000078</t>
  </si>
  <si>
    <t>C/2025/PO/000079</t>
  </si>
  <si>
    <t>D/2025/PO/000274</t>
  </si>
  <si>
    <t>D/2025/PO/000275</t>
  </si>
  <si>
    <t>Eyetalk Media Communication Pvt Ltd-Del</t>
  </si>
  <si>
    <t>11908  Eyetalk Media Communication Pvt Ltd</t>
  </si>
  <si>
    <t>SB 22343</t>
  </si>
  <si>
    <t>Tribhuvan Kappor</t>
  </si>
  <si>
    <t>D/2025/PO/000276</t>
  </si>
  <si>
    <t>TRIBHUVAN</t>
  </si>
  <si>
    <t>A/2025/PO/000437</t>
  </si>
  <si>
    <t>Zehra A Currimbhoy-Mum</t>
  </si>
  <si>
    <t>11499 Zehra A Currimbhoy</t>
  </si>
  <si>
    <t>A/2025/PO/000444</t>
  </si>
  <si>
    <t>A/2025/PO/000443</t>
  </si>
  <si>
    <t>Sarfaraz Memon -CR</t>
  </si>
  <si>
    <t>A/2025/PO/000445</t>
  </si>
  <si>
    <t>Arun More  -CR</t>
  </si>
  <si>
    <t>A/2025/PO/000442</t>
  </si>
  <si>
    <t>A/2025/PO/000441</t>
  </si>
  <si>
    <t>A/2025/PO/000440</t>
  </si>
  <si>
    <t>A/2025/PO/000439</t>
  </si>
  <si>
    <t>A/2025/PO/000438</t>
  </si>
  <si>
    <t>A/2025/PO/000446</t>
  </si>
  <si>
    <t>B/2025/PO/000194</t>
  </si>
  <si>
    <t>B/2025/PO/000195</t>
  </si>
  <si>
    <t>B/2025/PO/000197</t>
  </si>
  <si>
    <t>B/2025/PO/000196</t>
  </si>
  <si>
    <t>B/2025/PO/000198</t>
  </si>
  <si>
    <t>Srinivasa Dasari  -CR</t>
  </si>
  <si>
    <t>B/2025/PO/000199</t>
  </si>
  <si>
    <t>Srinivas Dasari</t>
  </si>
  <si>
    <t>B/2025/PO/000200</t>
  </si>
  <si>
    <t>B/2025/PO/000201</t>
  </si>
  <si>
    <t>SB 22374</t>
  </si>
  <si>
    <t>B/2025/PO/000202</t>
  </si>
  <si>
    <t>C/2025/PO/000080</t>
  </si>
  <si>
    <t>Tamilnadu Trade Promotion Organisation-Che</t>
  </si>
  <si>
    <t>12951  Tamilnadu Trade Promotion Organisation</t>
  </si>
  <si>
    <t>SB 22381</t>
  </si>
  <si>
    <t>Umesh</t>
  </si>
  <si>
    <t>1138598 Umesh Sharma</t>
  </si>
  <si>
    <t>C/2025/PO/000081</t>
  </si>
  <si>
    <t>Showmedia Solution Private Limited-Che</t>
  </si>
  <si>
    <t>D/2025/PO/000277</t>
  </si>
  <si>
    <t>VARUN SONDHI</t>
  </si>
  <si>
    <t>D/2025/PO/000278</t>
  </si>
  <si>
    <t>D/2025/PO/000279</t>
  </si>
  <si>
    <t>D/2025/PO/000280</t>
  </si>
  <si>
    <t>D/2025/PO/000281</t>
  </si>
  <si>
    <t>D/2025/PO/000282</t>
  </si>
  <si>
    <t>D/2025/PO/000283</t>
  </si>
  <si>
    <t>Pavleen Chandhok-Del</t>
  </si>
  <si>
    <t>10803 Pavleen Chandhok</t>
  </si>
  <si>
    <t>D/2025/PO/000284</t>
  </si>
  <si>
    <t>D/2025/PO/000285</t>
  </si>
  <si>
    <t>SB 22357</t>
  </si>
  <si>
    <t>D/2025/PO/000286</t>
  </si>
  <si>
    <t>D/2025/PO/000287</t>
  </si>
  <si>
    <t>Amarpreet Singh........... -CR</t>
  </si>
  <si>
    <t>Amar</t>
  </si>
  <si>
    <t>D/2025/PO/000288</t>
  </si>
  <si>
    <t>Amit Kumar Giri  -CR</t>
  </si>
  <si>
    <t>D/2025/PO/000289</t>
  </si>
  <si>
    <t>Anil Kumar</t>
  </si>
  <si>
    <t>D/2025/PO/000290</t>
  </si>
  <si>
    <t>D/2025/PO/000291</t>
  </si>
  <si>
    <t>Naveen Mandal  -CR</t>
  </si>
  <si>
    <t>10765 Naveen Mandal</t>
  </si>
  <si>
    <t>D/2025/PO/000292</t>
  </si>
  <si>
    <t>Sushil Nain  -CR</t>
  </si>
  <si>
    <t>Sushil</t>
  </si>
  <si>
    <t>D/2025/PO/000293</t>
  </si>
  <si>
    <t>D/2025/PO/000294</t>
  </si>
  <si>
    <t>D/2025/PO/000295</t>
  </si>
  <si>
    <t>D/2025/PO/000296</t>
  </si>
  <si>
    <t>D/2025/PO/000297</t>
  </si>
  <si>
    <t>TRAVELLING EXP(EVENT) (DE)</t>
  </si>
  <si>
    <t>Travelling Exp - Events</t>
  </si>
  <si>
    <t>Amit Kumar</t>
  </si>
  <si>
    <t>D/2025/PO/000298</t>
  </si>
  <si>
    <t>D/2025/PO/000299</t>
  </si>
  <si>
    <t>Bitu</t>
  </si>
  <si>
    <t>1138730 Bitu Kumar</t>
  </si>
  <si>
    <t>D/2025/PO/000300</t>
  </si>
  <si>
    <t>Gurpreet Singh Khani...........  -CR</t>
  </si>
  <si>
    <t>D/2025/PO/000301</t>
  </si>
  <si>
    <t>Sports Authority of India-Del</t>
  </si>
  <si>
    <t>11427 Sports Authority of India</t>
  </si>
  <si>
    <t>D/2025/PO/000302</t>
  </si>
  <si>
    <t>Karan Nischal......  -CR</t>
  </si>
  <si>
    <t>Karan</t>
  </si>
  <si>
    <t>1143165 Karan Nischal</t>
  </si>
  <si>
    <t>D/2025/PO/000303</t>
  </si>
  <si>
    <t>D/2025/PO/000304</t>
  </si>
  <si>
    <t>D/2025/PO/000305</t>
  </si>
  <si>
    <t>D/2025/PO/000306</t>
  </si>
  <si>
    <t>D/2025/PO/000307</t>
  </si>
  <si>
    <t>D/2025/PO/000308</t>
  </si>
  <si>
    <t>D/2025/PO/000309</t>
  </si>
  <si>
    <t>Ravi K</t>
  </si>
  <si>
    <t>D/2025/PO/000310</t>
  </si>
  <si>
    <t>Naveen Mandal</t>
  </si>
  <si>
    <t>D/2025/PO/000311</t>
  </si>
  <si>
    <t>D/2025/PO/000312</t>
  </si>
  <si>
    <t>Vijender</t>
  </si>
  <si>
    <t>D/2025/PO/000313</t>
  </si>
  <si>
    <t>Jagdish Kumar Singh........-CR</t>
  </si>
  <si>
    <t>Jagdish Singh</t>
  </si>
  <si>
    <t>1045060 Jagdish Chand Joshi</t>
  </si>
  <si>
    <t>D/2025/PO/000314</t>
  </si>
  <si>
    <t>D/2025/PO/000315</t>
  </si>
  <si>
    <t>D/2025/PO/000316</t>
  </si>
  <si>
    <t>D/2025/PO/000317</t>
  </si>
  <si>
    <t>D/2025/PO/000318</t>
  </si>
  <si>
    <t>A/2025/PO/Gen/0009</t>
  </si>
  <si>
    <t>A/2025/PO/000471</t>
  </si>
  <si>
    <t>A/2025/PO/000469</t>
  </si>
  <si>
    <t>A/2025/PO/000468</t>
  </si>
  <si>
    <t>A/2025/PO/000467</t>
  </si>
  <si>
    <t>Pranil Buva  -CR</t>
  </si>
  <si>
    <t>A/2025/PO/000466</t>
  </si>
  <si>
    <t>A/2025/PO/000465</t>
  </si>
  <si>
    <t>A/2025/PO/000464</t>
  </si>
  <si>
    <t>A/2025/PO/000463</t>
  </si>
  <si>
    <t>A/2025/PO/000447</t>
  </si>
  <si>
    <t>Bisleri International Pvt Ltd-Mum</t>
  </si>
  <si>
    <t>11508  Bisleri International Pvt Ltd</t>
  </si>
  <si>
    <t>A/2025/PO/000448</t>
  </si>
  <si>
    <t>A/2025/PO/000449</t>
  </si>
  <si>
    <t>A/2025/PO/000450</t>
  </si>
  <si>
    <t>Sam Infosystems Pvt Ltd-Mum</t>
  </si>
  <si>
    <t>10206  Sam Infosystems Pvt Ltd</t>
  </si>
  <si>
    <t>SB 22379</t>
  </si>
  <si>
    <t>A/2025/PO/000451</t>
  </si>
  <si>
    <t>A/2025/PO/000452</t>
  </si>
  <si>
    <t>Sound Decisions.Com-Mum</t>
  </si>
  <si>
    <t>11133 Sound Decisions.Com</t>
  </si>
  <si>
    <t>A/2025/PO/000453</t>
  </si>
  <si>
    <t>A/2025/PO/000454</t>
  </si>
  <si>
    <t>A/2025/PO/000455</t>
  </si>
  <si>
    <t>A/2025/PO/000456</t>
  </si>
  <si>
    <t>A/2025/PO/000459</t>
  </si>
  <si>
    <t>A/2025/PO/000457</t>
  </si>
  <si>
    <t>A/2025/PO/000458</t>
  </si>
  <si>
    <t>A/2025/PO/000460</t>
  </si>
  <si>
    <t>A/2025/PO/000461</t>
  </si>
  <si>
    <t>A/2025/PO/000462</t>
  </si>
  <si>
    <t>A/2025/PO/000470</t>
  </si>
  <si>
    <t>B/2025/PO/000203</t>
  </si>
  <si>
    <t>CFT360 Design Studio Pvt Ltd-Blr</t>
  </si>
  <si>
    <t>11759  CFT360 Design Studio Pvt Ltd</t>
  </si>
  <si>
    <t>B/2025/PO/000204</t>
  </si>
  <si>
    <t>Safina Ventures Pvt Ltd-Blr</t>
  </si>
  <si>
    <t>12970  Safina Ventures Pvt Ltd</t>
  </si>
  <si>
    <t>SB 22380</t>
  </si>
  <si>
    <t>B/2025/PO/000205</t>
  </si>
  <si>
    <t>C/2025/PO/000082</t>
  </si>
  <si>
    <t>C/2025/PO/000083</t>
  </si>
  <si>
    <t>C/2025/PO/000084</t>
  </si>
  <si>
    <t>C/2025/PO/000085</t>
  </si>
  <si>
    <t>C/2025/PO/000086</t>
  </si>
  <si>
    <t>C/2025/PO/000087</t>
  </si>
  <si>
    <t>C/2025/PO/000088</t>
  </si>
  <si>
    <t>C/2025/PO/000089</t>
  </si>
  <si>
    <t>D/2025/PO/000319</t>
  </si>
  <si>
    <t>Anil Singh</t>
  </si>
  <si>
    <t>D/2025/PO/000320</t>
  </si>
  <si>
    <t>D/2025/PO/000321</t>
  </si>
  <si>
    <t>D/2025/PO/000322</t>
  </si>
  <si>
    <t>Utkarsh</t>
  </si>
  <si>
    <t>D/2025/PO/000323</t>
  </si>
  <si>
    <t>D/2025/PO/000324</t>
  </si>
  <si>
    <t>Ayush Tanwar  -CR</t>
  </si>
  <si>
    <t>Ayush</t>
  </si>
  <si>
    <t>1139552 Ayush Tanwar</t>
  </si>
  <si>
    <t>D/2025/PO/000325</t>
  </si>
  <si>
    <t>Shadab Khan..............-CR</t>
  </si>
  <si>
    <t>Shadab Khan</t>
  </si>
  <si>
    <t>1044935 Shadab Khan</t>
  </si>
  <si>
    <t>D/2025/PO/000326</t>
  </si>
  <si>
    <t>Keshav</t>
  </si>
  <si>
    <t>D/2025/PO/000327</t>
  </si>
  <si>
    <t>Lamour Voyages Pvt Ltd-Del</t>
  </si>
  <si>
    <t>10357  Lamour Voyages Pvt Ltd</t>
  </si>
  <si>
    <t>D/2025/PO/000328</t>
  </si>
  <si>
    <t>D/2025/PO/000329</t>
  </si>
  <si>
    <t>D/2025/PO/000330</t>
  </si>
  <si>
    <t>D/2025/PO/000331</t>
  </si>
  <si>
    <t>Om Dhawan  -CR</t>
  </si>
  <si>
    <t>Om</t>
  </si>
  <si>
    <t>1134313 Om Dhawan</t>
  </si>
  <si>
    <t>D/2025/PO/000332</t>
  </si>
  <si>
    <t>K Onestationers-Del</t>
  </si>
  <si>
    <t>11518 K Onestationers</t>
  </si>
  <si>
    <t>D/2025/PO/000333</t>
  </si>
  <si>
    <t>Select Brands International Pvt Ltd-Mum</t>
  </si>
  <si>
    <t>12982  Select Brands International Pvt Ltd</t>
  </si>
  <si>
    <t>Sambhav</t>
  </si>
  <si>
    <t>1145081 Sambhav Babbar</t>
  </si>
  <si>
    <t>D/2025/PO/000334</t>
  </si>
  <si>
    <t>D/2025/PO/000335</t>
  </si>
  <si>
    <t>A/2025/PO/Gen/0010</t>
  </si>
  <si>
    <t>A/2025/PO/Gen/0011</t>
  </si>
  <si>
    <t>A/2025/PO/Gen/0012</t>
  </si>
  <si>
    <t>A/2025/PO/000482</t>
  </si>
  <si>
    <t>A/2025/PO/000481</t>
  </si>
  <si>
    <t>A/2025/PO/000472</t>
  </si>
  <si>
    <t>Courtyard Marriot Hotel Mumbai (Kanika Hotels)-Mum</t>
  </si>
  <si>
    <t>10270  Courtyard Marriot Hotel Mumbai (Kanika Hotels)</t>
  </si>
  <si>
    <t>A/2025/PO/000473</t>
  </si>
  <si>
    <t>A/2025/PO/000475</t>
  </si>
  <si>
    <t>A/2025/PO/000479</t>
  </si>
  <si>
    <t>A/2025/PO/000478</t>
  </si>
  <si>
    <t>A/2025/PO/000477</t>
  </si>
  <si>
    <t>A/2025/PO/000476</t>
  </si>
  <si>
    <t>Justin Francis Vadakkan  -CR</t>
  </si>
  <si>
    <t>A/2025/PO/000480</t>
  </si>
  <si>
    <t>A/2025/PO/000474</t>
  </si>
  <si>
    <t>A/2025/PO/000483</t>
  </si>
  <si>
    <t>Lalit Great Eastern Kolkata Hotel Ltd-Mum</t>
  </si>
  <si>
    <t>10356  Lalit Great Eastern Kolkata Hotel Ltd</t>
  </si>
  <si>
    <t>A/2025/PO/000484</t>
  </si>
  <si>
    <t>Abhay Deol-Mum</t>
  </si>
  <si>
    <t>12926 Abhay Deol</t>
  </si>
  <si>
    <t>SB 22386</t>
  </si>
  <si>
    <t>Atharva Shinde</t>
  </si>
  <si>
    <t>A/2025/PO/000485</t>
  </si>
  <si>
    <t>A/2025/PO/000486</t>
  </si>
  <si>
    <t>A/2025/PO/000487</t>
  </si>
  <si>
    <t>Shreeji International-Mum</t>
  </si>
  <si>
    <t>11406 Shreeji International</t>
  </si>
  <si>
    <t>SB 22388</t>
  </si>
  <si>
    <t>B/2025/PO/000206</t>
  </si>
  <si>
    <t>B/2025/PO/000207</t>
  </si>
  <si>
    <t>SB 22311</t>
  </si>
  <si>
    <t>Arun M</t>
  </si>
  <si>
    <t>B/2025/PO/000208</t>
  </si>
  <si>
    <t>B/2025/PO/000209</t>
  </si>
  <si>
    <t>B/2025/PO/000210</t>
  </si>
  <si>
    <t>B/2025/PO/000211</t>
  </si>
  <si>
    <t>B/2025/PO/000212</t>
  </si>
  <si>
    <t>Radhatech Inc-Blr</t>
  </si>
  <si>
    <t>12305 Radhatech Inc</t>
  </si>
  <si>
    <t>B/2025/PO/000213</t>
  </si>
  <si>
    <t>B/2025/PO/000214</t>
  </si>
  <si>
    <t>D/2025/PO/000336</t>
  </si>
  <si>
    <t>House of Hestia (OPC) Pvt Ltd-Del</t>
  </si>
  <si>
    <t>12983  House of Hestia (OPC) Pvt Ltd</t>
  </si>
  <si>
    <t>SB 22383</t>
  </si>
  <si>
    <t xml:space="preserve">Maitree Dang
</t>
  </si>
  <si>
    <t>D/2025/PO/000337</t>
  </si>
  <si>
    <t>D/2025/PO/000338</t>
  </si>
  <si>
    <t>D/2025/PO/000339</t>
  </si>
  <si>
    <t>Amit</t>
  </si>
  <si>
    <t>D/2025/PO/000340</t>
  </si>
  <si>
    <t>D/2025/PO/000341</t>
  </si>
  <si>
    <t>Life Care Sports &amp; Surgicals (Happay)-Mum</t>
  </si>
  <si>
    <t>12740 Life Care Sports &amp; Surgicals (Happay)</t>
  </si>
  <si>
    <t>D/2025/PO/000342</t>
  </si>
  <si>
    <t>Live Experience &amp; Design LLP-Del</t>
  </si>
  <si>
    <t>12105 Live Experience &amp; Design LLP</t>
  </si>
  <si>
    <t>D/2025/PO/000343</t>
  </si>
  <si>
    <t>Sakshi Vaid-Del</t>
  </si>
  <si>
    <t>12935 Sakshi Vaid</t>
  </si>
  <si>
    <t>D/2025/PO/000344</t>
  </si>
  <si>
    <t>D/2025/PO/000345</t>
  </si>
  <si>
    <t>D/2025/PO/000346</t>
  </si>
  <si>
    <t>Headway Kreations Pvt Ltd-Del</t>
  </si>
  <si>
    <t>11982  Headway Kreations Pvt Ltd</t>
  </si>
  <si>
    <t>A/2025/PO/000488</t>
  </si>
  <si>
    <t>A/2025/PO/000489</t>
  </si>
  <si>
    <t>Paintology (Vinisha Ankit Savla)-Mum</t>
  </si>
  <si>
    <t>12928 Paintology (Vinisha Ankit Savla)</t>
  </si>
  <si>
    <t>A/2025/PO/000490</t>
  </si>
  <si>
    <t xml:space="preserve">Mohammad Danish
</t>
  </si>
  <si>
    <t>1143742 Mohammad Danish</t>
  </si>
  <si>
    <t>A/2025/PO/000491</t>
  </si>
  <si>
    <t>SB 22347</t>
  </si>
  <si>
    <t xml:space="preserve">Sunil Sawant
</t>
  </si>
  <si>
    <t>1044863 Sunil Sawant</t>
  </si>
  <si>
    <t>A/2025/PO/000492</t>
  </si>
  <si>
    <t>A/2025/PO/000493</t>
  </si>
  <si>
    <t>A/2025/PO/000494</t>
  </si>
  <si>
    <t>Karan Nischal</t>
  </si>
  <si>
    <t>A/2025/PO/000495</t>
  </si>
  <si>
    <t>A/2025/PO/000496</t>
  </si>
  <si>
    <t>A/2025/PO/000497</t>
  </si>
  <si>
    <t>A/2025/PO/000498</t>
  </si>
  <si>
    <t>A/2025/PO/000499</t>
  </si>
  <si>
    <t>A/2025/PO/000500</t>
  </si>
  <si>
    <t>Wow Experiences-Mum</t>
  </si>
  <si>
    <t>11492 Wow Experiences</t>
  </si>
  <si>
    <t>A/2025/PO/000501</t>
  </si>
  <si>
    <t>A/2025/PO/000502</t>
  </si>
  <si>
    <t>Mint Studio VJ Nirav (OPC) Pvt Ltd-Mum</t>
  </si>
  <si>
    <t>12153  Mint Studio VJ Nirav (OPC) Pvt Ltd</t>
  </si>
  <si>
    <t>A/2025/PO/000503</t>
  </si>
  <si>
    <t>SB 22387</t>
  </si>
  <si>
    <t>A/2025/PO/000504</t>
  </si>
  <si>
    <t>A/2025/PO/000505</t>
  </si>
  <si>
    <t>B/2025/PO/000216</t>
  </si>
  <si>
    <t xml:space="preserve">Abdul Rehman
</t>
  </si>
  <si>
    <t>B/2025/PO/000215</t>
  </si>
  <si>
    <t>RRangmanch Productions-Blr</t>
  </si>
  <si>
    <t>12349 Rrangmanch Productions</t>
  </si>
  <si>
    <t>SB 22338</t>
  </si>
  <si>
    <t>B/2025/PO/000217</t>
  </si>
  <si>
    <t>B/2025/PO/000218</t>
  </si>
  <si>
    <t>B/2025/PO/000219</t>
  </si>
  <si>
    <t>B/2025/PO/000220</t>
  </si>
  <si>
    <t>B/2025/PO/000221</t>
  </si>
  <si>
    <t>B/2025/PO/000222</t>
  </si>
  <si>
    <t>Sohan Darekar</t>
  </si>
  <si>
    <t>B/2025/PO/000223</t>
  </si>
  <si>
    <t>Mitin Upadhyay-Blr</t>
  </si>
  <si>
    <t>10755 Mitin Upadhyay</t>
  </si>
  <si>
    <t>SB 22389</t>
  </si>
  <si>
    <t>Anandan R</t>
  </si>
  <si>
    <t>B/2025/PO/000224</t>
  </si>
  <si>
    <t>B/2025/PO/000225</t>
  </si>
  <si>
    <t>B/2025/PO/000226</t>
  </si>
  <si>
    <t>Pravin Sir</t>
  </si>
  <si>
    <t>1044945 Pravin Mahajan</t>
  </si>
  <si>
    <t>B/2025/PO/000227</t>
  </si>
  <si>
    <t>Stay Charges General</t>
  </si>
  <si>
    <t>C/2025/PO/000090</t>
  </si>
  <si>
    <t>Sulfikkar M-Che</t>
  </si>
  <si>
    <t>12473 Sulfikkar M</t>
  </si>
  <si>
    <t>C/2025/PO/000091</t>
  </si>
  <si>
    <t>Relax Tours &amp; Travels-Che</t>
  </si>
  <si>
    <t>12808 Relax Tours &amp; Travels</t>
  </si>
  <si>
    <t>C/2025/PO/000092</t>
  </si>
  <si>
    <t>C/2025/PO/000093</t>
  </si>
  <si>
    <t>C/2025/PO/000094</t>
  </si>
  <si>
    <t>Officeoye Corporate Supplies Pvt Ltd-Che</t>
  </si>
  <si>
    <t>12218  Officeoye Corporate Supplies Pvt Ltd</t>
  </si>
  <si>
    <t>CGST Input for TN @ 2.5%</t>
  </si>
  <si>
    <t>C/2025/PO/000095</t>
  </si>
  <si>
    <t>C/2025/PO/000096</t>
  </si>
  <si>
    <t>C/2025/PO/000097</t>
  </si>
  <si>
    <t>C/2025/PO/000098</t>
  </si>
  <si>
    <t>C/2025/PO/000099</t>
  </si>
  <si>
    <t>D/2025/PO/000347</t>
  </si>
  <si>
    <t>D/2025/PO/000348</t>
  </si>
  <si>
    <t>SB 22263</t>
  </si>
  <si>
    <t>D/2025/PO/000349</t>
  </si>
  <si>
    <t>D/2025/PO/000350</t>
  </si>
  <si>
    <t>Isha Bhalla-Del</t>
  </si>
  <si>
    <t>10678 Isha Bhalla</t>
  </si>
  <si>
    <t>D/2025/PO/000351</t>
  </si>
  <si>
    <t>Aastha Sethi-Del</t>
  </si>
  <si>
    <t>10504 Aastha Sethi</t>
  </si>
  <si>
    <t>D/2025/PO/000352</t>
  </si>
  <si>
    <t>D/2025/PO/000353</t>
  </si>
  <si>
    <t>Gaurav Singh Lakauriya  -CR</t>
  </si>
  <si>
    <t>Gaurav Lakauriya</t>
  </si>
  <si>
    <t>1141448 Gaurav Singh Lakauriya</t>
  </si>
  <si>
    <t>D/2025/PO/000354</t>
  </si>
  <si>
    <t>Vikram Popli  -CR</t>
  </si>
  <si>
    <t>Vikram Popli</t>
  </si>
  <si>
    <t>1144231 Vikram Popli</t>
  </si>
  <si>
    <t>D/2025/PO/000355</t>
  </si>
  <si>
    <t>Subodh</t>
  </si>
  <si>
    <t>D/2025/PO/000356</t>
  </si>
  <si>
    <t>Sharper Image Floors Pvt Ltd (Happay)-Del</t>
  </si>
  <si>
    <t>12950  Sharper Image Floors Pvt Ltd (Happay)</t>
  </si>
  <si>
    <t>A/2025/PO/Gen/0013</t>
  </si>
  <si>
    <t xml:space="preserve">Sikandar Shaikh
</t>
  </si>
  <si>
    <t>A/2025/PO/Gen/0014</t>
  </si>
  <si>
    <t>A/2025/PO/000508</t>
  </si>
  <si>
    <t>A/2025/PO/000507</t>
  </si>
  <si>
    <t>A/2025/PO/000506</t>
  </si>
  <si>
    <t>Libreta Dmello  -CR</t>
  </si>
  <si>
    <t>A/2025/PO/000509</t>
  </si>
  <si>
    <t>End To End Solution-Mum</t>
  </si>
  <si>
    <t xml:space="preserve">Mangesh Waghmare
</t>
  </si>
  <si>
    <t>A/2025/PO/000518</t>
  </si>
  <si>
    <t>A/2025/PO/000517</t>
  </si>
  <si>
    <t>A/2025/PO/000512</t>
  </si>
  <si>
    <t>A/2025/PO/000510</t>
  </si>
  <si>
    <t>A/2025/PO/000511</t>
  </si>
  <si>
    <t>A/2025/PO/000513</t>
  </si>
  <si>
    <t>A/2025/PO/000514</t>
  </si>
  <si>
    <t>A/2025/PO/000515</t>
  </si>
  <si>
    <t>A/2025/PO/000516</t>
  </si>
  <si>
    <t>A/2025/PO/000519</t>
  </si>
  <si>
    <t>Sudesh Patankar-Mum</t>
  </si>
  <si>
    <t>10941 Sudesh Patankar</t>
  </si>
  <si>
    <t>A/2025/PO/000520</t>
  </si>
  <si>
    <t>A/2025/PO/000521</t>
  </si>
  <si>
    <t>Esses Power System-Mum</t>
  </si>
  <si>
    <t>12940 Esses Power System</t>
  </si>
  <si>
    <t>A/2025/PO/000522</t>
  </si>
  <si>
    <t>A/2025/PO/000524</t>
  </si>
  <si>
    <t>Abhishek Jadhav  -CR</t>
  </si>
  <si>
    <t>SB 22384</t>
  </si>
  <si>
    <t>A/2025/PO/000523</t>
  </si>
  <si>
    <t>A/2025/PO/000525</t>
  </si>
  <si>
    <t xml:space="preserve">Harish Aawade
</t>
  </si>
  <si>
    <t>A/2025/PO/000526</t>
  </si>
  <si>
    <t>Tryokart (Happay)-Mum</t>
  </si>
  <si>
    <t>12952 Tryokart (Happay)</t>
  </si>
  <si>
    <t>A/2025/PO/000527</t>
  </si>
  <si>
    <t>A/2025/PO/000528</t>
  </si>
  <si>
    <t>A/2025/PO/000533</t>
  </si>
  <si>
    <t>A/2025/PO/000531</t>
  </si>
  <si>
    <t>A/2025/PO/000530</t>
  </si>
  <si>
    <t>A/2025/PO/000529</t>
  </si>
  <si>
    <t>A/2025/PO/000532</t>
  </si>
  <si>
    <t>A/2025/PO/000534</t>
  </si>
  <si>
    <t>EBP Mum</t>
  </si>
  <si>
    <t>A/2025/PO/000535</t>
  </si>
  <si>
    <t>B/2025/PO/000228</t>
  </si>
  <si>
    <t>Shashank Technologies-Blr</t>
  </si>
  <si>
    <t>12384 Shashank Technologies</t>
  </si>
  <si>
    <t xml:space="preserve">TIJO JOSEPH
</t>
  </si>
  <si>
    <t>B/2025/PO/000229</t>
  </si>
  <si>
    <t>B/2025/PO/000230</t>
  </si>
  <si>
    <t>B/2025/PO/000231</t>
  </si>
  <si>
    <t>B/2025/PO/000232</t>
  </si>
  <si>
    <t>B/2025/PO/000233</t>
  </si>
  <si>
    <t>Mayur Thakkar</t>
  </si>
  <si>
    <t>B/2025/PO/000234</t>
  </si>
  <si>
    <t>B/2025/PO/000235</t>
  </si>
  <si>
    <t>Jungle Lodges and Resorts Ltd._V-Blr</t>
  </si>
  <si>
    <t>SB 22397</t>
  </si>
  <si>
    <t>D/2025/PO/000357</t>
  </si>
  <si>
    <t>Detriangle LLP-Del</t>
  </si>
  <si>
    <t>12697 Detriangle LLP</t>
  </si>
  <si>
    <t>JATIN ARORA</t>
  </si>
  <si>
    <t>D/2025/PO/000358</t>
  </si>
  <si>
    <t xml:space="preserve">Hazarat Ansari
</t>
  </si>
  <si>
    <t>D/2025/PO/000359</t>
  </si>
  <si>
    <t>D/2025/PO/000360</t>
  </si>
  <si>
    <t>D/2025/PO/000361</t>
  </si>
  <si>
    <t>Jatin Arora  -CR</t>
  </si>
  <si>
    <t>10683 Jatin Arora</t>
  </si>
  <si>
    <t>D/2025/PO/000362</t>
  </si>
  <si>
    <t>D/2025/PO/000363</t>
  </si>
  <si>
    <t>D/2025/PO/000364</t>
  </si>
  <si>
    <t>D/2025/PO/000365</t>
  </si>
  <si>
    <t>D/2025/PO/000366</t>
  </si>
  <si>
    <t>SANJAY DUTT DOBRIYAL</t>
  </si>
  <si>
    <t>D/2025/PO/000367</t>
  </si>
  <si>
    <t>D/2025/PO/000368</t>
  </si>
  <si>
    <t>D/2025/PO/000369</t>
  </si>
  <si>
    <t>D/2025/PO/000370</t>
  </si>
  <si>
    <t>SUSHIL NAIN</t>
  </si>
  <si>
    <t>D/2025/PO/000371</t>
  </si>
  <si>
    <t>D/2025/PO/000376</t>
  </si>
  <si>
    <t>Jmd Enterprises-Del</t>
  </si>
  <si>
    <t>12058 Jmd Enterprises</t>
  </si>
  <si>
    <t>A/2025/PO/000538</t>
  </si>
  <si>
    <t>A/2025/PO/000537</t>
  </si>
  <si>
    <t>SB 22373</t>
  </si>
  <si>
    <t>A/2025/PO/000539</t>
  </si>
  <si>
    <t>SB 22382</t>
  </si>
  <si>
    <t>A/2025/PO/000536</t>
  </si>
  <si>
    <t>A/2025/PO/000540</t>
  </si>
  <si>
    <t xml:space="preserve">Justin Francis
</t>
  </si>
  <si>
    <t>A/2025/PO/000541</t>
  </si>
  <si>
    <t>A/2025/PO/000542</t>
  </si>
  <si>
    <t>A/2025/PO/000543</t>
  </si>
  <si>
    <t>A/2025/PO/000544</t>
  </si>
  <si>
    <t>A/2025/PO/000545</t>
  </si>
  <si>
    <t>A/2025/PO/000546</t>
  </si>
  <si>
    <t>A/2025/PO/000547</t>
  </si>
  <si>
    <t>A/2025/PO/000548</t>
  </si>
  <si>
    <t>A/2025/PO/000549</t>
  </si>
  <si>
    <t>A/2025/PO/000550</t>
  </si>
  <si>
    <t>A/2025/PO/000551</t>
  </si>
  <si>
    <t>SB 22395</t>
  </si>
  <si>
    <t xml:space="preserve">Asif Khan
</t>
  </si>
  <si>
    <t>A/2025/PO/000552</t>
  </si>
  <si>
    <t xml:space="preserve">Hemanshu Sawant
</t>
  </si>
  <si>
    <t>A/2025/PO/000553</t>
  </si>
  <si>
    <t>A/2025/PO/000554</t>
  </si>
  <si>
    <t>Gopi Decorators-Mum</t>
  </si>
  <si>
    <t>11033 Gopi Decorators</t>
  </si>
  <si>
    <t>A/2025/PO/000555</t>
  </si>
  <si>
    <t>A/2025/PO/000556</t>
  </si>
  <si>
    <t>CV Cuan Event Indonesia-Mum</t>
  </si>
  <si>
    <t>12759 CV Cuan Event Indonesia</t>
  </si>
  <si>
    <t>A/2025/PO/000557</t>
  </si>
  <si>
    <t>A/2025/PO/000558</t>
  </si>
  <si>
    <t>Devoba Arts Frame Makers-Mum</t>
  </si>
  <si>
    <t>11206 Devoba Arts Frame Makers</t>
  </si>
  <si>
    <t>SB 22369</t>
  </si>
  <si>
    <t>A/2025/PO/000559</t>
  </si>
  <si>
    <t>Nirav Tours &amp; Travels Pvt Ltd-Mum</t>
  </si>
  <si>
    <t>10061  Nirav Tours &amp; Travels Pvt Ltd</t>
  </si>
  <si>
    <t>A/2025/PO/000560</t>
  </si>
  <si>
    <t xml:space="preserve">Sumit Sangle
</t>
  </si>
  <si>
    <t>A/2025/PO/000561</t>
  </si>
  <si>
    <t>SB 22328</t>
  </si>
  <si>
    <t>A/2025/PO/000562</t>
  </si>
  <si>
    <t>B/2025/PO/000236</t>
  </si>
  <si>
    <t>SB 22372</t>
  </si>
  <si>
    <t>B/2025/PO/000237</t>
  </si>
  <si>
    <t>B/2025/PO/000238</t>
  </si>
  <si>
    <t>Felicity Detailing Studio-Blr</t>
  </si>
  <si>
    <t>12943 Felicity Detailing Studio</t>
  </si>
  <si>
    <t>B/2025/PO/000239</t>
  </si>
  <si>
    <t>B/2025/PO/000240</t>
  </si>
  <si>
    <t>B/2025/PO/000241</t>
  </si>
  <si>
    <t>Ben and Flow-Blr</t>
  </si>
  <si>
    <t>10125 Ben and Flow</t>
  </si>
  <si>
    <t xml:space="preserve">Aalhad Bavkar
</t>
  </si>
  <si>
    <t>1143225 Aalhad Bavkar</t>
  </si>
  <si>
    <t>B/2025/PO/000242</t>
  </si>
  <si>
    <t>Mahesh D  -CR</t>
  </si>
  <si>
    <t>B/2025/PO/000243</t>
  </si>
  <si>
    <t>SB 22390</t>
  </si>
  <si>
    <t>B/2025/PO/000244</t>
  </si>
  <si>
    <t>B/2025/PO/000245</t>
  </si>
  <si>
    <t>B/2025/PO/000246</t>
  </si>
  <si>
    <t>C/2025/PO/000100</t>
  </si>
  <si>
    <t>Ideation Avenue LLP-Che</t>
  </si>
  <si>
    <t>12007 Ideation Avenue LLP</t>
  </si>
  <si>
    <t xml:space="preserve">Aravind Kumar
</t>
  </si>
  <si>
    <t>C/2025/PO/000101</t>
  </si>
  <si>
    <t>Shakthisree Gopalan-Che</t>
  </si>
  <si>
    <t>12936 Shakthisree Gopalan</t>
  </si>
  <si>
    <t>Paulraj/ Beena Joseph</t>
  </si>
  <si>
    <t>C/2025/PO/000102</t>
  </si>
  <si>
    <t>C/2025/PO/000103</t>
  </si>
  <si>
    <t xml:space="preserve">Brijesh CL
</t>
  </si>
  <si>
    <t>C/2025/PO/000104</t>
  </si>
  <si>
    <t>D/2025/PO/000372</t>
  </si>
  <si>
    <t>D/2025/PO/000373</t>
  </si>
  <si>
    <t>D/2025/PO/000374</t>
  </si>
  <si>
    <t>D/2025/PO/000375</t>
  </si>
  <si>
    <t>D/2025/PO/000377</t>
  </si>
  <si>
    <t>D/2025/PO/000378</t>
  </si>
  <si>
    <t>D/2025/PO/000379</t>
  </si>
  <si>
    <t>D/2025/PO/000380</t>
  </si>
  <si>
    <t>D/2025/PO/000381</t>
  </si>
  <si>
    <t>SB 22404</t>
  </si>
  <si>
    <t>D/2025/PO/000382</t>
  </si>
  <si>
    <t>D/2025/PO/000383</t>
  </si>
  <si>
    <t>D/2025/PO/000384</t>
  </si>
  <si>
    <t>Kalka Confectioners-Del</t>
  </si>
  <si>
    <t>11281 Kalka  Confectioners</t>
  </si>
  <si>
    <t>SB 22405</t>
  </si>
  <si>
    <t>D/2025/PO/000385</t>
  </si>
  <si>
    <t>D/2025/PO/000386</t>
  </si>
  <si>
    <t>D/2025/PO/000387</t>
  </si>
  <si>
    <t>Ajeet Singh</t>
  </si>
  <si>
    <t>D/2025/PO/000388</t>
  </si>
  <si>
    <t>D/2025/PO/000389</t>
  </si>
  <si>
    <t>D/2025/PO/000390</t>
  </si>
  <si>
    <t xml:space="preserve">Rushabh Upadhyay
</t>
  </si>
  <si>
    <t>D/2025/PO/000391</t>
  </si>
  <si>
    <t>D/2025/PO/000392</t>
  </si>
  <si>
    <t>D/2025/PO/000393</t>
  </si>
  <si>
    <t>D/2025/PO/000394</t>
  </si>
  <si>
    <t>D/2025/PO/000395</t>
  </si>
  <si>
    <t>D/2025/PO/000396</t>
  </si>
  <si>
    <t>D/2025/PO/000397</t>
  </si>
  <si>
    <t>D/2025/PO/000398</t>
  </si>
  <si>
    <t>D/2025/PO/000399</t>
  </si>
  <si>
    <t>Aura Ideas Pvt Ltd-Del</t>
  </si>
  <si>
    <t>11700  Aura Ideas Pvt Ltd</t>
  </si>
  <si>
    <t>D/2025/PO/000400</t>
  </si>
  <si>
    <t>D/2025/PO/000401</t>
  </si>
  <si>
    <t>D/2025/PO/000402</t>
  </si>
  <si>
    <t>D/2025/PO/000403</t>
  </si>
  <si>
    <t>D/2025/PO/000404</t>
  </si>
  <si>
    <t>D/2025/PO/000405</t>
  </si>
  <si>
    <t>D/2025/PO/000406</t>
  </si>
  <si>
    <t>D/2025/PO/000407</t>
  </si>
  <si>
    <t>D/2025/PO/000408</t>
  </si>
  <si>
    <t>D/2025/PO/000409</t>
  </si>
  <si>
    <t>SB 22308</t>
  </si>
  <si>
    <t>D/2025/PO/000410</t>
  </si>
  <si>
    <t>TB</t>
  </si>
  <si>
    <t>D/2025/PO/000411</t>
  </si>
  <si>
    <t>D/2025/PO/000412</t>
  </si>
  <si>
    <t>Bharat Sharma  -CR</t>
  </si>
  <si>
    <t>Bharat</t>
  </si>
  <si>
    <t>D/2025/PO/000413</t>
  </si>
  <si>
    <t>Magictap Solutions Pvt Ltd-Del</t>
  </si>
  <si>
    <t>12114  Magictap Solutions Pvt Ltd</t>
  </si>
  <si>
    <t>D/2025/PO/000414</t>
  </si>
  <si>
    <t>D/2025/PO/000415</t>
  </si>
  <si>
    <t>Chamunda Traders-Del</t>
  </si>
  <si>
    <t>11760 Chamunda Traders</t>
  </si>
  <si>
    <t>PANKAJ</t>
  </si>
  <si>
    <t>A/2025/PO/Gen/0015</t>
  </si>
  <si>
    <t>Juhi Rajpal</t>
  </si>
  <si>
    <t>1134672 Juhi Rajpal</t>
  </si>
  <si>
    <t>A/2025/PO/000604</t>
  </si>
  <si>
    <t>A/2025/PO/000603</t>
  </si>
  <si>
    <t>Amir Merchant  -CR</t>
  </si>
  <si>
    <t>A/2025/PO/000602</t>
  </si>
  <si>
    <t>A/2025/PO/000601</t>
  </si>
  <si>
    <t>A/2025/PO/000600</t>
  </si>
  <si>
    <t>A/2025/PO/000599</t>
  </si>
  <si>
    <t>A/2025/PO/000587</t>
  </si>
  <si>
    <t>A/2025/PO/000585</t>
  </si>
  <si>
    <t>A/2025/PO/000584</t>
  </si>
  <si>
    <t>A/2025/PO/000595</t>
  </si>
  <si>
    <t>A/2025/PO/000598</t>
  </si>
  <si>
    <t>A/2025/PO/000597</t>
  </si>
  <si>
    <t>Sameer Doshi  -CR</t>
  </si>
  <si>
    <t>A/2025/PO/000596</t>
  </si>
  <si>
    <t>A/2025/PO/000581</t>
  </si>
  <si>
    <t>A/2025/PO/000563</t>
  </si>
  <si>
    <t>CheChi Media-Mum</t>
  </si>
  <si>
    <t>11763 CheChi Media</t>
  </si>
  <si>
    <t xml:space="preserve">Harsh Mudliyar
</t>
  </si>
  <si>
    <t>A/2025/PO/000564</t>
  </si>
  <si>
    <t xml:space="preserve">Rohan Mane
</t>
  </si>
  <si>
    <t>A/2025/PO/000565</t>
  </si>
  <si>
    <t>A/2025/PO/000566</t>
  </si>
  <si>
    <t>A/2025/PO/000567</t>
  </si>
  <si>
    <t>Kenil Sanghvi-Mum</t>
  </si>
  <si>
    <t>12833 Kenil Sanghvi</t>
  </si>
  <si>
    <t>A/2025/PO/000568</t>
  </si>
  <si>
    <t xml:space="preserve">Ashwin Mishra 
</t>
  </si>
  <si>
    <t>A/2025/PO/000594</t>
  </si>
  <si>
    <t>A/2025/PO/000593</t>
  </si>
  <si>
    <t>A/2025/PO/000592</t>
  </si>
  <si>
    <t>A/2025/PO/000589</t>
  </si>
  <si>
    <t>A/2025/PO/000569</t>
  </si>
  <si>
    <t>A/2025/PO/000570</t>
  </si>
  <si>
    <t>Shahida Farooqui (Multi Game Zone) (OTV)-Mum</t>
  </si>
  <si>
    <t>12972 Shahida Farooqui (Multi Game Zone) (OTV)</t>
  </si>
  <si>
    <t>Justin Francis</t>
  </si>
  <si>
    <t>A/2025/PO/000571</t>
  </si>
  <si>
    <t>Mumbai Food Truck Society (Roysten Misquitta)-Mum</t>
  </si>
  <si>
    <t>12947 Mumbai Food Truck Society (Roysten Misquitta)</t>
  </si>
  <si>
    <t>A/2025/PO/000572</t>
  </si>
  <si>
    <t>A/2025/PO/000573</t>
  </si>
  <si>
    <t>A/2025/PO/000574</t>
  </si>
  <si>
    <t>A/2025/PO/000575</t>
  </si>
  <si>
    <t xml:space="preserve">Nitin Kamble
</t>
  </si>
  <si>
    <t>A/2025/PO/000576</t>
  </si>
  <si>
    <t>A/2025/PO/000577</t>
  </si>
  <si>
    <t>Melting Mints-Mum</t>
  </si>
  <si>
    <t>12134 Melting Mints</t>
  </si>
  <si>
    <t>A/2025/PO/000578</t>
  </si>
  <si>
    <t>A/2025/PO/000579</t>
  </si>
  <si>
    <t xml:space="preserve">Paresh Surve
</t>
  </si>
  <si>
    <t>A/2025/PO/000580</t>
  </si>
  <si>
    <t>A/2025/PO/000582</t>
  </si>
  <si>
    <t>Diya Event and Promotions-Mum</t>
  </si>
  <si>
    <t>11833 Diya Event and Promotions</t>
  </si>
  <si>
    <t>A/2025/PO/000583</t>
  </si>
  <si>
    <t>SB 22399</t>
  </si>
  <si>
    <t xml:space="preserve">Sohan Darekar
</t>
  </si>
  <si>
    <t>A/2025/PO/000586</t>
  </si>
  <si>
    <t>Magical Instincts-Mum</t>
  </si>
  <si>
    <t>12705 Magical Instincts</t>
  </si>
  <si>
    <t>A/2025/PO/000588</t>
  </si>
  <si>
    <t>SB 22367</t>
  </si>
  <si>
    <t>A/2025/PO/000590</t>
  </si>
  <si>
    <t>A/2025/PO/000591</t>
  </si>
  <si>
    <t>B/2025/PO/000247</t>
  </si>
  <si>
    <t>Idesign Awards &amp; Trophies Pvt Ltd-Blr</t>
  </si>
  <si>
    <t>10159  Idesign Awards &amp; Trophies Pvt Ltd</t>
  </si>
  <si>
    <t>B/2025/PO/000248</t>
  </si>
  <si>
    <t>The Uniq Co (Meghana Bhat)-Blr</t>
  </si>
  <si>
    <t>12755 The Uniq Co (Meghana Bhat)</t>
  </si>
  <si>
    <t>SB 22392</t>
  </si>
  <si>
    <t xml:space="preserve">Ashwin Mishra
</t>
  </si>
  <si>
    <t>B/2025/PO/000249</t>
  </si>
  <si>
    <t>B/2025/PO/000250</t>
  </si>
  <si>
    <t>B/2025/PO/000251</t>
  </si>
  <si>
    <t>B/2025/PO/000252</t>
  </si>
  <si>
    <t>C/2025/PO/000105</t>
  </si>
  <si>
    <t>M.M.Blossoms-Che</t>
  </si>
  <si>
    <t>C/2025/PO/000106</t>
  </si>
  <si>
    <t>Bilimbe Digital-Che</t>
  </si>
  <si>
    <t>11728 Bilimbe Digital</t>
  </si>
  <si>
    <t>C/2025/PO/000107</t>
  </si>
  <si>
    <t>C/2025/PO/000108</t>
  </si>
  <si>
    <t>C/2025/PO/000109</t>
  </si>
  <si>
    <t>D/2025/PO/000416</t>
  </si>
  <si>
    <t>D/2025/PO/000417</t>
  </si>
  <si>
    <t>D/2025/PO/000418</t>
  </si>
  <si>
    <t>D/2025/PO/000419</t>
  </si>
  <si>
    <t>Fortune Print Services-Del</t>
  </si>
  <si>
    <t>11930 Fortune Print Services</t>
  </si>
  <si>
    <t>D/2025/PO/000420</t>
  </si>
  <si>
    <t>Vanshika Malhotra -CR</t>
  </si>
  <si>
    <t>Vanshika</t>
  </si>
  <si>
    <t>1128676 Vanshika Malhotra</t>
  </si>
  <si>
    <t>D/2025/PO/000421</t>
  </si>
  <si>
    <t>D/2025/PO/000422</t>
  </si>
  <si>
    <t>D/2025/PO/000423</t>
  </si>
  <si>
    <t>Karan Sharma  -CR</t>
  </si>
  <si>
    <t>D/2025/PO/000424</t>
  </si>
  <si>
    <t>D/2025/PO/000425</t>
  </si>
  <si>
    <t>Nanhe Masih...... -CR</t>
  </si>
  <si>
    <t>D/2025/PO/000426</t>
  </si>
  <si>
    <t>Manoj Chand Joshi  -CR</t>
  </si>
  <si>
    <t>Manoj Chand Joshi</t>
  </si>
  <si>
    <t>1137929 Manoj Joshi</t>
  </si>
  <si>
    <t>D/2025/PO/000427</t>
  </si>
  <si>
    <t>Manoj Chand</t>
  </si>
  <si>
    <t>D/2025/PO/000428</t>
  </si>
  <si>
    <t>SB 22393</t>
  </si>
  <si>
    <t>D/2025/PO/000429</t>
  </si>
  <si>
    <t>Kalu Halder</t>
  </si>
  <si>
    <t>D/2025/PO/000430</t>
  </si>
  <si>
    <t>D/2025/PO/000431</t>
  </si>
  <si>
    <t>Cococart Ventures Pvt Ltd-Mum</t>
  </si>
  <si>
    <t>11775  Cococart Ventures Pvt Ltd</t>
  </si>
  <si>
    <t>D/2025/PO/000432</t>
  </si>
  <si>
    <t>D/2025/PO/000433</t>
  </si>
  <si>
    <t>A/2025/PO/000605</t>
  </si>
  <si>
    <t>Shoeb Kadri  -CR</t>
  </si>
  <si>
    <t>A/2025/PO/000606</t>
  </si>
  <si>
    <t>A/2025/PO/000607</t>
  </si>
  <si>
    <t>Olive Nest Pvt Ltd-Che</t>
  </si>
  <si>
    <t>12968  Olive Nest Pvt Ltd</t>
  </si>
  <si>
    <t xml:space="preserve">SUPRIYA NAIK
</t>
  </si>
  <si>
    <t>A/2025/PO/000608</t>
  </si>
  <si>
    <t>A/2025/PO/000609</t>
  </si>
  <si>
    <t>Nacre Studios-Mum</t>
  </si>
  <si>
    <t>12183 Nacre Studios</t>
  </si>
  <si>
    <t>A/2025/PO/000610</t>
  </si>
  <si>
    <t>Daffodils-Mum</t>
  </si>
  <si>
    <t>A/2025/PO/000611</t>
  </si>
  <si>
    <t>Hunger Inc Hospitality Pvt Ltd-Mum</t>
  </si>
  <si>
    <t>12963  Hunger Inc Hospitality Pvt Ltd</t>
  </si>
  <si>
    <t>A/2025/PO/000612</t>
  </si>
  <si>
    <t>A/2025/PO/000613</t>
  </si>
  <si>
    <t>Nepa Rai Choudhary-Mum</t>
  </si>
  <si>
    <t>10769 Nepa Rai Choudhary</t>
  </si>
  <si>
    <t>A/2025/PO/000614</t>
  </si>
  <si>
    <t>Blushfox Studios LLP-Mum</t>
  </si>
  <si>
    <t>12984 Blushfox Studios LLP</t>
  </si>
  <si>
    <t xml:space="preserve">Aftab Shaikh
</t>
  </si>
  <si>
    <t>A/2025/PO/000615</t>
  </si>
  <si>
    <t>Sula Vineyards Ltd-Mum</t>
  </si>
  <si>
    <t>10423  Sula Vineyards Ltd</t>
  </si>
  <si>
    <t>A/2025/PO/000616</t>
  </si>
  <si>
    <t>SB 22402</t>
  </si>
  <si>
    <t>A/2025/PO/000617</t>
  </si>
  <si>
    <t>Gaurstic-Mum</t>
  </si>
  <si>
    <t>A/2025/PO/000618</t>
  </si>
  <si>
    <t>Unekha-Mum</t>
  </si>
  <si>
    <t xml:space="preserve">Keval Rajyaguru
</t>
  </si>
  <si>
    <t>A/2025/PO/000619</t>
  </si>
  <si>
    <t>The Indian Express Private Limited-Mum</t>
  </si>
  <si>
    <t>A/2025/PO/000620</t>
  </si>
  <si>
    <t>SB 22305</t>
  </si>
  <si>
    <t>A/2025/PO/000621</t>
  </si>
  <si>
    <t>SB 22398</t>
  </si>
  <si>
    <t>A/2025/PO/000622</t>
  </si>
  <si>
    <t>A/2025/PO/000623</t>
  </si>
  <si>
    <t>C/2025/PO/000110</t>
  </si>
  <si>
    <t xml:space="preserve">Anandan R
</t>
  </si>
  <si>
    <t>A/2025/PO/000624</t>
  </si>
  <si>
    <t>A/2025/PO/000625</t>
  </si>
  <si>
    <t>Taransh Hospitality Services-Mum</t>
  </si>
  <si>
    <t>12923 Taransh Hospitality Services</t>
  </si>
  <si>
    <t>SB 22407</t>
  </si>
  <si>
    <t>B/2025/PO/000253</t>
  </si>
  <si>
    <t xml:space="preserve">Sagar Khedekar
</t>
  </si>
  <si>
    <t>D/2025/PO/000434</t>
  </si>
  <si>
    <t>B/2025/PO/000254</t>
  </si>
  <si>
    <t>Drum Events India Pvt Ltd-Blr</t>
  </si>
  <si>
    <t>12958  Drum Events India Pvt Ltd</t>
  </si>
  <si>
    <t>B/2025/PO/000255</t>
  </si>
  <si>
    <t>SB 22409</t>
  </si>
  <si>
    <t>B/2025/PO/000256</t>
  </si>
  <si>
    <t>B/2025/PO/000257</t>
  </si>
  <si>
    <t>B/2025/PO/000258</t>
  </si>
  <si>
    <t>B/2025/PO/000259</t>
  </si>
  <si>
    <t>B/2025/PO/000260</t>
  </si>
  <si>
    <t>C/2025/PO/000111</t>
  </si>
  <si>
    <t>C/2025/PO/000112</t>
  </si>
  <si>
    <t>Fireflies Entertainment-Che</t>
  </si>
  <si>
    <t>10637 Fireflies Entertainment</t>
  </si>
  <si>
    <t>D/2025/PO/000435</t>
  </si>
  <si>
    <t xml:space="preserve">Chahek Poddar
</t>
  </si>
  <si>
    <t>D/2025/PO/000436</t>
  </si>
  <si>
    <t>D/2025/PO/000437</t>
  </si>
  <si>
    <t>Hard Disk(P)</t>
  </si>
  <si>
    <t>D/2025/PO/000438</t>
  </si>
  <si>
    <t>Udaan India Pvt Ltd-Del</t>
  </si>
  <si>
    <t>12564  Udaan India Pvt Ltd</t>
  </si>
  <si>
    <t>D/2025/PO/000439</t>
  </si>
  <si>
    <t>D/2025/PO/000440</t>
  </si>
  <si>
    <t>SB 22410</t>
  </si>
  <si>
    <t>D/2025/PO/000441</t>
  </si>
  <si>
    <t>The Travelage-Del</t>
  </si>
  <si>
    <t>12924 The Travelage</t>
  </si>
  <si>
    <t>Pradeep Rawat</t>
  </si>
  <si>
    <t>1144193 Pradeep Rawat</t>
  </si>
  <si>
    <t>D/2025/PO/000442</t>
  </si>
  <si>
    <t>The Oberoi New Delhi (EIH Ltd)-Del</t>
  </si>
  <si>
    <t>10457  The Oberoi New Delhi (EIH Ltd)</t>
  </si>
  <si>
    <t>D/2025/PO/000443</t>
  </si>
  <si>
    <t>D/2025/PO/000444</t>
  </si>
  <si>
    <t>Maher Rustom</t>
  </si>
  <si>
    <t>D/2025/PO/000445</t>
  </si>
  <si>
    <t>A/2025/PO/000626</t>
  </si>
  <si>
    <t>Courtyard by Marriott, Nashik (Shweta Infrastructure &amp; Housing India Pvt Ltd)-Mum</t>
  </si>
  <si>
    <t xml:space="preserve">Deepak Khairnar
</t>
  </si>
  <si>
    <t>A/2025/PO/000627</t>
  </si>
  <si>
    <t>A/2025/PO/000628</t>
  </si>
  <si>
    <t>Foxel Media &amp; Entertainment LLP-Mum</t>
  </si>
  <si>
    <t>12844 Foxel Media &amp; Entertainment LLP</t>
  </si>
  <si>
    <t xml:space="preserve">Libreta Dmello
</t>
  </si>
  <si>
    <t>A/2025/PO/000629</t>
  </si>
  <si>
    <t>A/2025/PO/000630</t>
  </si>
  <si>
    <t>A/2025/PO/000631</t>
  </si>
  <si>
    <t>Pooja</t>
  </si>
  <si>
    <t>A/2025/PO/000632</t>
  </si>
  <si>
    <t>A/2025/PO/000633</t>
  </si>
  <si>
    <t>A/2025/PO/000634</t>
  </si>
  <si>
    <t>Basal Studio-Mum</t>
  </si>
  <si>
    <t>12941 Basal Studio</t>
  </si>
  <si>
    <t>A/2025/PO/000635</t>
  </si>
  <si>
    <t>A/2025/PO/000636</t>
  </si>
  <si>
    <t>A/2025/PO/000637</t>
  </si>
  <si>
    <t>A/2025/PO/000638</t>
  </si>
  <si>
    <t>A/2025/PO/000639</t>
  </si>
  <si>
    <t>A/2025/PO/000640</t>
  </si>
  <si>
    <t>Shree Raj Systems-Mum</t>
  </si>
  <si>
    <t>10214 Shree Raj Systems</t>
  </si>
  <si>
    <t>A/2025/PO/000641</t>
  </si>
  <si>
    <t>A/2025/PO/000642</t>
  </si>
  <si>
    <t>A/2025/PO/000643</t>
  </si>
  <si>
    <t>A/2025/PO/000644</t>
  </si>
  <si>
    <t>A/2025/PO/000645</t>
  </si>
  <si>
    <t>A/2025/PO/000646</t>
  </si>
  <si>
    <t>SB 22411</t>
  </si>
  <si>
    <t>A/2025/PO/000647</t>
  </si>
  <si>
    <t>A/2025/PO/000648</t>
  </si>
  <si>
    <t>A/2025/PO/000649</t>
  </si>
  <si>
    <t>A/2025/PO/000650</t>
  </si>
  <si>
    <t>A/2025/PO/000651</t>
  </si>
  <si>
    <t>A/2025/PO/000652</t>
  </si>
  <si>
    <t>V Touch Business Solution-Mum</t>
  </si>
  <si>
    <t>12980 V Touch Business Solution</t>
  </si>
  <si>
    <t>SB 22413</t>
  </si>
  <si>
    <t>HARSH</t>
  </si>
  <si>
    <t>A/2025/PO/000655</t>
  </si>
  <si>
    <t>A/2025/PO/000654</t>
  </si>
  <si>
    <t>Anita Singh  -CR</t>
  </si>
  <si>
    <t>A/2025/PO/000658</t>
  </si>
  <si>
    <t>A/2025/PO/000657</t>
  </si>
  <si>
    <t>A/2025/PO/000656</t>
  </si>
  <si>
    <t>A/2025/PO/000653</t>
  </si>
  <si>
    <t>A/2025/PO/000659</t>
  </si>
  <si>
    <t>A/2025/PO/000660</t>
  </si>
  <si>
    <t>A/2025/PO/000661</t>
  </si>
  <si>
    <t>A/2025/PO/000662</t>
  </si>
  <si>
    <t>SB 22412</t>
  </si>
  <si>
    <t>A/2025/PO/000663</t>
  </si>
  <si>
    <t>A/2025/PO/000664</t>
  </si>
  <si>
    <t>A/2025/PO/000665</t>
  </si>
  <si>
    <t>B/2025/PO/000261</t>
  </si>
  <si>
    <t>B/2025/PO/000262</t>
  </si>
  <si>
    <t>Narsingh Events Pvt Ltd-Blr</t>
  </si>
  <si>
    <t>12985  Narsingh Events Pvt Ltd</t>
  </si>
  <si>
    <t>B/2025/PO/000263</t>
  </si>
  <si>
    <t>B/2025/PO/000264</t>
  </si>
  <si>
    <t>B/2025/PO/000265</t>
  </si>
  <si>
    <t>B/2025/PO/000266</t>
  </si>
  <si>
    <t xml:space="preserve">Abdul 
</t>
  </si>
  <si>
    <t>B/2025/PO/000267</t>
  </si>
  <si>
    <t>B/2025/PO/000268</t>
  </si>
  <si>
    <t>B/2025/PO/000269</t>
  </si>
  <si>
    <t>SB 22406</t>
  </si>
  <si>
    <t>B/2025/PO/000270</t>
  </si>
  <si>
    <t>B/2025/PO/000271</t>
  </si>
  <si>
    <t>B/2025/PO/000272</t>
  </si>
  <si>
    <t>B/2025/PO/000273</t>
  </si>
  <si>
    <t>Shabbirs Furnishing Centre-Blr</t>
  </si>
  <si>
    <t>11053 Shabbirs Furnishing Centre</t>
  </si>
  <si>
    <t>B/2025/PO/000274</t>
  </si>
  <si>
    <t>B/2025/PO/000277</t>
  </si>
  <si>
    <t>SB 22378</t>
  </si>
  <si>
    <t>B/2025/PO/000275</t>
  </si>
  <si>
    <t>B/2025/PO/000276</t>
  </si>
  <si>
    <t>B/2025/PO/000278</t>
  </si>
  <si>
    <t>Crafts Event Infra-Blr</t>
  </si>
  <si>
    <t>11798 Crafts Event Infra</t>
  </si>
  <si>
    <t>B/2025/PO/000279</t>
  </si>
  <si>
    <t>Drawing Board-Blr</t>
  </si>
  <si>
    <t>11840 Drawing Board</t>
  </si>
  <si>
    <t>B/2025/PO/000281</t>
  </si>
  <si>
    <t>Sugandar Light House-Blr</t>
  </si>
  <si>
    <t>12472 Sugandar Light House</t>
  </si>
  <si>
    <t>B/2025/PO/000280</t>
  </si>
  <si>
    <t>Vrinfinity LLP-Blr</t>
  </si>
  <si>
    <t>12979 Vrinfinity LLP</t>
  </si>
  <si>
    <t>B/2025/PO/000282</t>
  </si>
  <si>
    <t>B/2025/PO/000283</t>
  </si>
  <si>
    <t>B/2025/PO/000284</t>
  </si>
  <si>
    <t>Event Images-Blr</t>
  </si>
  <si>
    <t>11890 Event Images</t>
  </si>
  <si>
    <t>B/2025/PO/000285</t>
  </si>
  <si>
    <t>Manaswini Group-Blr</t>
  </si>
  <si>
    <t>12117 Manaswini Group</t>
  </si>
  <si>
    <t>B/2025/PO/000286</t>
  </si>
  <si>
    <t>B/2025/PO/000287</t>
  </si>
  <si>
    <t>B/2025/PO/000288</t>
  </si>
  <si>
    <t>Signature Productionz-Blr</t>
  </si>
  <si>
    <t>12409 Signature Productionz</t>
  </si>
  <si>
    <t>C/2025/PO/000113</t>
  </si>
  <si>
    <t>Sowmiya Events-Che</t>
  </si>
  <si>
    <t>12431 Sowmiya Events</t>
  </si>
  <si>
    <t>C/2025/PO/000114</t>
  </si>
  <si>
    <t>C/2025/PO/000115</t>
  </si>
  <si>
    <t>Fiesta Car Rentals &amp; Logistics Pvt Ltd-Che</t>
  </si>
  <si>
    <t>11915  Fiesta Car Rentals &amp; Logistics Pvt Ltd</t>
  </si>
  <si>
    <t xml:space="preserve">Clinton Jesuraja
</t>
  </si>
  <si>
    <t>C/2025/PO/000116</t>
  </si>
  <si>
    <t>Phalguni Sridhar Bangera-Che</t>
  </si>
  <si>
    <t>12930 Phalguni Sridhar Bangera</t>
  </si>
  <si>
    <t>D/2025/PO/000446</t>
  </si>
  <si>
    <t>D/2025/PO/000447</t>
  </si>
  <si>
    <t>Candor Commuting Cab Pvt Ltd-Del</t>
  </si>
  <si>
    <t>11752  Candor Commuting Cab Pvt Ltd</t>
  </si>
  <si>
    <t>D/2025/PO/000448</t>
  </si>
  <si>
    <t>D/2025/PO/000449</t>
  </si>
  <si>
    <t>D/2025/PO/000450</t>
  </si>
  <si>
    <t>D/2025/PO/000451</t>
  </si>
  <si>
    <t>SB 22371</t>
  </si>
  <si>
    <t>D/2025/PO/000452</t>
  </si>
  <si>
    <t>SB 22366</t>
  </si>
  <si>
    <t>D/2025/PO/000453</t>
  </si>
  <si>
    <t>SB 22408</t>
  </si>
  <si>
    <t>D/2025/PO/000454</t>
  </si>
  <si>
    <t>Anshika Mishra  -CR</t>
  </si>
  <si>
    <t>Anshika</t>
  </si>
  <si>
    <t>1044972 Anshika Mishra</t>
  </si>
  <si>
    <t>D/2025/PO/000455</t>
  </si>
  <si>
    <t>Banty......... -CR</t>
  </si>
  <si>
    <t>D/2025/PO/000456</t>
  </si>
  <si>
    <t>Banty</t>
  </si>
  <si>
    <t>1045061 Banty Charan</t>
  </si>
  <si>
    <t>D/2025/PO/000457</t>
  </si>
  <si>
    <t>D/2025/PO/000458</t>
  </si>
  <si>
    <t>Jagdish (Runner) ....... -CR</t>
  </si>
  <si>
    <t>Jagdish</t>
  </si>
  <si>
    <t>D/2025/PO/000459</t>
  </si>
  <si>
    <t>D/2025/PO/000460</t>
  </si>
  <si>
    <t>D/2025/PO/000461</t>
  </si>
  <si>
    <t>GLB Assure Pvt Ltd-Del</t>
  </si>
  <si>
    <t>12960  GLB Assure Pvt Ltd</t>
  </si>
  <si>
    <t>D/2025/PO/000462</t>
  </si>
  <si>
    <t>Emerging Auto Solutions Pvt Ltd-Del</t>
  </si>
  <si>
    <t>12959  Emerging Auto Solutions Pvt Ltd</t>
  </si>
  <si>
    <t>D/2025/PO/000463</t>
  </si>
  <si>
    <t>D/2025/PO/000464</t>
  </si>
  <si>
    <t>D/2025/PO/000465</t>
  </si>
  <si>
    <t>D/2025/PO/000466</t>
  </si>
  <si>
    <t>Jai Sai Ram Films-Del</t>
  </si>
  <si>
    <t>11107 Jai Sai Ram Films</t>
  </si>
  <si>
    <t>D/2025/PO/000467</t>
  </si>
  <si>
    <t>D/2025/PO/000468</t>
  </si>
  <si>
    <t>D/2025/PO/000469</t>
  </si>
  <si>
    <t>Raktim Baruah-Del</t>
  </si>
  <si>
    <t>12932 Raktim Baruah</t>
  </si>
  <si>
    <t>Jayant Joy</t>
  </si>
  <si>
    <t>1138646 Jayant Joy</t>
  </si>
  <si>
    <t>D/2025/PO/000470</t>
  </si>
  <si>
    <t>D/2025/PO/000471</t>
  </si>
  <si>
    <t>MacBook Air 13"inch 512GB Space Gray</t>
  </si>
  <si>
    <t>D/2025/PO/000472</t>
  </si>
  <si>
    <t>Edge Decor Llp-Del</t>
  </si>
  <si>
    <t>11030 Edge Decor Llp</t>
  </si>
  <si>
    <t>D/2025/PO/000473</t>
  </si>
  <si>
    <t>A/2025/PO/000681</t>
  </si>
  <si>
    <t>Mehraan Shaikh  -CR</t>
  </si>
  <si>
    <t>A/2025/PO/000666</t>
  </si>
  <si>
    <t>Harish Aawade</t>
  </si>
  <si>
    <t>A/2025/PO/000667</t>
  </si>
  <si>
    <t>Global Production Services-Mum</t>
  </si>
  <si>
    <t>11958 Global Production  Services</t>
  </si>
  <si>
    <t>A/2025/PO/000668</t>
  </si>
  <si>
    <t>A/2025/PO/000669</t>
  </si>
  <si>
    <t>A/2025/PO/000670</t>
  </si>
  <si>
    <t>A/2025/PO/000671</t>
  </si>
  <si>
    <t>A/2025/PO/000672</t>
  </si>
  <si>
    <t>A/2025/PO/000674</t>
  </si>
  <si>
    <t>SB 22417</t>
  </si>
  <si>
    <t>A/2025/PO/000673</t>
  </si>
  <si>
    <t>A/2025/PO/000675</t>
  </si>
  <si>
    <t>A/2025/PO/000676</t>
  </si>
  <si>
    <t>A/2025/PO/000677</t>
  </si>
  <si>
    <t>A/2025/PO/000678</t>
  </si>
  <si>
    <t>A/2025/PO/000679</t>
  </si>
  <si>
    <t>A/2025/PO/000680</t>
  </si>
  <si>
    <t>A/2025/PO/000682</t>
  </si>
  <si>
    <t>SB 22400</t>
  </si>
  <si>
    <t>A/2025/PO/000683</t>
  </si>
  <si>
    <t>The Westin Pune Koregaon Park (Classic Citi Investments Pvt Ltd)-Mum</t>
  </si>
  <si>
    <t>12532  The Westin Pune Koregaon Park (Classic Citi Investments Pvt Ltd)</t>
  </si>
  <si>
    <t>A/2025/PO/000684</t>
  </si>
  <si>
    <t xml:space="preserve">Sarfaraz Memon
</t>
  </si>
  <si>
    <t>A/2025/PO/000685</t>
  </si>
  <si>
    <t>A/2025/PO/000686</t>
  </si>
  <si>
    <t>A/2025/PO/000689</t>
  </si>
  <si>
    <t>A/2025/PO/000687</t>
  </si>
  <si>
    <t>Parinita Nivrutti Pathare-Mum</t>
  </si>
  <si>
    <t>10800 Parinita Nivrutti Pathare</t>
  </si>
  <si>
    <t>A/2025/PO/000688</t>
  </si>
  <si>
    <t>Himanshu Shekhar-Mum</t>
  </si>
  <si>
    <t>10665 Himanshu Shekhar</t>
  </si>
  <si>
    <t>A/2025/PO/000690</t>
  </si>
  <si>
    <t>Dhenuka Jyoti Shekhar-Mum</t>
  </si>
  <si>
    <t>10035 Dhenuka Jyoti Shekhar</t>
  </si>
  <si>
    <t>A/2025/PO/000691</t>
  </si>
  <si>
    <t>A/2025/PO/000692</t>
  </si>
  <si>
    <t>Yash Shah-Mum</t>
  </si>
  <si>
    <t>11004 Yash Shah</t>
  </si>
  <si>
    <t>A/2025/PO/000693</t>
  </si>
  <si>
    <t>Crystal Art Plus-Mum</t>
  </si>
  <si>
    <t>11808 Crystal Art Plus</t>
  </si>
  <si>
    <t>A/2025/PO/000694</t>
  </si>
  <si>
    <t>Taal-Swara (Vansh Markandey)-Mum</t>
  </si>
  <si>
    <t>SB 22401</t>
  </si>
  <si>
    <t>A/2025/PO/000700</t>
  </si>
  <si>
    <t>Atish Pawar  -CR</t>
  </si>
  <si>
    <t>A/2025/PO/000699</t>
  </si>
  <si>
    <t>A/2025/PO/000696</t>
  </si>
  <si>
    <t>A/2025/PO/000695</t>
  </si>
  <si>
    <t>A/2025/PO/000697</t>
  </si>
  <si>
    <t>A/2025/PO/000698</t>
  </si>
  <si>
    <t>A/2025/PO/000701</t>
  </si>
  <si>
    <t>A/2025/PO/000702</t>
  </si>
  <si>
    <t>Adsmn Interactive Pvt Ltd-Mum</t>
  </si>
  <si>
    <t>12954  Adsmn Interactive Pvt Ltd</t>
  </si>
  <si>
    <t>A/2025/PO/000703</t>
  </si>
  <si>
    <t>Benchmark Marcom Pvt Ltd (OPC)-Mum</t>
  </si>
  <si>
    <t>11718  Benchmark Marcom Pvt Ltd (OPC)</t>
  </si>
  <si>
    <t>B/2025/PO/000289</t>
  </si>
  <si>
    <t>B/2025/PO/000290</t>
  </si>
  <si>
    <t>Farshan Shariff</t>
  </si>
  <si>
    <t>B/2025/PO/000291</t>
  </si>
  <si>
    <t>Jc Trax-Blr</t>
  </si>
  <si>
    <t>12050 Jc Trax</t>
  </si>
  <si>
    <t>B/2025/PO/000292</t>
  </si>
  <si>
    <t>B/2025/PO/000293</t>
  </si>
  <si>
    <t>B/2025/PO/000294</t>
  </si>
  <si>
    <t>B/2025/PO/000295</t>
  </si>
  <si>
    <t>B/2025/PO/000296</t>
  </si>
  <si>
    <t>B/2025/PO/000297</t>
  </si>
  <si>
    <t>B/2025/PO/000298</t>
  </si>
  <si>
    <t>B/2025/PO/000299</t>
  </si>
  <si>
    <t>Chintan Shetty  -CR</t>
  </si>
  <si>
    <t>B/2025/PO/000300</t>
  </si>
  <si>
    <t>SB 22362</t>
  </si>
  <si>
    <t>B/2025/PO/000301</t>
  </si>
  <si>
    <t>Deepika Shrivastava</t>
  </si>
  <si>
    <t>B/2025/PO/000302</t>
  </si>
  <si>
    <t>B/2025/PO/000303</t>
  </si>
  <si>
    <t>B/2025/PO/000304</t>
  </si>
  <si>
    <t>SB 22424</t>
  </si>
  <si>
    <t>C/2025/PO/000117</t>
  </si>
  <si>
    <t>Color Box-Che</t>
  </si>
  <si>
    <t>12956 Color Box</t>
  </si>
  <si>
    <t>C/2025/PO/000118</t>
  </si>
  <si>
    <t>C/2025/PO/000119</t>
  </si>
  <si>
    <t>C/2025/PO/000120</t>
  </si>
  <si>
    <t>C/2025/PO/000121</t>
  </si>
  <si>
    <t>C/2025/PO/000122</t>
  </si>
  <si>
    <t>D/2025/PO/000474</t>
  </si>
  <si>
    <t>Railtel Corporation of India Ltd (OTV)-Del</t>
  </si>
  <si>
    <t>12877  Railtel Corporation of India Ltd (OTV)</t>
  </si>
  <si>
    <t>Tulika Ganguly</t>
  </si>
  <si>
    <t>D/2025/PO/000475</t>
  </si>
  <si>
    <t>Extremeways Solutions-Del</t>
  </si>
  <si>
    <t>11907 Extremeways Solutions</t>
  </si>
  <si>
    <t>Jatin</t>
  </si>
  <si>
    <t>D/2025/PO/000476</t>
  </si>
  <si>
    <t>TKG Solutions Pvt Ltd-Del</t>
  </si>
  <si>
    <t>12544  TKG Solutions Pvt Ltd</t>
  </si>
  <si>
    <t>D/2025/PO/000477</t>
  </si>
  <si>
    <t>D/2025/PO/000478</t>
  </si>
  <si>
    <t>D/2025/PO/000479</t>
  </si>
  <si>
    <t>Yash Sharma</t>
  </si>
  <si>
    <t>1145086 Yash Sharma</t>
  </si>
  <si>
    <t>D/2025/PO/000480</t>
  </si>
  <si>
    <t>D/2025/PO/000481</t>
  </si>
  <si>
    <t>D/2025/PO/000482</t>
  </si>
  <si>
    <t>D/2025/PO/000483</t>
  </si>
  <si>
    <t>D/2025/PO/000484</t>
  </si>
  <si>
    <t>D/2025/PO/000485</t>
  </si>
  <si>
    <t>D/2025/PO/000486</t>
  </si>
  <si>
    <t>Sai Info Solutions-Del</t>
  </si>
  <si>
    <t>12971 Sai Info Solutions</t>
  </si>
  <si>
    <t>D/2025/PO/000487</t>
  </si>
  <si>
    <t>D/2025/PO/000488</t>
  </si>
  <si>
    <t>D/2025/PO/000489</t>
  </si>
  <si>
    <t>Seemant Mahalwal  -CR</t>
  </si>
  <si>
    <t>10899 Seemant Mahalwal</t>
  </si>
  <si>
    <t>D/2025/PO/000490</t>
  </si>
  <si>
    <t>D/2025/PO/000492</t>
  </si>
  <si>
    <t>SUPRIYA NAIK</t>
  </si>
  <si>
    <t>A/2025/PO/Gen/0016</t>
  </si>
  <si>
    <t>A/2025/PO/000730</t>
  </si>
  <si>
    <t>A/2025/PO/000729</t>
  </si>
  <si>
    <t>Tejas Damania  -CR</t>
  </si>
  <si>
    <t>A/2025/PO/000718</t>
  </si>
  <si>
    <t>A/2025/PO/000717</t>
  </si>
  <si>
    <t>Shabnam Shaikh Adv. -CR</t>
  </si>
  <si>
    <t>A/2025/PO/000716</t>
  </si>
  <si>
    <t>A/2025/PO/000713</t>
  </si>
  <si>
    <t>A/2025/PO/000712</t>
  </si>
  <si>
    <t>A/2025/PO/000711</t>
  </si>
  <si>
    <t>A/2025/PO/000710</t>
  </si>
  <si>
    <t>Sumit Sangle  -CR</t>
  </si>
  <si>
    <t>A/2025/PO/000708</t>
  </si>
  <si>
    <t>A/2025/PO/000707</t>
  </si>
  <si>
    <t>A/2025/PO/000706</t>
  </si>
  <si>
    <t>A/2025/PO/000705</t>
  </si>
  <si>
    <t>A/2025/PO/000709</t>
  </si>
  <si>
    <t>A/2025/PO/000704</t>
  </si>
  <si>
    <t>A/2025/PO/000714</t>
  </si>
  <si>
    <t>Nitin Kamble</t>
  </si>
  <si>
    <t>A/2025/PO/000715</t>
  </si>
  <si>
    <t>Om Audio Visual India-Niral Mehul Mehta-Mum</t>
  </si>
  <si>
    <t>A/2025/PO/000719</t>
  </si>
  <si>
    <t>A/2025/PO/000720</t>
  </si>
  <si>
    <t>A/2025/PO/000721</t>
  </si>
  <si>
    <t>A/2025/PO/000722</t>
  </si>
  <si>
    <t>A/2025/PO/000723</t>
  </si>
  <si>
    <t>A/2025/PO/000724</t>
  </si>
  <si>
    <t>A/2025/PO/000725</t>
  </si>
  <si>
    <t>Pravin Entertainment-Mum</t>
  </si>
  <si>
    <t>11125 Pravin Entertainment</t>
  </si>
  <si>
    <t>A/2025/PO/000726</t>
  </si>
  <si>
    <t>Nakul Sales Corporation-Mum</t>
  </si>
  <si>
    <t>12967 Nakul Sales Corporation</t>
  </si>
  <si>
    <t>A/2025/PO/000727</t>
  </si>
  <si>
    <t>A/2025/PO/000728</t>
  </si>
  <si>
    <t>SB 22416</t>
  </si>
  <si>
    <t>A/2025/PO/000731</t>
  </si>
  <si>
    <t>A/2025/PO/000732</t>
  </si>
  <si>
    <t>A/2025/PO/000733</t>
  </si>
  <si>
    <t>A/2025/PO/000734</t>
  </si>
  <si>
    <t>A/2025/PO/000735</t>
  </si>
  <si>
    <t xml:space="preserve">Lokesh Sonar
</t>
  </si>
  <si>
    <t>A/2025/PO/000736</t>
  </si>
  <si>
    <t>Hanshraj Enterprise-Mum</t>
  </si>
  <si>
    <t>12962 Hanshraj Enterprise</t>
  </si>
  <si>
    <t>A/2025/PO/000737</t>
  </si>
  <si>
    <t>A/2025/PO/000738</t>
  </si>
  <si>
    <t>A/2025/PO/000739</t>
  </si>
  <si>
    <t>A/2025/PO/000740</t>
  </si>
  <si>
    <t>A/2025/PO/000741</t>
  </si>
  <si>
    <t>Globus Events-Mum</t>
  </si>
  <si>
    <t>12961 Globus Events</t>
  </si>
  <si>
    <t>A/2025/PO/000742</t>
  </si>
  <si>
    <t>A/2025/PO/000743</t>
  </si>
  <si>
    <t>A/2025/PO/000744</t>
  </si>
  <si>
    <t>Compu Needs-Mum</t>
  </si>
  <si>
    <t>11781 Compu Needs</t>
  </si>
  <si>
    <t>A/2025/PO/000745</t>
  </si>
  <si>
    <t>Effect Vision-Mum</t>
  </si>
  <si>
    <t>11096 Effect Vision</t>
  </si>
  <si>
    <t>SB 22422</t>
  </si>
  <si>
    <t xml:space="preserve">Tapish Gupta
</t>
  </si>
  <si>
    <t>A/2025/PO/000746</t>
  </si>
  <si>
    <t>A/2025/PO/000747</t>
  </si>
  <si>
    <t xml:space="preserve">Neel Khakhar
</t>
  </si>
  <si>
    <t>1141537 Neel Khakhar</t>
  </si>
  <si>
    <t>B/2025/PO/000305</t>
  </si>
  <si>
    <t>SB 22419</t>
  </si>
  <si>
    <t>B/2025/PO/000306</t>
  </si>
  <si>
    <t>B/2025/PO/000307</t>
  </si>
  <si>
    <t>B/2025/PO/000308</t>
  </si>
  <si>
    <t>B/2025/PO/000309</t>
  </si>
  <si>
    <t>B/2025/PO/000310</t>
  </si>
  <si>
    <t>B/2025/PO/000311</t>
  </si>
  <si>
    <t>B/2025/PO/000312</t>
  </si>
  <si>
    <t>C/2025/PO/000123</t>
  </si>
  <si>
    <t>C/2025/PO/000124</t>
  </si>
  <si>
    <t>Aravind Kumar S Adv for Exp-CR</t>
  </si>
  <si>
    <t>C/2025/PO/000125</t>
  </si>
  <si>
    <t>C/2025/PO/000126</t>
  </si>
  <si>
    <t>C/2025/PO/000127</t>
  </si>
  <si>
    <t>C/2025/PO/000128</t>
  </si>
  <si>
    <t>C/2025/PO/000129</t>
  </si>
  <si>
    <t>Brijesh L  -CR</t>
  </si>
  <si>
    <t>10025 Brijesh L</t>
  </si>
  <si>
    <t>C/2025/PO/000130</t>
  </si>
  <si>
    <t>SB 22415</t>
  </si>
  <si>
    <t>C/2025/PO/000131</t>
  </si>
  <si>
    <t>C/2025/PO/000132</t>
  </si>
  <si>
    <t>C/2025/PO/000133</t>
  </si>
  <si>
    <t>C/2025/PO/000134</t>
  </si>
  <si>
    <t>C/2025/PO/000135</t>
  </si>
  <si>
    <t>C/2025/PO/000136</t>
  </si>
  <si>
    <t>C/2025/PO/000137</t>
  </si>
  <si>
    <t>C/2025/PO/000138</t>
  </si>
  <si>
    <t>D/2025/PO/000491</t>
  </si>
  <si>
    <t>D/2025/PO/000493</t>
  </si>
  <si>
    <t>D/2025/PO/000494</t>
  </si>
  <si>
    <t>D/2025/PO/000495</t>
  </si>
  <si>
    <t>D/2025/PO/000496</t>
  </si>
  <si>
    <t>Harsit Jain</t>
  </si>
  <si>
    <t>D/2025/PO/000497</t>
  </si>
  <si>
    <t>D/2025/PO/000498</t>
  </si>
  <si>
    <t>D/2025/PO/000499</t>
  </si>
  <si>
    <t>Ritu Vohra  -CR</t>
  </si>
  <si>
    <t>Ritu</t>
  </si>
  <si>
    <t>1126217 Ritu Vohra</t>
  </si>
  <si>
    <t>D/2025/PO/000500</t>
  </si>
  <si>
    <t>Sachin</t>
  </si>
  <si>
    <t>D/2025/PO/000501</t>
  </si>
  <si>
    <t>D/2025/PO/000502</t>
  </si>
  <si>
    <t>D/2025/PO/000503</t>
  </si>
  <si>
    <t>D/2025/PO/000504</t>
  </si>
  <si>
    <t>D/2025/PO/000505</t>
  </si>
  <si>
    <t>D/2025/PO/000506</t>
  </si>
  <si>
    <t>Praveen Kumar</t>
  </si>
  <si>
    <t>1138082 Praveen Kumar</t>
  </si>
  <si>
    <t>D/2025/PO/000507</t>
  </si>
  <si>
    <t>D/2025/PO/000508</t>
  </si>
  <si>
    <t>D/2025/PO/000509</t>
  </si>
  <si>
    <t>Rehan Vending &amp; Services-Del</t>
  </si>
  <si>
    <t>12969 Rehan Vending &amp; Services</t>
  </si>
  <si>
    <t>D/2025/PO/000510</t>
  </si>
  <si>
    <t>D/2025/PO/000511</t>
  </si>
  <si>
    <t>D/2025/PO/000512</t>
  </si>
  <si>
    <t>D/2025/PO/000513</t>
  </si>
  <si>
    <t>D/2025/PO/000514</t>
  </si>
  <si>
    <t>D/2025/PO/000515</t>
  </si>
  <si>
    <t>D/2025/PO/000516</t>
  </si>
  <si>
    <t>D/2025/PO/000517</t>
  </si>
  <si>
    <t>D/2025/PO/000518</t>
  </si>
  <si>
    <t>D/2025/PO/000519</t>
  </si>
  <si>
    <t>D/2025/PO/000520</t>
  </si>
  <si>
    <t>Umesh Sharma  -CR</t>
  </si>
  <si>
    <t>D/2025/PO/000521</t>
  </si>
  <si>
    <t>D/2025/PO/000522</t>
  </si>
  <si>
    <t>D/2025/PO/000523</t>
  </si>
  <si>
    <t>D/2025/PO/000524</t>
  </si>
  <si>
    <t>D/2025/PO/000525</t>
  </si>
  <si>
    <t>D/2025/PO/000526</t>
  </si>
  <si>
    <t>D/2025/PO/000527</t>
  </si>
  <si>
    <t>A/2025/PO/000774</t>
  </si>
  <si>
    <t>Adil Jala  -CR</t>
  </si>
  <si>
    <t>A/2025/PO/000771</t>
  </si>
  <si>
    <t>A/2025/PO/000770</t>
  </si>
  <si>
    <t>A/2025/PO/000768</t>
  </si>
  <si>
    <t>Honey Lalwani  -CR</t>
  </si>
  <si>
    <t>A/2025/PO/000773</t>
  </si>
  <si>
    <t>A/2025/PO/000772</t>
  </si>
  <si>
    <t>A/2025/PO/000767</t>
  </si>
  <si>
    <t>A/2025/PO/000766</t>
  </si>
  <si>
    <t>A/2025/PO/000765</t>
  </si>
  <si>
    <t>A/2025/PO/000764</t>
  </si>
  <si>
    <t>A/2025/PO/000763</t>
  </si>
  <si>
    <t>Sagar Bamnolikar -CR</t>
  </si>
  <si>
    <t>A/2025/PO/000762</t>
  </si>
  <si>
    <t>A/2025/PO/000758</t>
  </si>
  <si>
    <t>A/2025/PO/000748</t>
  </si>
  <si>
    <t>Gainskills Business Media Pvt Ltd-Mum</t>
  </si>
  <si>
    <t>12945  Gainskills Business Media Pvt Ltd</t>
  </si>
  <si>
    <t>SB 22346</t>
  </si>
  <si>
    <t xml:space="preserve">Fariz Shaikh
</t>
  </si>
  <si>
    <t>1044912 Farizuddin Shaikh</t>
  </si>
  <si>
    <t>A/2025/PO/000749</t>
  </si>
  <si>
    <t>Taj The Trees (Godrej Highrises Properties Pvt Ltd) (Happay)-Mum</t>
  </si>
  <si>
    <t>12921  Taj The Trees (Godrej Highrises Properties Pvt Ltd) (Happay)</t>
  </si>
  <si>
    <t>Justin</t>
  </si>
  <si>
    <t>A/2025/PO/000750</t>
  </si>
  <si>
    <t>PVR Inox Ltd-Mum</t>
  </si>
  <si>
    <t>11367  PVR Inox Ltd</t>
  </si>
  <si>
    <t>SB 22421</t>
  </si>
  <si>
    <t>A/2025/PO/000751</t>
  </si>
  <si>
    <t>William Penn Pvt Ltd-Mum</t>
  </si>
  <si>
    <t>12953  William Penn Pvt Ltd</t>
  </si>
  <si>
    <t>Dhanush Prashanth</t>
  </si>
  <si>
    <t>1143349 Dhanush Prashanth</t>
  </si>
  <si>
    <t>A/2025/PO/000752</t>
  </si>
  <si>
    <t>Westin Hotels &amp; Resorts (The Westin Raleigh-Durham Airport)-Mum</t>
  </si>
  <si>
    <t>A/2025/PO/000753</t>
  </si>
  <si>
    <t>A/2025/PO/000754</t>
  </si>
  <si>
    <t>Kompkare-Mum</t>
  </si>
  <si>
    <t>A/2025/PO/000755</t>
  </si>
  <si>
    <t>A/2025/PO/000756</t>
  </si>
  <si>
    <t>Vibrant Experiences LLP-Mum</t>
  </si>
  <si>
    <t>12588 Vibrant Experiences LLP</t>
  </si>
  <si>
    <t>A/2025/PO/000757</t>
  </si>
  <si>
    <t>Eventers-Mum</t>
  </si>
  <si>
    <t>SB 22342</t>
  </si>
  <si>
    <t xml:space="preserve">Sagar Dixit
</t>
  </si>
  <si>
    <t>A/2025/PO/000759</t>
  </si>
  <si>
    <t>A/2025/PO/000760</t>
  </si>
  <si>
    <t>A/2025/PO/000761</t>
  </si>
  <si>
    <t>A/2025/PO/000769</t>
  </si>
  <si>
    <t>SB 22043</t>
  </si>
  <si>
    <t>KUNVAR</t>
  </si>
  <si>
    <t>B/2025/PO/000313</t>
  </si>
  <si>
    <t xml:space="preserve">Farhan Shariff
</t>
  </si>
  <si>
    <t>B/2025/PO/000314</t>
  </si>
  <si>
    <t>B/2025/PO/000315</t>
  </si>
  <si>
    <t>B/2025/PO/000316</t>
  </si>
  <si>
    <t>B/2025/PO/000317</t>
  </si>
  <si>
    <t>B/2025/PO/000318</t>
  </si>
  <si>
    <t>B/2025/PO/000319</t>
  </si>
  <si>
    <t>B/2025/PO/000320</t>
  </si>
  <si>
    <t>SB 22429</t>
  </si>
  <si>
    <t>B/2025/PO/000321</t>
  </si>
  <si>
    <t>Unicorn Food Solution-Blr</t>
  </si>
  <si>
    <t>12978 Unicorn Food Solution</t>
  </si>
  <si>
    <t>B/2025/PO/000322</t>
  </si>
  <si>
    <t>B/2025/PO/000323</t>
  </si>
  <si>
    <t>B/2025/PO/000324</t>
  </si>
  <si>
    <t>B/2025/PO/000326</t>
  </si>
  <si>
    <t>Sarah Logistics-Blr</t>
  </si>
  <si>
    <t>10077 Sarah Logistics</t>
  </si>
  <si>
    <t>B/2025/PO/000325</t>
  </si>
  <si>
    <t>B/2025/PO/000327</t>
  </si>
  <si>
    <t>B/2025/PO/000328</t>
  </si>
  <si>
    <t>Rohan Mane</t>
  </si>
  <si>
    <t>B/2025/PO/000329</t>
  </si>
  <si>
    <t>B/2025/PO/000330</t>
  </si>
  <si>
    <t>B/2025/PO/000331</t>
  </si>
  <si>
    <t>B/2025/PO/000332</t>
  </si>
  <si>
    <t>B/2025/PO/000333</t>
  </si>
  <si>
    <t>C/2025/PO/000139</t>
  </si>
  <si>
    <t>C/2025/PO/000140</t>
  </si>
  <si>
    <t>C/2025/PO/000141</t>
  </si>
  <si>
    <t>Beena Joseph  -CR</t>
  </si>
  <si>
    <t>C/2025/PO/000142</t>
  </si>
  <si>
    <t>C/2025/PO/000143</t>
  </si>
  <si>
    <t>C/2025/PO/000144</t>
  </si>
  <si>
    <t>C/2025/PO/000145</t>
  </si>
  <si>
    <t>C/2025/PO/000146</t>
  </si>
  <si>
    <t>Clinton</t>
  </si>
  <si>
    <t>D/2025/PO/000528</t>
  </si>
  <si>
    <t>Translation India-Del</t>
  </si>
  <si>
    <t>11141 Translation India</t>
  </si>
  <si>
    <t>Ghanshyam Asolkar</t>
  </si>
  <si>
    <t>D/2025/PO/000529</t>
  </si>
  <si>
    <t>D/2025/PO/000530</t>
  </si>
  <si>
    <t>Unbox Cultural Futures LLP-Del</t>
  </si>
  <si>
    <t>12976 Unbox Cultural Futures LLP</t>
  </si>
  <si>
    <t>SB 22414</t>
  </si>
  <si>
    <t>D/2025/PO/000531</t>
  </si>
  <si>
    <t>D/2025/PO/000532</t>
  </si>
  <si>
    <t>D/2025/PO/000533</t>
  </si>
  <si>
    <t>D/2025/PO/000534</t>
  </si>
  <si>
    <t>D/2025/PO/000535</t>
  </si>
  <si>
    <t>D/2025/PO/000536</t>
  </si>
  <si>
    <t>1044844 Devendra Kumar</t>
  </si>
  <si>
    <t>D/2025/PO/000537</t>
  </si>
  <si>
    <t>D/2025/PO/000538</t>
  </si>
  <si>
    <t>Praveen Kumar......-CR</t>
  </si>
  <si>
    <t>D/2025/PO/000539</t>
  </si>
  <si>
    <t>D/2025/PO/000540</t>
  </si>
  <si>
    <t>D/2025/PO/000541</t>
  </si>
  <si>
    <t>Parveen</t>
  </si>
  <si>
    <t>D/2025/PO/000542</t>
  </si>
  <si>
    <t>D/2025/PO/000543</t>
  </si>
  <si>
    <t>Kundan Badiwal.........-CR</t>
  </si>
  <si>
    <t>Kundan</t>
  </si>
  <si>
    <t>D/2025/PO/000544</t>
  </si>
  <si>
    <t>A/2025/PO/000779</t>
  </si>
  <si>
    <t>A/2025/PO/000778</t>
  </si>
  <si>
    <t>A/2025/PO/000775</t>
  </si>
  <si>
    <t>Right Angle Productions-Mum</t>
  </si>
  <si>
    <t>12341 Right Angle Productions</t>
  </si>
  <si>
    <t xml:space="preserve">Sameer Shaikh
</t>
  </si>
  <si>
    <t>1132438 Sameer Kutubuddin Shaikh</t>
  </si>
  <si>
    <t>A/2025/PO/000788</t>
  </si>
  <si>
    <t>EXCESS BAGGAGE (EVENTS)</t>
  </si>
  <si>
    <t>Excess Baggage - Events</t>
  </si>
  <si>
    <t>A/2025/PO/000787</t>
  </si>
  <si>
    <t>A/2025/PO/000785</t>
  </si>
  <si>
    <t>A/2025/PO/000776</t>
  </si>
  <si>
    <t>A/2025/PO/000777</t>
  </si>
  <si>
    <t>A/2025/PO/000780</t>
  </si>
  <si>
    <t>A/2025/PO/000781</t>
  </si>
  <si>
    <t>A/2025/PO/000782</t>
  </si>
  <si>
    <t>A S Teleprompters-Mum</t>
  </si>
  <si>
    <t>10124 A S Teleprompters</t>
  </si>
  <si>
    <t>A/2025/PO/000783</t>
  </si>
  <si>
    <t>A/2025/PO/000784</t>
  </si>
  <si>
    <t>A/2025/PO/000786</t>
  </si>
  <si>
    <t>Adapt Affairs Solutions LLP (New)-Mum</t>
  </si>
  <si>
    <t>11641 Adapt Affairs Solutions LLP (New)</t>
  </si>
  <si>
    <t>A/2025/PO/000789</t>
  </si>
  <si>
    <t>Stonks Studios LLP (CR)-Mum</t>
  </si>
  <si>
    <t>A/2025/PO/000790</t>
  </si>
  <si>
    <t>Trident Nariman Point-Mum</t>
  </si>
  <si>
    <t>12925  Trident Nariman Point</t>
  </si>
  <si>
    <t>SB 22437</t>
  </si>
  <si>
    <t>A/2025/PO/000791</t>
  </si>
  <si>
    <t>A/2025/PO/000792</t>
  </si>
  <si>
    <t>Ravishankar Shastri-Mum</t>
  </si>
  <si>
    <t>12933 Ravishankar Shastri</t>
  </si>
  <si>
    <t>A/2025/PO/000793</t>
  </si>
  <si>
    <t>Padma Wedding Decor (OTV)-Mum</t>
  </si>
  <si>
    <t>12916 Padma Wedding Decor (OTV)</t>
  </si>
  <si>
    <t>A/2025/PO/000794</t>
  </si>
  <si>
    <t>B/2025/PO/000334</t>
  </si>
  <si>
    <t>B/2025/PO/000335</t>
  </si>
  <si>
    <t>Ace Print Pack-Blr</t>
  </si>
  <si>
    <t>11637 Ace Print Pack</t>
  </si>
  <si>
    <t>B/2025/PO/000336</t>
  </si>
  <si>
    <t>B/2025/PO/000337</t>
  </si>
  <si>
    <t>Vishal Chandran  -CR</t>
  </si>
  <si>
    <t>Soumya Balasundar</t>
  </si>
  <si>
    <t>1129821 Soumya Balasunder</t>
  </si>
  <si>
    <t>B/2025/PO/000338</t>
  </si>
  <si>
    <t>B/2025/PO/000339</t>
  </si>
  <si>
    <t>Smartping AI Pvt Ltd (OTV)-Blr</t>
  </si>
  <si>
    <t>12974  Smartping AI Pvt Ltd (OTV)</t>
  </si>
  <si>
    <t>Nazia / Tijo Joseph</t>
  </si>
  <si>
    <t>B/2025/PO/000340</t>
  </si>
  <si>
    <t>B/2025/PO/000341</t>
  </si>
  <si>
    <t>B/2025/PO/000342</t>
  </si>
  <si>
    <t>B/2025/PO/000343</t>
  </si>
  <si>
    <t>B/2025/PO/000344</t>
  </si>
  <si>
    <t>B/2025/PO/000345</t>
  </si>
  <si>
    <t>B/2025/PO/000346</t>
  </si>
  <si>
    <t>B/2025/PO/000347</t>
  </si>
  <si>
    <t>Kapeel Parmekar -Cr</t>
  </si>
  <si>
    <t>B/2025/PO/000348</t>
  </si>
  <si>
    <t>C/2025/PO/000147</t>
  </si>
  <si>
    <t>SB 22435</t>
  </si>
  <si>
    <t>C/2025/PO/000148</t>
  </si>
  <si>
    <t>C/2025/PO/000149</t>
  </si>
  <si>
    <t>C/2025/PO/000150</t>
  </si>
  <si>
    <t>D/2025/PO/000545</t>
  </si>
  <si>
    <t>D/2025/PO/000546</t>
  </si>
  <si>
    <t>Datagen Internet Services Pvt Ltd-Del</t>
  </si>
  <si>
    <t>11815  Datagen Internet Services Pvt Ltd</t>
  </si>
  <si>
    <t>D/2025/PO/000547</t>
  </si>
  <si>
    <t>D/2025/PO/000548</t>
  </si>
  <si>
    <t>D/2025/PO/000549</t>
  </si>
  <si>
    <t>D/2025/PO/000550</t>
  </si>
  <si>
    <t>SB 22344</t>
  </si>
  <si>
    <t>D/2025/PO/000551</t>
  </si>
  <si>
    <t>D/2025/PO/000552</t>
  </si>
  <si>
    <t>D/2025/PO/000553</t>
  </si>
  <si>
    <t>D/2025/PO/000554</t>
  </si>
  <si>
    <t>D/2025/PO/000555</t>
  </si>
  <si>
    <t>SB 22364</t>
  </si>
  <si>
    <t>D/2025/PO/000556</t>
  </si>
  <si>
    <t>SB 22420</t>
  </si>
  <si>
    <t>D/2025/PO/000557</t>
  </si>
  <si>
    <t>D/2025/PO/000558</t>
  </si>
  <si>
    <t>D/2025/PO/000559</t>
  </si>
  <si>
    <t>D/2025/PO/000560</t>
  </si>
  <si>
    <t>D/2025/PO/000561</t>
  </si>
  <si>
    <t>SB 22358</t>
  </si>
  <si>
    <t>D/2025/PO/000562</t>
  </si>
  <si>
    <t>D/2025/PO/000563</t>
  </si>
  <si>
    <t>D/2025/PO/000564</t>
  </si>
  <si>
    <t>D/2025/PO/000565</t>
  </si>
  <si>
    <t>D/2025/PO/000566</t>
  </si>
  <si>
    <t>D/2025/PO/000567</t>
  </si>
  <si>
    <t>D/2025/PO/000568</t>
  </si>
  <si>
    <t>Yana Hospitality Inc-Del</t>
  </si>
  <si>
    <t>10104 Yana Hospitality Inc</t>
  </si>
  <si>
    <t>D/2025/PO/000569</t>
  </si>
  <si>
    <t>D/2025/PO/000570</t>
  </si>
  <si>
    <t>D/2025/PO/000571</t>
  </si>
  <si>
    <t>D/2025/PO/000572</t>
  </si>
  <si>
    <t>D/2025/PO/000573</t>
  </si>
  <si>
    <t>D/2025/PO/000574</t>
  </si>
  <si>
    <t>D/2025/PO/000575</t>
  </si>
  <si>
    <t>D/2025/PO/000576</t>
  </si>
  <si>
    <t>D/2025/PO/000577</t>
  </si>
  <si>
    <t>Anil</t>
  </si>
  <si>
    <t>D/2025/PO/000578</t>
  </si>
  <si>
    <t>D/2025/PO/000579</t>
  </si>
  <si>
    <t>D/2025/PO/000580</t>
  </si>
  <si>
    <t>D/2025/PO/000581</t>
  </si>
  <si>
    <t>D/2025/PO/000582</t>
  </si>
  <si>
    <t>Ghanshyam ........  -CR</t>
  </si>
  <si>
    <t>Ghanshyam</t>
  </si>
  <si>
    <t>D/2025/PO/000583</t>
  </si>
  <si>
    <t>Ishwar Adhikari  -CR</t>
  </si>
  <si>
    <t>Ishwar</t>
  </si>
  <si>
    <t>1130342 Ishwar Singh Adhikari</t>
  </si>
  <si>
    <t>D/2025/PO/000584</t>
  </si>
  <si>
    <t>Yogesh</t>
  </si>
  <si>
    <t>D/2025/PO/000585</t>
  </si>
  <si>
    <t>Nitin</t>
  </si>
  <si>
    <t>D/2025/PO/000586</t>
  </si>
  <si>
    <t>D/2025/PO/000587</t>
  </si>
  <si>
    <t>Classic Fur1044835 Neetu Prakash Poojaryres-Del</t>
  </si>
  <si>
    <t>11771 Classic Fur1044835 Neetu Prakash Poojaryres</t>
  </si>
  <si>
    <t>D/2025/PO/000588</t>
  </si>
  <si>
    <t>Mazai Tours and Travels LLP-Del</t>
  </si>
  <si>
    <t>12130 Mazai Tours and Travels LLP</t>
  </si>
  <si>
    <t>A/2025/PO/Gen/0017</t>
  </si>
  <si>
    <t xml:space="preserve">Tejas Damania
</t>
  </si>
  <si>
    <t>1138617 Tejas Damania</t>
  </si>
  <si>
    <t>A/2025/PO/000869</t>
  </si>
  <si>
    <t>A/2025/PO/000868</t>
  </si>
  <si>
    <t>A/2025/PO/000867</t>
  </si>
  <si>
    <t>A/2025/PO/000866</t>
  </si>
  <si>
    <t>A/2025/PO/000865</t>
  </si>
  <si>
    <t>A/2025/PO/000864</t>
  </si>
  <si>
    <t>A/2025/PO/000863</t>
  </si>
  <si>
    <t>A/2025/PO/000862</t>
  </si>
  <si>
    <t>A/2025/PO/000861</t>
  </si>
  <si>
    <t>Santosh Singh -CR</t>
  </si>
  <si>
    <t>A/2025/PO/000860</t>
  </si>
  <si>
    <t>A/2025/PO/000859</t>
  </si>
  <si>
    <t>Harshal Ghadigaonkar -CR</t>
  </si>
  <si>
    <t>A/2025/PO/000858</t>
  </si>
  <si>
    <t>A/2025/PO/000857</t>
  </si>
  <si>
    <t>A/2025/PO/000836</t>
  </si>
  <si>
    <t>A/2025/PO/000832</t>
  </si>
  <si>
    <t>A/2025/PO/000823</t>
  </si>
  <si>
    <t>A/2025/PO/000795</t>
  </si>
  <si>
    <t>A/2025/PO/000796</t>
  </si>
  <si>
    <t>A/2025/PO/000797</t>
  </si>
  <si>
    <t>A/2025/PO/000798</t>
  </si>
  <si>
    <t xml:space="preserve">Samadhan Babar
</t>
  </si>
  <si>
    <t>A/2025/PO/000799</t>
  </si>
  <si>
    <t>Tejashree Patil</t>
  </si>
  <si>
    <t>A/2025/PO/000800</t>
  </si>
  <si>
    <t>Omkara Securitas Pvt Ltd-Mum</t>
  </si>
  <si>
    <t>12987  Omkara Securitas Pvt Ltd</t>
  </si>
  <si>
    <t>A/2025/PO/000801</t>
  </si>
  <si>
    <t>A/2025/PO/000802</t>
  </si>
  <si>
    <t>Alishan Trophies And Gifts-Mum</t>
  </si>
  <si>
    <t>12955 Alishan Trophies And Gifts</t>
  </si>
  <si>
    <t>A/2025/PO/000803</t>
  </si>
  <si>
    <t xml:space="preserve">Mangesh
</t>
  </si>
  <si>
    <t>A/2025/PO/000804</t>
  </si>
  <si>
    <t>A/2025/PO/000805</t>
  </si>
  <si>
    <t>A/2025/PO/000806</t>
  </si>
  <si>
    <t>A/2025/PO/000807</t>
  </si>
  <si>
    <t>A/2025/PO/000808</t>
  </si>
  <si>
    <t>SB 22436</t>
  </si>
  <si>
    <t>A/2025/PO/000809</t>
  </si>
  <si>
    <t>A/2025/PO/000810</t>
  </si>
  <si>
    <t>Shivam Gift &amp; Novelties-Mum</t>
  </si>
  <si>
    <t>12973 Shivam Gift &amp; Novelties</t>
  </si>
  <si>
    <t>A/2025/PO/000811</t>
  </si>
  <si>
    <t>A/2025/PO/000812</t>
  </si>
  <si>
    <t>A/2025/PO/000813</t>
  </si>
  <si>
    <t>A/2025/PO/000814</t>
  </si>
  <si>
    <t>A/2025/PO/000815</t>
  </si>
  <si>
    <t>A/2025/PO/000816</t>
  </si>
  <si>
    <t>A/2025/PO/000817</t>
  </si>
  <si>
    <t>Santosh Singh</t>
  </si>
  <si>
    <t>A/2025/PO/000818</t>
  </si>
  <si>
    <t>A/2025/PO/000819</t>
  </si>
  <si>
    <t>A/2025/PO/000820</t>
  </si>
  <si>
    <t>Mahendra Kamble-Mum</t>
  </si>
  <si>
    <t>10734 Mahendra Kamble</t>
  </si>
  <si>
    <t>A/2025/PO/000821</t>
  </si>
  <si>
    <t>Samadhan Babar</t>
  </si>
  <si>
    <t>A/2025/PO/000822</t>
  </si>
  <si>
    <t>A/2025/PO/000824</t>
  </si>
  <si>
    <t>A/2025/PO/000825</t>
  </si>
  <si>
    <t>A/2025/PO/000826</t>
  </si>
  <si>
    <t>A/2025/PO/000827</t>
  </si>
  <si>
    <t>A/2025/PO/000828</t>
  </si>
  <si>
    <t>A/2025/PO/000829</t>
  </si>
  <si>
    <t>A/2025/PO/000830</t>
  </si>
  <si>
    <t>A/2025/PO/000831</t>
  </si>
  <si>
    <t>A/2025/PO/000833</t>
  </si>
  <si>
    <t>A/2025/PO/000834</t>
  </si>
  <si>
    <t>A/2025/PO/000835</t>
  </si>
  <si>
    <t>A/2025/PO/000837</t>
  </si>
  <si>
    <t>Wheel Deal-Mum</t>
  </si>
  <si>
    <t>12981 Wheel Deal</t>
  </si>
  <si>
    <t>A/2025/PO/000838</t>
  </si>
  <si>
    <t>A/2025/PO/000839</t>
  </si>
  <si>
    <t>A/2025/PO/000840</t>
  </si>
  <si>
    <t>A/2025/PO/000841</t>
  </si>
  <si>
    <t>A/2025/PO/000842</t>
  </si>
  <si>
    <t>Celebrity Decorator (Ashok Dudhnath Chawan)-Mum</t>
  </si>
  <si>
    <t>11756 Celebrity Decorator (Ashok Dudhnath Chawan)</t>
  </si>
  <si>
    <t>A/2025/PO/000843</t>
  </si>
  <si>
    <t>A/2025/PO/000844</t>
  </si>
  <si>
    <t>A/2025/PO/000845</t>
  </si>
  <si>
    <t>A/2025/PO/000846</t>
  </si>
  <si>
    <t>A/2025/PO/000847</t>
  </si>
  <si>
    <t>A/2025/PO/000848</t>
  </si>
  <si>
    <t>A/2025/PO/000849</t>
  </si>
  <si>
    <t>A/2025/PO/000850</t>
  </si>
  <si>
    <t>Aditya Sawant Photography-Mum</t>
  </si>
  <si>
    <t>12988 Aditya Sawant Photography</t>
  </si>
  <si>
    <t>A/2025/PO/000851</t>
  </si>
  <si>
    <t>A/2025/PO/000852</t>
  </si>
  <si>
    <t>A/2025/PO/000853</t>
  </si>
  <si>
    <t>A/2025/PO/000854</t>
  </si>
  <si>
    <t>The Westin Mumbai Powai Lake (Chalet Hotels Ltd)-Mum</t>
  </si>
  <si>
    <t>10471  The Westin Mumbai Powai Lake (Chalet Hotels Ltd)</t>
  </si>
  <si>
    <t>SB 22428</t>
  </si>
  <si>
    <t>A/2025/PO/000855</t>
  </si>
  <si>
    <t>JW Marriott, Chandigarh (Lok Priya Buildwell Pvt Ltd)-Mum</t>
  </si>
  <si>
    <t>SB 22440</t>
  </si>
  <si>
    <t xml:space="preserve">Nitesh Tembkar
</t>
  </si>
  <si>
    <t>A/2025/PO/000856</t>
  </si>
  <si>
    <t>B/2025/PO/000349</t>
  </si>
  <si>
    <t>B/2025/PO/000351</t>
  </si>
  <si>
    <t>Sridevi Rao-Blr</t>
  </si>
  <si>
    <t>12937 Sridevi Rao</t>
  </si>
  <si>
    <t>SB 22430</t>
  </si>
  <si>
    <t>Shailendra Warrior</t>
  </si>
  <si>
    <t>1135483 Shailendra Warrior</t>
  </si>
  <si>
    <t>B/2025/PO/000350</t>
  </si>
  <si>
    <t>The Ritz-Carlton, Bangalore.-Blr</t>
  </si>
  <si>
    <t>SB 22438</t>
  </si>
  <si>
    <t>B/2025/PO/000352</t>
  </si>
  <si>
    <t>B/2025/PO/000353</t>
  </si>
  <si>
    <t>B/2025/PO/000354</t>
  </si>
  <si>
    <t>Pgm party links-Blr</t>
  </si>
  <si>
    <t>12252 Pgm Party Links</t>
  </si>
  <si>
    <t>B/2025/PO/000355</t>
  </si>
  <si>
    <t>Umme Salma-Blr</t>
  </si>
  <si>
    <t>10984 Umme Salma</t>
  </si>
  <si>
    <t>Ashwini</t>
  </si>
  <si>
    <t>B/2025/PO/000356</t>
  </si>
  <si>
    <t>B/2025/PO/000357</t>
  </si>
  <si>
    <t>B/2025/PO/000358</t>
  </si>
  <si>
    <t>B/2025/PO/000359</t>
  </si>
  <si>
    <t>B/2025/PO/000360</t>
  </si>
  <si>
    <t>Bharatesh N S (DJ Bobby)-Blr</t>
  </si>
  <si>
    <t>12989 Bharatesh N S (DJ Bobby)</t>
  </si>
  <si>
    <t>B/2025/PO/000361</t>
  </si>
  <si>
    <t>C/2025/PO/000151</t>
  </si>
  <si>
    <t>C/2025/PO/000152</t>
  </si>
  <si>
    <t>SB 22385</t>
  </si>
  <si>
    <t>D/2025/PO/000589</t>
  </si>
  <si>
    <t>Saiyam  Dhamija  -CR</t>
  </si>
  <si>
    <t>Saiyam</t>
  </si>
  <si>
    <t>1139665 Saiyam Dhamija</t>
  </si>
  <si>
    <t>D/2025/PO/000590</t>
  </si>
  <si>
    <t>Subdev Raj Bhagat  -CR</t>
  </si>
  <si>
    <t>Sundev</t>
  </si>
  <si>
    <t>D/2025/PO/000591</t>
  </si>
  <si>
    <t>Sunny Kapoor........ -CR</t>
  </si>
  <si>
    <t>Sunny</t>
  </si>
  <si>
    <t>1044888 Sunny Kapoor</t>
  </si>
  <si>
    <t>D/2025/PO/000592</t>
  </si>
  <si>
    <t>D/2025/PO/000593</t>
  </si>
  <si>
    <t>Nidansh Kaul  -CR</t>
  </si>
  <si>
    <t>Nidansh</t>
  </si>
  <si>
    <t>1143576 Nidansh Kaul</t>
  </si>
  <si>
    <t>D/2025/PO/000594</t>
  </si>
  <si>
    <t>Sachin Kumar  -CR</t>
  </si>
  <si>
    <t>Sachin Kumar</t>
  </si>
  <si>
    <t>1143193 Sachin Kumar</t>
  </si>
  <si>
    <t>D/2025/PO/000595</t>
  </si>
  <si>
    <t>Komal Vajpai  -CR</t>
  </si>
  <si>
    <t>Komal</t>
  </si>
  <si>
    <t>1142071 Komal Vajpai</t>
  </si>
  <si>
    <t>D/2025/PO/000596</t>
  </si>
  <si>
    <t>D/2025/PO/000597</t>
  </si>
  <si>
    <t>Rohan Oberoi  -CR</t>
  </si>
  <si>
    <t>Rohan</t>
  </si>
  <si>
    <t>1143192 Rohan Oberoi</t>
  </si>
  <si>
    <t>D/2025/PO/000598</t>
  </si>
  <si>
    <t>Pradeep Singh Rawat  -CR</t>
  </si>
  <si>
    <t>Pradeep</t>
  </si>
  <si>
    <t>D/2025/PO/000599</t>
  </si>
  <si>
    <t>Puja Myne  -CR</t>
  </si>
  <si>
    <t>Puja</t>
  </si>
  <si>
    <t>1142567 Puja Myne</t>
  </si>
  <si>
    <t>D/2025/PO/000600</t>
  </si>
  <si>
    <t>D/2025/PO/000601</t>
  </si>
  <si>
    <t>Sajid Khan</t>
  </si>
  <si>
    <t>D/2025/PO/000602</t>
  </si>
  <si>
    <t>Ananya Mall  -CR</t>
  </si>
  <si>
    <t>D/2025/PO/000603</t>
  </si>
  <si>
    <t>D/2025/PO/000604</t>
  </si>
  <si>
    <t>D/2025/PO/000605</t>
  </si>
  <si>
    <t>Pindrop Voices Pvt Ltd-Del</t>
  </si>
  <si>
    <t>10807  Pindrop Voices Pvt Ltd</t>
  </si>
  <si>
    <t>D/2025/PO/000606</t>
  </si>
  <si>
    <t>D/2025/PO/000607</t>
  </si>
  <si>
    <t>Sidhant Saxena</t>
  </si>
  <si>
    <t>D/2025/PO/000608</t>
  </si>
  <si>
    <t>D/2025/PO/000609</t>
  </si>
  <si>
    <t>D/2025/PO/000610</t>
  </si>
  <si>
    <t>D/2025/PO/000611</t>
  </si>
  <si>
    <t>D/2025/PO/000612</t>
  </si>
  <si>
    <t>A/2025/PO/Gen/0018</t>
  </si>
  <si>
    <t>A/2025/PO/000901</t>
  </si>
  <si>
    <t>A/2025/PO/000886</t>
  </si>
  <si>
    <t>Raj Ansari  -CR</t>
  </si>
  <si>
    <t>A/2025/PO/000882</t>
  </si>
  <si>
    <t>A/2025/PO/000880</t>
  </si>
  <si>
    <t>A/2025/PO/000870</t>
  </si>
  <si>
    <t>A/2025/PO/000888</t>
  </si>
  <si>
    <t>Omar Khan  -CR</t>
  </si>
  <si>
    <t>A/2025/PO/000887</t>
  </si>
  <si>
    <t>A/2025/PO/000877</t>
  </si>
  <si>
    <t>A/2025/PO/000876</t>
  </si>
  <si>
    <t>A/2025/PO/000875</t>
  </si>
  <si>
    <t>A/2025/PO/000879</t>
  </si>
  <si>
    <t>A/2025/PO/000885</t>
  </si>
  <si>
    <t>SB 22391</t>
  </si>
  <si>
    <t>A/2025/PO/000884</t>
  </si>
  <si>
    <t>A/2025/PO/000883</t>
  </si>
  <si>
    <t>A/2025/PO/000878</t>
  </si>
  <si>
    <t>A/2025/PO/000873</t>
  </si>
  <si>
    <t>A/2025/PO/000871</t>
  </si>
  <si>
    <t>Navin Enterprises-Mum</t>
  </si>
  <si>
    <t>12189 Navin Enterprises</t>
  </si>
  <si>
    <t xml:space="preserve">Kamran Linjavi
</t>
  </si>
  <si>
    <t>1145396 Kamran Linjavi</t>
  </si>
  <si>
    <t>A/2025/PO/000872</t>
  </si>
  <si>
    <t>A/2025/PO/000874</t>
  </si>
  <si>
    <t>A/2025/PO/000881</t>
  </si>
  <si>
    <t>A/2025/PO/000889</t>
  </si>
  <si>
    <t>A/2025/PO/000890</t>
  </si>
  <si>
    <t>A/2025/PO/000891</t>
  </si>
  <si>
    <t>A/2025/PO/000892</t>
  </si>
  <si>
    <t>A/2025/PO/000893</t>
  </si>
  <si>
    <t>A/2025/PO/000894</t>
  </si>
  <si>
    <t>Osho Creation-Mum</t>
  </si>
  <si>
    <t>10788 Osho Creation</t>
  </si>
  <si>
    <t>A/2025/PO/000895</t>
  </si>
  <si>
    <t>A/2025/PO/000896</t>
  </si>
  <si>
    <t>A/2025/PO/000897</t>
  </si>
  <si>
    <t>A/2025/PO/000898</t>
  </si>
  <si>
    <t>A/2025/PO/000899</t>
  </si>
  <si>
    <t>UPS Rental Service (I) Pvt Ltd-Mum</t>
  </si>
  <si>
    <t>12817  UPS Rental Service (I) Pvt Ltd</t>
  </si>
  <si>
    <t>A/2025/PO/000900</t>
  </si>
  <si>
    <t>Reliance Industries Ltd-Mum</t>
  </si>
  <si>
    <t>10402  Reliance Industries Ltd</t>
  </si>
  <si>
    <t>SB 22326</t>
  </si>
  <si>
    <t>B/2025/PO/000362</t>
  </si>
  <si>
    <t>SB 22447</t>
  </si>
  <si>
    <t xml:space="preserve">Divya Bauva
</t>
  </si>
  <si>
    <t>1129013 Divya Bauva</t>
  </si>
  <si>
    <t>D/2025/PO/000613</t>
  </si>
  <si>
    <t>D/2025/PO/000614</t>
  </si>
  <si>
    <t>D/2025/PO/000615</t>
  </si>
  <si>
    <t>Natural Entertainers-Del</t>
  </si>
  <si>
    <t>12186 Natural Entertainers</t>
  </si>
  <si>
    <t>D/2025/PO/000616</t>
  </si>
  <si>
    <t>Staietechllp-Del</t>
  </si>
  <si>
    <t>SB 22449</t>
  </si>
  <si>
    <t>A/2025/PO/000929</t>
  </si>
  <si>
    <t>A/2025/PO/000928</t>
  </si>
  <si>
    <t>A/2025/PO/000927</t>
  </si>
  <si>
    <t>Harish Aawade -CR</t>
  </si>
  <si>
    <t>A/2025/PO/000926</t>
  </si>
  <si>
    <t>A/2025/PO/000925</t>
  </si>
  <si>
    <t>A/2025/PO/000924</t>
  </si>
  <si>
    <t>A/2025/PO/000921</t>
  </si>
  <si>
    <t>A/2025/PO/000918</t>
  </si>
  <si>
    <t>A/2025/PO/000907</t>
  </si>
  <si>
    <t>A/2025/PO/000906</t>
  </si>
  <si>
    <t>A/2025/PO/000911</t>
  </si>
  <si>
    <t>A/2025/PO/000910</t>
  </si>
  <si>
    <t>A/2025/PO/000909</t>
  </si>
  <si>
    <t>A/2025/PO/000908</t>
  </si>
  <si>
    <t>A/2025/PO/000905</t>
  </si>
  <si>
    <t>A/2025/PO/000904</t>
  </si>
  <si>
    <t>Sarita Stokes -CR</t>
  </si>
  <si>
    <t>A/2025/PO/000903</t>
  </si>
  <si>
    <t>A/2025/PO/000938</t>
  </si>
  <si>
    <t>A/2025/PO/000937</t>
  </si>
  <si>
    <t>Neel Khakhar  -CR</t>
  </si>
  <si>
    <t>A/2025/PO/000936</t>
  </si>
  <si>
    <t>A/2025/PO/000935</t>
  </si>
  <si>
    <t>A/2025/PO/000934</t>
  </si>
  <si>
    <t>A/2025/PO/000933</t>
  </si>
  <si>
    <t>A/2025/PO/000932</t>
  </si>
  <si>
    <t>A/2025/PO/000931</t>
  </si>
  <si>
    <t>A/2025/PO/000930</t>
  </si>
  <si>
    <t>A/2025/PO/000902</t>
  </si>
  <si>
    <t>A/2025/PO/000912</t>
  </si>
  <si>
    <t>Mavone Studios Pvt Ltd-Mum</t>
  </si>
  <si>
    <t>12127  Mavone Studios Pvt Ltd</t>
  </si>
  <si>
    <t>A/2025/PO/000913</t>
  </si>
  <si>
    <t>Flora Collection (Happay)-Mum</t>
  </si>
  <si>
    <t>12944 Flora Collection (Happay)</t>
  </si>
  <si>
    <t>Mahendra</t>
  </si>
  <si>
    <t>1045065 Mahendra Mane</t>
  </si>
  <si>
    <t>A/2025/PO/000914</t>
  </si>
  <si>
    <t>A/2025/PO/000915</t>
  </si>
  <si>
    <t>A/2025/PO/000916</t>
  </si>
  <si>
    <t>A/2025/PO/000917</t>
  </si>
  <si>
    <t>Rudra Creations-Mum</t>
  </si>
  <si>
    <t>12990 Rudra Creations</t>
  </si>
  <si>
    <t>CGST Input for MH @ 2.5%</t>
  </si>
  <si>
    <t>A/2025/PO/000919</t>
  </si>
  <si>
    <t>A/2025/PO/000920</t>
  </si>
  <si>
    <t>A/2025/PO/000922</t>
  </si>
  <si>
    <t>A/2025/PO/000923</t>
  </si>
  <si>
    <t>Aroush Event-Mum</t>
  </si>
  <si>
    <t>12855 Aroush Event</t>
  </si>
  <si>
    <t>A/2025/PO/000939</t>
  </si>
  <si>
    <t xml:space="preserve">Mayur Thakkar
</t>
  </si>
  <si>
    <t>A/2025/PO/000940</t>
  </si>
  <si>
    <t>A/2025/PO/000941</t>
  </si>
  <si>
    <t>Trupti Rahate-Mum</t>
  </si>
  <si>
    <t>10980 Trupti Rahate</t>
  </si>
  <si>
    <t>A/2025/PO/000942</t>
  </si>
  <si>
    <t>Nicobar Design Pvt Ltd (Happay)-Del</t>
  </si>
  <si>
    <t>12948  Nicobar Design Pvt Ltd (Happay)</t>
  </si>
  <si>
    <t>AFTAB</t>
  </si>
  <si>
    <t>B/2025/PO/000363</t>
  </si>
  <si>
    <t>B/2025/PO/000364</t>
  </si>
  <si>
    <t>B/2025/PO/000365</t>
  </si>
  <si>
    <t>SB 22443</t>
  </si>
  <si>
    <t>B/2025/PO/000366</t>
  </si>
  <si>
    <t>B/2025/PO/000367</t>
  </si>
  <si>
    <t>Taj MG Road, Bangalore (Piem Hotels Ltd)-Blr</t>
  </si>
  <si>
    <t>SB 22444</t>
  </si>
  <si>
    <t>C/2025/PO/000153</t>
  </si>
  <si>
    <t>Brand Recall Integrated Services-Che</t>
  </si>
  <si>
    <t>12991 Brand Recall Integrated Services</t>
  </si>
  <si>
    <t>Brijesh CL</t>
  </si>
  <si>
    <t>D/2025/PO/000617</t>
  </si>
  <si>
    <t>D/2025/PO/000618</t>
  </si>
  <si>
    <t>Qutab Entertainment Pvt Ltd-Del</t>
  </si>
  <si>
    <t>12920  Qutab Entertainment Pvt Ltd</t>
  </si>
  <si>
    <t>SB 22451</t>
  </si>
  <si>
    <t>D/2025/PO/000619</t>
  </si>
  <si>
    <t>Manchanda Bag Industries-Del</t>
  </si>
  <si>
    <t>11306 Manchanda Bag Industries</t>
  </si>
  <si>
    <t>SB 22455</t>
  </si>
  <si>
    <t>D/2025/PO/000620</t>
  </si>
  <si>
    <t>Success Tea Consultants-Del</t>
  </si>
  <si>
    <t>12470 Success Tea Consultants</t>
  </si>
  <si>
    <t>A/2025/PO/000943</t>
  </si>
  <si>
    <t>A/2025/PO/000944</t>
  </si>
  <si>
    <t>SB 22360</t>
  </si>
  <si>
    <t xml:space="preserve">Rajaram Shinde
</t>
  </si>
  <si>
    <t>A/2025/PO/000970</t>
  </si>
  <si>
    <t>A/2025/PO/000967</t>
  </si>
  <si>
    <t>A/2025/PO/000946</t>
  </si>
  <si>
    <t>Sikandar Shaikh Adv. -CR</t>
  </si>
  <si>
    <t>A/2025/PO/000947</t>
  </si>
  <si>
    <t>A/2025/PO/000966</t>
  </si>
  <si>
    <t>A/2025/PO/000965</t>
  </si>
  <si>
    <t>A/2025/PO/000963</t>
  </si>
  <si>
    <t>A/2025/PO/000962</t>
  </si>
  <si>
    <t>A/2025/PO/000960</t>
  </si>
  <si>
    <t>A/2025/PO/000958</t>
  </si>
  <si>
    <t>A/2025/PO/000957</t>
  </si>
  <si>
    <t>A/2025/PO/000952</t>
  </si>
  <si>
    <t>A/2025/PO/000950</t>
  </si>
  <si>
    <t>A/2025/PO/000949</t>
  </si>
  <si>
    <t>A/2025/PO/000948</t>
  </si>
  <si>
    <t>A/2025/PO/000945</t>
  </si>
  <si>
    <t>A/2025/PO/000951</t>
  </si>
  <si>
    <t>A/2025/PO/000953</t>
  </si>
  <si>
    <t>Prasad Nagotkar-Mum</t>
  </si>
  <si>
    <t>10815 Prasad Nagotkar</t>
  </si>
  <si>
    <t>A/2025/PO/000954</t>
  </si>
  <si>
    <t>Illuminati-Mum</t>
  </si>
  <si>
    <t>A/2025/PO/000955</t>
  </si>
  <si>
    <t>A/2025/PO/000956</t>
  </si>
  <si>
    <t>50FPS Fillms-Mum</t>
  </si>
  <si>
    <t>10500 50FPS Fillms</t>
  </si>
  <si>
    <t>A/2025/PO/000959</t>
  </si>
  <si>
    <t>Success Gift Solutions-Mum</t>
  </si>
  <si>
    <t>12468 Success Gift Solutions</t>
  </si>
  <si>
    <t>SB 22423</t>
  </si>
  <si>
    <t>A/2025/PO/000961</t>
  </si>
  <si>
    <t>A/2025/PO/000964</t>
  </si>
  <si>
    <t>Lite Bite Foods Pvt Ltd-Mum</t>
  </si>
  <si>
    <t>11298  Lite Bite Foods Pvt Ltd</t>
  </si>
  <si>
    <t>A/2025/PO/000968</t>
  </si>
  <si>
    <t>A/2025/PO/000969</t>
  </si>
  <si>
    <t>Adobe Systems Software Ireland Ltd-Mum</t>
  </si>
  <si>
    <t>11149  Adobe Systems Software Ireland Ltd</t>
  </si>
  <si>
    <t>A/2025/PO/000971</t>
  </si>
  <si>
    <t>Chahek Poddar</t>
  </si>
  <si>
    <t>A/2025/PO/000972</t>
  </si>
  <si>
    <t>A/2025/PO/000973</t>
  </si>
  <si>
    <t>A/2025/PO/000974</t>
  </si>
  <si>
    <t>A/2025/PO/000975</t>
  </si>
  <si>
    <t>A/2025/PO/000976</t>
  </si>
  <si>
    <t>A/2025/PO/000977</t>
  </si>
  <si>
    <t>A/2025/PO/000978</t>
  </si>
  <si>
    <t>A/2025/PO/000979</t>
  </si>
  <si>
    <t>A/2025/PO/000980</t>
  </si>
  <si>
    <t>A/2025/PO/000981</t>
  </si>
  <si>
    <t>A/2025/PO/000982</t>
  </si>
  <si>
    <t>A/2025/PO/000983</t>
  </si>
  <si>
    <t>A/2025/PO/000984</t>
  </si>
  <si>
    <t>Mehul Baloons India-Mum</t>
  </si>
  <si>
    <t>12966 Mehul Baloons India</t>
  </si>
  <si>
    <t>Trupti Rahate</t>
  </si>
  <si>
    <t>A/2025/PO/000985</t>
  </si>
  <si>
    <t>ProEvents and Promotions Pvt Ltd-Mum</t>
  </si>
  <si>
    <t>12290  ProEvents and Promotions Pvt Ltd</t>
  </si>
  <si>
    <t>SB 22454</t>
  </si>
  <si>
    <t>A/2025/PO/000986</t>
  </si>
  <si>
    <t>Ethos Ltd (OTV)-Mum</t>
  </si>
  <si>
    <t>12942  Ethos Ltd (OTV)</t>
  </si>
  <si>
    <t>SB 22458</t>
  </si>
  <si>
    <t xml:space="preserve">Rohan Gurav
</t>
  </si>
  <si>
    <t>1131209 Rohan Gurav</t>
  </si>
  <si>
    <t>A/2025/PO/000987</t>
  </si>
  <si>
    <t>Order</t>
  </si>
  <si>
    <t>Particulars</t>
  </si>
  <si>
    <t>Quantity</t>
  </si>
  <si>
    <t>Unit Price</t>
  </si>
  <si>
    <t>Vendor</t>
  </si>
  <si>
    <t>Ineligible SGST Input-Gen</t>
  </si>
  <si>
    <t>Car Hire Charges</t>
  </si>
  <si>
    <t>Ineligible SGST Input</t>
  </si>
  <si>
    <t>Telephone Expenses</t>
  </si>
  <si>
    <t>Macbook Pro (FA)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</si>
</sst>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&quot;0&quot; Nos&quot;"/>
    <numFmt numFmtId="181" formatCode="&quot;&quot;0.00&quot;/Nos&quot;"/>
    <numFmt numFmtId="182" formatCode="&quot;&quot;0.00"/>
    <numFmt numFmtId="183" formatCode="&quot;&quot;0&quot; No.&quot;"/>
    <numFmt numFmtId="184" formatCode="&quot;&quot;0.00&quot;/No.&quot;"/>
    <numFmt numFmtId="185" formatCode="dd\/mm\/yyyy"/>
    <numFmt numFmtId="186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Calibri"/>
      <charset val="134"/>
    </font>
    <font>
      <sz val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 applyAlignment="1"/>
    <xf numFmtId="0" fontId="0" fillId="0" borderId="0" xfId="0" applyFont="1" applyFill="1" applyAlignment="1"/>
    <xf numFmtId="49" fontId="1" fillId="2" borderId="1" xfId="0" applyNumberFormat="1" applyFont="1" applyFill="1" applyBorder="1" applyAlignment="1">
      <alignment horizontal="right" vertical="top"/>
    </xf>
    <xf numFmtId="49" fontId="2" fillId="2" borderId="1" xfId="0" applyNumberFormat="1" applyFont="1" applyFill="1" applyBorder="1" applyAlignment="1">
      <alignment horizontal="left" vertical="top" indent="8"/>
    </xf>
    <xf numFmtId="49" fontId="2" fillId="2" borderId="1" xfId="0" applyNumberFormat="1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0" borderId="0" xfId="0" applyFont="1" applyFill="1" applyAlignment="1">
      <alignment horizontal="right" vertical="top"/>
    </xf>
    <xf numFmtId="0" fontId="3" fillId="0" borderId="0" xfId="0" applyFont="1" applyFill="1" applyAlignment="1">
      <alignment vertical="top"/>
    </xf>
    <xf numFmtId="49" fontId="1" fillId="0" borderId="0" xfId="0" applyNumberFormat="1" applyFont="1" applyFill="1" applyAlignment="1">
      <alignment horizontal="left" vertical="top" indent="2"/>
    </xf>
    <xf numFmtId="180" fontId="1" fillId="0" borderId="0" xfId="0" applyNumberFormat="1" applyFont="1" applyFill="1" applyAlignment="1">
      <alignment horizontal="right" vertical="top"/>
    </xf>
    <xf numFmtId="181" fontId="1" fillId="0" borderId="0" xfId="0" applyNumberFormat="1" applyFont="1" applyFill="1" applyAlignment="1">
      <alignment horizontal="right" vertical="top"/>
    </xf>
    <xf numFmtId="182" fontId="1" fillId="0" borderId="0" xfId="0" applyNumberFormat="1" applyFont="1" applyFill="1" applyAlignment="1">
      <alignment horizontal="right" vertical="top"/>
    </xf>
    <xf numFmtId="183" fontId="1" fillId="0" borderId="0" xfId="0" applyNumberFormat="1" applyFont="1" applyFill="1" applyAlignment="1">
      <alignment horizontal="right" vertical="top"/>
    </xf>
    <xf numFmtId="184" fontId="1" fillId="0" borderId="0" xfId="0" applyNumberFormat="1" applyFont="1" applyFill="1" applyAlignment="1">
      <alignment horizontal="right" vertical="top"/>
    </xf>
    <xf numFmtId="0" fontId="4" fillId="2" borderId="0" xfId="0" applyFont="1" applyFill="1" applyAlignment="1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85" fontId="0" fillId="0" borderId="0" xfId="0" applyNumberFormat="1" applyFill="1" applyAlignment="1">
      <alignment horizontal="left" vertical="center"/>
    </xf>
    <xf numFmtId="185" fontId="0" fillId="2" borderId="0" xfId="0" applyNumberForma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86" fontId="0" fillId="0" borderId="0" xfId="0" applyNumberFormat="1" applyAlignment="1">
      <alignment horizontal="left" vertical="center"/>
    </xf>
    <xf numFmtId="185" fontId="0" fillId="0" borderId="0" xfId="0" applyNumberFormat="1" applyAlignment="1">
      <alignment horizontal="left" vertical="center"/>
    </xf>
    <xf numFmtId="0" fontId="6" fillId="0" borderId="0" xfId="0" applyFont="1" applyFill="1" applyAlignment="1">
      <alignment horizontal="left"/>
    </xf>
    <xf numFmtId="186" fontId="0" fillId="0" borderId="0" xfId="0" applyNumberFormat="1" applyFill="1" applyAlignment="1">
      <alignment horizontal="left" vertical="center"/>
    </xf>
    <xf numFmtId="185" fontId="0" fillId="0" borderId="0" xfId="0" applyNumberFormat="1" applyFill="1" applyAlignment="1">
      <alignment horizontal="left" vertical="center"/>
    </xf>
    <xf numFmtId="0" fontId="6" fillId="0" borderId="0" xfId="0" applyFont="1" applyFill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186" fontId="0" fillId="0" borderId="0" xfId="0" applyNumberFormat="1" applyFill="1" applyAlignment="1">
      <alignment horizontal="left" vertical="center"/>
    </xf>
    <xf numFmtId="185" fontId="0" fillId="0" borderId="0" xfId="0" applyNumberFormat="1" applyFill="1" applyAlignment="1">
      <alignment horizontal="left" vertical="center"/>
    </xf>
    <xf numFmtId="0" fontId="6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3047"/>
  <sheetViews>
    <sheetView tabSelected="1" zoomScale="65" zoomScaleNormal="65" zoomScaleSheetLayoutView="60" topLeftCell="W1" workbookViewId="0">
      <pane ySplit="1" topLeftCell="A2" activePane="bottomLeft" state="frozen"/>
      <selection/>
      <selection pane="bottomLeft" activeCell="X739" sqref="X739"/>
    </sheetView>
  </sheetViews>
  <sheetFormatPr defaultColWidth="9.81818181818182" defaultRowHeight="14.5"/>
  <cols>
    <col min="1" max="1" width="21" style="21" customWidth="1"/>
    <col min="2" max="2" width="23.6363636363636" style="21" customWidth="1"/>
    <col min="3" max="3" width="11" style="22" customWidth="1"/>
    <col min="4" max="4" width="78.4545454545455" style="21" customWidth="1"/>
    <col min="5" max="5" width="72.7272727272727" style="21" customWidth="1"/>
    <col min="6" max="6" width="62.5454545454545" style="21" customWidth="1"/>
    <col min="7" max="7" width="12.9090909090909" style="21" customWidth="1"/>
    <col min="8" max="8" width="26" style="21" customWidth="1"/>
    <col min="9" max="9" width="22.2727272727273" style="21" customWidth="1"/>
    <col min="10" max="10" width="38.0909090909091" style="21" customWidth="1"/>
    <col min="11" max="11" width="16" style="21" customWidth="1"/>
    <col min="12" max="12" width="49.6363636363636" style="21" customWidth="1"/>
    <col min="13" max="13" width="14.5454545454545" style="21" customWidth="1"/>
    <col min="14" max="14" width="10.1818181818182" style="21" customWidth="1"/>
    <col min="15" max="15" width="10.6363636363636" style="21" customWidth="1"/>
    <col min="16" max="16" width="17" style="21" customWidth="1"/>
    <col min="17" max="17" width="11.9090909090909" style="21" customWidth="1"/>
    <col min="18" max="18" width="30.6363636363636" style="21" customWidth="1"/>
    <col min="19" max="19" width="18.5454545454545" style="21" customWidth="1"/>
    <col min="20" max="20" width="14.9090909090909" style="21" customWidth="1"/>
    <col min="21" max="21" width="19.1818181818182" style="21" customWidth="1"/>
    <col min="22" max="22" width="12.9090909090909" style="21" customWidth="1"/>
    <col min="23" max="23" width="44" style="21" customWidth="1"/>
    <col min="24" max="24" width="36.0818181818182" style="21" customWidth="1"/>
    <col min="25" max="25" width="16" style="21" customWidth="1"/>
    <col min="26" max="26" width="12.0909090909091" style="21" customWidth="1"/>
    <col min="27" max="27" width="33.5181818181818" style="21" customWidth="1"/>
    <col min="28" max="28" width="36.2454545454545" style="21" customWidth="1"/>
    <col min="29" max="29" width="26.2727272727273" style="21" customWidth="1"/>
    <col min="30" max="16384" width="9.81818181818182" style="21"/>
  </cols>
  <sheetData>
    <row r="1" s="17" customFormat="1" spans="1:29">
      <c r="A1" s="17" t="s">
        <v>0</v>
      </c>
      <c r="B1" s="17" t="s">
        <v>1</v>
      </c>
      <c r="C1" s="23" t="s">
        <v>2</v>
      </c>
      <c r="D1" s="17" t="s">
        <v>3</v>
      </c>
      <c r="E1" s="17" t="s">
        <v>4</v>
      </c>
      <c r="F1" s="24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</row>
    <row r="2" s="18" customFormat="1" spans="1:29">
      <c r="A2" s="18" t="s">
        <v>29</v>
      </c>
      <c r="B2" s="25" t="s">
        <v>29</v>
      </c>
      <c r="C2" s="26">
        <v>45658</v>
      </c>
      <c r="D2" s="18" t="s">
        <v>30</v>
      </c>
      <c r="E2" s="18" t="str">
        <f>_xlfn.TEXTBEFORE(D2,"-")</f>
        <v>H P Ramareddy</v>
      </c>
      <c r="F2" s="27" t="s">
        <v>31</v>
      </c>
      <c r="G2" s="18" t="s">
        <v>32</v>
      </c>
      <c r="H2" s="18" t="s">
        <v>33</v>
      </c>
      <c r="I2" s="18" t="s">
        <v>34</v>
      </c>
      <c r="K2" s="18" t="s">
        <v>35</v>
      </c>
      <c r="L2" s="18" t="s">
        <v>36</v>
      </c>
      <c r="N2" s="18">
        <v>6</v>
      </c>
      <c r="O2" s="18" t="s">
        <v>37</v>
      </c>
      <c r="P2" s="18" t="s">
        <v>38</v>
      </c>
      <c r="T2" s="18" t="b">
        <v>1</v>
      </c>
      <c r="U2" s="18" t="s">
        <v>39</v>
      </c>
      <c r="V2" s="18" t="s">
        <v>40</v>
      </c>
      <c r="W2" s="18" t="s">
        <v>41</v>
      </c>
      <c r="X2" s="18" t="s">
        <v>42</v>
      </c>
      <c r="Y2" s="18">
        <v>1</v>
      </c>
      <c r="Z2" s="18">
        <v>245446</v>
      </c>
      <c r="AC2" s="18" t="s">
        <v>43</v>
      </c>
    </row>
    <row r="3" s="18" customFormat="1" spans="1:29">
      <c r="A3" s="18" t="s">
        <v>44</v>
      </c>
      <c r="B3" s="25" t="s">
        <v>44</v>
      </c>
      <c r="C3" s="26">
        <v>45658</v>
      </c>
      <c r="D3" s="18" t="s">
        <v>45</v>
      </c>
      <c r="E3" s="18" t="str">
        <f t="shared" ref="E3:E66" si="0">_xlfn.TEXTBEFORE(D3,"-")</f>
        <v>A Ramareddy (Rent)</v>
      </c>
      <c r="F3" s="27" t="s">
        <v>46</v>
      </c>
      <c r="G3" s="18" t="s">
        <v>32</v>
      </c>
      <c r="H3" s="18" t="s">
        <v>33</v>
      </c>
      <c r="I3" s="18" t="s">
        <v>34</v>
      </c>
      <c r="K3" s="18" t="s">
        <v>35</v>
      </c>
      <c r="L3" s="18" t="s">
        <v>36</v>
      </c>
      <c r="N3" s="18">
        <v>6</v>
      </c>
      <c r="O3" s="18" t="s">
        <v>37</v>
      </c>
      <c r="P3" s="18" t="s">
        <v>38</v>
      </c>
      <c r="T3" s="18" t="b">
        <v>1</v>
      </c>
      <c r="U3" s="18" t="s">
        <v>39</v>
      </c>
      <c r="V3" s="18" t="s">
        <v>40</v>
      </c>
      <c r="W3" s="18" t="s">
        <v>41</v>
      </c>
      <c r="X3" s="18" t="s">
        <v>42</v>
      </c>
      <c r="Y3" s="18">
        <v>1</v>
      </c>
      <c r="Z3" s="18">
        <v>245446</v>
      </c>
      <c r="AC3" s="18" t="s">
        <v>43</v>
      </c>
    </row>
    <row r="4" s="18" customFormat="1" spans="1:29">
      <c r="A4" s="18" t="s">
        <v>47</v>
      </c>
      <c r="B4" s="25" t="s">
        <v>47</v>
      </c>
      <c r="C4" s="26">
        <v>45658</v>
      </c>
      <c r="D4" s="18" t="s">
        <v>48</v>
      </c>
      <c r="E4" s="18" t="str">
        <f t="shared" si="0"/>
        <v>H P Ramareddy Utility</v>
      </c>
      <c r="F4" s="27" t="s">
        <v>49</v>
      </c>
      <c r="G4" s="18" t="s">
        <v>32</v>
      </c>
      <c r="H4" s="18" t="s">
        <v>33</v>
      </c>
      <c r="I4" s="18" t="s">
        <v>34</v>
      </c>
      <c r="K4" s="18" t="s">
        <v>35</v>
      </c>
      <c r="L4" s="18" t="s">
        <v>36</v>
      </c>
      <c r="N4" s="18">
        <v>6</v>
      </c>
      <c r="O4" s="18" t="s">
        <v>37</v>
      </c>
      <c r="P4" s="18" t="s">
        <v>38</v>
      </c>
      <c r="T4" s="18" t="b">
        <v>1</v>
      </c>
      <c r="U4" s="18" t="s">
        <v>39</v>
      </c>
      <c r="V4" s="18" t="s">
        <v>40</v>
      </c>
      <c r="W4" s="18" t="s">
        <v>50</v>
      </c>
      <c r="X4" s="18" t="s">
        <v>50</v>
      </c>
      <c r="Y4" s="18">
        <v>1</v>
      </c>
      <c r="Z4" s="18">
        <v>4000</v>
      </c>
      <c r="AC4" s="18" t="e">
        <v>#N/A</v>
      </c>
    </row>
    <row r="5" s="18" customFormat="1" spans="1:29">
      <c r="A5" s="18" t="s">
        <v>51</v>
      </c>
      <c r="B5" s="25" t="s">
        <v>51</v>
      </c>
      <c r="C5" s="26">
        <v>45658</v>
      </c>
      <c r="D5" s="18" t="s">
        <v>52</v>
      </c>
      <c r="E5" s="18" t="str">
        <f t="shared" si="0"/>
        <v>Renaissance Bengaluru Race Course Hotel (Dharampal Satyapal Ltd)</v>
      </c>
      <c r="F5" s="27" t="s">
        <v>53</v>
      </c>
      <c r="G5" s="18" t="s">
        <v>32</v>
      </c>
      <c r="H5" s="18" t="s">
        <v>33</v>
      </c>
      <c r="I5" s="18" t="s">
        <v>54</v>
      </c>
      <c r="J5" s="18" t="s">
        <v>55</v>
      </c>
      <c r="K5" s="18" t="s">
        <v>56</v>
      </c>
      <c r="L5" s="18" t="s">
        <v>36</v>
      </c>
      <c r="N5" s="18">
        <v>6</v>
      </c>
      <c r="O5" s="18" t="s">
        <v>57</v>
      </c>
      <c r="P5" s="18" t="s">
        <v>38</v>
      </c>
      <c r="Q5" s="18" t="s">
        <v>58</v>
      </c>
      <c r="R5" s="18" t="s">
        <v>59</v>
      </c>
      <c r="S5" s="18" t="s">
        <v>60</v>
      </c>
      <c r="T5" s="18" t="b">
        <v>1</v>
      </c>
      <c r="U5" s="18" t="s">
        <v>39</v>
      </c>
      <c r="V5" s="18" t="s">
        <v>40</v>
      </c>
      <c r="W5" s="18" t="s">
        <v>61</v>
      </c>
      <c r="X5" s="18" t="s">
        <v>62</v>
      </c>
      <c r="Y5" s="18">
        <v>1</v>
      </c>
      <c r="Z5" s="18">
        <v>279000</v>
      </c>
      <c r="AA5" s="18" t="s">
        <v>63</v>
      </c>
      <c r="AB5" s="18" t="s">
        <v>64</v>
      </c>
      <c r="AC5" s="18" t="s">
        <v>43</v>
      </c>
    </row>
    <row r="6" s="19" customFormat="1" spans="1:29">
      <c r="A6" s="19" t="s">
        <v>65</v>
      </c>
      <c r="B6" s="28" t="s">
        <v>65</v>
      </c>
      <c r="C6" s="29">
        <v>45658</v>
      </c>
      <c r="D6" s="19" t="s">
        <v>48</v>
      </c>
      <c r="E6" s="19" t="str">
        <f t="shared" si="0"/>
        <v>H P Ramareddy Utility</v>
      </c>
      <c r="F6" s="30" t="s">
        <v>49</v>
      </c>
      <c r="G6" s="19" t="s">
        <v>32</v>
      </c>
      <c r="H6" s="19" t="s">
        <v>33</v>
      </c>
      <c r="I6" s="19" t="s">
        <v>34</v>
      </c>
      <c r="K6" s="19" t="s">
        <v>35</v>
      </c>
      <c r="L6" s="19" t="s">
        <v>36</v>
      </c>
      <c r="N6" s="19">
        <v>6</v>
      </c>
      <c r="O6" s="19" t="s">
        <v>37</v>
      </c>
      <c r="P6" s="19" t="s">
        <v>38</v>
      </c>
      <c r="T6" s="19" t="b">
        <v>1</v>
      </c>
      <c r="U6" s="19" t="s">
        <v>39</v>
      </c>
      <c r="V6" s="19" t="s">
        <v>40</v>
      </c>
      <c r="W6" s="19" t="s">
        <v>66</v>
      </c>
      <c r="X6" s="19" t="e">
        <v>#N/A</v>
      </c>
      <c r="Y6" s="19">
        <v>1</v>
      </c>
      <c r="Z6" s="19">
        <v>19073</v>
      </c>
      <c r="AC6" s="19" t="e">
        <v>#N/A</v>
      </c>
    </row>
    <row r="7" s="18" customFormat="1" spans="1:29">
      <c r="A7" s="18" t="s">
        <v>67</v>
      </c>
      <c r="B7" s="25" t="s">
        <v>67</v>
      </c>
      <c r="C7" s="26">
        <v>45658</v>
      </c>
      <c r="D7" s="18" t="s">
        <v>68</v>
      </c>
      <c r="E7" s="18" t="str">
        <f t="shared" si="0"/>
        <v>Lynx Security &amp; Detectives Services (P) Ltd</v>
      </c>
      <c r="F7" s="27" t="s">
        <v>69</v>
      </c>
      <c r="G7" s="18" t="s">
        <v>32</v>
      </c>
      <c r="H7" s="18" t="s">
        <v>33</v>
      </c>
      <c r="I7" s="18" t="s">
        <v>34</v>
      </c>
      <c r="K7" s="18" t="s">
        <v>35</v>
      </c>
      <c r="L7" s="18" t="s">
        <v>36</v>
      </c>
      <c r="N7" s="18">
        <v>6</v>
      </c>
      <c r="O7" s="18" t="s">
        <v>37</v>
      </c>
      <c r="P7" s="18" t="s">
        <v>38</v>
      </c>
      <c r="T7" s="18" t="b">
        <v>1</v>
      </c>
      <c r="U7" s="18" t="s">
        <v>39</v>
      </c>
      <c r="V7" s="18" t="s">
        <v>40</v>
      </c>
      <c r="W7" s="18" t="s">
        <v>70</v>
      </c>
      <c r="X7" s="18" t="s">
        <v>70</v>
      </c>
      <c r="Y7" s="18">
        <v>1</v>
      </c>
      <c r="Z7" s="18">
        <v>48991</v>
      </c>
      <c r="AA7" s="18" t="s">
        <v>71</v>
      </c>
      <c r="AB7" s="18" t="s">
        <v>72</v>
      </c>
      <c r="AC7" s="18" t="s">
        <v>43</v>
      </c>
    </row>
    <row r="8" s="18" customFormat="1" spans="1:29">
      <c r="A8" s="18" t="s">
        <v>73</v>
      </c>
      <c r="B8" s="25" t="s">
        <v>73</v>
      </c>
      <c r="C8" s="26">
        <v>45658</v>
      </c>
      <c r="D8" s="18" t="s">
        <v>74</v>
      </c>
      <c r="E8" s="18" t="str">
        <f t="shared" si="0"/>
        <v>Mayur Enterprises</v>
      </c>
      <c r="F8" s="27" t="s">
        <v>75</v>
      </c>
      <c r="G8" s="18" t="s">
        <v>32</v>
      </c>
      <c r="H8" s="18" t="s">
        <v>33</v>
      </c>
      <c r="I8" s="18" t="s">
        <v>34</v>
      </c>
      <c r="K8" s="18" t="s">
        <v>35</v>
      </c>
      <c r="L8" s="18" t="s">
        <v>36</v>
      </c>
      <c r="N8" s="18">
        <v>6</v>
      </c>
      <c r="O8" s="18" t="s">
        <v>37</v>
      </c>
      <c r="P8" s="18" t="s">
        <v>38</v>
      </c>
      <c r="T8" s="18" t="b">
        <v>1</v>
      </c>
      <c r="U8" s="18" t="s">
        <v>39</v>
      </c>
      <c r="V8" s="18" t="s">
        <v>40</v>
      </c>
      <c r="W8" s="18" t="s">
        <v>50</v>
      </c>
      <c r="X8" s="18" t="s">
        <v>50</v>
      </c>
      <c r="Y8" s="18">
        <v>1</v>
      </c>
      <c r="Z8" s="18">
        <v>1610</v>
      </c>
      <c r="AC8" s="18" t="s">
        <v>76</v>
      </c>
    </row>
    <row r="9" s="18" customFormat="1" spans="1:29">
      <c r="A9" s="18" t="s">
        <v>77</v>
      </c>
      <c r="B9" s="25" t="s">
        <v>77</v>
      </c>
      <c r="C9" s="26">
        <v>45658</v>
      </c>
      <c r="D9" s="18" t="s">
        <v>78</v>
      </c>
      <c r="E9" s="18" t="str">
        <f t="shared" si="0"/>
        <v>K Vishwanath Gouda Rent</v>
      </c>
      <c r="F9" s="27" t="s">
        <v>79</v>
      </c>
      <c r="G9" s="18" t="s">
        <v>32</v>
      </c>
      <c r="H9" s="18" t="s">
        <v>33</v>
      </c>
      <c r="I9" s="18" t="s">
        <v>34</v>
      </c>
      <c r="K9" s="18" t="s">
        <v>35</v>
      </c>
      <c r="L9" s="18" t="s">
        <v>36</v>
      </c>
      <c r="N9" s="18">
        <v>6</v>
      </c>
      <c r="O9" s="18" t="s">
        <v>37</v>
      </c>
      <c r="P9" s="18" t="s">
        <v>38</v>
      </c>
      <c r="T9" s="18" t="b">
        <v>1</v>
      </c>
      <c r="U9" s="18" t="s">
        <v>39</v>
      </c>
      <c r="V9" s="18" t="s">
        <v>40</v>
      </c>
      <c r="W9" s="18" t="s">
        <v>80</v>
      </c>
      <c r="X9" s="18" t="s">
        <v>81</v>
      </c>
      <c r="Y9" s="18">
        <v>1</v>
      </c>
      <c r="Z9" s="18">
        <v>27500</v>
      </c>
      <c r="AC9" s="18" t="e">
        <v>#N/A</v>
      </c>
    </row>
    <row r="10" s="18" customFormat="1" spans="1:29">
      <c r="A10" s="18" t="s">
        <v>82</v>
      </c>
      <c r="B10" s="25" t="s">
        <v>82</v>
      </c>
      <c r="C10" s="26">
        <v>45658</v>
      </c>
      <c r="D10" s="18" t="s">
        <v>83</v>
      </c>
      <c r="E10" s="18" t="str">
        <f t="shared" si="0"/>
        <v>K</v>
      </c>
      <c r="F10" s="27" t="e">
        <v>#N/A</v>
      </c>
      <c r="G10" s="18" t="s">
        <v>32</v>
      </c>
      <c r="H10" s="18" t="s">
        <v>33</v>
      </c>
      <c r="I10" s="18" t="s">
        <v>34</v>
      </c>
      <c r="K10" s="18" t="s">
        <v>35</v>
      </c>
      <c r="L10" s="18" t="s">
        <v>36</v>
      </c>
      <c r="N10" s="18">
        <v>6</v>
      </c>
      <c r="O10" s="18" t="s">
        <v>57</v>
      </c>
      <c r="P10" s="18" t="s">
        <v>38</v>
      </c>
      <c r="T10" s="18" t="b">
        <v>1</v>
      </c>
      <c r="U10" s="18" t="s">
        <v>39</v>
      </c>
      <c r="V10" s="18" t="s">
        <v>40</v>
      </c>
      <c r="W10" s="18" t="s">
        <v>84</v>
      </c>
      <c r="X10" s="18" t="s">
        <v>84</v>
      </c>
      <c r="Y10" s="18">
        <v>1</v>
      </c>
      <c r="Z10" s="18">
        <v>3500</v>
      </c>
      <c r="AC10" s="18" t="s">
        <v>43</v>
      </c>
    </row>
    <row r="11" s="18" customFormat="1" spans="1:29">
      <c r="A11" s="18" t="s">
        <v>85</v>
      </c>
      <c r="B11" s="25" t="s">
        <v>85</v>
      </c>
      <c r="C11" s="26">
        <v>45658</v>
      </c>
      <c r="D11" s="18" t="s">
        <v>86</v>
      </c>
      <c r="E11" s="18" t="str">
        <f t="shared" si="0"/>
        <v>Aaa Rental Llp</v>
      </c>
      <c r="F11" s="27" t="s">
        <v>87</v>
      </c>
      <c r="G11" s="18" t="s">
        <v>32</v>
      </c>
      <c r="H11" s="18" t="s">
        <v>33</v>
      </c>
      <c r="I11" s="18" t="s">
        <v>34</v>
      </c>
      <c r="K11" s="18" t="s">
        <v>35</v>
      </c>
      <c r="L11" s="18" t="s">
        <v>36</v>
      </c>
      <c r="N11" s="18">
        <v>6</v>
      </c>
      <c r="O11" s="18" t="s">
        <v>88</v>
      </c>
      <c r="P11" s="18" t="s">
        <v>38</v>
      </c>
      <c r="T11" s="18" t="b">
        <v>1</v>
      </c>
      <c r="U11" s="18" t="s">
        <v>39</v>
      </c>
      <c r="V11" s="18" t="s">
        <v>40</v>
      </c>
      <c r="W11" s="18" t="s">
        <v>84</v>
      </c>
      <c r="X11" s="18" t="s">
        <v>84</v>
      </c>
      <c r="Y11" s="18">
        <v>1</v>
      </c>
      <c r="Z11" s="18">
        <v>13500</v>
      </c>
      <c r="AA11" s="18" t="s">
        <v>89</v>
      </c>
      <c r="AB11" s="18" t="s">
        <v>90</v>
      </c>
      <c r="AC11" s="18" t="s">
        <v>43</v>
      </c>
    </row>
    <row r="12" s="18" customFormat="1" spans="1:29">
      <c r="A12" s="18" t="s">
        <v>91</v>
      </c>
      <c r="B12" s="25" t="s">
        <v>91</v>
      </c>
      <c r="C12" s="26">
        <v>45658</v>
      </c>
      <c r="D12" s="18" t="s">
        <v>92</v>
      </c>
      <c r="E12" s="18" t="str">
        <f t="shared" si="0"/>
        <v>Bharti Airtel Ltd.</v>
      </c>
      <c r="F12" s="27" t="e">
        <v>#N/A</v>
      </c>
      <c r="G12" s="18" t="s">
        <v>32</v>
      </c>
      <c r="H12" s="18" t="s">
        <v>33</v>
      </c>
      <c r="I12" s="18" t="s">
        <v>34</v>
      </c>
      <c r="K12" s="18" t="s">
        <v>35</v>
      </c>
      <c r="L12" s="18" t="s">
        <v>36</v>
      </c>
      <c r="N12" s="18">
        <v>6</v>
      </c>
      <c r="O12" s="18" t="s">
        <v>93</v>
      </c>
      <c r="P12" s="18" t="s">
        <v>38</v>
      </c>
      <c r="T12" s="18" t="b">
        <v>1</v>
      </c>
      <c r="U12" s="18" t="s">
        <v>39</v>
      </c>
      <c r="V12" s="18" t="s">
        <v>40</v>
      </c>
      <c r="W12" s="18" t="s">
        <v>94</v>
      </c>
      <c r="X12" s="18" t="s">
        <v>95</v>
      </c>
      <c r="Y12" s="18">
        <v>1</v>
      </c>
      <c r="Z12" s="18">
        <v>1498</v>
      </c>
      <c r="AA12" s="18" t="s">
        <v>89</v>
      </c>
      <c r="AB12" s="18" t="s">
        <v>90</v>
      </c>
      <c r="AC12" s="18" t="s">
        <v>43</v>
      </c>
    </row>
    <row r="13" s="18" customFormat="1" spans="1:29">
      <c r="A13" s="18" t="s">
        <v>96</v>
      </c>
      <c r="B13" s="25" t="s">
        <v>96</v>
      </c>
      <c r="C13" s="26">
        <v>45658</v>
      </c>
      <c r="D13" s="18" t="s">
        <v>97</v>
      </c>
      <c r="E13" s="18" t="str">
        <f t="shared" si="0"/>
        <v>Elsie Mathew</v>
      </c>
      <c r="F13" s="27" t="s">
        <v>98</v>
      </c>
      <c r="G13" s="18" t="s">
        <v>99</v>
      </c>
      <c r="H13" s="18" t="s">
        <v>100</v>
      </c>
      <c r="I13" s="18" t="s">
        <v>34</v>
      </c>
      <c r="K13" s="18" t="s">
        <v>35</v>
      </c>
      <c r="L13" s="18" t="s">
        <v>36</v>
      </c>
      <c r="N13" s="18">
        <v>6</v>
      </c>
      <c r="O13" s="18" t="s">
        <v>37</v>
      </c>
      <c r="P13" s="18" t="s">
        <v>38</v>
      </c>
      <c r="T13" s="18" t="b">
        <v>1</v>
      </c>
      <c r="U13" s="18" t="s">
        <v>101</v>
      </c>
      <c r="V13" s="18" t="s">
        <v>40</v>
      </c>
      <c r="W13" s="18" t="s">
        <v>41</v>
      </c>
      <c r="X13" s="18" t="s">
        <v>42</v>
      </c>
      <c r="Y13" s="18">
        <v>1</v>
      </c>
      <c r="Z13" s="18">
        <v>73500</v>
      </c>
      <c r="AA13" s="18" t="s">
        <v>102</v>
      </c>
      <c r="AB13" s="18" t="s">
        <v>103</v>
      </c>
      <c r="AC13" s="18" t="e">
        <v>#N/A</v>
      </c>
    </row>
    <row r="14" s="19" customFormat="1" spans="1:29">
      <c r="A14" s="19" t="s">
        <v>104</v>
      </c>
      <c r="B14" s="28" t="s">
        <v>104</v>
      </c>
      <c r="C14" s="29">
        <v>45658</v>
      </c>
      <c r="D14" s="19" t="s">
        <v>105</v>
      </c>
      <c r="E14" s="19" t="str">
        <f t="shared" si="0"/>
        <v>Race View Tower Association</v>
      </c>
      <c r="F14" s="30" t="s">
        <v>106</v>
      </c>
      <c r="G14" s="19" t="s">
        <v>99</v>
      </c>
      <c r="H14" s="19" t="s">
        <v>100</v>
      </c>
      <c r="I14" s="19" t="s">
        <v>34</v>
      </c>
      <c r="K14" s="19" t="s">
        <v>35</v>
      </c>
      <c r="L14" s="19" t="s">
        <v>36</v>
      </c>
      <c r="N14" s="19">
        <v>6</v>
      </c>
      <c r="O14" s="19" t="s">
        <v>37</v>
      </c>
      <c r="P14" s="19" t="s">
        <v>38</v>
      </c>
      <c r="T14" s="19" t="b">
        <v>1</v>
      </c>
      <c r="U14" s="19" t="s">
        <v>101</v>
      </c>
      <c r="V14" s="19" t="s">
        <v>40</v>
      </c>
      <c r="W14" s="19" t="s">
        <v>107</v>
      </c>
      <c r="X14" s="19" t="e">
        <v>#N/A</v>
      </c>
      <c r="Y14" s="19">
        <v>1</v>
      </c>
      <c r="Z14" s="19">
        <v>4000</v>
      </c>
      <c r="AA14" s="19" t="s">
        <v>102</v>
      </c>
      <c r="AB14" s="19" t="s">
        <v>103</v>
      </c>
      <c r="AC14" s="19" t="e">
        <v>#N/A</v>
      </c>
    </row>
    <row r="15" s="18" customFormat="1" spans="1:29">
      <c r="A15" s="18" t="s">
        <v>108</v>
      </c>
      <c r="B15" s="25" t="s">
        <v>108</v>
      </c>
      <c r="C15" s="26">
        <v>45658</v>
      </c>
      <c r="D15" s="18" t="s">
        <v>109</v>
      </c>
      <c r="E15" s="18" t="str">
        <f t="shared" si="0"/>
        <v>Unicare Hospitality Services Pvt Ltd</v>
      </c>
      <c r="F15" s="27" t="s">
        <v>110</v>
      </c>
      <c r="G15" s="18" t="s">
        <v>99</v>
      </c>
      <c r="H15" s="18" t="s">
        <v>100</v>
      </c>
      <c r="I15" s="18" t="s">
        <v>34</v>
      </c>
      <c r="K15" s="18" t="s">
        <v>35</v>
      </c>
      <c r="L15" s="18" t="s">
        <v>36</v>
      </c>
      <c r="N15" s="18">
        <v>6</v>
      </c>
      <c r="O15" s="18" t="s">
        <v>88</v>
      </c>
      <c r="P15" s="18" t="s">
        <v>38</v>
      </c>
      <c r="T15" s="18" t="b">
        <v>1</v>
      </c>
      <c r="U15" s="18" t="s">
        <v>101</v>
      </c>
      <c r="V15" s="18" t="s">
        <v>40</v>
      </c>
      <c r="W15" s="18" t="s">
        <v>70</v>
      </c>
      <c r="X15" s="18" t="s">
        <v>70</v>
      </c>
      <c r="Y15" s="18">
        <v>1</v>
      </c>
      <c r="Z15" s="18">
        <v>28273</v>
      </c>
      <c r="AA15" s="18" t="s">
        <v>102</v>
      </c>
      <c r="AB15" s="18" t="s">
        <v>103</v>
      </c>
      <c r="AC15" s="18" t="s">
        <v>111</v>
      </c>
    </row>
    <row r="16" s="18" customFormat="1" spans="1:29">
      <c r="A16" s="18" t="s">
        <v>112</v>
      </c>
      <c r="B16" s="25" t="s">
        <v>112</v>
      </c>
      <c r="C16" s="26">
        <v>45659</v>
      </c>
      <c r="D16" s="18" t="s">
        <v>113</v>
      </c>
      <c r="E16" s="18" t="str">
        <f t="shared" si="0"/>
        <v>Siva Sankar Cabs</v>
      </c>
      <c r="F16" s="27" t="s">
        <v>114</v>
      </c>
      <c r="G16" s="18" t="s">
        <v>32</v>
      </c>
      <c r="H16" s="18" t="s">
        <v>33</v>
      </c>
      <c r="I16" s="18" t="s">
        <v>34</v>
      </c>
      <c r="J16" s="18" t="s">
        <v>115</v>
      </c>
      <c r="K16" s="18" t="s">
        <v>56</v>
      </c>
      <c r="L16" s="18" t="s">
        <v>36</v>
      </c>
      <c r="N16" s="18">
        <v>6</v>
      </c>
      <c r="O16" s="18" t="s">
        <v>116</v>
      </c>
      <c r="P16" s="18" t="s">
        <v>38</v>
      </c>
      <c r="Q16" s="18" t="s">
        <v>117</v>
      </c>
      <c r="R16" s="18" t="s">
        <v>59</v>
      </c>
      <c r="S16" s="18" t="s">
        <v>118</v>
      </c>
      <c r="T16" s="18" t="b">
        <v>1</v>
      </c>
      <c r="U16" s="18" t="s">
        <v>39</v>
      </c>
      <c r="V16" s="18" t="s">
        <v>40</v>
      </c>
      <c r="W16" s="18" t="s">
        <v>119</v>
      </c>
      <c r="X16" s="18" t="s">
        <v>120</v>
      </c>
      <c r="Y16" s="18">
        <v>1</v>
      </c>
      <c r="Z16" s="18">
        <v>9400</v>
      </c>
      <c r="AA16" s="18" t="s">
        <v>121</v>
      </c>
      <c r="AB16" s="18" t="s">
        <v>122</v>
      </c>
      <c r="AC16" s="18" t="e">
        <v>#N/A</v>
      </c>
    </row>
    <row r="17" s="18" customFormat="1" spans="1:29">
      <c r="A17" s="18" t="s">
        <v>123</v>
      </c>
      <c r="B17" s="25" t="s">
        <v>123</v>
      </c>
      <c r="C17" s="26">
        <v>45659</v>
      </c>
      <c r="D17" s="18" t="s">
        <v>124</v>
      </c>
      <c r="E17" s="18" t="str">
        <f t="shared" si="0"/>
        <v>Arun Kumar M  </v>
      </c>
      <c r="F17" s="27" t="e">
        <v>#N/A</v>
      </c>
      <c r="G17" s="18" t="s">
        <v>32</v>
      </c>
      <c r="H17" s="18" t="s">
        <v>33</v>
      </c>
      <c r="I17" s="18" t="s">
        <v>34</v>
      </c>
      <c r="J17" s="18" t="s">
        <v>125</v>
      </c>
      <c r="K17" s="18" t="s">
        <v>56</v>
      </c>
      <c r="L17" s="18" t="s">
        <v>36</v>
      </c>
      <c r="N17" s="18">
        <v>6</v>
      </c>
      <c r="O17" s="18" t="s">
        <v>93</v>
      </c>
      <c r="P17" s="18" t="s">
        <v>38</v>
      </c>
      <c r="Q17" s="18" t="s">
        <v>117</v>
      </c>
      <c r="R17" s="18" t="s">
        <v>59</v>
      </c>
      <c r="S17" s="18" t="s">
        <v>118</v>
      </c>
      <c r="T17" s="18" t="b">
        <v>1</v>
      </c>
      <c r="U17" s="18" t="s">
        <v>39</v>
      </c>
      <c r="V17" s="18" t="s">
        <v>40</v>
      </c>
      <c r="W17" s="18" t="s">
        <v>126</v>
      </c>
      <c r="X17" s="18" t="s">
        <v>127</v>
      </c>
      <c r="Y17" s="18">
        <v>1</v>
      </c>
      <c r="Z17" s="18">
        <v>5599</v>
      </c>
      <c r="AA17" s="18" t="s">
        <v>128</v>
      </c>
      <c r="AB17" s="18" t="s">
        <v>129</v>
      </c>
      <c r="AC17" s="18" t="e">
        <v>#N/A</v>
      </c>
    </row>
    <row r="18" s="18" customFormat="1" spans="1:29">
      <c r="A18" s="18" t="s">
        <v>130</v>
      </c>
      <c r="B18" s="25" t="s">
        <v>130</v>
      </c>
      <c r="C18" s="26">
        <v>45659</v>
      </c>
      <c r="D18" s="18" t="s">
        <v>131</v>
      </c>
      <c r="E18" s="18" t="str">
        <f t="shared" si="0"/>
        <v>Sky Office Stationers</v>
      </c>
      <c r="F18" s="27" t="s">
        <v>132</v>
      </c>
      <c r="G18" s="18" t="s">
        <v>32</v>
      </c>
      <c r="H18" s="18" t="s">
        <v>33</v>
      </c>
      <c r="I18" s="18" t="s">
        <v>133</v>
      </c>
      <c r="K18" s="18" t="s">
        <v>35</v>
      </c>
      <c r="L18" s="18" t="s">
        <v>36</v>
      </c>
      <c r="N18" s="18">
        <v>6</v>
      </c>
      <c r="O18" s="18" t="s">
        <v>88</v>
      </c>
      <c r="P18" s="18" t="s">
        <v>38</v>
      </c>
      <c r="T18" s="18" t="b">
        <v>1</v>
      </c>
      <c r="U18" s="18" t="s">
        <v>39</v>
      </c>
      <c r="V18" s="18" t="s">
        <v>40</v>
      </c>
      <c r="W18" s="18" t="s">
        <v>134</v>
      </c>
      <c r="X18" s="18" t="s">
        <v>135</v>
      </c>
      <c r="Y18" s="18">
        <v>1</v>
      </c>
      <c r="Z18" s="18">
        <v>2846</v>
      </c>
      <c r="AA18" s="18" t="s">
        <v>71</v>
      </c>
      <c r="AB18" s="18" t="s">
        <v>72</v>
      </c>
      <c r="AC18" s="18" t="s">
        <v>76</v>
      </c>
    </row>
    <row r="19" s="18" customFormat="1" spans="1:29">
      <c r="A19" s="18" t="s">
        <v>136</v>
      </c>
      <c r="B19" s="25" t="s">
        <v>136</v>
      </c>
      <c r="C19" s="26">
        <v>45659</v>
      </c>
      <c r="D19" s="18" t="s">
        <v>137</v>
      </c>
      <c r="E19" s="18" t="str">
        <f t="shared" si="0"/>
        <v>The Westin Chennai Velachery (MFAR Hotels and Resorts Pvt Ltd)</v>
      </c>
      <c r="F19" s="27" t="s">
        <v>138</v>
      </c>
      <c r="G19" s="18" t="s">
        <v>99</v>
      </c>
      <c r="H19" s="18" t="s">
        <v>100</v>
      </c>
      <c r="I19" s="18" t="s">
        <v>54</v>
      </c>
      <c r="J19" s="18" t="s">
        <v>139</v>
      </c>
      <c r="K19" s="18" t="s">
        <v>56</v>
      </c>
      <c r="L19" s="18" t="s">
        <v>36</v>
      </c>
      <c r="N19" s="18">
        <v>6</v>
      </c>
      <c r="O19" s="18" t="s">
        <v>93</v>
      </c>
      <c r="P19" s="18" t="s">
        <v>38</v>
      </c>
      <c r="Q19" s="18" t="s">
        <v>58</v>
      </c>
      <c r="R19" s="18" t="s">
        <v>59</v>
      </c>
      <c r="S19" s="18" t="s">
        <v>60</v>
      </c>
      <c r="T19" s="18" t="b">
        <v>1</v>
      </c>
      <c r="U19" s="18" t="s">
        <v>101</v>
      </c>
      <c r="V19" s="18" t="s">
        <v>40</v>
      </c>
      <c r="W19" s="18" t="s">
        <v>140</v>
      </c>
      <c r="X19" s="18" t="s">
        <v>141</v>
      </c>
      <c r="Y19" s="18">
        <v>1</v>
      </c>
      <c r="Z19" s="18">
        <v>69600</v>
      </c>
      <c r="AA19" s="18" t="s">
        <v>142</v>
      </c>
      <c r="AB19" s="18" t="s">
        <v>143</v>
      </c>
      <c r="AC19" s="18" t="s">
        <v>111</v>
      </c>
    </row>
    <row r="20" s="18" customFormat="1" spans="1:29">
      <c r="A20" s="18" t="s">
        <v>144</v>
      </c>
      <c r="B20" s="25" t="s">
        <v>144</v>
      </c>
      <c r="C20" s="26">
        <v>45659</v>
      </c>
      <c r="D20" s="18" t="s">
        <v>145</v>
      </c>
      <c r="E20" s="18" t="str">
        <f t="shared" si="0"/>
        <v>Jarvas Smart Solutions Pvt Ltd</v>
      </c>
      <c r="F20" s="27" t="s">
        <v>146</v>
      </c>
      <c r="G20" s="18" t="s">
        <v>147</v>
      </c>
      <c r="H20" s="18" t="s">
        <v>148</v>
      </c>
      <c r="I20" s="18" t="s">
        <v>54</v>
      </c>
      <c r="J20" s="18" t="s">
        <v>149</v>
      </c>
      <c r="K20" s="18" t="s">
        <v>56</v>
      </c>
      <c r="L20" s="18" t="s">
        <v>36</v>
      </c>
      <c r="N20" s="18">
        <v>6</v>
      </c>
      <c r="O20" s="18" t="s">
        <v>88</v>
      </c>
      <c r="P20" s="18" t="s">
        <v>38</v>
      </c>
      <c r="Q20" s="18" t="s">
        <v>58</v>
      </c>
      <c r="R20" s="18" t="s">
        <v>59</v>
      </c>
      <c r="S20" s="18" t="s">
        <v>60</v>
      </c>
      <c r="T20" s="18" t="b">
        <v>1</v>
      </c>
      <c r="U20" s="18" t="s">
        <v>150</v>
      </c>
      <c r="V20" s="18" t="s">
        <v>40</v>
      </c>
      <c r="W20" s="18" t="s">
        <v>151</v>
      </c>
      <c r="X20" s="18" t="s">
        <v>152</v>
      </c>
      <c r="Y20" s="18">
        <v>1</v>
      </c>
      <c r="Z20" s="18">
        <v>3787500</v>
      </c>
      <c r="AA20" s="18" t="s">
        <v>153</v>
      </c>
      <c r="AB20" s="18" t="s">
        <v>154</v>
      </c>
      <c r="AC20" s="18" t="s">
        <v>155</v>
      </c>
    </row>
    <row r="21" s="19" customFormat="1" spans="1:29">
      <c r="A21" s="19" t="s">
        <v>156</v>
      </c>
      <c r="B21" s="28" t="s">
        <v>156</v>
      </c>
      <c r="C21" s="29">
        <v>45659</v>
      </c>
      <c r="D21" s="19" t="s">
        <v>157</v>
      </c>
      <c r="E21" s="19" t="str">
        <f t="shared" si="0"/>
        <v>Rishi Computers</v>
      </c>
      <c r="F21" s="30" t="s">
        <v>158</v>
      </c>
      <c r="G21" s="19" t="s">
        <v>147</v>
      </c>
      <c r="H21" s="19" t="s">
        <v>148</v>
      </c>
      <c r="I21" s="19" t="s">
        <v>159</v>
      </c>
      <c r="K21" s="19" t="s">
        <v>35</v>
      </c>
      <c r="L21" s="19" t="s">
        <v>36</v>
      </c>
      <c r="N21" s="19">
        <v>6</v>
      </c>
      <c r="O21" s="19" t="s">
        <v>88</v>
      </c>
      <c r="P21" s="19" t="s">
        <v>38</v>
      </c>
      <c r="T21" s="19" t="b">
        <v>1</v>
      </c>
      <c r="U21" s="19" t="s">
        <v>150</v>
      </c>
      <c r="V21" s="19" t="s">
        <v>40</v>
      </c>
      <c r="W21" s="19" t="s">
        <v>160</v>
      </c>
      <c r="X21" s="19" t="e">
        <v>#N/A</v>
      </c>
      <c r="Y21" s="19">
        <v>6</v>
      </c>
      <c r="Z21" s="19">
        <v>81000</v>
      </c>
      <c r="AA21" s="19" t="s">
        <v>161</v>
      </c>
      <c r="AB21" s="19" t="s">
        <v>162</v>
      </c>
      <c r="AC21" s="19" t="s">
        <v>163</v>
      </c>
    </row>
    <row r="22" s="19" customFormat="1" spans="1:29">
      <c r="A22" s="19" t="s">
        <v>164</v>
      </c>
      <c r="B22" s="28" t="s">
        <v>164</v>
      </c>
      <c r="C22" s="29">
        <v>45659</v>
      </c>
      <c r="D22" s="19" t="s">
        <v>157</v>
      </c>
      <c r="E22" s="19" t="str">
        <f t="shared" si="0"/>
        <v>Rishi Computers</v>
      </c>
      <c r="F22" s="30" t="s">
        <v>158</v>
      </c>
      <c r="G22" s="19" t="s">
        <v>147</v>
      </c>
      <c r="H22" s="19" t="s">
        <v>148</v>
      </c>
      <c r="I22" s="19" t="s">
        <v>159</v>
      </c>
      <c r="K22" s="19" t="s">
        <v>35</v>
      </c>
      <c r="L22" s="19" t="s">
        <v>36</v>
      </c>
      <c r="N22" s="19">
        <v>6</v>
      </c>
      <c r="O22" s="19" t="s">
        <v>88</v>
      </c>
      <c r="P22" s="19" t="s">
        <v>38</v>
      </c>
      <c r="T22" s="19" t="b">
        <v>1</v>
      </c>
      <c r="U22" s="19" t="s">
        <v>150</v>
      </c>
      <c r="V22" s="19" t="s">
        <v>40</v>
      </c>
      <c r="W22" s="19" t="s">
        <v>165</v>
      </c>
      <c r="X22" s="19" t="e">
        <v>#N/A</v>
      </c>
      <c r="Y22" s="19">
        <v>2</v>
      </c>
      <c r="Z22" s="19">
        <v>315000</v>
      </c>
      <c r="AA22" s="19" t="s">
        <v>161</v>
      </c>
      <c r="AB22" s="19" t="s">
        <v>162</v>
      </c>
      <c r="AC22" s="19" t="s">
        <v>163</v>
      </c>
    </row>
    <row r="23" s="18" customFormat="1" spans="1:29">
      <c r="A23" s="18" t="s">
        <v>166</v>
      </c>
      <c r="B23" s="25" t="s">
        <v>166</v>
      </c>
      <c r="C23" s="26">
        <v>45659</v>
      </c>
      <c r="D23" s="18" t="s">
        <v>167</v>
      </c>
      <c r="E23" s="18" t="str">
        <f t="shared" si="0"/>
        <v>Saksham Signs Pvt Ltd</v>
      </c>
      <c r="F23" s="27" t="s">
        <v>168</v>
      </c>
      <c r="G23" s="18" t="s">
        <v>147</v>
      </c>
      <c r="H23" s="18" t="s">
        <v>148</v>
      </c>
      <c r="I23" s="18" t="s">
        <v>54</v>
      </c>
      <c r="J23" s="18" t="s">
        <v>149</v>
      </c>
      <c r="K23" s="18" t="s">
        <v>56</v>
      </c>
      <c r="L23" s="18" t="s">
        <v>36</v>
      </c>
      <c r="N23" s="18">
        <v>6</v>
      </c>
      <c r="O23" s="18" t="s">
        <v>88</v>
      </c>
      <c r="P23" s="18" t="s">
        <v>38</v>
      </c>
      <c r="Q23" s="18" t="s">
        <v>58</v>
      </c>
      <c r="R23" s="18" t="s">
        <v>59</v>
      </c>
      <c r="S23" s="18" t="s">
        <v>60</v>
      </c>
      <c r="T23" s="18" t="b">
        <v>1</v>
      </c>
      <c r="U23" s="18" t="s">
        <v>150</v>
      </c>
      <c r="V23" s="18" t="s">
        <v>40</v>
      </c>
      <c r="W23" s="18" t="s">
        <v>151</v>
      </c>
      <c r="X23" s="18" t="s">
        <v>152</v>
      </c>
      <c r="Y23" s="18">
        <v>1</v>
      </c>
      <c r="Z23" s="18">
        <v>491000</v>
      </c>
      <c r="AA23" s="18" t="s">
        <v>153</v>
      </c>
      <c r="AB23" s="18" t="s">
        <v>154</v>
      </c>
      <c r="AC23" s="18" t="s">
        <v>155</v>
      </c>
    </row>
    <row r="24" s="18" customFormat="1" spans="1:29">
      <c r="A24" s="18" t="s">
        <v>169</v>
      </c>
      <c r="B24" s="25" t="s">
        <v>169</v>
      </c>
      <c r="C24" s="26">
        <v>45659</v>
      </c>
      <c r="D24" s="18" t="s">
        <v>170</v>
      </c>
      <c r="E24" s="18" t="str">
        <f t="shared" si="0"/>
        <v>Gurdeep Kaur</v>
      </c>
      <c r="F24" s="27" t="s">
        <v>171</v>
      </c>
      <c r="G24" s="18" t="s">
        <v>147</v>
      </c>
      <c r="H24" s="18" t="s">
        <v>148</v>
      </c>
      <c r="I24" s="18" t="s">
        <v>54</v>
      </c>
      <c r="K24" s="18" t="s">
        <v>35</v>
      </c>
      <c r="L24" s="18" t="s">
        <v>36</v>
      </c>
      <c r="N24" s="18">
        <v>6</v>
      </c>
      <c r="O24" s="18" t="s">
        <v>57</v>
      </c>
      <c r="P24" s="18" t="s">
        <v>38</v>
      </c>
      <c r="T24" s="18" t="b">
        <v>1</v>
      </c>
      <c r="U24" s="18" t="s">
        <v>150</v>
      </c>
      <c r="V24" s="18" t="s">
        <v>40</v>
      </c>
      <c r="W24" s="18" t="s">
        <v>84</v>
      </c>
      <c r="X24" s="18" t="s">
        <v>84</v>
      </c>
      <c r="Y24" s="18">
        <v>1</v>
      </c>
      <c r="Z24" s="18">
        <v>28000</v>
      </c>
      <c r="AA24" s="18" t="s">
        <v>172</v>
      </c>
      <c r="AB24" s="18" t="s">
        <v>173</v>
      </c>
      <c r="AC24" s="18" t="s">
        <v>163</v>
      </c>
    </row>
    <row r="25" s="18" customFormat="1" spans="1:29">
      <c r="A25" s="18" t="s">
        <v>174</v>
      </c>
      <c r="B25" s="25" t="s">
        <v>174</v>
      </c>
      <c r="C25" s="26">
        <v>45659</v>
      </c>
      <c r="D25" s="18" t="s">
        <v>170</v>
      </c>
      <c r="E25" s="18" t="str">
        <f t="shared" si="0"/>
        <v>Gurdeep Kaur</v>
      </c>
      <c r="F25" s="27" t="s">
        <v>171</v>
      </c>
      <c r="G25" s="18" t="s">
        <v>147</v>
      </c>
      <c r="H25" s="18" t="s">
        <v>148</v>
      </c>
      <c r="I25" s="18" t="s">
        <v>54</v>
      </c>
      <c r="K25" s="18" t="s">
        <v>35</v>
      </c>
      <c r="L25" s="18" t="s">
        <v>36</v>
      </c>
      <c r="N25" s="18">
        <v>6</v>
      </c>
      <c r="O25" s="18" t="s">
        <v>57</v>
      </c>
      <c r="P25" s="18" t="s">
        <v>38</v>
      </c>
      <c r="T25" s="18" t="b">
        <v>1</v>
      </c>
      <c r="U25" s="18" t="s">
        <v>150</v>
      </c>
      <c r="V25" s="18" t="s">
        <v>40</v>
      </c>
      <c r="W25" s="18" t="s">
        <v>84</v>
      </c>
      <c r="X25" s="18" t="s">
        <v>84</v>
      </c>
      <c r="Y25" s="18">
        <v>1</v>
      </c>
      <c r="Z25" s="18">
        <v>22000</v>
      </c>
      <c r="AA25" s="18" t="s">
        <v>172</v>
      </c>
      <c r="AB25" s="18" t="s">
        <v>173</v>
      </c>
      <c r="AC25" s="18" t="s">
        <v>163</v>
      </c>
    </row>
    <row r="26" s="18" customFormat="1" spans="1:29">
      <c r="A26" s="18" t="s">
        <v>175</v>
      </c>
      <c r="B26" s="25" t="s">
        <v>175</v>
      </c>
      <c r="C26" s="26">
        <v>45659</v>
      </c>
      <c r="D26" s="18" t="s">
        <v>86</v>
      </c>
      <c r="E26" s="18" t="str">
        <f t="shared" si="0"/>
        <v>Aaa Rental Llp</v>
      </c>
      <c r="F26" s="27" t="s">
        <v>87</v>
      </c>
      <c r="G26" s="18" t="s">
        <v>147</v>
      </c>
      <c r="H26" s="18" t="s">
        <v>148</v>
      </c>
      <c r="I26" s="18" t="s">
        <v>54</v>
      </c>
      <c r="K26" s="18" t="s">
        <v>35</v>
      </c>
      <c r="L26" s="18" t="s">
        <v>36</v>
      </c>
      <c r="N26" s="18">
        <v>6</v>
      </c>
      <c r="O26" s="18" t="s">
        <v>88</v>
      </c>
      <c r="P26" s="18" t="s">
        <v>38</v>
      </c>
      <c r="T26" s="18" t="b">
        <v>1</v>
      </c>
      <c r="U26" s="18" t="s">
        <v>150</v>
      </c>
      <c r="V26" s="18" t="s">
        <v>40</v>
      </c>
      <c r="W26" s="18" t="s">
        <v>84</v>
      </c>
      <c r="X26" s="18" t="s">
        <v>84</v>
      </c>
      <c r="Y26" s="18">
        <v>1</v>
      </c>
      <c r="Z26" s="18">
        <v>22000</v>
      </c>
      <c r="AA26" s="18" t="s">
        <v>176</v>
      </c>
      <c r="AB26" s="18" t="s">
        <v>173</v>
      </c>
      <c r="AC26" s="18" t="s">
        <v>163</v>
      </c>
    </row>
    <row r="27" s="18" customFormat="1" spans="1:29">
      <c r="A27" s="18" t="s">
        <v>177</v>
      </c>
      <c r="B27" s="25" t="s">
        <v>177</v>
      </c>
      <c r="C27" s="26">
        <v>45659</v>
      </c>
      <c r="D27" s="18" t="s">
        <v>86</v>
      </c>
      <c r="E27" s="18" t="str">
        <f t="shared" si="0"/>
        <v>Aaa Rental Llp</v>
      </c>
      <c r="F27" s="27" t="s">
        <v>87</v>
      </c>
      <c r="G27" s="18" t="s">
        <v>147</v>
      </c>
      <c r="H27" s="18" t="s">
        <v>148</v>
      </c>
      <c r="I27" s="18" t="s">
        <v>54</v>
      </c>
      <c r="K27" s="18" t="s">
        <v>35</v>
      </c>
      <c r="L27" s="18" t="s">
        <v>36</v>
      </c>
      <c r="N27" s="18">
        <v>6</v>
      </c>
      <c r="O27" s="18" t="s">
        <v>88</v>
      </c>
      <c r="P27" s="18" t="s">
        <v>38</v>
      </c>
      <c r="T27" s="18" t="b">
        <v>1</v>
      </c>
      <c r="U27" s="18" t="s">
        <v>150</v>
      </c>
      <c r="V27" s="18" t="s">
        <v>40</v>
      </c>
      <c r="W27" s="18" t="s">
        <v>84</v>
      </c>
      <c r="X27" s="18" t="s">
        <v>84</v>
      </c>
      <c r="Y27" s="18">
        <v>2</v>
      </c>
      <c r="Z27" s="18">
        <v>21000</v>
      </c>
      <c r="AA27" s="18" t="s">
        <v>176</v>
      </c>
      <c r="AB27" s="18" t="s">
        <v>173</v>
      </c>
      <c r="AC27" s="18" t="s">
        <v>163</v>
      </c>
    </row>
    <row r="28" s="18" customFormat="1" spans="1:29">
      <c r="A28" s="18" t="s">
        <v>178</v>
      </c>
      <c r="B28" s="25" t="s">
        <v>178</v>
      </c>
      <c r="C28" s="26">
        <v>45659</v>
      </c>
      <c r="D28" s="18" t="s">
        <v>86</v>
      </c>
      <c r="E28" s="18" t="str">
        <f t="shared" si="0"/>
        <v>Aaa Rental Llp</v>
      </c>
      <c r="F28" s="27" t="s">
        <v>87</v>
      </c>
      <c r="G28" s="18" t="s">
        <v>147</v>
      </c>
      <c r="H28" s="18" t="s">
        <v>148</v>
      </c>
      <c r="I28" s="18" t="s">
        <v>54</v>
      </c>
      <c r="K28" s="18" t="s">
        <v>35</v>
      </c>
      <c r="L28" s="18" t="s">
        <v>36</v>
      </c>
      <c r="N28" s="18">
        <v>6</v>
      </c>
      <c r="O28" s="18" t="s">
        <v>88</v>
      </c>
      <c r="P28" s="18" t="s">
        <v>38</v>
      </c>
      <c r="T28" s="18" t="b">
        <v>1</v>
      </c>
      <c r="U28" s="18" t="s">
        <v>150</v>
      </c>
      <c r="V28" s="18" t="s">
        <v>40</v>
      </c>
      <c r="W28" s="18" t="s">
        <v>84</v>
      </c>
      <c r="X28" s="18" t="s">
        <v>84</v>
      </c>
      <c r="Y28" s="18">
        <v>1</v>
      </c>
      <c r="Z28" s="18">
        <v>19000</v>
      </c>
      <c r="AA28" s="18" t="s">
        <v>176</v>
      </c>
      <c r="AB28" s="18" t="s">
        <v>173</v>
      </c>
      <c r="AC28" s="18" t="s">
        <v>163</v>
      </c>
    </row>
    <row r="29" s="18" customFormat="1" spans="1:29">
      <c r="A29" s="18" t="s">
        <v>179</v>
      </c>
      <c r="B29" s="25" t="s">
        <v>179</v>
      </c>
      <c r="C29" s="26">
        <v>45659</v>
      </c>
      <c r="D29" s="18" t="s">
        <v>180</v>
      </c>
      <c r="E29" s="18" t="str">
        <f t="shared" si="0"/>
        <v>Ekatra Collective Pvt Ltd</v>
      </c>
      <c r="F29" s="27" t="s">
        <v>181</v>
      </c>
      <c r="G29" s="18" t="s">
        <v>182</v>
      </c>
      <c r="H29" s="18" t="s">
        <v>183</v>
      </c>
      <c r="I29" s="18" t="s">
        <v>184</v>
      </c>
      <c r="J29" s="18" t="s">
        <v>185</v>
      </c>
      <c r="K29" s="18" t="s">
        <v>56</v>
      </c>
      <c r="L29" s="18" t="s">
        <v>36</v>
      </c>
      <c r="N29" s="18">
        <v>6</v>
      </c>
      <c r="O29" s="18" t="s">
        <v>88</v>
      </c>
      <c r="P29" s="18" t="s">
        <v>38</v>
      </c>
      <c r="Q29" s="18" t="s">
        <v>117</v>
      </c>
      <c r="R29" s="18" t="s">
        <v>59</v>
      </c>
      <c r="S29" s="18" t="s">
        <v>186</v>
      </c>
      <c r="T29" s="18" t="b">
        <v>0</v>
      </c>
      <c r="U29" s="18" t="s">
        <v>187</v>
      </c>
      <c r="V29" s="18" t="s">
        <v>40</v>
      </c>
      <c r="W29" s="18" t="s">
        <v>140</v>
      </c>
      <c r="X29" s="18" t="s">
        <v>141</v>
      </c>
      <c r="Y29" s="18">
        <v>1</v>
      </c>
      <c r="Z29" s="18">
        <v>13259.16</v>
      </c>
      <c r="AA29" s="18" t="s">
        <v>188</v>
      </c>
      <c r="AB29" s="18" t="s">
        <v>189</v>
      </c>
      <c r="AC29" s="18" t="s">
        <v>190</v>
      </c>
    </row>
    <row r="30" s="18" customFormat="1" ht="29" spans="1:29">
      <c r="A30" s="18" t="s">
        <v>191</v>
      </c>
      <c r="B30" s="25" t="s">
        <v>191</v>
      </c>
      <c r="C30" s="26">
        <v>45659</v>
      </c>
      <c r="D30" s="18" t="s">
        <v>192</v>
      </c>
      <c r="E30" s="18" t="str">
        <f t="shared" si="0"/>
        <v>Noaman Digital Partnership Firm</v>
      </c>
      <c r="F30" s="27" t="e">
        <v>#N/A</v>
      </c>
      <c r="G30" s="18" t="s">
        <v>182</v>
      </c>
      <c r="H30" s="18" t="s">
        <v>183</v>
      </c>
      <c r="I30" s="18" t="s">
        <v>184</v>
      </c>
      <c r="J30" s="18" t="s">
        <v>193</v>
      </c>
      <c r="K30" s="18" t="s">
        <v>56</v>
      </c>
      <c r="L30" s="18" t="s">
        <v>36</v>
      </c>
      <c r="N30" s="18">
        <v>6</v>
      </c>
      <c r="O30" s="18" t="s">
        <v>88</v>
      </c>
      <c r="P30" s="18" t="s">
        <v>38</v>
      </c>
      <c r="Q30" s="18" t="s">
        <v>194</v>
      </c>
      <c r="R30" s="18" t="s">
        <v>59</v>
      </c>
      <c r="S30" s="18" t="s">
        <v>195</v>
      </c>
      <c r="T30" s="18" t="b">
        <v>0</v>
      </c>
      <c r="U30" s="18" t="s">
        <v>187</v>
      </c>
      <c r="V30" s="18" t="s">
        <v>40</v>
      </c>
      <c r="W30" s="18" t="s">
        <v>196</v>
      </c>
      <c r="X30" s="18" t="s">
        <v>197</v>
      </c>
      <c r="Y30" s="18">
        <v>1</v>
      </c>
      <c r="Z30" s="18">
        <v>11793</v>
      </c>
      <c r="AA30" s="31" t="s">
        <v>198</v>
      </c>
      <c r="AB30" s="18" t="s">
        <v>199</v>
      </c>
      <c r="AC30" s="18" t="s">
        <v>200</v>
      </c>
    </row>
    <row r="31" s="18" customFormat="1" ht="29" spans="1:29">
      <c r="A31" s="18" t="s">
        <v>201</v>
      </c>
      <c r="B31" s="25" t="s">
        <v>201</v>
      </c>
      <c r="C31" s="26">
        <v>45659</v>
      </c>
      <c r="D31" s="18" t="s">
        <v>202</v>
      </c>
      <c r="E31" s="18" t="str">
        <f t="shared" si="0"/>
        <v>Turbonet Systems Pvt Ltd</v>
      </c>
      <c r="F31" s="27" t="s">
        <v>203</v>
      </c>
      <c r="G31" s="18" t="s">
        <v>182</v>
      </c>
      <c r="H31" s="18" t="s">
        <v>183</v>
      </c>
      <c r="I31" s="18" t="s">
        <v>184</v>
      </c>
      <c r="J31" s="18" t="s">
        <v>204</v>
      </c>
      <c r="K31" s="18" t="s">
        <v>56</v>
      </c>
      <c r="L31" s="18" t="s">
        <v>36</v>
      </c>
      <c r="N31" s="18">
        <v>6</v>
      </c>
      <c r="O31" s="18" t="s">
        <v>88</v>
      </c>
      <c r="P31" s="18" t="s">
        <v>38</v>
      </c>
      <c r="Q31" s="18" t="s">
        <v>194</v>
      </c>
      <c r="R31" s="18" t="s">
        <v>59</v>
      </c>
      <c r="S31" s="18" t="s">
        <v>195</v>
      </c>
      <c r="T31" s="18" t="b">
        <v>0</v>
      </c>
      <c r="U31" s="18" t="s">
        <v>187</v>
      </c>
      <c r="V31" s="18" t="s">
        <v>40</v>
      </c>
      <c r="W31" s="18" t="s">
        <v>205</v>
      </c>
      <c r="X31" s="18" t="s">
        <v>205</v>
      </c>
      <c r="Y31" s="18">
        <v>1</v>
      </c>
      <c r="Z31" s="18">
        <v>7000</v>
      </c>
      <c r="AA31" s="31" t="s">
        <v>206</v>
      </c>
      <c r="AB31" s="18" t="s">
        <v>207</v>
      </c>
      <c r="AC31" s="18" t="s">
        <v>200</v>
      </c>
    </row>
    <row r="32" s="18" customFormat="1" spans="1:29">
      <c r="A32" s="18" t="s">
        <v>208</v>
      </c>
      <c r="B32" s="25" t="s">
        <v>208</v>
      </c>
      <c r="C32" s="26">
        <v>45659</v>
      </c>
      <c r="D32" s="18" t="s">
        <v>209</v>
      </c>
      <c r="E32" s="18" t="str">
        <f t="shared" si="0"/>
        <v>Jaguar Security Services Pvt Ltd</v>
      </c>
      <c r="F32" s="27" t="s">
        <v>210</v>
      </c>
      <c r="G32" s="18" t="s">
        <v>182</v>
      </c>
      <c r="H32" s="18" t="s">
        <v>183</v>
      </c>
      <c r="I32" s="18" t="s">
        <v>184</v>
      </c>
      <c r="J32" s="18" t="s">
        <v>211</v>
      </c>
      <c r="K32" s="18" t="s">
        <v>56</v>
      </c>
      <c r="L32" s="18" t="s">
        <v>36</v>
      </c>
      <c r="N32" s="18">
        <v>6</v>
      </c>
      <c r="O32" s="18" t="s">
        <v>88</v>
      </c>
      <c r="P32" s="18" t="s">
        <v>38</v>
      </c>
      <c r="T32" s="18" t="b">
        <v>0</v>
      </c>
      <c r="U32" s="18" t="s">
        <v>187</v>
      </c>
      <c r="V32" s="18" t="s">
        <v>40</v>
      </c>
      <c r="W32" s="18" t="s">
        <v>212</v>
      </c>
      <c r="X32" s="18" t="s">
        <v>213</v>
      </c>
      <c r="Y32" s="18">
        <v>1</v>
      </c>
      <c r="Z32" s="18">
        <v>165000</v>
      </c>
      <c r="AA32" s="18" t="s">
        <v>214</v>
      </c>
      <c r="AB32" s="18" t="s">
        <v>215</v>
      </c>
      <c r="AC32" s="18" t="s">
        <v>216</v>
      </c>
    </row>
    <row r="33" s="18" customFormat="1" spans="1:29">
      <c r="A33" s="18" t="s">
        <v>217</v>
      </c>
      <c r="B33" s="25" t="s">
        <v>217</v>
      </c>
      <c r="C33" s="26">
        <v>45660</v>
      </c>
      <c r="D33" s="18" t="s">
        <v>218</v>
      </c>
      <c r="E33" s="18" t="str">
        <f t="shared" si="0"/>
        <v>Tata Teleservices Ltd</v>
      </c>
      <c r="F33" s="27" t="s">
        <v>219</v>
      </c>
      <c r="G33" s="18" t="s">
        <v>99</v>
      </c>
      <c r="H33" s="18" t="s">
        <v>100</v>
      </c>
      <c r="I33" s="18" t="s">
        <v>34</v>
      </c>
      <c r="K33" s="18" t="s">
        <v>35</v>
      </c>
      <c r="L33" s="18" t="s">
        <v>36</v>
      </c>
      <c r="N33" s="18">
        <v>6</v>
      </c>
      <c r="O33" s="18" t="s">
        <v>220</v>
      </c>
      <c r="P33" s="18" t="s">
        <v>38</v>
      </c>
      <c r="T33" s="18" t="b">
        <v>1</v>
      </c>
      <c r="U33" s="18" t="s">
        <v>101</v>
      </c>
      <c r="V33" s="18" t="s">
        <v>40</v>
      </c>
      <c r="W33" s="18" t="s">
        <v>94</v>
      </c>
      <c r="X33" s="18" t="s">
        <v>95</v>
      </c>
      <c r="Y33" s="18">
        <v>1</v>
      </c>
      <c r="Z33" s="18">
        <v>62500</v>
      </c>
      <c r="AA33" s="18" t="s">
        <v>221</v>
      </c>
      <c r="AB33" s="18" t="s">
        <v>222</v>
      </c>
      <c r="AC33" s="18" t="s">
        <v>111</v>
      </c>
    </row>
    <row r="34" s="19" customFormat="1" spans="1:29">
      <c r="A34" s="19" t="s">
        <v>223</v>
      </c>
      <c r="B34" s="28" t="s">
        <v>223</v>
      </c>
      <c r="C34" s="29">
        <v>45660</v>
      </c>
      <c r="D34" s="19" t="s">
        <v>224</v>
      </c>
      <c r="E34" s="19" t="str">
        <f t="shared" si="0"/>
        <v>Goldline Security Systems</v>
      </c>
      <c r="F34" s="30" t="s">
        <v>225</v>
      </c>
      <c r="G34" s="19" t="s">
        <v>147</v>
      </c>
      <c r="H34" s="19" t="s">
        <v>148</v>
      </c>
      <c r="I34" s="19" t="s">
        <v>159</v>
      </c>
      <c r="K34" s="19" t="s">
        <v>35</v>
      </c>
      <c r="L34" s="19" t="s">
        <v>36</v>
      </c>
      <c r="N34" s="19">
        <v>6</v>
      </c>
      <c r="O34" s="19" t="s">
        <v>88</v>
      </c>
      <c r="P34" s="19" t="s">
        <v>38</v>
      </c>
      <c r="T34" s="19" t="b">
        <v>1</v>
      </c>
      <c r="U34" s="19" t="s">
        <v>150</v>
      </c>
      <c r="V34" s="19" t="s">
        <v>40</v>
      </c>
      <c r="W34" s="19" t="s">
        <v>226</v>
      </c>
      <c r="X34" s="19" t="e">
        <v>#N/A</v>
      </c>
      <c r="Y34" s="19">
        <v>1</v>
      </c>
      <c r="Z34" s="19">
        <v>116703</v>
      </c>
      <c r="AA34" s="19" t="s">
        <v>227</v>
      </c>
      <c r="AB34" s="19" t="s">
        <v>228</v>
      </c>
      <c r="AC34" s="19" t="s">
        <v>163</v>
      </c>
    </row>
    <row r="35" s="19" customFormat="1" spans="1:29">
      <c r="A35" s="19" t="s">
        <v>223</v>
      </c>
      <c r="B35" s="28" t="s">
        <v>223</v>
      </c>
      <c r="C35" s="29">
        <v>45660</v>
      </c>
      <c r="D35" s="19" t="s">
        <v>224</v>
      </c>
      <c r="E35" s="19" t="str">
        <f t="shared" si="0"/>
        <v>Goldline Security Systems</v>
      </c>
      <c r="F35" s="30" t="s">
        <v>225</v>
      </c>
      <c r="G35" s="19" t="s">
        <v>147</v>
      </c>
      <c r="H35" s="19" t="s">
        <v>148</v>
      </c>
      <c r="I35" s="19" t="s">
        <v>159</v>
      </c>
      <c r="K35" s="19" t="s">
        <v>35</v>
      </c>
      <c r="L35" s="19" t="s">
        <v>36</v>
      </c>
      <c r="N35" s="19">
        <v>6</v>
      </c>
      <c r="O35" s="19" t="s">
        <v>88</v>
      </c>
      <c r="P35" s="19" t="s">
        <v>38</v>
      </c>
      <c r="T35" s="19" t="b">
        <v>1</v>
      </c>
      <c r="U35" s="19" t="s">
        <v>150</v>
      </c>
      <c r="V35" s="19" t="s">
        <v>40</v>
      </c>
      <c r="W35" s="19" t="s">
        <v>226</v>
      </c>
      <c r="X35" s="19" t="e">
        <v>#N/A</v>
      </c>
      <c r="Y35" s="19">
        <v>1</v>
      </c>
      <c r="Z35" s="19">
        <v>116703</v>
      </c>
      <c r="AA35" s="19" t="s">
        <v>227</v>
      </c>
      <c r="AB35" s="19" t="s">
        <v>228</v>
      </c>
      <c r="AC35" s="19" t="s">
        <v>163</v>
      </c>
    </row>
    <row r="36" s="19" customFormat="1" spans="1:29">
      <c r="A36" s="19" t="s">
        <v>229</v>
      </c>
      <c r="B36" s="28" t="s">
        <v>229</v>
      </c>
      <c r="C36" s="29">
        <v>45660</v>
      </c>
      <c r="D36" s="19" t="s">
        <v>224</v>
      </c>
      <c r="E36" s="19" t="str">
        <f t="shared" si="0"/>
        <v>Goldline Security Systems</v>
      </c>
      <c r="F36" s="30" t="s">
        <v>225</v>
      </c>
      <c r="G36" s="19" t="s">
        <v>147</v>
      </c>
      <c r="H36" s="19" t="s">
        <v>148</v>
      </c>
      <c r="I36" s="19" t="s">
        <v>159</v>
      </c>
      <c r="K36" s="19" t="s">
        <v>35</v>
      </c>
      <c r="L36" s="19" t="s">
        <v>36</v>
      </c>
      <c r="N36" s="19">
        <v>6</v>
      </c>
      <c r="O36" s="19" t="s">
        <v>88</v>
      </c>
      <c r="P36" s="19" t="s">
        <v>38</v>
      </c>
      <c r="T36" s="19" t="b">
        <v>1</v>
      </c>
      <c r="U36" s="19" t="s">
        <v>150</v>
      </c>
      <c r="V36" s="19" t="s">
        <v>40</v>
      </c>
      <c r="W36" s="19" t="s">
        <v>107</v>
      </c>
      <c r="X36" s="19" t="e">
        <v>#N/A</v>
      </c>
      <c r="Y36" s="19">
        <v>1</v>
      </c>
      <c r="Z36" s="19">
        <v>68802</v>
      </c>
      <c r="AA36" s="19" t="s">
        <v>227</v>
      </c>
      <c r="AB36" s="19" t="s">
        <v>228</v>
      </c>
      <c r="AC36" s="19" t="s">
        <v>163</v>
      </c>
    </row>
    <row r="37" s="18" customFormat="1" spans="1:29">
      <c r="A37" s="18" t="s">
        <v>230</v>
      </c>
      <c r="B37" s="25" t="s">
        <v>230</v>
      </c>
      <c r="C37" s="26">
        <v>45660</v>
      </c>
      <c r="D37" s="18" t="s">
        <v>231</v>
      </c>
      <c r="E37" s="18" t="str">
        <f t="shared" si="0"/>
        <v>Wanderers Adventure Sports Pvt Ltd</v>
      </c>
      <c r="F37" s="27" t="s">
        <v>232</v>
      </c>
      <c r="G37" s="18" t="s">
        <v>147</v>
      </c>
      <c r="H37" s="18" t="s">
        <v>148</v>
      </c>
      <c r="I37" s="18" t="s">
        <v>207</v>
      </c>
      <c r="J37" s="18" t="s">
        <v>149</v>
      </c>
      <c r="K37" s="18" t="s">
        <v>56</v>
      </c>
      <c r="L37" s="18" t="s">
        <v>36</v>
      </c>
      <c r="N37" s="18">
        <v>6</v>
      </c>
      <c r="O37" s="18" t="s">
        <v>57</v>
      </c>
      <c r="P37" s="18" t="s">
        <v>38</v>
      </c>
      <c r="Q37" s="18" t="s">
        <v>58</v>
      </c>
      <c r="R37" s="18" t="s">
        <v>59</v>
      </c>
      <c r="S37" s="18" t="s">
        <v>60</v>
      </c>
      <c r="T37" s="18" t="b">
        <v>1</v>
      </c>
      <c r="U37" s="18" t="s">
        <v>150</v>
      </c>
      <c r="V37" s="18" t="s">
        <v>40</v>
      </c>
      <c r="W37" s="18" t="s">
        <v>233</v>
      </c>
      <c r="X37" s="18" t="s">
        <v>234</v>
      </c>
      <c r="Y37" s="18">
        <v>1</v>
      </c>
      <c r="Z37" s="18">
        <v>138013</v>
      </c>
      <c r="AA37" s="18" t="s">
        <v>235</v>
      </c>
      <c r="AB37" s="18" t="s">
        <v>236</v>
      </c>
      <c r="AC37" s="18" t="s">
        <v>163</v>
      </c>
    </row>
    <row r="38" s="18" customFormat="1" spans="1:29">
      <c r="A38" s="18" t="s">
        <v>237</v>
      </c>
      <c r="B38" s="25" t="s">
        <v>237</v>
      </c>
      <c r="C38" s="26">
        <v>45660</v>
      </c>
      <c r="D38" s="18" t="s">
        <v>238</v>
      </c>
      <c r="E38" s="18" t="str">
        <f t="shared" si="0"/>
        <v>Studio Merchandise Pvt Ltd</v>
      </c>
      <c r="F38" s="27" t="s">
        <v>239</v>
      </c>
      <c r="G38" s="18" t="s">
        <v>147</v>
      </c>
      <c r="H38" s="18" t="s">
        <v>148</v>
      </c>
      <c r="I38" s="18" t="s">
        <v>54</v>
      </c>
      <c r="J38" s="18" t="s">
        <v>240</v>
      </c>
      <c r="K38" s="18" t="s">
        <v>56</v>
      </c>
      <c r="L38" s="18" t="s">
        <v>36</v>
      </c>
      <c r="N38" s="18">
        <v>6</v>
      </c>
      <c r="O38" s="18" t="s">
        <v>88</v>
      </c>
      <c r="P38" s="18" t="s">
        <v>38</v>
      </c>
      <c r="Q38" s="18" t="s">
        <v>58</v>
      </c>
      <c r="R38" s="18" t="s">
        <v>59</v>
      </c>
      <c r="S38" s="18" t="s">
        <v>60</v>
      </c>
      <c r="T38" s="18" t="b">
        <v>1</v>
      </c>
      <c r="U38" s="18" t="s">
        <v>150</v>
      </c>
      <c r="V38" s="18" t="s">
        <v>40</v>
      </c>
      <c r="W38" s="18" t="s">
        <v>140</v>
      </c>
      <c r="X38" s="18" t="s">
        <v>141</v>
      </c>
      <c r="Y38" s="18">
        <v>1</v>
      </c>
      <c r="Z38" s="18">
        <v>147300</v>
      </c>
      <c r="AA38" s="18" t="s">
        <v>241</v>
      </c>
      <c r="AB38" s="18" t="s">
        <v>242</v>
      </c>
      <c r="AC38" s="18" t="s">
        <v>163</v>
      </c>
    </row>
    <row r="39" s="18" customFormat="1" spans="1:29">
      <c r="A39" s="18" t="s">
        <v>243</v>
      </c>
      <c r="B39" s="25" t="s">
        <v>243</v>
      </c>
      <c r="C39" s="26">
        <v>45660</v>
      </c>
      <c r="D39" s="18" t="s">
        <v>244</v>
      </c>
      <c r="E39" s="18" t="str">
        <f t="shared" si="0"/>
        <v>Fairfield By Marriott Mumbai (Associated Hospitality Pvt Ltd)</v>
      </c>
      <c r="F39" s="27" t="s">
        <v>245</v>
      </c>
      <c r="G39" s="18" t="s">
        <v>182</v>
      </c>
      <c r="H39" s="18" t="s">
        <v>183</v>
      </c>
      <c r="I39" s="18" t="s">
        <v>54</v>
      </c>
      <c r="J39" s="18" t="s">
        <v>240</v>
      </c>
      <c r="K39" s="18" t="s">
        <v>56</v>
      </c>
      <c r="L39" s="18" t="s">
        <v>36</v>
      </c>
      <c r="N39" s="18">
        <v>6</v>
      </c>
      <c r="O39" s="18" t="s">
        <v>93</v>
      </c>
      <c r="P39" s="18" t="s">
        <v>38</v>
      </c>
      <c r="Q39" s="18" t="s">
        <v>58</v>
      </c>
      <c r="R39" s="18" t="s">
        <v>59</v>
      </c>
      <c r="S39" s="18" t="s">
        <v>60</v>
      </c>
      <c r="T39" s="18" t="b">
        <v>0</v>
      </c>
      <c r="U39" s="18" t="s">
        <v>187</v>
      </c>
      <c r="V39" s="18" t="s">
        <v>40</v>
      </c>
      <c r="W39" s="18" t="s">
        <v>61</v>
      </c>
      <c r="X39" s="18" t="s">
        <v>62</v>
      </c>
      <c r="Y39" s="18">
        <v>1</v>
      </c>
      <c r="Z39" s="18">
        <v>41000</v>
      </c>
      <c r="AA39" s="18" t="s">
        <v>63</v>
      </c>
      <c r="AB39" s="18" t="s">
        <v>64</v>
      </c>
      <c r="AC39" s="18" t="s">
        <v>200</v>
      </c>
    </row>
    <row r="40" s="18" customFormat="1" spans="1:29">
      <c r="A40" s="18" t="s">
        <v>246</v>
      </c>
      <c r="B40" s="25" t="s">
        <v>246</v>
      </c>
      <c r="C40" s="26">
        <v>45660</v>
      </c>
      <c r="D40" s="18" t="s">
        <v>247</v>
      </c>
      <c r="E40" s="18" t="str">
        <f t="shared" si="0"/>
        <v>Black Hat Talent Solutions &amp; Consulting Pvt Ltd</v>
      </c>
      <c r="F40" s="27" t="s">
        <v>248</v>
      </c>
      <c r="G40" s="18" t="s">
        <v>182</v>
      </c>
      <c r="H40" s="18" t="s">
        <v>183</v>
      </c>
      <c r="I40" s="18" t="s">
        <v>207</v>
      </c>
      <c r="J40" s="18" t="s">
        <v>249</v>
      </c>
      <c r="K40" s="18" t="s">
        <v>56</v>
      </c>
      <c r="L40" s="18" t="s">
        <v>36</v>
      </c>
      <c r="N40" s="18">
        <v>6</v>
      </c>
      <c r="O40" s="18" t="s">
        <v>57</v>
      </c>
      <c r="P40" s="18" t="s">
        <v>38</v>
      </c>
      <c r="Q40" s="18" t="s">
        <v>58</v>
      </c>
      <c r="R40" s="18" t="s">
        <v>59</v>
      </c>
      <c r="S40" s="18" t="s">
        <v>60</v>
      </c>
      <c r="T40" s="18" t="b">
        <v>0</v>
      </c>
      <c r="U40" s="18" t="s">
        <v>187</v>
      </c>
      <c r="V40" s="18" t="s">
        <v>40</v>
      </c>
      <c r="W40" s="18" t="s">
        <v>250</v>
      </c>
      <c r="X40" s="18" t="s">
        <v>251</v>
      </c>
      <c r="Y40" s="18">
        <v>1</v>
      </c>
      <c r="Z40" s="18">
        <v>540000</v>
      </c>
      <c r="AA40" s="18" t="s">
        <v>252</v>
      </c>
      <c r="AB40" s="18" t="s">
        <v>253</v>
      </c>
      <c r="AC40" s="18" t="s">
        <v>200</v>
      </c>
    </row>
    <row r="41" s="18" customFormat="1" spans="1:29">
      <c r="A41" s="18" t="s">
        <v>254</v>
      </c>
      <c r="B41" s="25" t="s">
        <v>254</v>
      </c>
      <c r="C41" s="26">
        <v>45660</v>
      </c>
      <c r="D41" s="18" t="s">
        <v>255</v>
      </c>
      <c r="E41" s="18" t="str">
        <f t="shared" si="0"/>
        <v>Phonographic Performance Limited</v>
      </c>
      <c r="F41" s="27" t="e">
        <v>#N/A</v>
      </c>
      <c r="G41" s="18" t="s">
        <v>182</v>
      </c>
      <c r="H41" s="18" t="s">
        <v>183</v>
      </c>
      <c r="I41" s="18" t="s">
        <v>184</v>
      </c>
      <c r="J41" s="18" t="s">
        <v>55</v>
      </c>
      <c r="K41" s="18" t="s">
        <v>56</v>
      </c>
      <c r="L41" s="18" t="s">
        <v>36</v>
      </c>
      <c r="N41" s="18">
        <v>6</v>
      </c>
      <c r="O41" s="18" t="s">
        <v>88</v>
      </c>
      <c r="P41" s="18" t="s">
        <v>38</v>
      </c>
      <c r="Q41" s="18" t="s">
        <v>58</v>
      </c>
      <c r="R41" s="18" t="s">
        <v>59</v>
      </c>
      <c r="S41" s="18" t="s">
        <v>60</v>
      </c>
      <c r="T41" s="18" t="b">
        <v>0</v>
      </c>
      <c r="U41" s="18" t="s">
        <v>187</v>
      </c>
      <c r="V41" s="18" t="s">
        <v>40</v>
      </c>
      <c r="W41" s="18" t="s">
        <v>256</v>
      </c>
      <c r="X41" s="18" t="s">
        <v>257</v>
      </c>
      <c r="Y41" s="18">
        <v>1</v>
      </c>
      <c r="Z41" s="18">
        <v>55500</v>
      </c>
      <c r="AA41" s="18" t="s">
        <v>258</v>
      </c>
      <c r="AB41" s="18" t="s">
        <v>259</v>
      </c>
      <c r="AC41" s="18" t="s">
        <v>200</v>
      </c>
    </row>
    <row r="42" s="18" customFormat="1" ht="29" spans="1:29">
      <c r="A42" s="18" t="s">
        <v>260</v>
      </c>
      <c r="B42" s="25" t="s">
        <v>260</v>
      </c>
      <c r="C42" s="26">
        <v>45660</v>
      </c>
      <c r="D42" s="18" t="s">
        <v>261</v>
      </c>
      <c r="E42" s="18" t="str">
        <f t="shared" si="0"/>
        <v>Novex Communications Pvt. Ltd.</v>
      </c>
      <c r="F42" s="27" t="e">
        <v>#N/A</v>
      </c>
      <c r="G42" s="18" t="s">
        <v>182</v>
      </c>
      <c r="H42" s="18" t="s">
        <v>183</v>
      </c>
      <c r="I42" s="18" t="s">
        <v>184</v>
      </c>
      <c r="J42" s="18" t="s">
        <v>55</v>
      </c>
      <c r="K42" s="18" t="s">
        <v>56</v>
      </c>
      <c r="L42" s="18" t="s">
        <v>36</v>
      </c>
      <c r="N42" s="18">
        <v>6</v>
      </c>
      <c r="O42" s="18" t="s">
        <v>88</v>
      </c>
      <c r="P42" s="18" t="s">
        <v>38</v>
      </c>
      <c r="Q42" s="18" t="s">
        <v>58</v>
      </c>
      <c r="R42" s="18" t="s">
        <v>59</v>
      </c>
      <c r="S42" s="18" t="s">
        <v>60</v>
      </c>
      <c r="T42" s="18" t="b">
        <v>0</v>
      </c>
      <c r="U42" s="18" t="s">
        <v>187</v>
      </c>
      <c r="V42" s="18" t="s">
        <v>40</v>
      </c>
      <c r="W42" s="18" t="s">
        <v>256</v>
      </c>
      <c r="X42" s="18" t="s">
        <v>257</v>
      </c>
      <c r="Y42" s="18">
        <v>1</v>
      </c>
      <c r="Z42" s="18">
        <v>60000</v>
      </c>
      <c r="AA42" s="31" t="s">
        <v>262</v>
      </c>
      <c r="AB42" s="18" t="s">
        <v>259</v>
      </c>
      <c r="AC42" s="18" t="s">
        <v>200</v>
      </c>
    </row>
    <row r="43" s="18" customFormat="1" ht="29" spans="1:29">
      <c r="A43" s="18" t="s">
        <v>263</v>
      </c>
      <c r="B43" s="25" t="s">
        <v>263</v>
      </c>
      <c r="C43" s="26">
        <v>45660</v>
      </c>
      <c r="D43" s="18" t="s">
        <v>264</v>
      </c>
      <c r="E43" s="18" t="str">
        <f t="shared" si="0"/>
        <v>The Indian Performing Right Society Ltd.</v>
      </c>
      <c r="F43" s="27" t="e">
        <v>#N/A</v>
      </c>
      <c r="G43" s="18" t="s">
        <v>182</v>
      </c>
      <c r="H43" s="18" t="s">
        <v>183</v>
      </c>
      <c r="I43" s="18" t="s">
        <v>184</v>
      </c>
      <c r="J43" s="18" t="s">
        <v>115</v>
      </c>
      <c r="K43" s="18" t="s">
        <v>56</v>
      </c>
      <c r="L43" s="18" t="s">
        <v>36</v>
      </c>
      <c r="N43" s="18">
        <v>6</v>
      </c>
      <c r="O43" s="18" t="s">
        <v>57</v>
      </c>
      <c r="P43" s="18" t="s">
        <v>38</v>
      </c>
      <c r="Q43" s="18" t="s">
        <v>117</v>
      </c>
      <c r="R43" s="18" t="s">
        <v>59</v>
      </c>
      <c r="S43" s="18" t="s">
        <v>118</v>
      </c>
      <c r="T43" s="18" t="b">
        <v>0</v>
      </c>
      <c r="U43" s="18" t="s">
        <v>187</v>
      </c>
      <c r="V43" s="18" t="s">
        <v>40</v>
      </c>
      <c r="W43" s="18" t="s">
        <v>256</v>
      </c>
      <c r="X43" s="18" t="s">
        <v>257</v>
      </c>
      <c r="Y43" s="18">
        <v>1</v>
      </c>
      <c r="Z43" s="18">
        <v>75000</v>
      </c>
      <c r="AA43" s="31" t="s">
        <v>262</v>
      </c>
      <c r="AB43" s="18" t="s">
        <v>259</v>
      </c>
      <c r="AC43" s="18" t="s">
        <v>200</v>
      </c>
    </row>
    <row r="44" s="18" customFormat="1" ht="29" spans="1:29">
      <c r="A44" s="18" t="s">
        <v>265</v>
      </c>
      <c r="B44" s="25" t="s">
        <v>265</v>
      </c>
      <c r="C44" s="26">
        <v>45660</v>
      </c>
      <c r="D44" s="18" t="s">
        <v>255</v>
      </c>
      <c r="E44" s="18" t="str">
        <f t="shared" si="0"/>
        <v>Phonographic Performance Limited</v>
      </c>
      <c r="F44" s="27" t="e">
        <v>#N/A</v>
      </c>
      <c r="G44" s="18" t="s">
        <v>182</v>
      </c>
      <c r="H44" s="18" t="s">
        <v>183</v>
      </c>
      <c r="I44" s="18" t="s">
        <v>184</v>
      </c>
      <c r="J44" s="18" t="s">
        <v>115</v>
      </c>
      <c r="K44" s="18" t="s">
        <v>56</v>
      </c>
      <c r="L44" s="18" t="s">
        <v>36</v>
      </c>
      <c r="N44" s="18">
        <v>6</v>
      </c>
      <c r="O44" s="18" t="s">
        <v>88</v>
      </c>
      <c r="P44" s="18" t="s">
        <v>38</v>
      </c>
      <c r="Q44" s="18" t="s">
        <v>117</v>
      </c>
      <c r="R44" s="18" t="s">
        <v>59</v>
      </c>
      <c r="S44" s="18" t="s">
        <v>118</v>
      </c>
      <c r="T44" s="18" t="b">
        <v>0</v>
      </c>
      <c r="U44" s="18" t="s">
        <v>187</v>
      </c>
      <c r="V44" s="18" t="s">
        <v>40</v>
      </c>
      <c r="W44" s="18" t="s">
        <v>256</v>
      </c>
      <c r="X44" s="18" t="s">
        <v>257</v>
      </c>
      <c r="Y44" s="18">
        <v>1</v>
      </c>
      <c r="Z44" s="18">
        <v>60000</v>
      </c>
      <c r="AA44" s="31" t="s">
        <v>262</v>
      </c>
      <c r="AB44" s="18" t="s">
        <v>259</v>
      </c>
      <c r="AC44" s="18" t="s">
        <v>200</v>
      </c>
    </row>
    <row r="45" s="18" customFormat="1" ht="29" spans="1:29">
      <c r="A45" s="18" t="s">
        <v>266</v>
      </c>
      <c r="B45" s="25" t="s">
        <v>266</v>
      </c>
      <c r="C45" s="26">
        <v>45660</v>
      </c>
      <c r="D45" s="18" t="s">
        <v>261</v>
      </c>
      <c r="E45" s="18" t="str">
        <f t="shared" si="0"/>
        <v>Novex Communications Pvt. Ltd.</v>
      </c>
      <c r="F45" s="27" t="e">
        <v>#N/A</v>
      </c>
      <c r="G45" s="18" t="s">
        <v>182</v>
      </c>
      <c r="H45" s="18" t="s">
        <v>183</v>
      </c>
      <c r="I45" s="18" t="s">
        <v>184</v>
      </c>
      <c r="J45" s="18" t="s">
        <v>115</v>
      </c>
      <c r="K45" s="18" t="s">
        <v>56</v>
      </c>
      <c r="L45" s="18" t="s">
        <v>36</v>
      </c>
      <c r="N45" s="18">
        <v>6</v>
      </c>
      <c r="O45" s="18" t="s">
        <v>57</v>
      </c>
      <c r="P45" s="18" t="s">
        <v>38</v>
      </c>
      <c r="Q45" s="18" t="s">
        <v>117</v>
      </c>
      <c r="R45" s="18" t="s">
        <v>59</v>
      </c>
      <c r="S45" s="18" t="s">
        <v>118</v>
      </c>
      <c r="T45" s="18" t="b">
        <v>0</v>
      </c>
      <c r="U45" s="18" t="s">
        <v>187</v>
      </c>
      <c r="V45" s="18" t="s">
        <v>40</v>
      </c>
      <c r="W45" s="18" t="s">
        <v>256</v>
      </c>
      <c r="X45" s="18" t="s">
        <v>257</v>
      </c>
      <c r="Y45" s="18">
        <v>1</v>
      </c>
      <c r="Z45" s="18">
        <v>60000</v>
      </c>
      <c r="AA45" s="31" t="s">
        <v>262</v>
      </c>
      <c r="AB45" s="18" t="s">
        <v>259</v>
      </c>
      <c r="AC45" s="18" t="s">
        <v>200</v>
      </c>
    </row>
    <row r="46" s="18" customFormat="1" spans="1:29">
      <c r="A46" s="18" t="s">
        <v>267</v>
      </c>
      <c r="B46" s="25" t="s">
        <v>267</v>
      </c>
      <c r="C46" s="26">
        <v>45660</v>
      </c>
      <c r="D46" s="18" t="s">
        <v>268</v>
      </c>
      <c r="E46" s="18" t="str">
        <f t="shared" si="0"/>
        <v>Rentastic</v>
      </c>
      <c r="F46" s="27" t="e">
        <v>#N/A</v>
      </c>
      <c r="G46" s="18" t="s">
        <v>182</v>
      </c>
      <c r="H46" s="18" t="s">
        <v>183</v>
      </c>
      <c r="I46" s="18" t="s">
        <v>34</v>
      </c>
      <c r="J46" s="18" t="s">
        <v>115</v>
      </c>
      <c r="K46" s="18" t="s">
        <v>56</v>
      </c>
      <c r="L46" s="18" t="s">
        <v>36</v>
      </c>
      <c r="N46" s="18">
        <v>6</v>
      </c>
      <c r="O46" s="18" t="s">
        <v>88</v>
      </c>
      <c r="P46" s="18" t="s">
        <v>38</v>
      </c>
      <c r="Q46" s="18" t="s">
        <v>117</v>
      </c>
      <c r="R46" s="18" t="s">
        <v>59</v>
      </c>
      <c r="S46" s="18" t="s">
        <v>118</v>
      </c>
      <c r="T46" s="18" t="b">
        <v>0</v>
      </c>
      <c r="U46" s="18" t="s">
        <v>187</v>
      </c>
      <c r="V46" s="18" t="s">
        <v>40</v>
      </c>
      <c r="W46" s="18" t="s">
        <v>151</v>
      </c>
      <c r="X46" s="18" t="s">
        <v>152</v>
      </c>
      <c r="Y46" s="18">
        <v>1</v>
      </c>
      <c r="Z46" s="18">
        <v>24600</v>
      </c>
      <c r="AA46" s="18" t="s">
        <v>121</v>
      </c>
      <c r="AB46" s="18" t="s">
        <v>122</v>
      </c>
      <c r="AC46" s="18" t="s">
        <v>200</v>
      </c>
    </row>
    <row r="47" s="18" customFormat="1" ht="29" spans="1:29">
      <c r="A47" s="18" t="s">
        <v>269</v>
      </c>
      <c r="B47" s="25" t="s">
        <v>269</v>
      </c>
      <c r="C47" s="26">
        <v>45660</v>
      </c>
      <c r="D47" s="18" t="s">
        <v>270</v>
      </c>
      <c r="E47" s="18" t="str">
        <f t="shared" si="0"/>
        <v>Zinque (Sweet Spot) (OTV)</v>
      </c>
      <c r="F47" s="27" t="e">
        <v>#N/A</v>
      </c>
      <c r="G47" s="18" t="s">
        <v>182</v>
      </c>
      <c r="H47" s="18" t="s">
        <v>183</v>
      </c>
      <c r="I47" s="18" t="s">
        <v>184</v>
      </c>
      <c r="J47" s="18" t="s">
        <v>271</v>
      </c>
      <c r="K47" s="18" t="s">
        <v>56</v>
      </c>
      <c r="L47" s="18" t="s">
        <v>36</v>
      </c>
      <c r="N47" s="18">
        <v>6</v>
      </c>
      <c r="O47" s="18" t="s">
        <v>57</v>
      </c>
      <c r="P47" s="18" t="s">
        <v>38</v>
      </c>
      <c r="T47" s="18" t="b">
        <v>0</v>
      </c>
      <c r="U47" s="18" t="s">
        <v>187</v>
      </c>
      <c r="V47" s="18" t="s">
        <v>40</v>
      </c>
      <c r="W47" s="18" t="s">
        <v>140</v>
      </c>
      <c r="X47" s="18" t="s">
        <v>141</v>
      </c>
      <c r="Y47" s="18">
        <v>1</v>
      </c>
      <c r="Z47" s="18">
        <v>29400</v>
      </c>
      <c r="AA47" s="31" t="s">
        <v>198</v>
      </c>
      <c r="AB47" s="18" t="s">
        <v>199</v>
      </c>
      <c r="AC47" s="18" t="s">
        <v>200</v>
      </c>
    </row>
    <row r="48" s="18" customFormat="1" spans="1:29">
      <c r="A48" s="18" t="s">
        <v>272</v>
      </c>
      <c r="B48" s="25" t="s">
        <v>272</v>
      </c>
      <c r="C48" s="26">
        <v>45663</v>
      </c>
      <c r="D48" s="18" t="s">
        <v>273</v>
      </c>
      <c r="E48" s="18" t="str">
        <f t="shared" si="0"/>
        <v>The Oberoi Bengaluru</v>
      </c>
      <c r="F48" s="27" t="s">
        <v>274</v>
      </c>
      <c r="G48" s="18" t="s">
        <v>32</v>
      </c>
      <c r="H48" s="18" t="s">
        <v>33</v>
      </c>
      <c r="I48" s="18" t="s">
        <v>54</v>
      </c>
      <c r="J48" s="18" t="s">
        <v>275</v>
      </c>
      <c r="K48" s="18" t="s">
        <v>56</v>
      </c>
      <c r="L48" s="18" t="s">
        <v>36</v>
      </c>
      <c r="N48" s="18">
        <v>6</v>
      </c>
      <c r="O48" s="18" t="s">
        <v>93</v>
      </c>
      <c r="P48" s="18" t="s">
        <v>38</v>
      </c>
      <c r="Q48" s="18" t="s">
        <v>58</v>
      </c>
      <c r="R48" s="18" t="s">
        <v>59</v>
      </c>
      <c r="S48" s="18" t="s">
        <v>60</v>
      </c>
      <c r="T48" s="18" t="b">
        <v>1</v>
      </c>
      <c r="U48" s="18" t="s">
        <v>39</v>
      </c>
      <c r="V48" s="18" t="s">
        <v>40</v>
      </c>
      <c r="W48" s="18" t="s">
        <v>276</v>
      </c>
      <c r="X48" s="18" t="s">
        <v>276</v>
      </c>
      <c r="Y48" s="18">
        <v>1</v>
      </c>
      <c r="Z48" s="18">
        <v>348660</v>
      </c>
      <c r="AA48" s="18" t="s">
        <v>63</v>
      </c>
      <c r="AB48" s="18" t="s">
        <v>64</v>
      </c>
      <c r="AC48" s="18" t="s">
        <v>43</v>
      </c>
    </row>
    <row r="49" s="18" customFormat="1" ht="43.5" spans="1:29">
      <c r="A49" s="18" t="s">
        <v>277</v>
      </c>
      <c r="B49" s="25" t="s">
        <v>277</v>
      </c>
      <c r="C49" s="26">
        <v>45663</v>
      </c>
      <c r="D49" s="18" t="s">
        <v>278</v>
      </c>
      <c r="E49" s="18" t="str">
        <f t="shared" si="0"/>
        <v>Time Marketing</v>
      </c>
      <c r="F49" s="27" t="s">
        <v>279</v>
      </c>
      <c r="G49" s="18" t="s">
        <v>32</v>
      </c>
      <c r="H49" s="18" t="s">
        <v>33</v>
      </c>
      <c r="I49" s="18" t="s">
        <v>184</v>
      </c>
      <c r="J49" s="18" t="s">
        <v>280</v>
      </c>
      <c r="K49" s="18" t="s">
        <v>56</v>
      </c>
      <c r="L49" s="18" t="s">
        <v>36</v>
      </c>
      <c r="N49" s="18">
        <v>6</v>
      </c>
      <c r="O49" s="18" t="s">
        <v>88</v>
      </c>
      <c r="P49" s="18" t="s">
        <v>38</v>
      </c>
      <c r="Q49" s="18" t="s">
        <v>194</v>
      </c>
      <c r="R49" s="18" t="s">
        <v>59</v>
      </c>
      <c r="S49" s="18" t="s">
        <v>195</v>
      </c>
      <c r="T49" s="18" t="b">
        <v>1</v>
      </c>
      <c r="U49" s="18" t="s">
        <v>39</v>
      </c>
      <c r="V49" s="18" t="s">
        <v>40</v>
      </c>
      <c r="W49" s="18" t="s">
        <v>140</v>
      </c>
      <c r="X49" s="18" t="s">
        <v>141</v>
      </c>
      <c r="Y49" s="18">
        <v>1</v>
      </c>
      <c r="Z49" s="18">
        <v>55180</v>
      </c>
      <c r="AA49" s="31" t="s">
        <v>281</v>
      </c>
      <c r="AB49" s="18" t="s">
        <v>282</v>
      </c>
      <c r="AC49" s="18" t="s">
        <v>43</v>
      </c>
    </row>
    <row r="50" s="18" customFormat="1" spans="1:29">
      <c r="A50" s="18" t="s">
        <v>283</v>
      </c>
      <c r="B50" s="25" t="s">
        <v>283</v>
      </c>
      <c r="C50" s="26">
        <v>45663</v>
      </c>
      <c r="D50" s="18" t="s">
        <v>284</v>
      </c>
      <c r="E50" s="18" t="str">
        <f t="shared" si="0"/>
        <v>Abdul Rehman </v>
      </c>
      <c r="F50" s="27" t="e">
        <v>#N/A</v>
      </c>
      <c r="G50" s="18" t="s">
        <v>32</v>
      </c>
      <c r="H50" s="18" t="s">
        <v>33</v>
      </c>
      <c r="I50" s="18" t="s">
        <v>133</v>
      </c>
      <c r="J50" s="18" t="s">
        <v>285</v>
      </c>
      <c r="K50" s="18" t="s">
        <v>56</v>
      </c>
      <c r="L50" s="18" t="s">
        <v>36</v>
      </c>
      <c r="N50" s="18">
        <v>6</v>
      </c>
      <c r="O50" s="18" t="s">
        <v>93</v>
      </c>
      <c r="P50" s="18" t="s">
        <v>38</v>
      </c>
      <c r="Q50" s="18" t="s">
        <v>117</v>
      </c>
      <c r="R50" s="18" t="s">
        <v>59</v>
      </c>
      <c r="S50" s="18" t="s">
        <v>118</v>
      </c>
      <c r="T50" s="18" t="b">
        <v>1</v>
      </c>
      <c r="U50" s="18" t="s">
        <v>39</v>
      </c>
      <c r="V50" s="18" t="s">
        <v>40</v>
      </c>
      <c r="W50" s="18" t="s">
        <v>126</v>
      </c>
      <c r="X50" s="18" t="s">
        <v>127</v>
      </c>
      <c r="Y50" s="18">
        <v>1</v>
      </c>
      <c r="Z50" s="18">
        <v>2610</v>
      </c>
      <c r="AA50" s="18" t="s">
        <v>286</v>
      </c>
      <c r="AB50" s="18" t="s">
        <v>287</v>
      </c>
      <c r="AC50" s="18" t="e">
        <v>#N/A</v>
      </c>
    </row>
    <row r="51" s="18" customFormat="1" spans="1:29">
      <c r="A51" s="18" t="s">
        <v>288</v>
      </c>
      <c r="B51" s="25" t="s">
        <v>288</v>
      </c>
      <c r="C51" s="26">
        <v>45663</v>
      </c>
      <c r="D51" s="18" t="s">
        <v>284</v>
      </c>
      <c r="E51" s="18" t="str">
        <f t="shared" si="0"/>
        <v>Abdul Rehman </v>
      </c>
      <c r="F51" s="27" t="e">
        <v>#N/A</v>
      </c>
      <c r="G51" s="18" t="s">
        <v>32</v>
      </c>
      <c r="H51" s="18" t="s">
        <v>33</v>
      </c>
      <c r="I51" s="18" t="s">
        <v>133</v>
      </c>
      <c r="J51" s="18" t="s">
        <v>285</v>
      </c>
      <c r="K51" s="18" t="s">
        <v>56</v>
      </c>
      <c r="L51" s="18" t="s">
        <v>36</v>
      </c>
      <c r="N51" s="18">
        <v>6</v>
      </c>
      <c r="O51" s="18" t="s">
        <v>93</v>
      </c>
      <c r="P51" s="18" t="s">
        <v>38</v>
      </c>
      <c r="Q51" s="18" t="s">
        <v>117</v>
      </c>
      <c r="R51" s="18" t="s">
        <v>59</v>
      </c>
      <c r="S51" s="18" t="s">
        <v>118</v>
      </c>
      <c r="T51" s="18" t="b">
        <v>1</v>
      </c>
      <c r="U51" s="18" t="s">
        <v>39</v>
      </c>
      <c r="V51" s="18" t="s">
        <v>40</v>
      </c>
      <c r="W51" s="18" t="s">
        <v>126</v>
      </c>
      <c r="X51" s="18" t="s">
        <v>127</v>
      </c>
      <c r="Y51" s="18">
        <v>1</v>
      </c>
      <c r="Z51" s="18">
        <v>3000</v>
      </c>
      <c r="AA51" s="18" t="s">
        <v>286</v>
      </c>
      <c r="AB51" s="18" t="s">
        <v>287</v>
      </c>
      <c r="AC51" s="18" t="e">
        <v>#N/A</v>
      </c>
    </row>
    <row r="52" s="18" customFormat="1" spans="1:29">
      <c r="A52" s="18" t="s">
        <v>289</v>
      </c>
      <c r="B52" s="25" t="s">
        <v>289</v>
      </c>
      <c r="C52" s="26">
        <v>45663</v>
      </c>
      <c r="D52" s="18" t="s">
        <v>290</v>
      </c>
      <c r="E52" s="18" t="str">
        <f t="shared" si="0"/>
        <v>Navyatha Sagar D</v>
      </c>
      <c r="F52" s="27" t="s">
        <v>291</v>
      </c>
      <c r="G52" s="18" t="s">
        <v>32</v>
      </c>
      <c r="H52" s="18" t="s">
        <v>33</v>
      </c>
      <c r="I52" s="18" t="s">
        <v>159</v>
      </c>
      <c r="J52" s="18" t="s">
        <v>55</v>
      </c>
      <c r="K52" s="18" t="s">
        <v>56</v>
      </c>
      <c r="L52" s="18" t="s">
        <v>36</v>
      </c>
      <c r="N52" s="18">
        <v>6</v>
      </c>
      <c r="O52" s="18" t="s">
        <v>57</v>
      </c>
      <c r="P52" s="18" t="s">
        <v>38</v>
      </c>
      <c r="Q52" s="18" t="s">
        <v>58</v>
      </c>
      <c r="R52" s="18" t="s">
        <v>59</v>
      </c>
      <c r="S52" s="18" t="s">
        <v>60</v>
      </c>
      <c r="T52" s="18" t="b">
        <v>1</v>
      </c>
      <c r="U52" s="18" t="s">
        <v>39</v>
      </c>
      <c r="V52" s="18" t="s">
        <v>40</v>
      </c>
      <c r="W52" s="18" t="s">
        <v>292</v>
      </c>
      <c r="X52" s="18" t="s">
        <v>293</v>
      </c>
      <c r="Y52" s="18">
        <v>1</v>
      </c>
      <c r="Z52" s="18">
        <v>65000</v>
      </c>
      <c r="AA52" s="18" t="s">
        <v>294</v>
      </c>
      <c r="AB52" s="18" t="s">
        <v>295</v>
      </c>
      <c r="AC52" s="18" t="s">
        <v>43</v>
      </c>
    </row>
    <row r="53" s="18" customFormat="1" spans="1:29">
      <c r="A53" s="18" t="s">
        <v>296</v>
      </c>
      <c r="B53" s="25" t="s">
        <v>296</v>
      </c>
      <c r="C53" s="26">
        <v>45663</v>
      </c>
      <c r="D53" s="18" t="s">
        <v>297</v>
      </c>
      <c r="E53" s="18" t="str">
        <f t="shared" si="0"/>
        <v>DJ VJ Joshua</v>
      </c>
      <c r="F53" s="27" t="s">
        <v>298</v>
      </c>
      <c r="G53" s="18" t="s">
        <v>32</v>
      </c>
      <c r="H53" s="18" t="s">
        <v>33</v>
      </c>
      <c r="I53" s="18" t="s">
        <v>54</v>
      </c>
      <c r="J53" s="18" t="s">
        <v>55</v>
      </c>
      <c r="K53" s="18" t="s">
        <v>56</v>
      </c>
      <c r="L53" s="18" t="s">
        <v>36</v>
      </c>
      <c r="N53" s="18">
        <v>6</v>
      </c>
      <c r="O53" s="18" t="s">
        <v>88</v>
      </c>
      <c r="P53" s="18" t="s">
        <v>38</v>
      </c>
      <c r="Q53" s="18" t="s">
        <v>58</v>
      </c>
      <c r="R53" s="18" t="s">
        <v>59</v>
      </c>
      <c r="S53" s="18" t="s">
        <v>60</v>
      </c>
      <c r="T53" s="18" t="b">
        <v>1</v>
      </c>
      <c r="U53" s="18" t="s">
        <v>39</v>
      </c>
      <c r="V53" s="18" t="s">
        <v>40</v>
      </c>
      <c r="W53" s="18" t="s">
        <v>250</v>
      </c>
      <c r="X53" s="18" t="s">
        <v>251</v>
      </c>
      <c r="Y53" s="18">
        <v>1</v>
      </c>
      <c r="Z53" s="18">
        <v>60000</v>
      </c>
      <c r="AA53" s="18" t="s">
        <v>299</v>
      </c>
      <c r="AB53" s="18" t="s">
        <v>295</v>
      </c>
      <c r="AC53" s="18" t="s">
        <v>43</v>
      </c>
    </row>
    <row r="54" s="18" customFormat="1" spans="1:29">
      <c r="A54" s="18" t="s">
        <v>300</v>
      </c>
      <c r="B54" s="25" t="s">
        <v>300</v>
      </c>
      <c r="C54" s="26">
        <v>45663</v>
      </c>
      <c r="D54" s="18" t="s">
        <v>301</v>
      </c>
      <c r="E54" s="18" t="str">
        <f t="shared" si="0"/>
        <v>Yash Gifts</v>
      </c>
      <c r="F54" s="27" t="s">
        <v>302</v>
      </c>
      <c r="G54" s="18" t="s">
        <v>32</v>
      </c>
      <c r="H54" s="18" t="s">
        <v>33</v>
      </c>
      <c r="I54" s="18" t="s">
        <v>54</v>
      </c>
      <c r="J54" s="18" t="s">
        <v>55</v>
      </c>
      <c r="K54" s="18" t="s">
        <v>56</v>
      </c>
      <c r="L54" s="18" t="s">
        <v>36</v>
      </c>
      <c r="N54" s="18">
        <v>6</v>
      </c>
      <c r="O54" s="18" t="s">
        <v>88</v>
      </c>
      <c r="P54" s="18" t="s">
        <v>38</v>
      </c>
      <c r="Q54" s="18" t="s">
        <v>58</v>
      </c>
      <c r="R54" s="18" t="s">
        <v>59</v>
      </c>
      <c r="S54" s="18" t="s">
        <v>60</v>
      </c>
      <c r="T54" s="18" t="b">
        <v>1</v>
      </c>
      <c r="U54" s="18" t="s">
        <v>39</v>
      </c>
      <c r="V54" s="18" t="s">
        <v>40</v>
      </c>
      <c r="W54" s="18" t="s">
        <v>140</v>
      </c>
      <c r="X54" s="18" t="s">
        <v>141</v>
      </c>
      <c r="Y54" s="18">
        <v>1</v>
      </c>
      <c r="Z54" s="18">
        <v>107762</v>
      </c>
      <c r="AA54" s="18" t="s">
        <v>303</v>
      </c>
      <c r="AB54" s="18" t="s">
        <v>282</v>
      </c>
      <c r="AC54" s="18" t="s">
        <v>43</v>
      </c>
    </row>
    <row r="55" s="18" customFormat="1" spans="1:29">
      <c r="A55" s="18" t="s">
        <v>304</v>
      </c>
      <c r="B55" s="25" t="s">
        <v>304</v>
      </c>
      <c r="C55" s="26">
        <v>45663</v>
      </c>
      <c r="D55" s="18" t="s">
        <v>305</v>
      </c>
      <c r="E55" s="18" t="str">
        <f t="shared" si="0"/>
        <v>Sumair Shariff</v>
      </c>
      <c r="F55" s="27" t="s">
        <v>306</v>
      </c>
      <c r="G55" s="18" t="s">
        <v>32</v>
      </c>
      <c r="H55" s="18" t="s">
        <v>33</v>
      </c>
      <c r="I55" s="18" t="s">
        <v>54</v>
      </c>
      <c r="J55" s="18" t="s">
        <v>55</v>
      </c>
      <c r="K55" s="18" t="s">
        <v>56</v>
      </c>
      <c r="L55" s="18" t="s">
        <v>36</v>
      </c>
      <c r="N55" s="18">
        <v>6</v>
      </c>
      <c r="O55" s="18" t="s">
        <v>57</v>
      </c>
      <c r="P55" s="18" t="s">
        <v>38</v>
      </c>
      <c r="Q55" s="18" t="s">
        <v>58</v>
      </c>
      <c r="R55" s="18" t="s">
        <v>59</v>
      </c>
      <c r="S55" s="18" t="s">
        <v>60</v>
      </c>
      <c r="T55" s="18" t="b">
        <v>1</v>
      </c>
      <c r="U55" s="18" t="s">
        <v>39</v>
      </c>
      <c r="V55" s="18" t="s">
        <v>40</v>
      </c>
      <c r="W55" s="18" t="s">
        <v>292</v>
      </c>
      <c r="X55" s="18" t="s">
        <v>293</v>
      </c>
      <c r="Y55" s="18">
        <v>1</v>
      </c>
      <c r="Z55" s="18">
        <v>21500</v>
      </c>
      <c r="AA55" s="18" t="s">
        <v>303</v>
      </c>
      <c r="AB55" s="18" t="s">
        <v>282</v>
      </c>
      <c r="AC55" s="18" t="e">
        <v>#N/A</v>
      </c>
    </row>
    <row r="56" s="18" customFormat="1" spans="1:29">
      <c r="A56" s="18" t="s">
        <v>307</v>
      </c>
      <c r="B56" s="25" t="s">
        <v>307</v>
      </c>
      <c r="C56" s="26">
        <v>45663</v>
      </c>
      <c r="D56" s="18" t="s">
        <v>308</v>
      </c>
      <c r="E56" s="18" t="str">
        <f t="shared" si="0"/>
        <v>Foundsys Technologies Pvt Ltd</v>
      </c>
      <c r="F56" s="27" t="s">
        <v>309</v>
      </c>
      <c r="G56" s="18" t="s">
        <v>32</v>
      </c>
      <c r="H56" s="18" t="s">
        <v>33</v>
      </c>
      <c r="I56" s="18" t="s">
        <v>54</v>
      </c>
      <c r="J56" s="18" t="s">
        <v>310</v>
      </c>
      <c r="K56" s="18" t="s">
        <v>56</v>
      </c>
      <c r="L56" s="18" t="s">
        <v>36</v>
      </c>
      <c r="N56" s="18">
        <v>6</v>
      </c>
      <c r="O56" s="18" t="s">
        <v>88</v>
      </c>
      <c r="P56" s="18" t="s">
        <v>38</v>
      </c>
      <c r="Q56" s="18" t="s">
        <v>58</v>
      </c>
      <c r="R56" s="18" t="s">
        <v>59</v>
      </c>
      <c r="S56" s="18" t="s">
        <v>60</v>
      </c>
      <c r="T56" s="18" t="b">
        <v>1</v>
      </c>
      <c r="U56" s="18" t="s">
        <v>39</v>
      </c>
      <c r="V56" s="18" t="s">
        <v>40</v>
      </c>
      <c r="W56" s="18" t="s">
        <v>311</v>
      </c>
      <c r="X56" s="18" t="s">
        <v>95</v>
      </c>
      <c r="Y56" s="18">
        <v>1</v>
      </c>
      <c r="Z56" s="18">
        <v>25000</v>
      </c>
      <c r="AA56" s="18" t="s">
        <v>312</v>
      </c>
      <c r="AB56" s="18" t="s">
        <v>282</v>
      </c>
      <c r="AC56" s="18" t="s">
        <v>43</v>
      </c>
    </row>
    <row r="57" s="18" customFormat="1" spans="1:29">
      <c r="A57" s="18" t="s">
        <v>313</v>
      </c>
      <c r="B57" s="25" t="s">
        <v>313</v>
      </c>
      <c r="C57" s="26">
        <v>45663</v>
      </c>
      <c r="D57" s="18" t="s">
        <v>314</v>
      </c>
      <c r="E57" s="18" t="str">
        <f t="shared" si="0"/>
        <v>S R Creations</v>
      </c>
      <c r="F57" s="27" t="s">
        <v>315</v>
      </c>
      <c r="G57" s="18" t="s">
        <v>32</v>
      </c>
      <c r="H57" s="18" t="s">
        <v>33</v>
      </c>
      <c r="I57" s="18" t="s">
        <v>34</v>
      </c>
      <c r="J57" s="18" t="s">
        <v>316</v>
      </c>
      <c r="K57" s="18" t="s">
        <v>56</v>
      </c>
      <c r="L57" s="18" t="s">
        <v>36</v>
      </c>
      <c r="N57" s="18">
        <v>6</v>
      </c>
      <c r="O57" s="18" t="s">
        <v>57</v>
      </c>
      <c r="P57" s="18" t="s">
        <v>38</v>
      </c>
      <c r="Q57" s="18" t="s">
        <v>117</v>
      </c>
      <c r="R57" s="18" t="s">
        <v>59</v>
      </c>
      <c r="S57" s="18" t="s">
        <v>118</v>
      </c>
      <c r="T57" s="18" t="b">
        <v>1</v>
      </c>
      <c r="U57" s="18" t="s">
        <v>39</v>
      </c>
      <c r="V57" s="18" t="s">
        <v>40</v>
      </c>
      <c r="W57" s="18" t="s">
        <v>317</v>
      </c>
      <c r="X57" s="18" t="s">
        <v>318</v>
      </c>
      <c r="Y57" s="18">
        <v>1</v>
      </c>
      <c r="Z57" s="18">
        <v>433710</v>
      </c>
      <c r="AA57" s="18" t="s">
        <v>319</v>
      </c>
      <c r="AB57" s="18" t="s">
        <v>320</v>
      </c>
      <c r="AC57" s="18" t="s">
        <v>43</v>
      </c>
    </row>
    <row r="58" s="18" customFormat="1" spans="1:29">
      <c r="A58" s="18" t="s">
        <v>321</v>
      </c>
      <c r="B58" s="25" t="s">
        <v>321</v>
      </c>
      <c r="C58" s="26">
        <v>45663</v>
      </c>
      <c r="D58" s="18" t="s">
        <v>284</v>
      </c>
      <c r="E58" s="18" t="str">
        <f t="shared" si="0"/>
        <v>Abdul Rehman </v>
      </c>
      <c r="F58" s="27" t="e">
        <v>#N/A</v>
      </c>
      <c r="G58" s="18" t="s">
        <v>32</v>
      </c>
      <c r="H58" s="18" t="s">
        <v>33</v>
      </c>
      <c r="I58" s="18" t="s">
        <v>133</v>
      </c>
      <c r="J58" s="18" t="s">
        <v>139</v>
      </c>
      <c r="K58" s="18" t="s">
        <v>56</v>
      </c>
      <c r="L58" s="18" t="s">
        <v>36</v>
      </c>
      <c r="N58" s="18">
        <v>6</v>
      </c>
      <c r="O58" s="18" t="s">
        <v>93</v>
      </c>
      <c r="P58" s="18" t="s">
        <v>38</v>
      </c>
      <c r="Q58" s="18" t="s">
        <v>58</v>
      </c>
      <c r="R58" s="18" t="s">
        <v>59</v>
      </c>
      <c r="S58" s="18" t="s">
        <v>60</v>
      </c>
      <c r="T58" s="18" t="b">
        <v>1</v>
      </c>
      <c r="U58" s="18" t="s">
        <v>39</v>
      </c>
      <c r="V58" s="18" t="s">
        <v>40</v>
      </c>
      <c r="W58" s="18" t="s">
        <v>126</v>
      </c>
      <c r="X58" s="18" t="s">
        <v>127</v>
      </c>
      <c r="Y58" s="18">
        <v>1</v>
      </c>
      <c r="Z58" s="18">
        <v>1900</v>
      </c>
      <c r="AA58" s="18" t="s">
        <v>322</v>
      </c>
      <c r="AB58" s="18" t="s">
        <v>323</v>
      </c>
      <c r="AC58" s="18" t="e">
        <v>#N/A</v>
      </c>
    </row>
    <row r="59" s="18" customFormat="1" spans="1:29">
      <c r="A59" s="18" t="s">
        <v>324</v>
      </c>
      <c r="B59" s="25" t="s">
        <v>324</v>
      </c>
      <c r="C59" s="26">
        <v>45663</v>
      </c>
      <c r="D59" s="18" t="s">
        <v>325</v>
      </c>
      <c r="E59" s="18" t="str">
        <f t="shared" si="0"/>
        <v>Gala Event Solutions</v>
      </c>
      <c r="F59" s="27" t="s">
        <v>326</v>
      </c>
      <c r="G59" s="18" t="s">
        <v>99</v>
      </c>
      <c r="H59" s="18" t="s">
        <v>100</v>
      </c>
      <c r="I59" s="18" t="s">
        <v>34</v>
      </c>
      <c r="J59" s="18" t="s">
        <v>327</v>
      </c>
      <c r="K59" s="18" t="s">
        <v>56</v>
      </c>
      <c r="L59" s="18" t="s">
        <v>36</v>
      </c>
      <c r="N59" s="18">
        <v>6</v>
      </c>
      <c r="O59" s="18" t="s">
        <v>88</v>
      </c>
      <c r="P59" s="18" t="s">
        <v>38</v>
      </c>
      <c r="Q59" s="18" t="s">
        <v>117</v>
      </c>
      <c r="R59" s="18" t="s">
        <v>59</v>
      </c>
      <c r="S59" s="18" t="s">
        <v>186</v>
      </c>
      <c r="T59" s="18" t="b">
        <v>1</v>
      </c>
      <c r="U59" s="18" t="s">
        <v>101</v>
      </c>
      <c r="V59" s="18" t="s">
        <v>40</v>
      </c>
      <c r="W59" s="18" t="s">
        <v>317</v>
      </c>
      <c r="X59" s="18" t="s">
        <v>318</v>
      </c>
      <c r="Y59" s="18">
        <v>1</v>
      </c>
      <c r="Z59" s="18">
        <v>126940</v>
      </c>
      <c r="AA59" s="18" t="s">
        <v>328</v>
      </c>
      <c r="AB59" s="18" t="s">
        <v>329</v>
      </c>
      <c r="AC59" s="18" t="s">
        <v>111</v>
      </c>
    </row>
    <row r="60" s="18" customFormat="1" spans="1:29">
      <c r="A60" s="18" t="s">
        <v>330</v>
      </c>
      <c r="B60" s="25" t="s">
        <v>330</v>
      </c>
      <c r="C60" s="26">
        <v>45663</v>
      </c>
      <c r="D60" s="18" t="s">
        <v>331</v>
      </c>
      <c r="E60" s="18" t="str">
        <f t="shared" si="0"/>
        <v>Clinton J  for Expense</v>
      </c>
      <c r="F60" s="27" t="e">
        <v>#N/A</v>
      </c>
      <c r="G60" s="18" t="s">
        <v>99</v>
      </c>
      <c r="H60" s="18" t="s">
        <v>100</v>
      </c>
      <c r="I60" s="18" t="s">
        <v>34</v>
      </c>
      <c r="K60" s="18" t="s">
        <v>35</v>
      </c>
      <c r="L60" s="18" t="s">
        <v>36</v>
      </c>
      <c r="N60" s="18">
        <v>6</v>
      </c>
      <c r="O60" s="18" t="s">
        <v>93</v>
      </c>
      <c r="P60" s="18" t="s">
        <v>38</v>
      </c>
      <c r="T60" s="18" t="b">
        <v>1</v>
      </c>
      <c r="U60" s="18" t="s">
        <v>101</v>
      </c>
      <c r="V60" s="18" t="s">
        <v>40</v>
      </c>
      <c r="W60" s="18" t="s">
        <v>332</v>
      </c>
      <c r="X60" s="18" t="s">
        <v>333</v>
      </c>
      <c r="Y60" s="18">
        <v>1</v>
      </c>
      <c r="Z60" s="18">
        <v>2950</v>
      </c>
      <c r="AA60" s="18" t="s">
        <v>334</v>
      </c>
      <c r="AB60" s="18" t="s">
        <v>335</v>
      </c>
      <c r="AC60" s="18" t="e">
        <v>#N/A</v>
      </c>
    </row>
    <row r="61" s="18" customFormat="1" ht="29" spans="1:29">
      <c r="A61" s="18" t="s">
        <v>336</v>
      </c>
      <c r="B61" s="25" t="s">
        <v>336</v>
      </c>
      <c r="C61" s="26">
        <v>45663</v>
      </c>
      <c r="D61" s="18" t="s">
        <v>325</v>
      </c>
      <c r="E61" s="18" t="str">
        <f t="shared" si="0"/>
        <v>Gala Event Solutions</v>
      </c>
      <c r="F61" s="27" t="s">
        <v>326</v>
      </c>
      <c r="G61" s="18" t="s">
        <v>99</v>
      </c>
      <c r="H61" s="18" t="s">
        <v>100</v>
      </c>
      <c r="I61" s="18" t="s">
        <v>184</v>
      </c>
      <c r="J61" s="18" t="s">
        <v>337</v>
      </c>
      <c r="K61" s="18" t="s">
        <v>56</v>
      </c>
      <c r="L61" s="18" t="s">
        <v>36</v>
      </c>
      <c r="N61" s="18">
        <v>6</v>
      </c>
      <c r="O61" s="18" t="s">
        <v>88</v>
      </c>
      <c r="P61" s="18" t="s">
        <v>38</v>
      </c>
      <c r="Q61" s="18" t="s">
        <v>117</v>
      </c>
      <c r="R61" s="18" t="s">
        <v>59</v>
      </c>
      <c r="S61" s="18" t="s">
        <v>186</v>
      </c>
      <c r="T61" s="18" t="b">
        <v>1</v>
      </c>
      <c r="U61" s="18" t="s">
        <v>101</v>
      </c>
      <c r="V61" s="18" t="s">
        <v>40</v>
      </c>
      <c r="W61" s="18" t="s">
        <v>317</v>
      </c>
      <c r="X61" s="18" t="s">
        <v>318</v>
      </c>
      <c r="Y61" s="18">
        <v>1</v>
      </c>
      <c r="Z61" s="18">
        <v>20200</v>
      </c>
      <c r="AA61" s="31" t="s">
        <v>338</v>
      </c>
      <c r="AB61" s="18" t="s">
        <v>339</v>
      </c>
      <c r="AC61" s="18" t="s">
        <v>111</v>
      </c>
    </row>
    <row r="62" s="18" customFormat="1" spans="1:29">
      <c r="A62" s="18" t="s">
        <v>340</v>
      </c>
      <c r="B62" s="25" t="s">
        <v>340</v>
      </c>
      <c r="C62" s="26">
        <v>45663</v>
      </c>
      <c r="D62" s="18" t="s">
        <v>341</v>
      </c>
      <c r="E62" s="18" t="str">
        <f t="shared" si="0"/>
        <v>Benson Trophies And Awards</v>
      </c>
      <c r="F62" s="27" t="s">
        <v>342</v>
      </c>
      <c r="G62" s="18" t="s">
        <v>147</v>
      </c>
      <c r="H62" s="18" t="s">
        <v>148</v>
      </c>
      <c r="I62" s="18" t="s">
        <v>54</v>
      </c>
      <c r="J62" s="18" t="s">
        <v>55</v>
      </c>
      <c r="K62" s="18" t="s">
        <v>56</v>
      </c>
      <c r="L62" s="18" t="s">
        <v>36</v>
      </c>
      <c r="N62" s="18">
        <v>6</v>
      </c>
      <c r="O62" s="18" t="s">
        <v>88</v>
      </c>
      <c r="P62" s="18" t="s">
        <v>38</v>
      </c>
      <c r="Q62" s="18" t="s">
        <v>58</v>
      </c>
      <c r="R62" s="18" t="s">
        <v>59</v>
      </c>
      <c r="S62" s="18" t="s">
        <v>60</v>
      </c>
      <c r="T62" s="18" t="b">
        <v>1</v>
      </c>
      <c r="U62" s="18" t="s">
        <v>150</v>
      </c>
      <c r="V62" s="18" t="s">
        <v>40</v>
      </c>
      <c r="W62" s="18" t="s">
        <v>140</v>
      </c>
      <c r="X62" s="18" t="s">
        <v>141</v>
      </c>
      <c r="Y62" s="18">
        <v>1</v>
      </c>
      <c r="Z62" s="18">
        <v>147000</v>
      </c>
      <c r="AA62" s="18" t="s">
        <v>343</v>
      </c>
      <c r="AC62" s="18" t="s">
        <v>163</v>
      </c>
    </row>
    <row r="63" s="18" customFormat="1" spans="1:29">
      <c r="A63" s="18" t="s">
        <v>344</v>
      </c>
      <c r="B63" s="25" t="s">
        <v>344</v>
      </c>
      <c r="C63" s="26">
        <v>45663</v>
      </c>
      <c r="D63" s="18" t="s">
        <v>345</v>
      </c>
      <c r="E63" s="18" t="str">
        <f t="shared" si="0"/>
        <v>Digital Emotions Pvt Ltd</v>
      </c>
      <c r="F63" s="27" t="s">
        <v>346</v>
      </c>
      <c r="G63" s="18" t="s">
        <v>147</v>
      </c>
      <c r="H63" s="18" t="s">
        <v>148</v>
      </c>
      <c r="I63" s="18" t="s">
        <v>207</v>
      </c>
      <c r="J63" s="18" t="s">
        <v>149</v>
      </c>
      <c r="K63" s="18" t="s">
        <v>56</v>
      </c>
      <c r="L63" s="18" t="s">
        <v>36</v>
      </c>
      <c r="N63" s="18">
        <v>6</v>
      </c>
      <c r="O63" s="18" t="s">
        <v>88</v>
      </c>
      <c r="P63" s="18" t="s">
        <v>38</v>
      </c>
      <c r="Q63" s="18" t="s">
        <v>58</v>
      </c>
      <c r="R63" s="18" t="s">
        <v>59</v>
      </c>
      <c r="S63" s="18" t="s">
        <v>60</v>
      </c>
      <c r="T63" s="18" t="b">
        <v>1</v>
      </c>
      <c r="U63" s="18" t="s">
        <v>150</v>
      </c>
      <c r="V63" s="18" t="s">
        <v>40</v>
      </c>
      <c r="W63" s="18" t="s">
        <v>347</v>
      </c>
      <c r="X63" s="18" t="s">
        <v>348</v>
      </c>
      <c r="Y63" s="18">
        <v>1</v>
      </c>
      <c r="Z63" s="18">
        <v>13500</v>
      </c>
      <c r="AA63" s="18" t="s">
        <v>349</v>
      </c>
      <c r="AB63" s="18" t="s">
        <v>350</v>
      </c>
      <c r="AC63" s="18" t="s">
        <v>155</v>
      </c>
    </row>
    <row r="64" s="18" customFormat="1" spans="1:29">
      <c r="A64" s="18" t="s">
        <v>351</v>
      </c>
      <c r="B64" s="25" t="s">
        <v>351</v>
      </c>
      <c r="C64" s="26">
        <v>45663</v>
      </c>
      <c r="D64" s="18" t="s">
        <v>352</v>
      </c>
      <c r="E64" s="18" t="str">
        <f t="shared" si="0"/>
        <v>Sunil Kumar  </v>
      </c>
      <c r="F64" s="27" t="e">
        <v>#N/A</v>
      </c>
      <c r="G64" s="18" t="s">
        <v>147</v>
      </c>
      <c r="H64" s="18" t="s">
        <v>148</v>
      </c>
      <c r="I64" s="18" t="s">
        <v>207</v>
      </c>
      <c r="J64" s="18" t="s">
        <v>139</v>
      </c>
      <c r="K64" s="18" t="s">
        <v>56</v>
      </c>
      <c r="L64" s="18" t="s">
        <v>36</v>
      </c>
      <c r="N64" s="18">
        <v>6</v>
      </c>
      <c r="O64" s="18" t="s">
        <v>93</v>
      </c>
      <c r="P64" s="18" t="s">
        <v>38</v>
      </c>
      <c r="Q64" s="18" t="s">
        <v>58</v>
      </c>
      <c r="R64" s="18" t="s">
        <v>59</v>
      </c>
      <c r="S64" s="18" t="s">
        <v>60</v>
      </c>
      <c r="T64" s="18" t="b">
        <v>1</v>
      </c>
      <c r="U64" s="18" t="s">
        <v>150</v>
      </c>
      <c r="V64" s="18" t="s">
        <v>40</v>
      </c>
      <c r="W64" s="18" t="s">
        <v>126</v>
      </c>
      <c r="X64" s="18" t="s">
        <v>127</v>
      </c>
      <c r="Y64" s="18">
        <v>1</v>
      </c>
      <c r="Z64" s="18">
        <v>6120</v>
      </c>
      <c r="AA64" s="18" t="s">
        <v>353</v>
      </c>
      <c r="AB64" s="18" t="s">
        <v>354</v>
      </c>
      <c r="AC64" s="18" t="e">
        <v>#N/A</v>
      </c>
    </row>
    <row r="65" s="18" customFormat="1" spans="1:29">
      <c r="A65" s="18" t="s">
        <v>355</v>
      </c>
      <c r="B65" s="25" t="s">
        <v>355</v>
      </c>
      <c r="C65" s="26">
        <v>45663</v>
      </c>
      <c r="D65" s="18" t="s">
        <v>356</v>
      </c>
      <c r="E65" s="18" t="str">
        <f t="shared" si="0"/>
        <v>Nitin Kumar ...........  </v>
      </c>
      <c r="F65" s="27" t="e">
        <v>#N/A</v>
      </c>
      <c r="G65" s="18" t="s">
        <v>147</v>
      </c>
      <c r="H65" s="18" t="s">
        <v>148</v>
      </c>
      <c r="I65" s="18" t="s">
        <v>207</v>
      </c>
      <c r="J65" s="18" t="s">
        <v>139</v>
      </c>
      <c r="K65" s="18" t="s">
        <v>56</v>
      </c>
      <c r="L65" s="18" t="s">
        <v>36</v>
      </c>
      <c r="N65" s="18">
        <v>6</v>
      </c>
      <c r="O65" s="18" t="s">
        <v>93</v>
      </c>
      <c r="P65" s="18" t="s">
        <v>38</v>
      </c>
      <c r="Q65" s="18" t="s">
        <v>58</v>
      </c>
      <c r="R65" s="18" t="s">
        <v>59</v>
      </c>
      <c r="S65" s="18" t="s">
        <v>60</v>
      </c>
      <c r="T65" s="18" t="b">
        <v>1</v>
      </c>
      <c r="U65" s="18" t="s">
        <v>150</v>
      </c>
      <c r="V65" s="18" t="s">
        <v>40</v>
      </c>
      <c r="W65" s="18" t="s">
        <v>126</v>
      </c>
      <c r="X65" s="18" t="s">
        <v>127</v>
      </c>
      <c r="Y65" s="18">
        <v>1</v>
      </c>
      <c r="Z65" s="18">
        <v>1224</v>
      </c>
      <c r="AA65" s="18" t="s">
        <v>357</v>
      </c>
      <c r="AB65" s="18" t="s">
        <v>358</v>
      </c>
      <c r="AC65" s="18" t="e">
        <v>#N/A</v>
      </c>
    </row>
    <row r="66" s="18" customFormat="1" spans="1:29">
      <c r="A66" s="18" t="s">
        <v>359</v>
      </c>
      <c r="B66" s="25" t="s">
        <v>359</v>
      </c>
      <c r="C66" s="26">
        <v>45663</v>
      </c>
      <c r="D66" s="18" t="s">
        <v>360</v>
      </c>
      <c r="E66" s="18" t="str">
        <f t="shared" si="0"/>
        <v>Yogesh Kumar Bansal  </v>
      </c>
      <c r="F66" s="27" t="e">
        <v>#N/A</v>
      </c>
      <c r="G66" s="18" t="s">
        <v>147</v>
      </c>
      <c r="H66" s="18" t="s">
        <v>148</v>
      </c>
      <c r="I66" s="18" t="s">
        <v>207</v>
      </c>
      <c r="J66" s="18" t="s">
        <v>139</v>
      </c>
      <c r="K66" s="18" t="s">
        <v>56</v>
      </c>
      <c r="L66" s="18" t="s">
        <v>36</v>
      </c>
      <c r="N66" s="18">
        <v>6</v>
      </c>
      <c r="O66" s="18" t="s">
        <v>93</v>
      </c>
      <c r="P66" s="18" t="s">
        <v>38</v>
      </c>
      <c r="Q66" s="18" t="s">
        <v>58</v>
      </c>
      <c r="R66" s="18" t="s">
        <v>59</v>
      </c>
      <c r="S66" s="18" t="s">
        <v>60</v>
      </c>
      <c r="T66" s="18" t="b">
        <v>1</v>
      </c>
      <c r="U66" s="18" t="s">
        <v>150</v>
      </c>
      <c r="V66" s="18" t="s">
        <v>40</v>
      </c>
      <c r="W66" s="18" t="s">
        <v>126</v>
      </c>
      <c r="X66" s="18" t="s">
        <v>127</v>
      </c>
      <c r="Y66" s="18">
        <v>1</v>
      </c>
      <c r="Z66" s="18">
        <v>2139</v>
      </c>
      <c r="AA66" s="18" t="s">
        <v>361</v>
      </c>
      <c r="AB66" s="18" t="s">
        <v>362</v>
      </c>
      <c r="AC66" s="18" t="e">
        <v>#N/A</v>
      </c>
    </row>
    <row r="67" s="18" customFormat="1" spans="1:29">
      <c r="A67" s="18" t="s">
        <v>363</v>
      </c>
      <c r="B67" s="25" t="s">
        <v>363</v>
      </c>
      <c r="C67" s="26">
        <v>45663</v>
      </c>
      <c r="D67" s="18" t="s">
        <v>360</v>
      </c>
      <c r="E67" s="18" t="str">
        <f t="shared" ref="E67:E130" si="1">_xlfn.TEXTBEFORE(D67,"-")</f>
        <v>Yogesh Kumar Bansal  </v>
      </c>
      <c r="F67" s="27" t="e">
        <v>#N/A</v>
      </c>
      <c r="G67" s="18" t="s">
        <v>147</v>
      </c>
      <c r="H67" s="18" t="s">
        <v>148</v>
      </c>
      <c r="I67" s="18" t="s">
        <v>207</v>
      </c>
      <c r="J67" s="18" t="s">
        <v>139</v>
      </c>
      <c r="K67" s="18" t="s">
        <v>56</v>
      </c>
      <c r="L67" s="18" t="s">
        <v>36</v>
      </c>
      <c r="N67" s="18">
        <v>6</v>
      </c>
      <c r="O67" s="18" t="s">
        <v>93</v>
      </c>
      <c r="P67" s="18" t="s">
        <v>38</v>
      </c>
      <c r="Q67" s="18" t="s">
        <v>58</v>
      </c>
      <c r="R67" s="18" t="s">
        <v>59</v>
      </c>
      <c r="S67" s="18" t="s">
        <v>60</v>
      </c>
      <c r="T67" s="18" t="b">
        <v>1</v>
      </c>
      <c r="U67" s="18" t="s">
        <v>150</v>
      </c>
      <c r="V67" s="18" t="s">
        <v>40</v>
      </c>
      <c r="W67" s="18" t="s">
        <v>126</v>
      </c>
      <c r="X67" s="18" t="s">
        <v>127</v>
      </c>
      <c r="Y67" s="18">
        <v>1</v>
      </c>
      <c r="Z67" s="18">
        <v>941</v>
      </c>
      <c r="AA67" s="18" t="s">
        <v>361</v>
      </c>
      <c r="AB67" s="18" t="s">
        <v>362</v>
      </c>
      <c r="AC67" s="18" t="e">
        <v>#N/A</v>
      </c>
    </row>
    <row r="68" s="18" customFormat="1" spans="1:29">
      <c r="A68" s="18" t="s">
        <v>364</v>
      </c>
      <c r="B68" s="25" t="s">
        <v>364</v>
      </c>
      <c r="C68" s="26">
        <v>45663</v>
      </c>
      <c r="D68" s="18" t="s">
        <v>365</v>
      </c>
      <c r="E68" s="18" t="str">
        <f t="shared" si="1"/>
        <v>Samarth Kapoor  </v>
      </c>
      <c r="F68" s="27" t="e">
        <v>#N/A</v>
      </c>
      <c r="G68" s="18" t="s">
        <v>147</v>
      </c>
      <c r="H68" s="18" t="s">
        <v>148</v>
      </c>
      <c r="I68" s="18" t="s">
        <v>207</v>
      </c>
      <c r="J68" s="18" t="s">
        <v>139</v>
      </c>
      <c r="K68" s="18" t="s">
        <v>56</v>
      </c>
      <c r="L68" s="18" t="s">
        <v>36</v>
      </c>
      <c r="N68" s="18">
        <v>6</v>
      </c>
      <c r="O68" s="18" t="s">
        <v>93</v>
      </c>
      <c r="P68" s="18" t="s">
        <v>38</v>
      </c>
      <c r="Q68" s="18" t="s">
        <v>58</v>
      </c>
      <c r="R68" s="18" t="s">
        <v>59</v>
      </c>
      <c r="S68" s="18" t="s">
        <v>60</v>
      </c>
      <c r="T68" s="18" t="b">
        <v>1</v>
      </c>
      <c r="U68" s="18" t="s">
        <v>150</v>
      </c>
      <c r="V68" s="18" t="s">
        <v>40</v>
      </c>
      <c r="W68" s="18" t="s">
        <v>126</v>
      </c>
      <c r="X68" s="18" t="s">
        <v>127</v>
      </c>
      <c r="Y68" s="18">
        <v>1</v>
      </c>
      <c r="Z68" s="18">
        <v>2105</v>
      </c>
      <c r="AA68" s="18" t="s">
        <v>366</v>
      </c>
      <c r="AB68" s="18" t="s">
        <v>367</v>
      </c>
      <c r="AC68" s="18" t="e">
        <v>#N/A</v>
      </c>
    </row>
    <row r="69" s="18" customFormat="1" spans="1:29">
      <c r="A69" s="18" t="s">
        <v>368</v>
      </c>
      <c r="B69" s="25" t="s">
        <v>368</v>
      </c>
      <c r="C69" s="26">
        <v>45663</v>
      </c>
      <c r="D69" s="18" t="s">
        <v>369</v>
      </c>
      <c r="E69" s="18" t="str">
        <f t="shared" si="1"/>
        <v>Beats Light &amp; Sound Pvt Ltd</v>
      </c>
      <c r="F69" s="27" t="s">
        <v>370</v>
      </c>
      <c r="G69" s="18" t="s">
        <v>147</v>
      </c>
      <c r="H69" s="18" t="s">
        <v>148</v>
      </c>
      <c r="I69" s="18" t="s">
        <v>54</v>
      </c>
      <c r="J69" s="18" t="s">
        <v>149</v>
      </c>
      <c r="K69" s="18" t="s">
        <v>56</v>
      </c>
      <c r="L69" s="18" t="s">
        <v>36</v>
      </c>
      <c r="N69" s="18">
        <v>6</v>
      </c>
      <c r="O69" s="18" t="s">
        <v>88</v>
      </c>
      <c r="P69" s="18" t="s">
        <v>38</v>
      </c>
      <c r="Q69" s="18" t="s">
        <v>58</v>
      </c>
      <c r="R69" s="18" t="s">
        <v>59</v>
      </c>
      <c r="S69" s="18" t="s">
        <v>60</v>
      </c>
      <c r="T69" s="18" t="b">
        <v>1</v>
      </c>
      <c r="U69" s="18" t="s">
        <v>150</v>
      </c>
      <c r="V69" s="18" t="s">
        <v>40</v>
      </c>
      <c r="W69" s="18" t="s">
        <v>371</v>
      </c>
      <c r="X69" s="18" t="s">
        <v>372</v>
      </c>
      <c r="Y69" s="18">
        <v>1</v>
      </c>
      <c r="Z69" s="18">
        <v>2950000</v>
      </c>
      <c r="AA69" s="18" t="s">
        <v>373</v>
      </c>
      <c r="AB69" s="18" t="s">
        <v>236</v>
      </c>
      <c r="AC69" s="18" t="s">
        <v>163</v>
      </c>
    </row>
    <row r="70" s="18" customFormat="1" spans="1:29">
      <c r="A70" s="18" t="s">
        <v>374</v>
      </c>
      <c r="B70" s="25" t="s">
        <v>374</v>
      </c>
      <c r="C70" s="26">
        <v>45663</v>
      </c>
      <c r="D70" s="18" t="s">
        <v>375</v>
      </c>
      <c r="E70" s="18" t="str">
        <f t="shared" si="1"/>
        <v>Shivam Video Pvt.Ltd.</v>
      </c>
      <c r="F70" s="27" t="e">
        <v>#N/A</v>
      </c>
      <c r="G70" s="18" t="s">
        <v>147</v>
      </c>
      <c r="H70" s="18" t="s">
        <v>148</v>
      </c>
      <c r="I70" s="18" t="s">
        <v>54</v>
      </c>
      <c r="J70" s="18" t="s">
        <v>149</v>
      </c>
      <c r="K70" s="18" t="s">
        <v>56</v>
      </c>
      <c r="L70" s="18" t="s">
        <v>36</v>
      </c>
      <c r="N70" s="18">
        <v>6</v>
      </c>
      <c r="O70" s="18" t="s">
        <v>88</v>
      </c>
      <c r="P70" s="18" t="s">
        <v>38</v>
      </c>
      <c r="Q70" s="18" t="s">
        <v>58</v>
      </c>
      <c r="R70" s="18" t="s">
        <v>59</v>
      </c>
      <c r="S70" s="18" t="s">
        <v>60</v>
      </c>
      <c r="T70" s="18" t="b">
        <v>1</v>
      </c>
      <c r="U70" s="18" t="s">
        <v>150</v>
      </c>
      <c r="V70" s="18" t="s">
        <v>40</v>
      </c>
      <c r="W70" s="18" t="s">
        <v>371</v>
      </c>
      <c r="X70" s="18" t="s">
        <v>372</v>
      </c>
      <c r="Y70" s="18">
        <v>1</v>
      </c>
      <c r="Z70" s="18">
        <v>2650000</v>
      </c>
      <c r="AA70" s="18" t="s">
        <v>376</v>
      </c>
      <c r="AB70" s="18" t="s">
        <v>236</v>
      </c>
      <c r="AC70" s="18" t="s">
        <v>163</v>
      </c>
    </row>
    <row r="71" s="18" customFormat="1" spans="1:29">
      <c r="A71" s="18" t="s">
        <v>377</v>
      </c>
      <c r="B71" s="25" t="s">
        <v>377</v>
      </c>
      <c r="C71" s="26">
        <v>45663</v>
      </c>
      <c r="D71" s="18" t="s">
        <v>378</v>
      </c>
      <c r="E71" s="18" t="str">
        <f t="shared" si="1"/>
        <v>Ravi.........</v>
      </c>
      <c r="F71" s="27" t="e">
        <v>#N/A</v>
      </c>
      <c r="G71" s="18" t="s">
        <v>147</v>
      </c>
      <c r="H71" s="18" t="s">
        <v>148</v>
      </c>
      <c r="I71" s="18" t="s">
        <v>207</v>
      </c>
      <c r="J71" s="18" t="s">
        <v>139</v>
      </c>
      <c r="K71" s="18" t="s">
        <v>56</v>
      </c>
      <c r="L71" s="18" t="s">
        <v>36</v>
      </c>
      <c r="N71" s="18">
        <v>6</v>
      </c>
      <c r="O71" s="18" t="s">
        <v>93</v>
      </c>
      <c r="P71" s="18" t="s">
        <v>38</v>
      </c>
      <c r="Q71" s="18" t="s">
        <v>58</v>
      </c>
      <c r="R71" s="18" t="s">
        <v>59</v>
      </c>
      <c r="S71" s="18" t="s">
        <v>60</v>
      </c>
      <c r="T71" s="18" t="b">
        <v>1</v>
      </c>
      <c r="U71" s="18" t="s">
        <v>150</v>
      </c>
      <c r="V71" s="18" t="s">
        <v>40</v>
      </c>
      <c r="W71" s="18" t="s">
        <v>126</v>
      </c>
      <c r="X71" s="18" t="s">
        <v>127</v>
      </c>
      <c r="Y71" s="18">
        <v>1</v>
      </c>
      <c r="Z71" s="18">
        <v>694</v>
      </c>
      <c r="AA71" s="18" t="s">
        <v>379</v>
      </c>
      <c r="AC71" s="18" t="e">
        <v>#N/A</v>
      </c>
    </row>
    <row r="72" s="18" customFormat="1" spans="1:29">
      <c r="A72" s="18" t="s">
        <v>380</v>
      </c>
      <c r="B72" s="25" t="s">
        <v>380</v>
      </c>
      <c r="C72" s="26">
        <v>45663</v>
      </c>
      <c r="D72" s="18" t="s">
        <v>381</v>
      </c>
      <c r="E72" s="18" t="str">
        <f t="shared" si="1"/>
        <v>All4One Events</v>
      </c>
      <c r="F72" s="27" t="s">
        <v>382</v>
      </c>
      <c r="G72" s="18" t="s">
        <v>147</v>
      </c>
      <c r="H72" s="18" t="s">
        <v>148</v>
      </c>
      <c r="I72" s="18" t="s">
        <v>54</v>
      </c>
      <c r="J72" s="18" t="s">
        <v>149</v>
      </c>
      <c r="K72" s="18" t="s">
        <v>56</v>
      </c>
      <c r="L72" s="18" t="s">
        <v>36</v>
      </c>
      <c r="N72" s="18">
        <v>6</v>
      </c>
      <c r="O72" s="18" t="s">
        <v>88</v>
      </c>
      <c r="P72" s="18" t="s">
        <v>38</v>
      </c>
      <c r="Q72" s="18" t="s">
        <v>58</v>
      </c>
      <c r="R72" s="18" t="s">
        <v>59</v>
      </c>
      <c r="S72" s="18" t="s">
        <v>60</v>
      </c>
      <c r="T72" s="18" t="b">
        <v>1</v>
      </c>
      <c r="U72" s="18" t="s">
        <v>150</v>
      </c>
      <c r="V72" s="18" t="s">
        <v>40</v>
      </c>
      <c r="W72" s="18" t="s">
        <v>292</v>
      </c>
      <c r="X72" s="18" t="s">
        <v>293</v>
      </c>
      <c r="Y72" s="18">
        <v>1</v>
      </c>
      <c r="Z72" s="18">
        <v>1225000</v>
      </c>
      <c r="AA72" s="18" t="s">
        <v>376</v>
      </c>
      <c r="AB72" s="18" t="s">
        <v>236</v>
      </c>
      <c r="AC72" s="18" t="s">
        <v>163</v>
      </c>
    </row>
    <row r="73" s="18" customFormat="1" spans="1:29">
      <c r="A73" s="18" t="s">
        <v>383</v>
      </c>
      <c r="B73" s="25" t="s">
        <v>383</v>
      </c>
      <c r="C73" s="26">
        <v>45663</v>
      </c>
      <c r="D73" s="18" t="s">
        <v>384</v>
      </c>
      <c r="E73" s="18" t="str">
        <f t="shared" si="1"/>
        <v>Anurag Jadli  </v>
      </c>
      <c r="F73" s="27" t="e">
        <v>#N/A</v>
      </c>
      <c r="G73" s="18" t="s">
        <v>147</v>
      </c>
      <c r="H73" s="18" t="s">
        <v>148</v>
      </c>
      <c r="I73" s="18" t="s">
        <v>207</v>
      </c>
      <c r="J73" s="18" t="s">
        <v>139</v>
      </c>
      <c r="K73" s="18" t="s">
        <v>56</v>
      </c>
      <c r="L73" s="18" t="s">
        <v>36</v>
      </c>
      <c r="N73" s="18">
        <v>6</v>
      </c>
      <c r="O73" s="18" t="s">
        <v>93</v>
      </c>
      <c r="P73" s="18" t="s">
        <v>38</v>
      </c>
      <c r="Q73" s="18" t="s">
        <v>58</v>
      </c>
      <c r="R73" s="18" t="s">
        <v>59</v>
      </c>
      <c r="S73" s="18" t="s">
        <v>60</v>
      </c>
      <c r="T73" s="18" t="b">
        <v>1</v>
      </c>
      <c r="U73" s="18" t="s">
        <v>150</v>
      </c>
      <c r="V73" s="18" t="s">
        <v>40</v>
      </c>
      <c r="W73" s="18" t="s">
        <v>126</v>
      </c>
      <c r="X73" s="18" t="s">
        <v>127</v>
      </c>
      <c r="Y73" s="18">
        <v>1</v>
      </c>
      <c r="Z73" s="18">
        <v>4564</v>
      </c>
      <c r="AA73" s="18" t="s">
        <v>385</v>
      </c>
      <c r="AB73" s="18" t="s">
        <v>386</v>
      </c>
      <c r="AC73" s="18" t="e">
        <v>#N/A</v>
      </c>
    </row>
    <row r="74" s="18" customFormat="1" spans="1:29">
      <c r="A74" s="18" t="s">
        <v>387</v>
      </c>
      <c r="B74" s="25" t="s">
        <v>387</v>
      </c>
      <c r="C74" s="26">
        <v>45663</v>
      </c>
      <c r="D74" s="18" t="s">
        <v>388</v>
      </c>
      <c r="E74" s="18" t="str">
        <f t="shared" si="1"/>
        <v>Ask 4 Car Care</v>
      </c>
      <c r="F74" s="27" t="s">
        <v>389</v>
      </c>
      <c r="G74" s="18" t="s">
        <v>147</v>
      </c>
      <c r="H74" s="18" t="s">
        <v>148</v>
      </c>
      <c r="I74" s="18" t="s">
        <v>54</v>
      </c>
      <c r="J74" s="18" t="s">
        <v>149</v>
      </c>
      <c r="K74" s="18" t="s">
        <v>56</v>
      </c>
      <c r="L74" s="18" t="s">
        <v>36</v>
      </c>
      <c r="N74" s="18">
        <v>6</v>
      </c>
      <c r="O74" s="18" t="s">
        <v>88</v>
      </c>
      <c r="P74" s="18" t="s">
        <v>38</v>
      </c>
      <c r="Q74" s="18" t="s">
        <v>58</v>
      </c>
      <c r="R74" s="18" t="s">
        <v>59</v>
      </c>
      <c r="S74" s="18" t="s">
        <v>60</v>
      </c>
      <c r="T74" s="18" t="b">
        <v>1</v>
      </c>
      <c r="U74" s="18" t="s">
        <v>150</v>
      </c>
      <c r="V74" s="18" t="s">
        <v>40</v>
      </c>
      <c r="W74" s="18" t="s">
        <v>233</v>
      </c>
      <c r="X74" s="18" t="s">
        <v>234</v>
      </c>
      <c r="Y74" s="18">
        <v>1</v>
      </c>
      <c r="Z74" s="18">
        <v>366800</v>
      </c>
      <c r="AA74" s="18" t="s">
        <v>376</v>
      </c>
      <c r="AB74" s="18" t="s">
        <v>236</v>
      </c>
      <c r="AC74" s="18" t="s">
        <v>163</v>
      </c>
    </row>
    <row r="75" s="18" customFormat="1" spans="1:29">
      <c r="A75" s="18" t="s">
        <v>390</v>
      </c>
      <c r="B75" s="25" t="s">
        <v>390</v>
      </c>
      <c r="C75" s="26">
        <v>45663</v>
      </c>
      <c r="D75" s="18" t="s">
        <v>391</v>
      </c>
      <c r="E75" s="18" t="str">
        <f t="shared" si="1"/>
        <v>Shield Guard India Pvt Ltd</v>
      </c>
      <c r="F75" s="27" t="s">
        <v>392</v>
      </c>
      <c r="G75" s="18" t="s">
        <v>147</v>
      </c>
      <c r="H75" s="18" t="s">
        <v>148</v>
      </c>
      <c r="I75" s="18" t="s">
        <v>54</v>
      </c>
      <c r="J75" s="18" t="s">
        <v>149</v>
      </c>
      <c r="K75" s="18" t="s">
        <v>56</v>
      </c>
      <c r="L75" s="18" t="s">
        <v>36</v>
      </c>
      <c r="N75" s="18">
        <v>6</v>
      </c>
      <c r="O75" s="18" t="s">
        <v>88</v>
      </c>
      <c r="P75" s="18" t="s">
        <v>38</v>
      </c>
      <c r="Q75" s="18" t="s">
        <v>58</v>
      </c>
      <c r="R75" s="18" t="s">
        <v>59</v>
      </c>
      <c r="S75" s="18" t="s">
        <v>60</v>
      </c>
      <c r="T75" s="18" t="b">
        <v>1</v>
      </c>
      <c r="U75" s="18" t="s">
        <v>150</v>
      </c>
      <c r="V75" s="18" t="s">
        <v>40</v>
      </c>
      <c r="W75" s="18" t="s">
        <v>292</v>
      </c>
      <c r="X75" s="18" t="s">
        <v>293</v>
      </c>
      <c r="Y75" s="18">
        <v>1</v>
      </c>
      <c r="Z75" s="18">
        <v>689800</v>
      </c>
      <c r="AA75" s="18" t="s">
        <v>373</v>
      </c>
      <c r="AB75" s="18" t="s">
        <v>236</v>
      </c>
      <c r="AC75" s="18" t="s">
        <v>163</v>
      </c>
    </row>
    <row r="76" s="18" customFormat="1" spans="1:29">
      <c r="A76" s="18" t="s">
        <v>393</v>
      </c>
      <c r="B76" s="25" t="s">
        <v>393</v>
      </c>
      <c r="C76" s="26">
        <v>45663</v>
      </c>
      <c r="D76" s="18" t="s">
        <v>394</v>
      </c>
      <c r="E76" s="18" t="str">
        <f t="shared" si="1"/>
        <v>Kunwar Singh Chauhan  </v>
      </c>
      <c r="F76" s="27" t="e">
        <v>#N/A</v>
      </c>
      <c r="G76" s="18" t="s">
        <v>147</v>
      </c>
      <c r="H76" s="18" t="s">
        <v>148</v>
      </c>
      <c r="I76" s="18" t="s">
        <v>207</v>
      </c>
      <c r="J76" s="18" t="s">
        <v>395</v>
      </c>
      <c r="K76" s="18" t="s">
        <v>56</v>
      </c>
      <c r="L76" s="18" t="s">
        <v>36</v>
      </c>
      <c r="N76" s="18">
        <v>6</v>
      </c>
      <c r="O76" s="18" t="s">
        <v>93</v>
      </c>
      <c r="P76" s="18" t="s">
        <v>38</v>
      </c>
      <c r="Q76" s="18" t="s">
        <v>58</v>
      </c>
      <c r="R76" s="18" t="s">
        <v>59</v>
      </c>
      <c r="S76" s="18" t="s">
        <v>60</v>
      </c>
      <c r="T76" s="18" t="b">
        <v>1</v>
      </c>
      <c r="U76" s="18" t="s">
        <v>150</v>
      </c>
      <c r="V76" s="18" t="s">
        <v>40</v>
      </c>
      <c r="W76" s="18" t="s">
        <v>126</v>
      </c>
      <c r="X76" s="18" t="s">
        <v>127</v>
      </c>
      <c r="Y76" s="18">
        <v>1</v>
      </c>
      <c r="Z76" s="18">
        <v>10895</v>
      </c>
      <c r="AA76" s="18" t="s">
        <v>396</v>
      </c>
      <c r="AB76" s="18" t="s">
        <v>397</v>
      </c>
      <c r="AC76" s="18" t="e">
        <v>#N/A</v>
      </c>
    </row>
    <row r="77" s="18" customFormat="1" spans="1:29">
      <c r="A77" s="18" t="s">
        <v>393</v>
      </c>
      <c r="B77" s="25" t="s">
        <v>393</v>
      </c>
      <c r="C77" s="26">
        <v>45663</v>
      </c>
      <c r="D77" s="18" t="s">
        <v>394</v>
      </c>
      <c r="E77" s="18" t="str">
        <f t="shared" si="1"/>
        <v>Kunwar Singh Chauhan  </v>
      </c>
      <c r="F77" s="27" t="e">
        <v>#N/A</v>
      </c>
      <c r="G77" s="18" t="s">
        <v>147</v>
      </c>
      <c r="H77" s="18" t="s">
        <v>148</v>
      </c>
      <c r="I77" s="18" t="s">
        <v>207</v>
      </c>
      <c r="J77" s="18" t="s">
        <v>395</v>
      </c>
      <c r="K77" s="18" t="s">
        <v>56</v>
      </c>
      <c r="L77" s="18" t="s">
        <v>36</v>
      </c>
      <c r="N77" s="18">
        <v>6</v>
      </c>
      <c r="O77" s="18" t="s">
        <v>93</v>
      </c>
      <c r="P77" s="18" t="s">
        <v>38</v>
      </c>
      <c r="Q77" s="18" t="s">
        <v>58</v>
      </c>
      <c r="R77" s="18" t="s">
        <v>59</v>
      </c>
      <c r="S77" s="18" t="s">
        <v>60</v>
      </c>
      <c r="T77" s="18" t="b">
        <v>1</v>
      </c>
      <c r="U77" s="18" t="s">
        <v>150</v>
      </c>
      <c r="V77" s="18" t="s">
        <v>40</v>
      </c>
      <c r="W77" s="18" t="s">
        <v>126</v>
      </c>
      <c r="X77" s="18" t="s">
        <v>127</v>
      </c>
      <c r="Y77" s="18">
        <v>1</v>
      </c>
      <c r="Z77" s="18">
        <v>10895</v>
      </c>
      <c r="AA77" s="18" t="s">
        <v>396</v>
      </c>
      <c r="AB77" s="18" t="s">
        <v>397</v>
      </c>
      <c r="AC77" s="18" t="e">
        <v>#N/A</v>
      </c>
    </row>
    <row r="78" s="18" customFormat="1" spans="1:29">
      <c r="A78" s="18" t="s">
        <v>398</v>
      </c>
      <c r="B78" s="25" t="s">
        <v>398</v>
      </c>
      <c r="C78" s="26">
        <v>45663</v>
      </c>
      <c r="D78" s="18" t="s">
        <v>399</v>
      </c>
      <c r="E78" s="18" t="str">
        <f t="shared" si="1"/>
        <v>Bodhi Tree Entertainment</v>
      </c>
      <c r="F78" s="27" t="s">
        <v>400</v>
      </c>
      <c r="G78" s="18" t="s">
        <v>147</v>
      </c>
      <c r="H78" s="18" t="s">
        <v>148</v>
      </c>
      <c r="I78" s="18" t="s">
        <v>54</v>
      </c>
      <c r="J78" s="18" t="s">
        <v>149</v>
      </c>
      <c r="K78" s="18" t="s">
        <v>56</v>
      </c>
      <c r="L78" s="18" t="s">
        <v>36</v>
      </c>
      <c r="N78" s="18">
        <v>6</v>
      </c>
      <c r="O78" s="18" t="s">
        <v>88</v>
      </c>
      <c r="P78" s="18" t="s">
        <v>38</v>
      </c>
      <c r="Q78" s="18" t="s">
        <v>58</v>
      </c>
      <c r="R78" s="18" t="s">
        <v>59</v>
      </c>
      <c r="S78" s="18" t="s">
        <v>60</v>
      </c>
      <c r="T78" s="18" t="b">
        <v>1</v>
      </c>
      <c r="U78" s="18" t="s">
        <v>150</v>
      </c>
      <c r="V78" s="18" t="s">
        <v>40</v>
      </c>
      <c r="W78" s="18" t="s">
        <v>401</v>
      </c>
      <c r="X78" s="18" t="s">
        <v>402</v>
      </c>
      <c r="Y78" s="18">
        <v>1</v>
      </c>
      <c r="Z78" s="18">
        <v>305000</v>
      </c>
      <c r="AA78" s="18" t="s">
        <v>376</v>
      </c>
      <c r="AB78" s="18" t="s">
        <v>236</v>
      </c>
      <c r="AC78" s="18" t="s">
        <v>163</v>
      </c>
    </row>
    <row r="79" s="18" customFormat="1" spans="1:29">
      <c r="A79" s="18" t="s">
        <v>403</v>
      </c>
      <c r="B79" s="25" t="s">
        <v>403</v>
      </c>
      <c r="C79" s="26">
        <v>45663</v>
      </c>
      <c r="D79" s="18" t="s">
        <v>404</v>
      </c>
      <c r="E79" s="18" t="str">
        <f t="shared" si="1"/>
        <v>Raghav Bhardwaj  </v>
      </c>
      <c r="F79" s="27" t="e">
        <v>#N/A</v>
      </c>
      <c r="G79" s="18" t="s">
        <v>147</v>
      </c>
      <c r="H79" s="18" t="s">
        <v>148</v>
      </c>
      <c r="I79" s="18" t="s">
        <v>207</v>
      </c>
      <c r="J79" s="18" t="s">
        <v>395</v>
      </c>
      <c r="K79" s="18" t="s">
        <v>56</v>
      </c>
      <c r="L79" s="18" t="s">
        <v>36</v>
      </c>
      <c r="N79" s="18">
        <v>6</v>
      </c>
      <c r="O79" s="18" t="s">
        <v>93</v>
      </c>
      <c r="P79" s="18" t="s">
        <v>38</v>
      </c>
      <c r="Q79" s="18" t="s">
        <v>58</v>
      </c>
      <c r="R79" s="18" t="s">
        <v>59</v>
      </c>
      <c r="S79" s="18" t="s">
        <v>60</v>
      </c>
      <c r="T79" s="18" t="b">
        <v>1</v>
      </c>
      <c r="U79" s="18" t="s">
        <v>150</v>
      </c>
      <c r="V79" s="18" t="s">
        <v>40</v>
      </c>
      <c r="W79" s="18" t="s">
        <v>126</v>
      </c>
      <c r="X79" s="18" t="s">
        <v>127</v>
      </c>
      <c r="Y79" s="18">
        <v>1</v>
      </c>
      <c r="Z79" s="18">
        <v>2777</v>
      </c>
      <c r="AA79" s="18" t="s">
        <v>405</v>
      </c>
      <c r="AB79" s="18" t="s">
        <v>406</v>
      </c>
      <c r="AC79" s="18" t="e">
        <v>#N/A</v>
      </c>
    </row>
    <row r="80" s="18" customFormat="1" spans="1:29">
      <c r="A80" s="18" t="s">
        <v>403</v>
      </c>
      <c r="B80" s="25" t="s">
        <v>403</v>
      </c>
      <c r="C80" s="26">
        <v>45663</v>
      </c>
      <c r="D80" s="18" t="s">
        <v>404</v>
      </c>
      <c r="E80" s="18" t="str">
        <f t="shared" si="1"/>
        <v>Raghav Bhardwaj  </v>
      </c>
      <c r="F80" s="27" t="e">
        <v>#N/A</v>
      </c>
      <c r="G80" s="18" t="s">
        <v>147</v>
      </c>
      <c r="H80" s="18" t="s">
        <v>148</v>
      </c>
      <c r="I80" s="18" t="s">
        <v>207</v>
      </c>
      <c r="J80" s="18" t="s">
        <v>395</v>
      </c>
      <c r="K80" s="18" t="s">
        <v>56</v>
      </c>
      <c r="L80" s="18" t="s">
        <v>36</v>
      </c>
      <c r="N80" s="18">
        <v>6</v>
      </c>
      <c r="O80" s="18" t="s">
        <v>93</v>
      </c>
      <c r="P80" s="18" t="s">
        <v>38</v>
      </c>
      <c r="Q80" s="18" t="s">
        <v>58</v>
      </c>
      <c r="R80" s="18" t="s">
        <v>59</v>
      </c>
      <c r="S80" s="18" t="s">
        <v>60</v>
      </c>
      <c r="T80" s="18" t="b">
        <v>1</v>
      </c>
      <c r="U80" s="18" t="s">
        <v>150</v>
      </c>
      <c r="V80" s="18" t="s">
        <v>40</v>
      </c>
      <c r="W80" s="18" t="s">
        <v>126</v>
      </c>
      <c r="X80" s="18" t="s">
        <v>127</v>
      </c>
      <c r="Y80" s="18">
        <v>1</v>
      </c>
      <c r="Z80" s="18">
        <v>2777</v>
      </c>
      <c r="AA80" s="18" t="s">
        <v>405</v>
      </c>
      <c r="AB80" s="18" t="s">
        <v>406</v>
      </c>
      <c r="AC80" s="18" t="e">
        <v>#N/A</v>
      </c>
    </row>
    <row r="81" s="18" customFormat="1" spans="1:29">
      <c r="A81" s="18" t="s">
        <v>407</v>
      </c>
      <c r="B81" s="25" t="s">
        <v>407</v>
      </c>
      <c r="C81" s="26">
        <v>45663</v>
      </c>
      <c r="D81" s="18" t="s">
        <v>408</v>
      </c>
      <c r="E81" s="18" t="str">
        <f t="shared" si="1"/>
        <v>Webcontxt India Pvt Ltd</v>
      </c>
      <c r="F81" s="27" t="s">
        <v>409</v>
      </c>
      <c r="G81" s="18" t="s">
        <v>147</v>
      </c>
      <c r="H81" s="18" t="s">
        <v>148</v>
      </c>
      <c r="I81" s="18" t="s">
        <v>54</v>
      </c>
      <c r="J81" s="18" t="s">
        <v>149</v>
      </c>
      <c r="K81" s="18" t="s">
        <v>56</v>
      </c>
      <c r="L81" s="18" t="s">
        <v>36</v>
      </c>
      <c r="N81" s="18">
        <v>6</v>
      </c>
      <c r="O81" s="18" t="s">
        <v>88</v>
      </c>
      <c r="P81" s="18" t="s">
        <v>38</v>
      </c>
      <c r="Q81" s="18" t="s">
        <v>58</v>
      </c>
      <c r="R81" s="18" t="s">
        <v>59</v>
      </c>
      <c r="S81" s="18" t="s">
        <v>60</v>
      </c>
      <c r="T81" s="18" t="b">
        <v>1</v>
      </c>
      <c r="U81" s="18" t="s">
        <v>150</v>
      </c>
      <c r="V81" s="18" t="s">
        <v>40</v>
      </c>
      <c r="W81" s="18" t="s">
        <v>347</v>
      </c>
      <c r="X81" s="18" t="s">
        <v>348</v>
      </c>
      <c r="Y81" s="18">
        <v>1</v>
      </c>
      <c r="Z81" s="18">
        <v>700000</v>
      </c>
      <c r="AA81" s="18" t="s">
        <v>376</v>
      </c>
      <c r="AB81" s="18" t="s">
        <v>236</v>
      </c>
      <c r="AC81" s="18" t="s">
        <v>155</v>
      </c>
    </row>
    <row r="82" s="18" customFormat="1" spans="1:29">
      <c r="A82" s="18" t="s">
        <v>410</v>
      </c>
      <c r="B82" s="25" t="s">
        <v>410</v>
      </c>
      <c r="C82" s="26">
        <v>45663</v>
      </c>
      <c r="D82" s="18" t="s">
        <v>411</v>
      </c>
      <c r="E82" s="18" t="str">
        <f t="shared" si="1"/>
        <v>Vijender  </v>
      </c>
      <c r="F82" s="27" t="e">
        <v>#N/A</v>
      </c>
      <c r="G82" s="18" t="s">
        <v>147</v>
      </c>
      <c r="H82" s="18" t="s">
        <v>148</v>
      </c>
      <c r="I82" s="18" t="s">
        <v>207</v>
      </c>
      <c r="J82" s="18" t="s">
        <v>395</v>
      </c>
      <c r="K82" s="18" t="s">
        <v>56</v>
      </c>
      <c r="L82" s="18" t="s">
        <v>36</v>
      </c>
      <c r="N82" s="18">
        <v>6</v>
      </c>
      <c r="O82" s="18" t="s">
        <v>93</v>
      </c>
      <c r="P82" s="18" t="s">
        <v>38</v>
      </c>
      <c r="Q82" s="18" t="s">
        <v>58</v>
      </c>
      <c r="R82" s="18" t="s">
        <v>59</v>
      </c>
      <c r="S82" s="18" t="s">
        <v>60</v>
      </c>
      <c r="T82" s="18" t="b">
        <v>1</v>
      </c>
      <c r="U82" s="18" t="s">
        <v>150</v>
      </c>
      <c r="V82" s="18" t="s">
        <v>40</v>
      </c>
      <c r="W82" s="18" t="s">
        <v>412</v>
      </c>
      <c r="X82" s="18" t="s">
        <v>413</v>
      </c>
      <c r="Y82" s="18">
        <v>1</v>
      </c>
      <c r="Z82" s="18">
        <v>1870</v>
      </c>
      <c r="AA82" s="18" t="s">
        <v>414</v>
      </c>
      <c r="AB82" s="18" t="s">
        <v>415</v>
      </c>
      <c r="AC82" s="18" t="e">
        <v>#N/A</v>
      </c>
    </row>
    <row r="83" s="18" customFormat="1" spans="1:29">
      <c r="A83" s="18" t="s">
        <v>416</v>
      </c>
      <c r="B83" s="25" t="s">
        <v>416</v>
      </c>
      <c r="C83" s="26">
        <v>45663</v>
      </c>
      <c r="D83" s="18" t="s">
        <v>417</v>
      </c>
      <c r="E83" s="18" t="str">
        <f t="shared" si="1"/>
        <v>Brief Cab</v>
      </c>
      <c r="F83" s="27" t="s">
        <v>418</v>
      </c>
      <c r="G83" s="18" t="s">
        <v>147</v>
      </c>
      <c r="H83" s="18" t="s">
        <v>148</v>
      </c>
      <c r="I83" s="18" t="s">
        <v>54</v>
      </c>
      <c r="J83" s="18" t="s">
        <v>149</v>
      </c>
      <c r="K83" s="18" t="s">
        <v>56</v>
      </c>
      <c r="L83" s="18" t="s">
        <v>36</v>
      </c>
      <c r="N83" s="18">
        <v>6</v>
      </c>
      <c r="O83" s="18" t="s">
        <v>88</v>
      </c>
      <c r="P83" s="18" t="s">
        <v>38</v>
      </c>
      <c r="Q83" s="18" t="s">
        <v>58</v>
      </c>
      <c r="R83" s="18" t="s">
        <v>59</v>
      </c>
      <c r="S83" s="18" t="s">
        <v>60</v>
      </c>
      <c r="T83" s="18" t="b">
        <v>1</v>
      </c>
      <c r="U83" s="18" t="s">
        <v>150</v>
      </c>
      <c r="V83" s="18" t="s">
        <v>40</v>
      </c>
      <c r="W83" s="18" t="s">
        <v>347</v>
      </c>
      <c r="X83" s="18" t="s">
        <v>348</v>
      </c>
      <c r="Y83" s="18">
        <v>1</v>
      </c>
      <c r="Z83" s="18">
        <v>280000</v>
      </c>
      <c r="AA83" s="18" t="s">
        <v>376</v>
      </c>
      <c r="AB83" s="18" t="s">
        <v>236</v>
      </c>
      <c r="AC83" s="18" t="s">
        <v>155</v>
      </c>
    </row>
    <row r="84" s="18" customFormat="1" spans="1:29">
      <c r="A84" s="18" t="s">
        <v>419</v>
      </c>
      <c r="B84" s="25" t="s">
        <v>419</v>
      </c>
      <c r="C84" s="26">
        <v>45663</v>
      </c>
      <c r="D84" s="18" t="s">
        <v>420</v>
      </c>
      <c r="E84" s="18" t="str">
        <f t="shared" si="1"/>
        <v>Keshav Sargur  </v>
      </c>
      <c r="F84" s="27" t="e">
        <v>#N/A</v>
      </c>
      <c r="G84" s="18" t="s">
        <v>147</v>
      </c>
      <c r="H84" s="18" t="s">
        <v>148</v>
      </c>
      <c r="I84" s="18" t="s">
        <v>207</v>
      </c>
      <c r="J84" s="18" t="s">
        <v>395</v>
      </c>
      <c r="K84" s="18" t="s">
        <v>56</v>
      </c>
      <c r="L84" s="18" t="s">
        <v>36</v>
      </c>
      <c r="N84" s="18">
        <v>6</v>
      </c>
      <c r="O84" s="18" t="s">
        <v>93</v>
      </c>
      <c r="P84" s="18" t="s">
        <v>38</v>
      </c>
      <c r="Q84" s="18" t="s">
        <v>58</v>
      </c>
      <c r="R84" s="18" t="s">
        <v>59</v>
      </c>
      <c r="S84" s="18" t="s">
        <v>60</v>
      </c>
      <c r="T84" s="18" t="b">
        <v>1</v>
      </c>
      <c r="U84" s="18" t="s">
        <v>150</v>
      </c>
      <c r="V84" s="18" t="s">
        <v>40</v>
      </c>
      <c r="W84" s="18" t="s">
        <v>126</v>
      </c>
      <c r="X84" s="18" t="s">
        <v>127</v>
      </c>
      <c r="Y84" s="18">
        <v>1</v>
      </c>
      <c r="Z84" s="18">
        <v>652</v>
      </c>
      <c r="AA84" s="18" t="s">
        <v>421</v>
      </c>
      <c r="AB84" s="18" t="s">
        <v>422</v>
      </c>
      <c r="AC84" s="18" t="e">
        <v>#N/A</v>
      </c>
    </row>
    <row r="85" s="18" customFormat="1" spans="1:29">
      <c r="A85" s="18" t="s">
        <v>423</v>
      </c>
      <c r="B85" s="25" t="s">
        <v>423</v>
      </c>
      <c r="C85" s="26">
        <v>45663</v>
      </c>
      <c r="D85" s="18" t="s">
        <v>424</v>
      </c>
      <c r="E85" s="18" t="str">
        <f t="shared" si="1"/>
        <v>Minter Cstech Pvt.Ltd.</v>
      </c>
      <c r="F85" s="27" t="e">
        <v>#N/A</v>
      </c>
      <c r="G85" s="18" t="s">
        <v>147</v>
      </c>
      <c r="H85" s="18" t="s">
        <v>148</v>
      </c>
      <c r="I85" s="18" t="s">
        <v>54</v>
      </c>
      <c r="J85" s="18" t="s">
        <v>149</v>
      </c>
      <c r="K85" s="18" t="s">
        <v>56</v>
      </c>
      <c r="L85" s="18" t="s">
        <v>36</v>
      </c>
      <c r="N85" s="18">
        <v>6</v>
      </c>
      <c r="O85" s="18" t="s">
        <v>88</v>
      </c>
      <c r="P85" s="18" t="s">
        <v>38</v>
      </c>
      <c r="Q85" s="18" t="s">
        <v>58</v>
      </c>
      <c r="R85" s="18" t="s">
        <v>59</v>
      </c>
      <c r="S85" s="18" t="s">
        <v>60</v>
      </c>
      <c r="T85" s="18" t="b">
        <v>1</v>
      </c>
      <c r="U85" s="18" t="s">
        <v>150</v>
      </c>
      <c r="V85" s="18" t="s">
        <v>40</v>
      </c>
      <c r="W85" s="18" t="s">
        <v>371</v>
      </c>
      <c r="X85" s="18" t="s">
        <v>372</v>
      </c>
      <c r="Y85" s="18">
        <v>1</v>
      </c>
      <c r="Z85" s="18">
        <v>105000</v>
      </c>
      <c r="AA85" s="18" t="s">
        <v>376</v>
      </c>
      <c r="AB85" s="18" t="s">
        <v>236</v>
      </c>
      <c r="AC85" s="18" t="s">
        <v>163</v>
      </c>
    </row>
    <row r="86" s="18" customFormat="1" spans="1:29">
      <c r="A86" s="18" t="s">
        <v>425</v>
      </c>
      <c r="B86" s="25" t="s">
        <v>425</v>
      </c>
      <c r="C86" s="26">
        <v>45663</v>
      </c>
      <c r="D86" s="18" t="s">
        <v>426</v>
      </c>
      <c r="E86" s="18" t="str">
        <f t="shared" si="1"/>
        <v>Garv Aggarwal  </v>
      </c>
      <c r="F86" s="27" t="e">
        <v>#N/A</v>
      </c>
      <c r="G86" s="18" t="s">
        <v>147</v>
      </c>
      <c r="H86" s="18" t="s">
        <v>148</v>
      </c>
      <c r="I86" s="18" t="s">
        <v>207</v>
      </c>
      <c r="J86" s="18" t="s">
        <v>55</v>
      </c>
      <c r="K86" s="18" t="s">
        <v>56</v>
      </c>
      <c r="L86" s="18" t="s">
        <v>36</v>
      </c>
      <c r="N86" s="18">
        <v>6</v>
      </c>
      <c r="O86" s="18" t="s">
        <v>93</v>
      </c>
      <c r="P86" s="18" t="s">
        <v>38</v>
      </c>
      <c r="Q86" s="18" t="s">
        <v>58</v>
      </c>
      <c r="R86" s="18" t="s">
        <v>59</v>
      </c>
      <c r="S86" s="18" t="s">
        <v>60</v>
      </c>
      <c r="T86" s="18" t="b">
        <v>1</v>
      </c>
      <c r="U86" s="18" t="s">
        <v>150</v>
      </c>
      <c r="V86" s="18" t="s">
        <v>40</v>
      </c>
      <c r="W86" s="18" t="s">
        <v>126</v>
      </c>
      <c r="X86" s="18" t="s">
        <v>127</v>
      </c>
      <c r="Y86" s="18">
        <v>1</v>
      </c>
      <c r="Z86" s="18">
        <v>5713</v>
      </c>
      <c r="AA86" s="18" t="s">
        <v>427</v>
      </c>
      <c r="AB86" s="18" t="s">
        <v>428</v>
      </c>
      <c r="AC86" s="18" t="e">
        <v>#N/A</v>
      </c>
    </row>
    <row r="87" s="18" customFormat="1" spans="1:29">
      <c r="A87" s="18" t="s">
        <v>429</v>
      </c>
      <c r="B87" s="25" t="s">
        <v>429</v>
      </c>
      <c r="C87" s="26">
        <v>45663</v>
      </c>
      <c r="D87" s="18" t="s">
        <v>426</v>
      </c>
      <c r="E87" s="18" t="str">
        <f t="shared" si="1"/>
        <v>Garv Aggarwal  </v>
      </c>
      <c r="F87" s="27" t="e">
        <v>#N/A</v>
      </c>
      <c r="G87" s="18" t="s">
        <v>147</v>
      </c>
      <c r="H87" s="18" t="s">
        <v>148</v>
      </c>
      <c r="I87" s="18" t="s">
        <v>207</v>
      </c>
      <c r="J87" s="18" t="s">
        <v>55</v>
      </c>
      <c r="K87" s="18" t="s">
        <v>56</v>
      </c>
      <c r="L87" s="18" t="s">
        <v>36</v>
      </c>
      <c r="N87" s="18">
        <v>6</v>
      </c>
      <c r="O87" s="18" t="s">
        <v>93</v>
      </c>
      <c r="P87" s="18" t="s">
        <v>38</v>
      </c>
      <c r="Q87" s="18" t="s">
        <v>58</v>
      </c>
      <c r="R87" s="18" t="s">
        <v>59</v>
      </c>
      <c r="S87" s="18" t="s">
        <v>60</v>
      </c>
      <c r="T87" s="18" t="b">
        <v>1</v>
      </c>
      <c r="U87" s="18" t="s">
        <v>150</v>
      </c>
      <c r="V87" s="18" t="s">
        <v>40</v>
      </c>
      <c r="W87" s="18" t="s">
        <v>412</v>
      </c>
      <c r="X87" s="18" t="s">
        <v>413</v>
      </c>
      <c r="Y87" s="18">
        <v>1</v>
      </c>
      <c r="Z87" s="18">
        <v>1142</v>
      </c>
      <c r="AA87" s="18" t="s">
        <v>427</v>
      </c>
      <c r="AB87" s="18" t="s">
        <v>428</v>
      </c>
      <c r="AC87" s="18" t="e">
        <v>#N/A</v>
      </c>
    </row>
    <row r="88" s="18" customFormat="1" spans="1:29">
      <c r="A88" s="18" t="s">
        <v>430</v>
      </c>
      <c r="B88" s="25" t="s">
        <v>430</v>
      </c>
      <c r="C88" s="26">
        <v>45663</v>
      </c>
      <c r="D88" s="18" t="s">
        <v>431</v>
      </c>
      <c r="E88" s="18" t="str">
        <f t="shared" si="1"/>
        <v>Prachi Signal  </v>
      </c>
      <c r="F88" s="27" t="e">
        <v>#N/A</v>
      </c>
      <c r="G88" s="18" t="s">
        <v>147</v>
      </c>
      <c r="H88" s="18" t="s">
        <v>148</v>
      </c>
      <c r="I88" s="18" t="s">
        <v>207</v>
      </c>
      <c r="J88" s="18" t="s">
        <v>55</v>
      </c>
      <c r="K88" s="18" t="s">
        <v>56</v>
      </c>
      <c r="L88" s="18" t="s">
        <v>36</v>
      </c>
      <c r="N88" s="18">
        <v>6</v>
      </c>
      <c r="O88" s="18" t="s">
        <v>93</v>
      </c>
      <c r="P88" s="18" t="s">
        <v>38</v>
      </c>
      <c r="Q88" s="18" t="s">
        <v>58</v>
      </c>
      <c r="R88" s="18" t="s">
        <v>59</v>
      </c>
      <c r="S88" s="18" t="s">
        <v>60</v>
      </c>
      <c r="T88" s="18" t="b">
        <v>1</v>
      </c>
      <c r="U88" s="18" t="s">
        <v>150</v>
      </c>
      <c r="V88" s="18" t="s">
        <v>40</v>
      </c>
      <c r="W88" s="18" t="s">
        <v>412</v>
      </c>
      <c r="X88" s="18" t="s">
        <v>413</v>
      </c>
      <c r="Y88" s="18">
        <v>1</v>
      </c>
      <c r="Z88" s="18">
        <v>100</v>
      </c>
      <c r="AA88" s="18" t="s">
        <v>432</v>
      </c>
      <c r="AB88" s="18" t="s">
        <v>433</v>
      </c>
      <c r="AC88" s="18" t="e">
        <v>#N/A</v>
      </c>
    </row>
    <row r="89" s="18" customFormat="1" spans="1:29">
      <c r="A89" s="18" t="s">
        <v>434</v>
      </c>
      <c r="B89" s="25" t="s">
        <v>434</v>
      </c>
      <c r="C89" s="26">
        <v>45663</v>
      </c>
      <c r="D89" s="18" t="s">
        <v>435</v>
      </c>
      <c r="E89" s="18" t="str">
        <f t="shared" si="1"/>
        <v>Garnertech Innovation Pvt Ltd</v>
      </c>
      <c r="F89" s="27" t="s">
        <v>436</v>
      </c>
      <c r="G89" s="18" t="s">
        <v>147</v>
      </c>
      <c r="H89" s="18" t="s">
        <v>148</v>
      </c>
      <c r="I89" s="18" t="s">
        <v>54</v>
      </c>
      <c r="J89" s="18" t="s">
        <v>149</v>
      </c>
      <c r="K89" s="18" t="s">
        <v>56</v>
      </c>
      <c r="L89" s="18" t="s">
        <v>36</v>
      </c>
      <c r="N89" s="18">
        <v>6</v>
      </c>
      <c r="O89" s="18" t="s">
        <v>88</v>
      </c>
      <c r="P89" s="18" t="s">
        <v>38</v>
      </c>
      <c r="Q89" s="18" t="s">
        <v>58</v>
      </c>
      <c r="R89" s="18" t="s">
        <v>59</v>
      </c>
      <c r="S89" s="18" t="s">
        <v>60</v>
      </c>
      <c r="T89" s="18" t="b">
        <v>1</v>
      </c>
      <c r="U89" s="18" t="s">
        <v>150</v>
      </c>
      <c r="V89" s="18" t="s">
        <v>40</v>
      </c>
      <c r="W89" s="18" t="s">
        <v>371</v>
      </c>
      <c r="X89" s="18" t="s">
        <v>372</v>
      </c>
      <c r="Y89" s="18">
        <v>1</v>
      </c>
      <c r="Z89" s="18">
        <v>200000</v>
      </c>
      <c r="AA89" s="18" t="s">
        <v>376</v>
      </c>
      <c r="AB89" s="18" t="s">
        <v>236</v>
      </c>
      <c r="AC89" s="18" t="s">
        <v>163</v>
      </c>
    </row>
    <row r="90" s="18" customFormat="1" spans="1:29">
      <c r="A90" s="18" t="s">
        <v>437</v>
      </c>
      <c r="B90" s="25" t="s">
        <v>437</v>
      </c>
      <c r="C90" s="26">
        <v>45663</v>
      </c>
      <c r="D90" s="18" t="s">
        <v>431</v>
      </c>
      <c r="E90" s="18" t="str">
        <f t="shared" si="1"/>
        <v>Prachi Signal  </v>
      </c>
      <c r="F90" s="27" t="e">
        <v>#N/A</v>
      </c>
      <c r="G90" s="18" t="s">
        <v>147</v>
      </c>
      <c r="H90" s="18" t="s">
        <v>148</v>
      </c>
      <c r="I90" s="18" t="s">
        <v>207</v>
      </c>
      <c r="J90" s="18" t="s">
        <v>55</v>
      </c>
      <c r="K90" s="18" t="s">
        <v>56</v>
      </c>
      <c r="L90" s="18" t="s">
        <v>36</v>
      </c>
      <c r="N90" s="18">
        <v>6</v>
      </c>
      <c r="O90" s="18" t="s">
        <v>93</v>
      </c>
      <c r="P90" s="18" t="s">
        <v>38</v>
      </c>
      <c r="Q90" s="18" t="s">
        <v>58</v>
      </c>
      <c r="R90" s="18" t="s">
        <v>59</v>
      </c>
      <c r="S90" s="18" t="s">
        <v>60</v>
      </c>
      <c r="T90" s="18" t="b">
        <v>1</v>
      </c>
      <c r="U90" s="18" t="s">
        <v>150</v>
      </c>
      <c r="V90" s="18" t="s">
        <v>40</v>
      </c>
      <c r="W90" s="18" t="s">
        <v>126</v>
      </c>
      <c r="X90" s="18" t="s">
        <v>127</v>
      </c>
      <c r="Y90" s="18">
        <v>1</v>
      </c>
      <c r="Z90" s="18">
        <v>617</v>
      </c>
      <c r="AA90" s="18" t="s">
        <v>432</v>
      </c>
      <c r="AB90" s="18" t="s">
        <v>433</v>
      </c>
      <c r="AC90" s="18" t="e">
        <v>#N/A</v>
      </c>
    </row>
    <row r="91" s="18" customFormat="1" spans="1:29">
      <c r="A91" s="18" t="s">
        <v>438</v>
      </c>
      <c r="B91" s="25" t="s">
        <v>438</v>
      </c>
      <c r="C91" s="26">
        <v>45663</v>
      </c>
      <c r="D91" s="18" t="s">
        <v>439</v>
      </c>
      <c r="E91" s="18" t="str">
        <f t="shared" si="1"/>
        <v>Priyanka Nagi  </v>
      </c>
      <c r="F91" s="27" t="e">
        <v>#N/A</v>
      </c>
      <c r="G91" s="18" t="s">
        <v>147</v>
      </c>
      <c r="H91" s="18" t="s">
        <v>148</v>
      </c>
      <c r="I91" s="18" t="s">
        <v>207</v>
      </c>
      <c r="J91" s="18" t="s">
        <v>310</v>
      </c>
      <c r="K91" s="18" t="s">
        <v>56</v>
      </c>
      <c r="L91" s="18" t="s">
        <v>36</v>
      </c>
      <c r="N91" s="18">
        <v>6</v>
      </c>
      <c r="O91" s="18" t="s">
        <v>93</v>
      </c>
      <c r="P91" s="18" t="s">
        <v>38</v>
      </c>
      <c r="Q91" s="18" t="s">
        <v>58</v>
      </c>
      <c r="R91" s="18" t="s">
        <v>59</v>
      </c>
      <c r="S91" s="18" t="s">
        <v>60</v>
      </c>
      <c r="T91" s="18" t="b">
        <v>1</v>
      </c>
      <c r="U91" s="18" t="s">
        <v>150</v>
      </c>
      <c r="V91" s="18" t="s">
        <v>40</v>
      </c>
      <c r="W91" s="18" t="s">
        <v>126</v>
      </c>
      <c r="X91" s="18" t="s">
        <v>127</v>
      </c>
      <c r="Y91" s="18">
        <v>1</v>
      </c>
      <c r="Z91" s="18">
        <v>2078</v>
      </c>
      <c r="AA91" s="18" t="s">
        <v>440</v>
      </c>
      <c r="AB91" s="18" t="s">
        <v>441</v>
      </c>
      <c r="AC91" s="18" t="e">
        <v>#N/A</v>
      </c>
    </row>
    <row r="92" s="18" customFormat="1" spans="1:29">
      <c r="A92" s="18" t="s">
        <v>442</v>
      </c>
      <c r="B92" s="25" t="s">
        <v>442</v>
      </c>
      <c r="C92" s="26">
        <v>45663</v>
      </c>
      <c r="D92" s="18" t="s">
        <v>443</v>
      </c>
      <c r="E92" s="18" t="str">
        <f t="shared" si="1"/>
        <v>Sadika Madan  </v>
      </c>
      <c r="F92" s="27" t="e">
        <v>#N/A</v>
      </c>
      <c r="G92" s="18" t="s">
        <v>147</v>
      </c>
      <c r="H92" s="18" t="s">
        <v>148</v>
      </c>
      <c r="I92" s="18" t="s">
        <v>207</v>
      </c>
      <c r="J92" s="18" t="s">
        <v>149</v>
      </c>
      <c r="K92" s="18" t="s">
        <v>56</v>
      </c>
      <c r="L92" s="18" t="s">
        <v>36</v>
      </c>
      <c r="N92" s="18">
        <v>6</v>
      </c>
      <c r="O92" s="18" t="s">
        <v>93</v>
      </c>
      <c r="P92" s="18" t="s">
        <v>38</v>
      </c>
      <c r="Q92" s="18" t="s">
        <v>58</v>
      </c>
      <c r="R92" s="18" t="s">
        <v>59</v>
      </c>
      <c r="S92" s="18" t="s">
        <v>60</v>
      </c>
      <c r="T92" s="18" t="b">
        <v>1</v>
      </c>
      <c r="U92" s="18" t="s">
        <v>150</v>
      </c>
      <c r="V92" s="18" t="s">
        <v>40</v>
      </c>
      <c r="W92" s="18" t="s">
        <v>126</v>
      </c>
      <c r="X92" s="18" t="s">
        <v>127</v>
      </c>
      <c r="Y92" s="18">
        <v>1</v>
      </c>
      <c r="Z92" s="18">
        <v>6592</v>
      </c>
      <c r="AA92" s="18" t="s">
        <v>444</v>
      </c>
      <c r="AB92" s="18" t="e">
        <v>#N/A</v>
      </c>
      <c r="AC92" s="18" t="e">
        <v>#N/A</v>
      </c>
    </row>
    <row r="93" s="18" customFormat="1" spans="1:29">
      <c r="A93" s="18" t="s">
        <v>445</v>
      </c>
      <c r="B93" s="25" t="s">
        <v>445</v>
      </c>
      <c r="C93" s="26">
        <v>45663</v>
      </c>
      <c r="D93" s="18" t="s">
        <v>394</v>
      </c>
      <c r="E93" s="18" t="str">
        <f t="shared" si="1"/>
        <v>Kunwar Singh Chauhan  </v>
      </c>
      <c r="F93" s="27" t="e">
        <v>#N/A</v>
      </c>
      <c r="G93" s="18" t="s">
        <v>147</v>
      </c>
      <c r="H93" s="18" t="s">
        <v>148</v>
      </c>
      <c r="I93" s="18" t="s">
        <v>207</v>
      </c>
      <c r="J93" s="18" t="s">
        <v>149</v>
      </c>
      <c r="K93" s="18" t="s">
        <v>56</v>
      </c>
      <c r="L93" s="18" t="s">
        <v>36</v>
      </c>
      <c r="N93" s="18">
        <v>6</v>
      </c>
      <c r="O93" s="18" t="s">
        <v>93</v>
      </c>
      <c r="P93" s="18" t="s">
        <v>38</v>
      </c>
      <c r="Q93" s="18" t="s">
        <v>58</v>
      </c>
      <c r="R93" s="18" t="s">
        <v>59</v>
      </c>
      <c r="S93" s="18" t="s">
        <v>60</v>
      </c>
      <c r="T93" s="18" t="b">
        <v>1</v>
      </c>
      <c r="U93" s="18" t="s">
        <v>150</v>
      </c>
      <c r="V93" s="18" t="s">
        <v>40</v>
      </c>
      <c r="W93" s="18" t="s">
        <v>233</v>
      </c>
      <c r="X93" s="18" t="s">
        <v>234</v>
      </c>
      <c r="Y93" s="18">
        <v>1</v>
      </c>
      <c r="Z93" s="18">
        <v>9250</v>
      </c>
      <c r="AA93" s="18" t="s">
        <v>396</v>
      </c>
      <c r="AB93" s="18" t="s">
        <v>397</v>
      </c>
      <c r="AC93" s="18" t="e">
        <v>#N/A</v>
      </c>
    </row>
    <row r="94" s="18" customFormat="1" spans="1:29">
      <c r="A94" s="18" t="s">
        <v>446</v>
      </c>
      <c r="B94" s="25" t="s">
        <v>446</v>
      </c>
      <c r="C94" s="26">
        <v>45663</v>
      </c>
      <c r="D94" s="18" t="s">
        <v>394</v>
      </c>
      <c r="E94" s="18" t="str">
        <f t="shared" si="1"/>
        <v>Kunwar Singh Chauhan  </v>
      </c>
      <c r="F94" s="27" t="e">
        <v>#N/A</v>
      </c>
      <c r="G94" s="18" t="s">
        <v>147</v>
      </c>
      <c r="H94" s="18" t="s">
        <v>148</v>
      </c>
      <c r="I94" s="18" t="s">
        <v>207</v>
      </c>
      <c r="J94" s="18" t="s">
        <v>149</v>
      </c>
      <c r="K94" s="18" t="s">
        <v>56</v>
      </c>
      <c r="L94" s="18" t="s">
        <v>36</v>
      </c>
      <c r="N94" s="18">
        <v>6</v>
      </c>
      <c r="O94" s="18" t="s">
        <v>93</v>
      </c>
      <c r="P94" s="18" t="s">
        <v>38</v>
      </c>
      <c r="Q94" s="18" t="s">
        <v>58</v>
      </c>
      <c r="R94" s="18" t="s">
        <v>59</v>
      </c>
      <c r="S94" s="18" t="s">
        <v>60</v>
      </c>
      <c r="T94" s="18" t="b">
        <v>1</v>
      </c>
      <c r="U94" s="18" t="s">
        <v>150</v>
      </c>
      <c r="V94" s="18" t="s">
        <v>40</v>
      </c>
      <c r="W94" s="18" t="s">
        <v>126</v>
      </c>
      <c r="X94" s="18" t="s">
        <v>127</v>
      </c>
      <c r="Y94" s="18">
        <v>1</v>
      </c>
      <c r="Z94" s="18">
        <v>2230</v>
      </c>
      <c r="AA94" s="18" t="s">
        <v>396</v>
      </c>
      <c r="AB94" s="18" t="s">
        <v>397</v>
      </c>
      <c r="AC94" s="18" t="e">
        <v>#N/A</v>
      </c>
    </row>
    <row r="95" s="18" customFormat="1" spans="1:29">
      <c r="A95" s="18" t="s">
        <v>447</v>
      </c>
      <c r="B95" s="25" t="s">
        <v>447</v>
      </c>
      <c r="C95" s="26">
        <v>45663</v>
      </c>
      <c r="D95" s="18" t="s">
        <v>394</v>
      </c>
      <c r="E95" s="18" t="str">
        <f t="shared" si="1"/>
        <v>Kunwar Singh Chauhan  </v>
      </c>
      <c r="F95" s="27" t="e">
        <v>#N/A</v>
      </c>
      <c r="G95" s="18" t="s">
        <v>147</v>
      </c>
      <c r="H95" s="18" t="s">
        <v>148</v>
      </c>
      <c r="I95" s="18" t="s">
        <v>207</v>
      </c>
      <c r="J95" s="18" t="s">
        <v>149</v>
      </c>
      <c r="K95" s="18" t="s">
        <v>56</v>
      </c>
      <c r="L95" s="18" t="s">
        <v>36</v>
      </c>
      <c r="N95" s="18">
        <v>6</v>
      </c>
      <c r="O95" s="18" t="s">
        <v>93</v>
      </c>
      <c r="P95" s="18" t="s">
        <v>38</v>
      </c>
      <c r="Q95" s="18" t="s">
        <v>58</v>
      </c>
      <c r="R95" s="18" t="s">
        <v>59</v>
      </c>
      <c r="S95" s="18" t="s">
        <v>60</v>
      </c>
      <c r="T95" s="18" t="b">
        <v>1</v>
      </c>
      <c r="U95" s="18" t="s">
        <v>150</v>
      </c>
      <c r="V95" s="18" t="s">
        <v>40</v>
      </c>
      <c r="W95" s="18" t="s">
        <v>412</v>
      </c>
      <c r="X95" s="18" t="s">
        <v>413</v>
      </c>
      <c r="Y95" s="18">
        <v>1</v>
      </c>
      <c r="Z95" s="18">
        <v>670</v>
      </c>
      <c r="AA95" s="18" t="s">
        <v>396</v>
      </c>
      <c r="AB95" s="18" t="s">
        <v>397</v>
      </c>
      <c r="AC95" s="18" t="e">
        <v>#N/A</v>
      </c>
    </row>
    <row r="96" s="18" customFormat="1" spans="1:29">
      <c r="A96" s="18" t="s">
        <v>448</v>
      </c>
      <c r="B96" s="25" t="s">
        <v>448</v>
      </c>
      <c r="C96" s="26">
        <v>45663</v>
      </c>
      <c r="D96" s="18" t="s">
        <v>394</v>
      </c>
      <c r="E96" s="18" t="str">
        <f t="shared" si="1"/>
        <v>Kunwar Singh Chauhan  </v>
      </c>
      <c r="F96" s="27" t="e">
        <v>#N/A</v>
      </c>
      <c r="G96" s="18" t="s">
        <v>147</v>
      </c>
      <c r="H96" s="18" t="s">
        <v>148</v>
      </c>
      <c r="I96" s="18" t="s">
        <v>207</v>
      </c>
      <c r="J96" s="18" t="s">
        <v>149</v>
      </c>
      <c r="K96" s="18" t="s">
        <v>56</v>
      </c>
      <c r="L96" s="18" t="s">
        <v>36</v>
      </c>
      <c r="N96" s="18">
        <v>6</v>
      </c>
      <c r="O96" s="18" t="s">
        <v>93</v>
      </c>
      <c r="P96" s="18" t="s">
        <v>38</v>
      </c>
      <c r="Q96" s="18" t="s">
        <v>58</v>
      </c>
      <c r="R96" s="18" t="s">
        <v>59</v>
      </c>
      <c r="S96" s="18" t="s">
        <v>60</v>
      </c>
      <c r="T96" s="18" t="b">
        <v>1</v>
      </c>
      <c r="U96" s="18" t="s">
        <v>150</v>
      </c>
      <c r="V96" s="18" t="s">
        <v>40</v>
      </c>
      <c r="W96" s="18" t="s">
        <v>126</v>
      </c>
      <c r="X96" s="18" t="s">
        <v>127</v>
      </c>
      <c r="Y96" s="18">
        <v>1</v>
      </c>
      <c r="Z96" s="18">
        <v>2070</v>
      </c>
      <c r="AA96" s="18" t="s">
        <v>396</v>
      </c>
      <c r="AB96" s="18" t="s">
        <v>397</v>
      </c>
      <c r="AC96" s="18" t="e">
        <v>#N/A</v>
      </c>
    </row>
    <row r="97" s="18" customFormat="1" spans="1:29">
      <c r="A97" s="18" t="s">
        <v>449</v>
      </c>
      <c r="B97" s="25" t="s">
        <v>449</v>
      </c>
      <c r="C97" s="26">
        <v>45663</v>
      </c>
      <c r="D97" s="18" t="s">
        <v>394</v>
      </c>
      <c r="E97" s="18" t="str">
        <f t="shared" si="1"/>
        <v>Kunwar Singh Chauhan  </v>
      </c>
      <c r="F97" s="27" t="e">
        <v>#N/A</v>
      </c>
      <c r="G97" s="18" t="s">
        <v>147</v>
      </c>
      <c r="H97" s="18" t="s">
        <v>148</v>
      </c>
      <c r="I97" s="18" t="s">
        <v>207</v>
      </c>
      <c r="J97" s="18" t="s">
        <v>149</v>
      </c>
      <c r="K97" s="18" t="s">
        <v>56</v>
      </c>
      <c r="L97" s="18" t="s">
        <v>36</v>
      </c>
      <c r="N97" s="18">
        <v>6</v>
      </c>
      <c r="O97" s="18" t="s">
        <v>93</v>
      </c>
      <c r="P97" s="18" t="s">
        <v>38</v>
      </c>
      <c r="Q97" s="18" t="s">
        <v>58</v>
      </c>
      <c r="R97" s="18" t="s">
        <v>59</v>
      </c>
      <c r="S97" s="18" t="s">
        <v>60</v>
      </c>
      <c r="T97" s="18" t="b">
        <v>1</v>
      </c>
      <c r="U97" s="18" t="s">
        <v>150</v>
      </c>
      <c r="V97" s="18" t="s">
        <v>40</v>
      </c>
      <c r="W97" s="18" t="s">
        <v>126</v>
      </c>
      <c r="X97" s="18" t="s">
        <v>127</v>
      </c>
      <c r="Y97" s="18">
        <v>1</v>
      </c>
      <c r="Z97" s="18">
        <v>3900</v>
      </c>
      <c r="AA97" s="18" t="s">
        <v>396</v>
      </c>
      <c r="AB97" s="18" t="s">
        <v>397</v>
      </c>
      <c r="AC97" s="18" t="e">
        <v>#N/A</v>
      </c>
    </row>
    <row r="98" s="18" customFormat="1" spans="1:29">
      <c r="A98" s="18" t="s">
        <v>450</v>
      </c>
      <c r="B98" s="25" t="s">
        <v>450</v>
      </c>
      <c r="C98" s="26">
        <v>45663</v>
      </c>
      <c r="D98" s="18" t="s">
        <v>451</v>
      </c>
      <c r="E98" s="18" t="str">
        <f t="shared" si="1"/>
        <v>Ajeet Singh  </v>
      </c>
      <c r="F98" s="27" t="s">
        <v>452</v>
      </c>
      <c r="G98" s="18" t="s">
        <v>147</v>
      </c>
      <c r="H98" s="18" t="s">
        <v>148</v>
      </c>
      <c r="I98" s="18" t="s">
        <v>207</v>
      </c>
      <c r="J98" s="18" t="s">
        <v>149</v>
      </c>
      <c r="K98" s="18" t="s">
        <v>56</v>
      </c>
      <c r="L98" s="18" t="s">
        <v>36</v>
      </c>
      <c r="N98" s="18">
        <v>6</v>
      </c>
      <c r="O98" s="18" t="s">
        <v>93</v>
      </c>
      <c r="P98" s="18" t="s">
        <v>38</v>
      </c>
      <c r="Q98" s="18" t="s">
        <v>58</v>
      </c>
      <c r="R98" s="18" t="s">
        <v>59</v>
      </c>
      <c r="S98" s="18" t="s">
        <v>60</v>
      </c>
      <c r="T98" s="18" t="b">
        <v>1</v>
      </c>
      <c r="U98" s="18" t="s">
        <v>150</v>
      </c>
      <c r="V98" s="18" t="s">
        <v>40</v>
      </c>
      <c r="W98" s="18" t="s">
        <v>126</v>
      </c>
      <c r="X98" s="18" t="s">
        <v>127</v>
      </c>
      <c r="Y98" s="18">
        <v>1</v>
      </c>
      <c r="Z98" s="18">
        <v>4083</v>
      </c>
      <c r="AA98" s="18" t="s">
        <v>453</v>
      </c>
      <c r="AB98" s="18" t="s">
        <v>454</v>
      </c>
      <c r="AC98" s="18" t="e">
        <v>#N/A</v>
      </c>
    </row>
    <row r="99" s="18" customFormat="1" spans="1:29">
      <c r="A99" s="18" t="s">
        <v>455</v>
      </c>
      <c r="B99" s="25" t="s">
        <v>455</v>
      </c>
      <c r="C99" s="26">
        <v>45663</v>
      </c>
      <c r="D99" s="18" t="s">
        <v>456</v>
      </c>
      <c r="E99" s="18" t="str">
        <f t="shared" si="1"/>
        <v>Sidhant Saxena.....</v>
      </c>
      <c r="F99" s="27" t="e">
        <v>#N/A</v>
      </c>
      <c r="G99" s="18" t="s">
        <v>147</v>
      </c>
      <c r="H99" s="18" t="s">
        <v>148</v>
      </c>
      <c r="I99" s="18" t="s">
        <v>207</v>
      </c>
      <c r="J99" s="18" t="s">
        <v>149</v>
      </c>
      <c r="K99" s="18" t="s">
        <v>56</v>
      </c>
      <c r="L99" s="18" t="s">
        <v>36</v>
      </c>
      <c r="N99" s="18">
        <v>6</v>
      </c>
      <c r="O99" s="18" t="s">
        <v>93</v>
      </c>
      <c r="P99" s="18" t="s">
        <v>38</v>
      </c>
      <c r="Q99" s="18" t="s">
        <v>58</v>
      </c>
      <c r="R99" s="18" t="s">
        <v>59</v>
      </c>
      <c r="S99" s="18" t="s">
        <v>60</v>
      </c>
      <c r="T99" s="18" t="b">
        <v>1</v>
      </c>
      <c r="U99" s="18" t="s">
        <v>150</v>
      </c>
      <c r="V99" s="18" t="s">
        <v>40</v>
      </c>
      <c r="W99" s="18" t="s">
        <v>126</v>
      </c>
      <c r="X99" s="18" t="s">
        <v>127</v>
      </c>
      <c r="Y99" s="18">
        <v>1</v>
      </c>
      <c r="Z99" s="18">
        <v>9144</v>
      </c>
      <c r="AA99" s="18" t="s">
        <v>457</v>
      </c>
      <c r="AB99" s="18" t="s">
        <v>458</v>
      </c>
      <c r="AC99" s="18" t="e">
        <v>#N/A</v>
      </c>
    </row>
    <row r="100" s="18" customFormat="1" spans="1:29">
      <c r="A100" s="18" t="s">
        <v>459</v>
      </c>
      <c r="B100" s="25" t="s">
        <v>459</v>
      </c>
      <c r="C100" s="26">
        <v>45663</v>
      </c>
      <c r="D100" s="18" t="s">
        <v>460</v>
      </c>
      <c r="E100" s="18" t="str">
        <f t="shared" si="1"/>
        <v>Innovative Gifting Solutions</v>
      </c>
      <c r="F100" s="27" t="s">
        <v>461</v>
      </c>
      <c r="G100" s="18" t="s">
        <v>147</v>
      </c>
      <c r="H100" s="18" t="s">
        <v>148</v>
      </c>
      <c r="I100" s="18" t="s">
        <v>54</v>
      </c>
      <c r="J100" s="18" t="s">
        <v>462</v>
      </c>
      <c r="K100" s="18" t="s">
        <v>56</v>
      </c>
      <c r="L100" s="18" t="s">
        <v>36</v>
      </c>
      <c r="N100" s="18">
        <v>6</v>
      </c>
      <c r="O100" s="18" t="s">
        <v>57</v>
      </c>
      <c r="P100" s="18" t="s">
        <v>38</v>
      </c>
      <c r="Q100" s="18" t="s">
        <v>58</v>
      </c>
      <c r="R100" s="18" t="s">
        <v>59</v>
      </c>
      <c r="S100" s="18" t="s">
        <v>60</v>
      </c>
      <c r="T100" s="18" t="b">
        <v>1</v>
      </c>
      <c r="U100" s="18" t="s">
        <v>150</v>
      </c>
      <c r="V100" s="18" t="s">
        <v>40</v>
      </c>
      <c r="W100" s="18" t="s">
        <v>140</v>
      </c>
      <c r="X100" s="18" t="s">
        <v>141</v>
      </c>
      <c r="Y100" s="18">
        <v>1</v>
      </c>
      <c r="Z100" s="18">
        <v>870000</v>
      </c>
      <c r="AA100" s="18" t="s">
        <v>463</v>
      </c>
      <c r="AB100" s="18" t="s">
        <v>464</v>
      </c>
      <c r="AC100" s="18" t="s">
        <v>163</v>
      </c>
    </row>
    <row r="101" s="18" customFormat="1" spans="1:29">
      <c r="A101" s="18" t="s">
        <v>465</v>
      </c>
      <c r="B101" s="25" t="s">
        <v>465</v>
      </c>
      <c r="C101" s="26">
        <v>45663</v>
      </c>
      <c r="D101" s="18" t="s">
        <v>424</v>
      </c>
      <c r="E101" s="18" t="str">
        <f t="shared" si="1"/>
        <v>Minter Cstech Pvt.Ltd.</v>
      </c>
      <c r="F101" s="27" t="e">
        <v>#N/A</v>
      </c>
      <c r="G101" s="18" t="s">
        <v>147</v>
      </c>
      <c r="H101" s="18" t="s">
        <v>148</v>
      </c>
      <c r="I101" s="18" t="s">
        <v>159</v>
      </c>
      <c r="J101" s="18" t="s">
        <v>466</v>
      </c>
      <c r="K101" s="18" t="s">
        <v>56</v>
      </c>
      <c r="L101" s="18" t="s">
        <v>36</v>
      </c>
      <c r="N101" s="18">
        <v>6</v>
      </c>
      <c r="O101" s="18" t="s">
        <v>88</v>
      </c>
      <c r="P101" s="18" t="s">
        <v>38</v>
      </c>
      <c r="Q101" s="18" t="s">
        <v>58</v>
      </c>
      <c r="R101" s="18" t="s">
        <v>59</v>
      </c>
      <c r="S101" s="18" t="s">
        <v>60</v>
      </c>
      <c r="T101" s="18" t="b">
        <v>1</v>
      </c>
      <c r="U101" s="18" t="s">
        <v>150</v>
      </c>
      <c r="V101" s="18" t="s">
        <v>40</v>
      </c>
      <c r="W101" s="18" t="s">
        <v>371</v>
      </c>
      <c r="X101" s="18" t="s">
        <v>372</v>
      </c>
      <c r="Y101" s="18">
        <v>1</v>
      </c>
      <c r="Z101" s="18">
        <v>90000</v>
      </c>
      <c r="AA101" s="18" t="s">
        <v>176</v>
      </c>
      <c r="AB101" s="18" t="s">
        <v>173</v>
      </c>
      <c r="AC101" s="18" t="s">
        <v>163</v>
      </c>
    </row>
    <row r="102" s="18" customFormat="1" spans="1:29">
      <c r="A102" s="18" t="s">
        <v>467</v>
      </c>
      <c r="B102" s="25" t="s">
        <v>467</v>
      </c>
      <c r="C102" s="26">
        <v>45663</v>
      </c>
      <c r="D102" s="18" t="s">
        <v>468</v>
      </c>
      <c r="E102" s="18" t="str">
        <f t="shared" si="1"/>
        <v>Sanjay Dutt Dobriyal  </v>
      </c>
      <c r="F102" s="27" t="e">
        <v>#N/A</v>
      </c>
      <c r="G102" s="18" t="s">
        <v>147</v>
      </c>
      <c r="H102" s="18" t="s">
        <v>148</v>
      </c>
      <c r="I102" s="18" t="s">
        <v>54</v>
      </c>
      <c r="J102" s="18" t="s">
        <v>149</v>
      </c>
      <c r="K102" s="18" t="s">
        <v>56</v>
      </c>
      <c r="L102" s="18" t="s">
        <v>36</v>
      </c>
      <c r="N102" s="18">
        <v>6</v>
      </c>
      <c r="O102" s="18" t="s">
        <v>93</v>
      </c>
      <c r="P102" s="18" t="s">
        <v>38</v>
      </c>
      <c r="Q102" s="18" t="s">
        <v>58</v>
      </c>
      <c r="R102" s="18" t="s">
        <v>59</v>
      </c>
      <c r="S102" s="18" t="s">
        <v>60</v>
      </c>
      <c r="T102" s="18" t="b">
        <v>1</v>
      </c>
      <c r="U102" s="18" t="s">
        <v>150</v>
      </c>
      <c r="V102" s="18" t="s">
        <v>40</v>
      </c>
      <c r="W102" s="18" t="s">
        <v>412</v>
      </c>
      <c r="X102" s="18" t="s">
        <v>413</v>
      </c>
      <c r="Y102" s="18">
        <v>1</v>
      </c>
      <c r="Z102" s="18">
        <v>850</v>
      </c>
      <c r="AA102" s="18" t="s">
        <v>469</v>
      </c>
      <c r="AB102" s="18" t="s">
        <v>470</v>
      </c>
      <c r="AC102" s="18" t="e">
        <v>#N/A</v>
      </c>
    </row>
    <row r="103" s="18" customFormat="1" spans="1:29">
      <c r="A103" s="18" t="s">
        <v>471</v>
      </c>
      <c r="B103" s="25" t="s">
        <v>471</v>
      </c>
      <c r="C103" s="26">
        <v>45663</v>
      </c>
      <c r="D103" s="18" t="s">
        <v>472</v>
      </c>
      <c r="E103" s="18" t="e">
        <f t="shared" si="1"/>
        <v>#N/A</v>
      </c>
      <c r="F103" s="27" t="e">
        <v>#N/A</v>
      </c>
      <c r="G103" s="18" t="s">
        <v>182</v>
      </c>
      <c r="H103" s="18" t="s">
        <v>473</v>
      </c>
      <c r="I103" s="18" t="s">
        <v>184</v>
      </c>
      <c r="K103" s="18" t="s">
        <v>35</v>
      </c>
      <c r="L103" s="18" t="s">
        <v>36</v>
      </c>
      <c r="N103" s="18">
        <v>6</v>
      </c>
      <c r="P103" s="18" t="s">
        <v>38</v>
      </c>
      <c r="T103" s="18" t="b">
        <v>0</v>
      </c>
      <c r="U103" s="18" t="s">
        <v>187</v>
      </c>
      <c r="V103" s="18" t="s">
        <v>40</v>
      </c>
      <c r="W103" s="18" t="e">
        <v>#N/A</v>
      </c>
      <c r="X103" s="18" t="e">
        <v>#N/A</v>
      </c>
      <c r="Y103" s="18" t="e">
        <v>#N/A</v>
      </c>
      <c r="Z103" s="18" t="e">
        <v>#N/A</v>
      </c>
      <c r="AC103" s="18" t="e">
        <v>#N/A</v>
      </c>
    </row>
    <row r="104" s="19" customFormat="1" ht="29" spans="1:29">
      <c r="A104" s="19" t="s">
        <v>474</v>
      </c>
      <c r="B104" s="28" t="s">
        <v>474</v>
      </c>
      <c r="C104" s="29">
        <v>45663</v>
      </c>
      <c r="D104" s="19" t="s">
        <v>475</v>
      </c>
      <c r="E104" s="19" t="str">
        <f t="shared" si="1"/>
        <v>Ventura Lifestyles Pvt Ltd</v>
      </c>
      <c r="F104" s="30" t="s">
        <v>476</v>
      </c>
      <c r="G104" s="19" t="s">
        <v>182</v>
      </c>
      <c r="H104" s="19" t="s">
        <v>473</v>
      </c>
      <c r="I104" s="19" t="s">
        <v>184</v>
      </c>
      <c r="K104" s="19" t="s">
        <v>35</v>
      </c>
      <c r="L104" s="19" t="s">
        <v>36</v>
      </c>
      <c r="N104" s="19">
        <v>6</v>
      </c>
      <c r="O104" s="19" t="s">
        <v>88</v>
      </c>
      <c r="P104" s="19" t="s">
        <v>38</v>
      </c>
      <c r="T104" s="19" t="b">
        <v>0</v>
      </c>
      <c r="U104" s="19" t="s">
        <v>187</v>
      </c>
      <c r="V104" s="19" t="s">
        <v>40</v>
      </c>
      <c r="W104" s="19" t="s">
        <v>477</v>
      </c>
      <c r="X104" s="19" t="e">
        <v>#N/A</v>
      </c>
      <c r="Y104" s="19">
        <v>1</v>
      </c>
      <c r="Z104" s="19">
        <v>6000</v>
      </c>
      <c r="AA104" s="32" t="s">
        <v>478</v>
      </c>
      <c r="AB104" s="19" t="s">
        <v>335</v>
      </c>
      <c r="AC104" s="19" t="s">
        <v>200</v>
      </c>
    </row>
    <row r="105" s="18" customFormat="1" spans="1:29">
      <c r="A105" s="18" t="s">
        <v>479</v>
      </c>
      <c r="B105" s="25" t="s">
        <v>479</v>
      </c>
      <c r="C105" s="26">
        <v>45663</v>
      </c>
      <c r="D105" s="18" t="s">
        <v>480</v>
      </c>
      <c r="E105" s="18" t="str">
        <f t="shared" si="1"/>
        <v>Manoj Chaudhari  </v>
      </c>
      <c r="F105" s="27" t="e">
        <v>#N/A</v>
      </c>
      <c r="G105" s="18" t="s">
        <v>182</v>
      </c>
      <c r="H105" s="18" t="s">
        <v>183</v>
      </c>
      <c r="I105" s="18" t="s">
        <v>481</v>
      </c>
      <c r="J105" s="18" t="s">
        <v>193</v>
      </c>
      <c r="K105" s="18" t="s">
        <v>56</v>
      </c>
      <c r="L105" s="18" t="s">
        <v>36</v>
      </c>
      <c r="N105" s="18">
        <v>6</v>
      </c>
      <c r="O105" s="18" t="s">
        <v>93</v>
      </c>
      <c r="P105" s="18" t="s">
        <v>38</v>
      </c>
      <c r="Q105" s="18" t="s">
        <v>194</v>
      </c>
      <c r="R105" s="18" t="s">
        <v>59</v>
      </c>
      <c r="S105" s="18" t="s">
        <v>195</v>
      </c>
      <c r="T105" s="18" t="b">
        <v>0</v>
      </c>
      <c r="U105" s="18" t="s">
        <v>187</v>
      </c>
      <c r="V105" s="18" t="s">
        <v>40</v>
      </c>
      <c r="W105" s="18" t="s">
        <v>126</v>
      </c>
      <c r="X105" s="18" t="s">
        <v>127</v>
      </c>
      <c r="Y105" s="18">
        <v>1</v>
      </c>
      <c r="Z105" s="18">
        <v>962</v>
      </c>
      <c r="AC105" s="18" t="e">
        <v>#N/A</v>
      </c>
    </row>
    <row r="106" s="18" customFormat="1" spans="1:29">
      <c r="A106" s="18" t="s">
        <v>482</v>
      </c>
      <c r="B106" s="25" t="s">
        <v>482</v>
      </c>
      <c r="C106" s="26">
        <v>45663</v>
      </c>
      <c r="D106" s="18" t="s">
        <v>483</v>
      </c>
      <c r="E106" s="18" t="str">
        <f t="shared" si="1"/>
        <v>The Comptment Hotel Pvt Ltd</v>
      </c>
      <c r="F106" s="27" t="s">
        <v>484</v>
      </c>
      <c r="G106" s="18" t="s">
        <v>182</v>
      </c>
      <c r="H106" s="18" t="s">
        <v>183</v>
      </c>
      <c r="I106" s="18" t="s">
        <v>207</v>
      </c>
      <c r="J106" s="18" t="s">
        <v>240</v>
      </c>
      <c r="K106" s="18" t="s">
        <v>56</v>
      </c>
      <c r="L106" s="18" t="s">
        <v>36</v>
      </c>
      <c r="N106" s="18">
        <v>6</v>
      </c>
      <c r="O106" s="18" t="s">
        <v>57</v>
      </c>
      <c r="P106" s="18" t="s">
        <v>38</v>
      </c>
      <c r="Q106" s="18" t="s">
        <v>58</v>
      </c>
      <c r="R106" s="18" t="s">
        <v>59</v>
      </c>
      <c r="S106" s="18" t="s">
        <v>60</v>
      </c>
      <c r="T106" s="18" t="b">
        <v>0</v>
      </c>
      <c r="U106" s="18" t="s">
        <v>187</v>
      </c>
      <c r="V106" s="18" t="s">
        <v>40</v>
      </c>
      <c r="W106" s="18" t="s">
        <v>61</v>
      </c>
      <c r="X106" s="18" t="s">
        <v>62</v>
      </c>
      <c r="Y106" s="18">
        <v>1</v>
      </c>
      <c r="Z106" s="18">
        <v>16000</v>
      </c>
      <c r="AA106" s="18" t="s">
        <v>63</v>
      </c>
      <c r="AB106" s="18" t="s">
        <v>64</v>
      </c>
      <c r="AC106" s="18" t="s">
        <v>200</v>
      </c>
    </row>
    <row r="107" s="18" customFormat="1" spans="1:29">
      <c r="A107" s="18" t="s">
        <v>485</v>
      </c>
      <c r="B107" s="25" t="s">
        <v>485</v>
      </c>
      <c r="C107" s="26">
        <v>45663</v>
      </c>
      <c r="D107" s="18" t="s">
        <v>483</v>
      </c>
      <c r="E107" s="18" t="str">
        <f t="shared" si="1"/>
        <v>The Comptment Hotel Pvt Ltd</v>
      </c>
      <c r="F107" s="27" t="s">
        <v>484</v>
      </c>
      <c r="G107" s="18" t="s">
        <v>182</v>
      </c>
      <c r="H107" s="18" t="s">
        <v>183</v>
      </c>
      <c r="I107" s="18" t="s">
        <v>54</v>
      </c>
      <c r="J107" s="18" t="s">
        <v>486</v>
      </c>
      <c r="K107" s="18" t="s">
        <v>56</v>
      </c>
      <c r="L107" s="18" t="s">
        <v>36</v>
      </c>
      <c r="N107" s="18">
        <v>6</v>
      </c>
      <c r="O107" s="18" t="s">
        <v>93</v>
      </c>
      <c r="P107" s="18" t="s">
        <v>38</v>
      </c>
      <c r="Q107" s="18" t="s">
        <v>58</v>
      </c>
      <c r="R107" s="18" t="s">
        <v>59</v>
      </c>
      <c r="S107" s="18" t="s">
        <v>60</v>
      </c>
      <c r="T107" s="18" t="b">
        <v>0</v>
      </c>
      <c r="U107" s="18" t="s">
        <v>187</v>
      </c>
      <c r="V107" s="18" t="s">
        <v>40</v>
      </c>
      <c r="W107" s="18" t="s">
        <v>61</v>
      </c>
      <c r="X107" s="18" t="s">
        <v>62</v>
      </c>
      <c r="Y107" s="18">
        <v>1</v>
      </c>
      <c r="Z107" s="18">
        <v>8000</v>
      </c>
      <c r="AA107" s="18" t="s">
        <v>63</v>
      </c>
      <c r="AB107" s="18" t="s">
        <v>64</v>
      </c>
      <c r="AC107" s="18" t="s">
        <v>200</v>
      </c>
    </row>
    <row r="108" s="18" customFormat="1" spans="1:29">
      <c r="A108" s="18" t="s">
        <v>487</v>
      </c>
      <c r="B108" s="25" t="s">
        <v>487</v>
      </c>
      <c r="C108" s="26">
        <v>45663</v>
      </c>
      <c r="D108" s="18" t="s">
        <v>488</v>
      </c>
      <c r="E108" s="18" t="str">
        <f t="shared" si="1"/>
        <v>Vidicom Enterprises</v>
      </c>
      <c r="F108" s="27" t="s">
        <v>489</v>
      </c>
      <c r="G108" s="18" t="s">
        <v>182</v>
      </c>
      <c r="H108" s="18" t="s">
        <v>183</v>
      </c>
      <c r="I108" s="18" t="s">
        <v>54</v>
      </c>
      <c r="J108" s="18" t="s">
        <v>149</v>
      </c>
      <c r="K108" s="18" t="s">
        <v>56</v>
      </c>
      <c r="L108" s="18" t="s">
        <v>36</v>
      </c>
      <c r="N108" s="18">
        <v>6</v>
      </c>
      <c r="O108" s="18" t="s">
        <v>57</v>
      </c>
      <c r="P108" s="18" t="s">
        <v>38</v>
      </c>
      <c r="Q108" s="18" t="s">
        <v>58</v>
      </c>
      <c r="R108" s="18" t="s">
        <v>59</v>
      </c>
      <c r="S108" s="18" t="s">
        <v>60</v>
      </c>
      <c r="T108" s="18" t="b">
        <v>0</v>
      </c>
      <c r="U108" s="18" t="s">
        <v>187</v>
      </c>
      <c r="V108" s="18" t="s">
        <v>40</v>
      </c>
      <c r="W108" s="18" t="s">
        <v>371</v>
      </c>
      <c r="X108" s="18" t="s">
        <v>372</v>
      </c>
      <c r="Y108" s="18">
        <v>1</v>
      </c>
      <c r="Z108" s="18">
        <v>95000</v>
      </c>
      <c r="AA108" s="18" t="s">
        <v>376</v>
      </c>
      <c r="AB108" s="18" t="s">
        <v>236</v>
      </c>
      <c r="AC108" s="18" t="s">
        <v>200</v>
      </c>
    </row>
    <row r="109" s="18" customFormat="1" spans="1:29">
      <c r="A109" s="18" t="s">
        <v>490</v>
      </c>
      <c r="B109" s="25" t="s">
        <v>490</v>
      </c>
      <c r="C109" s="26">
        <v>45663</v>
      </c>
      <c r="D109" s="18" t="s">
        <v>491</v>
      </c>
      <c r="E109" s="18" t="str">
        <f t="shared" si="1"/>
        <v>Neha Sareen</v>
      </c>
      <c r="F109" s="27" t="s">
        <v>492</v>
      </c>
      <c r="G109" s="18" t="s">
        <v>182</v>
      </c>
      <c r="H109" s="18" t="s">
        <v>183</v>
      </c>
      <c r="I109" s="18" t="s">
        <v>54</v>
      </c>
      <c r="J109" s="18" t="s">
        <v>149</v>
      </c>
      <c r="K109" s="18" t="s">
        <v>56</v>
      </c>
      <c r="L109" s="18" t="s">
        <v>36</v>
      </c>
      <c r="N109" s="18">
        <v>6</v>
      </c>
      <c r="O109" s="18" t="s">
        <v>57</v>
      </c>
      <c r="P109" s="18" t="s">
        <v>38</v>
      </c>
      <c r="Q109" s="18" t="s">
        <v>58</v>
      </c>
      <c r="R109" s="18" t="s">
        <v>59</v>
      </c>
      <c r="S109" s="18" t="s">
        <v>60</v>
      </c>
      <c r="T109" s="18" t="b">
        <v>0</v>
      </c>
      <c r="U109" s="18" t="s">
        <v>187</v>
      </c>
      <c r="V109" s="18" t="s">
        <v>40</v>
      </c>
      <c r="W109" s="18" t="s">
        <v>250</v>
      </c>
      <c r="X109" s="18" t="s">
        <v>251</v>
      </c>
      <c r="Y109" s="18">
        <v>1</v>
      </c>
      <c r="Z109" s="18">
        <v>140000</v>
      </c>
      <c r="AA109" s="18" t="s">
        <v>376</v>
      </c>
      <c r="AB109" s="18" t="s">
        <v>236</v>
      </c>
      <c r="AC109" s="18" t="s">
        <v>200</v>
      </c>
    </row>
    <row r="110" s="18" customFormat="1" spans="1:29">
      <c r="A110" s="18" t="s">
        <v>493</v>
      </c>
      <c r="B110" s="25" t="s">
        <v>493</v>
      </c>
      <c r="C110" s="26">
        <v>45663</v>
      </c>
      <c r="D110" s="18" t="s">
        <v>494</v>
      </c>
      <c r="E110" s="18" t="str">
        <f t="shared" si="1"/>
        <v>Khyati Kava</v>
      </c>
      <c r="F110" s="27" t="s">
        <v>495</v>
      </c>
      <c r="G110" s="18" t="s">
        <v>182</v>
      </c>
      <c r="H110" s="18" t="s">
        <v>183</v>
      </c>
      <c r="I110" s="18" t="s">
        <v>54</v>
      </c>
      <c r="J110" s="18" t="s">
        <v>240</v>
      </c>
      <c r="K110" s="18" t="s">
        <v>56</v>
      </c>
      <c r="L110" s="18" t="s">
        <v>36</v>
      </c>
      <c r="N110" s="18">
        <v>6</v>
      </c>
      <c r="O110" s="18" t="s">
        <v>57</v>
      </c>
      <c r="P110" s="18" t="s">
        <v>38</v>
      </c>
      <c r="Q110" s="18" t="s">
        <v>58</v>
      </c>
      <c r="R110" s="18" t="s">
        <v>59</v>
      </c>
      <c r="S110" s="18" t="s">
        <v>60</v>
      </c>
      <c r="T110" s="18" t="b">
        <v>0</v>
      </c>
      <c r="U110" s="18" t="s">
        <v>187</v>
      </c>
      <c r="V110" s="18" t="s">
        <v>40</v>
      </c>
      <c r="W110" s="18" t="s">
        <v>250</v>
      </c>
      <c r="X110" s="18" t="s">
        <v>251</v>
      </c>
      <c r="Y110" s="18">
        <v>1</v>
      </c>
      <c r="Z110" s="18">
        <v>300000</v>
      </c>
      <c r="AA110" s="18" t="s">
        <v>241</v>
      </c>
      <c r="AB110" s="18" t="s">
        <v>242</v>
      </c>
      <c r="AC110" s="18" t="s">
        <v>200</v>
      </c>
    </row>
    <row r="111" s="18" customFormat="1" spans="1:29">
      <c r="A111" s="18" t="s">
        <v>496</v>
      </c>
      <c r="B111" s="25" t="s">
        <v>496</v>
      </c>
      <c r="C111" s="26">
        <v>45663</v>
      </c>
      <c r="D111" s="18" t="s">
        <v>488</v>
      </c>
      <c r="E111" s="18" t="str">
        <f t="shared" si="1"/>
        <v>Vidicom Enterprises</v>
      </c>
      <c r="F111" s="27" t="s">
        <v>489</v>
      </c>
      <c r="G111" s="18" t="s">
        <v>182</v>
      </c>
      <c r="H111" s="18" t="s">
        <v>183</v>
      </c>
      <c r="I111" s="18" t="s">
        <v>159</v>
      </c>
      <c r="J111" s="18" t="s">
        <v>466</v>
      </c>
      <c r="K111" s="18" t="s">
        <v>56</v>
      </c>
      <c r="L111" s="18" t="s">
        <v>36</v>
      </c>
      <c r="N111" s="18">
        <v>6</v>
      </c>
      <c r="O111" s="18" t="s">
        <v>57</v>
      </c>
      <c r="P111" s="18" t="s">
        <v>38</v>
      </c>
      <c r="Q111" s="18" t="s">
        <v>58</v>
      </c>
      <c r="R111" s="18" t="s">
        <v>59</v>
      </c>
      <c r="S111" s="18" t="s">
        <v>60</v>
      </c>
      <c r="T111" s="18" t="b">
        <v>0</v>
      </c>
      <c r="U111" s="18" t="s">
        <v>187</v>
      </c>
      <c r="V111" s="18" t="s">
        <v>40</v>
      </c>
      <c r="W111" s="18" t="s">
        <v>371</v>
      </c>
      <c r="X111" s="18" t="s">
        <v>372</v>
      </c>
      <c r="Y111" s="18">
        <v>1</v>
      </c>
      <c r="Z111" s="18">
        <v>77000</v>
      </c>
      <c r="AA111" s="18" t="s">
        <v>176</v>
      </c>
      <c r="AB111" s="18" t="s">
        <v>173</v>
      </c>
      <c r="AC111" s="18" t="s">
        <v>200</v>
      </c>
    </row>
    <row r="112" s="18" customFormat="1" ht="29" spans="1:29">
      <c r="A112" s="18" t="s">
        <v>497</v>
      </c>
      <c r="B112" s="25" t="s">
        <v>497</v>
      </c>
      <c r="C112" s="26">
        <v>45664</v>
      </c>
      <c r="D112" s="18" t="s">
        <v>498</v>
      </c>
      <c r="E112" s="18" t="str">
        <f t="shared" si="1"/>
        <v>Lyra Entertainment And Media</v>
      </c>
      <c r="F112" s="27" t="e">
        <v>#N/A</v>
      </c>
      <c r="G112" s="18" t="s">
        <v>32</v>
      </c>
      <c r="H112" s="18" t="s">
        <v>33</v>
      </c>
      <c r="I112" s="18" t="s">
        <v>184</v>
      </c>
      <c r="J112" s="18" t="s">
        <v>499</v>
      </c>
      <c r="K112" s="18" t="s">
        <v>56</v>
      </c>
      <c r="L112" s="18" t="s">
        <v>36</v>
      </c>
      <c r="N112" s="18">
        <v>6</v>
      </c>
      <c r="O112" s="18" t="s">
        <v>88</v>
      </c>
      <c r="P112" s="18" t="s">
        <v>38</v>
      </c>
      <c r="Q112" s="18" t="s">
        <v>117</v>
      </c>
      <c r="R112" s="18" t="s">
        <v>59</v>
      </c>
      <c r="S112" s="18" t="s">
        <v>186</v>
      </c>
      <c r="T112" s="18" t="b">
        <v>1</v>
      </c>
      <c r="U112" s="18" t="s">
        <v>39</v>
      </c>
      <c r="V112" s="18" t="s">
        <v>40</v>
      </c>
      <c r="W112" s="18" t="s">
        <v>317</v>
      </c>
      <c r="X112" s="18" t="s">
        <v>318</v>
      </c>
      <c r="Y112" s="18">
        <v>1</v>
      </c>
      <c r="Z112" s="18">
        <v>150000</v>
      </c>
      <c r="AA112" s="31" t="s">
        <v>338</v>
      </c>
      <c r="AB112" s="18" t="s">
        <v>339</v>
      </c>
      <c r="AC112" s="18" t="s">
        <v>43</v>
      </c>
    </row>
    <row r="113" s="18" customFormat="1" spans="1:29">
      <c r="A113" s="18" t="s">
        <v>500</v>
      </c>
      <c r="B113" s="25" t="s">
        <v>500</v>
      </c>
      <c r="C113" s="26">
        <v>45664</v>
      </c>
      <c r="D113" s="18" t="s">
        <v>113</v>
      </c>
      <c r="E113" s="18" t="str">
        <f t="shared" si="1"/>
        <v>Siva Sankar Cabs</v>
      </c>
      <c r="F113" s="27" t="s">
        <v>114</v>
      </c>
      <c r="G113" s="18" t="s">
        <v>32</v>
      </c>
      <c r="H113" s="18" t="s">
        <v>33</v>
      </c>
      <c r="I113" s="18" t="s">
        <v>34</v>
      </c>
      <c r="J113" s="18" t="s">
        <v>115</v>
      </c>
      <c r="K113" s="18" t="s">
        <v>56</v>
      </c>
      <c r="L113" s="18" t="s">
        <v>36</v>
      </c>
      <c r="N113" s="18">
        <v>6</v>
      </c>
      <c r="O113" s="18" t="s">
        <v>116</v>
      </c>
      <c r="P113" s="18" t="s">
        <v>38</v>
      </c>
      <c r="Q113" s="18" t="s">
        <v>117</v>
      </c>
      <c r="R113" s="18" t="s">
        <v>59</v>
      </c>
      <c r="S113" s="18" t="s">
        <v>118</v>
      </c>
      <c r="T113" s="18" t="b">
        <v>1</v>
      </c>
      <c r="U113" s="18" t="s">
        <v>39</v>
      </c>
      <c r="V113" s="18" t="s">
        <v>40</v>
      </c>
      <c r="W113" s="18" t="s">
        <v>119</v>
      </c>
      <c r="X113" s="18" t="s">
        <v>120</v>
      </c>
      <c r="Y113" s="18">
        <v>1</v>
      </c>
      <c r="Z113" s="18">
        <v>7102</v>
      </c>
      <c r="AA113" s="18" t="s">
        <v>501</v>
      </c>
      <c r="AB113" s="18" t="s">
        <v>502</v>
      </c>
      <c r="AC113" s="18" t="e">
        <v>#N/A</v>
      </c>
    </row>
    <row r="114" s="18" customFormat="1" spans="1:29">
      <c r="A114" s="18" t="s">
        <v>503</v>
      </c>
      <c r="B114" s="25" t="s">
        <v>503</v>
      </c>
      <c r="C114" s="26">
        <v>45664</v>
      </c>
      <c r="D114" s="18" t="s">
        <v>113</v>
      </c>
      <c r="E114" s="18" t="str">
        <f t="shared" si="1"/>
        <v>Siva Sankar Cabs</v>
      </c>
      <c r="F114" s="27" t="s">
        <v>114</v>
      </c>
      <c r="G114" s="18" t="s">
        <v>32</v>
      </c>
      <c r="H114" s="18" t="s">
        <v>33</v>
      </c>
      <c r="I114" s="18" t="s">
        <v>34</v>
      </c>
      <c r="J114" s="18" t="s">
        <v>115</v>
      </c>
      <c r="K114" s="18" t="s">
        <v>56</v>
      </c>
      <c r="L114" s="18" t="s">
        <v>36</v>
      </c>
      <c r="N114" s="18">
        <v>6</v>
      </c>
      <c r="O114" s="18" t="s">
        <v>116</v>
      </c>
      <c r="P114" s="18" t="s">
        <v>38</v>
      </c>
      <c r="Q114" s="18" t="s">
        <v>117</v>
      </c>
      <c r="R114" s="18" t="s">
        <v>59</v>
      </c>
      <c r="S114" s="18" t="s">
        <v>118</v>
      </c>
      <c r="T114" s="18" t="b">
        <v>1</v>
      </c>
      <c r="U114" s="18" t="s">
        <v>39</v>
      </c>
      <c r="V114" s="18" t="s">
        <v>40</v>
      </c>
      <c r="W114" s="18" t="s">
        <v>119</v>
      </c>
      <c r="X114" s="18" t="s">
        <v>120</v>
      </c>
      <c r="Y114" s="18">
        <v>1</v>
      </c>
      <c r="Z114" s="18">
        <v>20690</v>
      </c>
      <c r="AA114" s="18" t="s">
        <v>501</v>
      </c>
      <c r="AB114" s="18" t="s">
        <v>502</v>
      </c>
      <c r="AC114" s="18" t="e">
        <v>#N/A</v>
      </c>
    </row>
    <row r="115" s="18" customFormat="1" spans="1:29">
      <c r="A115" s="18" t="s">
        <v>504</v>
      </c>
      <c r="B115" s="25" t="s">
        <v>504</v>
      </c>
      <c r="C115" s="26">
        <v>45664</v>
      </c>
      <c r="D115" s="18" t="s">
        <v>505</v>
      </c>
      <c r="E115" s="18" t="str">
        <f t="shared" si="1"/>
        <v>Ashok Raj R  </v>
      </c>
      <c r="F115" s="27" t="e">
        <v>#N/A</v>
      </c>
      <c r="G115" s="18" t="s">
        <v>32</v>
      </c>
      <c r="H115" s="18" t="s">
        <v>33</v>
      </c>
      <c r="I115" s="18" t="s">
        <v>34</v>
      </c>
      <c r="J115" s="18" t="s">
        <v>115</v>
      </c>
      <c r="K115" s="18" t="s">
        <v>56</v>
      </c>
      <c r="L115" s="18" t="s">
        <v>36</v>
      </c>
      <c r="N115" s="18">
        <v>6</v>
      </c>
      <c r="O115" s="18" t="s">
        <v>93</v>
      </c>
      <c r="P115" s="18" t="s">
        <v>38</v>
      </c>
      <c r="Q115" s="18" t="s">
        <v>117</v>
      </c>
      <c r="R115" s="18" t="s">
        <v>59</v>
      </c>
      <c r="S115" s="18" t="s">
        <v>118</v>
      </c>
      <c r="T115" s="18" t="b">
        <v>1</v>
      </c>
      <c r="U115" s="18" t="s">
        <v>39</v>
      </c>
      <c r="V115" s="18" t="s">
        <v>40</v>
      </c>
      <c r="W115" s="18" t="s">
        <v>126</v>
      </c>
      <c r="X115" s="18" t="s">
        <v>127</v>
      </c>
      <c r="Y115" s="18">
        <v>1</v>
      </c>
      <c r="Z115" s="18">
        <v>1142</v>
      </c>
      <c r="AA115" s="18" t="s">
        <v>501</v>
      </c>
      <c r="AB115" s="18" t="s">
        <v>502</v>
      </c>
      <c r="AC115" s="18" t="e">
        <v>#N/A</v>
      </c>
    </row>
    <row r="116" s="18" customFormat="1" spans="1:29">
      <c r="A116" s="18" t="s">
        <v>506</v>
      </c>
      <c r="B116" s="25" t="s">
        <v>506</v>
      </c>
      <c r="C116" s="26">
        <v>45664</v>
      </c>
      <c r="D116" s="18" t="s">
        <v>507</v>
      </c>
      <c r="E116" s="18" t="str">
        <f t="shared" si="1"/>
        <v>R Anandan  </v>
      </c>
      <c r="F116" s="27" t="e">
        <v>#N/A</v>
      </c>
      <c r="G116" s="18" t="s">
        <v>99</v>
      </c>
      <c r="H116" s="18" t="s">
        <v>100</v>
      </c>
      <c r="I116" s="18" t="s">
        <v>34</v>
      </c>
      <c r="J116" s="18" t="s">
        <v>185</v>
      </c>
      <c r="K116" s="18" t="s">
        <v>56</v>
      </c>
      <c r="L116" s="18" t="s">
        <v>36</v>
      </c>
      <c r="N116" s="18">
        <v>6</v>
      </c>
      <c r="O116" s="18" t="s">
        <v>93</v>
      </c>
      <c r="P116" s="18" t="s">
        <v>38</v>
      </c>
      <c r="Q116" s="18" t="s">
        <v>117</v>
      </c>
      <c r="R116" s="18" t="s">
        <v>59</v>
      </c>
      <c r="S116" s="18" t="s">
        <v>186</v>
      </c>
      <c r="T116" s="18" t="b">
        <v>1</v>
      </c>
      <c r="U116" s="18" t="s">
        <v>101</v>
      </c>
      <c r="V116" s="18" t="s">
        <v>40</v>
      </c>
      <c r="W116" s="18" t="s">
        <v>508</v>
      </c>
      <c r="X116" s="18" t="s">
        <v>509</v>
      </c>
      <c r="Y116" s="18">
        <v>1</v>
      </c>
      <c r="Z116" s="18">
        <v>3000</v>
      </c>
      <c r="AA116" s="18" t="s">
        <v>102</v>
      </c>
      <c r="AB116" s="18" t="s">
        <v>103</v>
      </c>
      <c r="AC116" s="18" t="e">
        <v>#N/A</v>
      </c>
    </row>
    <row r="117" s="18" customFormat="1" spans="1:29">
      <c r="A117" s="18" t="s">
        <v>510</v>
      </c>
      <c r="B117" s="25" t="s">
        <v>510</v>
      </c>
      <c r="C117" s="26">
        <v>45664</v>
      </c>
      <c r="D117" s="18" t="s">
        <v>511</v>
      </c>
      <c r="E117" s="18" t="str">
        <f t="shared" si="1"/>
        <v>Pro Audio Solutions India Pvt Ltd</v>
      </c>
      <c r="F117" s="27" t="s">
        <v>512</v>
      </c>
      <c r="G117" s="18" t="s">
        <v>99</v>
      </c>
      <c r="H117" s="18" t="s">
        <v>100</v>
      </c>
      <c r="I117" s="18" t="s">
        <v>34</v>
      </c>
      <c r="J117" s="18" t="s">
        <v>185</v>
      </c>
      <c r="K117" s="18" t="s">
        <v>56</v>
      </c>
      <c r="L117" s="18" t="s">
        <v>36</v>
      </c>
      <c r="N117" s="18">
        <v>6</v>
      </c>
      <c r="O117" s="18" t="s">
        <v>88</v>
      </c>
      <c r="P117" s="18" t="s">
        <v>38</v>
      </c>
      <c r="Q117" s="18" t="s">
        <v>117</v>
      </c>
      <c r="R117" s="18" t="s">
        <v>59</v>
      </c>
      <c r="S117" s="18" t="s">
        <v>186</v>
      </c>
      <c r="T117" s="18" t="b">
        <v>1</v>
      </c>
      <c r="U117" s="18" t="s">
        <v>101</v>
      </c>
      <c r="V117" s="18" t="s">
        <v>40</v>
      </c>
      <c r="W117" s="18" t="s">
        <v>371</v>
      </c>
      <c r="X117" s="18" t="s">
        <v>372</v>
      </c>
      <c r="Y117" s="18">
        <v>1</v>
      </c>
      <c r="Z117" s="18">
        <v>190000</v>
      </c>
      <c r="AA117" s="18" t="s">
        <v>513</v>
      </c>
      <c r="AB117" s="18" t="s">
        <v>514</v>
      </c>
      <c r="AC117" s="18" t="s">
        <v>111</v>
      </c>
    </row>
    <row r="118" s="18" customFormat="1" spans="1:29">
      <c r="A118" s="18" t="s">
        <v>515</v>
      </c>
      <c r="B118" s="25" t="s">
        <v>515</v>
      </c>
      <c r="C118" s="26">
        <v>45664</v>
      </c>
      <c r="D118" s="18" t="s">
        <v>424</v>
      </c>
      <c r="E118" s="18" t="str">
        <f t="shared" si="1"/>
        <v>Minter Cstech Pvt.Ltd.</v>
      </c>
      <c r="F118" s="27" t="e">
        <v>#N/A</v>
      </c>
      <c r="G118" s="18" t="s">
        <v>147</v>
      </c>
      <c r="H118" s="18" t="s">
        <v>148</v>
      </c>
      <c r="I118" s="18" t="s">
        <v>159</v>
      </c>
      <c r="K118" s="18" t="s">
        <v>35</v>
      </c>
      <c r="L118" s="18" t="s">
        <v>36</v>
      </c>
      <c r="N118" s="18">
        <v>6</v>
      </c>
      <c r="O118" s="18" t="s">
        <v>88</v>
      </c>
      <c r="P118" s="18" t="s">
        <v>38</v>
      </c>
      <c r="T118" s="18" t="b">
        <v>1</v>
      </c>
      <c r="U118" s="18" t="s">
        <v>150</v>
      </c>
      <c r="V118" s="18" t="s">
        <v>40</v>
      </c>
      <c r="W118" s="18" t="s">
        <v>84</v>
      </c>
      <c r="X118" s="18" t="s">
        <v>84</v>
      </c>
      <c r="Y118" s="18">
        <v>1</v>
      </c>
      <c r="Z118" s="18">
        <v>45000</v>
      </c>
      <c r="AA118" s="18" t="s">
        <v>516</v>
      </c>
      <c r="AB118" s="18" t="s">
        <v>173</v>
      </c>
      <c r="AC118" s="18" t="s">
        <v>163</v>
      </c>
    </row>
    <row r="119" s="18" customFormat="1" spans="1:29">
      <c r="A119" s="18" t="s">
        <v>517</v>
      </c>
      <c r="B119" s="25" t="s">
        <v>517</v>
      </c>
      <c r="C119" s="26">
        <v>45664</v>
      </c>
      <c r="D119" s="18" t="s">
        <v>518</v>
      </c>
      <c r="E119" s="18" t="str">
        <f t="shared" si="1"/>
        <v>Audio Design </v>
      </c>
      <c r="F119" s="27" t="s">
        <v>519</v>
      </c>
      <c r="G119" s="18" t="s">
        <v>147</v>
      </c>
      <c r="H119" s="18" t="s">
        <v>148</v>
      </c>
      <c r="I119" s="18" t="s">
        <v>207</v>
      </c>
      <c r="J119" s="18" t="s">
        <v>466</v>
      </c>
      <c r="K119" s="18" t="s">
        <v>56</v>
      </c>
      <c r="L119" s="18" t="s">
        <v>36</v>
      </c>
      <c r="N119" s="18">
        <v>6</v>
      </c>
      <c r="O119" s="18" t="s">
        <v>88</v>
      </c>
      <c r="P119" s="18" t="s">
        <v>38</v>
      </c>
      <c r="Q119" s="18" t="s">
        <v>58</v>
      </c>
      <c r="R119" s="18" t="s">
        <v>59</v>
      </c>
      <c r="S119" s="18" t="s">
        <v>60</v>
      </c>
      <c r="T119" s="18" t="b">
        <v>1</v>
      </c>
      <c r="U119" s="18" t="s">
        <v>150</v>
      </c>
      <c r="V119" s="18" t="s">
        <v>40</v>
      </c>
      <c r="W119" s="18" t="s">
        <v>371</v>
      </c>
      <c r="X119" s="18" t="s">
        <v>372</v>
      </c>
      <c r="Y119" s="18">
        <v>1</v>
      </c>
      <c r="Z119" s="18">
        <v>6750000</v>
      </c>
      <c r="AA119" s="18" t="s">
        <v>520</v>
      </c>
      <c r="AB119" s="18" t="s">
        <v>521</v>
      </c>
      <c r="AC119" s="18" t="s">
        <v>163</v>
      </c>
    </row>
    <row r="120" s="18" customFormat="1" spans="1:29">
      <c r="A120" s="18" t="s">
        <v>522</v>
      </c>
      <c r="B120" s="25" t="s">
        <v>522</v>
      </c>
      <c r="C120" s="26">
        <v>45664</v>
      </c>
      <c r="D120" s="18" t="s">
        <v>408</v>
      </c>
      <c r="E120" s="18" t="str">
        <f t="shared" si="1"/>
        <v>Webcontxt India Pvt Ltd</v>
      </c>
      <c r="F120" s="27" t="s">
        <v>409</v>
      </c>
      <c r="G120" s="18" t="s">
        <v>147</v>
      </c>
      <c r="H120" s="18" t="s">
        <v>148</v>
      </c>
      <c r="I120" s="18" t="s">
        <v>207</v>
      </c>
      <c r="J120" s="18" t="s">
        <v>466</v>
      </c>
      <c r="K120" s="18" t="s">
        <v>56</v>
      </c>
      <c r="L120" s="18" t="s">
        <v>36</v>
      </c>
      <c r="N120" s="18">
        <v>6</v>
      </c>
      <c r="O120" s="18" t="s">
        <v>88</v>
      </c>
      <c r="P120" s="18" t="s">
        <v>38</v>
      </c>
      <c r="Q120" s="18" t="s">
        <v>58</v>
      </c>
      <c r="R120" s="18" t="s">
        <v>59</v>
      </c>
      <c r="S120" s="18" t="s">
        <v>60</v>
      </c>
      <c r="T120" s="18" t="b">
        <v>1</v>
      </c>
      <c r="U120" s="18" t="s">
        <v>150</v>
      </c>
      <c r="V120" s="18" t="s">
        <v>40</v>
      </c>
      <c r="W120" s="18" t="s">
        <v>347</v>
      </c>
      <c r="X120" s="18" t="s">
        <v>348</v>
      </c>
      <c r="Y120" s="18">
        <v>1</v>
      </c>
      <c r="Z120" s="18">
        <v>400000</v>
      </c>
      <c r="AA120" s="18" t="s">
        <v>523</v>
      </c>
      <c r="AB120" s="18" t="s">
        <v>521</v>
      </c>
      <c r="AC120" s="18" t="s">
        <v>155</v>
      </c>
    </row>
    <row r="121" s="18" customFormat="1" spans="1:29">
      <c r="A121" s="18" t="s">
        <v>524</v>
      </c>
      <c r="B121" s="25" t="s">
        <v>524</v>
      </c>
      <c r="C121" s="26">
        <v>45664</v>
      </c>
      <c r="D121" s="18" t="s">
        <v>391</v>
      </c>
      <c r="E121" s="18" t="str">
        <f t="shared" si="1"/>
        <v>Shield Guard India Pvt Ltd</v>
      </c>
      <c r="F121" s="27" t="s">
        <v>392</v>
      </c>
      <c r="G121" s="18" t="s">
        <v>147</v>
      </c>
      <c r="H121" s="18" t="s">
        <v>148</v>
      </c>
      <c r="I121" s="18" t="s">
        <v>207</v>
      </c>
      <c r="J121" s="18" t="s">
        <v>466</v>
      </c>
      <c r="K121" s="18" t="s">
        <v>56</v>
      </c>
      <c r="L121" s="18" t="s">
        <v>36</v>
      </c>
      <c r="N121" s="18">
        <v>6</v>
      </c>
      <c r="O121" s="18" t="s">
        <v>88</v>
      </c>
      <c r="P121" s="18" t="s">
        <v>38</v>
      </c>
      <c r="Q121" s="18" t="s">
        <v>58</v>
      </c>
      <c r="R121" s="18" t="s">
        <v>59</v>
      </c>
      <c r="S121" s="18" t="s">
        <v>60</v>
      </c>
      <c r="T121" s="18" t="b">
        <v>1</v>
      </c>
      <c r="U121" s="18" t="s">
        <v>150</v>
      </c>
      <c r="V121" s="18" t="s">
        <v>40</v>
      </c>
      <c r="W121" s="18" t="s">
        <v>292</v>
      </c>
      <c r="X121" s="18" t="s">
        <v>293</v>
      </c>
      <c r="Y121" s="18">
        <v>1</v>
      </c>
      <c r="Z121" s="18">
        <v>415800</v>
      </c>
      <c r="AA121" s="18" t="s">
        <v>523</v>
      </c>
      <c r="AB121" s="18" t="s">
        <v>521</v>
      </c>
      <c r="AC121" s="18" t="s">
        <v>163</v>
      </c>
    </row>
    <row r="122" s="18" customFormat="1" spans="1:29">
      <c r="A122" s="18" t="s">
        <v>525</v>
      </c>
      <c r="B122" s="25" t="s">
        <v>525</v>
      </c>
      <c r="C122" s="26">
        <v>45664</v>
      </c>
      <c r="D122" s="18" t="s">
        <v>424</v>
      </c>
      <c r="E122" s="18" t="str">
        <f t="shared" si="1"/>
        <v>Minter Cstech Pvt.Ltd.</v>
      </c>
      <c r="F122" s="27" t="e">
        <v>#N/A</v>
      </c>
      <c r="G122" s="18" t="s">
        <v>147</v>
      </c>
      <c r="H122" s="18" t="s">
        <v>148</v>
      </c>
      <c r="I122" s="18" t="s">
        <v>159</v>
      </c>
      <c r="K122" s="18" t="s">
        <v>35</v>
      </c>
      <c r="L122" s="18" t="s">
        <v>36</v>
      </c>
      <c r="N122" s="18">
        <v>6</v>
      </c>
      <c r="O122" s="18" t="s">
        <v>88</v>
      </c>
      <c r="P122" s="18" t="s">
        <v>38</v>
      </c>
      <c r="T122" s="18" t="b">
        <v>1</v>
      </c>
      <c r="U122" s="18" t="s">
        <v>150</v>
      </c>
      <c r="V122" s="18" t="s">
        <v>40</v>
      </c>
      <c r="W122" s="18" t="s">
        <v>526</v>
      </c>
      <c r="X122" s="18" t="s">
        <v>526</v>
      </c>
      <c r="Y122" s="18">
        <v>1</v>
      </c>
      <c r="Z122" s="18">
        <v>9240</v>
      </c>
      <c r="AA122" s="18" t="s">
        <v>516</v>
      </c>
      <c r="AB122" s="18" t="s">
        <v>173</v>
      </c>
      <c r="AC122" s="18" t="s">
        <v>163</v>
      </c>
    </row>
    <row r="123" s="18" customFormat="1" spans="1:29">
      <c r="A123" s="18" t="s">
        <v>527</v>
      </c>
      <c r="B123" s="25" t="s">
        <v>527</v>
      </c>
      <c r="C123" s="26">
        <v>45664</v>
      </c>
      <c r="D123" s="18" t="s">
        <v>388</v>
      </c>
      <c r="E123" s="18" t="str">
        <f t="shared" si="1"/>
        <v>Ask 4 Car Care</v>
      </c>
      <c r="F123" s="27" t="s">
        <v>389</v>
      </c>
      <c r="G123" s="18" t="s">
        <v>147</v>
      </c>
      <c r="H123" s="18" t="s">
        <v>148</v>
      </c>
      <c r="I123" s="18" t="s">
        <v>207</v>
      </c>
      <c r="J123" s="18" t="s">
        <v>466</v>
      </c>
      <c r="K123" s="18" t="s">
        <v>56</v>
      </c>
      <c r="L123" s="18" t="s">
        <v>36</v>
      </c>
      <c r="N123" s="18">
        <v>6</v>
      </c>
      <c r="O123" s="18" t="s">
        <v>88</v>
      </c>
      <c r="P123" s="18" t="s">
        <v>38</v>
      </c>
      <c r="Q123" s="18" t="s">
        <v>58</v>
      </c>
      <c r="R123" s="18" t="s">
        <v>59</v>
      </c>
      <c r="S123" s="18" t="s">
        <v>60</v>
      </c>
      <c r="T123" s="18" t="b">
        <v>1</v>
      </c>
      <c r="U123" s="18" t="s">
        <v>150</v>
      </c>
      <c r="V123" s="18" t="s">
        <v>40</v>
      </c>
      <c r="W123" s="18" t="s">
        <v>233</v>
      </c>
      <c r="X123" s="18" t="s">
        <v>234</v>
      </c>
      <c r="Y123" s="18">
        <v>1</v>
      </c>
      <c r="Z123" s="18">
        <v>150000</v>
      </c>
      <c r="AA123" s="18" t="s">
        <v>523</v>
      </c>
      <c r="AB123" s="18" t="s">
        <v>521</v>
      </c>
      <c r="AC123" s="18" t="s">
        <v>163</v>
      </c>
    </row>
    <row r="124" s="18" customFormat="1" spans="1:29">
      <c r="A124" s="18" t="s">
        <v>528</v>
      </c>
      <c r="B124" s="25" t="s">
        <v>528</v>
      </c>
      <c r="C124" s="26">
        <v>45664</v>
      </c>
      <c r="D124" s="18" t="s">
        <v>529</v>
      </c>
      <c r="E124" s="18" t="str">
        <f t="shared" si="1"/>
        <v>Zara Communication</v>
      </c>
      <c r="F124" s="27" t="s">
        <v>530</v>
      </c>
      <c r="G124" s="18" t="s">
        <v>147</v>
      </c>
      <c r="H124" s="18" t="s">
        <v>148</v>
      </c>
      <c r="I124" s="18" t="s">
        <v>207</v>
      </c>
      <c r="J124" s="18" t="s">
        <v>466</v>
      </c>
      <c r="K124" s="18" t="s">
        <v>56</v>
      </c>
      <c r="L124" s="18" t="s">
        <v>36</v>
      </c>
      <c r="N124" s="18">
        <v>6</v>
      </c>
      <c r="O124" s="18" t="s">
        <v>88</v>
      </c>
      <c r="P124" s="18" t="s">
        <v>38</v>
      </c>
      <c r="Q124" s="18" t="s">
        <v>58</v>
      </c>
      <c r="R124" s="18" t="s">
        <v>59</v>
      </c>
      <c r="S124" s="18" t="s">
        <v>60</v>
      </c>
      <c r="T124" s="18" t="b">
        <v>1</v>
      </c>
      <c r="U124" s="18" t="s">
        <v>150</v>
      </c>
      <c r="V124" s="18" t="s">
        <v>40</v>
      </c>
      <c r="W124" s="18" t="s">
        <v>371</v>
      </c>
      <c r="X124" s="18" t="s">
        <v>372</v>
      </c>
      <c r="Y124" s="18">
        <v>1</v>
      </c>
      <c r="Z124" s="18">
        <v>33000</v>
      </c>
      <c r="AA124" s="18" t="s">
        <v>523</v>
      </c>
      <c r="AB124" s="18" t="s">
        <v>521</v>
      </c>
      <c r="AC124" s="18" t="s">
        <v>163</v>
      </c>
    </row>
    <row r="125" s="18" customFormat="1" spans="1:29">
      <c r="A125" s="18" t="s">
        <v>531</v>
      </c>
      <c r="B125" s="25" t="s">
        <v>531</v>
      </c>
      <c r="C125" s="26">
        <v>45664</v>
      </c>
      <c r="D125" s="18" t="s">
        <v>399</v>
      </c>
      <c r="E125" s="18" t="str">
        <f t="shared" si="1"/>
        <v>Bodhi Tree Entertainment</v>
      </c>
      <c r="F125" s="27" t="s">
        <v>400</v>
      </c>
      <c r="G125" s="18" t="s">
        <v>147</v>
      </c>
      <c r="H125" s="18" t="s">
        <v>148</v>
      </c>
      <c r="I125" s="18" t="s">
        <v>207</v>
      </c>
      <c r="J125" s="18" t="s">
        <v>466</v>
      </c>
      <c r="K125" s="18" t="s">
        <v>56</v>
      </c>
      <c r="L125" s="18" t="s">
        <v>36</v>
      </c>
      <c r="N125" s="18">
        <v>6</v>
      </c>
      <c r="O125" s="18" t="s">
        <v>88</v>
      </c>
      <c r="P125" s="18" t="s">
        <v>38</v>
      </c>
      <c r="Q125" s="18" t="s">
        <v>58</v>
      </c>
      <c r="R125" s="18" t="s">
        <v>59</v>
      </c>
      <c r="S125" s="18" t="s">
        <v>60</v>
      </c>
      <c r="T125" s="18" t="b">
        <v>1</v>
      </c>
      <c r="U125" s="18" t="s">
        <v>150</v>
      </c>
      <c r="V125" s="18" t="s">
        <v>40</v>
      </c>
      <c r="W125" s="18" t="s">
        <v>401</v>
      </c>
      <c r="X125" s="18" t="s">
        <v>402</v>
      </c>
      <c r="Y125" s="18">
        <v>1</v>
      </c>
      <c r="Z125" s="18">
        <v>275000</v>
      </c>
      <c r="AA125" s="18" t="s">
        <v>523</v>
      </c>
      <c r="AB125" s="18" t="s">
        <v>521</v>
      </c>
      <c r="AC125" s="18" t="s">
        <v>163</v>
      </c>
    </row>
    <row r="126" s="18" customFormat="1" spans="1:29">
      <c r="A126" s="18" t="s">
        <v>532</v>
      </c>
      <c r="B126" s="25" t="s">
        <v>532</v>
      </c>
      <c r="C126" s="26">
        <v>45664</v>
      </c>
      <c r="D126" s="18" t="s">
        <v>533</v>
      </c>
      <c r="E126" s="18" t="str">
        <f t="shared" si="1"/>
        <v>Powerpro</v>
      </c>
      <c r="F126" s="27" t="e">
        <v>#N/A</v>
      </c>
      <c r="G126" s="18" t="s">
        <v>147</v>
      </c>
      <c r="H126" s="18" t="s">
        <v>148</v>
      </c>
      <c r="I126" s="18" t="s">
        <v>207</v>
      </c>
      <c r="J126" s="18" t="s">
        <v>466</v>
      </c>
      <c r="K126" s="18" t="s">
        <v>56</v>
      </c>
      <c r="L126" s="18" t="s">
        <v>36</v>
      </c>
      <c r="N126" s="18">
        <v>6</v>
      </c>
      <c r="O126" s="18" t="s">
        <v>88</v>
      </c>
      <c r="P126" s="18" t="s">
        <v>38</v>
      </c>
      <c r="Q126" s="18" t="s">
        <v>58</v>
      </c>
      <c r="R126" s="18" t="s">
        <v>59</v>
      </c>
      <c r="S126" s="18" t="s">
        <v>60</v>
      </c>
      <c r="T126" s="18" t="b">
        <v>1</v>
      </c>
      <c r="U126" s="18" t="s">
        <v>150</v>
      </c>
      <c r="V126" s="18" t="s">
        <v>40</v>
      </c>
      <c r="W126" s="18" t="s">
        <v>233</v>
      </c>
      <c r="X126" s="18" t="s">
        <v>234</v>
      </c>
      <c r="Y126" s="18">
        <v>1</v>
      </c>
      <c r="Z126" s="18">
        <v>100000</v>
      </c>
      <c r="AA126" s="18" t="s">
        <v>523</v>
      </c>
      <c r="AB126" s="18" t="s">
        <v>521</v>
      </c>
      <c r="AC126" s="18" t="s">
        <v>163</v>
      </c>
    </row>
    <row r="127" s="18" customFormat="1" spans="1:29">
      <c r="A127" s="18" t="s">
        <v>534</v>
      </c>
      <c r="B127" s="25" t="s">
        <v>534</v>
      </c>
      <c r="C127" s="26">
        <v>45664</v>
      </c>
      <c r="D127" s="18" t="s">
        <v>535</v>
      </c>
      <c r="E127" s="18" t="str">
        <f t="shared" si="1"/>
        <v>Praveen Kumar(CR)</v>
      </c>
      <c r="F127" s="27" t="e">
        <v>#N/A</v>
      </c>
      <c r="G127" s="18" t="s">
        <v>147</v>
      </c>
      <c r="H127" s="18" t="s">
        <v>148</v>
      </c>
      <c r="I127" s="18" t="s">
        <v>207</v>
      </c>
      <c r="J127" s="18" t="s">
        <v>466</v>
      </c>
      <c r="K127" s="18" t="s">
        <v>56</v>
      </c>
      <c r="L127" s="18" t="s">
        <v>36</v>
      </c>
      <c r="N127" s="18">
        <v>6</v>
      </c>
      <c r="O127" s="18" t="s">
        <v>57</v>
      </c>
      <c r="P127" s="18" t="s">
        <v>38</v>
      </c>
      <c r="Q127" s="18" t="s">
        <v>58</v>
      </c>
      <c r="R127" s="18" t="s">
        <v>59</v>
      </c>
      <c r="S127" s="18" t="s">
        <v>60</v>
      </c>
      <c r="T127" s="18" t="b">
        <v>1</v>
      </c>
      <c r="U127" s="18" t="s">
        <v>150</v>
      </c>
      <c r="V127" s="18" t="s">
        <v>40</v>
      </c>
      <c r="W127" s="18" t="s">
        <v>347</v>
      </c>
      <c r="X127" s="18" t="s">
        <v>348</v>
      </c>
      <c r="Y127" s="18">
        <v>1</v>
      </c>
      <c r="Z127" s="18">
        <v>35000</v>
      </c>
      <c r="AA127" s="18" t="s">
        <v>523</v>
      </c>
      <c r="AB127" s="18" t="s">
        <v>521</v>
      </c>
      <c r="AC127" s="18" t="e">
        <v>#N/A</v>
      </c>
    </row>
    <row r="128" s="18" customFormat="1" spans="1:29">
      <c r="A128" s="18" t="s">
        <v>536</v>
      </c>
      <c r="B128" s="25" t="s">
        <v>536</v>
      </c>
      <c r="C128" s="26">
        <v>45664</v>
      </c>
      <c r="D128" s="18" t="s">
        <v>537</v>
      </c>
      <c r="E128" s="18" t="str">
        <f t="shared" si="1"/>
        <v>Pavleen Kaurr Qaumi</v>
      </c>
      <c r="F128" s="27" t="s">
        <v>538</v>
      </c>
      <c r="G128" s="18" t="s">
        <v>147</v>
      </c>
      <c r="H128" s="18" t="s">
        <v>148</v>
      </c>
      <c r="I128" s="18" t="s">
        <v>207</v>
      </c>
      <c r="J128" s="18" t="s">
        <v>466</v>
      </c>
      <c r="K128" s="18" t="s">
        <v>56</v>
      </c>
      <c r="L128" s="18" t="s">
        <v>36</v>
      </c>
      <c r="N128" s="18">
        <v>6</v>
      </c>
      <c r="O128" s="18" t="s">
        <v>57</v>
      </c>
      <c r="P128" s="18" t="s">
        <v>38</v>
      </c>
      <c r="Q128" s="18" t="s">
        <v>58</v>
      </c>
      <c r="R128" s="18" t="s">
        <v>59</v>
      </c>
      <c r="S128" s="18" t="s">
        <v>60</v>
      </c>
      <c r="T128" s="18" t="b">
        <v>1</v>
      </c>
      <c r="U128" s="18" t="s">
        <v>150</v>
      </c>
      <c r="V128" s="18" t="s">
        <v>40</v>
      </c>
      <c r="W128" s="18" t="s">
        <v>347</v>
      </c>
      <c r="X128" s="18" t="s">
        <v>348</v>
      </c>
      <c r="Y128" s="18">
        <v>1</v>
      </c>
      <c r="Z128" s="18">
        <v>250000</v>
      </c>
      <c r="AA128" s="18" t="s">
        <v>523</v>
      </c>
      <c r="AB128" s="18" t="s">
        <v>521</v>
      </c>
      <c r="AC128" s="18" t="e">
        <v>#N/A</v>
      </c>
    </row>
    <row r="129" s="18" customFormat="1" spans="1:29">
      <c r="A129" s="18" t="s">
        <v>539</v>
      </c>
      <c r="B129" s="25" t="s">
        <v>539</v>
      </c>
      <c r="C129" s="26">
        <v>45664</v>
      </c>
      <c r="D129" s="18" t="s">
        <v>417</v>
      </c>
      <c r="E129" s="18" t="str">
        <f t="shared" si="1"/>
        <v>Brief Cab</v>
      </c>
      <c r="F129" s="27" t="s">
        <v>418</v>
      </c>
      <c r="G129" s="18" t="s">
        <v>147</v>
      </c>
      <c r="H129" s="18" t="s">
        <v>148</v>
      </c>
      <c r="I129" s="18" t="s">
        <v>207</v>
      </c>
      <c r="J129" s="18" t="s">
        <v>466</v>
      </c>
      <c r="K129" s="18" t="s">
        <v>56</v>
      </c>
      <c r="L129" s="18" t="s">
        <v>36</v>
      </c>
      <c r="N129" s="18">
        <v>6</v>
      </c>
      <c r="O129" s="18" t="s">
        <v>88</v>
      </c>
      <c r="P129" s="18" t="s">
        <v>38</v>
      </c>
      <c r="Q129" s="18" t="s">
        <v>58</v>
      </c>
      <c r="R129" s="18" t="s">
        <v>59</v>
      </c>
      <c r="S129" s="18" t="s">
        <v>60</v>
      </c>
      <c r="T129" s="18" t="b">
        <v>1</v>
      </c>
      <c r="U129" s="18" t="s">
        <v>150</v>
      </c>
      <c r="V129" s="18" t="s">
        <v>40</v>
      </c>
      <c r="W129" s="18" t="s">
        <v>347</v>
      </c>
      <c r="X129" s="18" t="s">
        <v>348</v>
      </c>
      <c r="Y129" s="18">
        <v>1</v>
      </c>
      <c r="Z129" s="18">
        <v>200000</v>
      </c>
      <c r="AA129" s="18" t="s">
        <v>523</v>
      </c>
      <c r="AB129" s="18" t="s">
        <v>521</v>
      </c>
      <c r="AC129" s="18" t="s">
        <v>155</v>
      </c>
    </row>
    <row r="130" s="18" customFormat="1" spans="1:29">
      <c r="A130" s="18" t="s">
        <v>540</v>
      </c>
      <c r="B130" s="25" t="s">
        <v>540</v>
      </c>
      <c r="C130" s="26">
        <v>45664</v>
      </c>
      <c r="D130" s="18" t="s">
        <v>541</v>
      </c>
      <c r="E130" s="18" t="str">
        <f t="shared" si="1"/>
        <v>Dream Factory Pvt. Ltd.</v>
      </c>
      <c r="F130" s="27" t="e">
        <v>#N/A</v>
      </c>
      <c r="G130" s="18" t="s">
        <v>147</v>
      </c>
      <c r="H130" s="18" t="s">
        <v>148</v>
      </c>
      <c r="I130" s="18" t="s">
        <v>54</v>
      </c>
      <c r="J130" s="18" t="s">
        <v>395</v>
      </c>
      <c r="K130" s="18" t="s">
        <v>56</v>
      </c>
      <c r="L130" s="18" t="s">
        <v>36</v>
      </c>
      <c r="N130" s="18">
        <v>6</v>
      </c>
      <c r="O130" s="18" t="s">
        <v>88</v>
      </c>
      <c r="P130" s="18" t="s">
        <v>38</v>
      </c>
      <c r="Q130" s="18" t="s">
        <v>58</v>
      </c>
      <c r="R130" s="18" t="s">
        <v>59</v>
      </c>
      <c r="S130" s="18" t="s">
        <v>60</v>
      </c>
      <c r="T130" s="18" t="b">
        <v>1</v>
      </c>
      <c r="U130" s="18" t="s">
        <v>150</v>
      </c>
      <c r="V130" s="18" t="s">
        <v>40</v>
      </c>
      <c r="W130" s="18" t="s">
        <v>151</v>
      </c>
      <c r="X130" s="18" t="s">
        <v>152</v>
      </c>
      <c r="Y130" s="18">
        <v>1</v>
      </c>
      <c r="Z130" s="18">
        <v>4500000</v>
      </c>
      <c r="AA130" s="18" t="s">
        <v>542</v>
      </c>
      <c r="AB130" s="18" t="s">
        <v>397</v>
      </c>
      <c r="AC130" s="18" t="s">
        <v>155</v>
      </c>
    </row>
    <row r="131" s="18" customFormat="1" spans="1:29">
      <c r="A131" s="18" t="s">
        <v>543</v>
      </c>
      <c r="B131" s="25" t="s">
        <v>543</v>
      </c>
      <c r="C131" s="26">
        <v>45664</v>
      </c>
      <c r="D131" s="18" t="s">
        <v>375</v>
      </c>
      <c r="E131" s="18" t="str">
        <f t="shared" ref="E131:E194" si="2">_xlfn.TEXTBEFORE(D131,"-")</f>
        <v>Shivam Video Pvt.Ltd.</v>
      </c>
      <c r="F131" s="27" t="e">
        <v>#N/A</v>
      </c>
      <c r="G131" s="18" t="s">
        <v>147</v>
      </c>
      <c r="H131" s="18" t="s">
        <v>148</v>
      </c>
      <c r="I131" s="18" t="s">
        <v>54</v>
      </c>
      <c r="J131" s="18" t="s">
        <v>395</v>
      </c>
      <c r="K131" s="18" t="s">
        <v>56</v>
      </c>
      <c r="L131" s="18" t="s">
        <v>36</v>
      </c>
      <c r="N131" s="18">
        <v>6</v>
      </c>
      <c r="O131" s="18" t="s">
        <v>88</v>
      </c>
      <c r="P131" s="18" t="s">
        <v>38</v>
      </c>
      <c r="Q131" s="18" t="s">
        <v>58</v>
      </c>
      <c r="R131" s="18" t="s">
        <v>59</v>
      </c>
      <c r="S131" s="18" t="s">
        <v>60</v>
      </c>
      <c r="T131" s="18" t="b">
        <v>1</v>
      </c>
      <c r="U131" s="18" t="s">
        <v>150</v>
      </c>
      <c r="V131" s="18" t="s">
        <v>40</v>
      </c>
      <c r="W131" s="18" t="s">
        <v>371</v>
      </c>
      <c r="X131" s="18" t="s">
        <v>372</v>
      </c>
      <c r="Y131" s="18">
        <v>1</v>
      </c>
      <c r="Z131" s="18">
        <v>800000</v>
      </c>
      <c r="AA131" s="18" t="s">
        <v>544</v>
      </c>
      <c r="AB131" s="18" t="s">
        <v>397</v>
      </c>
      <c r="AC131" s="18" t="s">
        <v>163</v>
      </c>
    </row>
    <row r="132" s="18" customFormat="1" spans="1:29">
      <c r="A132" s="18" t="s">
        <v>545</v>
      </c>
      <c r="B132" s="25" t="s">
        <v>545</v>
      </c>
      <c r="C132" s="26">
        <v>45664</v>
      </c>
      <c r="D132" s="18" t="s">
        <v>546</v>
      </c>
      <c r="E132" s="18" t="str">
        <f t="shared" si="2"/>
        <v>Hertz And Pixelz</v>
      </c>
      <c r="F132" s="27" t="s">
        <v>547</v>
      </c>
      <c r="G132" s="18" t="s">
        <v>147</v>
      </c>
      <c r="H132" s="18" t="s">
        <v>148</v>
      </c>
      <c r="I132" s="18" t="s">
        <v>54</v>
      </c>
      <c r="J132" s="18" t="s">
        <v>395</v>
      </c>
      <c r="K132" s="18" t="s">
        <v>56</v>
      </c>
      <c r="L132" s="18" t="s">
        <v>36</v>
      </c>
      <c r="N132" s="18">
        <v>6</v>
      </c>
      <c r="O132" s="18" t="s">
        <v>88</v>
      </c>
      <c r="P132" s="18" t="s">
        <v>38</v>
      </c>
      <c r="Q132" s="18" t="s">
        <v>58</v>
      </c>
      <c r="R132" s="18" t="s">
        <v>59</v>
      </c>
      <c r="S132" s="18" t="s">
        <v>60</v>
      </c>
      <c r="T132" s="18" t="b">
        <v>1</v>
      </c>
      <c r="U132" s="18" t="s">
        <v>150</v>
      </c>
      <c r="V132" s="18" t="s">
        <v>40</v>
      </c>
      <c r="W132" s="18" t="s">
        <v>371</v>
      </c>
      <c r="X132" s="18" t="s">
        <v>372</v>
      </c>
      <c r="Y132" s="18">
        <v>1</v>
      </c>
      <c r="Z132" s="18">
        <v>1122500</v>
      </c>
      <c r="AA132" s="18" t="s">
        <v>544</v>
      </c>
      <c r="AB132" s="18" t="s">
        <v>397</v>
      </c>
      <c r="AC132" s="18" t="s">
        <v>163</v>
      </c>
    </row>
    <row r="133" s="18" customFormat="1" spans="1:29">
      <c r="A133" s="18" t="s">
        <v>548</v>
      </c>
      <c r="B133" s="25" t="s">
        <v>548</v>
      </c>
      <c r="C133" s="26">
        <v>45664</v>
      </c>
      <c r="D133" s="18" t="s">
        <v>535</v>
      </c>
      <c r="E133" s="18" t="str">
        <f t="shared" si="2"/>
        <v>Praveen Kumar(CR)</v>
      </c>
      <c r="F133" s="27" t="e">
        <v>#N/A</v>
      </c>
      <c r="G133" s="18" t="s">
        <v>147</v>
      </c>
      <c r="H133" s="18" t="s">
        <v>148</v>
      </c>
      <c r="I133" s="18" t="s">
        <v>54</v>
      </c>
      <c r="J133" s="18" t="s">
        <v>395</v>
      </c>
      <c r="K133" s="18" t="s">
        <v>56</v>
      </c>
      <c r="L133" s="18" t="s">
        <v>36</v>
      </c>
      <c r="N133" s="18">
        <v>6</v>
      </c>
      <c r="O133" s="18" t="s">
        <v>57</v>
      </c>
      <c r="P133" s="18" t="s">
        <v>38</v>
      </c>
      <c r="Q133" s="18" t="s">
        <v>58</v>
      </c>
      <c r="R133" s="18" t="s">
        <v>59</v>
      </c>
      <c r="S133" s="18" t="s">
        <v>60</v>
      </c>
      <c r="T133" s="18" t="b">
        <v>1</v>
      </c>
      <c r="U133" s="18" t="s">
        <v>150</v>
      </c>
      <c r="V133" s="18" t="s">
        <v>40</v>
      </c>
      <c r="W133" s="18" t="s">
        <v>347</v>
      </c>
      <c r="X133" s="18" t="s">
        <v>348</v>
      </c>
      <c r="Y133" s="18">
        <v>1</v>
      </c>
      <c r="Z133" s="18">
        <v>38000</v>
      </c>
      <c r="AA133" s="18" t="s">
        <v>544</v>
      </c>
      <c r="AB133" s="18" t="s">
        <v>397</v>
      </c>
      <c r="AC133" s="18" t="e">
        <v>#N/A</v>
      </c>
    </row>
    <row r="134" s="18" customFormat="1" spans="1:29">
      <c r="A134" s="18" t="s">
        <v>549</v>
      </c>
      <c r="B134" s="25" t="s">
        <v>549</v>
      </c>
      <c r="C134" s="26">
        <v>45664</v>
      </c>
      <c r="D134" s="18" t="s">
        <v>550</v>
      </c>
      <c r="E134" s="18" t="str">
        <f t="shared" si="2"/>
        <v>Golden Faces</v>
      </c>
      <c r="F134" s="27" t="s">
        <v>551</v>
      </c>
      <c r="G134" s="18" t="s">
        <v>147</v>
      </c>
      <c r="H134" s="18" t="s">
        <v>148</v>
      </c>
      <c r="I134" s="18" t="s">
        <v>54</v>
      </c>
      <c r="J134" s="18" t="s">
        <v>395</v>
      </c>
      <c r="K134" s="18" t="s">
        <v>56</v>
      </c>
      <c r="L134" s="18" t="s">
        <v>36</v>
      </c>
      <c r="N134" s="18">
        <v>6</v>
      </c>
      <c r="O134" s="18" t="s">
        <v>57</v>
      </c>
      <c r="P134" s="18" t="s">
        <v>38</v>
      </c>
      <c r="Q134" s="18" t="s">
        <v>58</v>
      </c>
      <c r="R134" s="18" t="s">
        <v>59</v>
      </c>
      <c r="S134" s="18" t="s">
        <v>60</v>
      </c>
      <c r="T134" s="18" t="b">
        <v>1</v>
      </c>
      <c r="U134" s="18" t="s">
        <v>150</v>
      </c>
      <c r="V134" s="18" t="s">
        <v>40</v>
      </c>
      <c r="W134" s="18" t="s">
        <v>317</v>
      </c>
      <c r="X134" s="18" t="s">
        <v>318</v>
      </c>
      <c r="Y134" s="18">
        <v>1</v>
      </c>
      <c r="Z134" s="18">
        <v>784900</v>
      </c>
      <c r="AA134" s="18" t="s">
        <v>544</v>
      </c>
      <c r="AB134" s="18" t="s">
        <v>397</v>
      </c>
      <c r="AC134" s="18" t="s">
        <v>155</v>
      </c>
    </row>
    <row r="135" s="18" customFormat="1" spans="1:29">
      <c r="A135" s="18" t="s">
        <v>552</v>
      </c>
      <c r="B135" s="25" t="s">
        <v>552</v>
      </c>
      <c r="C135" s="26">
        <v>45664</v>
      </c>
      <c r="D135" s="18" t="s">
        <v>472</v>
      </c>
      <c r="E135" s="18" t="e">
        <f t="shared" si="2"/>
        <v>#N/A</v>
      </c>
      <c r="F135" s="27" t="e">
        <v>#N/A</v>
      </c>
      <c r="G135" s="18" t="s">
        <v>147</v>
      </c>
      <c r="H135" s="18" t="s">
        <v>148</v>
      </c>
      <c r="I135" s="18" t="s">
        <v>54</v>
      </c>
      <c r="K135" s="18" t="s">
        <v>35</v>
      </c>
      <c r="L135" s="18" t="s">
        <v>36</v>
      </c>
      <c r="N135" s="18">
        <v>6</v>
      </c>
      <c r="P135" s="18" t="s">
        <v>38</v>
      </c>
      <c r="T135" s="18" t="b">
        <v>1</v>
      </c>
      <c r="U135" s="18" t="s">
        <v>150</v>
      </c>
      <c r="V135" s="18" t="s">
        <v>40</v>
      </c>
      <c r="W135" s="18" t="e">
        <v>#N/A</v>
      </c>
      <c r="X135" s="18" t="e">
        <v>#N/A</v>
      </c>
      <c r="Y135" s="18" t="e">
        <v>#N/A</v>
      </c>
      <c r="Z135" s="18" t="e">
        <v>#N/A</v>
      </c>
      <c r="AC135" s="18" t="e">
        <v>#N/A</v>
      </c>
    </row>
    <row r="136" s="18" customFormat="1" spans="1:29">
      <c r="A136" s="18" t="s">
        <v>553</v>
      </c>
      <c r="B136" s="25" t="s">
        <v>553</v>
      </c>
      <c r="C136" s="26">
        <v>45664</v>
      </c>
      <c r="D136" s="18" t="s">
        <v>533</v>
      </c>
      <c r="E136" s="18" t="str">
        <f t="shared" si="2"/>
        <v>Powerpro</v>
      </c>
      <c r="F136" s="27" t="e">
        <v>#N/A</v>
      </c>
      <c r="G136" s="18" t="s">
        <v>147</v>
      </c>
      <c r="H136" s="18" t="s">
        <v>148</v>
      </c>
      <c r="I136" s="18" t="s">
        <v>54</v>
      </c>
      <c r="J136" s="18" t="s">
        <v>249</v>
      </c>
      <c r="K136" s="18" t="s">
        <v>56</v>
      </c>
      <c r="L136" s="18" t="s">
        <v>36</v>
      </c>
      <c r="N136" s="18">
        <v>6</v>
      </c>
      <c r="O136" s="18" t="s">
        <v>88</v>
      </c>
      <c r="P136" s="18" t="s">
        <v>38</v>
      </c>
      <c r="Q136" s="18" t="s">
        <v>58</v>
      </c>
      <c r="R136" s="18" t="s">
        <v>59</v>
      </c>
      <c r="S136" s="18" t="s">
        <v>60</v>
      </c>
      <c r="T136" s="18" t="b">
        <v>1</v>
      </c>
      <c r="U136" s="18" t="s">
        <v>150</v>
      </c>
      <c r="V136" s="18" t="s">
        <v>40</v>
      </c>
      <c r="W136" s="18" t="s">
        <v>371</v>
      </c>
      <c r="X136" s="18" t="s">
        <v>372</v>
      </c>
      <c r="Y136" s="18">
        <v>1</v>
      </c>
      <c r="Z136" s="18">
        <v>850000</v>
      </c>
      <c r="AA136" s="18" t="s">
        <v>554</v>
      </c>
      <c r="AB136" s="18" t="s">
        <v>555</v>
      </c>
      <c r="AC136" s="18" t="s">
        <v>163</v>
      </c>
    </row>
    <row r="137" s="18" customFormat="1" spans="1:29">
      <c r="A137" s="18" t="s">
        <v>556</v>
      </c>
      <c r="B137" s="25" t="s">
        <v>556</v>
      </c>
      <c r="C137" s="26">
        <v>45664</v>
      </c>
      <c r="D137" s="18" t="s">
        <v>369</v>
      </c>
      <c r="E137" s="18" t="str">
        <f t="shared" si="2"/>
        <v>Beats Light &amp; Sound Pvt Ltd</v>
      </c>
      <c r="F137" s="27" t="s">
        <v>370</v>
      </c>
      <c r="G137" s="18" t="s">
        <v>147</v>
      </c>
      <c r="H137" s="18" t="s">
        <v>148</v>
      </c>
      <c r="I137" s="18" t="s">
        <v>54</v>
      </c>
      <c r="J137" s="18" t="s">
        <v>249</v>
      </c>
      <c r="K137" s="18" t="s">
        <v>56</v>
      </c>
      <c r="L137" s="18" t="s">
        <v>36</v>
      </c>
      <c r="N137" s="18">
        <v>6</v>
      </c>
      <c r="O137" s="18" t="s">
        <v>88</v>
      </c>
      <c r="P137" s="18" t="s">
        <v>38</v>
      </c>
      <c r="Q137" s="18" t="s">
        <v>58</v>
      </c>
      <c r="R137" s="18" t="s">
        <v>59</v>
      </c>
      <c r="S137" s="18" t="s">
        <v>60</v>
      </c>
      <c r="T137" s="18" t="b">
        <v>1</v>
      </c>
      <c r="U137" s="18" t="s">
        <v>150</v>
      </c>
      <c r="V137" s="18" t="s">
        <v>40</v>
      </c>
      <c r="W137" s="18" t="s">
        <v>371</v>
      </c>
      <c r="X137" s="18" t="s">
        <v>372</v>
      </c>
      <c r="Y137" s="18">
        <v>1</v>
      </c>
      <c r="Z137" s="18">
        <v>1800000</v>
      </c>
      <c r="AA137" s="18" t="s">
        <v>554</v>
      </c>
      <c r="AB137" s="18" t="s">
        <v>555</v>
      </c>
      <c r="AC137" s="18" t="s">
        <v>163</v>
      </c>
    </row>
    <row r="138" s="18" customFormat="1" spans="1:29">
      <c r="A138" s="18" t="s">
        <v>557</v>
      </c>
      <c r="B138" s="25" t="s">
        <v>557</v>
      </c>
      <c r="C138" s="26">
        <v>45664</v>
      </c>
      <c r="D138" s="18" t="s">
        <v>375</v>
      </c>
      <c r="E138" s="18" t="str">
        <f t="shared" si="2"/>
        <v>Shivam Video Pvt.Ltd.</v>
      </c>
      <c r="F138" s="27" t="e">
        <v>#N/A</v>
      </c>
      <c r="G138" s="18" t="s">
        <v>147</v>
      </c>
      <c r="H138" s="18" t="s">
        <v>148</v>
      </c>
      <c r="I138" s="18" t="s">
        <v>54</v>
      </c>
      <c r="J138" s="18" t="s">
        <v>249</v>
      </c>
      <c r="K138" s="18" t="s">
        <v>56</v>
      </c>
      <c r="L138" s="18" t="s">
        <v>36</v>
      </c>
      <c r="N138" s="18">
        <v>6</v>
      </c>
      <c r="O138" s="18" t="s">
        <v>88</v>
      </c>
      <c r="P138" s="18" t="s">
        <v>38</v>
      </c>
      <c r="Q138" s="18" t="s">
        <v>58</v>
      </c>
      <c r="R138" s="18" t="s">
        <v>59</v>
      </c>
      <c r="S138" s="18" t="s">
        <v>60</v>
      </c>
      <c r="T138" s="18" t="b">
        <v>1</v>
      </c>
      <c r="U138" s="18" t="s">
        <v>150</v>
      </c>
      <c r="V138" s="18" t="s">
        <v>40</v>
      </c>
      <c r="W138" s="18" t="s">
        <v>371</v>
      </c>
      <c r="X138" s="18" t="s">
        <v>372</v>
      </c>
      <c r="Y138" s="18">
        <v>1</v>
      </c>
      <c r="Z138" s="18">
        <v>2200000</v>
      </c>
      <c r="AA138" s="18" t="s">
        <v>554</v>
      </c>
      <c r="AB138" s="18" t="s">
        <v>555</v>
      </c>
      <c r="AC138" s="18" t="s">
        <v>163</v>
      </c>
    </row>
    <row r="139" s="18" customFormat="1" spans="1:29">
      <c r="A139" s="18" t="s">
        <v>558</v>
      </c>
      <c r="B139" s="25" t="s">
        <v>558</v>
      </c>
      <c r="C139" s="26">
        <v>45664</v>
      </c>
      <c r="D139" s="18" t="s">
        <v>559</v>
      </c>
      <c r="E139" s="18" t="str">
        <f t="shared" si="2"/>
        <v>Red Carpet Events And Entertainment</v>
      </c>
      <c r="F139" s="27" t="s">
        <v>560</v>
      </c>
      <c r="G139" s="18" t="s">
        <v>147</v>
      </c>
      <c r="H139" s="18" t="s">
        <v>148</v>
      </c>
      <c r="I139" s="18" t="s">
        <v>54</v>
      </c>
      <c r="J139" s="18" t="s">
        <v>249</v>
      </c>
      <c r="K139" s="18" t="s">
        <v>56</v>
      </c>
      <c r="L139" s="18" t="s">
        <v>36</v>
      </c>
      <c r="N139" s="18">
        <v>6</v>
      </c>
      <c r="O139" s="18" t="s">
        <v>88</v>
      </c>
      <c r="P139" s="18" t="s">
        <v>38</v>
      </c>
      <c r="Q139" s="18" t="s">
        <v>58</v>
      </c>
      <c r="R139" s="18" t="s">
        <v>59</v>
      </c>
      <c r="S139" s="18" t="s">
        <v>60</v>
      </c>
      <c r="T139" s="18" t="b">
        <v>1</v>
      </c>
      <c r="U139" s="18" t="s">
        <v>150</v>
      </c>
      <c r="V139" s="18" t="s">
        <v>40</v>
      </c>
      <c r="W139" s="18" t="s">
        <v>292</v>
      </c>
      <c r="X139" s="18" t="s">
        <v>293</v>
      </c>
      <c r="Y139" s="18">
        <v>1</v>
      </c>
      <c r="Z139" s="18">
        <v>140000</v>
      </c>
      <c r="AA139" s="18" t="s">
        <v>554</v>
      </c>
      <c r="AB139" s="18" t="s">
        <v>555</v>
      </c>
      <c r="AC139" s="18" t="e">
        <v>#N/A</v>
      </c>
    </row>
    <row r="140" s="18" customFormat="1" spans="1:29">
      <c r="A140" s="18" t="s">
        <v>561</v>
      </c>
      <c r="B140" s="25" t="s">
        <v>561</v>
      </c>
      <c r="C140" s="26">
        <v>45664</v>
      </c>
      <c r="D140" s="18" t="s">
        <v>562</v>
      </c>
      <c r="E140" s="18" t="str">
        <f t="shared" si="2"/>
        <v>Murti Medicare Centre</v>
      </c>
      <c r="F140" s="27" t="s">
        <v>563</v>
      </c>
      <c r="G140" s="18" t="s">
        <v>147</v>
      </c>
      <c r="H140" s="18" t="s">
        <v>148</v>
      </c>
      <c r="I140" s="18" t="s">
        <v>54</v>
      </c>
      <c r="J140" s="18" t="s">
        <v>249</v>
      </c>
      <c r="K140" s="18" t="s">
        <v>56</v>
      </c>
      <c r="L140" s="18" t="s">
        <v>36</v>
      </c>
      <c r="N140" s="18">
        <v>6</v>
      </c>
      <c r="O140" s="18" t="s">
        <v>88</v>
      </c>
      <c r="P140" s="18" t="s">
        <v>38</v>
      </c>
      <c r="Q140" s="18" t="s">
        <v>58</v>
      </c>
      <c r="R140" s="18" t="s">
        <v>59</v>
      </c>
      <c r="S140" s="18" t="s">
        <v>60</v>
      </c>
      <c r="T140" s="18" t="b">
        <v>1</v>
      </c>
      <c r="U140" s="18" t="s">
        <v>150</v>
      </c>
      <c r="V140" s="18" t="s">
        <v>40</v>
      </c>
      <c r="W140" s="18" t="s">
        <v>233</v>
      </c>
      <c r="X140" s="18" t="s">
        <v>234</v>
      </c>
      <c r="Y140" s="18">
        <v>1</v>
      </c>
      <c r="Z140" s="18">
        <v>20000</v>
      </c>
      <c r="AA140" s="18" t="s">
        <v>554</v>
      </c>
      <c r="AB140" s="18" t="s">
        <v>555</v>
      </c>
      <c r="AC140" s="18" t="s">
        <v>155</v>
      </c>
    </row>
    <row r="141" s="18" customFormat="1" spans="1:29">
      <c r="A141" s="18" t="s">
        <v>564</v>
      </c>
      <c r="B141" s="25" t="s">
        <v>564</v>
      </c>
      <c r="C141" s="26">
        <v>45664</v>
      </c>
      <c r="D141" s="18" t="s">
        <v>565</v>
      </c>
      <c r="E141" s="18" t="str">
        <f t="shared" si="2"/>
        <v>Abhimanyu Awate </v>
      </c>
      <c r="F141" s="27" t="e">
        <v>#N/A</v>
      </c>
      <c r="G141" s="18" t="s">
        <v>182</v>
      </c>
      <c r="H141" s="18" t="s">
        <v>183</v>
      </c>
      <c r="I141" s="18" t="s">
        <v>481</v>
      </c>
      <c r="J141" s="18" t="s">
        <v>204</v>
      </c>
      <c r="K141" s="18" t="s">
        <v>56</v>
      </c>
      <c r="L141" s="18" t="s">
        <v>36</v>
      </c>
      <c r="N141" s="18">
        <v>6</v>
      </c>
      <c r="O141" s="18" t="s">
        <v>93</v>
      </c>
      <c r="P141" s="18" t="s">
        <v>38</v>
      </c>
      <c r="Q141" s="18" t="s">
        <v>194</v>
      </c>
      <c r="R141" s="18" t="s">
        <v>59</v>
      </c>
      <c r="S141" s="18" t="s">
        <v>195</v>
      </c>
      <c r="T141" s="18" t="b">
        <v>0</v>
      </c>
      <c r="U141" s="18" t="s">
        <v>187</v>
      </c>
      <c r="V141" s="18" t="s">
        <v>40</v>
      </c>
      <c r="W141" s="18" t="s">
        <v>126</v>
      </c>
      <c r="X141" s="18" t="s">
        <v>127</v>
      </c>
      <c r="Y141" s="18">
        <v>1</v>
      </c>
      <c r="Z141" s="18">
        <v>13068</v>
      </c>
      <c r="AC141" s="18" t="e">
        <v>#N/A</v>
      </c>
    </row>
    <row r="142" s="18" customFormat="1" ht="29" spans="1:29">
      <c r="A142" s="18" t="s">
        <v>566</v>
      </c>
      <c r="B142" s="25" t="s">
        <v>566</v>
      </c>
      <c r="C142" s="26">
        <v>45664</v>
      </c>
      <c r="D142" s="18" t="s">
        <v>567</v>
      </c>
      <c r="E142" s="18" t="str">
        <f t="shared" si="2"/>
        <v>Ameya Integrated Services</v>
      </c>
      <c r="F142" s="27" t="s">
        <v>568</v>
      </c>
      <c r="G142" s="18" t="s">
        <v>182</v>
      </c>
      <c r="H142" s="18" t="s">
        <v>183</v>
      </c>
      <c r="I142" s="18" t="s">
        <v>184</v>
      </c>
      <c r="J142" s="18" t="s">
        <v>193</v>
      </c>
      <c r="K142" s="18" t="s">
        <v>56</v>
      </c>
      <c r="L142" s="18" t="s">
        <v>36</v>
      </c>
      <c r="N142" s="18">
        <v>6</v>
      </c>
      <c r="O142" s="18" t="s">
        <v>88</v>
      </c>
      <c r="P142" s="18" t="s">
        <v>38</v>
      </c>
      <c r="Q142" s="18" t="s">
        <v>194</v>
      </c>
      <c r="R142" s="18" t="s">
        <v>59</v>
      </c>
      <c r="S142" s="18" t="s">
        <v>195</v>
      </c>
      <c r="T142" s="18" t="b">
        <v>0</v>
      </c>
      <c r="U142" s="18" t="s">
        <v>187</v>
      </c>
      <c r="V142" s="18" t="s">
        <v>40</v>
      </c>
      <c r="W142" s="18" t="s">
        <v>292</v>
      </c>
      <c r="X142" s="18" t="s">
        <v>293</v>
      </c>
      <c r="Y142" s="18">
        <v>1</v>
      </c>
      <c r="Z142" s="18">
        <v>100000</v>
      </c>
      <c r="AA142" s="31" t="s">
        <v>569</v>
      </c>
      <c r="AB142" s="18" t="s">
        <v>570</v>
      </c>
      <c r="AC142" s="18" t="s">
        <v>200</v>
      </c>
    </row>
    <row r="143" s="18" customFormat="1" ht="29" spans="1:29">
      <c r="A143" s="18" t="s">
        <v>571</v>
      </c>
      <c r="B143" s="25" t="s">
        <v>571</v>
      </c>
      <c r="C143" s="26">
        <v>45664</v>
      </c>
      <c r="D143" s="18" t="s">
        <v>572</v>
      </c>
      <c r="E143" s="18" t="str">
        <f t="shared" si="2"/>
        <v>Emblaze Events (Sunita Harihar Sharma)</v>
      </c>
      <c r="F143" s="27" t="s">
        <v>573</v>
      </c>
      <c r="G143" s="18" t="s">
        <v>182</v>
      </c>
      <c r="H143" s="18" t="s">
        <v>183</v>
      </c>
      <c r="I143" s="18" t="s">
        <v>184</v>
      </c>
      <c r="J143" s="18" t="s">
        <v>193</v>
      </c>
      <c r="K143" s="18" t="s">
        <v>56</v>
      </c>
      <c r="L143" s="18" t="s">
        <v>36</v>
      </c>
      <c r="N143" s="18">
        <v>6</v>
      </c>
      <c r="O143" s="18" t="s">
        <v>88</v>
      </c>
      <c r="P143" s="18" t="s">
        <v>38</v>
      </c>
      <c r="Q143" s="18" t="s">
        <v>194</v>
      </c>
      <c r="R143" s="18" t="s">
        <v>59</v>
      </c>
      <c r="S143" s="18" t="s">
        <v>195</v>
      </c>
      <c r="T143" s="18" t="b">
        <v>0</v>
      </c>
      <c r="U143" s="18" t="s">
        <v>187</v>
      </c>
      <c r="V143" s="18" t="s">
        <v>40</v>
      </c>
      <c r="W143" s="18" t="s">
        <v>292</v>
      </c>
      <c r="X143" s="18" t="s">
        <v>293</v>
      </c>
      <c r="Y143" s="18">
        <v>1</v>
      </c>
      <c r="Z143" s="18">
        <v>13800</v>
      </c>
      <c r="AA143" s="31" t="s">
        <v>569</v>
      </c>
      <c r="AB143" s="18" t="s">
        <v>570</v>
      </c>
      <c r="AC143" s="18" t="s">
        <v>200</v>
      </c>
    </row>
    <row r="144" s="18" customFormat="1" ht="29" spans="1:29">
      <c r="A144" s="18" t="s">
        <v>574</v>
      </c>
      <c r="B144" s="25" t="s">
        <v>574</v>
      </c>
      <c r="C144" s="26">
        <v>45664</v>
      </c>
      <c r="D144" s="18" t="s">
        <v>264</v>
      </c>
      <c r="E144" s="18" t="str">
        <f t="shared" si="2"/>
        <v>The Indian Performing Right Society Ltd.</v>
      </c>
      <c r="F144" s="27" t="e">
        <v>#N/A</v>
      </c>
      <c r="G144" s="18" t="s">
        <v>182</v>
      </c>
      <c r="H144" s="18" t="s">
        <v>183</v>
      </c>
      <c r="I144" s="18" t="s">
        <v>184</v>
      </c>
      <c r="J144" s="18" t="s">
        <v>240</v>
      </c>
      <c r="K144" s="18" t="s">
        <v>56</v>
      </c>
      <c r="L144" s="18" t="s">
        <v>36</v>
      </c>
      <c r="N144" s="18">
        <v>6</v>
      </c>
      <c r="O144" s="18" t="s">
        <v>57</v>
      </c>
      <c r="P144" s="18" t="s">
        <v>38</v>
      </c>
      <c r="Q144" s="18" t="s">
        <v>58</v>
      </c>
      <c r="R144" s="18" t="s">
        <v>59</v>
      </c>
      <c r="S144" s="18" t="s">
        <v>60</v>
      </c>
      <c r="T144" s="18" t="b">
        <v>0</v>
      </c>
      <c r="U144" s="18" t="s">
        <v>187</v>
      </c>
      <c r="V144" s="18" t="s">
        <v>40</v>
      </c>
      <c r="W144" s="18" t="s">
        <v>256</v>
      </c>
      <c r="X144" s="18" t="s">
        <v>257</v>
      </c>
      <c r="Y144" s="18">
        <v>1</v>
      </c>
      <c r="Z144" s="18">
        <v>30000</v>
      </c>
      <c r="AA144" s="31" t="s">
        <v>262</v>
      </c>
      <c r="AB144" s="18" t="s">
        <v>259</v>
      </c>
      <c r="AC144" s="18" t="s">
        <v>200</v>
      </c>
    </row>
    <row r="145" s="18" customFormat="1" ht="29" spans="1:29">
      <c r="A145" s="18" t="s">
        <v>575</v>
      </c>
      <c r="B145" s="25" t="s">
        <v>575</v>
      </c>
      <c r="C145" s="26">
        <v>45664</v>
      </c>
      <c r="D145" s="18" t="s">
        <v>255</v>
      </c>
      <c r="E145" s="18" t="str">
        <f t="shared" si="2"/>
        <v>Phonographic Performance Limited</v>
      </c>
      <c r="F145" s="27" t="e">
        <v>#N/A</v>
      </c>
      <c r="G145" s="18" t="s">
        <v>182</v>
      </c>
      <c r="H145" s="18" t="s">
        <v>183</v>
      </c>
      <c r="I145" s="18" t="s">
        <v>184</v>
      </c>
      <c r="J145" s="18" t="s">
        <v>240</v>
      </c>
      <c r="K145" s="18" t="s">
        <v>56</v>
      </c>
      <c r="L145" s="18" t="s">
        <v>36</v>
      </c>
      <c r="N145" s="18">
        <v>6</v>
      </c>
      <c r="O145" s="18" t="s">
        <v>88</v>
      </c>
      <c r="P145" s="18" t="s">
        <v>38</v>
      </c>
      <c r="Q145" s="18" t="s">
        <v>58</v>
      </c>
      <c r="R145" s="18" t="s">
        <v>59</v>
      </c>
      <c r="S145" s="18" t="s">
        <v>60</v>
      </c>
      <c r="T145" s="18" t="b">
        <v>0</v>
      </c>
      <c r="U145" s="18" t="s">
        <v>187</v>
      </c>
      <c r="V145" s="18" t="s">
        <v>40</v>
      </c>
      <c r="W145" s="18" t="s">
        <v>256</v>
      </c>
      <c r="X145" s="18" t="s">
        <v>257</v>
      </c>
      <c r="Y145" s="18">
        <v>1</v>
      </c>
      <c r="Z145" s="18">
        <v>55500</v>
      </c>
      <c r="AA145" s="31" t="s">
        <v>262</v>
      </c>
      <c r="AB145" s="18" t="s">
        <v>259</v>
      </c>
      <c r="AC145" s="18" t="s">
        <v>200</v>
      </c>
    </row>
    <row r="146" s="18" customFormat="1" ht="29" spans="1:29">
      <c r="A146" s="18" t="s">
        <v>576</v>
      </c>
      <c r="B146" s="25" t="s">
        <v>576</v>
      </c>
      <c r="C146" s="26">
        <v>45664</v>
      </c>
      <c r="D146" s="18" t="s">
        <v>261</v>
      </c>
      <c r="E146" s="18" t="str">
        <f t="shared" si="2"/>
        <v>Novex Communications Pvt. Ltd.</v>
      </c>
      <c r="F146" s="27" t="e">
        <v>#N/A</v>
      </c>
      <c r="G146" s="18" t="s">
        <v>182</v>
      </c>
      <c r="H146" s="18" t="s">
        <v>183</v>
      </c>
      <c r="I146" s="18" t="s">
        <v>184</v>
      </c>
      <c r="J146" s="18" t="s">
        <v>240</v>
      </c>
      <c r="K146" s="18" t="s">
        <v>56</v>
      </c>
      <c r="L146" s="18" t="s">
        <v>36</v>
      </c>
      <c r="N146" s="18">
        <v>6</v>
      </c>
      <c r="O146" s="18" t="s">
        <v>88</v>
      </c>
      <c r="P146" s="18" t="s">
        <v>38</v>
      </c>
      <c r="Q146" s="18" t="s">
        <v>58</v>
      </c>
      <c r="R146" s="18" t="s">
        <v>59</v>
      </c>
      <c r="S146" s="18" t="s">
        <v>60</v>
      </c>
      <c r="T146" s="18" t="b">
        <v>0</v>
      </c>
      <c r="U146" s="18" t="s">
        <v>187</v>
      </c>
      <c r="V146" s="18" t="s">
        <v>40</v>
      </c>
      <c r="W146" s="18" t="s">
        <v>256</v>
      </c>
      <c r="X146" s="18" t="s">
        <v>257</v>
      </c>
      <c r="Y146" s="18">
        <v>1</v>
      </c>
      <c r="Z146" s="18">
        <v>60000</v>
      </c>
      <c r="AA146" s="31" t="s">
        <v>262</v>
      </c>
      <c r="AB146" s="18" t="s">
        <v>259</v>
      </c>
      <c r="AC146" s="18" t="s">
        <v>200</v>
      </c>
    </row>
    <row r="147" s="18" customFormat="1" ht="29" spans="1:29">
      <c r="A147" s="18" t="s">
        <v>577</v>
      </c>
      <c r="B147" s="25" t="s">
        <v>577</v>
      </c>
      <c r="C147" s="26">
        <v>45664</v>
      </c>
      <c r="D147" s="18" t="s">
        <v>578</v>
      </c>
      <c r="E147" s="18" t="str">
        <f t="shared" si="2"/>
        <v>Z Bliss Suites (Zolostays Property Solutions Pvt Ltd)</v>
      </c>
      <c r="F147" s="27" t="s">
        <v>579</v>
      </c>
      <c r="G147" s="18" t="s">
        <v>182</v>
      </c>
      <c r="H147" s="18" t="s">
        <v>183</v>
      </c>
      <c r="I147" s="18" t="s">
        <v>184</v>
      </c>
      <c r="J147" s="18" t="s">
        <v>204</v>
      </c>
      <c r="K147" s="18" t="s">
        <v>56</v>
      </c>
      <c r="L147" s="18" t="s">
        <v>36</v>
      </c>
      <c r="N147" s="18">
        <v>6</v>
      </c>
      <c r="O147" s="18" t="s">
        <v>88</v>
      </c>
      <c r="P147" s="18" t="s">
        <v>38</v>
      </c>
      <c r="Q147" s="18" t="s">
        <v>194</v>
      </c>
      <c r="R147" s="18" t="s">
        <v>59</v>
      </c>
      <c r="S147" s="18" t="s">
        <v>195</v>
      </c>
      <c r="T147" s="18" t="b">
        <v>0</v>
      </c>
      <c r="U147" s="18" t="s">
        <v>187</v>
      </c>
      <c r="V147" s="18" t="s">
        <v>40</v>
      </c>
      <c r="W147" s="18" t="s">
        <v>61</v>
      </c>
      <c r="X147" s="18" t="s">
        <v>62</v>
      </c>
      <c r="Y147" s="18">
        <v>1</v>
      </c>
      <c r="Z147" s="18">
        <v>22497</v>
      </c>
      <c r="AA147" s="31" t="s">
        <v>580</v>
      </c>
      <c r="AB147" s="18" t="s">
        <v>581</v>
      </c>
      <c r="AC147" s="18" t="s">
        <v>582</v>
      </c>
    </row>
    <row r="148" s="18" customFormat="1" ht="29" spans="1:29">
      <c r="A148" s="18" t="s">
        <v>583</v>
      </c>
      <c r="B148" s="25" t="s">
        <v>583</v>
      </c>
      <c r="C148" s="26">
        <v>45664</v>
      </c>
      <c r="D148" s="18" t="s">
        <v>255</v>
      </c>
      <c r="E148" s="18" t="str">
        <f t="shared" si="2"/>
        <v>Phonographic Performance Limited</v>
      </c>
      <c r="F148" s="27" t="e">
        <v>#N/A</v>
      </c>
      <c r="G148" s="18" t="s">
        <v>182</v>
      </c>
      <c r="H148" s="18" t="s">
        <v>183</v>
      </c>
      <c r="I148" s="18" t="s">
        <v>184</v>
      </c>
      <c r="J148" s="18" t="s">
        <v>499</v>
      </c>
      <c r="K148" s="18" t="s">
        <v>56</v>
      </c>
      <c r="L148" s="18" t="s">
        <v>36</v>
      </c>
      <c r="N148" s="18">
        <v>6</v>
      </c>
      <c r="O148" s="18" t="s">
        <v>88</v>
      </c>
      <c r="P148" s="18" t="s">
        <v>38</v>
      </c>
      <c r="Q148" s="18" t="s">
        <v>117</v>
      </c>
      <c r="R148" s="18" t="s">
        <v>59</v>
      </c>
      <c r="S148" s="18" t="s">
        <v>186</v>
      </c>
      <c r="T148" s="18" t="b">
        <v>0</v>
      </c>
      <c r="U148" s="18" t="s">
        <v>187</v>
      </c>
      <c r="V148" s="18" t="s">
        <v>40</v>
      </c>
      <c r="W148" s="18" t="s">
        <v>256</v>
      </c>
      <c r="X148" s="18" t="s">
        <v>257</v>
      </c>
      <c r="Y148" s="18">
        <v>1</v>
      </c>
      <c r="Z148" s="18">
        <v>54839.29</v>
      </c>
      <c r="AA148" s="31" t="s">
        <v>262</v>
      </c>
      <c r="AB148" s="18" t="s">
        <v>259</v>
      </c>
      <c r="AC148" s="18" t="s">
        <v>200</v>
      </c>
    </row>
    <row r="149" s="18" customFormat="1" spans="1:29">
      <c r="A149" s="18" t="s">
        <v>584</v>
      </c>
      <c r="B149" s="25" t="s">
        <v>584</v>
      </c>
      <c r="C149" s="26">
        <v>45664</v>
      </c>
      <c r="D149" s="18" t="s">
        <v>585</v>
      </c>
      <c r="E149" s="18" t="str">
        <f t="shared" si="2"/>
        <v>Sconce Global Pvt Ltd</v>
      </c>
      <c r="F149" s="27" t="s">
        <v>586</v>
      </c>
      <c r="G149" s="18" t="s">
        <v>182</v>
      </c>
      <c r="H149" s="18" t="s">
        <v>183</v>
      </c>
      <c r="I149" s="18" t="s">
        <v>207</v>
      </c>
      <c r="J149" s="18" t="s">
        <v>466</v>
      </c>
      <c r="K149" s="18" t="s">
        <v>56</v>
      </c>
      <c r="L149" s="18" t="s">
        <v>36</v>
      </c>
      <c r="N149" s="18">
        <v>6</v>
      </c>
      <c r="O149" s="18" t="s">
        <v>88</v>
      </c>
      <c r="P149" s="18" t="s">
        <v>38</v>
      </c>
      <c r="Q149" s="18" t="s">
        <v>58</v>
      </c>
      <c r="R149" s="18" t="s">
        <v>59</v>
      </c>
      <c r="S149" s="18" t="s">
        <v>60</v>
      </c>
      <c r="T149" s="18" t="b">
        <v>0</v>
      </c>
      <c r="U149" s="18" t="s">
        <v>187</v>
      </c>
      <c r="V149" s="18" t="s">
        <v>40</v>
      </c>
      <c r="W149" s="18" t="s">
        <v>151</v>
      </c>
      <c r="X149" s="18" t="s">
        <v>152</v>
      </c>
      <c r="Y149" s="18">
        <v>1</v>
      </c>
      <c r="Z149" s="18">
        <v>12200000</v>
      </c>
      <c r="AA149" s="18" t="s">
        <v>523</v>
      </c>
      <c r="AB149" s="18" t="s">
        <v>521</v>
      </c>
      <c r="AC149" s="18" t="s">
        <v>216</v>
      </c>
    </row>
    <row r="150" s="18" customFormat="1" ht="29" spans="1:29">
      <c r="A150" s="18" t="s">
        <v>587</v>
      </c>
      <c r="B150" s="25" t="s">
        <v>587</v>
      </c>
      <c r="C150" s="26">
        <v>45664</v>
      </c>
      <c r="D150" s="18" t="s">
        <v>261</v>
      </c>
      <c r="E150" s="18" t="str">
        <f t="shared" si="2"/>
        <v>Novex Communications Pvt. Ltd.</v>
      </c>
      <c r="F150" s="27" t="e">
        <v>#N/A</v>
      </c>
      <c r="G150" s="18" t="s">
        <v>182</v>
      </c>
      <c r="H150" s="18" t="s">
        <v>183</v>
      </c>
      <c r="I150" s="18" t="s">
        <v>184</v>
      </c>
      <c r="J150" s="18" t="s">
        <v>499</v>
      </c>
      <c r="K150" s="18" t="s">
        <v>56</v>
      </c>
      <c r="L150" s="18" t="s">
        <v>36</v>
      </c>
      <c r="N150" s="18">
        <v>6</v>
      </c>
      <c r="O150" s="18" t="s">
        <v>88</v>
      </c>
      <c r="P150" s="18" t="s">
        <v>38</v>
      </c>
      <c r="Q150" s="18" t="s">
        <v>117</v>
      </c>
      <c r="R150" s="18" t="s">
        <v>59</v>
      </c>
      <c r="S150" s="18" t="s">
        <v>186</v>
      </c>
      <c r="T150" s="18" t="b">
        <v>0</v>
      </c>
      <c r="U150" s="18" t="s">
        <v>187</v>
      </c>
      <c r="V150" s="18" t="s">
        <v>40</v>
      </c>
      <c r="W150" s="18" t="s">
        <v>256</v>
      </c>
      <c r="X150" s="18" t="s">
        <v>257</v>
      </c>
      <c r="Y150" s="18">
        <v>1</v>
      </c>
      <c r="Z150" s="18">
        <v>57000</v>
      </c>
      <c r="AA150" s="31" t="s">
        <v>262</v>
      </c>
      <c r="AB150" s="18" t="s">
        <v>259</v>
      </c>
      <c r="AC150" s="18" t="s">
        <v>200</v>
      </c>
    </row>
    <row r="151" s="18" customFormat="1" ht="29" spans="1:29">
      <c r="A151" s="18" t="s">
        <v>588</v>
      </c>
      <c r="B151" s="25" t="s">
        <v>588</v>
      </c>
      <c r="C151" s="26">
        <v>45664</v>
      </c>
      <c r="D151" s="18" t="s">
        <v>255</v>
      </c>
      <c r="E151" s="18" t="str">
        <f t="shared" si="2"/>
        <v>Phonographic Performance Limited</v>
      </c>
      <c r="F151" s="27" t="e">
        <v>#N/A</v>
      </c>
      <c r="G151" s="18" t="s">
        <v>182</v>
      </c>
      <c r="H151" s="18" t="s">
        <v>183</v>
      </c>
      <c r="I151" s="18" t="s">
        <v>184</v>
      </c>
      <c r="J151" s="18" t="s">
        <v>149</v>
      </c>
      <c r="K151" s="18" t="s">
        <v>56</v>
      </c>
      <c r="L151" s="18" t="s">
        <v>36</v>
      </c>
      <c r="N151" s="18">
        <v>6</v>
      </c>
      <c r="O151" s="18" t="s">
        <v>88</v>
      </c>
      <c r="P151" s="18" t="s">
        <v>38</v>
      </c>
      <c r="Q151" s="18" t="s">
        <v>58</v>
      </c>
      <c r="R151" s="18" t="s">
        <v>59</v>
      </c>
      <c r="S151" s="18" t="s">
        <v>60</v>
      </c>
      <c r="T151" s="18" t="b">
        <v>0</v>
      </c>
      <c r="U151" s="18" t="s">
        <v>187</v>
      </c>
      <c r="V151" s="18" t="s">
        <v>40</v>
      </c>
      <c r="W151" s="18" t="s">
        <v>256</v>
      </c>
      <c r="X151" s="18" t="s">
        <v>257</v>
      </c>
      <c r="Y151" s="18">
        <v>1</v>
      </c>
      <c r="Z151" s="18">
        <v>85000</v>
      </c>
      <c r="AA151" s="31" t="s">
        <v>262</v>
      </c>
      <c r="AB151" s="18" t="s">
        <v>259</v>
      </c>
      <c r="AC151" s="18" t="s">
        <v>200</v>
      </c>
    </row>
    <row r="152" s="18" customFormat="1" ht="29" spans="1:29">
      <c r="A152" s="18" t="s">
        <v>589</v>
      </c>
      <c r="B152" s="25" t="s">
        <v>589</v>
      </c>
      <c r="C152" s="26">
        <v>45664</v>
      </c>
      <c r="D152" s="18" t="s">
        <v>590</v>
      </c>
      <c r="E152" s="18" t="str">
        <f t="shared" si="2"/>
        <v>Rak Lead Events</v>
      </c>
      <c r="F152" s="27" t="s">
        <v>591</v>
      </c>
      <c r="G152" s="18" t="s">
        <v>182</v>
      </c>
      <c r="H152" s="18" t="s">
        <v>183</v>
      </c>
      <c r="I152" s="18" t="s">
        <v>184</v>
      </c>
      <c r="J152" s="18" t="s">
        <v>499</v>
      </c>
      <c r="K152" s="18" t="s">
        <v>56</v>
      </c>
      <c r="L152" s="18" t="s">
        <v>36</v>
      </c>
      <c r="N152" s="18">
        <v>6</v>
      </c>
      <c r="O152" s="18" t="s">
        <v>88</v>
      </c>
      <c r="P152" s="18" t="s">
        <v>38</v>
      </c>
      <c r="Q152" s="18" t="s">
        <v>117</v>
      </c>
      <c r="R152" s="18" t="s">
        <v>59</v>
      </c>
      <c r="S152" s="18" t="s">
        <v>186</v>
      </c>
      <c r="T152" s="18" t="b">
        <v>0</v>
      </c>
      <c r="U152" s="18" t="s">
        <v>187</v>
      </c>
      <c r="V152" s="18" t="s">
        <v>40</v>
      </c>
      <c r="W152" s="18" t="s">
        <v>317</v>
      </c>
      <c r="X152" s="18" t="s">
        <v>318</v>
      </c>
      <c r="Y152" s="18">
        <v>1</v>
      </c>
      <c r="Z152" s="18">
        <v>165000</v>
      </c>
      <c r="AA152" s="31" t="s">
        <v>338</v>
      </c>
      <c r="AB152" s="18" t="s">
        <v>339</v>
      </c>
      <c r="AC152" s="18" t="s">
        <v>216</v>
      </c>
    </row>
    <row r="153" s="18" customFormat="1" ht="29" spans="1:29">
      <c r="A153" s="18" t="s">
        <v>592</v>
      </c>
      <c r="B153" s="25" t="s">
        <v>592</v>
      </c>
      <c r="C153" s="26">
        <v>45664</v>
      </c>
      <c r="D153" s="18" t="s">
        <v>593</v>
      </c>
      <c r="E153" s="18" t="str">
        <f t="shared" si="2"/>
        <v>Sportocraft Enterprises</v>
      </c>
      <c r="F153" s="27" t="s">
        <v>594</v>
      </c>
      <c r="G153" s="18" t="s">
        <v>182</v>
      </c>
      <c r="H153" s="18" t="s">
        <v>183</v>
      </c>
      <c r="I153" s="18" t="s">
        <v>184</v>
      </c>
      <c r="J153" s="18" t="s">
        <v>499</v>
      </c>
      <c r="K153" s="18" t="s">
        <v>56</v>
      </c>
      <c r="L153" s="18" t="s">
        <v>36</v>
      </c>
      <c r="N153" s="18">
        <v>6</v>
      </c>
      <c r="O153" s="18" t="s">
        <v>88</v>
      </c>
      <c r="P153" s="18" t="s">
        <v>38</v>
      </c>
      <c r="Q153" s="18" t="s">
        <v>117</v>
      </c>
      <c r="R153" s="18" t="s">
        <v>59</v>
      </c>
      <c r="S153" s="18" t="s">
        <v>186</v>
      </c>
      <c r="T153" s="18" t="b">
        <v>0</v>
      </c>
      <c r="U153" s="18" t="s">
        <v>187</v>
      </c>
      <c r="V153" s="18" t="s">
        <v>40</v>
      </c>
      <c r="W153" s="18" t="s">
        <v>317</v>
      </c>
      <c r="X153" s="18" t="s">
        <v>318</v>
      </c>
      <c r="Y153" s="18">
        <v>1</v>
      </c>
      <c r="Z153" s="18">
        <v>114000</v>
      </c>
      <c r="AA153" s="31" t="s">
        <v>338</v>
      </c>
      <c r="AB153" s="18" t="s">
        <v>339</v>
      </c>
      <c r="AC153" s="18" t="s">
        <v>200</v>
      </c>
    </row>
    <row r="154" s="18" customFormat="1" spans="1:29">
      <c r="A154" s="18" t="s">
        <v>595</v>
      </c>
      <c r="B154" s="25" t="s">
        <v>595</v>
      </c>
      <c r="C154" s="26">
        <v>45665</v>
      </c>
      <c r="D154" s="18" t="s">
        <v>472</v>
      </c>
      <c r="E154" s="18" t="e">
        <f t="shared" si="2"/>
        <v>#N/A</v>
      </c>
      <c r="F154" s="27" t="e">
        <v>#N/A</v>
      </c>
      <c r="G154" s="18" t="s">
        <v>32</v>
      </c>
      <c r="H154" s="18" t="s">
        <v>33</v>
      </c>
      <c r="I154" s="18" t="s">
        <v>207</v>
      </c>
      <c r="K154" s="18" t="s">
        <v>35</v>
      </c>
      <c r="L154" s="18" t="s">
        <v>36</v>
      </c>
      <c r="N154" s="18">
        <v>6</v>
      </c>
      <c r="P154" s="18" t="s">
        <v>38</v>
      </c>
      <c r="T154" s="18" t="b">
        <v>1</v>
      </c>
      <c r="U154" s="18" t="s">
        <v>39</v>
      </c>
      <c r="V154" s="18" t="s">
        <v>40</v>
      </c>
      <c r="W154" s="18" t="e">
        <v>#N/A</v>
      </c>
      <c r="X154" s="18" t="e">
        <v>#N/A</v>
      </c>
      <c r="Y154" s="18" t="e">
        <v>#N/A</v>
      </c>
      <c r="Z154" s="18" t="e">
        <v>#N/A</v>
      </c>
      <c r="AC154" s="18" t="e">
        <v>#N/A</v>
      </c>
    </row>
    <row r="155" s="18" customFormat="1" spans="1:29">
      <c r="A155" s="18" t="s">
        <v>596</v>
      </c>
      <c r="B155" s="25" t="s">
        <v>596</v>
      </c>
      <c r="C155" s="26">
        <v>45665</v>
      </c>
      <c r="D155" s="18" t="s">
        <v>597</v>
      </c>
      <c r="E155" s="18" t="str">
        <f t="shared" si="2"/>
        <v>Graflex INC</v>
      </c>
      <c r="F155" s="27" t="s">
        <v>598</v>
      </c>
      <c r="G155" s="18" t="s">
        <v>32</v>
      </c>
      <c r="H155" s="18" t="s">
        <v>33</v>
      </c>
      <c r="I155" s="18" t="s">
        <v>207</v>
      </c>
      <c r="J155" s="18" t="s">
        <v>55</v>
      </c>
      <c r="K155" s="18" t="s">
        <v>56</v>
      </c>
      <c r="L155" s="18" t="s">
        <v>36</v>
      </c>
      <c r="N155" s="18">
        <v>6</v>
      </c>
      <c r="O155" s="18" t="s">
        <v>88</v>
      </c>
      <c r="P155" s="18" t="s">
        <v>38</v>
      </c>
      <c r="Q155" s="18" t="s">
        <v>58</v>
      </c>
      <c r="R155" s="18" t="s">
        <v>59</v>
      </c>
      <c r="S155" s="18" t="s">
        <v>60</v>
      </c>
      <c r="T155" s="18" t="b">
        <v>1</v>
      </c>
      <c r="U155" s="18" t="s">
        <v>39</v>
      </c>
      <c r="V155" s="18" t="s">
        <v>40</v>
      </c>
      <c r="W155" s="18" t="s">
        <v>371</v>
      </c>
      <c r="X155" s="18" t="s">
        <v>372</v>
      </c>
      <c r="Y155" s="18">
        <v>1</v>
      </c>
      <c r="Z155" s="18">
        <v>288000</v>
      </c>
      <c r="AA155" s="18" t="s">
        <v>599</v>
      </c>
      <c r="AB155" s="18" t="s">
        <v>600</v>
      </c>
      <c r="AC155" s="18" t="s">
        <v>43</v>
      </c>
    </row>
    <row r="156" s="18" customFormat="1" spans="1:29">
      <c r="A156" s="18" t="s">
        <v>601</v>
      </c>
      <c r="B156" s="25" t="s">
        <v>601</v>
      </c>
      <c r="C156" s="26">
        <v>45665</v>
      </c>
      <c r="D156" s="18" t="s">
        <v>602</v>
      </c>
      <c r="E156" s="18" t="str">
        <f t="shared" si="2"/>
        <v>J Davis Pro Sound &amp; Lightings (New)</v>
      </c>
      <c r="F156" s="27" t="e">
        <v>#N/A</v>
      </c>
      <c r="G156" s="18" t="s">
        <v>32</v>
      </c>
      <c r="H156" s="18" t="s">
        <v>33</v>
      </c>
      <c r="I156" s="18" t="s">
        <v>207</v>
      </c>
      <c r="J156" s="18" t="s">
        <v>55</v>
      </c>
      <c r="K156" s="18" t="s">
        <v>56</v>
      </c>
      <c r="L156" s="18" t="s">
        <v>36</v>
      </c>
      <c r="N156" s="18">
        <v>6</v>
      </c>
      <c r="O156" s="18" t="s">
        <v>88</v>
      </c>
      <c r="P156" s="18" t="s">
        <v>38</v>
      </c>
      <c r="Q156" s="18" t="s">
        <v>58</v>
      </c>
      <c r="R156" s="18" t="s">
        <v>59</v>
      </c>
      <c r="S156" s="18" t="s">
        <v>60</v>
      </c>
      <c r="T156" s="18" t="b">
        <v>1</v>
      </c>
      <c r="U156" s="18" t="s">
        <v>39</v>
      </c>
      <c r="V156" s="18" t="s">
        <v>40</v>
      </c>
      <c r="W156" s="18" t="s">
        <v>371</v>
      </c>
      <c r="X156" s="18" t="s">
        <v>372</v>
      </c>
      <c r="Y156" s="18">
        <v>1</v>
      </c>
      <c r="Z156" s="18">
        <v>250000</v>
      </c>
      <c r="AA156" s="18" t="s">
        <v>603</v>
      </c>
      <c r="AB156" s="18" t="s">
        <v>600</v>
      </c>
      <c r="AC156" s="18" t="s">
        <v>43</v>
      </c>
    </row>
    <row r="157" s="18" customFormat="1" spans="1:29">
      <c r="A157" s="18" t="s">
        <v>604</v>
      </c>
      <c r="B157" s="25" t="s">
        <v>604</v>
      </c>
      <c r="C157" s="26">
        <v>45665</v>
      </c>
      <c r="D157" s="18" t="s">
        <v>472</v>
      </c>
      <c r="E157" s="18" t="e">
        <f t="shared" si="2"/>
        <v>#N/A</v>
      </c>
      <c r="F157" s="27" t="e">
        <v>#N/A</v>
      </c>
      <c r="G157" s="18" t="s">
        <v>32</v>
      </c>
      <c r="H157" s="18" t="s">
        <v>33</v>
      </c>
      <c r="I157" s="18" t="s">
        <v>207</v>
      </c>
      <c r="K157" s="18" t="s">
        <v>35</v>
      </c>
      <c r="L157" s="18" t="s">
        <v>36</v>
      </c>
      <c r="N157" s="18">
        <v>6</v>
      </c>
      <c r="P157" s="18" t="s">
        <v>38</v>
      </c>
      <c r="T157" s="18" t="b">
        <v>1</v>
      </c>
      <c r="U157" s="18" t="s">
        <v>39</v>
      </c>
      <c r="V157" s="18" t="s">
        <v>40</v>
      </c>
      <c r="W157" s="18" t="e">
        <v>#N/A</v>
      </c>
      <c r="X157" s="18" t="e">
        <v>#N/A</v>
      </c>
      <c r="Y157" s="18" t="e">
        <v>#N/A</v>
      </c>
      <c r="Z157" s="18" t="e">
        <v>#N/A</v>
      </c>
      <c r="AC157" s="18" t="e">
        <v>#N/A</v>
      </c>
    </row>
    <row r="158" s="19" customFormat="1" ht="29" spans="1:29">
      <c r="A158" s="19" t="s">
        <v>605</v>
      </c>
      <c r="B158" s="28" t="s">
        <v>605</v>
      </c>
      <c r="C158" s="29">
        <v>45665</v>
      </c>
      <c r="D158" s="19" t="s">
        <v>606</v>
      </c>
      <c r="E158" s="19" t="str">
        <f t="shared" si="2"/>
        <v>Innovative Systems and Solutions Pvt Ltd</v>
      </c>
      <c r="F158" s="30" t="s">
        <v>607</v>
      </c>
      <c r="G158" s="19" t="s">
        <v>32</v>
      </c>
      <c r="H158" s="19" t="s">
        <v>33</v>
      </c>
      <c r="I158" s="19" t="s">
        <v>184</v>
      </c>
      <c r="K158" s="19" t="s">
        <v>35</v>
      </c>
      <c r="L158" s="19" t="s">
        <v>36</v>
      </c>
      <c r="N158" s="19">
        <v>6</v>
      </c>
      <c r="O158" s="19" t="s">
        <v>88</v>
      </c>
      <c r="P158" s="19" t="s">
        <v>38</v>
      </c>
      <c r="T158" s="19" t="b">
        <v>1</v>
      </c>
      <c r="U158" s="19" t="s">
        <v>39</v>
      </c>
      <c r="V158" s="19" t="s">
        <v>40</v>
      </c>
      <c r="W158" s="19" t="s">
        <v>608</v>
      </c>
      <c r="X158" s="19" t="e">
        <v>#N/A</v>
      </c>
      <c r="Y158" s="19">
        <v>1</v>
      </c>
      <c r="Z158" s="19">
        <v>48400</v>
      </c>
      <c r="AA158" s="32" t="s">
        <v>609</v>
      </c>
      <c r="AB158" s="19" t="s">
        <v>610</v>
      </c>
      <c r="AC158" s="19" t="s">
        <v>611</v>
      </c>
    </row>
    <row r="159" s="18" customFormat="1" ht="29" spans="1:29">
      <c r="A159" s="18" t="s">
        <v>612</v>
      </c>
      <c r="B159" s="25" t="s">
        <v>612</v>
      </c>
      <c r="C159" s="26">
        <v>45665</v>
      </c>
      <c r="D159" s="31" t="s">
        <v>613</v>
      </c>
      <c r="E159" s="18" t="str">
        <f t="shared" si="2"/>
        <v>Raj Latotra  </v>
      </c>
      <c r="F159" s="27" t="e">
        <v>#N/A</v>
      </c>
      <c r="G159" s="18" t="s">
        <v>32</v>
      </c>
      <c r="H159" s="18" t="s">
        <v>33</v>
      </c>
      <c r="I159" s="18" t="s">
        <v>34</v>
      </c>
      <c r="J159" s="18" t="s">
        <v>614</v>
      </c>
      <c r="K159" s="18" t="s">
        <v>56</v>
      </c>
      <c r="L159" s="18" t="s">
        <v>36</v>
      </c>
      <c r="N159" s="18">
        <v>6</v>
      </c>
      <c r="O159" s="18" t="s">
        <v>93</v>
      </c>
      <c r="P159" s="18" t="s">
        <v>38</v>
      </c>
      <c r="Q159" s="18" t="s">
        <v>117</v>
      </c>
      <c r="R159" s="18" t="s">
        <v>59</v>
      </c>
      <c r="S159" s="18" t="s">
        <v>118</v>
      </c>
      <c r="T159" s="18" t="b">
        <v>1</v>
      </c>
      <c r="U159" s="18" t="s">
        <v>39</v>
      </c>
      <c r="V159" s="18" t="s">
        <v>40</v>
      </c>
      <c r="W159" s="18" t="s">
        <v>508</v>
      </c>
      <c r="X159" s="18" t="s">
        <v>509</v>
      </c>
      <c r="Y159" s="18">
        <v>1</v>
      </c>
      <c r="Z159" s="18">
        <v>3919</v>
      </c>
      <c r="AA159" s="18" t="s">
        <v>128</v>
      </c>
      <c r="AB159" s="18" t="s">
        <v>129</v>
      </c>
      <c r="AC159" s="18" t="e">
        <v>#N/A</v>
      </c>
    </row>
    <row r="160" s="18" customFormat="1" spans="1:29">
      <c r="A160" s="18" t="s">
        <v>615</v>
      </c>
      <c r="B160" s="25" t="s">
        <v>615</v>
      </c>
      <c r="C160" s="26">
        <v>45665</v>
      </c>
      <c r="D160" s="18" t="s">
        <v>616</v>
      </c>
      <c r="E160" s="18" t="str">
        <f t="shared" si="2"/>
        <v>Sathya Kumar S </v>
      </c>
      <c r="F160" s="27" t="e">
        <v>#N/A</v>
      </c>
      <c r="G160" s="18" t="s">
        <v>32</v>
      </c>
      <c r="H160" s="18" t="s">
        <v>33</v>
      </c>
      <c r="I160" s="18" t="s">
        <v>34</v>
      </c>
      <c r="J160" s="18" t="s">
        <v>285</v>
      </c>
      <c r="K160" s="18" t="s">
        <v>56</v>
      </c>
      <c r="L160" s="18" t="s">
        <v>36</v>
      </c>
      <c r="N160" s="18">
        <v>6</v>
      </c>
      <c r="O160" s="18" t="s">
        <v>93</v>
      </c>
      <c r="P160" s="18" t="s">
        <v>38</v>
      </c>
      <c r="Q160" s="18" t="s">
        <v>117</v>
      </c>
      <c r="R160" s="18" t="s">
        <v>59</v>
      </c>
      <c r="S160" s="18" t="s">
        <v>118</v>
      </c>
      <c r="T160" s="18" t="b">
        <v>1</v>
      </c>
      <c r="U160" s="18" t="s">
        <v>39</v>
      </c>
      <c r="V160" s="18" t="s">
        <v>40</v>
      </c>
      <c r="W160" s="18" t="s">
        <v>126</v>
      </c>
      <c r="X160" s="18" t="s">
        <v>127</v>
      </c>
      <c r="Y160" s="18">
        <v>1</v>
      </c>
      <c r="Z160" s="18">
        <v>2180</v>
      </c>
      <c r="AA160" s="18" t="s">
        <v>501</v>
      </c>
      <c r="AB160" s="18" t="s">
        <v>502</v>
      </c>
      <c r="AC160" s="18" t="e">
        <v>#N/A</v>
      </c>
    </row>
    <row r="161" s="18" customFormat="1" spans="1:29">
      <c r="A161" s="18" t="s">
        <v>617</v>
      </c>
      <c r="B161" s="25" t="s">
        <v>617</v>
      </c>
      <c r="C161" s="26">
        <v>45665</v>
      </c>
      <c r="D161" s="18" t="s">
        <v>124</v>
      </c>
      <c r="E161" s="18" t="str">
        <f t="shared" si="2"/>
        <v>Arun Kumar M  </v>
      </c>
      <c r="F161" s="27" t="e">
        <v>#N/A</v>
      </c>
      <c r="G161" s="18" t="s">
        <v>32</v>
      </c>
      <c r="H161" s="18" t="s">
        <v>33</v>
      </c>
      <c r="I161" s="18" t="s">
        <v>34</v>
      </c>
      <c r="J161" s="18" t="s">
        <v>618</v>
      </c>
      <c r="K161" s="18" t="s">
        <v>56</v>
      </c>
      <c r="L161" s="18" t="s">
        <v>36</v>
      </c>
      <c r="N161" s="18">
        <v>6</v>
      </c>
      <c r="O161" s="18" t="s">
        <v>93</v>
      </c>
      <c r="P161" s="18" t="s">
        <v>38</v>
      </c>
      <c r="Q161" s="18" t="s">
        <v>117</v>
      </c>
      <c r="R161" s="18" t="s">
        <v>59</v>
      </c>
      <c r="S161" s="18" t="s">
        <v>118</v>
      </c>
      <c r="T161" s="18" t="b">
        <v>1</v>
      </c>
      <c r="U161" s="18" t="s">
        <v>39</v>
      </c>
      <c r="V161" s="18" t="s">
        <v>40</v>
      </c>
      <c r="W161" s="18" t="s">
        <v>126</v>
      </c>
      <c r="X161" s="18" t="s">
        <v>127</v>
      </c>
      <c r="Y161" s="18">
        <v>1</v>
      </c>
      <c r="Z161" s="18">
        <v>251</v>
      </c>
      <c r="AA161" s="18" t="s">
        <v>501</v>
      </c>
      <c r="AB161" s="18" t="s">
        <v>502</v>
      </c>
      <c r="AC161" s="18" t="e">
        <v>#N/A</v>
      </c>
    </row>
    <row r="162" s="18" customFormat="1" spans="1:29">
      <c r="A162" s="18" t="s">
        <v>619</v>
      </c>
      <c r="B162" s="25" t="s">
        <v>619</v>
      </c>
      <c r="C162" s="26">
        <v>45665</v>
      </c>
      <c r="D162" s="18" t="s">
        <v>620</v>
      </c>
      <c r="E162" s="18" t="str">
        <f t="shared" si="2"/>
        <v>Jay Jagannath Samal Event Production</v>
      </c>
      <c r="F162" s="27" t="s">
        <v>621</v>
      </c>
      <c r="G162" s="18" t="s">
        <v>32</v>
      </c>
      <c r="H162" s="18" t="s">
        <v>33</v>
      </c>
      <c r="I162" s="18" t="s">
        <v>34</v>
      </c>
      <c r="J162" s="18" t="s">
        <v>618</v>
      </c>
      <c r="K162" s="18" t="s">
        <v>56</v>
      </c>
      <c r="L162" s="18" t="s">
        <v>36</v>
      </c>
      <c r="N162" s="18">
        <v>6</v>
      </c>
      <c r="O162" s="18" t="s">
        <v>88</v>
      </c>
      <c r="P162" s="18" t="s">
        <v>38</v>
      </c>
      <c r="Q162" s="18" t="s">
        <v>117</v>
      </c>
      <c r="R162" s="18" t="s">
        <v>59</v>
      </c>
      <c r="S162" s="18" t="s">
        <v>118</v>
      </c>
      <c r="T162" s="18" t="b">
        <v>1</v>
      </c>
      <c r="U162" s="18" t="s">
        <v>39</v>
      </c>
      <c r="V162" s="18" t="s">
        <v>40</v>
      </c>
      <c r="W162" s="18" t="s">
        <v>151</v>
      </c>
      <c r="X162" s="18" t="s">
        <v>152</v>
      </c>
      <c r="Y162" s="18">
        <v>1</v>
      </c>
      <c r="Z162" s="18">
        <v>130000</v>
      </c>
      <c r="AA162" s="18" t="s">
        <v>622</v>
      </c>
      <c r="AB162" s="18" t="s">
        <v>623</v>
      </c>
      <c r="AC162" s="18" t="s">
        <v>43</v>
      </c>
    </row>
    <row r="163" s="18" customFormat="1" spans="1:29">
      <c r="A163" s="18" t="s">
        <v>624</v>
      </c>
      <c r="B163" s="25" t="s">
        <v>624</v>
      </c>
      <c r="C163" s="26">
        <v>45665</v>
      </c>
      <c r="D163" s="18" t="s">
        <v>625</v>
      </c>
      <c r="E163" s="18" t="str">
        <f t="shared" si="2"/>
        <v>Pixels2Print</v>
      </c>
      <c r="F163" s="27" t="e">
        <v>#N/A</v>
      </c>
      <c r="G163" s="18" t="s">
        <v>32</v>
      </c>
      <c r="H163" s="18" t="s">
        <v>33</v>
      </c>
      <c r="I163" s="18" t="s">
        <v>34</v>
      </c>
      <c r="J163" s="18" t="s">
        <v>618</v>
      </c>
      <c r="K163" s="18" t="s">
        <v>56</v>
      </c>
      <c r="L163" s="18" t="s">
        <v>36</v>
      </c>
      <c r="N163" s="18">
        <v>6</v>
      </c>
      <c r="O163" s="18" t="s">
        <v>88</v>
      </c>
      <c r="P163" s="18" t="s">
        <v>38</v>
      </c>
      <c r="Q163" s="18" t="s">
        <v>117</v>
      </c>
      <c r="R163" s="18" t="s">
        <v>59</v>
      </c>
      <c r="S163" s="18" t="s">
        <v>118</v>
      </c>
      <c r="T163" s="18" t="b">
        <v>1</v>
      </c>
      <c r="U163" s="18" t="s">
        <v>39</v>
      </c>
      <c r="V163" s="18" t="s">
        <v>40</v>
      </c>
      <c r="W163" s="18" t="s">
        <v>196</v>
      </c>
      <c r="X163" s="18" t="s">
        <v>197</v>
      </c>
      <c r="Y163" s="18">
        <v>1</v>
      </c>
      <c r="Z163" s="18">
        <v>7000</v>
      </c>
      <c r="AA163" s="18" t="s">
        <v>626</v>
      </c>
      <c r="AB163" s="18" t="s">
        <v>623</v>
      </c>
      <c r="AC163" s="18" t="s">
        <v>43</v>
      </c>
    </row>
    <row r="164" s="18" customFormat="1" spans="1:29">
      <c r="A164" s="18" t="s">
        <v>627</v>
      </c>
      <c r="B164" s="25" t="s">
        <v>627</v>
      </c>
      <c r="C164" s="26">
        <v>45665</v>
      </c>
      <c r="D164" s="18" t="s">
        <v>628</v>
      </c>
      <c r="E164" s="18" t="str">
        <f t="shared" si="2"/>
        <v>New Print House</v>
      </c>
      <c r="F164" s="27" t="s">
        <v>629</v>
      </c>
      <c r="G164" s="18" t="s">
        <v>32</v>
      </c>
      <c r="H164" s="18" t="s">
        <v>33</v>
      </c>
      <c r="I164" s="18" t="s">
        <v>34</v>
      </c>
      <c r="J164" s="18" t="s">
        <v>618</v>
      </c>
      <c r="K164" s="18" t="s">
        <v>56</v>
      </c>
      <c r="L164" s="18" t="s">
        <v>36</v>
      </c>
      <c r="N164" s="18">
        <v>6</v>
      </c>
      <c r="O164" s="18" t="s">
        <v>88</v>
      </c>
      <c r="P164" s="18" t="s">
        <v>38</v>
      </c>
      <c r="Q164" s="18" t="s">
        <v>117</v>
      </c>
      <c r="R164" s="18" t="s">
        <v>59</v>
      </c>
      <c r="S164" s="18" t="s">
        <v>118</v>
      </c>
      <c r="T164" s="18" t="b">
        <v>1</v>
      </c>
      <c r="U164" s="18" t="s">
        <v>39</v>
      </c>
      <c r="V164" s="18" t="s">
        <v>40</v>
      </c>
      <c r="W164" s="18" t="s">
        <v>196</v>
      </c>
      <c r="X164" s="18" t="s">
        <v>197</v>
      </c>
      <c r="Y164" s="18">
        <v>1</v>
      </c>
      <c r="Z164" s="18">
        <v>2135</v>
      </c>
      <c r="AA164" s="18" t="s">
        <v>622</v>
      </c>
      <c r="AB164" s="18" t="s">
        <v>623</v>
      </c>
      <c r="AC164" s="18" t="s">
        <v>630</v>
      </c>
    </row>
    <row r="165" s="18" customFormat="1" spans="1:29">
      <c r="A165" s="18" t="s">
        <v>631</v>
      </c>
      <c r="B165" s="25" t="s">
        <v>631</v>
      </c>
      <c r="C165" s="26">
        <v>45665</v>
      </c>
      <c r="D165" s="18" t="s">
        <v>632</v>
      </c>
      <c r="E165" s="18" t="str">
        <f t="shared" si="2"/>
        <v>Event Life</v>
      </c>
      <c r="F165" s="27" t="s">
        <v>633</v>
      </c>
      <c r="G165" s="18" t="s">
        <v>32</v>
      </c>
      <c r="H165" s="18" t="s">
        <v>33</v>
      </c>
      <c r="I165" s="18" t="s">
        <v>34</v>
      </c>
      <c r="J165" s="18" t="s">
        <v>618</v>
      </c>
      <c r="K165" s="18" t="s">
        <v>56</v>
      </c>
      <c r="L165" s="18" t="s">
        <v>36</v>
      </c>
      <c r="N165" s="18">
        <v>6</v>
      </c>
      <c r="O165" s="18" t="s">
        <v>88</v>
      </c>
      <c r="P165" s="18" t="s">
        <v>38</v>
      </c>
      <c r="Q165" s="18" t="s">
        <v>117</v>
      </c>
      <c r="R165" s="18" t="s">
        <v>59</v>
      </c>
      <c r="S165" s="18" t="s">
        <v>118</v>
      </c>
      <c r="T165" s="18" t="b">
        <v>1</v>
      </c>
      <c r="U165" s="18" t="s">
        <v>39</v>
      </c>
      <c r="V165" s="18" t="s">
        <v>40</v>
      </c>
      <c r="W165" s="18" t="s">
        <v>371</v>
      </c>
      <c r="X165" s="18" t="s">
        <v>372</v>
      </c>
      <c r="Y165" s="18">
        <v>1</v>
      </c>
      <c r="Z165" s="18">
        <v>50000</v>
      </c>
      <c r="AA165" s="18" t="s">
        <v>622</v>
      </c>
      <c r="AB165" s="18" t="s">
        <v>623</v>
      </c>
      <c r="AC165" s="18" t="s">
        <v>43</v>
      </c>
    </row>
    <row r="166" s="18" customFormat="1" spans="1:29">
      <c r="A166" s="18" t="s">
        <v>634</v>
      </c>
      <c r="B166" s="25" t="s">
        <v>634</v>
      </c>
      <c r="C166" s="26">
        <v>45665</v>
      </c>
      <c r="D166" s="18" t="s">
        <v>635</v>
      </c>
      <c r="E166" s="18" t="str">
        <f t="shared" si="2"/>
        <v>Ashik Mobile Generator</v>
      </c>
      <c r="F166" s="27" t="s">
        <v>636</v>
      </c>
      <c r="G166" s="18" t="s">
        <v>32</v>
      </c>
      <c r="H166" s="18" t="s">
        <v>33</v>
      </c>
      <c r="I166" s="18" t="s">
        <v>34</v>
      </c>
      <c r="J166" s="18" t="s">
        <v>618</v>
      </c>
      <c r="K166" s="18" t="s">
        <v>56</v>
      </c>
      <c r="L166" s="18" t="s">
        <v>36</v>
      </c>
      <c r="N166" s="18">
        <v>6</v>
      </c>
      <c r="O166" s="18" t="s">
        <v>88</v>
      </c>
      <c r="P166" s="18" t="s">
        <v>38</v>
      </c>
      <c r="Q166" s="18" t="s">
        <v>117</v>
      </c>
      <c r="R166" s="18" t="s">
        <v>59</v>
      </c>
      <c r="S166" s="18" t="s">
        <v>118</v>
      </c>
      <c r="T166" s="18" t="b">
        <v>1</v>
      </c>
      <c r="U166" s="18" t="s">
        <v>39</v>
      </c>
      <c r="V166" s="18" t="s">
        <v>40</v>
      </c>
      <c r="W166" s="18" t="s">
        <v>371</v>
      </c>
      <c r="X166" s="18" t="s">
        <v>372</v>
      </c>
      <c r="Y166" s="18">
        <v>1</v>
      </c>
      <c r="Z166" s="18">
        <v>36000</v>
      </c>
      <c r="AA166" s="18" t="s">
        <v>622</v>
      </c>
      <c r="AB166" s="18" t="s">
        <v>623</v>
      </c>
      <c r="AC166" s="18" t="s">
        <v>43</v>
      </c>
    </row>
    <row r="167" s="18" customFormat="1" spans="1:29">
      <c r="A167" s="18" t="s">
        <v>637</v>
      </c>
      <c r="B167" s="25" t="s">
        <v>637</v>
      </c>
      <c r="C167" s="26">
        <v>45665</v>
      </c>
      <c r="D167" s="18" t="s">
        <v>638</v>
      </c>
      <c r="E167" s="18" t="str">
        <f t="shared" si="2"/>
        <v>Jehovasoft Pvt Ltd</v>
      </c>
      <c r="F167" s="27" t="s">
        <v>639</v>
      </c>
      <c r="G167" s="18" t="s">
        <v>32</v>
      </c>
      <c r="H167" s="18" t="s">
        <v>33</v>
      </c>
      <c r="I167" s="18" t="s">
        <v>34</v>
      </c>
      <c r="J167" s="18" t="s">
        <v>618</v>
      </c>
      <c r="K167" s="18" t="s">
        <v>56</v>
      </c>
      <c r="L167" s="18" t="s">
        <v>36</v>
      </c>
      <c r="N167" s="18">
        <v>6</v>
      </c>
      <c r="O167" s="18" t="s">
        <v>88</v>
      </c>
      <c r="P167" s="18" t="s">
        <v>38</v>
      </c>
      <c r="Q167" s="18" t="s">
        <v>117</v>
      </c>
      <c r="R167" s="18" t="s">
        <v>59</v>
      </c>
      <c r="S167" s="18" t="s">
        <v>118</v>
      </c>
      <c r="T167" s="18" t="b">
        <v>1</v>
      </c>
      <c r="U167" s="18" t="s">
        <v>39</v>
      </c>
      <c r="V167" s="18" t="s">
        <v>40</v>
      </c>
      <c r="W167" s="18" t="s">
        <v>250</v>
      </c>
      <c r="X167" s="18" t="s">
        <v>251</v>
      </c>
      <c r="Y167" s="18">
        <v>1</v>
      </c>
      <c r="Z167" s="18">
        <v>22000</v>
      </c>
      <c r="AA167" s="18" t="s">
        <v>622</v>
      </c>
      <c r="AB167" s="18" t="s">
        <v>623</v>
      </c>
      <c r="AC167" s="18" t="s">
        <v>43</v>
      </c>
    </row>
    <row r="168" s="18" customFormat="1" spans="1:29">
      <c r="A168" s="18" t="s">
        <v>640</v>
      </c>
      <c r="B168" s="25" t="s">
        <v>640</v>
      </c>
      <c r="C168" s="26">
        <v>45665</v>
      </c>
      <c r="D168" s="18" t="s">
        <v>641</v>
      </c>
      <c r="E168" s="18" t="str">
        <f t="shared" si="2"/>
        <v>VSFE Events LLP</v>
      </c>
      <c r="F168" s="27" t="s">
        <v>642</v>
      </c>
      <c r="G168" s="18" t="s">
        <v>32</v>
      </c>
      <c r="H168" s="18" t="s">
        <v>33</v>
      </c>
      <c r="I168" s="18" t="s">
        <v>34</v>
      </c>
      <c r="J168" s="18" t="s">
        <v>618</v>
      </c>
      <c r="K168" s="18" t="s">
        <v>56</v>
      </c>
      <c r="L168" s="18" t="s">
        <v>36</v>
      </c>
      <c r="N168" s="18">
        <v>6</v>
      </c>
      <c r="O168" s="18" t="s">
        <v>88</v>
      </c>
      <c r="P168" s="18" t="s">
        <v>38</v>
      </c>
      <c r="Q168" s="18" t="s">
        <v>117</v>
      </c>
      <c r="R168" s="18" t="s">
        <v>59</v>
      </c>
      <c r="S168" s="18" t="s">
        <v>118</v>
      </c>
      <c r="T168" s="18" t="b">
        <v>1</v>
      </c>
      <c r="U168" s="18" t="s">
        <v>39</v>
      </c>
      <c r="V168" s="18" t="s">
        <v>40</v>
      </c>
      <c r="W168" s="18" t="s">
        <v>401</v>
      </c>
      <c r="X168" s="18" t="s">
        <v>402</v>
      </c>
      <c r="Y168" s="18">
        <v>1</v>
      </c>
      <c r="Z168" s="18">
        <v>8500</v>
      </c>
      <c r="AA168" s="18" t="s">
        <v>622</v>
      </c>
      <c r="AB168" s="18" t="s">
        <v>623</v>
      </c>
      <c r="AC168" s="18" t="s">
        <v>43</v>
      </c>
    </row>
    <row r="169" s="18" customFormat="1" spans="1:29">
      <c r="A169" s="18" t="s">
        <v>643</v>
      </c>
      <c r="B169" s="25" t="s">
        <v>643</v>
      </c>
      <c r="C169" s="26">
        <v>45665</v>
      </c>
      <c r="D169" s="18" t="s">
        <v>644</v>
      </c>
      <c r="E169" s="18" t="str">
        <f t="shared" si="2"/>
        <v>Blue Gem Entertainment and Events</v>
      </c>
      <c r="F169" s="27" t="s">
        <v>645</v>
      </c>
      <c r="G169" s="18" t="s">
        <v>32</v>
      </c>
      <c r="H169" s="18" t="s">
        <v>33</v>
      </c>
      <c r="I169" s="18" t="s">
        <v>34</v>
      </c>
      <c r="J169" s="18" t="s">
        <v>618</v>
      </c>
      <c r="K169" s="18" t="s">
        <v>56</v>
      </c>
      <c r="L169" s="18" t="s">
        <v>36</v>
      </c>
      <c r="N169" s="18">
        <v>6</v>
      </c>
      <c r="O169" s="18" t="s">
        <v>88</v>
      </c>
      <c r="P169" s="18" t="s">
        <v>38</v>
      </c>
      <c r="Q169" s="18" t="s">
        <v>117</v>
      </c>
      <c r="R169" s="18" t="s">
        <v>59</v>
      </c>
      <c r="S169" s="18" t="s">
        <v>118</v>
      </c>
      <c r="T169" s="18" t="b">
        <v>1</v>
      </c>
      <c r="U169" s="18" t="s">
        <v>39</v>
      </c>
      <c r="V169" s="18" t="s">
        <v>40</v>
      </c>
      <c r="W169" s="18" t="s">
        <v>292</v>
      </c>
      <c r="X169" s="18" t="s">
        <v>293</v>
      </c>
      <c r="Y169" s="18">
        <v>1</v>
      </c>
      <c r="Z169" s="18">
        <v>3500</v>
      </c>
      <c r="AA169" s="18" t="s">
        <v>622</v>
      </c>
      <c r="AB169" s="18" t="s">
        <v>623</v>
      </c>
      <c r="AC169" s="18" t="s">
        <v>43</v>
      </c>
    </row>
    <row r="170" s="18" customFormat="1" spans="1:29">
      <c r="A170" s="18" t="s">
        <v>646</v>
      </c>
      <c r="B170" s="25" t="s">
        <v>646</v>
      </c>
      <c r="C170" s="26">
        <v>45665</v>
      </c>
      <c r="D170" s="18" t="s">
        <v>647</v>
      </c>
      <c r="E170" s="18" t="str">
        <f t="shared" si="2"/>
        <v>Harshitha N</v>
      </c>
      <c r="F170" s="27" t="s">
        <v>648</v>
      </c>
      <c r="G170" s="18" t="s">
        <v>32</v>
      </c>
      <c r="H170" s="18" t="s">
        <v>33</v>
      </c>
      <c r="I170" s="18" t="s">
        <v>34</v>
      </c>
      <c r="J170" s="18" t="s">
        <v>618</v>
      </c>
      <c r="K170" s="18" t="s">
        <v>56</v>
      </c>
      <c r="L170" s="18" t="s">
        <v>36</v>
      </c>
      <c r="N170" s="18">
        <v>6</v>
      </c>
      <c r="O170" s="18" t="s">
        <v>57</v>
      </c>
      <c r="P170" s="18" t="s">
        <v>38</v>
      </c>
      <c r="Q170" s="18" t="s">
        <v>117</v>
      </c>
      <c r="R170" s="18" t="s">
        <v>59</v>
      </c>
      <c r="S170" s="18" t="s">
        <v>118</v>
      </c>
      <c r="T170" s="18" t="b">
        <v>1</v>
      </c>
      <c r="U170" s="18" t="s">
        <v>39</v>
      </c>
      <c r="V170" s="18" t="s">
        <v>40</v>
      </c>
      <c r="W170" s="18" t="s">
        <v>250</v>
      </c>
      <c r="X170" s="18" t="s">
        <v>251</v>
      </c>
      <c r="Y170" s="18">
        <v>1</v>
      </c>
      <c r="Z170" s="18">
        <v>4500</v>
      </c>
      <c r="AA170" s="18" t="s">
        <v>649</v>
      </c>
      <c r="AB170" s="18" t="s">
        <v>650</v>
      </c>
      <c r="AC170" s="18" t="e">
        <v>#N/A</v>
      </c>
    </row>
    <row r="171" s="18" customFormat="1" spans="1:29">
      <c r="A171" s="18" t="s">
        <v>651</v>
      </c>
      <c r="B171" s="25" t="s">
        <v>651</v>
      </c>
      <c r="C171" s="26">
        <v>45665</v>
      </c>
      <c r="D171" s="18" t="s">
        <v>652</v>
      </c>
      <c r="E171" s="18" t="str">
        <f t="shared" si="2"/>
        <v>Kunal Sharma</v>
      </c>
      <c r="F171" s="27" t="s">
        <v>653</v>
      </c>
      <c r="G171" s="18" t="s">
        <v>147</v>
      </c>
      <c r="H171" s="18" t="s">
        <v>148</v>
      </c>
      <c r="I171" s="18" t="s">
        <v>54</v>
      </c>
      <c r="J171" s="18" t="s">
        <v>249</v>
      </c>
      <c r="K171" s="18" t="s">
        <v>56</v>
      </c>
      <c r="L171" s="18" t="s">
        <v>36</v>
      </c>
      <c r="N171" s="18">
        <v>6</v>
      </c>
      <c r="O171" s="18" t="s">
        <v>57</v>
      </c>
      <c r="P171" s="18" t="s">
        <v>38</v>
      </c>
      <c r="Q171" s="18" t="s">
        <v>58</v>
      </c>
      <c r="R171" s="18" t="s">
        <v>59</v>
      </c>
      <c r="S171" s="18" t="s">
        <v>60</v>
      </c>
      <c r="T171" s="18" t="b">
        <v>1</v>
      </c>
      <c r="U171" s="18" t="s">
        <v>150</v>
      </c>
      <c r="V171" s="18" t="s">
        <v>40</v>
      </c>
      <c r="W171" s="18" t="s">
        <v>250</v>
      </c>
      <c r="X171" s="18" t="s">
        <v>251</v>
      </c>
      <c r="Y171" s="18">
        <v>1</v>
      </c>
      <c r="Z171" s="18">
        <v>40000</v>
      </c>
      <c r="AA171" s="18" t="s">
        <v>554</v>
      </c>
      <c r="AB171" s="18" t="s">
        <v>555</v>
      </c>
      <c r="AC171" s="18" t="e">
        <v>#N/A</v>
      </c>
    </row>
    <row r="172" s="18" customFormat="1" spans="1:29">
      <c r="A172" s="18" t="s">
        <v>654</v>
      </c>
      <c r="B172" s="25" t="s">
        <v>654</v>
      </c>
      <c r="C172" s="26">
        <v>45665</v>
      </c>
      <c r="D172" s="18" t="s">
        <v>399</v>
      </c>
      <c r="E172" s="18" t="str">
        <f t="shared" si="2"/>
        <v>Bodhi Tree Entertainment</v>
      </c>
      <c r="F172" s="27" t="s">
        <v>400</v>
      </c>
      <c r="G172" s="18" t="s">
        <v>147</v>
      </c>
      <c r="H172" s="18" t="s">
        <v>148</v>
      </c>
      <c r="I172" s="18" t="s">
        <v>54</v>
      </c>
      <c r="J172" s="18" t="s">
        <v>249</v>
      </c>
      <c r="K172" s="18" t="s">
        <v>56</v>
      </c>
      <c r="L172" s="18" t="s">
        <v>36</v>
      </c>
      <c r="N172" s="18">
        <v>6</v>
      </c>
      <c r="O172" s="18" t="s">
        <v>88</v>
      </c>
      <c r="P172" s="18" t="s">
        <v>38</v>
      </c>
      <c r="Q172" s="18" t="s">
        <v>58</v>
      </c>
      <c r="R172" s="18" t="s">
        <v>59</v>
      </c>
      <c r="S172" s="18" t="s">
        <v>60</v>
      </c>
      <c r="T172" s="18" t="b">
        <v>1</v>
      </c>
      <c r="U172" s="18" t="s">
        <v>150</v>
      </c>
      <c r="V172" s="18" t="s">
        <v>40</v>
      </c>
      <c r="W172" s="18" t="s">
        <v>401</v>
      </c>
      <c r="X172" s="18" t="s">
        <v>402</v>
      </c>
      <c r="Y172" s="18">
        <v>1</v>
      </c>
      <c r="Z172" s="18">
        <v>250000</v>
      </c>
      <c r="AA172" s="18" t="s">
        <v>554</v>
      </c>
      <c r="AB172" s="18" t="s">
        <v>555</v>
      </c>
      <c r="AC172" s="18" t="s">
        <v>163</v>
      </c>
    </row>
    <row r="173" s="18" customFormat="1" spans="1:29">
      <c r="A173" s="18" t="s">
        <v>655</v>
      </c>
      <c r="B173" s="25" t="s">
        <v>655</v>
      </c>
      <c r="C173" s="26">
        <v>45665</v>
      </c>
      <c r="D173" s="18" t="s">
        <v>541</v>
      </c>
      <c r="E173" s="18" t="str">
        <f t="shared" si="2"/>
        <v>Dream Factory Pvt. Ltd.</v>
      </c>
      <c r="F173" s="27" t="e">
        <v>#N/A</v>
      </c>
      <c r="G173" s="18" t="s">
        <v>147</v>
      </c>
      <c r="H173" s="18" t="s">
        <v>148</v>
      </c>
      <c r="I173" s="18" t="s">
        <v>207</v>
      </c>
      <c r="J173" s="18" t="s">
        <v>55</v>
      </c>
      <c r="K173" s="18" t="s">
        <v>56</v>
      </c>
      <c r="L173" s="18" t="s">
        <v>36</v>
      </c>
      <c r="N173" s="18">
        <v>6</v>
      </c>
      <c r="O173" s="18" t="s">
        <v>88</v>
      </c>
      <c r="P173" s="18" t="s">
        <v>38</v>
      </c>
      <c r="Q173" s="18" t="s">
        <v>58</v>
      </c>
      <c r="R173" s="18" t="s">
        <v>59</v>
      </c>
      <c r="S173" s="18" t="s">
        <v>60</v>
      </c>
      <c r="T173" s="18" t="b">
        <v>1</v>
      </c>
      <c r="U173" s="18" t="s">
        <v>150</v>
      </c>
      <c r="V173" s="18" t="s">
        <v>40</v>
      </c>
      <c r="W173" s="18" t="s">
        <v>151</v>
      </c>
      <c r="X173" s="18" t="s">
        <v>152</v>
      </c>
      <c r="Y173" s="18">
        <v>1</v>
      </c>
      <c r="Z173" s="18">
        <v>950000</v>
      </c>
      <c r="AA173" s="18" t="s">
        <v>603</v>
      </c>
      <c r="AB173" s="18" t="s">
        <v>600</v>
      </c>
      <c r="AC173" s="18" t="s">
        <v>155</v>
      </c>
    </row>
    <row r="174" s="18" customFormat="1" spans="1:29">
      <c r="A174" s="18" t="s">
        <v>656</v>
      </c>
      <c r="B174" s="25" t="s">
        <v>656</v>
      </c>
      <c r="C174" s="26">
        <v>45665</v>
      </c>
      <c r="D174" s="18" t="s">
        <v>657</v>
      </c>
      <c r="E174" s="18" t="str">
        <f t="shared" si="2"/>
        <v>TBI Consulting Pvt Ltd</v>
      </c>
      <c r="F174" s="27" t="s">
        <v>658</v>
      </c>
      <c r="G174" s="18" t="s">
        <v>147</v>
      </c>
      <c r="H174" s="18" t="s">
        <v>148</v>
      </c>
      <c r="I174" s="18" t="s">
        <v>54</v>
      </c>
      <c r="J174" s="18" t="s">
        <v>249</v>
      </c>
      <c r="K174" s="18" t="s">
        <v>56</v>
      </c>
      <c r="L174" s="18" t="s">
        <v>36</v>
      </c>
      <c r="N174" s="18">
        <v>6</v>
      </c>
      <c r="O174" s="18" t="s">
        <v>88</v>
      </c>
      <c r="P174" s="18" t="s">
        <v>38</v>
      </c>
      <c r="Q174" s="18" t="s">
        <v>58</v>
      </c>
      <c r="R174" s="18" t="s">
        <v>59</v>
      </c>
      <c r="S174" s="18" t="s">
        <v>60</v>
      </c>
      <c r="T174" s="18" t="b">
        <v>1</v>
      </c>
      <c r="U174" s="18" t="s">
        <v>150</v>
      </c>
      <c r="V174" s="18" t="s">
        <v>40</v>
      </c>
      <c r="W174" s="18" t="s">
        <v>347</v>
      </c>
      <c r="X174" s="18" t="s">
        <v>348</v>
      </c>
      <c r="Y174" s="18">
        <v>1</v>
      </c>
      <c r="Z174" s="18">
        <v>300000</v>
      </c>
      <c r="AA174" s="18" t="s">
        <v>554</v>
      </c>
      <c r="AB174" s="18" t="s">
        <v>555</v>
      </c>
      <c r="AC174" s="18" t="s">
        <v>155</v>
      </c>
    </row>
    <row r="175" s="18" customFormat="1" spans="1:29">
      <c r="A175" s="18" t="s">
        <v>659</v>
      </c>
      <c r="B175" s="25" t="s">
        <v>659</v>
      </c>
      <c r="C175" s="26">
        <v>45665</v>
      </c>
      <c r="D175" s="18" t="s">
        <v>660</v>
      </c>
      <c r="E175" s="18" t="str">
        <f t="shared" si="2"/>
        <v>Atthah Info Media Pvt Ltd</v>
      </c>
      <c r="F175" s="27" t="s">
        <v>661</v>
      </c>
      <c r="G175" s="18" t="s">
        <v>147</v>
      </c>
      <c r="H175" s="18" t="s">
        <v>148</v>
      </c>
      <c r="I175" s="18" t="s">
        <v>207</v>
      </c>
      <c r="J175" s="18" t="s">
        <v>55</v>
      </c>
      <c r="K175" s="18" t="s">
        <v>56</v>
      </c>
      <c r="L175" s="18" t="s">
        <v>36</v>
      </c>
      <c r="N175" s="18">
        <v>6</v>
      </c>
      <c r="O175" s="18" t="s">
        <v>88</v>
      </c>
      <c r="P175" s="18" t="s">
        <v>38</v>
      </c>
      <c r="Q175" s="18" t="s">
        <v>58</v>
      </c>
      <c r="R175" s="18" t="s">
        <v>59</v>
      </c>
      <c r="S175" s="18" t="s">
        <v>60</v>
      </c>
      <c r="T175" s="18" t="b">
        <v>1</v>
      </c>
      <c r="U175" s="18" t="s">
        <v>150</v>
      </c>
      <c r="V175" s="18" t="s">
        <v>40</v>
      </c>
      <c r="W175" s="18" t="s">
        <v>233</v>
      </c>
      <c r="X175" s="18" t="s">
        <v>234</v>
      </c>
      <c r="Y175" s="18">
        <v>1</v>
      </c>
      <c r="Z175" s="18">
        <v>200000</v>
      </c>
      <c r="AA175" s="18" t="s">
        <v>603</v>
      </c>
      <c r="AB175" s="18" t="s">
        <v>600</v>
      </c>
      <c r="AC175" s="18" t="s">
        <v>155</v>
      </c>
    </row>
    <row r="176" s="18" customFormat="1" spans="1:29">
      <c r="A176" s="18" t="s">
        <v>662</v>
      </c>
      <c r="B176" s="25" t="s">
        <v>662</v>
      </c>
      <c r="C176" s="26">
        <v>45665</v>
      </c>
      <c r="D176" s="18" t="s">
        <v>663</v>
      </c>
      <c r="E176" s="18" t="str">
        <f t="shared" si="2"/>
        <v>The Stage Factory</v>
      </c>
      <c r="F176" s="27" t="s">
        <v>664</v>
      </c>
      <c r="G176" s="18" t="s">
        <v>147</v>
      </c>
      <c r="H176" s="18" t="s">
        <v>148</v>
      </c>
      <c r="I176" s="18" t="s">
        <v>54</v>
      </c>
      <c r="J176" s="18" t="s">
        <v>249</v>
      </c>
      <c r="K176" s="18" t="s">
        <v>56</v>
      </c>
      <c r="L176" s="18" t="s">
        <v>36</v>
      </c>
      <c r="N176" s="18">
        <v>6</v>
      </c>
      <c r="O176" s="18" t="s">
        <v>88</v>
      </c>
      <c r="P176" s="18" t="s">
        <v>38</v>
      </c>
      <c r="Q176" s="18" t="s">
        <v>58</v>
      </c>
      <c r="R176" s="18" t="s">
        <v>59</v>
      </c>
      <c r="S176" s="18" t="s">
        <v>60</v>
      </c>
      <c r="T176" s="18" t="b">
        <v>1</v>
      </c>
      <c r="U176" s="18" t="s">
        <v>150</v>
      </c>
      <c r="V176" s="18" t="s">
        <v>40</v>
      </c>
      <c r="W176" s="18" t="s">
        <v>151</v>
      </c>
      <c r="X176" s="18" t="s">
        <v>152</v>
      </c>
      <c r="Y176" s="18">
        <v>1</v>
      </c>
      <c r="Z176" s="18">
        <v>2250000</v>
      </c>
      <c r="AA176" s="18" t="s">
        <v>554</v>
      </c>
      <c r="AB176" s="18" t="s">
        <v>555</v>
      </c>
      <c r="AC176" s="18" t="s">
        <v>163</v>
      </c>
    </row>
    <row r="177" s="18" customFormat="1" spans="1:29">
      <c r="A177" s="18" t="s">
        <v>665</v>
      </c>
      <c r="B177" s="25" t="s">
        <v>665</v>
      </c>
      <c r="C177" s="26">
        <v>45665</v>
      </c>
      <c r="D177" s="18" t="s">
        <v>666</v>
      </c>
      <c r="E177" s="18" t="str">
        <f t="shared" si="2"/>
        <v>M &amp; G Associates</v>
      </c>
      <c r="F177" s="27" t="s">
        <v>667</v>
      </c>
      <c r="G177" s="18" t="s">
        <v>147</v>
      </c>
      <c r="H177" s="18" t="s">
        <v>148</v>
      </c>
      <c r="I177" s="18" t="s">
        <v>207</v>
      </c>
      <c r="J177" s="18" t="s">
        <v>55</v>
      </c>
      <c r="K177" s="18" t="s">
        <v>56</v>
      </c>
      <c r="L177" s="18" t="s">
        <v>36</v>
      </c>
      <c r="N177" s="18">
        <v>6</v>
      </c>
      <c r="O177" s="18" t="s">
        <v>88</v>
      </c>
      <c r="P177" s="18" t="s">
        <v>38</v>
      </c>
      <c r="Q177" s="18" t="s">
        <v>58</v>
      </c>
      <c r="R177" s="18" t="s">
        <v>59</v>
      </c>
      <c r="S177" s="18" t="s">
        <v>60</v>
      </c>
      <c r="T177" s="18" t="b">
        <v>1</v>
      </c>
      <c r="U177" s="18" t="s">
        <v>150</v>
      </c>
      <c r="V177" s="18" t="s">
        <v>40</v>
      </c>
      <c r="W177" s="18" t="s">
        <v>140</v>
      </c>
      <c r="X177" s="18" t="s">
        <v>141</v>
      </c>
      <c r="Y177" s="18">
        <v>1</v>
      </c>
      <c r="Z177" s="18">
        <v>1000000</v>
      </c>
      <c r="AA177" s="18" t="s">
        <v>603</v>
      </c>
      <c r="AB177" s="18" t="s">
        <v>600</v>
      </c>
      <c r="AC177" s="18" t="s">
        <v>163</v>
      </c>
    </row>
    <row r="178" s="18" customFormat="1" spans="1:29">
      <c r="A178" s="18" t="s">
        <v>668</v>
      </c>
      <c r="B178" s="25" t="s">
        <v>668</v>
      </c>
      <c r="C178" s="26">
        <v>45665</v>
      </c>
      <c r="D178" s="18" t="s">
        <v>669</v>
      </c>
      <c r="E178" s="18" t="str">
        <f t="shared" si="2"/>
        <v>Clear Span Events Pvt Ltd</v>
      </c>
      <c r="F178" s="27" t="s">
        <v>670</v>
      </c>
      <c r="G178" s="18" t="s">
        <v>147</v>
      </c>
      <c r="H178" s="18" t="s">
        <v>148</v>
      </c>
      <c r="I178" s="18" t="s">
        <v>54</v>
      </c>
      <c r="J178" s="18" t="s">
        <v>249</v>
      </c>
      <c r="K178" s="18" t="s">
        <v>56</v>
      </c>
      <c r="L178" s="18" t="s">
        <v>36</v>
      </c>
      <c r="N178" s="18">
        <v>6</v>
      </c>
      <c r="O178" s="18" t="s">
        <v>88</v>
      </c>
      <c r="P178" s="18" t="s">
        <v>38</v>
      </c>
      <c r="Q178" s="18" t="s">
        <v>58</v>
      </c>
      <c r="R178" s="18" t="s">
        <v>59</v>
      </c>
      <c r="S178" s="18" t="s">
        <v>60</v>
      </c>
      <c r="T178" s="18" t="b">
        <v>1</v>
      </c>
      <c r="U178" s="18" t="s">
        <v>150</v>
      </c>
      <c r="V178" s="18" t="s">
        <v>40</v>
      </c>
      <c r="W178" s="18" t="s">
        <v>151</v>
      </c>
      <c r="X178" s="18" t="s">
        <v>152</v>
      </c>
      <c r="Y178" s="18">
        <v>1</v>
      </c>
      <c r="Z178" s="18">
        <v>1500000</v>
      </c>
      <c r="AA178" s="18" t="s">
        <v>554</v>
      </c>
      <c r="AB178" s="18" t="s">
        <v>555</v>
      </c>
      <c r="AC178" s="18" t="s">
        <v>163</v>
      </c>
    </row>
    <row r="179" s="18" customFormat="1" spans="1:29">
      <c r="A179" s="18" t="s">
        <v>671</v>
      </c>
      <c r="B179" s="25" t="s">
        <v>671</v>
      </c>
      <c r="C179" s="26">
        <v>45665</v>
      </c>
      <c r="D179" s="18" t="s">
        <v>460</v>
      </c>
      <c r="E179" s="18" t="str">
        <f t="shared" si="2"/>
        <v>Innovative Gifting Solutions</v>
      </c>
      <c r="F179" s="27" t="s">
        <v>461</v>
      </c>
      <c r="G179" s="18" t="s">
        <v>147</v>
      </c>
      <c r="H179" s="18" t="s">
        <v>148</v>
      </c>
      <c r="I179" s="18" t="s">
        <v>207</v>
      </c>
      <c r="J179" s="18" t="s">
        <v>55</v>
      </c>
      <c r="K179" s="18" t="s">
        <v>56</v>
      </c>
      <c r="L179" s="18" t="s">
        <v>36</v>
      </c>
      <c r="N179" s="18">
        <v>6</v>
      </c>
      <c r="O179" s="18" t="s">
        <v>57</v>
      </c>
      <c r="P179" s="18" t="s">
        <v>38</v>
      </c>
      <c r="Q179" s="18" t="s">
        <v>58</v>
      </c>
      <c r="R179" s="18" t="s">
        <v>59</v>
      </c>
      <c r="S179" s="18" t="s">
        <v>60</v>
      </c>
      <c r="T179" s="18" t="b">
        <v>1</v>
      </c>
      <c r="U179" s="18" t="s">
        <v>150</v>
      </c>
      <c r="V179" s="18" t="s">
        <v>40</v>
      </c>
      <c r="W179" s="18" t="s">
        <v>140</v>
      </c>
      <c r="X179" s="18" t="s">
        <v>141</v>
      </c>
      <c r="Y179" s="18">
        <v>1</v>
      </c>
      <c r="Z179" s="18">
        <v>19800</v>
      </c>
      <c r="AA179" s="18" t="s">
        <v>603</v>
      </c>
      <c r="AB179" s="18" t="s">
        <v>600</v>
      </c>
      <c r="AC179" s="18" t="s">
        <v>163</v>
      </c>
    </row>
    <row r="180" s="18" customFormat="1" spans="1:29">
      <c r="A180" s="18" t="s">
        <v>672</v>
      </c>
      <c r="B180" s="25" t="s">
        <v>672</v>
      </c>
      <c r="C180" s="26">
        <v>45665</v>
      </c>
      <c r="D180" s="18" t="s">
        <v>460</v>
      </c>
      <c r="E180" s="18" t="str">
        <f t="shared" si="2"/>
        <v>Innovative Gifting Solutions</v>
      </c>
      <c r="F180" s="27" t="s">
        <v>461</v>
      </c>
      <c r="G180" s="18" t="s">
        <v>147</v>
      </c>
      <c r="H180" s="18" t="s">
        <v>148</v>
      </c>
      <c r="I180" s="18" t="s">
        <v>207</v>
      </c>
      <c r="J180" s="18" t="s">
        <v>55</v>
      </c>
      <c r="K180" s="18" t="s">
        <v>56</v>
      </c>
      <c r="L180" s="18" t="s">
        <v>36</v>
      </c>
      <c r="N180" s="18">
        <v>6</v>
      </c>
      <c r="O180" s="18" t="s">
        <v>57</v>
      </c>
      <c r="P180" s="18" t="s">
        <v>38</v>
      </c>
      <c r="Q180" s="18" t="s">
        <v>58</v>
      </c>
      <c r="R180" s="18" t="s">
        <v>59</v>
      </c>
      <c r="S180" s="18" t="s">
        <v>60</v>
      </c>
      <c r="T180" s="18" t="b">
        <v>1</v>
      </c>
      <c r="U180" s="18" t="s">
        <v>150</v>
      </c>
      <c r="V180" s="18" t="s">
        <v>40</v>
      </c>
      <c r="W180" s="18" t="s">
        <v>196</v>
      </c>
      <c r="X180" s="18" t="s">
        <v>197</v>
      </c>
      <c r="Y180" s="18">
        <v>1</v>
      </c>
      <c r="Z180" s="18">
        <v>10125</v>
      </c>
      <c r="AA180" s="18" t="s">
        <v>603</v>
      </c>
      <c r="AB180" s="18" t="s">
        <v>600</v>
      </c>
      <c r="AC180" s="18" t="s">
        <v>163</v>
      </c>
    </row>
    <row r="181" s="18" customFormat="1" spans="1:29">
      <c r="A181" s="18" t="s">
        <v>673</v>
      </c>
      <c r="B181" s="25" t="s">
        <v>673</v>
      </c>
      <c r="C181" s="26">
        <v>45665</v>
      </c>
      <c r="D181" s="18" t="s">
        <v>674</v>
      </c>
      <c r="E181" s="18" t="str">
        <f t="shared" si="2"/>
        <v>Rastey Commuting Services Pvt Ltd</v>
      </c>
      <c r="F181" s="27" t="s">
        <v>675</v>
      </c>
      <c r="G181" s="18" t="s">
        <v>147</v>
      </c>
      <c r="H181" s="18" t="s">
        <v>148</v>
      </c>
      <c r="I181" s="18" t="s">
        <v>207</v>
      </c>
      <c r="J181" s="18" t="s">
        <v>55</v>
      </c>
      <c r="K181" s="18" t="s">
        <v>56</v>
      </c>
      <c r="L181" s="18" t="s">
        <v>36</v>
      </c>
      <c r="N181" s="18">
        <v>6</v>
      </c>
      <c r="O181" s="18" t="s">
        <v>88</v>
      </c>
      <c r="P181" s="18" t="s">
        <v>38</v>
      </c>
      <c r="Q181" s="18" t="s">
        <v>58</v>
      </c>
      <c r="R181" s="18" t="s">
        <v>59</v>
      </c>
      <c r="S181" s="18" t="s">
        <v>60</v>
      </c>
      <c r="T181" s="18" t="b">
        <v>1</v>
      </c>
      <c r="U181" s="18" t="s">
        <v>150</v>
      </c>
      <c r="V181" s="18" t="s">
        <v>40</v>
      </c>
      <c r="W181" s="18" t="s">
        <v>119</v>
      </c>
      <c r="X181" s="18" t="s">
        <v>120</v>
      </c>
      <c r="Y181" s="18">
        <v>1</v>
      </c>
      <c r="Z181" s="18">
        <v>419354</v>
      </c>
      <c r="AA181" s="18" t="s">
        <v>603</v>
      </c>
      <c r="AB181" s="18" t="s">
        <v>600</v>
      </c>
      <c r="AC181" s="18" t="s">
        <v>676</v>
      </c>
    </row>
    <row r="182" s="18" customFormat="1" spans="1:29">
      <c r="A182" s="18" t="s">
        <v>677</v>
      </c>
      <c r="B182" s="25" t="s">
        <v>677</v>
      </c>
      <c r="C182" s="26">
        <v>45665</v>
      </c>
      <c r="D182" s="18" t="s">
        <v>678</v>
      </c>
      <c r="E182" s="18" t="str">
        <f t="shared" si="2"/>
        <v>Corporate Gift</v>
      </c>
      <c r="F182" s="27" t="s">
        <v>679</v>
      </c>
      <c r="G182" s="18" t="s">
        <v>147</v>
      </c>
      <c r="H182" s="18" t="s">
        <v>148</v>
      </c>
      <c r="I182" s="18" t="s">
        <v>207</v>
      </c>
      <c r="J182" s="18" t="s">
        <v>55</v>
      </c>
      <c r="K182" s="18" t="s">
        <v>56</v>
      </c>
      <c r="L182" s="18" t="s">
        <v>36</v>
      </c>
      <c r="N182" s="18">
        <v>6</v>
      </c>
      <c r="O182" s="18" t="s">
        <v>88</v>
      </c>
      <c r="P182" s="18" t="s">
        <v>38</v>
      </c>
      <c r="Q182" s="18" t="s">
        <v>58</v>
      </c>
      <c r="R182" s="18" t="s">
        <v>59</v>
      </c>
      <c r="S182" s="18" t="s">
        <v>60</v>
      </c>
      <c r="T182" s="18" t="b">
        <v>1</v>
      </c>
      <c r="U182" s="18" t="s">
        <v>150</v>
      </c>
      <c r="V182" s="18" t="s">
        <v>40</v>
      </c>
      <c r="W182" s="18" t="s">
        <v>140</v>
      </c>
      <c r="X182" s="18" t="s">
        <v>141</v>
      </c>
      <c r="Y182" s="18">
        <v>1</v>
      </c>
      <c r="Z182" s="18">
        <v>84700</v>
      </c>
      <c r="AA182" s="18" t="s">
        <v>603</v>
      </c>
      <c r="AB182" s="18" t="s">
        <v>600</v>
      </c>
      <c r="AC182" s="18" t="s">
        <v>163</v>
      </c>
    </row>
    <row r="183" s="18" customFormat="1" spans="1:29">
      <c r="A183" s="18" t="s">
        <v>680</v>
      </c>
      <c r="B183" s="25" t="s">
        <v>680</v>
      </c>
      <c r="C183" s="26">
        <v>45665</v>
      </c>
      <c r="D183" s="18" t="s">
        <v>681</v>
      </c>
      <c r="E183" s="18" t="str">
        <f t="shared" si="2"/>
        <v>Ravi (EOFPR1927Q)</v>
      </c>
      <c r="F183" s="27" t="s">
        <v>682</v>
      </c>
      <c r="G183" s="18" t="s">
        <v>147</v>
      </c>
      <c r="H183" s="18" t="s">
        <v>148</v>
      </c>
      <c r="I183" s="18" t="s">
        <v>54</v>
      </c>
      <c r="J183" s="18" t="s">
        <v>395</v>
      </c>
      <c r="K183" s="18" t="s">
        <v>56</v>
      </c>
      <c r="L183" s="18" t="s">
        <v>36</v>
      </c>
      <c r="N183" s="18">
        <v>6</v>
      </c>
      <c r="O183" s="18" t="s">
        <v>57</v>
      </c>
      <c r="P183" s="18" t="s">
        <v>38</v>
      </c>
      <c r="Q183" s="18" t="s">
        <v>58</v>
      </c>
      <c r="R183" s="18" t="s">
        <v>59</v>
      </c>
      <c r="S183" s="18" t="s">
        <v>60</v>
      </c>
      <c r="T183" s="18" t="b">
        <v>1</v>
      </c>
      <c r="U183" s="18" t="s">
        <v>150</v>
      </c>
      <c r="V183" s="18" t="s">
        <v>40</v>
      </c>
      <c r="W183" s="18" t="s">
        <v>683</v>
      </c>
      <c r="X183" s="18" t="s">
        <v>684</v>
      </c>
      <c r="Y183" s="18">
        <v>1</v>
      </c>
      <c r="Z183" s="18">
        <v>70000</v>
      </c>
      <c r="AA183" s="18" t="s">
        <v>685</v>
      </c>
      <c r="AB183" s="18" t="s">
        <v>397</v>
      </c>
      <c r="AC183" s="18" t="e">
        <v>#N/A</v>
      </c>
    </row>
    <row r="184" s="18" customFormat="1" spans="1:29">
      <c r="A184" s="18" t="s">
        <v>686</v>
      </c>
      <c r="B184" s="25" t="s">
        <v>686</v>
      </c>
      <c r="C184" s="26">
        <v>45665</v>
      </c>
      <c r="D184" s="18" t="s">
        <v>666</v>
      </c>
      <c r="E184" s="18" t="str">
        <f t="shared" si="2"/>
        <v>M &amp; G Associates</v>
      </c>
      <c r="F184" s="27" t="s">
        <v>667</v>
      </c>
      <c r="G184" s="18" t="s">
        <v>147</v>
      </c>
      <c r="H184" s="18" t="s">
        <v>148</v>
      </c>
      <c r="I184" s="18" t="s">
        <v>54</v>
      </c>
      <c r="J184" s="18" t="s">
        <v>462</v>
      </c>
      <c r="K184" s="18" t="s">
        <v>56</v>
      </c>
      <c r="L184" s="18" t="s">
        <v>36</v>
      </c>
      <c r="N184" s="18">
        <v>6</v>
      </c>
      <c r="O184" s="18" t="s">
        <v>88</v>
      </c>
      <c r="P184" s="18" t="s">
        <v>38</v>
      </c>
      <c r="Q184" s="18" t="s">
        <v>58</v>
      </c>
      <c r="R184" s="18" t="s">
        <v>59</v>
      </c>
      <c r="S184" s="18" t="s">
        <v>60</v>
      </c>
      <c r="T184" s="18" t="b">
        <v>1</v>
      </c>
      <c r="U184" s="18" t="s">
        <v>150</v>
      </c>
      <c r="V184" s="18" t="s">
        <v>40</v>
      </c>
      <c r="W184" s="18" t="s">
        <v>140</v>
      </c>
      <c r="X184" s="18" t="s">
        <v>141</v>
      </c>
      <c r="Y184" s="18">
        <v>1</v>
      </c>
      <c r="Z184" s="18">
        <v>153000</v>
      </c>
      <c r="AA184" s="18" t="s">
        <v>603</v>
      </c>
      <c r="AB184" s="18" t="s">
        <v>600</v>
      </c>
      <c r="AC184" s="18" t="s">
        <v>163</v>
      </c>
    </row>
    <row r="185" s="18" customFormat="1" spans="1:29">
      <c r="A185" s="18" t="s">
        <v>687</v>
      </c>
      <c r="B185" s="25" t="s">
        <v>687</v>
      </c>
      <c r="C185" s="26">
        <v>45665</v>
      </c>
      <c r="D185" s="18" t="s">
        <v>688</v>
      </c>
      <c r="E185" s="18" t="str">
        <f t="shared" si="2"/>
        <v>Inked</v>
      </c>
      <c r="F185" s="27" t="e">
        <v>#N/A</v>
      </c>
      <c r="G185" s="18" t="s">
        <v>147</v>
      </c>
      <c r="H185" s="18" t="s">
        <v>148</v>
      </c>
      <c r="I185" s="18" t="s">
        <v>54</v>
      </c>
      <c r="J185" s="18" t="s">
        <v>462</v>
      </c>
      <c r="K185" s="18" t="s">
        <v>56</v>
      </c>
      <c r="L185" s="18" t="s">
        <v>36</v>
      </c>
      <c r="N185" s="18">
        <v>6</v>
      </c>
      <c r="O185" s="18" t="s">
        <v>88</v>
      </c>
      <c r="P185" s="18" t="s">
        <v>38</v>
      </c>
      <c r="Q185" s="18" t="s">
        <v>58</v>
      </c>
      <c r="R185" s="18" t="s">
        <v>59</v>
      </c>
      <c r="S185" s="18" t="s">
        <v>60</v>
      </c>
      <c r="T185" s="18" t="b">
        <v>1</v>
      </c>
      <c r="U185" s="18" t="s">
        <v>150</v>
      </c>
      <c r="V185" s="18" t="s">
        <v>40</v>
      </c>
      <c r="W185" s="18" t="s">
        <v>196</v>
      </c>
      <c r="X185" s="18" t="s">
        <v>197</v>
      </c>
      <c r="Y185" s="18">
        <v>1</v>
      </c>
      <c r="Z185" s="18">
        <v>18000</v>
      </c>
      <c r="AA185" s="18" t="s">
        <v>603</v>
      </c>
      <c r="AB185" s="18" t="s">
        <v>600</v>
      </c>
      <c r="AC185" s="18" t="s">
        <v>163</v>
      </c>
    </row>
    <row r="186" s="18" customFormat="1" spans="1:29">
      <c r="A186" s="18" t="s">
        <v>689</v>
      </c>
      <c r="B186" s="25" t="s">
        <v>689</v>
      </c>
      <c r="C186" s="26">
        <v>45665</v>
      </c>
      <c r="D186" s="18" t="s">
        <v>678</v>
      </c>
      <c r="E186" s="18" t="str">
        <f t="shared" si="2"/>
        <v>Corporate Gift</v>
      </c>
      <c r="F186" s="27" t="s">
        <v>679</v>
      </c>
      <c r="G186" s="18" t="s">
        <v>147</v>
      </c>
      <c r="H186" s="18" t="s">
        <v>148</v>
      </c>
      <c r="I186" s="18" t="s">
        <v>54</v>
      </c>
      <c r="J186" s="18" t="s">
        <v>462</v>
      </c>
      <c r="K186" s="18" t="s">
        <v>56</v>
      </c>
      <c r="L186" s="18" t="s">
        <v>36</v>
      </c>
      <c r="N186" s="18">
        <v>6</v>
      </c>
      <c r="O186" s="18" t="s">
        <v>88</v>
      </c>
      <c r="P186" s="18" t="s">
        <v>38</v>
      </c>
      <c r="Q186" s="18" t="s">
        <v>58</v>
      </c>
      <c r="R186" s="18" t="s">
        <v>59</v>
      </c>
      <c r="S186" s="18" t="s">
        <v>60</v>
      </c>
      <c r="T186" s="18" t="b">
        <v>1</v>
      </c>
      <c r="U186" s="18" t="s">
        <v>150</v>
      </c>
      <c r="V186" s="18" t="s">
        <v>40</v>
      </c>
      <c r="W186" s="18" t="s">
        <v>140</v>
      </c>
      <c r="X186" s="18" t="s">
        <v>141</v>
      </c>
      <c r="Y186" s="18">
        <v>1</v>
      </c>
      <c r="Z186" s="18">
        <v>63000</v>
      </c>
      <c r="AA186" s="18" t="s">
        <v>603</v>
      </c>
      <c r="AB186" s="18" t="s">
        <v>600</v>
      </c>
      <c r="AC186" s="18" t="s">
        <v>163</v>
      </c>
    </row>
    <row r="187" s="18" customFormat="1" spans="1:29">
      <c r="A187" s="18" t="s">
        <v>690</v>
      </c>
      <c r="B187" s="25" t="s">
        <v>690</v>
      </c>
      <c r="C187" s="26">
        <v>45665</v>
      </c>
      <c r="D187" s="18" t="s">
        <v>678</v>
      </c>
      <c r="E187" s="18" t="str">
        <f t="shared" si="2"/>
        <v>Corporate Gift</v>
      </c>
      <c r="F187" s="27" t="s">
        <v>679</v>
      </c>
      <c r="G187" s="18" t="s">
        <v>147</v>
      </c>
      <c r="H187" s="18" t="s">
        <v>148</v>
      </c>
      <c r="I187" s="18" t="s">
        <v>54</v>
      </c>
      <c r="J187" s="18" t="s">
        <v>462</v>
      </c>
      <c r="K187" s="18" t="s">
        <v>56</v>
      </c>
      <c r="L187" s="18" t="s">
        <v>36</v>
      </c>
      <c r="N187" s="18">
        <v>6</v>
      </c>
      <c r="O187" s="18" t="s">
        <v>88</v>
      </c>
      <c r="P187" s="18" t="s">
        <v>38</v>
      </c>
      <c r="Q187" s="18" t="s">
        <v>58</v>
      </c>
      <c r="R187" s="18" t="s">
        <v>59</v>
      </c>
      <c r="S187" s="18" t="s">
        <v>60</v>
      </c>
      <c r="T187" s="18" t="b">
        <v>1</v>
      </c>
      <c r="U187" s="18" t="s">
        <v>150</v>
      </c>
      <c r="V187" s="18" t="s">
        <v>40</v>
      </c>
      <c r="W187" s="18" t="s">
        <v>140</v>
      </c>
      <c r="X187" s="18" t="s">
        <v>141</v>
      </c>
      <c r="Y187" s="18">
        <v>1</v>
      </c>
      <c r="Z187" s="18">
        <v>24000</v>
      </c>
      <c r="AA187" s="18" t="s">
        <v>603</v>
      </c>
      <c r="AB187" s="18" t="s">
        <v>600</v>
      </c>
      <c r="AC187" s="18" t="s">
        <v>163</v>
      </c>
    </row>
    <row r="188" s="18" customFormat="1" spans="1:29">
      <c r="A188" s="18" t="s">
        <v>691</v>
      </c>
      <c r="B188" s="25" t="s">
        <v>691</v>
      </c>
      <c r="C188" s="26">
        <v>45665</v>
      </c>
      <c r="D188" s="18" t="s">
        <v>692</v>
      </c>
      <c r="E188" s="18" t="str">
        <f t="shared" si="2"/>
        <v>Yolekha Events</v>
      </c>
      <c r="F188" s="27" t="s">
        <v>693</v>
      </c>
      <c r="G188" s="18" t="s">
        <v>147</v>
      </c>
      <c r="H188" s="18" t="s">
        <v>148</v>
      </c>
      <c r="I188" s="18" t="s">
        <v>207</v>
      </c>
      <c r="J188" s="18" t="s">
        <v>249</v>
      </c>
      <c r="K188" s="18" t="s">
        <v>56</v>
      </c>
      <c r="L188" s="18" t="s">
        <v>36</v>
      </c>
      <c r="N188" s="18">
        <v>6</v>
      </c>
      <c r="O188" s="18" t="s">
        <v>57</v>
      </c>
      <c r="P188" s="18" t="s">
        <v>38</v>
      </c>
      <c r="Q188" s="18" t="s">
        <v>58</v>
      </c>
      <c r="R188" s="18" t="s">
        <v>59</v>
      </c>
      <c r="S188" s="18" t="s">
        <v>60</v>
      </c>
      <c r="T188" s="18" t="b">
        <v>1</v>
      </c>
      <c r="U188" s="18" t="s">
        <v>150</v>
      </c>
      <c r="V188" s="18" t="s">
        <v>40</v>
      </c>
      <c r="W188" s="18" t="s">
        <v>196</v>
      </c>
      <c r="X188" s="18" t="s">
        <v>197</v>
      </c>
      <c r="Y188" s="18">
        <v>1</v>
      </c>
      <c r="Z188" s="18">
        <v>15300</v>
      </c>
      <c r="AA188" s="18" t="s">
        <v>694</v>
      </c>
      <c r="AB188" s="18" t="s">
        <v>228</v>
      </c>
      <c r="AC188" s="18" t="s">
        <v>695</v>
      </c>
    </row>
    <row r="189" s="18" customFormat="1" spans="1:29">
      <c r="A189" s="18" t="s">
        <v>696</v>
      </c>
      <c r="B189" s="25" t="s">
        <v>696</v>
      </c>
      <c r="C189" s="26">
        <v>45665</v>
      </c>
      <c r="D189" s="18" t="s">
        <v>697</v>
      </c>
      <c r="E189" s="18" t="str">
        <f t="shared" si="2"/>
        <v>Pavni Enterprises</v>
      </c>
      <c r="F189" s="27" t="s">
        <v>698</v>
      </c>
      <c r="G189" s="18" t="s">
        <v>147</v>
      </c>
      <c r="H189" s="18" t="s">
        <v>148</v>
      </c>
      <c r="I189" s="18" t="s">
        <v>54</v>
      </c>
      <c r="J189" s="18" t="s">
        <v>240</v>
      </c>
      <c r="K189" s="18" t="s">
        <v>56</v>
      </c>
      <c r="L189" s="18" t="s">
        <v>36</v>
      </c>
      <c r="N189" s="18">
        <v>6</v>
      </c>
      <c r="O189" s="18" t="s">
        <v>57</v>
      </c>
      <c r="P189" s="18" t="s">
        <v>38</v>
      </c>
      <c r="Q189" s="18" t="s">
        <v>58</v>
      </c>
      <c r="R189" s="18" t="s">
        <v>59</v>
      </c>
      <c r="S189" s="18" t="s">
        <v>60</v>
      </c>
      <c r="T189" s="18" t="b">
        <v>1</v>
      </c>
      <c r="U189" s="18" t="s">
        <v>150</v>
      </c>
      <c r="V189" s="18" t="s">
        <v>40</v>
      </c>
      <c r="W189" s="18" t="s">
        <v>140</v>
      </c>
      <c r="X189" s="18" t="s">
        <v>141</v>
      </c>
      <c r="Y189" s="18">
        <v>1</v>
      </c>
      <c r="Z189" s="18">
        <v>112500</v>
      </c>
      <c r="AA189" s="18" t="s">
        <v>241</v>
      </c>
      <c r="AB189" s="18" t="s">
        <v>242</v>
      </c>
      <c r="AC189" s="18" t="s">
        <v>699</v>
      </c>
    </row>
    <row r="190" s="18" customFormat="1" spans="1:29">
      <c r="A190" s="18" t="s">
        <v>700</v>
      </c>
      <c r="B190" s="25" t="s">
        <v>700</v>
      </c>
      <c r="C190" s="26">
        <v>45665</v>
      </c>
      <c r="D190" s="18" t="s">
        <v>559</v>
      </c>
      <c r="E190" s="18" t="str">
        <f t="shared" si="2"/>
        <v>Red Carpet Events And Entertainment</v>
      </c>
      <c r="F190" s="27" t="s">
        <v>560</v>
      </c>
      <c r="G190" s="18" t="s">
        <v>147</v>
      </c>
      <c r="H190" s="18" t="s">
        <v>148</v>
      </c>
      <c r="I190" s="18" t="s">
        <v>207</v>
      </c>
      <c r="J190" s="18" t="s">
        <v>395</v>
      </c>
      <c r="K190" s="18" t="s">
        <v>56</v>
      </c>
      <c r="L190" s="18" t="s">
        <v>36</v>
      </c>
      <c r="N190" s="18">
        <v>6</v>
      </c>
      <c r="O190" s="18" t="s">
        <v>88</v>
      </c>
      <c r="P190" s="18" t="s">
        <v>38</v>
      </c>
      <c r="Q190" s="18" t="s">
        <v>58</v>
      </c>
      <c r="R190" s="18" t="s">
        <v>59</v>
      </c>
      <c r="S190" s="18" t="s">
        <v>60</v>
      </c>
      <c r="T190" s="18" t="b">
        <v>1</v>
      </c>
      <c r="U190" s="18" t="s">
        <v>150</v>
      </c>
      <c r="V190" s="18" t="s">
        <v>40</v>
      </c>
      <c r="W190" s="18" t="s">
        <v>292</v>
      </c>
      <c r="X190" s="18" t="s">
        <v>293</v>
      </c>
      <c r="Y190" s="18">
        <v>1</v>
      </c>
      <c r="Z190" s="18">
        <v>44000</v>
      </c>
      <c r="AA190" s="18" t="s">
        <v>544</v>
      </c>
      <c r="AB190" s="18" t="s">
        <v>397</v>
      </c>
      <c r="AC190" s="18" t="e">
        <v>#N/A</v>
      </c>
    </row>
    <row r="191" s="18" customFormat="1" spans="1:29">
      <c r="A191" s="18" t="s">
        <v>701</v>
      </c>
      <c r="B191" s="25" t="s">
        <v>701</v>
      </c>
      <c r="C191" s="26">
        <v>45665</v>
      </c>
      <c r="D191" s="18" t="s">
        <v>702</v>
      </c>
      <c r="E191" s="18" t="str">
        <f t="shared" si="2"/>
        <v>Shree Ram Computers</v>
      </c>
      <c r="F191" s="27" t="s">
        <v>703</v>
      </c>
      <c r="G191" s="18" t="s">
        <v>147</v>
      </c>
      <c r="H191" s="18" t="s">
        <v>148</v>
      </c>
      <c r="I191" s="18" t="s">
        <v>159</v>
      </c>
      <c r="J191" s="18" t="s">
        <v>149</v>
      </c>
      <c r="K191" s="18" t="s">
        <v>56</v>
      </c>
      <c r="L191" s="18" t="s">
        <v>36</v>
      </c>
      <c r="N191" s="18">
        <v>6</v>
      </c>
      <c r="O191" s="18" t="s">
        <v>57</v>
      </c>
      <c r="P191" s="18" t="s">
        <v>38</v>
      </c>
      <c r="Q191" s="18" t="s">
        <v>58</v>
      </c>
      <c r="R191" s="18" t="s">
        <v>59</v>
      </c>
      <c r="S191" s="18" t="s">
        <v>60</v>
      </c>
      <c r="T191" s="18" t="b">
        <v>1</v>
      </c>
      <c r="U191" s="18" t="s">
        <v>150</v>
      </c>
      <c r="V191" s="18" t="s">
        <v>40</v>
      </c>
      <c r="W191" s="18" t="s">
        <v>704</v>
      </c>
      <c r="X191" s="18" t="s">
        <v>704</v>
      </c>
      <c r="Y191" s="18">
        <v>1</v>
      </c>
      <c r="Z191" s="18">
        <v>13220</v>
      </c>
      <c r="AA191" s="18" t="s">
        <v>176</v>
      </c>
      <c r="AB191" s="18" t="s">
        <v>173</v>
      </c>
      <c r="AC191" s="18" t="s">
        <v>163</v>
      </c>
    </row>
    <row r="192" s="18" customFormat="1" spans="1:29">
      <c r="A192" s="18" t="s">
        <v>705</v>
      </c>
      <c r="B192" s="25" t="s">
        <v>705</v>
      </c>
      <c r="C192" s="26">
        <v>45665</v>
      </c>
      <c r="D192" s="18" t="s">
        <v>702</v>
      </c>
      <c r="E192" s="18" t="str">
        <f t="shared" si="2"/>
        <v>Shree Ram Computers</v>
      </c>
      <c r="F192" s="27" t="s">
        <v>703</v>
      </c>
      <c r="G192" s="18" t="s">
        <v>147</v>
      </c>
      <c r="H192" s="18" t="s">
        <v>148</v>
      </c>
      <c r="I192" s="18" t="s">
        <v>159</v>
      </c>
      <c r="J192" s="18" t="s">
        <v>249</v>
      </c>
      <c r="K192" s="18" t="s">
        <v>56</v>
      </c>
      <c r="L192" s="18" t="s">
        <v>36</v>
      </c>
      <c r="N192" s="18">
        <v>6</v>
      </c>
      <c r="O192" s="18" t="s">
        <v>57</v>
      </c>
      <c r="P192" s="18" t="s">
        <v>38</v>
      </c>
      <c r="Q192" s="18" t="s">
        <v>58</v>
      </c>
      <c r="R192" s="18" t="s">
        <v>59</v>
      </c>
      <c r="S192" s="18" t="s">
        <v>60</v>
      </c>
      <c r="T192" s="18" t="b">
        <v>1</v>
      </c>
      <c r="U192" s="18" t="s">
        <v>150</v>
      </c>
      <c r="V192" s="18" t="s">
        <v>40</v>
      </c>
      <c r="W192" s="18" t="s">
        <v>704</v>
      </c>
      <c r="X192" s="18" t="s">
        <v>704</v>
      </c>
      <c r="Y192" s="18">
        <v>1</v>
      </c>
      <c r="Z192" s="18">
        <v>13220</v>
      </c>
      <c r="AA192" s="18" t="s">
        <v>176</v>
      </c>
      <c r="AB192" s="18" t="s">
        <v>173</v>
      </c>
      <c r="AC192" s="18" t="s">
        <v>163</v>
      </c>
    </row>
    <row r="193" s="18" customFormat="1" spans="1:29">
      <c r="A193" s="18" t="s">
        <v>706</v>
      </c>
      <c r="B193" s="25" t="s">
        <v>706</v>
      </c>
      <c r="C193" s="26">
        <v>45665</v>
      </c>
      <c r="D193" s="18" t="s">
        <v>707</v>
      </c>
      <c r="E193" s="18" t="str">
        <f t="shared" si="2"/>
        <v>Teleprompter Solution</v>
      </c>
      <c r="F193" s="27" t="s">
        <v>708</v>
      </c>
      <c r="G193" s="18" t="s">
        <v>147</v>
      </c>
      <c r="H193" s="18" t="s">
        <v>148</v>
      </c>
      <c r="I193" s="18" t="s">
        <v>54</v>
      </c>
      <c r="J193" s="18" t="s">
        <v>149</v>
      </c>
      <c r="K193" s="18" t="s">
        <v>56</v>
      </c>
      <c r="L193" s="18" t="s">
        <v>36</v>
      </c>
      <c r="N193" s="18">
        <v>6</v>
      </c>
      <c r="O193" s="18" t="s">
        <v>88</v>
      </c>
      <c r="P193" s="18" t="s">
        <v>38</v>
      </c>
      <c r="Q193" s="18" t="s">
        <v>58</v>
      </c>
      <c r="R193" s="18" t="s">
        <v>59</v>
      </c>
      <c r="S193" s="18" t="s">
        <v>60</v>
      </c>
      <c r="T193" s="18" t="b">
        <v>1</v>
      </c>
      <c r="U193" s="18" t="s">
        <v>150</v>
      </c>
      <c r="V193" s="18" t="s">
        <v>40</v>
      </c>
      <c r="W193" s="18" t="s">
        <v>371</v>
      </c>
      <c r="X193" s="18" t="s">
        <v>372</v>
      </c>
      <c r="Y193" s="18">
        <v>1</v>
      </c>
      <c r="Z193" s="18">
        <v>15000</v>
      </c>
      <c r="AA193" s="18" t="s">
        <v>373</v>
      </c>
      <c r="AB193" s="18" t="s">
        <v>236</v>
      </c>
      <c r="AC193" s="18" t="s">
        <v>163</v>
      </c>
    </row>
    <row r="194" s="18" customFormat="1" spans="1:29">
      <c r="A194" s="18" t="s">
        <v>709</v>
      </c>
      <c r="B194" s="25" t="s">
        <v>709</v>
      </c>
      <c r="C194" s="26">
        <v>45665</v>
      </c>
      <c r="D194" s="18" t="s">
        <v>710</v>
      </c>
      <c r="E194" s="18" t="str">
        <f t="shared" si="2"/>
        <v>Dev Ad World</v>
      </c>
      <c r="F194" s="27" t="s">
        <v>711</v>
      </c>
      <c r="G194" s="18" t="s">
        <v>147</v>
      </c>
      <c r="H194" s="18" t="s">
        <v>148</v>
      </c>
      <c r="I194" s="18" t="s">
        <v>54</v>
      </c>
      <c r="J194" s="18" t="s">
        <v>149</v>
      </c>
      <c r="K194" s="18" t="s">
        <v>56</v>
      </c>
      <c r="L194" s="18" t="s">
        <v>36</v>
      </c>
      <c r="N194" s="18">
        <v>6</v>
      </c>
      <c r="O194" s="18" t="s">
        <v>88</v>
      </c>
      <c r="P194" s="18" t="s">
        <v>38</v>
      </c>
      <c r="Q194" s="18" t="s">
        <v>58</v>
      </c>
      <c r="R194" s="18" t="s">
        <v>59</v>
      </c>
      <c r="S194" s="18" t="s">
        <v>60</v>
      </c>
      <c r="T194" s="18" t="b">
        <v>1</v>
      </c>
      <c r="U194" s="18" t="s">
        <v>150</v>
      </c>
      <c r="V194" s="18" t="s">
        <v>40</v>
      </c>
      <c r="W194" s="18" t="s">
        <v>140</v>
      </c>
      <c r="X194" s="18" t="s">
        <v>141</v>
      </c>
      <c r="Y194" s="18">
        <v>1</v>
      </c>
      <c r="Z194" s="18">
        <v>255900</v>
      </c>
      <c r="AA194" s="18" t="s">
        <v>343</v>
      </c>
      <c r="AC194" s="18" t="s">
        <v>699</v>
      </c>
    </row>
    <row r="195" s="18" customFormat="1" spans="1:29">
      <c r="A195" s="18" t="s">
        <v>712</v>
      </c>
      <c r="B195" s="25" t="s">
        <v>712</v>
      </c>
      <c r="C195" s="26">
        <v>45665</v>
      </c>
      <c r="D195" s="18" t="s">
        <v>713</v>
      </c>
      <c r="E195" s="18" t="str">
        <f t="shared" ref="E195:E258" si="3">_xlfn.TEXTBEFORE(D195,"-")</f>
        <v>U2 Entertainment</v>
      </c>
      <c r="F195" s="27" t="s">
        <v>714</v>
      </c>
      <c r="G195" s="18" t="s">
        <v>182</v>
      </c>
      <c r="H195" s="18" t="s">
        <v>183</v>
      </c>
      <c r="I195" s="18" t="s">
        <v>54</v>
      </c>
      <c r="J195" s="18" t="s">
        <v>249</v>
      </c>
      <c r="K195" s="18" t="s">
        <v>56</v>
      </c>
      <c r="L195" s="18" t="s">
        <v>36</v>
      </c>
      <c r="N195" s="18">
        <v>6</v>
      </c>
      <c r="O195" s="18" t="s">
        <v>88</v>
      </c>
      <c r="P195" s="18" t="s">
        <v>38</v>
      </c>
      <c r="Q195" s="18" t="s">
        <v>58</v>
      </c>
      <c r="R195" s="18" t="s">
        <v>59</v>
      </c>
      <c r="S195" s="18" t="s">
        <v>60</v>
      </c>
      <c r="T195" s="18" t="b">
        <v>0</v>
      </c>
      <c r="U195" s="18" t="s">
        <v>187</v>
      </c>
      <c r="V195" s="18" t="s">
        <v>40</v>
      </c>
      <c r="W195" s="18" t="s">
        <v>292</v>
      </c>
      <c r="X195" s="18" t="s">
        <v>293</v>
      </c>
      <c r="Y195" s="18">
        <v>1</v>
      </c>
      <c r="Z195" s="18">
        <v>250000</v>
      </c>
      <c r="AA195" s="18" t="s">
        <v>554</v>
      </c>
      <c r="AB195" s="18" t="s">
        <v>555</v>
      </c>
      <c r="AC195" s="18" t="s">
        <v>200</v>
      </c>
    </row>
    <row r="196" s="18" customFormat="1" spans="1:29">
      <c r="A196" s="18" t="s">
        <v>715</v>
      </c>
      <c r="B196" s="25" t="s">
        <v>715</v>
      </c>
      <c r="C196" s="26">
        <v>45665</v>
      </c>
      <c r="D196" s="18" t="s">
        <v>716</v>
      </c>
      <c r="E196" s="18" t="str">
        <f t="shared" si="3"/>
        <v>4Brains Technologies Pvt Ltd</v>
      </c>
      <c r="F196" s="27" t="s">
        <v>717</v>
      </c>
      <c r="G196" s="18" t="s">
        <v>182</v>
      </c>
      <c r="H196" s="18" t="s">
        <v>183</v>
      </c>
      <c r="I196" s="18" t="s">
        <v>54</v>
      </c>
      <c r="J196" s="18" t="s">
        <v>249</v>
      </c>
      <c r="K196" s="18" t="s">
        <v>56</v>
      </c>
      <c r="L196" s="18" t="s">
        <v>36</v>
      </c>
      <c r="N196" s="18">
        <v>6</v>
      </c>
      <c r="O196" s="18" t="s">
        <v>88</v>
      </c>
      <c r="P196" s="18" t="s">
        <v>38</v>
      </c>
      <c r="Q196" s="18" t="s">
        <v>58</v>
      </c>
      <c r="R196" s="18" t="s">
        <v>59</v>
      </c>
      <c r="S196" s="18" t="s">
        <v>60</v>
      </c>
      <c r="T196" s="18" t="b">
        <v>0</v>
      </c>
      <c r="U196" s="18" t="s">
        <v>187</v>
      </c>
      <c r="V196" s="18" t="s">
        <v>40</v>
      </c>
      <c r="W196" s="18" t="s">
        <v>233</v>
      </c>
      <c r="X196" s="18" t="s">
        <v>234</v>
      </c>
      <c r="Y196" s="18">
        <v>1</v>
      </c>
      <c r="Z196" s="18">
        <v>250000</v>
      </c>
      <c r="AA196" s="18" t="s">
        <v>554</v>
      </c>
      <c r="AB196" s="18" t="s">
        <v>555</v>
      </c>
      <c r="AC196" s="18" t="s">
        <v>200</v>
      </c>
    </row>
    <row r="197" s="18" customFormat="1" spans="1:29">
      <c r="A197" s="18" t="s">
        <v>718</v>
      </c>
      <c r="B197" s="25" t="s">
        <v>718</v>
      </c>
      <c r="C197" s="26">
        <v>45665</v>
      </c>
      <c r="D197" s="18" t="s">
        <v>719</v>
      </c>
      <c r="E197" s="18" t="str">
        <f t="shared" si="3"/>
        <v>Future Generali India Insurance Co. Ltd.</v>
      </c>
      <c r="F197" s="27" t="e">
        <v>#N/A</v>
      </c>
      <c r="G197" s="18" t="s">
        <v>182</v>
      </c>
      <c r="H197" s="18" t="s">
        <v>183</v>
      </c>
      <c r="I197" s="18" t="s">
        <v>54</v>
      </c>
      <c r="J197" s="18" t="s">
        <v>149</v>
      </c>
      <c r="K197" s="18" t="s">
        <v>56</v>
      </c>
      <c r="L197" s="18" t="s">
        <v>36</v>
      </c>
      <c r="N197" s="18">
        <v>6</v>
      </c>
      <c r="O197" s="18" t="s">
        <v>57</v>
      </c>
      <c r="P197" s="18" t="s">
        <v>38</v>
      </c>
      <c r="Q197" s="18" t="s">
        <v>58</v>
      </c>
      <c r="R197" s="18" t="s">
        <v>59</v>
      </c>
      <c r="S197" s="18" t="s">
        <v>60</v>
      </c>
      <c r="T197" s="18" t="b">
        <v>0</v>
      </c>
      <c r="U197" s="18" t="s">
        <v>187</v>
      </c>
      <c r="V197" s="18" t="s">
        <v>40</v>
      </c>
      <c r="W197" s="18" t="s">
        <v>720</v>
      </c>
      <c r="X197" s="18" t="s">
        <v>721</v>
      </c>
      <c r="Y197" s="18">
        <v>1</v>
      </c>
      <c r="Z197" s="18">
        <v>156000</v>
      </c>
      <c r="AA197" s="18" t="s">
        <v>373</v>
      </c>
      <c r="AB197" s="18" t="s">
        <v>236</v>
      </c>
      <c r="AC197" s="18" t="s">
        <v>200</v>
      </c>
    </row>
    <row r="198" s="18" customFormat="1" spans="1:29">
      <c r="A198" s="18" t="s">
        <v>722</v>
      </c>
      <c r="B198" s="25" t="s">
        <v>722</v>
      </c>
      <c r="C198" s="26">
        <v>45665</v>
      </c>
      <c r="D198" s="18" t="s">
        <v>723</v>
      </c>
      <c r="E198" s="18" t="str">
        <f t="shared" si="3"/>
        <v>Greenix Experience Pvt Ltd</v>
      </c>
      <c r="F198" s="27" t="s">
        <v>724</v>
      </c>
      <c r="G198" s="18" t="s">
        <v>182</v>
      </c>
      <c r="H198" s="18" t="s">
        <v>183</v>
      </c>
      <c r="I198" s="18" t="s">
        <v>54</v>
      </c>
      <c r="J198" s="18" t="s">
        <v>275</v>
      </c>
      <c r="K198" s="18" t="s">
        <v>56</v>
      </c>
      <c r="L198" s="18" t="s">
        <v>36</v>
      </c>
      <c r="N198" s="18">
        <v>6</v>
      </c>
      <c r="O198" s="18" t="s">
        <v>93</v>
      </c>
      <c r="P198" s="18" t="s">
        <v>38</v>
      </c>
      <c r="Q198" s="18" t="s">
        <v>58</v>
      </c>
      <c r="R198" s="18" t="s">
        <v>59</v>
      </c>
      <c r="S198" s="18" t="s">
        <v>60</v>
      </c>
      <c r="T198" s="18" t="b">
        <v>0</v>
      </c>
      <c r="U198" s="18" t="s">
        <v>187</v>
      </c>
      <c r="V198" s="18" t="s">
        <v>40</v>
      </c>
      <c r="W198" s="18" t="s">
        <v>233</v>
      </c>
      <c r="X198" s="18" t="s">
        <v>234</v>
      </c>
      <c r="Y198" s="18">
        <v>1</v>
      </c>
      <c r="Z198" s="18">
        <v>1077386.61</v>
      </c>
      <c r="AA198" s="18" t="s">
        <v>63</v>
      </c>
      <c r="AB198" s="18" t="s">
        <v>64</v>
      </c>
      <c r="AC198" s="18" t="s">
        <v>155</v>
      </c>
    </row>
    <row r="199" s="18" customFormat="1" ht="29" spans="1:29">
      <c r="A199" s="18" t="s">
        <v>725</v>
      </c>
      <c r="B199" s="25" t="s">
        <v>725</v>
      </c>
      <c r="C199" s="26">
        <v>45665</v>
      </c>
      <c r="D199" s="18" t="s">
        <v>726</v>
      </c>
      <c r="E199" s="18" t="str">
        <f t="shared" si="3"/>
        <v>Utsara Sports Pvt Ltd (OTV)</v>
      </c>
      <c r="F199" s="27" t="s">
        <v>727</v>
      </c>
      <c r="G199" s="18" t="s">
        <v>182</v>
      </c>
      <c r="H199" s="18" t="s">
        <v>183</v>
      </c>
      <c r="I199" s="18" t="s">
        <v>184</v>
      </c>
      <c r="J199" s="18" t="s">
        <v>728</v>
      </c>
      <c r="K199" s="18" t="s">
        <v>56</v>
      </c>
      <c r="L199" s="18" t="s">
        <v>36</v>
      </c>
      <c r="N199" s="18">
        <v>6</v>
      </c>
      <c r="O199" s="18" t="s">
        <v>88</v>
      </c>
      <c r="P199" s="18" t="s">
        <v>38</v>
      </c>
      <c r="Q199" s="18" t="s">
        <v>194</v>
      </c>
      <c r="R199" s="18" t="s">
        <v>59</v>
      </c>
      <c r="S199" s="18" t="s">
        <v>195</v>
      </c>
      <c r="T199" s="18" t="b">
        <v>0</v>
      </c>
      <c r="U199" s="18" t="s">
        <v>187</v>
      </c>
      <c r="V199" s="18" t="s">
        <v>40</v>
      </c>
      <c r="W199" s="18" t="s">
        <v>317</v>
      </c>
      <c r="X199" s="18" t="s">
        <v>318</v>
      </c>
      <c r="Y199" s="18">
        <v>1</v>
      </c>
      <c r="Z199" s="18">
        <v>3000000</v>
      </c>
      <c r="AA199" s="31" t="s">
        <v>729</v>
      </c>
      <c r="AB199" s="18" t="s">
        <v>730</v>
      </c>
      <c r="AC199" s="18" t="s">
        <v>216</v>
      </c>
    </row>
    <row r="200" s="18" customFormat="1" spans="1:29">
      <c r="A200" s="18" t="s">
        <v>731</v>
      </c>
      <c r="B200" s="25" t="s">
        <v>731</v>
      </c>
      <c r="C200" s="26">
        <v>45665</v>
      </c>
      <c r="D200" s="18" t="s">
        <v>732</v>
      </c>
      <c r="E200" s="18" t="str">
        <f t="shared" si="3"/>
        <v>Musafir.Com India Pvt Ltd</v>
      </c>
      <c r="F200" s="27" t="s">
        <v>733</v>
      </c>
      <c r="G200" s="18" t="s">
        <v>182</v>
      </c>
      <c r="H200" s="18" t="s">
        <v>183</v>
      </c>
      <c r="I200" s="18" t="s">
        <v>184</v>
      </c>
      <c r="J200" s="18" t="s">
        <v>240</v>
      </c>
      <c r="K200" s="18" t="s">
        <v>56</v>
      </c>
      <c r="L200" s="18" t="s">
        <v>36</v>
      </c>
      <c r="N200" s="18">
        <v>6</v>
      </c>
      <c r="O200" s="18" t="s">
        <v>57</v>
      </c>
      <c r="P200" s="18" t="s">
        <v>38</v>
      </c>
      <c r="Q200" s="18" t="s">
        <v>58</v>
      </c>
      <c r="R200" s="18" t="s">
        <v>59</v>
      </c>
      <c r="S200" s="18" t="s">
        <v>60</v>
      </c>
      <c r="T200" s="18" t="b">
        <v>0</v>
      </c>
      <c r="U200" s="18" t="s">
        <v>187</v>
      </c>
      <c r="V200" s="18" t="s">
        <v>40</v>
      </c>
      <c r="W200" s="18" t="s">
        <v>734</v>
      </c>
      <c r="X200" s="18" t="s">
        <v>735</v>
      </c>
      <c r="Y200" s="18">
        <v>1</v>
      </c>
      <c r="Z200" s="18">
        <v>274486</v>
      </c>
      <c r="AA200" s="18" t="s">
        <v>736</v>
      </c>
      <c r="AB200" s="18" t="s">
        <v>737</v>
      </c>
      <c r="AC200" s="18" t="e">
        <v>#N/A</v>
      </c>
    </row>
    <row r="201" s="18" customFormat="1" spans="1:29">
      <c r="A201" s="18" t="s">
        <v>738</v>
      </c>
      <c r="B201" s="25" t="s">
        <v>738</v>
      </c>
      <c r="C201" s="26">
        <v>45666</v>
      </c>
      <c r="D201" s="18" t="s">
        <v>739</v>
      </c>
      <c r="E201" s="18" t="str">
        <f t="shared" si="3"/>
        <v>Mermaid Digital Pvt Ltd</v>
      </c>
      <c r="F201" s="27" t="s">
        <v>740</v>
      </c>
      <c r="G201" s="18" t="s">
        <v>32</v>
      </c>
      <c r="H201" s="18" t="s">
        <v>33</v>
      </c>
      <c r="I201" s="18" t="s">
        <v>207</v>
      </c>
      <c r="J201" s="18" t="s">
        <v>139</v>
      </c>
      <c r="K201" s="18" t="s">
        <v>56</v>
      </c>
      <c r="L201" s="18" t="s">
        <v>36</v>
      </c>
      <c r="N201" s="18">
        <v>6</v>
      </c>
      <c r="O201" s="18" t="s">
        <v>88</v>
      </c>
      <c r="P201" s="18" t="s">
        <v>38</v>
      </c>
      <c r="Q201" s="18" t="s">
        <v>58</v>
      </c>
      <c r="R201" s="18" t="s">
        <v>59</v>
      </c>
      <c r="S201" s="18" t="s">
        <v>60</v>
      </c>
      <c r="T201" s="18" t="b">
        <v>1</v>
      </c>
      <c r="U201" s="18" t="s">
        <v>39</v>
      </c>
      <c r="V201" s="18" t="s">
        <v>40</v>
      </c>
      <c r="W201" s="18" t="s">
        <v>196</v>
      </c>
      <c r="X201" s="18" t="s">
        <v>197</v>
      </c>
      <c r="Y201" s="18">
        <v>1</v>
      </c>
      <c r="Z201" s="18">
        <v>4500</v>
      </c>
      <c r="AA201" s="18" t="s">
        <v>303</v>
      </c>
      <c r="AB201" s="18" t="s">
        <v>282</v>
      </c>
      <c r="AC201" s="18" t="s">
        <v>43</v>
      </c>
    </row>
    <row r="202" s="18" customFormat="1" spans="1:29">
      <c r="A202" s="18" t="s">
        <v>741</v>
      </c>
      <c r="B202" s="25" t="s">
        <v>741</v>
      </c>
      <c r="C202" s="26">
        <v>45666</v>
      </c>
      <c r="D202" s="18" t="s">
        <v>742</v>
      </c>
      <c r="E202" s="18" t="str">
        <f t="shared" si="3"/>
        <v>Courier International Services</v>
      </c>
      <c r="F202" s="27" t="s">
        <v>743</v>
      </c>
      <c r="G202" s="18" t="s">
        <v>32</v>
      </c>
      <c r="H202" s="18" t="s">
        <v>33</v>
      </c>
      <c r="I202" s="18" t="s">
        <v>207</v>
      </c>
      <c r="J202" s="18" t="s">
        <v>139</v>
      </c>
      <c r="K202" s="18" t="s">
        <v>56</v>
      </c>
      <c r="L202" s="18" t="s">
        <v>36</v>
      </c>
      <c r="N202" s="18">
        <v>6</v>
      </c>
      <c r="O202" s="18" t="s">
        <v>116</v>
      </c>
      <c r="P202" s="18" t="s">
        <v>38</v>
      </c>
      <c r="Q202" s="18" t="s">
        <v>58</v>
      </c>
      <c r="R202" s="18" t="s">
        <v>59</v>
      </c>
      <c r="S202" s="18" t="s">
        <v>60</v>
      </c>
      <c r="T202" s="18" t="b">
        <v>1</v>
      </c>
      <c r="U202" s="18" t="s">
        <v>39</v>
      </c>
      <c r="V202" s="18" t="s">
        <v>40</v>
      </c>
      <c r="W202" s="18" t="s">
        <v>205</v>
      </c>
      <c r="X202" s="18" t="s">
        <v>205</v>
      </c>
      <c r="Y202" s="18">
        <v>1</v>
      </c>
      <c r="Z202" s="18">
        <v>2000</v>
      </c>
      <c r="AA202" s="18" t="s">
        <v>303</v>
      </c>
      <c r="AB202" s="18" t="s">
        <v>282</v>
      </c>
      <c r="AC202" s="18" t="s">
        <v>43</v>
      </c>
    </row>
    <row r="203" s="18" customFormat="1" spans="1:29">
      <c r="A203" s="18" t="s">
        <v>744</v>
      </c>
      <c r="B203" s="25" t="s">
        <v>744</v>
      </c>
      <c r="C203" s="26">
        <v>45666</v>
      </c>
      <c r="D203" s="18" t="s">
        <v>745</v>
      </c>
      <c r="E203" s="18" t="str">
        <f t="shared" si="3"/>
        <v>Radisson Blu Bengaluru (A unit of Charishma Hotels Pvt Ltd)</v>
      </c>
      <c r="F203" s="27" t="s">
        <v>746</v>
      </c>
      <c r="G203" s="18" t="s">
        <v>32</v>
      </c>
      <c r="H203" s="18" t="s">
        <v>33</v>
      </c>
      <c r="I203" s="18" t="s">
        <v>54</v>
      </c>
      <c r="J203" s="18" t="s">
        <v>310</v>
      </c>
      <c r="K203" s="18" t="s">
        <v>56</v>
      </c>
      <c r="L203" s="18" t="s">
        <v>36</v>
      </c>
      <c r="N203" s="18">
        <v>6</v>
      </c>
      <c r="O203" s="18" t="s">
        <v>93</v>
      </c>
      <c r="P203" s="18" t="s">
        <v>38</v>
      </c>
      <c r="Q203" s="18" t="s">
        <v>58</v>
      </c>
      <c r="R203" s="18" t="s">
        <v>59</v>
      </c>
      <c r="S203" s="18" t="s">
        <v>60</v>
      </c>
      <c r="T203" s="18" t="b">
        <v>1</v>
      </c>
      <c r="U203" s="18" t="s">
        <v>39</v>
      </c>
      <c r="V203" s="18" t="s">
        <v>40</v>
      </c>
      <c r="W203" s="18" t="s">
        <v>276</v>
      </c>
      <c r="X203" s="18" t="s">
        <v>276</v>
      </c>
      <c r="Y203" s="18">
        <v>1</v>
      </c>
      <c r="Z203" s="18">
        <v>10170</v>
      </c>
      <c r="AA203" s="18" t="s">
        <v>63</v>
      </c>
      <c r="AB203" s="18" t="s">
        <v>64</v>
      </c>
      <c r="AC203" s="18" t="s">
        <v>43</v>
      </c>
    </row>
    <row r="204" s="18" customFormat="1" spans="1:29">
      <c r="A204" s="18" t="s">
        <v>747</v>
      </c>
      <c r="B204" s="25" t="s">
        <v>747</v>
      </c>
      <c r="C204" s="26">
        <v>45666</v>
      </c>
      <c r="D204" s="18" t="s">
        <v>748</v>
      </c>
      <c r="E204" s="18" t="str">
        <f t="shared" si="3"/>
        <v>Gigu Hospitality Pvt Ltd (OTV)</v>
      </c>
      <c r="F204" s="27" t="s">
        <v>749</v>
      </c>
      <c r="G204" s="18" t="s">
        <v>32</v>
      </c>
      <c r="H204" s="18" t="s">
        <v>33</v>
      </c>
      <c r="I204" s="18" t="s">
        <v>34</v>
      </c>
      <c r="K204" s="18" t="s">
        <v>35</v>
      </c>
      <c r="L204" s="18" t="s">
        <v>36</v>
      </c>
      <c r="N204" s="18">
        <v>6</v>
      </c>
      <c r="O204" s="18" t="s">
        <v>57</v>
      </c>
      <c r="P204" s="18" t="s">
        <v>38</v>
      </c>
      <c r="T204" s="18" t="b">
        <v>1</v>
      </c>
      <c r="U204" s="18" t="s">
        <v>39</v>
      </c>
      <c r="V204" s="18" t="s">
        <v>40</v>
      </c>
      <c r="W204" s="18" t="s">
        <v>134</v>
      </c>
      <c r="X204" s="18" t="s">
        <v>135</v>
      </c>
      <c r="Y204" s="18">
        <v>1</v>
      </c>
      <c r="Z204" s="18">
        <v>140322</v>
      </c>
      <c r="AA204" s="18" t="s">
        <v>128</v>
      </c>
      <c r="AB204" s="18" t="s">
        <v>129</v>
      </c>
      <c r="AC204" s="18" t="s">
        <v>76</v>
      </c>
    </row>
    <row r="205" s="18" customFormat="1" spans="1:29">
      <c r="A205" s="18" t="s">
        <v>750</v>
      </c>
      <c r="B205" s="25" t="s">
        <v>750</v>
      </c>
      <c r="C205" s="26">
        <v>45666</v>
      </c>
      <c r="D205" s="18" t="s">
        <v>751</v>
      </c>
      <c r="E205" s="18" t="str">
        <f t="shared" si="3"/>
        <v>Sri Jay Enterprises</v>
      </c>
      <c r="F205" s="27" t="s">
        <v>752</v>
      </c>
      <c r="G205" s="18" t="s">
        <v>99</v>
      </c>
      <c r="H205" s="18" t="s">
        <v>100</v>
      </c>
      <c r="I205" s="18" t="s">
        <v>184</v>
      </c>
      <c r="J205" s="18" t="s">
        <v>139</v>
      </c>
      <c r="K205" s="18" t="s">
        <v>56</v>
      </c>
      <c r="L205" s="18" t="s">
        <v>36</v>
      </c>
      <c r="N205" s="18">
        <v>6</v>
      </c>
      <c r="O205" s="18" t="s">
        <v>57</v>
      </c>
      <c r="P205" s="18" t="s">
        <v>38</v>
      </c>
      <c r="Q205" s="18" t="s">
        <v>58</v>
      </c>
      <c r="R205" s="18" t="s">
        <v>59</v>
      </c>
      <c r="S205" s="18" t="s">
        <v>60</v>
      </c>
      <c r="T205" s="18" t="b">
        <v>1</v>
      </c>
      <c r="U205" s="18" t="s">
        <v>101</v>
      </c>
      <c r="V205" s="18" t="s">
        <v>40</v>
      </c>
      <c r="W205" s="18" t="s">
        <v>205</v>
      </c>
      <c r="X205" s="18" t="s">
        <v>205</v>
      </c>
      <c r="Y205" s="18">
        <v>1</v>
      </c>
      <c r="Z205" s="18">
        <v>14175</v>
      </c>
      <c r="AA205" s="18" t="s">
        <v>188</v>
      </c>
      <c r="AB205" s="18" t="s">
        <v>189</v>
      </c>
      <c r="AC205" s="18" t="s">
        <v>111</v>
      </c>
    </row>
    <row r="206" s="19" customFormat="1" spans="1:29">
      <c r="A206" s="19" t="s">
        <v>753</v>
      </c>
      <c r="B206" s="28" t="s">
        <v>753</v>
      </c>
      <c r="C206" s="29">
        <v>45666</v>
      </c>
      <c r="D206" s="19" t="s">
        <v>754</v>
      </c>
      <c r="E206" s="19" t="str">
        <f t="shared" si="3"/>
        <v>Airtel Ltd(Bill Booking)</v>
      </c>
      <c r="F206" s="30" t="s">
        <v>755</v>
      </c>
      <c r="G206" s="19" t="s">
        <v>99</v>
      </c>
      <c r="H206" s="19" t="s">
        <v>100</v>
      </c>
      <c r="I206" s="19" t="s">
        <v>34</v>
      </c>
      <c r="K206" s="19" t="s">
        <v>35</v>
      </c>
      <c r="L206" s="19" t="s">
        <v>36</v>
      </c>
      <c r="N206" s="19">
        <v>6</v>
      </c>
      <c r="O206" s="19" t="s">
        <v>93</v>
      </c>
      <c r="P206" s="19" t="s">
        <v>38</v>
      </c>
      <c r="T206" s="19" t="b">
        <v>1</v>
      </c>
      <c r="U206" s="19" t="s">
        <v>101</v>
      </c>
      <c r="V206" s="19" t="s">
        <v>40</v>
      </c>
      <c r="W206" s="19" t="s">
        <v>756</v>
      </c>
      <c r="X206" s="19" t="e">
        <v>#N/A</v>
      </c>
      <c r="Y206" s="19">
        <v>1</v>
      </c>
      <c r="Z206" s="19">
        <v>1607.72</v>
      </c>
      <c r="AA206" s="19" t="s">
        <v>221</v>
      </c>
      <c r="AB206" s="19" t="s">
        <v>222</v>
      </c>
      <c r="AC206" s="19" t="s">
        <v>111</v>
      </c>
    </row>
    <row r="207" s="18" customFormat="1" spans="1:29">
      <c r="A207" s="18" t="s">
        <v>757</v>
      </c>
      <c r="B207" s="25" t="s">
        <v>757</v>
      </c>
      <c r="C207" s="26">
        <v>45666</v>
      </c>
      <c r="D207" s="18" t="s">
        <v>754</v>
      </c>
      <c r="E207" s="18" t="str">
        <f t="shared" si="3"/>
        <v>Airtel Ltd(Bill Booking)</v>
      </c>
      <c r="F207" s="27" t="s">
        <v>755</v>
      </c>
      <c r="G207" s="18" t="s">
        <v>99</v>
      </c>
      <c r="H207" s="18" t="s">
        <v>100</v>
      </c>
      <c r="I207" s="18" t="s">
        <v>34</v>
      </c>
      <c r="K207" s="18" t="s">
        <v>35</v>
      </c>
      <c r="L207" s="18" t="s">
        <v>36</v>
      </c>
      <c r="N207" s="18">
        <v>6</v>
      </c>
      <c r="O207" s="18" t="s">
        <v>93</v>
      </c>
      <c r="P207" s="18" t="s">
        <v>38</v>
      </c>
      <c r="T207" s="18" t="b">
        <v>1</v>
      </c>
      <c r="U207" s="18" t="s">
        <v>101</v>
      </c>
      <c r="V207" s="18" t="s">
        <v>40</v>
      </c>
      <c r="W207" s="18" t="s">
        <v>94</v>
      </c>
      <c r="X207" s="18" t="s">
        <v>95</v>
      </c>
      <c r="Y207" s="18">
        <v>1</v>
      </c>
      <c r="Z207" s="18">
        <v>614</v>
      </c>
      <c r="AA207" s="18" t="s">
        <v>89</v>
      </c>
      <c r="AB207" s="18" t="s">
        <v>90</v>
      </c>
      <c r="AC207" s="18" t="s">
        <v>111</v>
      </c>
    </row>
    <row r="208" s="18" customFormat="1" spans="1:29">
      <c r="A208" s="18" t="s">
        <v>758</v>
      </c>
      <c r="B208" s="25" t="s">
        <v>758</v>
      </c>
      <c r="C208" s="26">
        <v>45666</v>
      </c>
      <c r="D208" s="18" t="s">
        <v>754</v>
      </c>
      <c r="E208" s="18" t="str">
        <f t="shared" si="3"/>
        <v>Airtel Ltd(Bill Booking)</v>
      </c>
      <c r="F208" s="27" t="s">
        <v>755</v>
      </c>
      <c r="G208" s="18" t="s">
        <v>99</v>
      </c>
      <c r="H208" s="18" t="s">
        <v>100</v>
      </c>
      <c r="I208" s="18" t="s">
        <v>34</v>
      </c>
      <c r="K208" s="18" t="s">
        <v>35</v>
      </c>
      <c r="L208" s="18" t="s">
        <v>36</v>
      </c>
      <c r="N208" s="18">
        <v>6</v>
      </c>
      <c r="O208" s="18" t="s">
        <v>93</v>
      </c>
      <c r="P208" s="18" t="s">
        <v>38</v>
      </c>
      <c r="T208" s="18" t="b">
        <v>1</v>
      </c>
      <c r="U208" s="18" t="s">
        <v>101</v>
      </c>
      <c r="V208" s="18" t="s">
        <v>40</v>
      </c>
      <c r="W208" s="18" t="s">
        <v>94</v>
      </c>
      <c r="X208" s="18" t="s">
        <v>95</v>
      </c>
      <c r="Y208" s="18">
        <v>1</v>
      </c>
      <c r="Z208" s="18">
        <v>614</v>
      </c>
      <c r="AA208" s="18" t="s">
        <v>89</v>
      </c>
      <c r="AB208" s="18" t="s">
        <v>90</v>
      </c>
      <c r="AC208" s="18" t="s">
        <v>111</v>
      </c>
    </row>
    <row r="209" s="18" customFormat="1" spans="1:29">
      <c r="A209" s="18" t="s">
        <v>759</v>
      </c>
      <c r="B209" s="25" t="s">
        <v>759</v>
      </c>
      <c r="C209" s="26">
        <v>45666</v>
      </c>
      <c r="D209" s="18" t="s">
        <v>760</v>
      </c>
      <c r="E209" s="18" t="str">
        <f t="shared" si="3"/>
        <v>Complete Solutions Tour And Travels Pvt Ltd</v>
      </c>
      <c r="F209" s="27" t="s">
        <v>761</v>
      </c>
      <c r="G209" s="18" t="s">
        <v>147</v>
      </c>
      <c r="H209" s="18" t="s">
        <v>148</v>
      </c>
      <c r="I209" s="18" t="s">
        <v>54</v>
      </c>
      <c r="J209" s="18" t="s">
        <v>249</v>
      </c>
      <c r="K209" s="18" t="s">
        <v>56</v>
      </c>
      <c r="L209" s="18" t="s">
        <v>36</v>
      </c>
      <c r="N209" s="18">
        <v>6</v>
      </c>
      <c r="O209" s="18" t="s">
        <v>88</v>
      </c>
      <c r="P209" s="18" t="s">
        <v>38</v>
      </c>
      <c r="Q209" s="18" t="s">
        <v>58</v>
      </c>
      <c r="R209" s="18" t="s">
        <v>59</v>
      </c>
      <c r="S209" s="18" t="s">
        <v>60</v>
      </c>
      <c r="T209" s="18" t="b">
        <v>1</v>
      </c>
      <c r="U209" s="18" t="s">
        <v>150</v>
      </c>
      <c r="V209" s="18" t="s">
        <v>40</v>
      </c>
      <c r="W209" s="18" t="s">
        <v>119</v>
      </c>
      <c r="X209" s="18" t="s">
        <v>120</v>
      </c>
      <c r="Y209" s="18">
        <v>1</v>
      </c>
      <c r="Z209" s="18">
        <v>344190</v>
      </c>
      <c r="AA209" s="18" t="s">
        <v>762</v>
      </c>
      <c r="AB209" s="18" t="s">
        <v>763</v>
      </c>
      <c r="AC209" s="18" t="s">
        <v>764</v>
      </c>
    </row>
    <row r="210" s="18" customFormat="1" spans="1:29">
      <c r="A210" s="18" t="s">
        <v>765</v>
      </c>
      <c r="B210" s="25" t="s">
        <v>765</v>
      </c>
      <c r="C210" s="26">
        <v>45666</v>
      </c>
      <c r="D210" s="18" t="s">
        <v>766</v>
      </c>
      <c r="E210" s="18" t="str">
        <f t="shared" si="3"/>
        <v>Bhimsen Food Service (Anju)</v>
      </c>
      <c r="F210" s="27" t="s">
        <v>767</v>
      </c>
      <c r="G210" s="18" t="s">
        <v>147</v>
      </c>
      <c r="H210" s="18" t="s">
        <v>148</v>
      </c>
      <c r="I210" s="18" t="s">
        <v>207</v>
      </c>
      <c r="J210" s="18" t="s">
        <v>149</v>
      </c>
      <c r="K210" s="18" t="s">
        <v>56</v>
      </c>
      <c r="L210" s="18" t="s">
        <v>36</v>
      </c>
      <c r="N210" s="18">
        <v>6</v>
      </c>
      <c r="O210" s="18" t="s">
        <v>57</v>
      </c>
      <c r="P210" s="18" t="s">
        <v>38</v>
      </c>
      <c r="Q210" s="18" t="s">
        <v>58</v>
      </c>
      <c r="R210" s="18" t="s">
        <v>59</v>
      </c>
      <c r="S210" s="18" t="s">
        <v>60</v>
      </c>
      <c r="T210" s="18" t="b">
        <v>1</v>
      </c>
      <c r="U210" s="18" t="s">
        <v>150</v>
      </c>
      <c r="V210" s="18" t="s">
        <v>40</v>
      </c>
      <c r="W210" s="18" t="s">
        <v>233</v>
      </c>
      <c r="X210" s="18" t="s">
        <v>234</v>
      </c>
      <c r="Y210" s="18">
        <v>1</v>
      </c>
      <c r="Z210" s="18">
        <v>251490</v>
      </c>
      <c r="AA210" s="18" t="s">
        <v>768</v>
      </c>
      <c r="AC210" s="18" t="e">
        <v>#N/A</v>
      </c>
    </row>
    <row r="211" s="18" customFormat="1" spans="1:29">
      <c r="A211" s="18" t="s">
        <v>769</v>
      </c>
      <c r="B211" s="25" t="s">
        <v>769</v>
      </c>
      <c r="C211" s="26">
        <v>45666</v>
      </c>
      <c r="D211" s="18" t="s">
        <v>770</v>
      </c>
      <c r="E211" s="18" t="str">
        <f t="shared" si="3"/>
        <v>Kalu Halder............. </v>
      </c>
      <c r="F211" s="27" t="e">
        <v>#N/A</v>
      </c>
      <c r="G211" s="18" t="s">
        <v>147</v>
      </c>
      <c r="H211" s="18" t="s">
        <v>148</v>
      </c>
      <c r="I211" s="18" t="s">
        <v>54</v>
      </c>
      <c r="J211" s="18" t="s">
        <v>149</v>
      </c>
      <c r="K211" s="18" t="s">
        <v>56</v>
      </c>
      <c r="L211" s="18" t="s">
        <v>36</v>
      </c>
      <c r="N211" s="18">
        <v>6</v>
      </c>
      <c r="O211" s="18" t="s">
        <v>93</v>
      </c>
      <c r="P211" s="18" t="s">
        <v>38</v>
      </c>
      <c r="Q211" s="18" t="s">
        <v>58</v>
      </c>
      <c r="R211" s="18" t="s">
        <v>59</v>
      </c>
      <c r="S211" s="18" t="s">
        <v>60</v>
      </c>
      <c r="T211" s="18" t="b">
        <v>1</v>
      </c>
      <c r="U211" s="18" t="s">
        <v>150</v>
      </c>
      <c r="V211" s="18" t="s">
        <v>40</v>
      </c>
      <c r="W211" s="18" t="s">
        <v>412</v>
      </c>
      <c r="X211" s="18" t="s">
        <v>413</v>
      </c>
      <c r="Y211" s="18">
        <v>1</v>
      </c>
      <c r="Z211" s="18">
        <v>11100</v>
      </c>
      <c r="AA211" s="18" t="s">
        <v>227</v>
      </c>
      <c r="AB211" s="18" t="s">
        <v>228</v>
      </c>
      <c r="AC211" s="18" t="e">
        <v>#N/A</v>
      </c>
    </row>
    <row r="212" s="18" customFormat="1" spans="1:29">
      <c r="A212" s="18" t="s">
        <v>771</v>
      </c>
      <c r="B212" s="25" t="s">
        <v>771</v>
      </c>
      <c r="C212" s="26">
        <v>45666</v>
      </c>
      <c r="D212" s="18" t="s">
        <v>770</v>
      </c>
      <c r="E212" s="18" t="str">
        <f t="shared" si="3"/>
        <v>Kalu Halder............. </v>
      </c>
      <c r="F212" s="27" t="e">
        <v>#N/A</v>
      </c>
      <c r="G212" s="18" t="s">
        <v>147</v>
      </c>
      <c r="H212" s="18" t="s">
        <v>148</v>
      </c>
      <c r="I212" s="18" t="s">
        <v>54</v>
      </c>
      <c r="J212" s="18" t="s">
        <v>395</v>
      </c>
      <c r="K212" s="18" t="s">
        <v>56</v>
      </c>
      <c r="L212" s="18" t="s">
        <v>36</v>
      </c>
      <c r="N212" s="18">
        <v>6</v>
      </c>
      <c r="O212" s="18" t="s">
        <v>93</v>
      </c>
      <c r="P212" s="18" t="s">
        <v>38</v>
      </c>
      <c r="Q212" s="18" t="s">
        <v>58</v>
      </c>
      <c r="R212" s="18" t="s">
        <v>59</v>
      </c>
      <c r="S212" s="18" t="s">
        <v>60</v>
      </c>
      <c r="T212" s="18" t="b">
        <v>1</v>
      </c>
      <c r="U212" s="18" t="s">
        <v>150</v>
      </c>
      <c r="V212" s="18" t="s">
        <v>40</v>
      </c>
      <c r="W212" s="18" t="s">
        <v>412</v>
      </c>
      <c r="X212" s="18" t="s">
        <v>413</v>
      </c>
      <c r="Y212" s="18">
        <v>1</v>
      </c>
      <c r="Z212" s="18">
        <v>8132</v>
      </c>
      <c r="AA212" s="18" t="s">
        <v>227</v>
      </c>
      <c r="AB212" s="18" t="s">
        <v>228</v>
      </c>
      <c r="AC212" s="18" t="e">
        <v>#N/A</v>
      </c>
    </row>
    <row r="213" s="18" customFormat="1" spans="1:29">
      <c r="A213" s="18" t="s">
        <v>772</v>
      </c>
      <c r="B213" s="25" t="s">
        <v>772</v>
      </c>
      <c r="C213" s="26">
        <v>45666</v>
      </c>
      <c r="D213" s="18" t="s">
        <v>697</v>
      </c>
      <c r="E213" s="18" t="str">
        <f t="shared" si="3"/>
        <v>Pavni Enterprises</v>
      </c>
      <c r="F213" s="27" t="s">
        <v>698</v>
      </c>
      <c r="G213" s="18" t="s">
        <v>147</v>
      </c>
      <c r="H213" s="18" t="s">
        <v>148</v>
      </c>
      <c r="I213" s="18" t="s">
        <v>54</v>
      </c>
      <c r="J213" s="18" t="s">
        <v>240</v>
      </c>
      <c r="K213" s="18" t="s">
        <v>56</v>
      </c>
      <c r="L213" s="18" t="s">
        <v>36</v>
      </c>
      <c r="N213" s="18">
        <v>6</v>
      </c>
      <c r="O213" s="18" t="s">
        <v>57</v>
      </c>
      <c r="P213" s="18" t="s">
        <v>38</v>
      </c>
      <c r="Q213" s="18" t="s">
        <v>58</v>
      </c>
      <c r="R213" s="18" t="s">
        <v>59</v>
      </c>
      <c r="S213" s="18" t="s">
        <v>60</v>
      </c>
      <c r="T213" s="18" t="b">
        <v>1</v>
      </c>
      <c r="U213" s="18" t="s">
        <v>150</v>
      </c>
      <c r="V213" s="18" t="s">
        <v>40</v>
      </c>
      <c r="W213" s="18" t="s">
        <v>140</v>
      </c>
      <c r="X213" s="18" t="s">
        <v>141</v>
      </c>
      <c r="Y213" s="18">
        <v>1</v>
      </c>
      <c r="Z213" s="18">
        <v>112500</v>
      </c>
      <c r="AA213" s="18" t="s">
        <v>773</v>
      </c>
      <c r="AB213" s="18" t="s">
        <v>242</v>
      </c>
      <c r="AC213" s="18" t="s">
        <v>699</v>
      </c>
    </row>
    <row r="214" s="18" customFormat="1" spans="1:29">
      <c r="A214" s="18" t="s">
        <v>774</v>
      </c>
      <c r="B214" s="25" t="s">
        <v>774</v>
      </c>
      <c r="C214" s="26">
        <v>45666</v>
      </c>
      <c r="D214" s="18" t="s">
        <v>775</v>
      </c>
      <c r="E214" s="18" t="str">
        <f t="shared" si="3"/>
        <v>Login Enterprises</v>
      </c>
      <c r="F214" s="27" t="s">
        <v>776</v>
      </c>
      <c r="G214" s="18" t="s">
        <v>182</v>
      </c>
      <c r="H214" s="18" t="s">
        <v>473</v>
      </c>
      <c r="I214" s="18" t="s">
        <v>184</v>
      </c>
      <c r="K214" s="18" t="s">
        <v>35</v>
      </c>
      <c r="L214" s="18" t="s">
        <v>36</v>
      </c>
      <c r="N214" s="18">
        <v>6</v>
      </c>
      <c r="O214" s="18" t="s">
        <v>57</v>
      </c>
      <c r="P214" s="18" t="s">
        <v>38</v>
      </c>
      <c r="T214" s="18" t="b">
        <v>0</v>
      </c>
      <c r="U214" s="18" t="s">
        <v>187</v>
      </c>
      <c r="V214" s="18" t="s">
        <v>40</v>
      </c>
      <c r="W214" s="18" t="s">
        <v>777</v>
      </c>
      <c r="X214" s="18" t="s">
        <v>777</v>
      </c>
      <c r="Y214" s="18">
        <v>1</v>
      </c>
      <c r="Z214" s="18">
        <v>12462</v>
      </c>
      <c r="AA214" s="18" t="s">
        <v>778</v>
      </c>
      <c r="AB214" s="18" t="s">
        <v>779</v>
      </c>
      <c r="AC214" s="18" t="s">
        <v>200</v>
      </c>
    </row>
    <row r="215" s="18" customFormat="1" spans="1:29">
      <c r="A215" s="18" t="s">
        <v>780</v>
      </c>
      <c r="B215" s="25" t="s">
        <v>780</v>
      </c>
      <c r="C215" s="26">
        <v>45666</v>
      </c>
      <c r="D215" s="18" t="s">
        <v>593</v>
      </c>
      <c r="E215" s="18" t="str">
        <f t="shared" si="3"/>
        <v>Sportocraft Enterprises</v>
      </c>
      <c r="F215" s="27" t="s">
        <v>594</v>
      </c>
      <c r="G215" s="18" t="s">
        <v>182</v>
      </c>
      <c r="H215" s="18" t="s">
        <v>183</v>
      </c>
      <c r="I215" s="18" t="s">
        <v>54</v>
      </c>
      <c r="J215" s="18" t="s">
        <v>310</v>
      </c>
      <c r="K215" s="18" t="s">
        <v>56</v>
      </c>
      <c r="L215" s="18" t="s">
        <v>36</v>
      </c>
      <c r="N215" s="18">
        <v>6</v>
      </c>
      <c r="O215" s="18" t="s">
        <v>88</v>
      </c>
      <c r="P215" s="18" t="s">
        <v>38</v>
      </c>
      <c r="Q215" s="18" t="s">
        <v>58</v>
      </c>
      <c r="R215" s="18" t="s">
        <v>59</v>
      </c>
      <c r="S215" s="18" t="s">
        <v>60</v>
      </c>
      <c r="T215" s="18" t="b">
        <v>0</v>
      </c>
      <c r="U215" s="18" t="s">
        <v>187</v>
      </c>
      <c r="V215" s="18" t="s">
        <v>40</v>
      </c>
      <c r="W215" s="18" t="s">
        <v>317</v>
      </c>
      <c r="X215" s="18" t="s">
        <v>318</v>
      </c>
      <c r="Y215" s="18">
        <v>1</v>
      </c>
      <c r="Z215" s="18">
        <v>275000</v>
      </c>
      <c r="AA215" s="18" t="s">
        <v>781</v>
      </c>
      <c r="AB215" s="18" t="s">
        <v>428</v>
      </c>
      <c r="AC215" s="18" t="s">
        <v>200</v>
      </c>
    </row>
    <row r="216" s="18" customFormat="1" spans="1:29">
      <c r="A216" s="18" t="s">
        <v>782</v>
      </c>
      <c r="B216" s="25" t="s">
        <v>782</v>
      </c>
      <c r="C216" s="26">
        <v>45666</v>
      </c>
      <c r="D216" s="18" t="s">
        <v>783</v>
      </c>
      <c r="E216" s="18" t="str">
        <f t="shared" si="3"/>
        <v>Neetu Prakash Poojary Adv Account</v>
      </c>
      <c r="F216" s="27" t="e">
        <v>#N/A</v>
      </c>
      <c r="G216" s="18" t="s">
        <v>182</v>
      </c>
      <c r="H216" s="18" t="s">
        <v>183</v>
      </c>
      <c r="I216" s="18" t="s">
        <v>481</v>
      </c>
      <c r="J216" s="18" t="s">
        <v>728</v>
      </c>
      <c r="K216" s="18" t="s">
        <v>56</v>
      </c>
      <c r="L216" s="18" t="s">
        <v>36</v>
      </c>
      <c r="N216" s="18">
        <v>6</v>
      </c>
      <c r="O216" s="18" t="s">
        <v>93</v>
      </c>
      <c r="P216" s="18" t="s">
        <v>38</v>
      </c>
      <c r="Q216" s="18" t="s">
        <v>194</v>
      </c>
      <c r="R216" s="18" t="s">
        <v>59</v>
      </c>
      <c r="S216" s="18" t="s">
        <v>195</v>
      </c>
      <c r="T216" s="18" t="b">
        <v>0</v>
      </c>
      <c r="U216" s="18" t="s">
        <v>187</v>
      </c>
      <c r="V216" s="18" t="s">
        <v>40</v>
      </c>
      <c r="W216" s="18" t="s">
        <v>126</v>
      </c>
      <c r="X216" s="18" t="s">
        <v>127</v>
      </c>
      <c r="Y216" s="18">
        <v>1</v>
      </c>
      <c r="Z216" s="18">
        <v>4140</v>
      </c>
      <c r="AC216" s="18" t="e">
        <v>#N/A</v>
      </c>
    </row>
    <row r="217" s="18" customFormat="1" spans="1:29">
      <c r="A217" s="18" t="s">
        <v>784</v>
      </c>
      <c r="B217" s="25" t="s">
        <v>784</v>
      </c>
      <c r="C217" s="26">
        <v>45666</v>
      </c>
      <c r="D217" s="18" t="s">
        <v>785</v>
      </c>
      <c r="E217" s="18" t="str">
        <f t="shared" si="3"/>
        <v>Ushta Te Consultancy Services LLP</v>
      </c>
      <c r="F217" s="27" t="s">
        <v>786</v>
      </c>
      <c r="G217" s="18" t="s">
        <v>182</v>
      </c>
      <c r="H217" s="18" t="s">
        <v>183</v>
      </c>
      <c r="I217" s="18" t="s">
        <v>184</v>
      </c>
      <c r="J217" s="18" t="s">
        <v>728</v>
      </c>
      <c r="K217" s="18" t="s">
        <v>56</v>
      </c>
      <c r="L217" s="18" t="s">
        <v>36</v>
      </c>
      <c r="N217" s="18">
        <v>6</v>
      </c>
      <c r="O217" s="18" t="s">
        <v>88</v>
      </c>
      <c r="P217" s="18" t="s">
        <v>38</v>
      </c>
      <c r="Q217" s="18" t="s">
        <v>194</v>
      </c>
      <c r="R217" s="18" t="s">
        <v>59</v>
      </c>
      <c r="S217" s="18" t="s">
        <v>195</v>
      </c>
      <c r="T217" s="18" t="b">
        <v>0</v>
      </c>
      <c r="U217" s="18" t="s">
        <v>187</v>
      </c>
      <c r="V217" s="18" t="s">
        <v>40</v>
      </c>
      <c r="W217" s="18" t="s">
        <v>787</v>
      </c>
      <c r="X217" s="18" t="s">
        <v>788</v>
      </c>
      <c r="Y217" s="18">
        <v>1</v>
      </c>
      <c r="Z217" s="18">
        <v>213760</v>
      </c>
      <c r="AA217" s="18" t="s">
        <v>789</v>
      </c>
      <c r="AB217" s="18" t="s">
        <v>790</v>
      </c>
      <c r="AC217" s="18" t="s">
        <v>200</v>
      </c>
    </row>
    <row r="218" s="18" customFormat="1" ht="29" spans="1:29">
      <c r="A218" s="18" t="s">
        <v>791</v>
      </c>
      <c r="B218" s="25" t="s">
        <v>791</v>
      </c>
      <c r="C218" s="26">
        <v>45666</v>
      </c>
      <c r="D218" s="18" t="s">
        <v>792</v>
      </c>
      <c r="E218" s="18" t="str">
        <f t="shared" si="3"/>
        <v>Fisheye</v>
      </c>
      <c r="F218" s="27" t="e">
        <v>#N/A</v>
      </c>
      <c r="G218" s="18" t="s">
        <v>182</v>
      </c>
      <c r="H218" s="18" t="s">
        <v>183</v>
      </c>
      <c r="I218" s="18" t="s">
        <v>184</v>
      </c>
      <c r="J218" s="18" t="s">
        <v>793</v>
      </c>
      <c r="K218" s="18" t="s">
        <v>56</v>
      </c>
      <c r="L218" s="18" t="s">
        <v>36</v>
      </c>
      <c r="N218" s="18">
        <v>6</v>
      </c>
      <c r="O218" s="18" t="s">
        <v>57</v>
      </c>
      <c r="P218" s="18" t="s">
        <v>38</v>
      </c>
      <c r="Q218" s="18" t="s">
        <v>194</v>
      </c>
      <c r="R218" s="18" t="s">
        <v>59</v>
      </c>
      <c r="S218" s="18" t="s">
        <v>195</v>
      </c>
      <c r="T218" s="18" t="b">
        <v>0</v>
      </c>
      <c r="U218" s="18" t="s">
        <v>187</v>
      </c>
      <c r="V218" s="18" t="s">
        <v>40</v>
      </c>
      <c r="W218" s="18" t="s">
        <v>347</v>
      </c>
      <c r="X218" s="18" t="s">
        <v>348</v>
      </c>
      <c r="Y218" s="18">
        <v>1</v>
      </c>
      <c r="Z218" s="18">
        <v>160000</v>
      </c>
      <c r="AA218" s="31" t="s">
        <v>794</v>
      </c>
      <c r="AB218" s="18" t="s">
        <v>795</v>
      </c>
      <c r="AC218" s="18" t="s">
        <v>200</v>
      </c>
    </row>
    <row r="219" s="18" customFormat="1" spans="1:29">
      <c r="A219" s="18" t="s">
        <v>796</v>
      </c>
      <c r="B219" s="25" t="s">
        <v>796</v>
      </c>
      <c r="C219" s="26">
        <v>45666</v>
      </c>
      <c r="D219" s="18" t="s">
        <v>775</v>
      </c>
      <c r="E219" s="18" t="str">
        <f t="shared" si="3"/>
        <v>Login Enterprises</v>
      </c>
      <c r="F219" s="27" t="s">
        <v>776</v>
      </c>
      <c r="G219" s="18" t="s">
        <v>182</v>
      </c>
      <c r="H219" s="18" t="s">
        <v>183</v>
      </c>
      <c r="I219" s="18" t="s">
        <v>184</v>
      </c>
      <c r="J219" s="18" t="s">
        <v>728</v>
      </c>
      <c r="K219" s="18" t="s">
        <v>56</v>
      </c>
      <c r="L219" s="18" t="s">
        <v>36</v>
      </c>
      <c r="N219" s="18">
        <v>6</v>
      </c>
      <c r="O219" s="18" t="s">
        <v>88</v>
      </c>
      <c r="P219" s="18" t="s">
        <v>38</v>
      </c>
      <c r="Q219" s="18" t="s">
        <v>194</v>
      </c>
      <c r="R219" s="18" t="s">
        <v>59</v>
      </c>
      <c r="S219" s="18" t="s">
        <v>195</v>
      </c>
      <c r="T219" s="18" t="b">
        <v>0</v>
      </c>
      <c r="U219" s="18" t="s">
        <v>187</v>
      </c>
      <c r="V219" s="18" t="s">
        <v>40</v>
      </c>
      <c r="W219" s="18" t="s">
        <v>196</v>
      </c>
      <c r="X219" s="18" t="s">
        <v>197</v>
      </c>
      <c r="Y219" s="18">
        <v>1</v>
      </c>
      <c r="Z219" s="18">
        <v>9835</v>
      </c>
      <c r="AA219" s="18" t="s">
        <v>797</v>
      </c>
      <c r="AB219" s="18" t="s">
        <v>798</v>
      </c>
      <c r="AC219" s="18" t="s">
        <v>200</v>
      </c>
    </row>
    <row r="220" s="18" customFormat="1" ht="29" spans="1:29">
      <c r="A220" s="18" t="s">
        <v>799</v>
      </c>
      <c r="B220" s="25" t="s">
        <v>799</v>
      </c>
      <c r="C220" s="26">
        <v>45666</v>
      </c>
      <c r="D220" s="18" t="s">
        <v>572</v>
      </c>
      <c r="E220" s="18" t="str">
        <f t="shared" si="3"/>
        <v>Emblaze Events (Sunita Harihar Sharma)</v>
      </c>
      <c r="F220" s="27" t="s">
        <v>573</v>
      </c>
      <c r="G220" s="18" t="s">
        <v>182</v>
      </c>
      <c r="H220" s="18" t="s">
        <v>183</v>
      </c>
      <c r="I220" s="18" t="s">
        <v>184</v>
      </c>
      <c r="J220" s="18" t="s">
        <v>728</v>
      </c>
      <c r="K220" s="18" t="s">
        <v>56</v>
      </c>
      <c r="L220" s="18" t="s">
        <v>36</v>
      </c>
      <c r="N220" s="18">
        <v>6</v>
      </c>
      <c r="O220" s="18" t="s">
        <v>88</v>
      </c>
      <c r="P220" s="18" t="s">
        <v>38</v>
      </c>
      <c r="Q220" s="18" t="s">
        <v>194</v>
      </c>
      <c r="R220" s="18" t="s">
        <v>59</v>
      </c>
      <c r="S220" s="18" t="s">
        <v>195</v>
      </c>
      <c r="T220" s="18" t="b">
        <v>0</v>
      </c>
      <c r="U220" s="18" t="s">
        <v>187</v>
      </c>
      <c r="V220" s="18" t="s">
        <v>40</v>
      </c>
      <c r="W220" s="18" t="s">
        <v>292</v>
      </c>
      <c r="X220" s="18" t="s">
        <v>293</v>
      </c>
      <c r="Y220" s="18">
        <v>1</v>
      </c>
      <c r="Z220" s="18">
        <v>6500</v>
      </c>
      <c r="AA220" s="31" t="s">
        <v>800</v>
      </c>
      <c r="AB220" s="18" t="s">
        <v>798</v>
      </c>
      <c r="AC220" s="18" t="s">
        <v>200</v>
      </c>
    </row>
    <row r="221" s="18" customFormat="1" spans="1:29">
      <c r="A221" s="18" t="s">
        <v>801</v>
      </c>
      <c r="B221" s="25" t="s">
        <v>801</v>
      </c>
      <c r="C221" s="26">
        <v>45666</v>
      </c>
      <c r="D221" s="18" t="s">
        <v>802</v>
      </c>
      <c r="E221" s="18" t="str">
        <f t="shared" si="3"/>
        <v>Shutterstock.Inc</v>
      </c>
      <c r="F221" s="27" t="e">
        <v>#N/A</v>
      </c>
      <c r="G221" s="18" t="s">
        <v>182</v>
      </c>
      <c r="H221" s="18" t="s">
        <v>183</v>
      </c>
      <c r="I221" s="18" t="s">
        <v>207</v>
      </c>
      <c r="J221" s="18" t="s">
        <v>149</v>
      </c>
      <c r="K221" s="18" t="s">
        <v>56</v>
      </c>
      <c r="L221" s="18" t="s">
        <v>36</v>
      </c>
      <c r="N221" s="18">
        <v>6</v>
      </c>
      <c r="O221" s="18" t="s">
        <v>57</v>
      </c>
      <c r="P221" s="18" t="s">
        <v>38</v>
      </c>
      <c r="Q221" s="18" t="s">
        <v>58</v>
      </c>
      <c r="R221" s="18" t="s">
        <v>59</v>
      </c>
      <c r="S221" s="18" t="s">
        <v>60</v>
      </c>
      <c r="T221" s="18" t="b">
        <v>0</v>
      </c>
      <c r="U221" s="18" t="s">
        <v>187</v>
      </c>
      <c r="V221" s="18" t="s">
        <v>40</v>
      </c>
      <c r="W221" s="18" t="s">
        <v>803</v>
      </c>
      <c r="X221" s="18" t="s">
        <v>804</v>
      </c>
      <c r="Y221" s="18">
        <v>1</v>
      </c>
      <c r="Z221" s="18">
        <v>56554.97</v>
      </c>
      <c r="AA221" s="18" t="s">
        <v>805</v>
      </c>
      <c r="AB221" s="18" t="s">
        <v>236</v>
      </c>
      <c r="AC221" s="18" t="e">
        <v>#N/A</v>
      </c>
    </row>
    <row r="222" s="18" customFormat="1" ht="29" spans="1:29">
      <c r="A222" s="18" t="s">
        <v>806</v>
      </c>
      <c r="B222" s="25" t="s">
        <v>806</v>
      </c>
      <c r="C222" s="26">
        <v>45667</v>
      </c>
      <c r="D222" s="18" t="s">
        <v>807</v>
      </c>
      <c r="E222" s="18" t="str">
        <f t="shared" si="3"/>
        <v>Balaji Cargo Movers</v>
      </c>
      <c r="F222" s="27" t="s">
        <v>808</v>
      </c>
      <c r="G222" s="18" t="s">
        <v>32</v>
      </c>
      <c r="H222" s="18" t="s">
        <v>33</v>
      </c>
      <c r="I222" s="18" t="s">
        <v>184</v>
      </c>
      <c r="J222" s="18" t="s">
        <v>809</v>
      </c>
      <c r="K222" s="18" t="s">
        <v>56</v>
      </c>
      <c r="L222" s="18" t="s">
        <v>36</v>
      </c>
      <c r="N222" s="18">
        <v>6</v>
      </c>
      <c r="O222" s="18" t="s">
        <v>57</v>
      </c>
      <c r="P222" s="18" t="s">
        <v>38</v>
      </c>
      <c r="Q222" s="18" t="s">
        <v>117</v>
      </c>
      <c r="R222" s="18" t="s">
        <v>59</v>
      </c>
      <c r="S222" s="18" t="s">
        <v>186</v>
      </c>
      <c r="T222" s="18" t="b">
        <v>1</v>
      </c>
      <c r="U222" s="18" t="s">
        <v>39</v>
      </c>
      <c r="V222" s="18" t="s">
        <v>40</v>
      </c>
      <c r="W222" s="18" t="s">
        <v>205</v>
      </c>
      <c r="X222" s="18" t="s">
        <v>205</v>
      </c>
      <c r="Y222" s="18">
        <v>1</v>
      </c>
      <c r="Z222" s="18">
        <v>6500</v>
      </c>
      <c r="AA222" s="31" t="s">
        <v>810</v>
      </c>
      <c r="AB222" s="18" t="s">
        <v>811</v>
      </c>
      <c r="AC222" s="18" t="s">
        <v>43</v>
      </c>
    </row>
    <row r="223" s="18" customFormat="1" ht="29" spans="1:29">
      <c r="A223" s="18" t="s">
        <v>812</v>
      </c>
      <c r="B223" s="25" t="s">
        <v>812</v>
      </c>
      <c r="C223" s="26">
        <v>45667</v>
      </c>
      <c r="D223" s="18" t="s">
        <v>807</v>
      </c>
      <c r="E223" s="18" t="str">
        <f t="shared" si="3"/>
        <v>Balaji Cargo Movers</v>
      </c>
      <c r="F223" s="27" t="s">
        <v>808</v>
      </c>
      <c r="G223" s="18" t="s">
        <v>32</v>
      </c>
      <c r="H223" s="18" t="s">
        <v>33</v>
      </c>
      <c r="I223" s="18" t="s">
        <v>184</v>
      </c>
      <c r="J223" s="18" t="s">
        <v>813</v>
      </c>
      <c r="K223" s="18" t="s">
        <v>56</v>
      </c>
      <c r="L223" s="18" t="s">
        <v>36</v>
      </c>
      <c r="N223" s="18">
        <v>6</v>
      </c>
      <c r="O223" s="18" t="s">
        <v>57</v>
      </c>
      <c r="P223" s="18" t="s">
        <v>38</v>
      </c>
      <c r="Q223" s="18" t="s">
        <v>117</v>
      </c>
      <c r="R223" s="18" t="s">
        <v>59</v>
      </c>
      <c r="S223" s="18" t="s">
        <v>186</v>
      </c>
      <c r="T223" s="18" t="b">
        <v>1</v>
      </c>
      <c r="U223" s="18" t="s">
        <v>39</v>
      </c>
      <c r="V223" s="18" t="s">
        <v>40</v>
      </c>
      <c r="W223" s="18" t="s">
        <v>205</v>
      </c>
      <c r="X223" s="18" t="s">
        <v>205</v>
      </c>
      <c r="Y223" s="18">
        <v>1</v>
      </c>
      <c r="Z223" s="18">
        <v>3500</v>
      </c>
      <c r="AA223" s="31" t="s">
        <v>810</v>
      </c>
      <c r="AB223" s="18" t="s">
        <v>811</v>
      </c>
      <c r="AC223" s="18" t="s">
        <v>43</v>
      </c>
    </row>
    <row r="224" s="18" customFormat="1" spans="1:29">
      <c r="A224" s="18" t="s">
        <v>814</v>
      </c>
      <c r="B224" s="25" t="s">
        <v>814</v>
      </c>
      <c r="C224" s="26">
        <v>45667</v>
      </c>
      <c r="D224" s="18" t="s">
        <v>815</v>
      </c>
      <c r="E224" s="18" t="str">
        <f t="shared" si="3"/>
        <v>Welcom Hotel Bengaluru (ITC Hotels Ltd)</v>
      </c>
      <c r="F224" s="27" t="s">
        <v>816</v>
      </c>
      <c r="G224" s="18" t="s">
        <v>32</v>
      </c>
      <c r="H224" s="18" t="s">
        <v>33</v>
      </c>
      <c r="I224" s="18" t="s">
        <v>54</v>
      </c>
      <c r="J224" s="18" t="s">
        <v>240</v>
      </c>
      <c r="K224" s="18" t="s">
        <v>56</v>
      </c>
      <c r="L224" s="18" t="s">
        <v>36</v>
      </c>
      <c r="N224" s="18">
        <v>6</v>
      </c>
      <c r="O224" s="18" t="s">
        <v>93</v>
      </c>
      <c r="P224" s="18" t="s">
        <v>38</v>
      </c>
      <c r="Q224" s="18" t="s">
        <v>58</v>
      </c>
      <c r="R224" s="18" t="s">
        <v>59</v>
      </c>
      <c r="S224" s="18" t="s">
        <v>60</v>
      </c>
      <c r="T224" s="18" t="b">
        <v>1</v>
      </c>
      <c r="U224" s="18" t="s">
        <v>39</v>
      </c>
      <c r="V224" s="18" t="s">
        <v>40</v>
      </c>
      <c r="W224" s="18" t="s">
        <v>61</v>
      </c>
      <c r="X224" s="18" t="s">
        <v>62</v>
      </c>
      <c r="Y224" s="18">
        <v>1</v>
      </c>
      <c r="Z224" s="18">
        <v>28000</v>
      </c>
      <c r="AA224" s="18" t="s">
        <v>63</v>
      </c>
      <c r="AB224" s="18" t="s">
        <v>64</v>
      </c>
      <c r="AC224" s="18" t="s">
        <v>43</v>
      </c>
    </row>
    <row r="225" s="18" customFormat="1" spans="1:29">
      <c r="A225" s="18" t="s">
        <v>817</v>
      </c>
      <c r="B225" s="25" t="s">
        <v>817</v>
      </c>
      <c r="C225" s="26">
        <v>45667</v>
      </c>
      <c r="D225" s="18" t="s">
        <v>818</v>
      </c>
      <c r="E225" s="18" t="str">
        <f t="shared" si="3"/>
        <v>Uvfx</v>
      </c>
      <c r="F225" s="27" t="e">
        <v>#N/A</v>
      </c>
      <c r="G225" s="18" t="s">
        <v>32</v>
      </c>
      <c r="H225" s="18" t="s">
        <v>33</v>
      </c>
      <c r="I225" s="18" t="s">
        <v>34</v>
      </c>
      <c r="J225" s="18" t="s">
        <v>285</v>
      </c>
      <c r="K225" s="18" t="s">
        <v>56</v>
      </c>
      <c r="L225" s="18" t="s">
        <v>36</v>
      </c>
      <c r="N225" s="18">
        <v>6</v>
      </c>
      <c r="O225" s="18" t="s">
        <v>88</v>
      </c>
      <c r="P225" s="18" t="s">
        <v>38</v>
      </c>
      <c r="Q225" s="18" t="s">
        <v>117</v>
      </c>
      <c r="R225" s="18" t="s">
        <v>59</v>
      </c>
      <c r="S225" s="18" t="s">
        <v>118</v>
      </c>
      <c r="T225" s="18" t="b">
        <v>1</v>
      </c>
      <c r="U225" s="18" t="s">
        <v>39</v>
      </c>
      <c r="V225" s="18" t="s">
        <v>40</v>
      </c>
      <c r="W225" s="18" t="s">
        <v>250</v>
      </c>
      <c r="X225" s="18" t="s">
        <v>251</v>
      </c>
      <c r="Y225" s="18">
        <v>1</v>
      </c>
      <c r="Z225" s="18">
        <v>75000</v>
      </c>
      <c r="AA225" s="18" t="s">
        <v>501</v>
      </c>
      <c r="AB225" s="18" t="s">
        <v>502</v>
      </c>
      <c r="AC225" s="18" t="s">
        <v>43</v>
      </c>
    </row>
    <row r="226" s="18" customFormat="1" spans="1:29">
      <c r="A226" s="18" t="s">
        <v>819</v>
      </c>
      <c r="B226" s="25" t="s">
        <v>819</v>
      </c>
      <c r="C226" s="26">
        <v>45667</v>
      </c>
      <c r="D226" s="18" t="s">
        <v>818</v>
      </c>
      <c r="E226" s="18" t="str">
        <f t="shared" si="3"/>
        <v>Uvfx</v>
      </c>
      <c r="F226" s="27" t="e">
        <v>#N/A</v>
      </c>
      <c r="G226" s="18" t="s">
        <v>32</v>
      </c>
      <c r="H226" s="18" t="s">
        <v>33</v>
      </c>
      <c r="I226" s="18" t="s">
        <v>34</v>
      </c>
      <c r="J226" s="18" t="s">
        <v>614</v>
      </c>
      <c r="K226" s="18" t="s">
        <v>56</v>
      </c>
      <c r="L226" s="18" t="s">
        <v>36</v>
      </c>
      <c r="N226" s="18">
        <v>6</v>
      </c>
      <c r="O226" s="18" t="s">
        <v>88</v>
      </c>
      <c r="P226" s="18" t="s">
        <v>38</v>
      </c>
      <c r="Q226" s="18" t="s">
        <v>117</v>
      </c>
      <c r="R226" s="18" t="s">
        <v>59</v>
      </c>
      <c r="S226" s="18" t="s">
        <v>118</v>
      </c>
      <c r="T226" s="18" t="b">
        <v>1</v>
      </c>
      <c r="U226" s="18" t="s">
        <v>39</v>
      </c>
      <c r="V226" s="18" t="s">
        <v>40</v>
      </c>
      <c r="W226" s="18" t="s">
        <v>250</v>
      </c>
      <c r="X226" s="18" t="s">
        <v>251</v>
      </c>
      <c r="Y226" s="18">
        <v>1</v>
      </c>
      <c r="Z226" s="18">
        <v>156000</v>
      </c>
      <c r="AA226" s="18" t="s">
        <v>501</v>
      </c>
      <c r="AB226" s="18" t="s">
        <v>502</v>
      </c>
      <c r="AC226" s="18" t="s">
        <v>43</v>
      </c>
    </row>
    <row r="227" s="18" customFormat="1" spans="1:29">
      <c r="A227" s="18" t="s">
        <v>820</v>
      </c>
      <c r="B227" s="25" t="s">
        <v>820</v>
      </c>
      <c r="C227" s="26">
        <v>45667</v>
      </c>
      <c r="D227" s="18" t="s">
        <v>821</v>
      </c>
      <c r="E227" s="18" t="str">
        <f t="shared" si="3"/>
        <v>Shah Jaju &amp; Associates</v>
      </c>
      <c r="F227" s="27" t="s">
        <v>822</v>
      </c>
      <c r="G227" s="18" t="s">
        <v>32</v>
      </c>
      <c r="H227" s="18" t="s">
        <v>33</v>
      </c>
      <c r="I227" s="18" t="s">
        <v>34</v>
      </c>
      <c r="K227" s="18" t="s">
        <v>35</v>
      </c>
      <c r="L227" s="18" t="s">
        <v>36</v>
      </c>
      <c r="N227" s="18">
        <v>6</v>
      </c>
      <c r="O227" s="18" t="s">
        <v>57</v>
      </c>
      <c r="P227" s="18" t="s">
        <v>38</v>
      </c>
      <c r="T227" s="18" t="b">
        <v>1</v>
      </c>
      <c r="U227" s="18" t="s">
        <v>39</v>
      </c>
      <c r="V227" s="18" t="s">
        <v>40</v>
      </c>
      <c r="W227" s="18" t="s">
        <v>823</v>
      </c>
      <c r="X227" s="18" t="s">
        <v>348</v>
      </c>
      <c r="Y227" s="18">
        <v>1</v>
      </c>
      <c r="Z227" s="18">
        <v>44500</v>
      </c>
      <c r="AA227" s="18" t="s">
        <v>824</v>
      </c>
      <c r="AB227" s="18" t="s">
        <v>825</v>
      </c>
      <c r="AC227" s="18" t="s">
        <v>611</v>
      </c>
    </row>
    <row r="228" s="18" customFormat="1" spans="1:29">
      <c r="A228" s="18" t="s">
        <v>826</v>
      </c>
      <c r="B228" s="25" t="s">
        <v>826</v>
      </c>
      <c r="C228" s="26">
        <v>45667</v>
      </c>
      <c r="D228" s="18" t="s">
        <v>827</v>
      </c>
      <c r="E228" s="18" t="str">
        <f t="shared" si="3"/>
        <v>Infutech Solutions</v>
      </c>
      <c r="F228" s="27" t="s">
        <v>828</v>
      </c>
      <c r="G228" s="18" t="s">
        <v>32</v>
      </c>
      <c r="H228" s="18" t="s">
        <v>33</v>
      </c>
      <c r="I228" s="18" t="s">
        <v>34</v>
      </c>
      <c r="K228" s="18" t="s">
        <v>35</v>
      </c>
      <c r="L228" s="18" t="s">
        <v>36</v>
      </c>
      <c r="N228" s="18">
        <v>6</v>
      </c>
      <c r="O228" s="18" t="s">
        <v>88</v>
      </c>
      <c r="P228" s="18" t="s">
        <v>38</v>
      </c>
      <c r="T228" s="18" t="b">
        <v>1</v>
      </c>
      <c r="U228" s="18" t="s">
        <v>39</v>
      </c>
      <c r="V228" s="18" t="s">
        <v>40</v>
      </c>
      <c r="W228" s="18" t="s">
        <v>526</v>
      </c>
      <c r="X228" s="18" t="s">
        <v>526</v>
      </c>
      <c r="Y228" s="18">
        <v>1</v>
      </c>
      <c r="Z228" s="18">
        <v>6500</v>
      </c>
      <c r="AA228" s="18" t="s">
        <v>89</v>
      </c>
      <c r="AB228" s="18" t="s">
        <v>90</v>
      </c>
      <c r="AC228" s="18" t="s">
        <v>43</v>
      </c>
    </row>
    <row r="229" s="18" customFormat="1" spans="1:29">
      <c r="A229" s="18" t="s">
        <v>829</v>
      </c>
      <c r="B229" s="25" t="s">
        <v>829</v>
      </c>
      <c r="C229" s="26">
        <v>45667</v>
      </c>
      <c r="D229" s="18" t="s">
        <v>830</v>
      </c>
      <c r="E229" s="18" t="str">
        <f t="shared" si="3"/>
        <v>Shiva Shankar  </v>
      </c>
      <c r="F229" s="27" t="e">
        <v>#N/A</v>
      </c>
      <c r="G229" s="18" t="s">
        <v>32</v>
      </c>
      <c r="H229" s="18" t="s">
        <v>33</v>
      </c>
      <c r="I229" s="18" t="s">
        <v>34</v>
      </c>
      <c r="J229" s="18" t="s">
        <v>831</v>
      </c>
      <c r="K229" s="18" t="s">
        <v>56</v>
      </c>
      <c r="L229" s="18" t="s">
        <v>36</v>
      </c>
      <c r="N229" s="18">
        <v>6</v>
      </c>
      <c r="O229" s="18" t="s">
        <v>93</v>
      </c>
      <c r="P229" s="18" t="s">
        <v>38</v>
      </c>
      <c r="Q229" s="18" t="s">
        <v>117</v>
      </c>
      <c r="R229" s="18" t="s">
        <v>59</v>
      </c>
      <c r="S229" s="18" t="s">
        <v>118</v>
      </c>
      <c r="T229" s="18" t="b">
        <v>1</v>
      </c>
      <c r="U229" s="18" t="s">
        <v>39</v>
      </c>
      <c r="V229" s="18" t="s">
        <v>40</v>
      </c>
      <c r="W229" s="18" t="s">
        <v>126</v>
      </c>
      <c r="X229" s="18" t="s">
        <v>127</v>
      </c>
      <c r="Y229" s="18">
        <v>1</v>
      </c>
      <c r="Z229" s="18">
        <v>630</v>
      </c>
      <c r="AA229" s="18" t="s">
        <v>832</v>
      </c>
      <c r="AB229" s="18" t="s">
        <v>833</v>
      </c>
      <c r="AC229" s="18" t="e">
        <v>#N/A</v>
      </c>
    </row>
    <row r="230" s="18" customFormat="1" spans="1:29">
      <c r="A230" s="18" t="s">
        <v>834</v>
      </c>
      <c r="B230" s="25" t="s">
        <v>834</v>
      </c>
      <c r="C230" s="26">
        <v>45667</v>
      </c>
      <c r="D230" s="18" t="s">
        <v>835</v>
      </c>
      <c r="E230" s="18" t="str">
        <f t="shared" si="3"/>
        <v>Sri Venkateshwara Enterprises</v>
      </c>
      <c r="F230" s="27" t="s">
        <v>836</v>
      </c>
      <c r="G230" s="18" t="s">
        <v>32</v>
      </c>
      <c r="H230" s="18" t="s">
        <v>33</v>
      </c>
      <c r="I230" s="18" t="s">
        <v>34</v>
      </c>
      <c r="K230" s="18" t="s">
        <v>35</v>
      </c>
      <c r="L230" s="18" t="s">
        <v>36</v>
      </c>
      <c r="N230" s="18">
        <v>6</v>
      </c>
      <c r="O230" s="18" t="s">
        <v>57</v>
      </c>
      <c r="P230" s="18" t="s">
        <v>38</v>
      </c>
      <c r="T230" s="18" t="b">
        <v>1</v>
      </c>
      <c r="U230" s="18" t="s">
        <v>39</v>
      </c>
      <c r="V230" s="18" t="s">
        <v>40</v>
      </c>
      <c r="W230" s="18" t="s">
        <v>837</v>
      </c>
      <c r="X230" s="18" t="s">
        <v>205</v>
      </c>
      <c r="Y230" s="18">
        <v>1</v>
      </c>
      <c r="Z230" s="18">
        <v>1242</v>
      </c>
      <c r="AC230" s="18" t="s">
        <v>43</v>
      </c>
    </row>
    <row r="231" s="18" customFormat="1" spans="1:29">
      <c r="A231" s="18" t="s">
        <v>838</v>
      </c>
      <c r="B231" s="25" t="s">
        <v>838</v>
      </c>
      <c r="C231" s="26">
        <v>45667</v>
      </c>
      <c r="D231" s="18" t="s">
        <v>365</v>
      </c>
      <c r="E231" s="18" t="str">
        <f t="shared" si="3"/>
        <v>Samarth Kapoor  </v>
      </c>
      <c r="F231" s="27" t="e">
        <v>#N/A</v>
      </c>
      <c r="G231" s="18" t="s">
        <v>147</v>
      </c>
      <c r="H231" s="18" t="s">
        <v>148</v>
      </c>
      <c r="I231" s="18" t="s">
        <v>54</v>
      </c>
      <c r="J231" s="18" t="s">
        <v>139</v>
      </c>
      <c r="K231" s="18" t="s">
        <v>56</v>
      </c>
      <c r="L231" s="18" t="s">
        <v>36</v>
      </c>
      <c r="N231" s="18">
        <v>6</v>
      </c>
      <c r="O231" s="18" t="s">
        <v>93</v>
      </c>
      <c r="P231" s="18" t="s">
        <v>38</v>
      </c>
      <c r="Q231" s="18" t="s">
        <v>58</v>
      </c>
      <c r="R231" s="18" t="s">
        <v>59</v>
      </c>
      <c r="S231" s="18" t="s">
        <v>60</v>
      </c>
      <c r="T231" s="18" t="b">
        <v>1</v>
      </c>
      <c r="U231" s="18" t="s">
        <v>150</v>
      </c>
      <c r="V231" s="18" t="s">
        <v>40</v>
      </c>
      <c r="W231" s="18" t="s">
        <v>126</v>
      </c>
      <c r="X231" s="18" t="s">
        <v>127</v>
      </c>
      <c r="Y231" s="18">
        <v>1</v>
      </c>
      <c r="Z231" s="18">
        <v>2674</v>
      </c>
      <c r="AA231" s="18" t="s">
        <v>839</v>
      </c>
      <c r="AB231" s="18" t="s">
        <v>367</v>
      </c>
      <c r="AC231" s="18" t="e">
        <v>#N/A</v>
      </c>
    </row>
    <row r="232" s="18" customFormat="1" spans="1:29">
      <c r="A232" s="18" t="s">
        <v>840</v>
      </c>
      <c r="B232" s="25" t="s">
        <v>840</v>
      </c>
      <c r="C232" s="26">
        <v>45667</v>
      </c>
      <c r="D232" s="18" t="s">
        <v>841</v>
      </c>
      <c r="E232" s="18" t="str">
        <f t="shared" si="3"/>
        <v>Vijayant Singh</v>
      </c>
      <c r="F232" s="27" t="s">
        <v>842</v>
      </c>
      <c r="G232" s="18" t="s">
        <v>147</v>
      </c>
      <c r="H232" s="18" t="s">
        <v>148</v>
      </c>
      <c r="I232" s="18" t="s">
        <v>159</v>
      </c>
      <c r="J232" s="18" t="s">
        <v>249</v>
      </c>
      <c r="K232" s="18" t="s">
        <v>56</v>
      </c>
      <c r="L232" s="18" t="s">
        <v>36</v>
      </c>
      <c r="N232" s="18">
        <v>6</v>
      </c>
      <c r="O232" s="18" t="s">
        <v>93</v>
      </c>
      <c r="P232" s="18" t="s">
        <v>38</v>
      </c>
      <c r="Q232" s="18" t="s">
        <v>58</v>
      </c>
      <c r="R232" s="18" t="s">
        <v>59</v>
      </c>
      <c r="S232" s="18" t="s">
        <v>60</v>
      </c>
      <c r="T232" s="18" t="b">
        <v>1</v>
      </c>
      <c r="U232" s="18" t="s">
        <v>150</v>
      </c>
      <c r="V232" s="18" t="s">
        <v>40</v>
      </c>
      <c r="W232" s="18" t="s">
        <v>233</v>
      </c>
      <c r="X232" s="18" t="s">
        <v>234</v>
      </c>
      <c r="Y232" s="18">
        <v>1</v>
      </c>
      <c r="Z232" s="18">
        <v>2959</v>
      </c>
      <c r="AA232" s="18" t="s">
        <v>843</v>
      </c>
      <c r="AB232" s="18" t="s">
        <v>844</v>
      </c>
      <c r="AC232" s="18" t="e">
        <v>#N/A</v>
      </c>
    </row>
    <row r="233" s="18" customFormat="1" spans="1:29">
      <c r="A233" s="18" t="s">
        <v>845</v>
      </c>
      <c r="B233" s="25" t="s">
        <v>845</v>
      </c>
      <c r="C233" s="26">
        <v>45667</v>
      </c>
      <c r="D233" s="18" t="s">
        <v>846</v>
      </c>
      <c r="E233" s="18" t="str">
        <f t="shared" si="3"/>
        <v>Himanshi Sharma  </v>
      </c>
      <c r="F233" s="27" t="e">
        <v>#N/A</v>
      </c>
      <c r="G233" s="18" t="s">
        <v>147</v>
      </c>
      <c r="H233" s="18" t="s">
        <v>148</v>
      </c>
      <c r="I233" s="18" t="s">
        <v>54</v>
      </c>
      <c r="J233" s="18" t="s">
        <v>149</v>
      </c>
      <c r="K233" s="18" t="s">
        <v>56</v>
      </c>
      <c r="L233" s="18" t="s">
        <v>36</v>
      </c>
      <c r="N233" s="18">
        <v>6</v>
      </c>
      <c r="O233" s="18" t="s">
        <v>93</v>
      </c>
      <c r="P233" s="18" t="s">
        <v>38</v>
      </c>
      <c r="Q233" s="18" t="s">
        <v>58</v>
      </c>
      <c r="R233" s="18" t="s">
        <v>59</v>
      </c>
      <c r="S233" s="18" t="s">
        <v>60</v>
      </c>
      <c r="T233" s="18" t="b">
        <v>1</v>
      </c>
      <c r="U233" s="18" t="s">
        <v>150</v>
      </c>
      <c r="V233" s="18" t="s">
        <v>40</v>
      </c>
      <c r="W233" s="18" t="s">
        <v>126</v>
      </c>
      <c r="X233" s="18" t="s">
        <v>127</v>
      </c>
      <c r="Y233" s="18">
        <v>1</v>
      </c>
      <c r="Z233" s="18">
        <v>4508</v>
      </c>
      <c r="AA233" s="18" t="s">
        <v>847</v>
      </c>
      <c r="AB233" s="18" t="s">
        <v>848</v>
      </c>
      <c r="AC233" s="18" t="e">
        <v>#N/A</v>
      </c>
    </row>
    <row r="234" s="18" customFormat="1" spans="1:29">
      <c r="A234" s="18" t="s">
        <v>849</v>
      </c>
      <c r="B234" s="25" t="s">
        <v>849</v>
      </c>
      <c r="C234" s="26">
        <v>45667</v>
      </c>
      <c r="D234" s="18" t="s">
        <v>850</v>
      </c>
      <c r="E234" s="18" t="str">
        <f t="shared" si="3"/>
        <v>Rakesh Kumar  </v>
      </c>
      <c r="F234" s="27" t="e">
        <v>#N/A</v>
      </c>
      <c r="G234" s="18" t="s">
        <v>147</v>
      </c>
      <c r="H234" s="18" t="s">
        <v>148</v>
      </c>
      <c r="I234" s="18" t="s">
        <v>54</v>
      </c>
      <c r="J234" s="18" t="s">
        <v>395</v>
      </c>
      <c r="K234" s="18" t="s">
        <v>56</v>
      </c>
      <c r="L234" s="18" t="s">
        <v>36</v>
      </c>
      <c r="N234" s="18">
        <v>6</v>
      </c>
      <c r="O234" s="18" t="s">
        <v>93</v>
      </c>
      <c r="P234" s="18" t="s">
        <v>38</v>
      </c>
      <c r="Q234" s="18" t="s">
        <v>58</v>
      </c>
      <c r="R234" s="18" t="s">
        <v>59</v>
      </c>
      <c r="S234" s="18" t="s">
        <v>60</v>
      </c>
      <c r="T234" s="18" t="b">
        <v>1</v>
      </c>
      <c r="U234" s="18" t="s">
        <v>150</v>
      </c>
      <c r="V234" s="18" t="s">
        <v>40</v>
      </c>
      <c r="W234" s="18" t="s">
        <v>126</v>
      </c>
      <c r="X234" s="18" t="s">
        <v>127</v>
      </c>
      <c r="Y234" s="18">
        <v>1</v>
      </c>
      <c r="Z234" s="18">
        <v>2400</v>
      </c>
      <c r="AA234" s="18" t="s">
        <v>851</v>
      </c>
      <c r="AC234" s="18" t="e">
        <v>#N/A</v>
      </c>
    </row>
    <row r="235" s="18" customFormat="1" spans="1:29">
      <c r="A235" s="18" t="s">
        <v>852</v>
      </c>
      <c r="B235" s="25" t="s">
        <v>852</v>
      </c>
      <c r="C235" s="26">
        <v>45667</v>
      </c>
      <c r="D235" s="18" t="s">
        <v>853</v>
      </c>
      <c r="E235" s="18" t="str">
        <f t="shared" si="3"/>
        <v>Ngenius Brand Interaction Pvt Ltd</v>
      </c>
      <c r="F235" s="27" t="s">
        <v>854</v>
      </c>
      <c r="G235" s="18" t="s">
        <v>147</v>
      </c>
      <c r="H235" s="18" t="s">
        <v>148</v>
      </c>
      <c r="I235" s="18" t="s">
        <v>54</v>
      </c>
      <c r="J235" s="18" t="s">
        <v>395</v>
      </c>
      <c r="K235" s="18" t="s">
        <v>56</v>
      </c>
      <c r="L235" s="18" t="s">
        <v>36</v>
      </c>
      <c r="N235" s="18">
        <v>6</v>
      </c>
      <c r="O235" s="18" t="s">
        <v>88</v>
      </c>
      <c r="P235" s="18" t="s">
        <v>38</v>
      </c>
      <c r="Q235" s="18" t="s">
        <v>58</v>
      </c>
      <c r="R235" s="18" t="s">
        <v>59</v>
      </c>
      <c r="S235" s="18" t="s">
        <v>60</v>
      </c>
      <c r="T235" s="18" t="b">
        <v>1</v>
      </c>
      <c r="U235" s="18" t="s">
        <v>150</v>
      </c>
      <c r="V235" s="18" t="s">
        <v>40</v>
      </c>
      <c r="W235" s="18" t="s">
        <v>317</v>
      </c>
      <c r="X235" s="18" t="s">
        <v>318</v>
      </c>
      <c r="Y235" s="18">
        <v>1</v>
      </c>
      <c r="Z235" s="18">
        <v>108474.6</v>
      </c>
      <c r="AA235" s="18" t="s">
        <v>544</v>
      </c>
      <c r="AB235" s="18" t="s">
        <v>397</v>
      </c>
      <c r="AC235" s="18" t="s">
        <v>163</v>
      </c>
    </row>
    <row r="236" s="18" customFormat="1" spans="1:29">
      <c r="A236" s="18" t="s">
        <v>855</v>
      </c>
      <c r="B236" s="25" t="s">
        <v>855</v>
      </c>
      <c r="C236" s="26">
        <v>45667</v>
      </c>
      <c r="D236" s="18" t="s">
        <v>856</v>
      </c>
      <c r="E236" s="18" t="str">
        <f t="shared" si="3"/>
        <v>Sajid Khan  </v>
      </c>
      <c r="F236" s="27" t="e">
        <v>#N/A</v>
      </c>
      <c r="G236" s="18" t="s">
        <v>147</v>
      </c>
      <c r="H236" s="18" t="s">
        <v>148</v>
      </c>
      <c r="I236" s="18" t="s">
        <v>54</v>
      </c>
      <c r="J236" s="18" t="s">
        <v>149</v>
      </c>
      <c r="K236" s="18" t="s">
        <v>56</v>
      </c>
      <c r="L236" s="18" t="s">
        <v>36</v>
      </c>
      <c r="N236" s="18">
        <v>6</v>
      </c>
      <c r="O236" s="18" t="s">
        <v>93</v>
      </c>
      <c r="P236" s="18" t="s">
        <v>38</v>
      </c>
      <c r="Q236" s="18" t="s">
        <v>58</v>
      </c>
      <c r="R236" s="18" t="s">
        <v>59</v>
      </c>
      <c r="S236" s="18" t="s">
        <v>60</v>
      </c>
      <c r="T236" s="18" t="b">
        <v>1</v>
      </c>
      <c r="U236" s="18" t="s">
        <v>150</v>
      </c>
      <c r="V236" s="18" t="s">
        <v>40</v>
      </c>
      <c r="W236" s="18" t="s">
        <v>126</v>
      </c>
      <c r="X236" s="18" t="s">
        <v>127</v>
      </c>
      <c r="Y236" s="18">
        <v>1</v>
      </c>
      <c r="Z236" s="18">
        <v>1431</v>
      </c>
      <c r="AA236" s="18" t="s">
        <v>857</v>
      </c>
      <c r="AB236" s="18" t="s">
        <v>858</v>
      </c>
      <c r="AC236" s="18" t="e">
        <v>#N/A</v>
      </c>
    </row>
    <row r="237" s="18" customFormat="1" spans="1:29">
      <c r="A237" s="18" t="s">
        <v>859</v>
      </c>
      <c r="B237" s="25" t="s">
        <v>859</v>
      </c>
      <c r="C237" s="26">
        <v>45667</v>
      </c>
      <c r="D237" s="18" t="s">
        <v>860</v>
      </c>
      <c r="E237" s="18" t="str">
        <f t="shared" si="3"/>
        <v>Mahendra Mane </v>
      </c>
      <c r="F237" s="27" t="e">
        <v>#N/A</v>
      </c>
      <c r="G237" s="18" t="s">
        <v>182</v>
      </c>
      <c r="H237" s="18" t="s">
        <v>183</v>
      </c>
      <c r="I237" s="18" t="s">
        <v>481</v>
      </c>
      <c r="J237" s="18" t="s">
        <v>793</v>
      </c>
      <c r="K237" s="18" t="s">
        <v>56</v>
      </c>
      <c r="L237" s="18" t="s">
        <v>36</v>
      </c>
      <c r="N237" s="18">
        <v>6</v>
      </c>
      <c r="O237" s="18" t="s">
        <v>93</v>
      </c>
      <c r="P237" s="18" t="s">
        <v>38</v>
      </c>
      <c r="Q237" s="18" t="s">
        <v>194</v>
      </c>
      <c r="R237" s="18" t="s">
        <v>59</v>
      </c>
      <c r="S237" s="18" t="s">
        <v>195</v>
      </c>
      <c r="T237" s="18" t="b">
        <v>0</v>
      </c>
      <c r="U237" s="18" t="s">
        <v>187</v>
      </c>
      <c r="V237" s="18" t="s">
        <v>40</v>
      </c>
      <c r="W237" s="18" t="s">
        <v>317</v>
      </c>
      <c r="X237" s="18" t="s">
        <v>318</v>
      </c>
      <c r="Y237" s="18">
        <v>1</v>
      </c>
      <c r="Z237" s="18">
        <v>2311</v>
      </c>
      <c r="AC237" s="18" t="e">
        <v>#N/A</v>
      </c>
    </row>
    <row r="238" s="18" customFormat="1" spans="1:29">
      <c r="A238" s="18" t="s">
        <v>861</v>
      </c>
      <c r="B238" s="25" t="s">
        <v>861</v>
      </c>
      <c r="C238" s="26">
        <v>45667</v>
      </c>
      <c r="D238" s="18" t="s">
        <v>860</v>
      </c>
      <c r="E238" s="18" t="str">
        <f t="shared" si="3"/>
        <v>Mahendra Mane </v>
      </c>
      <c r="F238" s="27" t="e">
        <v>#N/A</v>
      </c>
      <c r="G238" s="18" t="s">
        <v>182</v>
      </c>
      <c r="H238" s="18" t="s">
        <v>183</v>
      </c>
      <c r="I238" s="18" t="s">
        <v>481</v>
      </c>
      <c r="J238" s="18" t="s">
        <v>862</v>
      </c>
      <c r="K238" s="18" t="s">
        <v>56</v>
      </c>
      <c r="L238" s="18" t="s">
        <v>36</v>
      </c>
      <c r="N238" s="18">
        <v>6</v>
      </c>
      <c r="O238" s="18" t="s">
        <v>93</v>
      </c>
      <c r="P238" s="18" t="s">
        <v>38</v>
      </c>
      <c r="Q238" s="18" t="s">
        <v>194</v>
      </c>
      <c r="R238" s="18" t="s">
        <v>59</v>
      </c>
      <c r="S238" s="18" t="s">
        <v>195</v>
      </c>
      <c r="T238" s="18" t="b">
        <v>0</v>
      </c>
      <c r="U238" s="18" t="s">
        <v>187</v>
      </c>
      <c r="V238" s="18" t="s">
        <v>40</v>
      </c>
      <c r="W238" s="18" t="s">
        <v>317</v>
      </c>
      <c r="X238" s="18" t="s">
        <v>318</v>
      </c>
      <c r="Y238" s="18">
        <v>1</v>
      </c>
      <c r="Z238" s="18">
        <v>3480</v>
      </c>
      <c r="AC238" s="18" t="e">
        <v>#N/A</v>
      </c>
    </row>
    <row r="239" s="18" customFormat="1" spans="1:29">
      <c r="A239" s="18" t="s">
        <v>863</v>
      </c>
      <c r="B239" s="25" t="s">
        <v>863</v>
      </c>
      <c r="C239" s="26">
        <v>45667</v>
      </c>
      <c r="D239" s="18" t="s">
        <v>860</v>
      </c>
      <c r="E239" s="18" t="str">
        <f t="shared" si="3"/>
        <v>Mahendra Mane </v>
      </c>
      <c r="F239" s="27" t="e">
        <v>#N/A</v>
      </c>
      <c r="G239" s="18" t="s">
        <v>182</v>
      </c>
      <c r="H239" s="18" t="s">
        <v>183</v>
      </c>
      <c r="I239" s="18" t="s">
        <v>481</v>
      </c>
      <c r="J239" s="18" t="s">
        <v>864</v>
      </c>
      <c r="K239" s="18" t="s">
        <v>56</v>
      </c>
      <c r="L239" s="18" t="s">
        <v>36</v>
      </c>
      <c r="N239" s="18">
        <v>6</v>
      </c>
      <c r="O239" s="18" t="s">
        <v>93</v>
      </c>
      <c r="P239" s="18" t="s">
        <v>38</v>
      </c>
      <c r="Q239" s="18" t="s">
        <v>194</v>
      </c>
      <c r="R239" s="18" t="s">
        <v>59</v>
      </c>
      <c r="S239" s="18" t="s">
        <v>195</v>
      </c>
      <c r="T239" s="18" t="b">
        <v>0</v>
      </c>
      <c r="U239" s="18" t="s">
        <v>187</v>
      </c>
      <c r="V239" s="18" t="s">
        <v>40</v>
      </c>
      <c r="W239" s="18" t="s">
        <v>317</v>
      </c>
      <c r="X239" s="18" t="s">
        <v>318</v>
      </c>
      <c r="Y239" s="18">
        <v>1</v>
      </c>
      <c r="Z239" s="18">
        <v>320</v>
      </c>
      <c r="AC239" s="18" t="e">
        <v>#N/A</v>
      </c>
    </row>
    <row r="240" s="18" customFormat="1" ht="29" spans="1:29">
      <c r="A240" s="18" t="s">
        <v>865</v>
      </c>
      <c r="B240" s="25" t="s">
        <v>865</v>
      </c>
      <c r="C240" s="26">
        <v>45667</v>
      </c>
      <c r="D240" s="18" t="s">
        <v>264</v>
      </c>
      <c r="E240" s="18" t="str">
        <f t="shared" si="3"/>
        <v>The Indian Performing Right Society Ltd.</v>
      </c>
      <c r="F240" s="27" t="e">
        <v>#N/A</v>
      </c>
      <c r="G240" s="18" t="s">
        <v>182</v>
      </c>
      <c r="H240" s="18" t="s">
        <v>183</v>
      </c>
      <c r="I240" s="18" t="s">
        <v>184</v>
      </c>
      <c r="J240" s="18" t="s">
        <v>240</v>
      </c>
      <c r="K240" s="18" t="s">
        <v>56</v>
      </c>
      <c r="L240" s="18" t="s">
        <v>36</v>
      </c>
      <c r="N240" s="18">
        <v>6</v>
      </c>
      <c r="O240" s="18" t="s">
        <v>57</v>
      </c>
      <c r="P240" s="18" t="s">
        <v>38</v>
      </c>
      <c r="Q240" s="18" t="s">
        <v>58</v>
      </c>
      <c r="R240" s="18" t="s">
        <v>59</v>
      </c>
      <c r="S240" s="18" t="s">
        <v>60</v>
      </c>
      <c r="T240" s="18" t="b">
        <v>0</v>
      </c>
      <c r="U240" s="18" t="s">
        <v>187</v>
      </c>
      <c r="V240" s="18" t="s">
        <v>40</v>
      </c>
      <c r="W240" s="18" t="s">
        <v>256</v>
      </c>
      <c r="X240" s="18" t="s">
        <v>257</v>
      </c>
      <c r="Y240" s="18">
        <v>1</v>
      </c>
      <c r="Z240" s="18">
        <v>30000</v>
      </c>
      <c r="AA240" s="31" t="s">
        <v>262</v>
      </c>
      <c r="AB240" s="18" t="s">
        <v>259</v>
      </c>
      <c r="AC240" s="18" t="s">
        <v>200</v>
      </c>
    </row>
    <row r="241" s="18" customFormat="1" ht="29" spans="1:29">
      <c r="A241" s="18" t="s">
        <v>866</v>
      </c>
      <c r="B241" s="25" t="s">
        <v>866</v>
      </c>
      <c r="C241" s="26">
        <v>45667</v>
      </c>
      <c r="D241" s="18" t="s">
        <v>255</v>
      </c>
      <c r="E241" s="18" t="str">
        <f t="shared" si="3"/>
        <v>Phonographic Performance Limited</v>
      </c>
      <c r="F241" s="27" t="e">
        <v>#N/A</v>
      </c>
      <c r="G241" s="18" t="s">
        <v>182</v>
      </c>
      <c r="H241" s="18" t="s">
        <v>183</v>
      </c>
      <c r="I241" s="18" t="s">
        <v>184</v>
      </c>
      <c r="J241" s="18" t="s">
        <v>240</v>
      </c>
      <c r="K241" s="18" t="s">
        <v>56</v>
      </c>
      <c r="L241" s="18" t="s">
        <v>36</v>
      </c>
      <c r="N241" s="18">
        <v>6</v>
      </c>
      <c r="O241" s="18" t="s">
        <v>88</v>
      </c>
      <c r="P241" s="18" t="s">
        <v>38</v>
      </c>
      <c r="Q241" s="18" t="s">
        <v>58</v>
      </c>
      <c r="R241" s="18" t="s">
        <v>59</v>
      </c>
      <c r="S241" s="18" t="s">
        <v>60</v>
      </c>
      <c r="T241" s="18" t="b">
        <v>0</v>
      </c>
      <c r="U241" s="18" t="s">
        <v>187</v>
      </c>
      <c r="V241" s="18" t="s">
        <v>40</v>
      </c>
      <c r="W241" s="18" t="s">
        <v>256</v>
      </c>
      <c r="X241" s="18" t="s">
        <v>257</v>
      </c>
      <c r="Y241" s="18">
        <v>1</v>
      </c>
      <c r="Z241" s="18">
        <v>55500</v>
      </c>
      <c r="AA241" s="31" t="s">
        <v>262</v>
      </c>
      <c r="AB241" s="18" t="s">
        <v>259</v>
      </c>
      <c r="AC241" s="18" t="s">
        <v>200</v>
      </c>
    </row>
    <row r="242" s="18" customFormat="1" ht="29" spans="1:29">
      <c r="A242" s="18" t="s">
        <v>867</v>
      </c>
      <c r="B242" s="25" t="s">
        <v>867</v>
      </c>
      <c r="C242" s="26">
        <v>45667</v>
      </c>
      <c r="D242" s="18" t="s">
        <v>261</v>
      </c>
      <c r="E242" s="18" t="str">
        <f t="shared" si="3"/>
        <v>Novex Communications Pvt. Ltd.</v>
      </c>
      <c r="F242" s="27" t="e">
        <v>#N/A</v>
      </c>
      <c r="G242" s="18" t="s">
        <v>182</v>
      </c>
      <c r="H242" s="18" t="s">
        <v>183</v>
      </c>
      <c r="I242" s="18" t="s">
        <v>184</v>
      </c>
      <c r="J242" s="18" t="s">
        <v>240</v>
      </c>
      <c r="K242" s="18" t="s">
        <v>56</v>
      </c>
      <c r="L242" s="18" t="s">
        <v>36</v>
      </c>
      <c r="N242" s="18">
        <v>6</v>
      </c>
      <c r="O242" s="18" t="s">
        <v>88</v>
      </c>
      <c r="P242" s="18" t="s">
        <v>38</v>
      </c>
      <c r="Q242" s="18" t="s">
        <v>58</v>
      </c>
      <c r="R242" s="18" t="s">
        <v>59</v>
      </c>
      <c r="S242" s="18" t="s">
        <v>60</v>
      </c>
      <c r="T242" s="18" t="b">
        <v>0</v>
      </c>
      <c r="U242" s="18" t="s">
        <v>187</v>
      </c>
      <c r="V242" s="18" t="s">
        <v>40</v>
      </c>
      <c r="W242" s="18" t="s">
        <v>256</v>
      </c>
      <c r="X242" s="18" t="s">
        <v>257</v>
      </c>
      <c r="Y242" s="18">
        <v>1</v>
      </c>
      <c r="Z242" s="18">
        <v>60000</v>
      </c>
      <c r="AA242" s="31" t="s">
        <v>262</v>
      </c>
      <c r="AB242" s="18" t="s">
        <v>259</v>
      </c>
      <c r="AC242" s="18" t="s">
        <v>200</v>
      </c>
    </row>
    <row r="243" s="18" customFormat="1" spans="1:29">
      <c r="A243" s="18" t="s">
        <v>868</v>
      </c>
      <c r="B243" s="25" t="s">
        <v>868</v>
      </c>
      <c r="C243" s="26">
        <v>45667</v>
      </c>
      <c r="D243" s="18" t="s">
        <v>869</v>
      </c>
      <c r="E243" s="18" t="str">
        <f t="shared" si="3"/>
        <v>6Th Wall Production Pvt Ltd</v>
      </c>
      <c r="F243" s="27" t="s">
        <v>870</v>
      </c>
      <c r="G243" s="18" t="s">
        <v>182</v>
      </c>
      <c r="H243" s="18" t="s">
        <v>183</v>
      </c>
      <c r="I243" s="18" t="s">
        <v>54</v>
      </c>
      <c r="J243" s="18" t="s">
        <v>240</v>
      </c>
      <c r="K243" s="18" t="s">
        <v>56</v>
      </c>
      <c r="L243" s="18" t="s">
        <v>36</v>
      </c>
      <c r="N243" s="18">
        <v>6</v>
      </c>
      <c r="O243" s="18" t="s">
        <v>88</v>
      </c>
      <c r="P243" s="18" t="s">
        <v>38</v>
      </c>
      <c r="Q243" s="18" t="s">
        <v>58</v>
      </c>
      <c r="R243" s="18" t="s">
        <v>59</v>
      </c>
      <c r="S243" s="18" t="s">
        <v>60</v>
      </c>
      <c r="T243" s="18" t="b">
        <v>0</v>
      </c>
      <c r="U243" s="18" t="s">
        <v>187</v>
      </c>
      <c r="V243" s="18" t="s">
        <v>40</v>
      </c>
      <c r="W243" s="18" t="s">
        <v>151</v>
      </c>
      <c r="X243" s="18" t="s">
        <v>152</v>
      </c>
      <c r="Y243" s="18">
        <v>1</v>
      </c>
      <c r="Z243" s="18">
        <v>75000</v>
      </c>
      <c r="AA243" s="18" t="s">
        <v>299</v>
      </c>
      <c r="AB243" s="18" t="s">
        <v>295</v>
      </c>
      <c r="AC243" s="18" t="s">
        <v>200</v>
      </c>
    </row>
    <row r="244" s="18" customFormat="1" spans="1:29">
      <c r="A244" s="18" t="s">
        <v>871</v>
      </c>
      <c r="B244" s="25" t="s">
        <v>871</v>
      </c>
      <c r="C244" s="26">
        <v>45667</v>
      </c>
      <c r="D244" s="18" t="s">
        <v>872</v>
      </c>
      <c r="E244" s="18" t="str">
        <f t="shared" si="3"/>
        <v>Specs Care Audio Visual Pvt Ltd</v>
      </c>
      <c r="F244" s="27" t="s">
        <v>873</v>
      </c>
      <c r="G244" s="18" t="s">
        <v>182</v>
      </c>
      <c r="H244" s="18" t="s">
        <v>183</v>
      </c>
      <c r="I244" s="18" t="s">
        <v>54</v>
      </c>
      <c r="J244" s="18" t="s">
        <v>240</v>
      </c>
      <c r="K244" s="18" t="s">
        <v>56</v>
      </c>
      <c r="L244" s="18" t="s">
        <v>36</v>
      </c>
      <c r="N244" s="18">
        <v>6</v>
      </c>
      <c r="O244" s="18" t="s">
        <v>88</v>
      </c>
      <c r="P244" s="18" t="s">
        <v>38</v>
      </c>
      <c r="Q244" s="18" t="s">
        <v>58</v>
      </c>
      <c r="R244" s="18" t="s">
        <v>59</v>
      </c>
      <c r="S244" s="18" t="s">
        <v>60</v>
      </c>
      <c r="T244" s="18" t="b">
        <v>0</v>
      </c>
      <c r="U244" s="18" t="s">
        <v>187</v>
      </c>
      <c r="V244" s="18" t="s">
        <v>40</v>
      </c>
      <c r="W244" s="18" t="s">
        <v>371</v>
      </c>
      <c r="X244" s="18" t="s">
        <v>372</v>
      </c>
      <c r="Y244" s="18">
        <v>1</v>
      </c>
      <c r="Z244" s="18">
        <v>90000</v>
      </c>
      <c r="AA244" s="18" t="s">
        <v>299</v>
      </c>
      <c r="AB244" s="18" t="s">
        <v>295</v>
      </c>
      <c r="AC244" s="18" t="s">
        <v>200</v>
      </c>
    </row>
    <row r="245" s="18" customFormat="1" spans="1:29">
      <c r="A245" s="18" t="s">
        <v>874</v>
      </c>
      <c r="B245" s="25" t="s">
        <v>874</v>
      </c>
      <c r="C245" s="26">
        <v>45667</v>
      </c>
      <c r="D245" s="18" t="s">
        <v>875</v>
      </c>
      <c r="E245" s="18" t="str">
        <f t="shared" si="3"/>
        <v>Sajan Power</v>
      </c>
      <c r="F245" s="27" t="s">
        <v>876</v>
      </c>
      <c r="G245" s="18" t="s">
        <v>182</v>
      </c>
      <c r="H245" s="18" t="s">
        <v>183</v>
      </c>
      <c r="I245" s="18" t="s">
        <v>54</v>
      </c>
      <c r="J245" s="18" t="s">
        <v>240</v>
      </c>
      <c r="K245" s="18" t="s">
        <v>56</v>
      </c>
      <c r="L245" s="18" t="s">
        <v>36</v>
      </c>
      <c r="N245" s="18">
        <v>6</v>
      </c>
      <c r="O245" s="18" t="s">
        <v>88</v>
      </c>
      <c r="P245" s="18" t="s">
        <v>38</v>
      </c>
      <c r="Q245" s="18" t="s">
        <v>58</v>
      </c>
      <c r="R245" s="18" t="s">
        <v>59</v>
      </c>
      <c r="S245" s="18" t="s">
        <v>60</v>
      </c>
      <c r="T245" s="18" t="b">
        <v>0</v>
      </c>
      <c r="U245" s="18" t="s">
        <v>187</v>
      </c>
      <c r="V245" s="18" t="s">
        <v>40</v>
      </c>
      <c r="W245" s="18" t="s">
        <v>371</v>
      </c>
      <c r="X245" s="18" t="s">
        <v>372</v>
      </c>
      <c r="Y245" s="18">
        <v>1</v>
      </c>
      <c r="Z245" s="18">
        <v>10000</v>
      </c>
      <c r="AA245" s="18" t="s">
        <v>299</v>
      </c>
      <c r="AB245" s="18" t="s">
        <v>295</v>
      </c>
      <c r="AC245" s="18" t="s">
        <v>200</v>
      </c>
    </row>
    <row r="246" s="18" customFormat="1" spans="1:29">
      <c r="A246" s="18" t="s">
        <v>877</v>
      </c>
      <c r="B246" s="25" t="s">
        <v>877</v>
      </c>
      <c r="C246" s="26">
        <v>45667</v>
      </c>
      <c r="D246" s="18" t="s">
        <v>878</v>
      </c>
      <c r="E246" s="18" t="str">
        <f t="shared" si="3"/>
        <v>Ultimate Source</v>
      </c>
      <c r="F246" s="27" t="s">
        <v>879</v>
      </c>
      <c r="G246" s="18" t="s">
        <v>182</v>
      </c>
      <c r="H246" s="18" t="s">
        <v>183</v>
      </c>
      <c r="I246" s="18" t="s">
        <v>54</v>
      </c>
      <c r="J246" s="18" t="s">
        <v>240</v>
      </c>
      <c r="K246" s="18" t="s">
        <v>56</v>
      </c>
      <c r="L246" s="18" t="s">
        <v>36</v>
      </c>
      <c r="N246" s="18">
        <v>6</v>
      </c>
      <c r="O246" s="18" t="s">
        <v>88</v>
      </c>
      <c r="P246" s="18" t="s">
        <v>38</v>
      </c>
      <c r="Q246" s="18" t="s">
        <v>58</v>
      </c>
      <c r="R246" s="18" t="s">
        <v>59</v>
      </c>
      <c r="S246" s="18" t="s">
        <v>60</v>
      </c>
      <c r="T246" s="18" t="b">
        <v>0</v>
      </c>
      <c r="U246" s="18" t="s">
        <v>187</v>
      </c>
      <c r="V246" s="18" t="s">
        <v>40</v>
      </c>
      <c r="W246" s="18" t="s">
        <v>371</v>
      </c>
      <c r="X246" s="18" t="s">
        <v>372</v>
      </c>
      <c r="Y246" s="18">
        <v>1</v>
      </c>
      <c r="Z246" s="18">
        <v>5000</v>
      </c>
      <c r="AA246" s="18" t="s">
        <v>299</v>
      </c>
      <c r="AB246" s="18" t="s">
        <v>295</v>
      </c>
      <c r="AC246" s="18" t="s">
        <v>200</v>
      </c>
    </row>
    <row r="247" s="18" customFormat="1" spans="1:29">
      <c r="A247" s="18" t="s">
        <v>880</v>
      </c>
      <c r="B247" s="25" t="s">
        <v>880</v>
      </c>
      <c r="C247" s="26">
        <v>45667</v>
      </c>
      <c r="D247" s="18" t="s">
        <v>881</v>
      </c>
      <c r="E247" s="18" t="str">
        <f t="shared" si="3"/>
        <v>Abdul Shahid Shaikh</v>
      </c>
      <c r="F247" s="27" t="s">
        <v>882</v>
      </c>
      <c r="G247" s="18" t="s">
        <v>182</v>
      </c>
      <c r="H247" s="18" t="s">
        <v>183</v>
      </c>
      <c r="I247" s="18" t="s">
        <v>54</v>
      </c>
      <c r="J247" s="18" t="s">
        <v>240</v>
      </c>
      <c r="K247" s="18" t="s">
        <v>56</v>
      </c>
      <c r="L247" s="18" t="s">
        <v>36</v>
      </c>
      <c r="N247" s="18">
        <v>6</v>
      </c>
      <c r="O247" s="18" t="s">
        <v>57</v>
      </c>
      <c r="P247" s="18" t="s">
        <v>38</v>
      </c>
      <c r="Q247" s="18" t="s">
        <v>58</v>
      </c>
      <c r="R247" s="18" t="s">
        <v>59</v>
      </c>
      <c r="S247" s="18" t="s">
        <v>60</v>
      </c>
      <c r="T247" s="18" t="b">
        <v>0</v>
      </c>
      <c r="U247" s="18" t="s">
        <v>187</v>
      </c>
      <c r="V247" s="18" t="s">
        <v>40</v>
      </c>
      <c r="W247" s="18" t="s">
        <v>292</v>
      </c>
      <c r="X247" s="18" t="s">
        <v>293</v>
      </c>
      <c r="Y247" s="18">
        <v>1</v>
      </c>
      <c r="Z247" s="18">
        <v>4000</v>
      </c>
      <c r="AA247" s="18" t="s">
        <v>299</v>
      </c>
      <c r="AB247" s="18" t="s">
        <v>295</v>
      </c>
      <c r="AC247" s="18" t="e">
        <v>#N/A</v>
      </c>
    </row>
    <row r="248" s="18" customFormat="1" spans="1:29">
      <c r="A248" s="18" t="s">
        <v>883</v>
      </c>
      <c r="B248" s="25" t="s">
        <v>883</v>
      </c>
      <c r="C248" s="26">
        <v>45667</v>
      </c>
      <c r="D248" s="18" t="s">
        <v>884</v>
      </c>
      <c r="E248" s="18" t="str">
        <f t="shared" si="3"/>
        <v>Vinit Video Vision</v>
      </c>
      <c r="F248" s="27" t="s">
        <v>885</v>
      </c>
      <c r="G248" s="18" t="s">
        <v>182</v>
      </c>
      <c r="H248" s="18" t="s">
        <v>183</v>
      </c>
      <c r="I248" s="18" t="s">
        <v>54</v>
      </c>
      <c r="J248" s="18" t="s">
        <v>240</v>
      </c>
      <c r="K248" s="18" t="s">
        <v>56</v>
      </c>
      <c r="L248" s="18" t="s">
        <v>36</v>
      </c>
      <c r="N248" s="18">
        <v>6</v>
      </c>
      <c r="O248" s="18" t="s">
        <v>57</v>
      </c>
      <c r="P248" s="18" t="s">
        <v>38</v>
      </c>
      <c r="Q248" s="18" t="s">
        <v>58</v>
      </c>
      <c r="R248" s="18" t="s">
        <v>59</v>
      </c>
      <c r="S248" s="18" t="s">
        <v>60</v>
      </c>
      <c r="T248" s="18" t="b">
        <v>0</v>
      </c>
      <c r="U248" s="18" t="s">
        <v>187</v>
      </c>
      <c r="V248" s="18" t="s">
        <v>40</v>
      </c>
      <c r="W248" s="18" t="s">
        <v>401</v>
      </c>
      <c r="X248" s="18" t="s">
        <v>402</v>
      </c>
      <c r="Y248" s="18">
        <v>1</v>
      </c>
      <c r="Z248" s="18">
        <v>3500</v>
      </c>
      <c r="AA248" s="18" t="s">
        <v>299</v>
      </c>
      <c r="AB248" s="18" t="s">
        <v>295</v>
      </c>
      <c r="AC248" s="18" t="s">
        <v>200</v>
      </c>
    </row>
    <row r="249" s="18" customFormat="1" ht="29" spans="1:29">
      <c r="A249" s="18" t="s">
        <v>886</v>
      </c>
      <c r="B249" s="25" t="s">
        <v>886</v>
      </c>
      <c r="C249" s="26">
        <v>45667</v>
      </c>
      <c r="D249" s="18" t="s">
        <v>887</v>
      </c>
      <c r="E249" s="18" t="str">
        <f t="shared" si="3"/>
        <v>Strategink Solutions Pvt Ltd</v>
      </c>
      <c r="F249" s="27" t="s">
        <v>888</v>
      </c>
      <c r="G249" s="18" t="s">
        <v>182</v>
      </c>
      <c r="H249" s="18" t="s">
        <v>183</v>
      </c>
      <c r="I249" s="18" t="s">
        <v>184</v>
      </c>
      <c r="J249" s="18" t="s">
        <v>889</v>
      </c>
      <c r="K249" s="18" t="s">
        <v>56</v>
      </c>
      <c r="L249" s="18" t="s">
        <v>36</v>
      </c>
      <c r="N249" s="18">
        <v>6</v>
      </c>
      <c r="O249" s="18" t="s">
        <v>88</v>
      </c>
      <c r="P249" s="18" t="s">
        <v>38</v>
      </c>
      <c r="Q249" s="18" t="s">
        <v>194</v>
      </c>
      <c r="R249" s="18" t="s">
        <v>59</v>
      </c>
      <c r="S249" s="18" t="s">
        <v>195</v>
      </c>
      <c r="T249" s="18" t="b">
        <v>0</v>
      </c>
      <c r="U249" s="18" t="s">
        <v>187</v>
      </c>
      <c r="V249" s="18" t="s">
        <v>40</v>
      </c>
      <c r="W249" s="18" t="s">
        <v>317</v>
      </c>
      <c r="X249" s="18" t="s">
        <v>318</v>
      </c>
      <c r="Y249" s="18">
        <v>1</v>
      </c>
      <c r="Z249" s="18">
        <v>2100000</v>
      </c>
      <c r="AA249" s="31" t="s">
        <v>729</v>
      </c>
      <c r="AB249" s="18" t="s">
        <v>730</v>
      </c>
      <c r="AC249" s="18" t="s">
        <v>216</v>
      </c>
    </row>
    <row r="250" s="18" customFormat="1" ht="29" spans="1:29">
      <c r="A250" s="18" t="s">
        <v>890</v>
      </c>
      <c r="B250" s="25" t="s">
        <v>890</v>
      </c>
      <c r="C250" s="26">
        <v>45667</v>
      </c>
      <c r="D250" s="18" t="s">
        <v>887</v>
      </c>
      <c r="E250" s="18" t="str">
        <f t="shared" si="3"/>
        <v>Strategink Solutions Pvt Ltd</v>
      </c>
      <c r="F250" s="27" t="s">
        <v>888</v>
      </c>
      <c r="G250" s="18" t="s">
        <v>182</v>
      </c>
      <c r="H250" s="18" t="s">
        <v>183</v>
      </c>
      <c r="I250" s="18" t="s">
        <v>184</v>
      </c>
      <c r="J250" s="18" t="s">
        <v>728</v>
      </c>
      <c r="K250" s="18" t="s">
        <v>56</v>
      </c>
      <c r="L250" s="18" t="s">
        <v>36</v>
      </c>
      <c r="N250" s="18">
        <v>6</v>
      </c>
      <c r="O250" s="18" t="s">
        <v>88</v>
      </c>
      <c r="P250" s="18" t="s">
        <v>38</v>
      </c>
      <c r="Q250" s="18" t="s">
        <v>194</v>
      </c>
      <c r="R250" s="18" t="s">
        <v>59</v>
      </c>
      <c r="S250" s="18" t="s">
        <v>195</v>
      </c>
      <c r="T250" s="18" t="b">
        <v>0</v>
      </c>
      <c r="U250" s="18" t="s">
        <v>187</v>
      </c>
      <c r="V250" s="18" t="s">
        <v>40</v>
      </c>
      <c r="W250" s="18" t="s">
        <v>317</v>
      </c>
      <c r="X250" s="18" t="s">
        <v>318</v>
      </c>
      <c r="Y250" s="18">
        <v>1</v>
      </c>
      <c r="Z250" s="18">
        <v>1500000</v>
      </c>
      <c r="AA250" s="31" t="s">
        <v>729</v>
      </c>
      <c r="AB250" s="18" t="s">
        <v>730</v>
      </c>
      <c r="AC250" s="18" t="s">
        <v>200</v>
      </c>
    </row>
    <row r="251" s="18" customFormat="1" ht="29" spans="1:29">
      <c r="A251" s="18" t="s">
        <v>891</v>
      </c>
      <c r="B251" s="25" t="s">
        <v>891</v>
      </c>
      <c r="C251" s="26">
        <v>45667</v>
      </c>
      <c r="D251" s="18" t="s">
        <v>892</v>
      </c>
      <c r="E251" s="18" t="str">
        <f t="shared" si="3"/>
        <v>Creative Konnects</v>
      </c>
      <c r="F251" s="27" t="s">
        <v>893</v>
      </c>
      <c r="G251" s="18" t="s">
        <v>182</v>
      </c>
      <c r="H251" s="18" t="s">
        <v>183</v>
      </c>
      <c r="I251" s="18" t="s">
        <v>184</v>
      </c>
      <c r="J251" s="18" t="s">
        <v>894</v>
      </c>
      <c r="K251" s="18" t="s">
        <v>56</v>
      </c>
      <c r="L251" s="18" t="s">
        <v>36</v>
      </c>
      <c r="N251" s="18">
        <v>6</v>
      </c>
      <c r="O251" s="18" t="s">
        <v>88</v>
      </c>
      <c r="P251" s="18" t="s">
        <v>38</v>
      </c>
      <c r="Q251" s="18" t="s">
        <v>194</v>
      </c>
      <c r="R251" s="18" t="s">
        <v>895</v>
      </c>
      <c r="S251" s="18" t="s">
        <v>195</v>
      </c>
      <c r="T251" s="18" t="b">
        <v>0</v>
      </c>
      <c r="U251" s="18" t="s">
        <v>187</v>
      </c>
      <c r="V251" s="18" t="s">
        <v>40</v>
      </c>
      <c r="W251" s="18" t="s">
        <v>151</v>
      </c>
      <c r="X251" s="18" t="s">
        <v>152</v>
      </c>
      <c r="Y251" s="18">
        <v>1</v>
      </c>
      <c r="Z251" s="18">
        <v>240000</v>
      </c>
      <c r="AA251" s="31" t="s">
        <v>896</v>
      </c>
      <c r="AB251" s="18" t="s">
        <v>897</v>
      </c>
      <c r="AC251" s="18" t="s">
        <v>200</v>
      </c>
    </row>
    <row r="252" s="18" customFormat="1" ht="29" spans="1:29">
      <c r="A252" s="18" t="s">
        <v>898</v>
      </c>
      <c r="B252" s="25" t="s">
        <v>898</v>
      </c>
      <c r="C252" s="26">
        <v>45667</v>
      </c>
      <c r="D252" s="18" t="s">
        <v>899</v>
      </c>
      <c r="E252" s="18" t="str">
        <f t="shared" si="3"/>
        <v>Peregrine Guarding Pvt Ltd</v>
      </c>
      <c r="F252" s="27" t="s">
        <v>900</v>
      </c>
      <c r="G252" s="18" t="s">
        <v>182</v>
      </c>
      <c r="H252" s="18" t="s">
        <v>183</v>
      </c>
      <c r="I252" s="18" t="s">
        <v>184</v>
      </c>
      <c r="J252" s="18" t="s">
        <v>728</v>
      </c>
      <c r="K252" s="18" t="s">
        <v>56</v>
      </c>
      <c r="L252" s="18" t="s">
        <v>36</v>
      </c>
      <c r="N252" s="18">
        <v>6</v>
      </c>
      <c r="O252" s="18" t="s">
        <v>57</v>
      </c>
      <c r="P252" s="18" t="s">
        <v>38</v>
      </c>
      <c r="Q252" s="18" t="s">
        <v>194</v>
      </c>
      <c r="R252" s="18" t="s">
        <v>59</v>
      </c>
      <c r="S252" s="18" t="s">
        <v>195</v>
      </c>
      <c r="T252" s="18" t="b">
        <v>0</v>
      </c>
      <c r="U252" s="18" t="s">
        <v>187</v>
      </c>
      <c r="V252" s="18" t="s">
        <v>40</v>
      </c>
      <c r="W252" s="18" t="s">
        <v>212</v>
      </c>
      <c r="X252" s="18" t="s">
        <v>213</v>
      </c>
      <c r="Y252" s="18">
        <v>1</v>
      </c>
      <c r="Z252" s="18">
        <v>40400</v>
      </c>
      <c r="AA252" s="31" t="s">
        <v>901</v>
      </c>
      <c r="AB252" s="18" t="s">
        <v>902</v>
      </c>
      <c r="AC252" s="18" t="s">
        <v>216</v>
      </c>
    </row>
    <row r="253" s="18" customFormat="1" spans="1:29">
      <c r="A253" s="18" t="s">
        <v>903</v>
      </c>
      <c r="B253" s="25" t="s">
        <v>903</v>
      </c>
      <c r="C253" s="26">
        <v>45667</v>
      </c>
      <c r="D253" s="18" t="s">
        <v>904</v>
      </c>
      <c r="E253" s="18" t="str">
        <f t="shared" si="3"/>
        <v>Vodafone Idea Ltd</v>
      </c>
      <c r="F253" s="27" t="s">
        <v>905</v>
      </c>
      <c r="G253" s="18" t="s">
        <v>182</v>
      </c>
      <c r="H253" s="18" t="s">
        <v>183</v>
      </c>
      <c r="I253" s="18" t="s">
        <v>54</v>
      </c>
      <c r="J253" s="18" t="s">
        <v>55</v>
      </c>
      <c r="K253" s="18" t="s">
        <v>56</v>
      </c>
      <c r="L253" s="18" t="s">
        <v>36</v>
      </c>
      <c r="N253" s="18">
        <v>6</v>
      </c>
      <c r="O253" s="18" t="s">
        <v>57</v>
      </c>
      <c r="P253" s="18" t="s">
        <v>38</v>
      </c>
      <c r="Q253" s="18" t="s">
        <v>58</v>
      </c>
      <c r="R253" s="18" t="s">
        <v>59</v>
      </c>
      <c r="S253" s="18" t="s">
        <v>60</v>
      </c>
      <c r="T253" s="18" t="b">
        <v>0</v>
      </c>
      <c r="U253" s="18" t="s">
        <v>187</v>
      </c>
      <c r="V253" s="18" t="s">
        <v>40</v>
      </c>
      <c r="W253" s="18" t="s">
        <v>233</v>
      </c>
      <c r="X253" s="18" t="s">
        <v>234</v>
      </c>
      <c r="Y253" s="18">
        <v>1</v>
      </c>
      <c r="Z253" s="18">
        <v>4000</v>
      </c>
      <c r="AC253" s="18" t="s">
        <v>200</v>
      </c>
    </row>
    <row r="254" s="18" customFormat="1" spans="1:29">
      <c r="A254" s="18" t="s">
        <v>906</v>
      </c>
      <c r="B254" s="25" t="s">
        <v>906</v>
      </c>
      <c r="C254" s="26">
        <v>45667</v>
      </c>
      <c r="D254" s="18" t="s">
        <v>907</v>
      </c>
      <c r="E254" s="18" t="str">
        <f t="shared" si="3"/>
        <v>Mangesh Waghmare </v>
      </c>
      <c r="F254" s="27" t="e">
        <v>#N/A</v>
      </c>
      <c r="G254" s="18" t="s">
        <v>182</v>
      </c>
      <c r="H254" s="18" t="s">
        <v>183</v>
      </c>
      <c r="I254" s="18" t="s">
        <v>481</v>
      </c>
      <c r="J254" s="18" t="s">
        <v>862</v>
      </c>
      <c r="K254" s="18" t="s">
        <v>56</v>
      </c>
      <c r="L254" s="18" t="s">
        <v>36</v>
      </c>
      <c r="N254" s="18">
        <v>6</v>
      </c>
      <c r="O254" s="18" t="s">
        <v>93</v>
      </c>
      <c r="P254" s="18" t="s">
        <v>38</v>
      </c>
      <c r="Q254" s="18" t="s">
        <v>194</v>
      </c>
      <c r="R254" s="18" t="s">
        <v>59</v>
      </c>
      <c r="S254" s="18" t="s">
        <v>195</v>
      </c>
      <c r="T254" s="18" t="b">
        <v>0</v>
      </c>
      <c r="U254" s="18" t="s">
        <v>187</v>
      </c>
      <c r="V254" s="18" t="s">
        <v>40</v>
      </c>
      <c r="W254" s="18" t="s">
        <v>412</v>
      </c>
      <c r="X254" s="18" t="s">
        <v>413</v>
      </c>
      <c r="Y254" s="18">
        <v>1</v>
      </c>
      <c r="Z254" s="18">
        <v>1606</v>
      </c>
      <c r="AC254" s="18" t="e">
        <v>#N/A</v>
      </c>
    </row>
    <row r="255" s="18" customFormat="1" ht="29" spans="1:29">
      <c r="A255" s="18" t="s">
        <v>908</v>
      </c>
      <c r="B255" s="25" t="s">
        <v>908</v>
      </c>
      <c r="C255" s="26">
        <v>45667</v>
      </c>
      <c r="D255" s="18" t="s">
        <v>255</v>
      </c>
      <c r="E255" s="18" t="str">
        <f t="shared" si="3"/>
        <v>Phonographic Performance Limited</v>
      </c>
      <c r="F255" s="27" t="e">
        <v>#N/A</v>
      </c>
      <c r="G255" s="18" t="s">
        <v>182</v>
      </c>
      <c r="H255" s="18" t="s">
        <v>183</v>
      </c>
      <c r="I255" s="18" t="s">
        <v>184</v>
      </c>
      <c r="J255" s="18" t="s">
        <v>499</v>
      </c>
      <c r="K255" s="18" t="s">
        <v>56</v>
      </c>
      <c r="L255" s="18" t="s">
        <v>36</v>
      </c>
      <c r="N255" s="18">
        <v>6</v>
      </c>
      <c r="O255" s="18" t="s">
        <v>88</v>
      </c>
      <c r="P255" s="18" t="s">
        <v>38</v>
      </c>
      <c r="Q255" s="18" t="s">
        <v>117</v>
      </c>
      <c r="R255" s="18" t="s">
        <v>59</v>
      </c>
      <c r="S255" s="18" t="s">
        <v>186</v>
      </c>
      <c r="T255" s="18" t="b">
        <v>0</v>
      </c>
      <c r="U255" s="18" t="s">
        <v>187</v>
      </c>
      <c r="V255" s="18" t="s">
        <v>40</v>
      </c>
      <c r="W255" s="18" t="s">
        <v>256</v>
      </c>
      <c r="X255" s="18" t="s">
        <v>257</v>
      </c>
      <c r="Y255" s="18">
        <v>1</v>
      </c>
      <c r="Z255" s="18">
        <v>185000</v>
      </c>
      <c r="AA255" s="31" t="s">
        <v>262</v>
      </c>
      <c r="AB255" s="18" t="s">
        <v>259</v>
      </c>
      <c r="AC255" s="18" t="s">
        <v>200</v>
      </c>
    </row>
    <row r="256" s="18" customFormat="1" ht="29" spans="1:29">
      <c r="A256" s="18" t="s">
        <v>909</v>
      </c>
      <c r="B256" s="25" t="s">
        <v>909</v>
      </c>
      <c r="C256" s="26">
        <v>45667</v>
      </c>
      <c r="D256" s="18" t="s">
        <v>261</v>
      </c>
      <c r="E256" s="18" t="str">
        <f t="shared" si="3"/>
        <v>Novex Communications Pvt. Ltd.</v>
      </c>
      <c r="F256" s="27" t="e">
        <v>#N/A</v>
      </c>
      <c r="G256" s="18" t="s">
        <v>182</v>
      </c>
      <c r="H256" s="18" t="s">
        <v>183</v>
      </c>
      <c r="I256" s="18" t="s">
        <v>184</v>
      </c>
      <c r="J256" s="18" t="s">
        <v>499</v>
      </c>
      <c r="K256" s="18" t="s">
        <v>56</v>
      </c>
      <c r="L256" s="18" t="s">
        <v>36</v>
      </c>
      <c r="N256" s="18">
        <v>6</v>
      </c>
      <c r="O256" s="18" t="s">
        <v>88</v>
      </c>
      <c r="P256" s="18" t="s">
        <v>38</v>
      </c>
      <c r="Q256" s="18" t="s">
        <v>117</v>
      </c>
      <c r="R256" s="18" t="s">
        <v>59</v>
      </c>
      <c r="S256" s="18" t="s">
        <v>186</v>
      </c>
      <c r="T256" s="18" t="b">
        <v>0</v>
      </c>
      <c r="U256" s="18" t="s">
        <v>187</v>
      </c>
      <c r="V256" s="18" t="s">
        <v>40</v>
      </c>
      <c r="W256" s="18" t="s">
        <v>256</v>
      </c>
      <c r="X256" s="18" t="s">
        <v>257</v>
      </c>
      <c r="Y256" s="18">
        <v>1</v>
      </c>
      <c r="Z256" s="18">
        <v>76000</v>
      </c>
      <c r="AA256" s="31" t="s">
        <v>262</v>
      </c>
      <c r="AB256" s="18" t="s">
        <v>259</v>
      </c>
      <c r="AC256" s="18" t="s">
        <v>200</v>
      </c>
    </row>
    <row r="257" s="18" customFormat="1" ht="29" spans="1:29">
      <c r="A257" s="18" t="s">
        <v>910</v>
      </c>
      <c r="B257" s="25" t="s">
        <v>910</v>
      </c>
      <c r="C257" s="26">
        <v>45667</v>
      </c>
      <c r="D257" s="18" t="s">
        <v>264</v>
      </c>
      <c r="E257" s="18" t="str">
        <f t="shared" si="3"/>
        <v>The Indian Performing Right Society Ltd.</v>
      </c>
      <c r="F257" s="27" t="e">
        <v>#N/A</v>
      </c>
      <c r="G257" s="18" t="s">
        <v>182</v>
      </c>
      <c r="H257" s="18" t="s">
        <v>183</v>
      </c>
      <c r="I257" s="18" t="s">
        <v>184</v>
      </c>
      <c r="J257" s="18" t="s">
        <v>249</v>
      </c>
      <c r="K257" s="18" t="s">
        <v>56</v>
      </c>
      <c r="L257" s="18" t="s">
        <v>36</v>
      </c>
      <c r="N257" s="18">
        <v>6</v>
      </c>
      <c r="O257" s="18" t="s">
        <v>57</v>
      </c>
      <c r="P257" s="18" t="s">
        <v>38</v>
      </c>
      <c r="Q257" s="18" t="s">
        <v>58</v>
      </c>
      <c r="R257" s="18" t="s">
        <v>59</v>
      </c>
      <c r="S257" s="18" t="s">
        <v>60</v>
      </c>
      <c r="T257" s="18" t="b">
        <v>0</v>
      </c>
      <c r="U257" s="18" t="s">
        <v>187</v>
      </c>
      <c r="V257" s="18" t="s">
        <v>40</v>
      </c>
      <c r="W257" s="18" t="s">
        <v>256</v>
      </c>
      <c r="X257" s="18" t="s">
        <v>257</v>
      </c>
      <c r="Y257" s="18">
        <v>1</v>
      </c>
      <c r="Z257" s="18">
        <v>60000</v>
      </c>
      <c r="AA257" s="31" t="s">
        <v>262</v>
      </c>
      <c r="AB257" s="18" t="s">
        <v>259</v>
      </c>
      <c r="AC257" s="18" t="s">
        <v>200</v>
      </c>
    </row>
    <row r="258" s="18" customFormat="1" ht="29" spans="1:29">
      <c r="A258" s="18" t="s">
        <v>911</v>
      </c>
      <c r="B258" s="25" t="s">
        <v>911</v>
      </c>
      <c r="C258" s="26">
        <v>45667</v>
      </c>
      <c r="D258" s="18" t="s">
        <v>255</v>
      </c>
      <c r="E258" s="18" t="str">
        <f t="shared" si="3"/>
        <v>Phonographic Performance Limited</v>
      </c>
      <c r="F258" s="27" t="e">
        <v>#N/A</v>
      </c>
      <c r="G258" s="18" t="s">
        <v>182</v>
      </c>
      <c r="H258" s="18" t="s">
        <v>183</v>
      </c>
      <c r="I258" s="18" t="s">
        <v>184</v>
      </c>
      <c r="J258" s="18" t="s">
        <v>249</v>
      </c>
      <c r="K258" s="18" t="s">
        <v>56</v>
      </c>
      <c r="L258" s="18" t="s">
        <v>36</v>
      </c>
      <c r="N258" s="18">
        <v>6</v>
      </c>
      <c r="O258" s="18" t="s">
        <v>88</v>
      </c>
      <c r="P258" s="18" t="s">
        <v>38</v>
      </c>
      <c r="Q258" s="18" t="s">
        <v>58</v>
      </c>
      <c r="R258" s="18" t="s">
        <v>59</v>
      </c>
      <c r="S258" s="18" t="s">
        <v>60</v>
      </c>
      <c r="T258" s="18" t="b">
        <v>0</v>
      </c>
      <c r="U258" s="18" t="s">
        <v>187</v>
      </c>
      <c r="V258" s="18" t="s">
        <v>40</v>
      </c>
      <c r="W258" s="18" t="s">
        <v>256</v>
      </c>
      <c r="X258" s="18" t="s">
        <v>257</v>
      </c>
      <c r="Y258" s="18">
        <v>1</v>
      </c>
      <c r="Z258" s="18">
        <v>305250</v>
      </c>
      <c r="AA258" s="31" t="s">
        <v>262</v>
      </c>
      <c r="AB258" s="18" t="s">
        <v>259</v>
      </c>
      <c r="AC258" s="18" t="s">
        <v>200</v>
      </c>
    </row>
    <row r="259" s="18" customFormat="1" ht="29" spans="1:29">
      <c r="A259" s="18" t="s">
        <v>912</v>
      </c>
      <c r="B259" s="25" t="s">
        <v>912</v>
      </c>
      <c r="C259" s="26">
        <v>45667</v>
      </c>
      <c r="D259" s="18" t="s">
        <v>261</v>
      </c>
      <c r="E259" s="18" t="str">
        <f t="shared" ref="E259:E322" si="4">_xlfn.TEXTBEFORE(D259,"-")</f>
        <v>Novex Communications Pvt. Ltd.</v>
      </c>
      <c r="F259" s="27" t="e">
        <v>#N/A</v>
      </c>
      <c r="G259" s="18" t="s">
        <v>182</v>
      </c>
      <c r="H259" s="18" t="s">
        <v>183</v>
      </c>
      <c r="I259" s="18" t="s">
        <v>184</v>
      </c>
      <c r="J259" s="18" t="s">
        <v>249</v>
      </c>
      <c r="K259" s="18" t="s">
        <v>56</v>
      </c>
      <c r="L259" s="18" t="s">
        <v>36</v>
      </c>
      <c r="N259" s="18">
        <v>6</v>
      </c>
      <c r="O259" s="18" t="s">
        <v>88</v>
      </c>
      <c r="P259" s="18" t="s">
        <v>38</v>
      </c>
      <c r="Q259" s="18" t="s">
        <v>58</v>
      </c>
      <c r="R259" s="18" t="s">
        <v>59</v>
      </c>
      <c r="S259" s="18" t="s">
        <v>60</v>
      </c>
      <c r="T259" s="18" t="b">
        <v>0</v>
      </c>
      <c r="U259" s="18" t="s">
        <v>187</v>
      </c>
      <c r="V259" s="18" t="s">
        <v>40</v>
      </c>
      <c r="W259" s="18" t="s">
        <v>256</v>
      </c>
      <c r="X259" s="18" t="s">
        <v>257</v>
      </c>
      <c r="Y259" s="18">
        <v>1</v>
      </c>
      <c r="Z259" s="18">
        <v>152000</v>
      </c>
      <c r="AA259" s="31" t="s">
        <v>262</v>
      </c>
      <c r="AB259" s="18" t="s">
        <v>259</v>
      </c>
      <c r="AC259" s="18" t="s">
        <v>200</v>
      </c>
    </row>
    <row r="260" s="18" customFormat="1" spans="1:29">
      <c r="A260" s="18" t="s">
        <v>913</v>
      </c>
      <c r="B260" s="25" t="s">
        <v>913</v>
      </c>
      <c r="C260" s="26">
        <v>45667</v>
      </c>
      <c r="D260" s="18" t="s">
        <v>723</v>
      </c>
      <c r="E260" s="18" t="str">
        <f t="shared" si="4"/>
        <v>Greenix Experience Pvt Ltd</v>
      </c>
      <c r="F260" s="27" t="s">
        <v>724</v>
      </c>
      <c r="G260" s="18" t="s">
        <v>182</v>
      </c>
      <c r="H260" s="18" t="s">
        <v>183</v>
      </c>
      <c r="I260" s="18" t="s">
        <v>54</v>
      </c>
      <c r="J260" s="18" t="s">
        <v>249</v>
      </c>
      <c r="K260" s="18" t="s">
        <v>56</v>
      </c>
      <c r="L260" s="18" t="s">
        <v>36</v>
      </c>
      <c r="N260" s="18">
        <v>6</v>
      </c>
      <c r="O260" s="18" t="s">
        <v>93</v>
      </c>
      <c r="P260" s="18" t="s">
        <v>38</v>
      </c>
      <c r="Q260" s="18" t="s">
        <v>58</v>
      </c>
      <c r="R260" s="18" t="s">
        <v>59</v>
      </c>
      <c r="S260" s="18" t="s">
        <v>60</v>
      </c>
      <c r="T260" s="18" t="b">
        <v>0</v>
      </c>
      <c r="U260" s="18" t="s">
        <v>187</v>
      </c>
      <c r="V260" s="18" t="s">
        <v>40</v>
      </c>
      <c r="W260" s="18" t="s">
        <v>233</v>
      </c>
      <c r="X260" s="18" t="s">
        <v>234</v>
      </c>
      <c r="Y260" s="18">
        <v>1</v>
      </c>
      <c r="Z260" s="18">
        <v>270575</v>
      </c>
      <c r="AA260" s="18" t="s">
        <v>142</v>
      </c>
      <c r="AB260" s="18" t="s">
        <v>143</v>
      </c>
      <c r="AC260" s="18" t="s">
        <v>216</v>
      </c>
    </row>
    <row r="261" s="18" customFormat="1" spans="1:29">
      <c r="A261" s="18" t="s">
        <v>914</v>
      </c>
      <c r="B261" s="25" t="s">
        <v>914</v>
      </c>
      <c r="C261" s="26">
        <v>45667</v>
      </c>
      <c r="D261" s="18" t="s">
        <v>915</v>
      </c>
      <c r="E261" s="18" t="str">
        <f t="shared" si="4"/>
        <v>Santosh Bhogal Cash  </v>
      </c>
      <c r="F261" s="27" t="e">
        <v>#N/A</v>
      </c>
      <c r="G261" s="18" t="s">
        <v>182</v>
      </c>
      <c r="H261" s="18" t="s">
        <v>183</v>
      </c>
      <c r="I261" s="18" t="s">
        <v>481</v>
      </c>
      <c r="J261" s="18" t="s">
        <v>916</v>
      </c>
      <c r="K261" s="18" t="s">
        <v>56</v>
      </c>
      <c r="L261" s="18" t="s">
        <v>36</v>
      </c>
      <c r="N261" s="18">
        <v>6</v>
      </c>
      <c r="O261" s="18" t="s">
        <v>93</v>
      </c>
      <c r="P261" s="18" t="s">
        <v>38</v>
      </c>
      <c r="Q261" s="18" t="s">
        <v>194</v>
      </c>
      <c r="R261" s="18" t="s">
        <v>59</v>
      </c>
      <c r="S261" s="18" t="s">
        <v>195</v>
      </c>
      <c r="T261" s="18" t="b">
        <v>0</v>
      </c>
      <c r="U261" s="18" t="s">
        <v>187</v>
      </c>
      <c r="V261" s="18" t="s">
        <v>40</v>
      </c>
      <c r="W261" s="18" t="s">
        <v>126</v>
      </c>
      <c r="X261" s="18" t="s">
        <v>127</v>
      </c>
      <c r="Y261" s="18">
        <v>1</v>
      </c>
      <c r="Z261" s="18">
        <v>111</v>
      </c>
      <c r="AC261" s="18" t="e">
        <v>#N/A</v>
      </c>
    </row>
    <row r="262" s="18" customFormat="1" ht="29" spans="1:29">
      <c r="A262" s="18" t="s">
        <v>917</v>
      </c>
      <c r="B262" s="25" t="s">
        <v>917</v>
      </c>
      <c r="C262" s="26">
        <v>45667</v>
      </c>
      <c r="D262" s="18" t="s">
        <v>918</v>
      </c>
      <c r="E262" s="18" t="str">
        <f t="shared" si="4"/>
        <v>Recorded Music Performance Ltd</v>
      </c>
      <c r="F262" s="27" t="s">
        <v>919</v>
      </c>
      <c r="G262" s="18" t="s">
        <v>182</v>
      </c>
      <c r="H262" s="18" t="s">
        <v>183</v>
      </c>
      <c r="I262" s="18" t="s">
        <v>184</v>
      </c>
      <c r="J262" s="18" t="s">
        <v>249</v>
      </c>
      <c r="K262" s="18" t="s">
        <v>56</v>
      </c>
      <c r="L262" s="18" t="s">
        <v>36</v>
      </c>
      <c r="N262" s="18">
        <v>6</v>
      </c>
      <c r="O262" s="18" t="s">
        <v>57</v>
      </c>
      <c r="P262" s="18" t="s">
        <v>38</v>
      </c>
      <c r="Q262" s="18" t="s">
        <v>58</v>
      </c>
      <c r="R262" s="18" t="s">
        <v>59</v>
      </c>
      <c r="S262" s="18" t="s">
        <v>60</v>
      </c>
      <c r="T262" s="18" t="b">
        <v>0</v>
      </c>
      <c r="U262" s="18" t="s">
        <v>187</v>
      </c>
      <c r="V262" s="18" t="s">
        <v>40</v>
      </c>
      <c r="W262" s="18" t="s">
        <v>256</v>
      </c>
      <c r="X262" s="18" t="s">
        <v>257</v>
      </c>
      <c r="Y262" s="18">
        <v>1</v>
      </c>
      <c r="Z262" s="18">
        <v>120000</v>
      </c>
      <c r="AA262" s="31" t="s">
        <v>262</v>
      </c>
      <c r="AB262" s="18" t="s">
        <v>259</v>
      </c>
      <c r="AC262" s="18" t="s">
        <v>200</v>
      </c>
    </row>
    <row r="263" s="18" customFormat="1" ht="29" spans="1:29">
      <c r="A263" s="18" t="s">
        <v>920</v>
      </c>
      <c r="B263" s="25" t="s">
        <v>920</v>
      </c>
      <c r="C263" s="26">
        <v>45667</v>
      </c>
      <c r="D263" s="18" t="s">
        <v>884</v>
      </c>
      <c r="E263" s="18" t="str">
        <f t="shared" si="4"/>
        <v>Vinit Video Vision</v>
      </c>
      <c r="F263" s="27" t="s">
        <v>885</v>
      </c>
      <c r="G263" s="18" t="s">
        <v>182</v>
      </c>
      <c r="H263" s="18" t="s">
        <v>183</v>
      </c>
      <c r="I263" s="18" t="s">
        <v>184</v>
      </c>
      <c r="J263" s="18" t="s">
        <v>862</v>
      </c>
      <c r="K263" s="18" t="s">
        <v>56</v>
      </c>
      <c r="L263" s="18" t="s">
        <v>36</v>
      </c>
      <c r="N263" s="18">
        <v>6</v>
      </c>
      <c r="O263" s="18" t="s">
        <v>57</v>
      </c>
      <c r="P263" s="18" t="s">
        <v>38</v>
      </c>
      <c r="Q263" s="18" t="s">
        <v>194</v>
      </c>
      <c r="R263" s="18" t="s">
        <v>59</v>
      </c>
      <c r="S263" s="18" t="s">
        <v>195</v>
      </c>
      <c r="T263" s="18" t="b">
        <v>0</v>
      </c>
      <c r="U263" s="18" t="s">
        <v>187</v>
      </c>
      <c r="V263" s="18" t="s">
        <v>40</v>
      </c>
      <c r="W263" s="18" t="s">
        <v>401</v>
      </c>
      <c r="X263" s="18" t="s">
        <v>402</v>
      </c>
      <c r="Y263" s="18">
        <v>1</v>
      </c>
      <c r="Z263" s="18">
        <v>9500</v>
      </c>
      <c r="AA263" s="31" t="s">
        <v>262</v>
      </c>
      <c r="AB263" s="18" t="s">
        <v>259</v>
      </c>
      <c r="AC263" s="18" t="s">
        <v>200</v>
      </c>
    </row>
    <row r="264" s="18" customFormat="1" ht="29" spans="1:29">
      <c r="A264" s="18" t="s">
        <v>921</v>
      </c>
      <c r="B264" s="25" t="s">
        <v>921</v>
      </c>
      <c r="C264" s="26">
        <v>45667</v>
      </c>
      <c r="D264" s="18" t="s">
        <v>922</v>
      </c>
      <c r="E264" s="18" t="str">
        <f t="shared" si="4"/>
        <v>Bappa Creation</v>
      </c>
      <c r="F264" s="27" t="s">
        <v>923</v>
      </c>
      <c r="G264" s="18" t="s">
        <v>182</v>
      </c>
      <c r="H264" s="18" t="s">
        <v>183</v>
      </c>
      <c r="I264" s="18" t="s">
        <v>184</v>
      </c>
      <c r="J264" s="18" t="s">
        <v>924</v>
      </c>
      <c r="K264" s="18" t="s">
        <v>56</v>
      </c>
      <c r="L264" s="18" t="s">
        <v>36</v>
      </c>
      <c r="N264" s="18">
        <v>6</v>
      </c>
      <c r="O264" s="18" t="s">
        <v>57</v>
      </c>
      <c r="P264" s="18" t="s">
        <v>38</v>
      </c>
      <c r="Q264" s="18" t="s">
        <v>194</v>
      </c>
      <c r="R264" s="18" t="s">
        <v>59</v>
      </c>
      <c r="S264" s="18" t="s">
        <v>195</v>
      </c>
      <c r="T264" s="18" t="b">
        <v>0</v>
      </c>
      <c r="U264" s="18" t="s">
        <v>187</v>
      </c>
      <c r="V264" s="18" t="s">
        <v>40</v>
      </c>
      <c r="W264" s="18" t="s">
        <v>140</v>
      </c>
      <c r="X264" s="18" t="s">
        <v>141</v>
      </c>
      <c r="Y264" s="18">
        <v>1</v>
      </c>
      <c r="Z264" s="18">
        <v>8500</v>
      </c>
      <c r="AA264" s="31" t="s">
        <v>262</v>
      </c>
      <c r="AB264" s="18" t="s">
        <v>259</v>
      </c>
      <c r="AC264" s="18" t="s">
        <v>200</v>
      </c>
    </row>
    <row r="265" s="18" customFormat="1" ht="29" spans="1:29">
      <c r="A265" s="18" t="s">
        <v>925</v>
      </c>
      <c r="B265" s="25" t="s">
        <v>925</v>
      </c>
      <c r="C265" s="26">
        <v>45667</v>
      </c>
      <c r="D265" s="18" t="s">
        <v>926</v>
      </c>
      <c r="E265" s="18" t="str">
        <f t="shared" si="4"/>
        <v>A. J. Creation</v>
      </c>
      <c r="F265" s="27" t="e">
        <v>#N/A</v>
      </c>
      <c r="G265" s="18" t="s">
        <v>182</v>
      </c>
      <c r="H265" s="18" t="s">
        <v>183</v>
      </c>
      <c r="I265" s="18" t="s">
        <v>184</v>
      </c>
      <c r="J265" s="18" t="s">
        <v>864</v>
      </c>
      <c r="K265" s="18" t="s">
        <v>56</v>
      </c>
      <c r="L265" s="18" t="s">
        <v>36</v>
      </c>
      <c r="N265" s="18">
        <v>6</v>
      </c>
      <c r="O265" s="18" t="s">
        <v>88</v>
      </c>
      <c r="P265" s="18" t="s">
        <v>38</v>
      </c>
      <c r="Q265" s="18" t="s">
        <v>194</v>
      </c>
      <c r="R265" s="18" t="s">
        <v>59</v>
      </c>
      <c r="S265" s="18" t="s">
        <v>195</v>
      </c>
      <c r="T265" s="18" t="b">
        <v>0</v>
      </c>
      <c r="U265" s="18" t="s">
        <v>187</v>
      </c>
      <c r="V265" s="18" t="s">
        <v>40</v>
      </c>
      <c r="W265" s="18" t="s">
        <v>140</v>
      </c>
      <c r="X265" s="18" t="s">
        <v>141</v>
      </c>
      <c r="Y265" s="18">
        <v>1</v>
      </c>
      <c r="Z265" s="18">
        <v>7350</v>
      </c>
      <c r="AA265" s="31" t="s">
        <v>262</v>
      </c>
      <c r="AB265" s="18" t="s">
        <v>259</v>
      </c>
      <c r="AC265" s="18" t="s">
        <v>200</v>
      </c>
    </row>
    <row r="266" s="18" customFormat="1" ht="29" spans="1:29">
      <c r="A266" s="18" t="s">
        <v>927</v>
      </c>
      <c r="B266" s="25" t="s">
        <v>927</v>
      </c>
      <c r="C266" s="26">
        <v>45667</v>
      </c>
      <c r="D266" s="18" t="s">
        <v>928</v>
      </c>
      <c r="E266" s="18" t="str">
        <f t="shared" si="4"/>
        <v>Metro Enterprises (Viral Hirabhai Patel)</v>
      </c>
      <c r="F266" s="27" t="s">
        <v>929</v>
      </c>
      <c r="G266" s="18" t="s">
        <v>182</v>
      </c>
      <c r="H266" s="18" t="s">
        <v>183</v>
      </c>
      <c r="I266" s="18" t="s">
        <v>184</v>
      </c>
      <c r="J266" s="18" t="s">
        <v>864</v>
      </c>
      <c r="K266" s="18" t="s">
        <v>56</v>
      </c>
      <c r="L266" s="18" t="s">
        <v>36</v>
      </c>
      <c r="N266" s="18">
        <v>6</v>
      </c>
      <c r="O266" s="18" t="s">
        <v>88</v>
      </c>
      <c r="P266" s="18" t="s">
        <v>38</v>
      </c>
      <c r="Q266" s="18" t="s">
        <v>194</v>
      </c>
      <c r="R266" s="18" t="s">
        <v>59</v>
      </c>
      <c r="S266" s="18" t="s">
        <v>195</v>
      </c>
      <c r="T266" s="18" t="b">
        <v>0</v>
      </c>
      <c r="U266" s="18" t="s">
        <v>187</v>
      </c>
      <c r="V266" s="18" t="s">
        <v>40</v>
      </c>
      <c r="W266" s="18" t="s">
        <v>196</v>
      </c>
      <c r="X266" s="18" t="s">
        <v>197</v>
      </c>
      <c r="Y266" s="18">
        <v>1</v>
      </c>
      <c r="Z266" s="18">
        <v>1224</v>
      </c>
      <c r="AA266" s="31" t="s">
        <v>262</v>
      </c>
      <c r="AB266" s="18" t="s">
        <v>259</v>
      </c>
      <c r="AC266" s="18" t="s">
        <v>200</v>
      </c>
    </row>
    <row r="267" s="18" customFormat="1" ht="29" spans="1:29">
      <c r="A267" s="18" t="s">
        <v>930</v>
      </c>
      <c r="B267" s="25" t="s">
        <v>930</v>
      </c>
      <c r="C267" s="26">
        <v>45667</v>
      </c>
      <c r="D267" s="18" t="s">
        <v>922</v>
      </c>
      <c r="E267" s="18" t="str">
        <f t="shared" si="4"/>
        <v>Bappa Creation</v>
      </c>
      <c r="F267" s="27" t="s">
        <v>923</v>
      </c>
      <c r="G267" s="18" t="s">
        <v>182</v>
      </c>
      <c r="H267" s="18" t="s">
        <v>183</v>
      </c>
      <c r="I267" s="18" t="s">
        <v>184</v>
      </c>
      <c r="J267" s="18" t="s">
        <v>864</v>
      </c>
      <c r="K267" s="18" t="s">
        <v>56</v>
      </c>
      <c r="L267" s="18" t="s">
        <v>36</v>
      </c>
      <c r="N267" s="18">
        <v>6</v>
      </c>
      <c r="O267" s="18" t="s">
        <v>57</v>
      </c>
      <c r="P267" s="18" t="s">
        <v>38</v>
      </c>
      <c r="Q267" s="18" t="s">
        <v>194</v>
      </c>
      <c r="R267" s="18" t="s">
        <v>59</v>
      </c>
      <c r="S267" s="18" t="s">
        <v>195</v>
      </c>
      <c r="T267" s="18" t="b">
        <v>0</v>
      </c>
      <c r="U267" s="18" t="s">
        <v>187</v>
      </c>
      <c r="V267" s="18" t="s">
        <v>40</v>
      </c>
      <c r="W267" s="18" t="s">
        <v>140</v>
      </c>
      <c r="X267" s="18" t="s">
        <v>141</v>
      </c>
      <c r="Y267" s="18">
        <v>1</v>
      </c>
      <c r="Z267" s="18">
        <v>2500</v>
      </c>
      <c r="AA267" s="31" t="s">
        <v>262</v>
      </c>
      <c r="AB267" s="18" t="s">
        <v>259</v>
      </c>
      <c r="AC267" s="18" t="s">
        <v>200</v>
      </c>
    </row>
    <row r="268" s="18" customFormat="1" ht="29" spans="1:29">
      <c r="A268" s="18" t="s">
        <v>931</v>
      </c>
      <c r="B268" s="25" t="s">
        <v>931</v>
      </c>
      <c r="C268" s="26">
        <v>45667</v>
      </c>
      <c r="D268" s="18" t="s">
        <v>884</v>
      </c>
      <c r="E268" s="18" t="str">
        <f t="shared" si="4"/>
        <v>Vinit Video Vision</v>
      </c>
      <c r="F268" s="27" t="s">
        <v>885</v>
      </c>
      <c r="G268" s="18" t="s">
        <v>182</v>
      </c>
      <c r="H268" s="18" t="s">
        <v>183</v>
      </c>
      <c r="I268" s="18" t="s">
        <v>184</v>
      </c>
      <c r="J268" s="18" t="s">
        <v>864</v>
      </c>
      <c r="K268" s="18" t="s">
        <v>56</v>
      </c>
      <c r="L268" s="18" t="s">
        <v>36</v>
      </c>
      <c r="N268" s="18">
        <v>6</v>
      </c>
      <c r="O268" s="18" t="s">
        <v>57</v>
      </c>
      <c r="P268" s="18" t="s">
        <v>38</v>
      </c>
      <c r="Q268" s="18" t="s">
        <v>194</v>
      </c>
      <c r="R268" s="18" t="s">
        <v>59</v>
      </c>
      <c r="S268" s="18" t="s">
        <v>195</v>
      </c>
      <c r="T268" s="18" t="b">
        <v>0</v>
      </c>
      <c r="U268" s="18" t="s">
        <v>187</v>
      </c>
      <c r="V268" s="18" t="s">
        <v>40</v>
      </c>
      <c r="W268" s="18" t="s">
        <v>401</v>
      </c>
      <c r="X268" s="18" t="s">
        <v>402</v>
      </c>
      <c r="Y268" s="18">
        <v>1</v>
      </c>
      <c r="Z268" s="18">
        <v>3500</v>
      </c>
      <c r="AA268" s="31" t="s">
        <v>932</v>
      </c>
      <c r="AB268" s="18" t="s">
        <v>259</v>
      </c>
      <c r="AC268" s="18" t="s">
        <v>200</v>
      </c>
    </row>
    <row r="269" s="18" customFormat="1" spans="1:29">
      <c r="A269" s="18" t="s">
        <v>933</v>
      </c>
      <c r="B269" s="25" t="s">
        <v>933</v>
      </c>
      <c r="C269" s="26">
        <v>45667</v>
      </c>
      <c r="D269" s="18" t="s">
        <v>934</v>
      </c>
      <c r="E269" s="18" t="str">
        <f t="shared" si="4"/>
        <v>Godaddy.Com,Llc</v>
      </c>
      <c r="F269" s="27" t="e">
        <v>#N/A</v>
      </c>
      <c r="G269" s="18" t="s">
        <v>182</v>
      </c>
      <c r="H269" s="18" t="s">
        <v>183</v>
      </c>
      <c r="I269" s="18" t="s">
        <v>184</v>
      </c>
      <c r="J269" s="18" t="s">
        <v>935</v>
      </c>
      <c r="K269" s="18" t="s">
        <v>56</v>
      </c>
      <c r="L269" s="18" t="s">
        <v>36</v>
      </c>
      <c r="N269" s="18">
        <v>6</v>
      </c>
      <c r="O269" s="18" t="s">
        <v>57</v>
      </c>
      <c r="P269" s="18" t="s">
        <v>38</v>
      </c>
      <c r="Q269" s="18" t="s">
        <v>117</v>
      </c>
      <c r="R269" s="18" t="s">
        <v>59</v>
      </c>
      <c r="S269" s="18" t="s">
        <v>118</v>
      </c>
      <c r="T269" s="18" t="b">
        <v>0</v>
      </c>
      <c r="U269" s="18" t="s">
        <v>187</v>
      </c>
      <c r="V269" s="18" t="s">
        <v>40</v>
      </c>
      <c r="W269" s="18" t="s">
        <v>233</v>
      </c>
      <c r="X269" s="18" t="s">
        <v>234</v>
      </c>
      <c r="Y269" s="18">
        <v>1</v>
      </c>
      <c r="Z269" s="18">
        <v>1014.12</v>
      </c>
      <c r="AA269" s="18" t="s">
        <v>936</v>
      </c>
      <c r="AB269" s="18" t="s">
        <v>207</v>
      </c>
      <c r="AC269" s="18" t="e">
        <v>#N/A</v>
      </c>
    </row>
    <row r="270" s="18" customFormat="1" spans="1:29">
      <c r="A270" s="18" t="s">
        <v>937</v>
      </c>
      <c r="B270" s="25" t="s">
        <v>937</v>
      </c>
      <c r="C270" s="26">
        <v>45668</v>
      </c>
      <c r="D270" s="18" t="s">
        <v>460</v>
      </c>
      <c r="E270" s="18" t="str">
        <f t="shared" si="4"/>
        <v>Innovative Gifting Solutions</v>
      </c>
      <c r="F270" s="27" t="s">
        <v>461</v>
      </c>
      <c r="G270" s="18" t="s">
        <v>147</v>
      </c>
      <c r="H270" s="18" t="s">
        <v>148</v>
      </c>
      <c r="I270" s="18" t="s">
        <v>184</v>
      </c>
      <c r="J270" s="18" t="s">
        <v>938</v>
      </c>
      <c r="K270" s="18" t="s">
        <v>56</v>
      </c>
      <c r="L270" s="18" t="s">
        <v>36</v>
      </c>
      <c r="N270" s="18">
        <v>6</v>
      </c>
      <c r="O270" s="18" t="s">
        <v>57</v>
      </c>
      <c r="P270" s="18" t="s">
        <v>38</v>
      </c>
      <c r="Q270" s="18" t="s">
        <v>194</v>
      </c>
      <c r="R270" s="18" t="s">
        <v>59</v>
      </c>
      <c r="S270" s="18" t="s">
        <v>195</v>
      </c>
      <c r="T270" s="18" t="b">
        <v>1</v>
      </c>
      <c r="U270" s="18" t="s">
        <v>150</v>
      </c>
      <c r="V270" s="18" t="s">
        <v>40</v>
      </c>
      <c r="W270" s="18" t="s">
        <v>140</v>
      </c>
      <c r="X270" s="18" t="s">
        <v>141</v>
      </c>
      <c r="Y270" s="18">
        <v>1</v>
      </c>
      <c r="Z270" s="18">
        <v>15800</v>
      </c>
      <c r="AA270" s="18" t="s">
        <v>939</v>
      </c>
      <c r="AB270" s="18" t="s">
        <v>940</v>
      </c>
      <c r="AC270" s="18" t="s">
        <v>163</v>
      </c>
    </row>
    <row r="271" s="18" customFormat="1" spans="1:29">
      <c r="A271" s="18" t="s">
        <v>941</v>
      </c>
      <c r="B271" s="25" t="s">
        <v>941</v>
      </c>
      <c r="C271" s="26">
        <v>45668</v>
      </c>
      <c r="D271" s="18" t="s">
        <v>942</v>
      </c>
      <c r="E271" s="18" t="str">
        <f t="shared" si="4"/>
        <v>Pandey Print Services</v>
      </c>
      <c r="F271" s="27" t="s">
        <v>943</v>
      </c>
      <c r="G271" s="18" t="s">
        <v>147</v>
      </c>
      <c r="H271" s="18" t="s">
        <v>148</v>
      </c>
      <c r="I271" s="18" t="s">
        <v>184</v>
      </c>
      <c r="J271" s="18" t="s">
        <v>938</v>
      </c>
      <c r="K271" s="18" t="s">
        <v>56</v>
      </c>
      <c r="L271" s="18" t="s">
        <v>36</v>
      </c>
      <c r="N271" s="18">
        <v>6</v>
      </c>
      <c r="O271" s="18" t="s">
        <v>88</v>
      </c>
      <c r="P271" s="18" t="s">
        <v>38</v>
      </c>
      <c r="Q271" s="18" t="s">
        <v>194</v>
      </c>
      <c r="R271" s="18" t="s">
        <v>59</v>
      </c>
      <c r="S271" s="18" t="s">
        <v>195</v>
      </c>
      <c r="T271" s="18" t="b">
        <v>1</v>
      </c>
      <c r="U271" s="18" t="s">
        <v>150</v>
      </c>
      <c r="V271" s="18" t="s">
        <v>40</v>
      </c>
      <c r="W271" s="18" t="s">
        <v>196</v>
      </c>
      <c r="X271" s="18" t="s">
        <v>197</v>
      </c>
      <c r="Y271" s="18">
        <v>1</v>
      </c>
      <c r="Z271" s="18">
        <v>1000</v>
      </c>
      <c r="AA271" s="18" t="s">
        <v>939</v>
      </c>
      <c r="AB271" s="18" t="s">
        <v>940</v>
      </c>
      <c r="AC271" s="18" t="s">
        <v>163</v>
      </c>
    </row>
    <row r="272" s="18" customFormat="1" ht="29" spans="1:29">
      <c r="A272" s="18" t="s">
        <v>944</v>
      </c>
      <c r="B272" s="25" t="s">
        <v>944</v>
      </c>
      <c r="C272" s="26">
        <v>45668</v>
      </c>
      <c r="D272" s="18" t="s">
        <v>945</v>
      </c>
      <c r="E272" s="18" t="str">
        <f t="shared" si="4"/>
        <v>Konceptz Galore</v>
      </c>
      <c r="F272" s="27" t="s">
        <v>946</v>
      </c>
      <c r="G272" s="18" t="s">
        <v>147</v>
      </c>
      <c r="H272" s="18" t="s">
        <v>148</v>
      </c>
      <c r="I272" s="18" t="s">
        <v>184</v>
      </c>
      <c r="J272" s="18" t="s">
        <v>938</v>
      </c>
      <c r="K272" s="18" t="s">
        <v>56</v>
      </c>
      <c r="L272" s="18" t="s">
        <v>36</v>
      </c>
      <c r="N272" s="18">
        <v>6</v>
      </c>
      <c r="O272" s="18" t="s">
        <v>57</v>
      </c>
      <c r="P272" s="18" t="s">
        <v>38</v>
      </c>
      <c r="Q272" s="18" t="s">
        <v>194</v>
      </c>
      <c r="R272" s="18" t="s">
        <v>59</v>
      </c>
      <c r="S272" s="18" t="s">
        <v>195</v>
      </c>
      <c r="T272" s="18" t="b">
        <v>1</v>
      </c>
      <c r="U272" s="18" t="s">
        <v>150</v>
      </c>
      <c r="V272" s="18" t="s">
        <v>40</v>
      </c>
      <c r="W272" s="18" t="s">
        <v>140</v>
      </c>
      <c r="X272" s="18" t="s">
        <v>141</v>
      </c>
      <c r="Y272" s="18">
        <v>1</v>
      </c>
      <c r="Z272" s="18">
        <v>2030</v>
      </c>
      <c r="AA272" s="31" t="s">
        <v>947</v>
      </c>
      <c r="AB272" s="18" t="s">
        <v>948</v>
      </c>
      <c r="AC272" s="18" t="s">
        <v>163</v>
      </c>
    </row>
    <row r="273" s="18" customFormat="1" spans="1:29">
      <c r="A273" s="18" t="s">
        <v>949</v>
      </c>
      <c r="B273" s="25" t="s">
        <v>949</v>
      </c>
      <c r="C273" s="26">
        <v>45668</v>
      </c>
      <c r="D273" s="18" t="s">
        <v>950</v>
      </c>
      <c r="E273" s="18" t="str">
        <f t="shared" si="4"/>
        <v>Society of Indian Automobile Manufacturers</v>
      </c>
      <c r="F273" s="27" t="s">
        <v>951</v>
      </c>
      <c r="G273" s="18" t="s">
        <v>147</v>
      </c>
      <c r="H273" s="18" t="s">
        <v>148</v>
      </c>
      <c r="I273" s="18" t="s">
        <v>952</v>
      </c>
      <c r="J273" s="18" t="s">
        <v>466</v>
      </c>
      <c r="K273" s="18" t="s">
        <v>56</v>
      </c>
      <c r="L273" s="18" t="s">
        <v>36</v>
      </c>
      <c r="N273" s="18">
        <v>6</v>
      </c>
      <c r="O273" s="18" t="s">
        <v>93</v>
      </c>
      <c r="P273" s="18" t="s">
        <v>38</v>
      </c>
      <c r="Q273" s="18" t="s">
        <v>58</v>
      </c>
      <c r="R273" s="18" t="s">
        <v>59</v>
      </c>
      <c r="S273" s="18" t="s">
        <v>60</v>
      </c>
      <c r="T273" s="18" t="b">
        <v>1</v>
      </c>
      <c r="U273" s="18" t="s">
        <v>150</v>
      </c>
      <c r="V273" s="18" t="s">
        <v>40</v>
      </c>
      <c r="W273" s="18" t="s">
        <v>233</v>
      </c>
      <c r="X273" s="18" t="s">
        <v>234</v>
      </c>
      <c r="Y273" s="18">
        <v>1</v>
      </c>
      <c r="Z273" s="18">
        <v>2075000</v>
      </c>
      <c r="AA273" s="18" t="s">
        <v>953</v>
      </c>
      <c r="AB273" s="18" t="s">
        <v>954</v>
      </c>
      <c r="AC273" s="18" t="s">
        <v>163</v>
      </c>
    </row>
    <row r="274" s="18" customFormat="1" spans="1:29">
      <c r="A274" s="18" t="s">
        <v>955</v>
      </c>
      <c r="B274" s="25" t="s">
        <v>955</v>
      </c>
      <c r="C274" s="26">
        <v>45668</v>
      </c>
      <c r="D274" s="18" t="s">
        <v>559</v>
      </c>
      <c r="E274" s="18" t="str">
        <f t="shared" si="4"/>
        <v>Red Carpet Events And Entertainment</v>
      </c>
      <c r="F274" s="27" t="s">
        <v>560</v>
      </c>
      <c r="G274" s="18" t="s">
        <v>147</v>
      </c>
      <c r="H274" s="18" t="s">
        <v>148</v>
      </c>
      <c r="I274" s="18" t="s">
        <v>54</v>
      </c>
      <c r="J274" s="18" t="s">
        <v>249</v>
      </c>
      <c r="K274" s="18" t="s">
        <v>56</v>
      </c>
      <c r="L274" s="18" t="s">
        <v>36</v>
      </c>
      <c r="N274" s="18">
        <v>6</v>
      </c>
      <c r="O274" s="18" t="s">
        <v>88</v>
      </c>
      <c r="P274" s="18" t="s">
        <v>38</v>
      </c>
      <c r="Q274" s="18" t="s">
        <v>58</v>
      </c>
      <c r="R274" s="18" t="s">
        <v>59</v>
      </c>
      <c r="S274" s="18" t="s">
        <v>60</v>
      </c>
      <c r="T274" s="18" t="b">
        <v>1</v>
      </c>
      <c r="U274" s="18" t="s">
        <v>150</v>
      </c>
      <c r="V274" s="18" t="s">
        <v>40</v>
      </c>
      <c r="W274" s="18" t="s">
        <v>292</v>
      </c>
      <c r="X274" s="18" t="s">
        <v>293</v>
      </c>
      <c r="Y274" s="18">
        <v>1</v>
      </c>
      <c r="Z274" s="18">
        <v>40000</v>
      </c>
      <c r="AA274" s="18" t="s">
        <v>299</v>
      </c>
      <c r="AB274" s="18" t="s">
        <v>295</v>
      </c>
      <c r="AC274" s="18" t="e">
        <v>#N/A</v>
      </c>
    </row>
    <row r="275" s="18" customFormat="1" ht="29" spans="1:29">
      <c r="A275" s="18" t="s">
        <v>956</v>
      </c>
      <c r="B275" s="25" t="s">
        <v>956</v>
      </c>
      <c r="C275" s="26">
        <v>45668</v>
      </c>
      <c r="D275" s="18" t="s">
        <v>957</v>
      </c>
      <c r="E275" s="18" t="str">
        <f t="shared" si="4"/>
        <v>Artiligent Solutions Pvt Ltd</v>
      </c>
      <c r="F275" s="27" t="s">
        <v>958</v>
      </c>
      <c r="G275" s="18" t="s">
        <v>182</v>
      </c>
      <c r="H275" s="18" t="s">
        <v>183</v>
      </c>
      <c r="I275" s="18" t="s">
        <v>184</v>
      </c>
      <c r="J275" s="18" t="s">
        <v>916</v>
      </c>
      <c r="K275" s="18" t="s">
        <v>56</v>
      </c>
      <c r="L275" s="18" t="s">
        <v>36</v>
      </c>
      <c r="N275" s="18">
        <v>6</v>
      </c>
      <c r="O275" s="18" t="s">
        <v>88</v>
      </c>
      <c r="P275" s="18" t="s">
        <v>38</v>
      </c>
      <c r="Q275" s="18" t="s">
        <v>194</v>
      </c>
      <c r="R275" s="18" t="s">
        <v>59</v>
      </c>
      <c r="S275" s="18" t="s">
        <v>195</v>
      </c>
      <c r="T275" s="18" t="b">
        <v>0</v>
      </c>
      <c r="U275" s="18" t="s">
        <v>187</v>
      </c>
      <c r="V275" s="18" t="s">
        <v>40</v>
      </c>
      <c r="W275" s="18" t="s">
        <v>371</v>
      </c>
      <c r="X275" s="18" t="s">
        <v>372</v>
      </c>
      <c r="Y275" s="18">
        <v>1</v>
      </c>
      <c r="Z275" s="18">
        <v>110000</v>
      </c>
      <c r="AA275" s="31" t="s">
        <v>959</v>
      </c>
      <c r="AB275" s="18" t="s">
        <v>960</v>
      </c>
      <c r="AC275" s="18" t="s">
        <v>200</v>
      </c>
    </row>
    <row r="276" s="18" customFormat="1" ht="29" spans="1:29">
      <c r="A276" s="18" t="s">
        <v>961</v>
      </c>
      <c r="B276" s="25" t="s">
        <v>961</v>
      </c>
      <c r="C276" s="26">
        <v>45668</v>
      </c>
      <c r="D276" s="18" t="s">
        <v>192</v>
      </c>
      <c r="E276" s="18" t="str">
        <f t="shared" si="4"/>
        <v>Noaman Digital Partnership Firm</v>
      </c>
      <c r="F276" s="27" t="e">
        <v>#N/A</v>
      </c>
      <c r="G276" s="18" t="s">
        <v>182</v>
      </c>
      <c r="H276" s="18" t="s">
        <v>183</v>
      </c>
      <c r="I276" s="18" t="s">
        <v>184</v>
      </c>
      <c r="J276" s="18" t="s">
        <v>916</v>
      </c>
      <c r="K276" s="18" t="s">
        <v>56</v>
      </c>
      <c r="L276" s="18" t="s">
        <v>36</v>
      </c>
      <c r="N276" s="18">
        <v>6</v>
      </c>
      <c r="O276" s="18" t="s">
        <v>88</v>
      </c>
      <c r="P276" s="18" t="s">
        <v>38</v>
      </c>
      <c r="Q276" s="18" t="s">
        <v>194</v>
      </c>
      <c r="R276" s="18" t="s">
        <v>59</v>
      </c>
      <c r="S276" s="18" t="s">
        <v>195</v>
      </c>
      <c r="T276" s="18" t="b">
        <v>0</v>
      </c>
      <c r="U276" s="18" t="s">
        <v>187</v>
      </c>
      <c r="V276" s="18" t="s">
        <v>40</v>
      </c>
      <c r="W276" s="18" t="s">
        <v>196</v>
      </c>
      <c r="X276" s="18" t="s">
        <v>197</v>
      </c>
      <c r="Y276" s="18">
        <v>1</v>
      </c>
      <c r="Z276" s="18">
        <v>3780</v>
      </c>
      <c r="AA276" s="31" t="s">
        <v>962</v>
      </c>
      <c r="AB276" s="18" t="s">
        <v>963</v>
      </c>
      <c r="AC276" s="18" t="s">
        <v>200</v>
      </c>
    </row>
    <row r="277" s="18" customFormat="1" ht="29" spans="1:29">
      <c r="A277" s="18" t="s">
        <v>964</v>
      </c>
      <c r="B277" s="25" t="s">
        <v>964</v>
      </c>
      <c r="C277" s="26">
        <v>45668</v>
      </c>
      <c r="D277" s="18" t="s">
        <v>593</v>
      </c>
      <c r="E277" s="18" t="str">
        <f t="shared" si="4"/>
        <v>Sportocraft Enterprises</v>
      </c>
      <c r="F277" s="27" t="s">
        <v>594</v>
      </c>
      <c r="G277" s="18" t="s">
        <v>182</v>
      </c>
      <c r="H277" s="18" t="s">
        <v>183</v>
      </c>
      <c r="I277" s="18" t="s">
        <v>184</v>
      </c>
      <c r="J277" s="18" t="s">
        <v>916</v>
      </c>
      <c r="K277" s="18" t="s">
        <v>56</v>
      </c>
      <c r="L277" s="18" t="s">
        <v>36</v>
      </c>
      <c r="N277" s="18">
        <v>6</v>
      </c>
      <c r="O277" s="18" t="s">
        <v>88</v>
      </c>
      <c r="P277" s="18" t="s">
        <v>38</v>
      </c>
      <c r="Q277" s="18" t="s">
        <v>194</v>
      </c>
      <c r="R277" s="18" t="s">
        <v>59</v>
      </c>
      <c r="S277" s="18" t="s">
        <v>195</v>
      </c>
      <c r="T277" s="18" t="b">
        <v>0</v>
      </c>
      <c r="U277" s="18" t="s">
        <v>187</v>
      </c>
      <c r="V277" s="18" t="s">
        <v>40</v>
      </c>
      <c r="W277" s="18" t="s">
        <v>317</v>
      </c>
      <c r="X277" s="18" t="s">
        <v>318</v>
      </c>
      <c r="Y277" s="18">
        <v>1</v>
      </c>
      <c r="Z277" s="18">
        <v>2360</v>
      </c>
      <c r="AA277" s="31" t="s">
        <v>962</v>
      </c>
      <c r="AB277" s="18" t="s">
        <v>963</v>
      </c>
      <c r="AC277" s="18" t="s">
        <v>200</v>
      </c>
    </row>
    <row r="278" s="18" customFormat="1" ht="29" spans="1:29">
      <c r="A278" s="18" t="s">
        <v>965</v>
      </c>
      <c r="B278" s="25" t="s">
        <v>965</v>
      </c>
      <c r="C278" s="26">
        <v>45668</v>
      </c>
      <c r="D278" s="18" t="s">
        <v>966</v>
      </c>
      <c r="E278" s="18" t="str">
        <f t="shared" si="4"/>
        <v>Om Screen Art Events</v>
      </c>
      <c r="F278" s="27" t="s">
        <v>967</v>
      </c>
      <c r="G278" s="18" t="s">
        <v>182</v>
      </c>
      <c r="H278" s="18" t="s">
        <v>183</v>
      </c>
      <c r="I278" s="18" t="s">
        <v>184</v>
      </c>
      <c r="J278" s="18" t="s">
        <v>486</v>
      </c>
      <c r="K278" s="18" t="s">
        <v>56</v>
      </c>
      <c r="L278" s="18" t="s">
        <v>36</v>
      </c>
      <c r="N278" s="18">
        <v>6</v>
      </c>
      <c r="O278" s="18" t="s">
        <v>88</v>
      </c>
      <c r="P278" s="18" t="s">
        <v>38</v>
      </c>
      <c r="Q278" s="18" t="s">
        <v>58</v>
      </c>
      <c r="R278" s="18" t="s">
        <v>59</v>
      </c>
      <c r="S278" s="18" t="s">
        <v>60</v>
      </c>
      <c r="T278" s="18" t="b">
        <v>0</v>
      </c>
      <c r="U278" s="18" t="s">
        <v>187</v>
      </c>
      <c r="V278" s="18" t="s">
        <v>40</v>
      </c>
      <c r="W278" s="18" t="s">
        <v>151</v>
      </c>
      <c r="X278" s="18" t="s">
        <v>152</v>
      </c>
      <c r="Y278" s="18">
        <v>1</v>
      </c>
      <c r="Z278" s="18">
        <v>55000</v>
      </c>
      <c r="AA278" s="31" t="s">
        <v>968</v>
      </c>
      <c r="AB278" s="18" t="s">
        <v>969</v>
      </c>
      <c r="AC278" s="18" t="s">
        <v>200</v>
      </c>
    </row>
    <row r="279" s="18" customFormat="1" ht="29" spans="1:29">
      <c r="A279" s="18" t="s">
        <v>970</v>
      </c>
      <c r="B279" s="25" t="s">
        <v>970</v>
      </c>
      <c r="C279" s="26">
        <v>45668</v>
      </c>
      <c r="D279" s="18" t="s">
        <v>971</v>
      </c>
      <c r="E279" s="18" t="str">
        <f t="shared" si="4"/>
        <v>S T Sound System</v>
      </c>
      <c r="F279" s="27" t="s">
        <v>972</v>
      </c>
      <c r="G279" s="18" t="s">
        <v>182</v>
      </c>
      <c r="H279" s="18" t="s">
        <v>183</v>
      </c>
      <c r="I279" s="18" t="s">
        <v>184</v>
      </c>
      <c r="J279" s="18" t="s">
        <v>486</v>
      </c>
      <c r="K279" s="18" t="s">
        <v>56</v>
      </c>
      <c r="L279" s="18" t="s">
        <v>36</v>
      </c>
      <c r="N279" s="18">
        <v>6</v>
      </c>
      <c r="O279" s="18" t="s">
        <v>57</v>
      </c>
      <c r="P279" s="18" t="s">
        <v>38</v>
      </c>
      <c r="Q279" s="18" t="s">
        <v>58</v>
      </c>
      <c r="R279" s="18" t="s">
        <v>59</v>
      </c>
      <c r="S279" s="18" t="s">
        <v>60</v>
      </c>
      <c r="T279" s="18" t="b">
        <v>0</v>
      </c>
      <c r="U279" s="18" t="s">
        <v>187</v>
      </c>
      <c r="V279" s="18" t="s">
        <v>40</v>
      </c>
      <c r="W279" s="18" t="s">
        <v>371</v>
      </c>
      <c r="X279" s="18" t="s">
        <v>372</v>
      </c>
      <c r="Y279" s="18">
        <v>1</v>
      </c>
      <c r="Z279" s="18">
        <v>30000</v>
      </c>
      <c r="AA279" s="31" t="s">
        <v>968</v>
      </c>
      <c r="AB279" s="18" t="s">
        <v>969</v>
      </c>
      <c r="AC279" s="18" t="e">
        <v>#N/A</v>
      </c>
    </row>
    <row r="280" s="18" customFormat="1" ht="29" spans="1:29">
      <c r="A280" s="18" t="s">
        <v>973</v>
      </c>
      <c r="B280" s="25" t="s">
        <v>973</v>
      </c>
      <c r="C280" s="26">
        <v>45668</v>
      </c>
      <c r="D280" s="18" t="s">
        <v>974</v>
      </c>
      <c r="E280" s="18" t="str">
        <f t="shared" si="4"/>
        <v>Shiv Shakti Enterprises</v>
      </c>
      <c r="F280" s="27" t="s">
        <v>975</v>
      </c>
      <c r="G280" s="18" t="s">
        <v>182</v>
      </c>
      <c r="H280" s="18" t="s">
        <v>183</v>
      </c>
      <c r="I280" s="18" t="s">
        <v>184</v>
      </c>
      <c r="J280" s="18" t="s">
        <v>486</v>
      </c>
      <c r="K280" s="18" t="s">
        <v>56</v>
      </c>
      <c r="L280" s="18" t="s">
        <v>36</v>
      </c>
      <c r="N280" s="18">
        <v>6</v>
      </c>
      <c r="O280" s="18" t="s">
        <v>57</v>
      </c>
      <c r="P280" s="18" t="s">
        <v>38</v>
      </c>
      <c r="Q280" s="18" t="s">
        <v>58</v>
      </c>
      <c r="R280" s="18" t="s">
        <v>59</v>
      </c>
      <c r="S280" s="18" t="s">
        <v>60</v>
      </c>
      <c r="T280" s="18" t="b">
        <v>0</v>
      </c>
      <c r="U280" s="18" t="s">
        <v>187</v>
      </c>
      <c r="V280" s="18" t="s">
        <v>40</v>
      </c>
      <c r="W280" s="18" t="s">
        <v>371</v>
      </c>
      <c r="X280" s="18" t="s">
        <v>372</v>
      </c>
      <c r="Y280" s="18">
        <v>1</v>
      </c>
      <c r="Z280" s="18">
        <v>18000</v>
      </c>
      <c r="AA280" s="31" t="s">
        <v>968</v>
      </c>
      <c r="AB280" s="18" t="s">
        <v>969</v>
      </c>
      <c r="AC280" s="18" t="s">
        <v>200</v>
      </c>
    </row>
    <row r="281" s="18" customFormat="1" ht="29" spans="1:29">
      <c r="A281" s="18" t="s">
        <v>976</v>
      </c>
      <c r="B281" s="25" t="s">
        <v>976</v>
      </c>
      <c r="C281" s="26">
        <v>45668</v>
      </c>
      <c r="D281" s="18" t="s">
        <v>977</v>
      </c>
      <c r="E281" s="18" t="str">
        <f t="shared" si="4"/>
        <v>Videowaves</v>
      </c>
      <c r="F281" s="27" t="e">
        <v>#N/A</v>
      </c>
      <c r="G281" s="18" t="s">
        <v>182</v>
      </c>
      <c r="H281" s="18" t="s">
        <v>183</v>
      </c>
      <c r="I281" s="18" t="s">
        <v>184</v>
      </c>
      <c r="J281" s="18" t="s">
        <v>486</v>
      </c>
      <c r="K281" s="18" t="s">
        <v>56</v>
      </c>
      <c r="L281" s="18" t="s">
        <v>36</v>
      </c>
      <c r="N281" s="18">
        <v>6</v>
      </c>
      <c r="O281" s="18" t="s">
        <v>88</v>
      </c>
      <c r="P281" s="18" t="s">
        <v>38</v>
      </c>
      <c r="Q281" s="18" t="s">
        <v>58</v>
      </c>
      <c r="R281" s="18" t="s">
        <v>59</v>
      </c>
      <c r="S281" s="18" t="s">
        <v>60</v>
      </c>
      <c r="T281" s="18" t="b">
        <v>0</v>
      </c>
      <c r="U281" s="18" t="s">
        <v>187</v>
      </c>
      <c r="V281" s="18" t="s">
        <v>40</v>
      </c>
      <c r="W281" s="18" t="s">
        <v>371</v>
      </c>
      <c r="X281" s="18" t="s">
        <v>372</v>
      </c>
      <c r="Y281" s="18">
        <v>1</v>
      </c>
      <c r="Z281" s="18">
        <v>45000</v>
      </c>
      <c r="AA281" s="31" t="s">
        <v>968</v>
      </c>
      <c r="AB281" s="18" t="s">
        <v>969</v>
      </c>
      <c r="AC281" s="18" t="s">
        <v>200</v>
      </c>
    </row>
    <row r="282" s="18" customFormat="1" ht="29" spans="1:29">
      <c r="A282" s="18" t="s">
        <v>978</v>
      </c>
      <c r="B282" s="25" t="s">
        <v>978</v>
      </c>
      <c r="C282" s="26">
        <v>45668</v>
      </c>
      <c r="D282" s="18" t="s">
        <v>884</v>
      </c>
      <c r="E282" s="18" t="str">
        <f t="shared" si="4"/>
        <v>Vinit Video Vision</v>
      </c>
      <c r="F282" s="27" t="s">
        <v>885</v>
      </c>
      <c r="G282" s="18" t="s">
        <v>182</v>
      </c>
      <c r="H282" s="18" t="s">
        <v>183</v>
      </c>
      <c r="I282" s="18" t="s">
        <v>184</v>
      </c>
      <c r="J282" s="18" t="s">
        <v>486</v>
      </c>
      <c r="K282" s="18" t="s">
        <v>56</v>
      </c>
      <c r="L282" s="18" t="s">
        <v>36</v>
      </c>
      <c r="N282" s="18">
        <v>6</v>
      </c>
      <c r="O282" s="18" t="s">
        <v>57</v>
      </c>
      <c r="P282" s="18" t="s">
        <v>38</v>
      </c>
      <c r="Q282" s="18" t="s">
        <v>58</v>
      </c>
      <c r="R282" s="18" t="s">
        <v>59</v>
      </c>
      <c r="S282" s="18" t="s">
        <v>60</v>
      </c>
      <c r="T282" s="18" t="b">
        <v>0</v>
      </c>
      <c r="U282" s="18" t="s">
        <v>187</v>
      </c>
      <c r="V282" s="18" t="s">
        <v>40</v>
      </c>
      <c r="W282" s="18" t="s">
        <v>401</v>
      </c>
      <c r="X282" s="18" t="s">
        <v>402</v>
      </c>
      <c r="Y282" s="18">
        <v>1</v>
      </c>
      <c r="Z282" s="18">
        <v>9500</v>
      </c>
      <c r="AA282" s="31" t="s">
        <v>968</v>
      </c>
      <c r="AB282" s="18" t="s">
        <v>969</v>
      </c>
      <c r="AC282" s="18" t="s">
        <v>200</v>
      </c>
    </row>
    <row r="283" s="18" customFormat="1" ht="29" spans="1:29">
      <c r="A283" s="18" t="s">
        <v>979</v>
      </c>
      <c r="B283" s="25" t="s">
        <v>979</v>
      </c>
      <c r="C283" s="26">
        <v>45668</v>
      </c>
      <c r="D283" s="18" t="s">
        <v>572</v>
      </c>
      <c r="E283" s="18" t="str">
        <f t="shared" si="4"/>
        <v>Emblaze Events (Sunita Harihar Sharma)</v>
      </c>
      <c r="F283" s="27" t="s">
        <v>573</v>
      </c>
      <c r="G283" s="18" t="s">
        <v>182</v>
      </c>
      <c r="H283" s="18" t="s">
        <v>183</v>
      </c>
      <c r="I283" s="18" t="s">
        <v>184</v>
      </c>
      <c r="J283" s="18" t="s">
        <v>486</v>
      </c>
      <c r="K283" s="18" t="s">
        <v>56</v>
      </c>
      <c r="L283" s="18" t="s">
        <v>36</v>
      </c>
      <c r="N283" s="18">
        <v>6</v>
      </c>
      <c r="O283" s="18" t="s">
        <v>88</v>
      </c>
      <c r="P283" s="18" t="s">
        <v>38</v>
      </c>
      <c r="Q283" s="18" t="s">
        <v>58</v>
      </c>
      <c r="R283" s="18" t="s">
        <v>59</v>
      </c>
      <c r="S283" s="18" t="s">
        <v>60</v>
      </c>
      <c r="T283" s="18" t="b">
        <v>0</v>
      </c>
      <c r="U283" s="18" t="s">
        <v>187</v>
      </c>
      <c r="V283" s="18" t="s">
        <v>40</v>
      </c>
      <c r="W283" s="18" t="s">
        <v>292</v>
      </c>
      <c r="X283" s="18" t="s">
        <v>293</v>
      </c>
      <c r="Y283" s="18">
        <v>1</v>
      </c>
      <c r="Z283" s="18">
        <v>7100</v>
      </c>
      <c r="AA283" s="31" t="s">
        <v>968</v>
      </c>
      <c r="AB283" s="18" t="s">
        <v>969</v>
      </c>
      <c r="AC283" s="18" t="s">
        <v>200</v>
      </c>
    </row>
    <row r="284" s="18" customFormat="1" ht="29" spans="1:29">
      <c r="A284" s="18" t="s">
        <v>980</v>
      </c>
      <c r="B284" s="25" t="s">
        <v>980</v>
      </c>
      <c r="C284" s="26">
        <v>45668</v>
      </c>
      <c r="D284" s="18" t="s">
        <v>192</v>
      </c>
      <c r="E284" s="18" t="str">
        <f t="shared" si="4"/>
        <v>Noaman Digital Partnership Firm</v>
      </c>
      <c r="F284" s="27" t="e">
        <v>#N/A</v>
      </c>
      <c r="G284" s="18" t="s">
        <v>182</v>
      </c>
      <c r="H284" s="18" t="s">
        <v>183</v>
      </c>
      <c r="I284" s="18" t="s">
        <v>184</v>
      </c>
      <c r="J284" s="18" t="s">
        <v>486</v>
      </c>
      <c r="K284" s="18" t="s">
        <v>56</v>
      </c>
      <c r="L284" s="18" t="s">
        <v>36</v>
      </c>
      <c r="N284" s="18">
        <v>6</v>
      </c>
      <c r="O284" s="18" t="s">
        <v>88</v>
      </c>
      <c r="P284" s="18" t="s">
        <v>38</v>
      </c>
      <c r="Q284" s="18" t="s">
        <v>58</v>
      </c>
      <c r="R284" s="18" t="s">
        <v>59</v>
      </c>
      <c r="S284" s="18" t="s">
        <v>60</v>
      </c>
      <c r="T284" s="18" t="b">
        <v>0</v>
      </c>
      <c r="U284" s="18" t="s">
        <v>187</v>
      </c>
      <c r="V284" s="18" t="s">
        <v>40</v>
      </c>
      <c r="W284" s="18" t="s">
        <v>196</v>
      </c>
      <c r="X284" s="18" t="s">
        <v>197</v>
      </c>
      <c r="Y284" s="18">
        <v>1</v>
      </c>
      <c r="Z284" s="18">
        <v>10290</v>
      </c>
      <c r="AA284" s="31" t="s">
        <v>968</v>
      </c>
      <c r="AB284" s="18" t="s">
        <v>969</v>
      </c>
      <c r="AC284" s="18" t="s">
        <v>200</v>
      </c>
    </row>
    <row r="285" s="18" customFormat="1" ht="29" spans="1:29">
      <c r="A285" s="18" t="s">
        <v>981</v>
      </c>
      <c r="B285" s="25" t="s">
        <v>981</v>
      </c>
      <c r="C285" s="26">
        <v>45670</v>
      </c>
      <c r="D285" s="18" t="s">
        <v>982</v>
      </c>
      <c r="E285" s="18" t="str">
        <f t="shared" si="4"/>
        <v>Srikruthi C S</v>
      </c>
      <c r="F285" s="27" t="s">
        <v>983</v>
      </c>
      <c r="G285" s="18" t="s">
        <v>32</v>
      </c>
      <c r="H285" s="18" t="s">
        <v>33</v>
      </c>
      <c r="I285" s="18" t="s">
        <v>184</v>
      </c>
      <c r="J285" s="18" t="s">
        <v>728</v>
      </c>
      <c r="K285" s="18" t="s">
        <v>56</v>
      </c>
      <c r="L285" s="18" t="s">
        <v>36</v>
      </c>
      <c r="N285" s="18">
        <v>6</v>
      </c>
      <c r="O285" s="18" t="s">
        <v>57</v>
      </c>
      <c r="P285" s="18" t="s">
        <v>38</v>
      </c>
      <c r="Q285" s="18" t="s">
        <v>194</v>
      </c>
      <c r="R285" s="18" t="s">
        <v>59</v>
      </c>
      <c r="S285" s="18" t="s">
        <v>195</v>
      </c>
      <c r="T285" s="18" t="b">
        <v>1</v>
      </c>
      <c r="U285" s="18" t="s">
        <v>39</v>
      </c>
      <c r="V285" s="18" t="s">
        <v>40</v>
      </c>
      <c r="W285" s="18" t="s">
        <v>250</v>
      </c>
      <c r="X285" s="18" t="s">
        <v>251</v>
      </c>
      <c r="Y285" s="18">
        <v>1</v>
      </c>
      <c r="Z285" s="18">
        <v>60000</v>
      </c>
      <c r="AA285" s="31" t="s">
        <v>984</v>
      </c>
      <c r="AB285" s="18" t="s">
        <v>985</v>
      </c>
      <c r="AC285" s="18" t="s">
        <v>43</v>
      </c>
    </row>
    <row r="286" s="18" customFormat="1" spans="1:29">
      <c r="A286" s="18" t="s">
        <v>986</v>
      </c>
      <c r="B286" s="25" t="s">
        <v>986</v>
      </c>
      <c r="C286" s="26">
        <v>45670</v>
      </c>
      <c r="D286" s="18" t="s">
        <v>987</v>
      </c>
      <c r="E286" s="18" t="str">
        <f t="shared" si="4"/>
        <v>Neha Khemka  </v>
      </c>
      <c r="F286" s="27" t="e">
        <v>#N/A</v>
      </c>
      <c r="G286" s="18" t="s">
        <v>32</v>
      </c>
      <c r="H286" s="18" t="s">
        <v>33</v>
      </c>
      <c r="I286" s="18" t="s">
        <v>133</v>
      </c>
      <c r="J286" s="18" t="s">
        <v>125</v>
      </c>
      <c r="K286" s="18" t="s">
        <v>56</v>
      </c>
      <c r="L286" s="18" t="s">
        <v>36</v>
      </c>
      <c r="N286" s="18">
        <v>6</v>
      </c>
      <c r="O286" s="18" t="s">
        <v>93</v>
      </c>
      <c r="P286" s="18" t="s">
        <v>38</v>
      </c>
      <c r="Q286" s="18" t="s">
        <v>117</v>
      </c>
      <c r="R286" s="18" t="s">
        <v>59</v>
      </c>
      <c r="S286" s="18" t="s">
        <v>118</v>
      </c>
      <c r="T286" s="18" t="b">
        <v>1</v>
      </c>
      <c r="U286" s="18" t="s">
        <v>39</v>
      </c>
      <c r="V286" s="18" t="s">
        <v>40</v>
      </c>
      <c r="W286" s="18" t="s">
        <v>126</v>
      </c>
      <c r="X286" s="18" t="s">
        <v>127</v>
      </c>
      <c r="Y286" s="18">
        <v>1</v>
      </c>
      <c r="Z286" s="18">
        <v>28183</v>
      </c>
      <c r="AA286" s="18" t="s">
        <v>128</v>
      </c>
      <c r="AB286" s="18" t="s">
        <v>129</v>
      </c>
      <c r="AC286" s="18" t="e">
        <v>#N/A</v>
      </c>
    </row>
    <row r="287" s="18" customFormat="1" ht="29" spans="1:29">
      <c r="A287" s="18" t="s">
        <v>988</v>
      </c>
      <c r="B287" s="25" t="s">
        <v>988</v>
      </c>
      <c r="C287" s="26">
        <v>45670</v>
      </c>
      <c r="D287" s="18" t="s">
        <v>827</v>
      </c>
      <c r="E287" s="18" t="str">
        <f t="shared" si="4"/>
        <v>Infutech Solutions</v>
      </c>
      <c r="F287" s="27" t="s">
        <v>828</v>
      </c>
      <c r="G287" s="18" t="s">
        <v>32</v>
      </c>
      <c r="H287" s="18" t="s">
        <v>33</v>
      </c>
      <c r="I287" s="18" t="s">
        <v>184</v>
      </c>
      <c r="J287" s="18" t="s">
        <v>989</v>
      </c>
      <c r="K287" s="18" t="s">
        <v>56</v>
      </c>
      <c r="L287" s="18" t="s">
        <v>36</v>
      </c>
      <c r="N287" s="18">
        <v>6</v>
      </c>
      <c r="O287" s="18" t="s">
        <v>88</v>
      </c>
      <c r="P287" s="18" t="s">
        <v>38</v>
      </c>
      <c r="Q287" s="18" t="s">
        <v>194</v>
      </c>
      <c r="R287" s="18" t="s">
        <v>59</v>
      </c>
      <c r="S287" s="18" t="s">
        <v>195</v>
      </c>
      <c r="T287" s="18" t="b">
        <v>1</v>
      </c>
      <c r="U287" s="18" t="s">
        <v>39</v>
      </c>
      <c r="V287" s="18" t="s">
        <v>40</v>
      </c>
      <c r="W287" s="18" t="s">
        <v>990</v>
      </c>
      <c r="X287" s="18" t="s">
        <v>991</v>
      </c>
      <c r="Y287" s="18">
        <v>1</v>
      </c>
      <c r="Z287" s="18">
        <v>5500</v>
      </c>
      <c r="AA287" s="31" t="s">
        <v>992</v>
      </c>
      <c r="AB287" s="18" t="s">
        <v>993</v>
      </c>
      <c r="AC287" s="18" t="s">
        <v>43</v>
      </c>
    </row>
    <row r="288" s="18" customFormat="1" spans="1:29">
      <c r="A288" s="18" t="s">
        <v>994</v>
      </c>
      <c r="B288" s="25" t="s">
        <v>994</v>
      </c>
      <c r="C288" s="26">
        <v>45670</v>
      </c>
      <c r="D288" s="18" t="s">
        <v>124</v>
      </c>
      <c r="E288" s="18" t="str">
        <f t="shared" si="4"/>
        <v>Arun Kumar M  </v>
      </c>
      <c r="F288" s="27" t="e">
        <v>#N/A</v>
      </c>
      <c r="G288" s="18" t="s">
        <v>32</v>
      </c>
      <c r="H288" s="18" t="s">
        <v>33</v>
      </c>
      <c r="I288" s="18" t="s">
        <v>133</v>
      </c>
      <c r="J288" s="18" t="s">
        <v>995</v>
      </c>
      <c r="K288" s="18" t="s">
        <v>56</v>
      </c>
      <c r="L288" s="18" t="s">
        <v>36</v>
      </c>
      <c r="N288" s="18">
        <v>6</v>
      </c>
      <c r="O288" s="18" t="s">
        <v>93</v>
      </c>
      <c r="P288" s="18" t="s">
        <v>38</v>
      </c>
      <c r="Q288" s="18" t="s">
        <v>117</v>
      </c>
      <c r="R288" s="18" t="s">
        <v>59</v>
      </c>
      <c r="S288" s="18" t="s">
        <v>118</v>
      </c>
      <c r="T288" s="18" t="b">
        <v>1</v>
      </c>
      <c r="U288" s="18" t="s">
        <v>39</v>
      </c>
      <c r="V288" s="18" t="s">
        <v>40</v>
      </c>
      <c r="W288" s="18" t="s">
        <v>126</v>
      </c>
      <c r="X288" s="18" t="s">
        <v>127</v>
      </c>
      <c r="Y288" s="18">
        <v>1</v>
      </c>
      <c r="Z288" s="18">
        <v>205</v>
      </c>
      <c r="AA288" s="18" t="s">
        <v>501</v>
      </c>
      <c r="AB288" s="18" t="s">
        <v>502</v>
      </c>
      <c r="AC288" s="18" t="e">
        <v>#N/A</v>
      </c>
    </row>
    <row r="289" s="18" customFormat="1" spans="1:29">
      <c r="A289" s="18" t="s">
        <v>996</v>
      </c>
      <c r="B289" s="25" t="s">
        <v>996</v>
      </c>
      <c r="C289" s="26">
        <v>45670</v>
      </c>
      <c r="D289" s="18" t="s">
        <v>997</v>
      </c>
      <c r="E289" s="18" t="str">
        <f t="shared" si="4"/>
        <v>Atat Events And Entertainment Pvt Ltd</v>
      </c>
      <c r="F289" s="27" t="s">
        <v>998</v>
      </c>
      <c r="G289" s="18" t="s">
        <v>99</v>
      </c>
      <c r="H289" s="18" t="s">
        <v>100</v>
      </c>
      <c r="I289" s="18" t="s">
        <v>207</v>
      </c>
      <c r="J289" s="18" t="s">
        <v>240</v>
      </c>
      <c r="K289" s="18" t="s">
        <v>56</v>
      </c>
      <c r="L289" s="18" t="s">
        <v>36</v>
      </c>
      <c r="N289" s="18">
        <v>6</v>
      </c>
      <c r="O289" s="18" t="s">
        <v>88</v>
      </c>
      <c r="P289" s="18" t="s">
        <v>38</v>
      </c>
      <c r="Q289" s="18" t="s">
        <v>58</v>
      </c>
      <c r="R289" s="18" t="s">
        <v>59</v>
      </c>
      <c r="S289" s="18" t="s">
        <v>60</v>
      </c>
      <c r="T289" s="18" t="b">
        <v>1</v>
      </c>
      <c r="U289" s="18" t="s">
        <v>101</v>
      </c>
      <c r="V289" s="18" t="s">
        <v>40</v>
      </c>
      <c r="W289" s="18" t="s">
        <v>317</v>
      </c>
      <c r="X289" s="18" t="s">
        <v>318</v>
      </c>
      <c r="Y289" s="18">
        <v>1</v>
      </c>
      <c r="Z289" s="18">
        <v>290500</v>
      </c>
      <c r="AA289" s="18" t="s">
        <v>294</v>
      </c>
      <c r="AB289" s="18" t="s">
        <v>295</v>
      </c>
      <c r="AC289" s="18" t="s">
        <v>111</v>
      </c>
    </row>
    <row r="290" s="18" customFormat="1" spans="1:29">
      <c r="A290" s="18" t="s">
        <v>999</v>
      </c>
      <c r="B290" s="25" t="s">
        <v>999</v>
      </c>
      <c r="C290" s="26">
        <v>45670</v>
      </c>
      <c r="D290" s="18" t="s">
        <v>559</v>
      </c>
      <c r="E290" s="18" t="str">
        <f t="shared" si="4"/>
        <v>Red Carpet Events And Entertainment</v>
      </c>
      <c r="F290" s="27" t="s">
        <v>560</v>
      </c>
      <c r="G290" s="18" t="s">
        <v>147</v>
      </c>
      <c r="H290" s="18" t="s">
        <v>148</v>
      </c>
      <c r="I290" s="18" t="s">
        <v>207</v>
      </c>
      <c r="J290" s="18" t="s">
        <v>240</v>
      </c>
      <c r="K290" s="18" t="s">
        <v>56</v>
      </c>
      <c r="L290" s="18" t="s">
        <v>36</v>
      </c>
      <c r="N290" s="18">
        <v>6</v>
      </c>
      <c r="O290" s="18" t="s">
        <v>88</v>
      </c>
      <c r="P290" s="18" t="s">
        <v>38</v>
      </c>
      <c r="Q290" s="18" t="s">
        <v>58</v>
      </c>
      <c r="R290" s="18" t="s">
        <v>59</v>
      </c>
      <c r="S290" s="18" t="s">
        <v>60</v>
      </c>
      <c r="T290" s="18" t="b">
        <v>1</v>
      </c>
      <c r="U290" s="18" t="s">
        <v>150</v>
      </c>
      <c r="V290" s="18" t="s">
        <v>40</v>
      </c>
      <c r="W290" s="18" t="s">
        <v>292</v>
      </c>
      <c r="X290" s="18" t="s">
        <v>293</v>
      </c>
      <c r="Y290" s="18">
        <v>1</v>
      </c>
      <c r="Z290" s="18">
        <v>4000</v>
      </c>
      <c r="AA290" s="18" t="s">
        <v>294</v>
      </c>
      <c r="AB290" s="18" t="s">
        <v>295</v>
      </c>
      <c r="AC290" s="18" t="e">
        <v>#N/A</v>
      </c>
    </row>
    <row r="291" s="18" customFormat="1" spans="1:29">
      <c r="A291" s="18" t="s">
        <v>1000</v>
      </c>
      <c r="B291" s="25" t="s">
        <v>1000</v>
      </c>
      <c r="C291" s="26">
        <v>45670</v>
      </c>
      <c r="D291" s="18" t="s">
        <v>1001</v>
      </c>
      <c r="E291" s="18" t="str">
        <f t="shared" si="4"/>
        <v>Unveil Solutions Pvt Ltd</v>
      </c>
      <c r="F291" s="27" t="s">
        <v>1002</v>
      </c>
      <c r="G291" s="18" t="s">
        <v>147</v>
      </c>
      <c r="H291" s="18" t="s">
        <v>148</v>
      </c>
      <c r="I291" s="18" t="s">
        <v>207</v>
      </c>
      <c r="J291" s="18" t="s">
        <v>466</v>
      </c>
      <c r="K291" s="18" t="s">
        <v>56</v>
      </c>
      <c r="L291" s="18" t="s">
        <v>36</v>
      </c>
      <c r="N291" s="18">
        <v>6</v>
      </c>
      <c r="O291" s="18" t="s">
        <v>57</v>
      </c>
      <c r="P291" s="18" t="s">
        <v>38</v>
      </c>
      <c r="Q291" s="18" t="s">
        <v>58</v>
      </c>
      <c r="R291" s="18" t="s">
        <v>59</v>
      </c>
      <c r="S291" s="18" t="s">
        <v>60</v>
      </c>
      <c r="T291" s="18" t="b">
        <v>1</v>
      </c>
      <c r="U291" s="18" t="s">
        <v>150</v>
      </c>
      <c r="V291" s="18" t="s">
        <v>40</v>
      </c>
      <c r="W291" s="18" t="s">
        <v>233</v>
      </c>
      <c r="X291" s="18" t="s">
        <v>234</v>
      </c>
      <c r="Y291" s="18">
        <v>1</v>
      </c>
      <c r="Z291" s="18">
        <v>124950</v>
      </c>
      <c r="AA291" s="18" t="s">
        <v>463</v>
      </c>
      <c r="AB291" s="18" t="s">
        <v>464</v>
      </c>
      <c r="AC291" s="18" t="s">
        <v>163</v>
      </c>
    </row>
    <row r="292" s="18" customFormat="1" spans="1:29">
      <c r="A292" s="18" t="s">
        <v>1003</v>
      </c>
      <c r="B292" s="25" t="s">
        <v>1003</v>
      </c>
      <c r="C292" s="26">
        <v>45670</v>
      </c>
      <c r="D292" s="18" t="s">
        <v>678</v>
      </c>
      <c r="E292" s="18" t="str">
        <f t="shared" si="4"/>
        <v>Corporate Gift</v>
      </c>
      <c r="F292" s="27" t="s">
        <v>679</v>
      </c>
      <c r="G292" s="18" t="s">
        <v>147</v>
      </c>
      <c r="H292" s="18" t="s">
        <v>148</v>
      </c>
      <c r="I292" s="18" t="s">
        <v>207</v>
      </c>
      <c r="J292" s="18" t="s">
        <v>466</v>
      </c>
      <c r="K292" s="18" t="s">
        <v>56</v>
      </c>
      <c r="L292" s="18" t="s">
        <v>36</v>
      </c>
      <c r="N292" s="18">
        <v>6</v>
      </c>
      <c r="O292" s="18" t="s">
        <v>88</v>
      </c>
      <c r="P292" s="18" t="s">
        <v>38</v>
      </c>
      <c r="Q292" s="18" t="s">
        <v>58</v>
      </c>
      <c r="R292" s="18" t="s">
        <v>59</v>
      </c>
      <c r="S292" s="18" t="s">
        <v>60</v>
      </c>
      <c r="T292" s="18" t="b">
        <v>1</v>
      </c>
      <c r="U292" s="18" t="s">
        <v>150</v>
      </c>
      <c r="V292" s="18" t="s">
        <v>40</v>
      </c>
      <c r="W292" s="18" t="s">
        <v>140</v>
      </c>
      <c r="X292" s="18" t="s">
        <v>141</v>
      </c>
      <c r="Y292" s="18">
        <v>1</v>
      </c>
      <c r="Z292" s="18">
        <v>390250</v>
      </c>
      <c r="AA292" s="18" t="s">
        <v>463</v>
      </c>
      <c r="AB292" s="18" t="s">
        <v>464</v>
      </c>
      <c r="AC292" s="18" t="s">
        <v>163</v>
      </c>
    </row>
    <row r="293" s="18" customFormat="1" ht="29" spans="1:29">
      <c r="A293" s="18" t="s">
        <v>1004</v>
      </c>
      <c r="B293" s="25" t="s">
        <v>1004</v>
      </c>
      <c r="C293" s="26">
        <v>45670</v>
      </c>
      <c r="D293" s="18" t="s">
        <v>1005</v>
      </c>
      <c r="E293" s="18" t="str">
        <f t="shared" si="4"/>
        <v>Cockpitmarx </v>
      </c>
      <c r="F293" s="27" t="e">
        <v>#N/A</v>
      </c>
      <c r="G293" s="18" t="s">
        <v>147</v>
      </c>
      <c r="H293" s="18" t="s">
        <v>148</v>
      </c>
      <c r="I293" s="18" t="s">
        <v>184</v>
      </c>
      <c r="J293" s="18" t="s">
        <v>1006</v>
      </c>
      <c r="K293" s="18" t="s">
        <v>56</v>
      </c>
      <c r="L293" s="18" t="s">
        <v>36</v>
      </c>
      <c r="N293" s="18">
        <v>6</v>
      </c>
      <c r="O293" s="18" t="s">
        <v>88</v>
      </c>
      <c r="P293" s="18" t="s">
        <v>38</v>
      </c>
      <c r="Q293" s="18" t="s">
        <v>117</v>
      </c>
      <c r="R293" s="18" t="s">
        <v>59</v>
      </c>
      <c r="S293" s="18" t="s">
        <v>186</v>
      </c>
      <c r="T293" s="18" t="b">
        <v>1</v>
      </c>
      <c r="U293" s="18" t="s">
        <v>150</v>
      </c>
      <c r="V293" s="18" t="s">
        <v>40</v>
      </c>
      <c r="W293" s="18" t="s">
        <v>317</v>
      </c>
      <c r="X293" s="18" t="s">
        <v>318</v>
      </c>
      <c r="Y293" s="18">
        <v>1</v>
      </c>
      <c r="Z293" s="18">
        <v>2572874</v>
      </c>
      <c r="AA293" s="31" t="s">
        <v>1007</v>
      </c>
      <c r="AB293" s="18" t="s">
        <v>1008</v>
      </c>
      <c r="AC293" s="18" t="s">
        <v>163</v>
      </c>
    </row>
    <row r="294" s="18" customFormat="1" spans="1:29">
      <c r="A294" s="18" t="s">
        <v>1009</v>
      </c>
      <c r="B294" s="25" t="s">
        <v>1009</v>
      </c>
      <c r="C294" s="26">
        <v>45670</v>
      </c>
      <c r="D294" s="18" t="s">
        <v>1010</v>
      </c>
      <c r="E294" s="18" t="str">
        <f t="shared" si="4"/>
        <v>Anchor Connect</v>
      </c>
      <c r="F294" s="27" t="s">
        <v>1011</v>
      </c>
      <c r="G294" s="18" t="s">
        <v>147</v>
      </c>
      <c r="H294" s="18" t="s">
        <v>148</v>
      </c>
      <c r="I294" s="18" t="s">
        <v>207</v>
      </c>
      <c r="J294" s="18" t="s">
        <v>240</v>
      </c>
      <c r="K294" s="18" t="s">
        <v>56</v>
      </c>
      <c r="L294" s="18" t="s">
        <v>36</v>
      </c>
      <c r="N294" s="18">
        <v>6</v>
      </c>
      <c r="O294" s="18" t="s">
        <v>57</v>
      </c>
      <c r="P294" s="18" t="s">
        <v>38</v>
      </c>
      <c r="Q294" s="18" t="s">
        <v>58</v>
      </c>
      <c r="R294" s="18" t="s">
        <v>59</v>
      </c>
      <c r="S294" s="18" t="s">
        <v>60</v>
      </c>
      <c r="T294" s="18" t="b">
        <v>1</v>
      </c>
      <c r="U294" s="18" t="s">
        <v>150</v>
      </c>
      <c r="V294" s="18" t="s">
        <v>40</v>
      </c>
      <c r="W294" s="18" t="s">
        <v>250</v>
      </c>
      <c r="X294" s="18" t="s">
        <v>251</v>
      </c>
      <c r="Y294" s="18">
        <v>1</v>
      </c>
      <c r="Z294" s="18">
        <v>300000</v>
      </c>
      <c r="AA294" s="18" t="s">
        <v>1012</v>
      </c>
      <c r="AB294" s="18" t="s">
        <v>295</v>
      </c>
      <c r="AC294" s="18" t="s">
        <v>163</v>
      </c>
    </row>
    <row r="295" s="18" customFormat="1" spans="1:29">
      <c r="A295" s="18" t="s">
        <v>1013</v>
      </c>
      <c r="B295" s="25" t="s">
        <v>1013</v>
      </c>
      <c r="C295" s="26">
        <v>45670</v>
      </c>
      <c r="D295" s="18" t="s">
        <v>1014</v>
      </c>
      <c r="E295" s="18" t="str">
        <f t="shared" si="4"/>
        <v>Zpay Solutions Private Limited</v>
      </c>
      <c r="F295" s="27" t="e">
        <v>#N/A</v>
      </c>
      <c r="G295" s="18" t="s">
        <v>147</v>
      </c>
      <c r="H295" s="18" t="s">
        <v>148</v>
      </c>
      <c r="I295" s="18" t="s">
        <v>207</v>
      </c>
      <c r="J295" s="18" t="s">
        <v>240</v>
      </c>
      <c r="K295" s="18" t="s">
        <v>56</v>
      </c>
      <c r="L295" s="18" t="s">
        <v>36</v>
      </c>
      <c r="N295" s="18">
        <v>6</v>
      </c>
      <c r="O295" s="18" t="s">
        <v>88</v>
      </c>
      <c r="P295" s="18" t="s">
        <v>38</v>
      </c>
      <c r="Q295" s="18" t="s">
        <v>58</v>
      </c>
      <c r="R295" s="18" t="s">
        <v>59</v>
      </c>
      <c r="S295" s="18" t="s">
        <v>60</v>
      </c>
      <c r="T295" s="18" t="b">
        <v>1</v>
      </c>
      <c r="U295" s="18" t="s">
        <v>150</v>
      </c>
      <c r="V295" s="18" t="s">
        <v>40</v>
      </c>
      <c r="W295" s="18" t="s">
        <v>140</v>
      </c>
      <c r="X295" s="18" t="s">
        <v>141</v>
      </c>
      <c r="Y295" s="18">
        <v>1</v>
      </c>
      <c r="Z295" s="18">
        <v>1200500</v>
      </c>
      <c r="AA295" s="18" t="s">
        <v>1015</v>
      </c>
      <c r="AB295" s="18" t="s">
        <v>1016</v>
      </c>
      <c r="AC295" s="18" t="e">
        <v>#N/A</v>
      </c>
    </row>
    <row r="296" s="18" customFormat="1" spans="1:29">
      <c r="A296" s="18" t="s">
        <v>1017</v>
      </c>
      <c r="B296" s="25" t="s">
        <v>1017</v>
      </c>
      <c r="C296" s="26">
        <v>45670</v>
      </c>
      <c r="D296" s="18" t="s">
        <v>760</v>
      </c>
      <c r="E296" s="18" t="str">
        <f t="shared" si="4"/>
        <v>Complete Solutions Tour And Travels Pvt Ltd</v>
      </c>
      <c r="F296" s="27" t="s">
        <v>761</v>
      </c>
      <c r="G296" s="18" t="s">
        <v>147</v>
      </c>
      <c r="H296" s="18" t="s">
        <v>148</v>
      </c>
      <c r="I296" s="18" t="s">
        <v>207</v>
      </c>
      <c r="J296" s="18" t="s">
        <v>275</v>
      </c>
      <c r="K296" s="18" t="s">
        <v>56</v>
      </c>
      <c r="L296" s="18" t="s">
        <v>36</v>
      </c>
      <c r="N296" s="18">
        <v>6</v>
      </c>
      <c r="O296" s="18" t="s">
        <v>88</v>
      </c>
      <c r="P296" s="18" t="s">
        <v>38</v>
      </c>
      <c r="Q296" s="18" t="s">
        <v>58</v>
      </c>
      <c r="R296" s="18" t="s">
        <v>59</v>
      </c>
      <c r="S296" s="18" t="s">
        <v>60</v>
      </c>
      <c r="T296" s="18" t="b">
        <v>1</v>
      </c>
      <c r="U296" s="18" t="s">
        <v>150</v>
      </c>
      <c r="V296" s="18" t="s">
        <v>40</v>
      </c>
      <c r="W296" s="18" t="s">
        <v>119</v>
      </c>
      <c r="X296" s="18" t="s">
        <v>120</v>
      </c>
      <c r="Y296" s="18">
        <v>1</v>
      </c>
      <c r="Z296" s="18">
        <v>78211</v>
      </c>
      <c r="AA296" s="18" t="s">
        <v>1018</v>
      </c>
      <c r="AB296" s="18" t="s">
        <v>143</v>
      </c>
      <c r="AC296" s="18" t="s">
        <v>764</v>
      </c>
    </row>
    <row r="297" s="18" customFormat="1" spans="1:29">
      <c r="A297" s="18" t="s">
        <v>1019</v>
      </c>
      <c r="B297" s="25" t="s">
        <v>1019</v>
      </c>
      <c r="C297" s="26">
        <v>45670</v>
      </c>
      <c r="D297" s="18" t="s">
        <v>1020</v>
      </c>
      <c r="E297" s="18" t="str">
        <f t="shared" si="4"/>
        <v>Pankaj Lohini</v>
      </c>
      <c r="F297" s="27" t="s">
        <v>1021</v>
      </c>
      <c r="G297" s="18" t="s">
        <v>147</v>
      </c>
      <c r="H297" s="18" t="s">
        <v>148</v>
      </c>
      <c r="I297" s="18" t="s">
        <v>54</v>
      </c>
      <c r="J297" s="18" t="s">
        <v>149</v>
      </c>
      <c r="K297" s="18" t="s">
        <v>56</v>
      </c>
      <c r="L297" s="18" t="s">
        <v>36</v>
      </c>
      <c r="N297" s="18">
        <v>6</v>
      </c>
      <c r="O297" s="18" t="s">
        <v>93</v>
      </c>
      <c r="P297" s="18" t="s">
        <v>38</v>
      </c>
      <c r="Q297" s="18" t="s">
        <v>58</v>
      </c>
      <c r="R297" s="18" t="s">
        <v>59</v>
      </c>
      <c r="S297" s="18" t="s">
        <v>60</v>
      </c>
      <c r="T297" s="18" t="b">
        <v>1</v>
      </c>
      <c r="U297" s="18" t="s">
        <v>150</v>
      </c>
      <c r="V297" s="18" t="s">
        <v>40</v>
      </c>
      <c r="W297" s="18" t="s">
        <v>347</v>
      </c>
      <c r="X297" s="18" t="s">
        <v>348</v>
      </c>
      <c r="Y297" s="18">
        <v>1</v>
      </c>
      <c r="Z297" s="18">
        <v>22258</v>
      </c>
      <c r="AA297" s="18" t="s">
        <v>1022</v>
      </c>
      <c r="AB297" s="18" t="s">
        <v>228</v>
      </c>
      <c r="AC297" s="18" t="e">
        <v>#N/A</v>
      </c>
    </row>
    <row r="298" s="18" customFormat="1" spans="1:29">
      <c r="A298" s="18" t="s">
        <v>1023</v>
      </c>
      <c r="B298" s="25" t="s">
        <v>1023</v>
      </c>
      <c r="C298" s="26">
        <v>45670</v>
      </c>
      <c r="D298" s="18" t="s">
        <v>1024</v>
      </c>
      <c r="E298" s="18" t="str">
        <f t="shared" si="4"/>
        <v>Kanupriya Aggarwal  </v>
      </c>
      <c r="F298" s="27" t="e">
        <v>#N/A</v>
      </c>
      <c r="G298" s="18" t="s">
        <v>147</v>
      </c>
      <c r="H298" s="18" t="s">
        <v>148</v>
      </c>
      <c r="I298" s="18" t="s">
        <v>54</v>
      </c>
      <c r="J298" s="18" t="s">
        <v>310</v>
      </c>
      <c r="K298" s="18" t="s">
        <v>56</v>
      </c>
      <c r="L298" s="18" t="s">
        <v>36</v>
      </c>
      <c r="N298" s="18">
        <v>6</v>
      </c>
      <c r="O298" s="18" t="s">
        <v>93</v>
      </c>
      <c r="P298" s="18" t="s">
        <v>38</v>
      </c>
      <c r="Q298" s="18" t="s">
        <v>58</v>
      </c>
      <c r="R298" s="18" t="s">
        <v>59</v>
      </c>
      <c r="S298" s="18" t="s">
        <v>60</v>
      </c>
      <c r="T298" s="18" t="b">
        <v>1</v>
      </c>
      <c r="U298" s="18" t="s">
        <v>150</v>
      </c>
      <c r="V298" s="18" t="s">
        <v>40</v>
      </c>
      <c r="W298" s="18" t="s">
        <v>126</v>
      </c>
      <c r="X298" s="18" t="s">
        <v>127</v>
      </c>
      <c r="Y298" s="18">
        <v>1</v>
      </c>
      <c r="Z298" s="18">
        <v>2376</v>
      </c>
      <c r="AA298" s="18" t="s">
        <v>1025</v>
      </c>
      <c r="AB298" s="18" t="s">
        <v>1026</v>
      </c>
      <c r="AC298" s="18" t="e">
        <v>#N/A</v>
      </c>
    </row>
    <row r="299" s="18" customFormat="1" spans="1:29">
      <c r="A299" s="18" t="s">
        <v>1027</v>
      </c>
      <c r="B299" s="25" t="s">
        <v>1027</v>
      </c>
      <c r="C299" s="26">
        <v>45670</v>
      </c>
      <c r="D299" s="18" t="s">
        <v>1024</v>
      </c>
      <c r="E299" s="18" t="str">
        <f t="shared" si="4"/>
        <v>Kanupriya Aggarwal  </v>
      </c>
      <c r="F299" s="27" t="e">
        <v>#N/A</v>
      </c>
      <c r="G299" s="18" t="s">
        <v>147</v>
      </c>
      <c r="H299" s="18" t="s">
        <v>148</v>
      </c>
      <c r="I299" s="18" t="s">
        <v>54</v>
      </c>
      <c r="J299" s="18" t="s">
        <v>55</v>
      </c>
      <c r="K299" s="18" t="s">
        <v>56</v>
      </c>
      <c r="L299" s="18" t="s">
        <v>36</v>
      </c>
      <c r="N299" s="18">
        <v>6</v>
      </c>
      <c r="O299" s="18" t="s">
        <v>93</v>
      </c>
      <c r="P299" s="18" t="s">
        <v>38</v>
      </c>
      <c r="Q299" s="18" t="s">
        <v>58</v>
      </c>
      <c r="R299" s="18" t="s">
        <v>59</v>
      </c>
      <c r="S299" s="18" t="s">
        <v>60</v>
      </c>
      <c r="T299" s="18" t="b">
        <v>1</v>
      </c>
      <c r="U299" s="18" t="s">
        <v>150</v>
      </c>
      <c r="V299" s="18" t="s">
        <v>40</v>
      </c>
      <c r="W299" s="18" t="s">
        <v>126</v>
      </c>
      <c r="X299" s="18" t="s">
        <v>127</v>
      </c>
      <c r="Y299" s="18">
        <v>1</v>
      </c>
      <c r="Z299" s="18">
        <v>2394</v>
      </c>
      <c r="AA299" s="18" t="s">
        <v>1025</v>
      </c>
      <c r="AB299" s="18" t="s">
        <v>1026</v>
      </c>
      <c r="AC299" s="18" t="e">
        <v>#N/A</v>
      </c>
    </row>
    <row r="300" s="18" customFormat="1" spans="1:29">
      <c r="A300" s="18" t="s">
        <v>1028</v>
      </c>
      <c r="B300" s="25" t="s">
        <v>1028</v>
      </c>
      <c r="C300" s="26">
        <v>45670</v>
      </c>
      <c r="D300" s="18" t="s">
        <v>1029</v>
      </c>
      <c r="E300" s="18" t="str">
        <f t="shared" si="4"/>
        <v>Pankaj Kumar Mishra  </v>
      </c>
      <c r="F300" s="27" t="e">
        <v>#N/A</v>
      </c>
      <c r="G300" s="18" t="s">
        <v>147</v>
      </c>
      <c r="H300" s="18" t="s">
        <v>148</v>
      </c>
      <c r="I300" s="18" t="s">
        <v>54</v>
      </c>
      <c r="J300" s="18" t="s">
        <v>55</v>
      </c>
      <c r="K300" s="18" t="s">
        <v>56</v>
      </c>
      <c r="L300" s="18" t="s">
        <v>36</v>
      </c>
      <c r="N300" s="18">
        <v>6</v>
      </c>
      <c r="O300" s="18" t="s">
        <v>93</v>
      </c>
      <c r="P300" s="18" t="s">
        <v>38</v>
      </c>
      <c r="Q300" s="18" t="s">
        <v>58</v>
      </c>
      <c r="R300" s="18" t="s">
        <v>59</v>
      </c>
      <c r="S300" s="18" t="s">
        <v>60</v>
      </c>
      <c r="T300" s="18" t="b">
        <v>1</v>
      </c>
      <c r="U300" s="18" t="s">
        <v>150</v>
      </c>
      <c r="V300" s="18" t="s">
        <v>40</v>
      </c>
      <c r="W300" s="18" t="s">
        <v>126</v>
      </c>
      <c r="X300" s="18" t="s">
        <v>127</v>
      </c>
      <c r="Y300" s="18">
        <v>1</v>
      </c>
      <c r="Z300" s="18">
        <v>3270</v>
      </c>
      <c r="AA300" s="18" t="s">
        <v>227</v>
      </c>
      <c r="AB300" s="18" t="s">
        <v>228</v>
      </c>
      <c r="AC300" s="18" t="e">
        <v>#N/A</v>
      </c>
    </row>
    <row r="301" s="18" customFormat="1" ht="29" spans="1:29">
      <c r="A301" s="18" t="s">
        <v>1030</v>
      </c>
      <c r="B301" s="25" t="s">
        <v>1030</v>
      </c>
      <c r="C301" s="26">
        <v>45670</v>
      </c>
      <c r="D301" s="18" t="s">
        <v>1031</v>
      </c>
      <c r="E301" s="18" t="str">
        <f t="shared" si="4"/>
        <v>Genesis Infoserve Pvt Ltd</v>
      </c>
      <c r="F301" s="27" t="s">
        <v>1032</v>
      </c>
      <c r="G301" s="18" t="s">
        <v>182</v>
      </c>
      <c r="H301" s="18" t="s">
        <v>473</v>
      </c>
      <c r="I301" s="18" t="s">
        <v>184</v>
      </c>
      <c r="K301" s="18" t="s">
        <v>35</v>
      </c>
      <c r="L301" s="18" t="s">
        <v>36</v>
      </c>
      <c r="N301" s="18">
        <v>6</v>
      </c>
      <c r="O301" s="18" t="s">
        <v>88</v>
      </c>
      <c r="P301" s="18" t="s">
        <v>38</v>
      </c>
      <c r="T301" s="18" t="b">
        <v>0</v>
      </c>
      <c r="U301" s="18" t="s">
        <v>187</v>
      </c>
      <c r="V301" s="18" t="s">
        <v>40</v>
      </c>
      <c r="W301" s="18" t="s">
        <v>1033</v>
      </c>
      <c r="X301" s="18" t="s">
        <v>1033</v>
      </c>
      <c r="Y301" s="18">
        <v>2</v>
      </c>
      <c r="Z301" s="18">
        <v>83000</v>
      </c>
      <c r="AA301" s="31" t="s">
        <v>992</v>
      </c>
      <c r="AB301" s="18" t="s">
        <v>993</v>
      </c>
      <c r="AC301" s="18" t="s">
        <v>200</v>
      </c>
    </row>
    <row r="302" s="18" customFormat="1" spans="1:29">
      <c r="A302" s="18" t="s">
        <v>1034</v>
      </c>
      <c r="B302" s="25" t="s">
        <v>1034</v>
      </c>
      <c r="C302" s="26">
        <v>45670</v>
      </c>
      <c r="D302" s="18" t="s">
        <v>1035</v>
      </c>
      <c r="E302" s="18" t="str">
        <f t="shared" si="4"/>
        <v>Nikhita Vora  </v>
      </c>
      <c r="F302" s="27" t="e">
        <v>#N/A</v>
      </c>
      <c r="G302" s="18" t="s">
        <v>182</v>
      </c>
      <c r="H302" s="18" t="s">
        <v>183</v>
      </c>
      <c r="I302" s="18" t="s">
        <v>481</v>
      </c>
      <c r="J302" s="18" t="s">
        <v>486</v>
      </c>
      <c r="K302" s="18" t="s">
        <v>56</v>
      </c>
      <c r="L302" s="18" t="s">
        <v>36</v>
      </c>
      <c r="N302" s="18">
        <v>6</v>
      </c>
      <c r="O302" s="18" t="s">
        <v>93</v>
      </c>
      <c r="P302" s="18" t="s">
        <v>38</v>
      </c>
      <c r="Q302" s="18" t="s">
        <v>58</v>
      </c>
      <c r="R302" s="18" t="s">
        <v>59</v>
      </c>
      <c r="S302" s="18" t="s">
        <v>60</v>
      </c>
      <c r="T302" s="18" t="b">
        <v>0</v>
      </c>
      <c r="U302" s="18" t="s">
        <v>187</v>
      </c>
      <c r="V302" s="18" t="s">
        <v>40</v>
      </c>
      <c r="W302" s="18" t="s">
        <v>126</v>
      </c>
      <c r="X302" s="18" t="s">
        <v>127</v>
      </c>
      <c r="Y302" s="18">
        <v>1</v>
      </c>
      <c r="Z302" s="18">
        <v>992</v>
      </c>
      <c r="AC302" s="18" t="e">
        <v>#N/A</v>
      </c>
    </row>
    <row r="303" s="18" customFormat="1" spans="1:29">
      <c r="A303" s="18" t="s">
        <v>1036</v>
      </c>
      <c r="B303" s="25" t="s">
        <v>1036</v>
      </c>
      <c r="C303" s="26">
        <v>45670</v>
      </c>
      <c r="D303" s="18" t="s">
        <v>869</v>
      </c>
      <c r="E303" s="18" t="str">
        <f t="shared" si="4"/>
        <v>6Th Wall Production Pvt Ltd</v>
      </c>
      <c r="F303" s="27" t="s">
        <v>870</v>
      </c>
      <c r="G303" s="18" t="s">
        <v>182</v>
      </c>
      <c r="H303" s="18" t="s">
        <v>183</v>
      </c>
      <c r="I303" s="18" t="s">
        <v>207</v>
      </c>
      <c r="J303" s="18" t="s">
        <v>240</v>
      </c>
      <c r="K303" s="18" t="s">
        <v>56</v>
      </c>
      <c r="L303" s="18" t="s">
        <v>36</v>
      </c>
      <c r="N303" s="18">
        <v>6</v>
      </c>
      <c r="O303" s="18" t="s">
        <v>88</v>
      </c>
      <c r="P303" s="18" t="s">
        <v>38</v>
      </c>
      <c r="Q303" s="18" t="s">
        <v>58</v>
      </c>
      <c r="R303" s="18" t="s">
        <v>59</v>
      </c>
      <c r="S303" s="18" t="s">
        <v>60</v>
      </c>
      <c r="T303" s="18" t="b">
        <v>0</v>
      </c>
      <c r="U303" s="18" t="s">
        <v>187</v>
      </c>
      <c r="V303" s="18" t="s">
        <v>40</v>
      </c>
      <c r="W303" s="18" t="s">
        <v>151</v>
      </c>
      <c r="X303" s="18" t="s">
        <v>152</v>
      </c>
      <c r="Y303" s="18">
        <v>1</v>
      </c>
      <c r="Z303" s="18">
        <v>85000</v>
      </c>
      <c r="AA303" s="18" t="s">
        <v>1037</v>
      </c>
      <c r="AB303" s="18" t="s">
        <v>295</v>
      </c>
      <c r="AC303" s="18" t="s">
        <v>200</v>
      </c>
    </row>
    <row r="304" s="18" customFormat="1" spans="1:29">
      <c r="A304" s="18" t="s">
        <v>1038</v>
      </c>
      <c r="B304" s="25" t="s">
        <v>1038</v>
      </c>
      <c r="C304" s="26">
        <v>45670</v>
      </c>
      <c r="D304" s="18" t="s">
        <v>872</v>
      </c>
      <c r="E304" s="18" t="str">
        <f t="shared" si="4"/>
        <v>Specs Care Audio Visual Pvt Ltd</v>
      </c>
      <c r="F304" s="27" t="s">
        <v>873</v>
      </c>
      <c r="G304" s="18" t="s">
        <v>182</v>
      </c>
      <c r="H304" s="18" t="s">
        <v>183</v>
      </c>
      <c r="I304" s="18" t="s">
        <v>207</v>
      </c>
      <c r="J304" s="18" t="s">
        <v>240</v>
      </c>
      <c r="K304" s="18" t="s">
        <v>56</v>
      </c>
      <c r="L304" s="18" t="s">
        <v>36</v>
      </c>
      <c r="N304" s="18">
        <v>6</v>
      </c>
      <c r="O304" s="18" t="s">
        <v>88</v>
      </c>
      <c r="P304" s="18" t="s">
        <v>38</v>
      </c>
      <c r="Q304" s="18" t="s">
        <v>58</v>
      </c>
      <c r="R304" s="18" t="s">
        <v>59</v>
      </c>
      <c r="S304" s="18" t="s">
        <v>60</v>
      </c>
      <c r="T304" s="18" t="b">
        <v>0</v>
      </c>
      <c r="U304" s="18" t="s">
        <v>187</v>
      </c>
      <c r="V304" s="18" t="s">
        <v>40</v>
      </c>
      <c r="W304" s="18" t="s">
        <v>371</v>
      </c>
      <c r="X304" s="18" t="s">
        <v>372</v>
      </c>
      <c r="Y304" s="18">
        <v>1</v>
      </c>
      <c r="Z304" s="18">
        <v>72000</v>
      </c>
      <c r="AA304" s="18" t="s">
        <v>294</v>
      </c>
      <c r="AB304" s="18" t="s">
        <v>295</v>
      </c>
      <c r="AC304" s="18" t="s">
        <v>200</v>
      </c>
    </row>
    <row r="305" s="18" customFormat="1" spans="1:29">
      <c r="A305" s="18" t="s">
        <v>1039</v>
      </c>
      <c r="B305" s="25" t="s">
        <v>1039</v>
      </c>
      <c r="C305" s="26">
        <v>45670</v>
      </c>
      <c r="D305" s="18" t="s">
        <v>875</v>
      </c>
      <c r="E305" s="18" t="str">
        <f t="shared" si="4"/>
        <v>Sajan Power</v>
      </c>
      <c r="F305" s="27" t="s">
        <v>876</v>
      </c>
      <c r="G305" s="18" t="s">
        <v>182</v>
      </c>
      <c r="H305" s="18" t="s">
        <v>183</v>
      </c>
      <c r="I305" s="18" t="s">
        <v>207</v>
      </c>
      <c r="J305" s="18" t="s">
        <v>240</v>
      </c>
      <c r="K305" s="18" t="s">
        <v>56</v>
      </c>
      <c r="L305" s="18" t="s">
        <v>36</v>
      </c>
      <c r="N305" s="18">
        <v>6</v>
      </c>
      <c r="O305" s="18" t="s">
        <v>88</v>
      </c>
      <c r="P305" s="18" t="s">
        <v>38</v>
      </c>
      <c r="Q305" s="18" t="s">
        <v>58</v>
      </c>
      <c r="R305" s="18" t="s">
        <v>59</v>
      </c>
      <c r="S305" s="18" t="s">
        <v>60</v>
      </c>
      <c r="T305" s="18" t="b">
        <v>0</v>
      </c>
      <c r="U305" s="18" t="s">
        <v>187</v>
      </c>
      <c r="V305" s="18" t="s">
        <v>40</v>
      </c>
      <c r="W305" s="18" t="s">
        <v>371</v>
      </c>
      <c r="X305" s="18" t="s">
        <v>372</v>
      </c>
      <c r="Y305" s="18">
        <v>1</v>
      </c>
      <c r="Z305" s="18">
        <v>10000</v>
      </c>
      <c r="AA305" s="18" t="s">
        <v>294</v>
      </c>
      <c r="AB305" s="18" t="s">
        <v>295</v>
      </c>
      <c r="AC305" s="18" t="s">
        <v>200</v>
      </c>
    </row>
    <row r="306" s="18" customFormat="1" spans="1:29">
      <c r="A306" s="18" t="s">
        <v>1040</v>
      </c>
      <c r="B306" s="25" t="s">
        <v>1040</v>
      </c>
      <c r="C306" s="26">
        <v>45670</v>
      </c>
      <c r="D306" s="18" t="s">
        <v>878</v>
      </c>
      <c r="E306" s="18" t="str">
        <f t="shared" si="4"/>
        <v>Ultimate Source</v>
      </c>
      <c r="F306" s="27" t="s">
        <v>879</v>
      </c>
      <c r="G306" s="18" t="s">
        <v>182</v>
      </c>
      <c r="H306" s="18" t="s">
        <v>183</v>
      </c>
      <c r="I306" s="18" t="s">
        <v>207</v>
      </c>
      <c r="J306" s="18" t="s">
        <v>240</v>
      </c>
      <c r="K306" s="18" t="s">
        <v>56</v>
      </c>
      <c r="L306" s="18" t="s">
        <v>36</v>
      </c>
      <c r="N306" s="18">
        <v>6</v>
      </c>
      <c r="O306" s="18" t="s">
        <v>88</v>
      </c>
      <c r="P306" s="18" t="s">
        <v>38</v>
      </c>
      <c r="Q306" s="18" t="s">
        <v>58</v>
      </c>
      <c r="R306" s="18" t="s">
        <v>59</v>
      </c>
      <c r="S306" s="18" t="s">
        <v>60</v>
      </c>
      <c r="T306" s="18" t="b">
        <v>0</v>
      </c>
      <c r="U306" s="18" t="s">
        <v>187</v>
      </c>
      <c r="V306" s="18" t="s">
        <v>40</v>
      </c>
      <c r="W306" s="18" t="s">
        <v>371</v>
      </c>
      <c r="X306" s="18" t="s">
        <v>372</v>
      </c>
      <c r="Y306" s="18">
        <v>1</v>
      </c>
      <c r="Z306" s="18">
        <v>5000</v>
      </c>
      <c r="AA306" s="18" t="s">
        <v>294</v>
      </c>
      <c r="AB306" s="18" t="s">
        <v>295</v>
      </c>
      <c r="AC306" s="18" t="s">
        <v>200</v>
      </c>
    </row>
    <row r="307" s="18" customFormat="1" spans="1:29">
      <c r="A307" s="18" t="s">
        <v>1041</v>
      </c>
      <c r="B307" s="25" t="s">
        <v>1041</v>
      </c>
      <c r="C307" s="26">
        <v>45670</v>
      </c>
      <c r="D307" s="18" t="s">
        <v>884</v>
      </c>
      <c r="E307" s="18" t="str">
        <f t="shared" si="4"/>
        <v>Vinit Video Vision</v>
      </c>
      <c r="F307" s="27" t="s">
        <v>885</v>
      </c>
      <c r="G307" s="18" t="s">
        <v>182</v>
      </c>
      <c r="H307" s="18" t="s">
        <v>183</v>
      </c>
      <c r="I307" s="18" t="s">
        <v>207</v>
      </c>
      <c r="J307" s="18" t="s">
        <v>240</v>
      </c>
      <c r="K307" s="18" t="s">
        <v>56</v>
      </c>
      <c r="L307" s="18" t="s">
        <v>36</v>
      </c>
      <c r="N307" s="18">
        <v>6</v>
      </c>
      <c r="O307" s="18" t="s">
        <v>57</v>
      </c>
      <c r="P307" s="18" t="s">
        <v>38</v>
      </c>
      <c r="Q307" s="18" t="s">
        <v>58</v>
      </c>
      <c r="R307" s="18" t="s">
        <v>59</v>
      </c>
      <c r="S307" s="18" t="s">
        <v>60</v>
      </c>
      <c r="T307" s="18" t="b">
        <v>0</v>
      </c>
      <c r="U307" s="18" t="s">
        <v>187</v>
      </c>
      <c r="V307" s="18" t="s">
        <v>40</v>
      </c>
      <c r="W307" s="18" t="s">
        <v>401</v>
      </c>
      <c r="X307" s="18" t="s">
        <v>402</v>
      </c>
      <c r="Y307" s="18">
        <v>1</v>
      </c>
      <c r="Z307" s="18">
        <v>9500</v>
      </c>
      <c r="AA307" s="18" t="s">
        <v>294</v>
      </c>
      <c r="AB307" s="18" t="s">
        <v>295</v>
      </c>
      <c r="AC307" s="18" t="s">
        <v>200</v>
      </c>
    </row>
    <row r="308" s="18" customFormat="1" ht="29" spans="1:29">
      <c r="A308" s="18" t="s">
        <v>1042</v>
      </c>
      <c r="B308" s="25" t="s">
        <v>1042</v>
      </c>
      <c r="C308" s="26">
        <v>45670</v>
      </c>
      <c r="D308" s="18" t="s">
        <v>1043</v>
      </c>
      <c r="E308" s="18" t="str">
        <f t="shared" si="4"/>
        <v>The Chocolate Spoon Company Pvt Ltd</v>
      </c>
      <c r="F308" s="27" t="s">
        <v>1044</v>
      </c>
      <c r="G308" s="18" t="s">
        <v>182</v>
      </c>
      <c r="H308" s="18" t="s">
        <v>183</v>
      </c>
      <c r="I308" s="18" t="s">
        <v>184</v>
      </c>
      <c r="J308" s="18" t="s">
        <v>916</v>
      </c>
      <c r="K308" s="18" t="s">
        <v>56</v>
      </c>
      <c r="L308" s="18" t="s">
        <v>36</v>
      </c>
      <c r="N308" s="18">
        <v>6</v>
      </c>
      <c r="O308" s="18" t="s">
        <v>88</v>
      </c>
      <c r="P308" s="18" t="s">
        <v>38</v>
      </c>
      <c r="Q308" s="18" t="s">
        <v>194</v>
      </c>
      <c r="R308" s="18" t="s">
        <v>59</v>
      </c>
      <c r="S308" s="18" t="s">
        <v>195</v>
      </c>
      <c r="T308" s="18" t="b">
        <v>0</v>
      </c>
      <c r="U308" s="18" t="s">
        <v>187</v>
      </c>
      <c r="V308" s="18" t="s">
        <v>40</v>
      </c>
      <c r="W308" s="18" t="s">
        <v>276</v>
      </c>
      <c r="X308" s="18" t="s">
        <v>276</v>
      </c>
      <c r="Y308" s="18">
        <v>1</v>
      </c>
      <c r="Z308" s="18">
        <v>21000</v>
      </c>
      <c r="AA308" s="31" t="s">
        <v>959</v>
      </c>
      <c r="AB308" s="18" t="s">
        <v>960</v>
      </c>
      <c r="AC308" s="18" t="s">
        <v>676</v>
      </c>
    </row>
    <row r="309" s="18" customFormat="1" ht="29" spans="1:29">
      <c r="A309" s="18" t="s">
        <v>1045</v>
      </c>
      <c r="B309" s="25" t="s">
        <v>1045</v>
      </c>
      <c r="C309" s="26">
        <v>45670</v>
      </c>
      <c r="D309" s="18" t="s">
        <v>1046</v>
      </c>
      <c r="E309" s="18" t="str">
        <f t="shared" si="4"/>
        <v>B K T Interior And Exhibition</v>
      </c>
      <c r="F309" s="27" t="s">
        <v>1047</v>
      </c>
      <c r="G309" s="18" t="s">
        <v>182</v>
      </c>
      <c r="H309" s="18" t="s">
        <v>183</v>
      </c>
      <c r="I309" s="18" t="s">
        <v>184</v>
      </c>
      <c r="J309" s="18" t="s">
        <v>1048</v>
      </c>
      <c r="K309" s="18" t="s">
        <v>56</v>
      </c>
      <c r="L309" s="18" t="s">
        <v>36</v>
      </c>
      <c r="N309" s="18">
        <v>6</v>
      </c>
      <c r="O309" s="18" t="s">
        <v>57</v>
      </c>
      <c r="P309" s="18" t="s">
        <v>38</v>
      </c>
      <c r="Q309" s="18" t="s">
        <v>117</v>
      </c>
      <c r="R309" s="18" t="s">
        <v>59</v>
      </c>
      <c r="S309" s="18" t="s">
        <v>186</v>
      </c>
      <c r="T309" s="18" t="b">
        <v>0</v>
      </c>
      <c r="U309" s="18" t="s">
        <v>187</v>
      </c>
      <c r="V309" s="18" t="s">
        <v>40</v>
      </c>
      <c r="W309" s="18" t="s">
        <v>151</v>
      </c>
      <c r="X309" s="18" t="s">
        <v>152</v>
      </c>
      <c r="Y309" s="18">
        <v>1</v>
      </c>
      <c r="Z309" s="18">
        <v>45000</v>
      </c>
      <c r="AA309" s="31" t="s">
        <v>338</v>
      </c>
      <c r="AB309" s="18" t="s">
        <v>339</v>
      </c>
      <c r="AC309" s="18" t="s">
        <v>200</v>
      </c>
    </row>
    <row r="310" s="18" customFormat="1" spans="1:29">
      <c r="A310" s="18" t="s">
        <v>1049</v>
      </c>
      <c r="B310" s="25" t="s">
        <v>1049</v>
      </c>
      <c r="C310" s="26">
        <v>45670</v>
      </c>
      <c r="D310" s="18" t="s">
        <v>1050</v>
      </c>
      <c r="E310" s="18" t="str">
        <f t="shared" si="4"/>
        <v>Nitin Kamble  </v>
      </c>
      <c r="F310" s="27" t="e">
        <v>#N/A</v>
      </c>
      <c r="G310" s="18" t="s">
        <v>182</v>
      </c>
      <c r="H310" s="18" t="s">
        <v>183</v>
      </c>
      <c r="I310" s="18" t="s">
        <v>481</v>
      </c>
      <c r="J310" s="18" t="s">
        <v>115</v>
      </c>
      <c r="K310" s="18" t="s">
        <v>56</v>
      </c>
      <c r="L310" s="18" t="s">
        <v>36</v>
      </c>
      <c r="N310" s="18">
        <v>6</v>
      </c>
      <c r="O310" s="18" t="s">
        <v>93</v>
      </c>
      <c r="P310" s="18" t="s">
        <v>38</v>
      </c>
      <c r="Q310" s="18" t="s">
        <v>117</v>
      </c>
      <c r="R310" s="18" t="s">
        <v>59</v>
      </c>
      <c r="S310" s="18" t="s">
        <v>118</v>
      </c>
      <c r="T310" s="18" t="b">
        <v>0</v>
      </c>
      <c r="U310" s="18" t="s">
        <v>187</v>
      </c>
      <c r="V310" s="18" t="s">
        <v>40</v>
      </c>
      <c r="W310" s="18" t="s">
        <v>126</v>
      </c>
      <c r="X310" s="18" t="s">
        <v>127</v>
      </c>
      <c r="Y310" s="18">
        <v>1</v>
      </c>
      <c r="Z310" s="18">
        <v>2466</v>
      </c>
      <c r="AC310" s="18" t="e">
        <v>#N/A</v>
      </c>
    </row>
    <row r="311" s="18" customFormat="1" spans="1:29">
      <c r="A311" s="18" t="s">
        <v>1051</v>
      </c>
      <c r="B311" s="25" t="s">
        <v>1051</v>
      </c>
      <c r="C311" s="26">
        <v>45670</v>
      </c>
      <c r="D311" s="18" t="s">
        <v>1052</v>
      </c>
      <c r="E311" s="18" t="str">
        <f t="shared" si="4"/>
        <v>Sachin Jadhav </v>
      </c>
      <c r="F311" s="27" t="e">
        <v>#N/A</v>
      </c>
      <c r="G311" s="18" t="s">
        <v>182</v>
      </c>
      <c r="H311" s="18" t="s">
        <v>183</v>
      </c>
      <c r="I311" s="18" t="s">
        <v>481</v>
      </c>
      <c r="J311" s="18" t="s">
        <v>115</v>
      </c>
      <c r="K311" s="18" t="s">
        <v>56</v>
      </c>
      <c r="L311" s="18" t="s">
        <v>36</v>
      </c>
      <c r="N311" s="18">
        <v>6</v>
      </c>
      <c r="O311" s="18" t="s">
        <v>93</v>
      </c>
      <c r="P311" s="18" t="s">
        <v>38</v>
      </c>
      <c r="Q311" s="18" t="s">
        <v>117</v>
      </c>
      <c r="R311" s="18" t="s">
        <v>59</v>
      </c>
      <c r="S311" s="18" t="s">
        <v>118</v>
      </c>
      <c r="T311" s="18" t="b">
        <v>0</v>
      </c>
      <c r="U311" s="18" t="s">
        <v>187</v>
      </c>
      <c r="V311" s="18" t="s">
        <v>40</v>
      </c>
      <c r="W311" s="18" t="s">
        <v>126</v>
      </c>
      <c r="X311" s="18" t="s">
        <v>127</v>
      </c>
      <c r="Y311" s="18">
        <v>1</v>
      </c>
      <c r="Z311" s="18">
        <v>554</v>
      </c>
      <c r="AC311" s="18" t="e">
        <v>#N/A</v>
      </c>
    </row>
    <row r="312" s="18" customFormat="1" spans="1:29">
      <c r="A312" s="18" t="s">
        <v>1053</v>
      </c>
      <c r="B312" s="25" t="s">
        <v>1053</v>
      </c>
      <c r="C312" s="26">
        <v>45670</v>
      </c>
      <c r="D312" s="18" t="s">
        <v>1054</v>
      </c>
      <c r="E312" s="18" t="str">
        <f t="shared" si="4"/>
        <v>Suresh Pardhle  </v>
      </c>
      <c r="F312" s="27" t="e">
        <v>#N/A</v>
      </c>
      <c r="G312" s="18" t="s">
        <v>182</v>
      </c>
      <c r="H312" s="18" t="s">
        <v>183</v>
      </c>
      <c r="I312" s="18" t="s">
        <v>481</v>
      </c>
      <c r="J312" s="18" t="s">
        <v>115</v>
      </c>
      <c r="K312" s="18" t="s">
        <v>56</v>
      </c>
      <c r="L312" s="18" t="s">
        <v>36</v>
      </c>
      <c r="N312" s="18">
        <v>6</v>
      </c>
      <c r="O312" s="18" t="s">
        <v>93</v>
      </c>
      <c r="P312" s="18" t="s">
        <v>38</v>
      </c>
      <c r="Q312" s="18" t="s">
        <v>117</v>
      </c>
      <c r="R312" s="18" t="s">
        <v>59</v>
      </c>
      <c r="S312" s="18" t="s">
        <v>118</v>
      </c>
      <c r="T312" s="18" t="b">
        <v>0</v>
      </c>
      <c r="U312" s="18" t="s">
        <v>187</v>
      </c>
      <c r="V312" s="18" t="s">
        <v>40</v>
      </c>
      <c r="W312" s="18" t="s">
        <v>1055</v>
      </c>
      <c r="X312" s="18" t="s">
        <v>1056</v>
      </c>
      <c r="Y312" s="18">
        <v>1</v>
      </c>
      <c r="Z312" s="18">
        <v>1400</v>
      </c>
      <c r="AC312" s="18" t="e">
        <v>#N/A</v>
      </c>
    </row>
    <row r="313" s="18" customFormat="1" spans="1:29">
      <c r="A313" s="18" t="s">
        <v>1057</v>
      </c>
      <c r="B313" s="25" t="s">
        <v>1057</v>
      </c>
      <c r="C313" s="26">
        <v>45670</v>
      </c>
      <c r="D313" s="18" t="s">
        <v>1050</v>
      </c>
      <c r="E313" s="18" t="str">
        <f t="shared" si="4"/>
        <v>Nitin Kamble  </v>
      </c>
      <c r="F313" s="27" t="e">
        <v>#N/A</v>
      </c>
      <c r="G313" s="18" t="s">
        <v>182</v>
      </c>
      <c r="H313" s="18" t="s">
        <v>183</v>
      </c>
      <c r="I313" s="18" t="s">
        <v>481</v>
      </c>
      <c r="J313" s="18" t="s">
        <v>115</v>
      </c>
      <c r="K313" s="18" t="s">
        <v>56</v>
      </c>
      <c r="L313" s="18" t="s">
        <v>36</v>
      </c>
      <c r="N313" s="18">
        <v>6</v>
      </c>
      <c r="O313" s="18" t="s">
        <v>93</v>
      </c>
      <c r="P313" s="18" t="s">
        <v>38</v>
      </c>
      <c r="Q313" s="18" t="s">
        <v>117</v>
      </c>
      <c r="R313" s="18" t="s">
        <v>59</v>
      </c>
      <c r="S313" s="18" t="s">
        <v>118</v>
      </c>
      <c r="T313" s="18" t="b">
        <v>0</v>
      </c>
      <c r="U313" s="18" t="s">
        <v>187</v>
      </c>
      <c r="V313" s="18" t="s">
        <v>40</v>
      </c>
      <c r="W313" s="18" t="s">
        <v>126</v>
      </c>
      <c r="X313" s="18" t="s">
        <v>127</v>
      </c>
      <c r="Y313" s="18">
        <v>1</v>
      </c>
      <c r="Z313" s="18">
        <v>1220</v>
      </c>
      <c r="AC313" s="18" t="e">
        <v>#N/A</v>
      </c>
    </row>
    <row r="314" s="18" customFormat="1" spans="1:29">
      <c r="A314" s="18" t="s">
        <v>1058</v>
      </c>
      <c r="B314" s="25" t="s">
        <v>1058</v>
      </c>
      <c r="C314" s="26">
        <v>45670</v>
      </c>
      <c r="D314" s="18" t="s">
        <v>1054</v>
      </c>
      <c r="E314" s="18" t="str">
        <f t="shared" si="4"/>
        <v>Suresh Pardhle  </v>
      </c>
      <c r="F314" s="27" t="e">
        <v>#N/A</v>
      </c>
      <c r="G314" s="18" t="s">
        <v>182</v>
      </c>
      <c r="H314" s="18" t="s">
        <v>183</v>
      </c>
      <c r="I314" s="18" t="s">
        <v>481</v>
      </c>
      <c r="J314" s="18" t="s">
        <v>240</v>
      </c>
      <c r="K314" s="18" t="s">
        <v>56</v>
      </c>
      <c r="L314" s="18" t="s">
        <v>36</v>
      </c>
      <c r="N314" s="18">
        <v>6</v>
      </c>
      <c r="O314" s="18" t="s">
        <v>93</v>
      </c>
      <c r="P314" s="18" t="s">
        <v>38</v>
      </c>
      <c r="Q314" s="18" t="s">
        <v>58</v>
      </c>
      <c r="R314" s="18" t="s">
        <v>59</v>
      </c>
      <c r="S314" s="18" t="s">
        <v>60</v>
      </c>
      <c r="T314" s="18" t="b">
        <v>0</v>
      </c>
      <c r="U314" s="18" t="s">
        <v>187</v>
      </c>
      <c r="V314" s="18" t="s">
        <v>40</v>
      </c>
      <c r="W314" s="18" t="s">
        <v>126</v>
      </c>
      <c r="X314" s="18" t="s">
        <v>127</v>
      </c>
      <c r="Y314" s="18">
        <v>1</v>
      </c>
      <c r="Z314" s="18">
        <v>406</v>
      </c>
      <c r="AC314" s="18" t="e">
        <v>#N/A</v>
      </c>
    </row>
    <row r="315" s="18" customFormat="1" spans="1:29">
      <c r="A315" s="18" t="s">
        <v>1059</v>
      </c>
      <c r="B315" s="25" t="s">
        <v>1059</v>
      </c>
      <c r="C315" s="26">
        <v>45670</v>
      </c>
      <c r="D315" s="18" t="s">
        <v>723</v>
      </c>
      <c r="E315" s="18" t="str">
        <f t="shared" si="4"/>
        <v>Greenix Experience Pvt Ltd</v>
      </c>
      <c r="F315" s="27" t="s">
        <v>724</v>
      </c>
      <c r="G315" s="18" t="s">
        <v>182</v>
      </c>
      <c r="H315" s="18" t="s">
        <v>183</v>
      </c>
      <c r="I315" s="18" t="s">
        <v>207</v>
      </c>
      <c r="J315" s="18" t="s">
        <v>240</v>
      </c>
      <c r="K315" s="18" t="s">
        <v>56</v>
      </c>
      <c r="L315" s="18" t="s">
        <v>36</v>
      </c>
      <c r="N315" s="18">
        <v>6</v>
      </c>
      <c r="O315" s="18" t="s">
        <v>57</v>
      </c>
      <c r="P315" s="18" t="s">
        <v>38</v>
      </c>
      <c r="Q315" s="18" t="s">
        <v>58</v>
      </c>
      <c r="R315" s="18" t="s">
        <v>59</v>
      </c>
      <c r="S315" s="18" t="s">
        <v>60</v>
      </c>
      <c r="T315" s="18" t="b">
        <v>0</v>
      </c>
      <c r="U315" s="18" t="s">
        <v>187</v>
      </c>
      <c r="V315" s="18" t="s">
        <v>40</v>
      </c>
      <c r="W315" s="18" t="s">
        <v>233</v>
      </c>
      <c r="X315" s="18" t="s">
        <v>234</v>
      </c>
      <c r="Y315" s="18">
        <v>1</v>
      </c>
      <c r="Z315" s="18">
        <v>10472</v>
      </c>
      <c r="AA315" s="18" t="s">
        <v>1060</v>
      </c>
      <c r="AB315" s="18" t="s">
        <v>64</v>
      </c>
      <c r="AC315" s="18" t="s">
        <v>216</v>
      </c>
    </row>
    <row r="316" s="18" customFormat="1" spans="1:29">
      <c r="A316" s="18" t="s">
        <v>1061</v>
      </c>
      <c r="B316" s="25" t="s">
        <v>1061</v>
      </c>
      <c r="C316" s="26">
        <v>45670</v>
      </c>
      <c r="D316" s="18" t="s">
        <v>1062</v>
      </c>
      <c r="E316" s="18" t="str">
        <f t="shared" si="4"/>
        <v>Namala David</v>
      </c>
      <c r="F316" s="27" t="s">
        <v>1063</v>
      </c>
      <c r="G316" s="18" t="s">
        <v>182</v>
      </c>
      <c r="H316" s="18" t="s">
        <v>183</v>
      </c>
      <c r="I316" s="18" t="s">
        <v>207</v>
      </c>
      <c r="J316" s="18" t="s">
        <v>240</v>
      </c>
      <c r="K316" s="18" t="s">
        <v>56</v>
      </c>
      <c r="L316" s="18" t="s">
        <v>36</v>
      </c>
      <c r="N316" s="18">
        <v>6</v>
      </c>
      <c r="O316" s="18" t="s">
        <v>57</v>
      </c>
      <c r="P316" s="18" t="s">
        <v>38</v>
      </c>
      <c r="Q316" s="18" t="s">
        <v>58</v>
      </c>
      <c r="R316" s="18" t="s">
        <v>59</v>
      </c>
      <c r="S316" s="18" t="s">
        <v>60</v>
      </c>
      <c r="T316" s="18" t="b">
        <v>0</v>
      </c>
      <c r="U316" s="18" t="s">
        <v>187</v>
      </c>
      <c r="V316" s="18" t="s">
        <v>40</v>
      </c>
      <c r="W316" s="18" t="s">
        <v>250</v>
      </c>
      <c r="X316" s="18" t="s">
        <v>251</v>
      </c>
      <c r="Y316" s="18">
        <v>1</v>
      </c>
      <c r="Z316" s="18">
        <v>164000</v>
      </c>
      <c r="AA316" s="18" t="s">
        <v>1012</v>
      </c>
      <c r="AB316" s="18" t="s">
        <v>295</v>
      </c>
      <c r="AC316" s="18" t="e">
        <v>#N/A</v>
      </c>
    </row>
    <row r="317" s="18" customFormat="1" spans="1:29">
      <c r="A317" s="18" t="s">
        <v>1064</v>
      </c>
      <c r="B317" s="25" t="s">
        <v>1064</v>
      </c>
      <c r="C317" s="26">
        <v>45670</v>
      </c>
      <c r="D317" s="18" t="s">
        <v>732</v>
      </c>
      <c r="E317" s="18" t="str">
        <f t="shared" si="4"/>
        <v>Musafir.Com India Pvt Ltd</v>
      </c>
      <c r="F317" s="27" t="s">
        <v>733</v>
      </c>
      <c r="G317" s="18" t="s">
        <v>182</v>
      </c>
      <c r="H317" s="18" t="s">
        <v>183</v>
      </c>
      <c r="I317" s="18" t="s">
        <v>184</v>
      </c>
      <c r="J317" s="18" t="s">
        <v>240</v>
      </c>
      <c r="K317" s="18" t="s">
        <v>56</v>
      </c>
      <c r="L317" s="18" t="s">
        <v>36</v>
      </c>
      <c r="N317" s="18">
        <v>6</v>
      </c>
      <c r="O317" s="18" t="s">
        <v>57</v>
      </c>
      <c r="P317" s="18" t="s">
        <v>38</v>
      </c>
      <c r="Q317" s="18" t="s">
        <v>58</v>
      </c>
      <c r="R317" s="18" t="s">
        <v>59</v>
      </c>
      <c r="S317" s="18" t="s">
        <v>60</v>
      </c>
      <c r="T317" s="18" t="b">
        <v>0</v>
      </c>
      <c r="U317" s="18" t="s">
        <v>187</v>
      </c>
      <c r="V317" s="18" t="s">
        <v>40</v>
      </c>
      <c r="W317" s="18" t="s">
        <v>734</v>
      </c>
      <c r="X317" s="18" t="s">
        <v>735</v>
      </c>
      <c r="Y317" s="18">
        <v>1</v>
      </c>
      <c r="Z317" s="18">
        <v>364799</v>
      </c>
      <c r="AA317" s="18" t="s">
        <v>736</v>
      </c>
      <c r="AB317" s="18" t="s">
        <v>737</v>
      </c>
      <c r="AC317" s="18" t="e">
        <v>#N/A</v>
      </c>
    </row>
    <row r="318" s="18" customFormat="1" ht="29" spans="1:29">
      <c r="A318" s="18" t="s">
        <v>1065</v>
      </c>
      <c r="B318" s="25" t="s">
        <v>1065</v>
      </c>
      <c r="C318" s="26">
        <v>45670</v>
      </c>
      <c r="D318" s="18" t="s">
        <v>1066</v>
      </c>
      <c r="E318" s="18" t="str">
        <f t="shared" si="4"/>
        <v>Events Power</v>
      </c>
      <c r="F318" s="27" t="s">
        <v>1067</v>
      </c>
      <c r="G318" s="18" t="s">
        <v>182</v>
      </c>
      <c r="H318" s="18" t="s">
        <v>183</v>
      </c>
      <c r="I318" s="18" t="s">
        <v>184</v>
      </c>
      <c r="J318" s="18" t="s">
        <v>486</v>
      </c>
      <c r="K318" s="18" t="s">
        <v>56</v>
      </c>
      <c r="L318" s="18" t="s">
        <v>36</v>
      </c>
      <c r="N318" s="18">
        <v>6</v>
      </c>
      <c r="O318" s="18" t="s">
        <v>88</v>
      </c>
      <c r="P318" s="18" t="s">
        <v>38</v>
      </c>
      <c r="Q318" s="18" t="s">
        <v>58</v>
      </c>
      <c r="R318" s="18" t="s">
        <v>59</v>
      </c>
      <c r="S318" s="18" t="s">
        <v>60</v>
      </c>
      <c r="T318" s="18" t="b">
        <v>0</v>
      </c>
      <c r="U318" s="18" t="s">
        <v>187</v>
      </c>
      <c r="V318" s="18" t="s">
        <v>40</v>
      </c>
      <c r="W318" s="18" t="s">
        <v>371</v>
      </c>
      <c r="X318" s="18" t="s">
        <v>372</v>
      </c>
      <c r="Y318" s="18">
        <v>1</v>
      </c>
      <c r="Z318" s="18">
        <v>19000</v>
      </c>
      <c r="AA318" s="31" t="s">
        <v>968</v>
      </c>
      <c r="AB318" s="18" t="s">
        <v>969</v>
      </c>
      <c r="AC318" s="18" t="s">
        <v>200</v>
      </c>
    </row>
    <row r="319" s="18" customFormat="1" ht="29" spans="1:29">
      <c r="A319" s="18" t="s">
        <v>1068</v>
      </c>
      <c r="B319" s="25" t="s">
        <v>1068</v>
      </c>
      <c r="C319" s="26">
        <v>45670</v>
      </c>
      <c r="D319" s="18" t="s">
        <v>255</v>
      </c>
      <c r="E319" s="18" t="str">
        <f t="shared" si="4"/>
        <v>Phonographic Performance Limited</v>
      </c>
      <c r="F319" s="27" t="e">
        <v>#N/A</v>
      </c>
      <c r="G319" s="18" t="s">
        <v>182</v>
      </c>
      <c r="H319" s="18" t="s">
        <v>183</v>
      </c>
      <c r="I319" s="18" t="s">
        <v>184</v>
      </c>
      <c r="J319" s="18" t="s">
        <v>499</v>
      </c>
      <c r="K319" s="18" t="s">
        <v>56</v>
      </c>
      <c r="L319" s="18" t="s">
        <v>36</v>
      </c>
      <c r="N319" s="18">
        <v>6</v>
      </c>
      <c r="O319" s="18" t="s">
        <v>88</v>
      </c>
      <c r="P319" s="18" t="s">
        <v>38</v>
      </c>
      <c r="Q319" s="18" t="s">
        <v>117</v>
      </c>
      <c r="R319" s="18" t="s">
        <v>59</v>
      </c>
      <c r="S319" s="18" t="s">
        <v>186</v>
      </c>
      <c r="T319" s="18" t="b">
        <v>0</v>
      </c>
      <c r="U319" s="18" t="s">
        <v>187</v>
      </c>
      <c r="V319" s="18" t="s">
        <v>40</v>
      </c>
      <c r="W319" s="18" t="s">
        <v>256</v>
      </c>
      <c r="X319" s="18" t="s">
        <v>257</v>
      </c>
      <c r="Y319" s="18">
        <v>1</v>
      </c>
      <c r="Z319" s="18">
        <v>78625</v>
      </c>
      <c r="AA319" s="31" t="s">
        <v>262</v>
      </c>
      <c r="AB319" s="18" t="s">
        <v>259</v>
      </c>
      <c r="AC319" s="18" t="s">
        <v>200</v>
      </c>
    </row>
    <row r="320" s="18" customFormat="1" ht="29" spans="1:29">
      <c r="A320" s="18" t="s">
        <v>1069</v>
      </c>
      <c r="B320" s="25" t="s">
        <v>1069</v>
      </c>
      <c r="C320" s="26">
        <v>45670</v>
      </c>
      <c r="D320" s="18" t="s">
        <v>261</v>
      </c>
      <c r="E320" s="18" t="str">
        <f t="shared" si="4"/>
        <v>Novex Communications Pvt. Ltd.</v>
      </c>
      <c r="F320" s="27" t="e">
        <v>#N/A</v>
      </c>
      <c r="G320" s="18" t="s">
        <v>182</v>
      </c>
      <c r="H320" s="18" t="s">
        <v>183</v>
      </c>
      <c r="I320" s="18" t="s">
        <v>184</v>
      </c>
      <c r="J320" s="18" t="s">
        <v>499</v>
      </c>
      <c r="K320" s="18" t="s">
        <v>56</v>
      </c>
      <c r="L320" s="18" t="s">
        <v>36</v>
      </c>
      <c r="N320" s="18">
        <v>6</v>
      </c>
      <c r="O320" s="18" t="s">
        <v>88</v>
      </c>
      <c r="P320" s="18" t="s">
        <v>38</v>
      </c>
      <c r="Q320" s="18" t="s">
        <v>117</v>
      </c>
      <c r="R320" s="18" t="s">
        <v>59</v>
      </c>
      <c r="S320" s="18" t="s">
        <v>186</v>
      </c>
      <c r="T320" s="18" t="b">
        <v>0</v>
      </c>
      <c r="U320" s="18" t="s">
        <v>187</v>
      </c>
      <c r="V320" s="18" t="s">
        <v>40</v>
      </c>
      <c r="W320" s="18" t="s">
        <v>256</v>
      </c>
      <c r="X320" s="18" t="s">
        <v>257</v>
      </c>
      <c r="Y320" s="18">
        <v>1</v>
      </c>
      <c r="Z320" s="18">
        <v>95000</v>
      </c>
      <c r="AA320" s="31" t="s">
        <v>262</v>
      </c>
      <c r="AB320" s="18" t="s">
        <v>259</v>
      </c>
      <c r="AC320" s="18" t="s">
        <v>200</v>
      </c>
    </row>
    <row r="321" s="18" customFormat="1" spans="1:29">
      <c r="A321" s="18" t="s">
        <v>1070</v>
      </c>
      <c r="B321" s="25" t="s">
        <v>1070</v>
      </c>
      <c r="C321" s="26">
        <v>45670</v>
      </c>
      <c r="D321" s="18" t="s">
        <v>1071</v>
      </c>
      <c r="E321" s="18" t="str">
        <f t="shared" si="4"/>
        <v>Grrowwide Business Advisors Pvt Ltd</v>
      </c>
      <c r="F321" s="27" t="s">
        <v>1072</v>
      </c>
      <c r="G321" s="18" t="s">
        <v>182</v>
      </c>
      <c r="H321" s="18" t="s">
        <v>183</v>
      </c>
      <c r="I321" s="18" t="s">
        <v>184</v>
      </c>
      <c r="J321" s="18" t="s">
        <v>204</v>
      </c>
      <c r="K321" s="18" t="s">
        <v>56</v>
      </c>
      <c r="L321" s="18" t="s">
        <v>36</v>
      </c>
      <c r="N321" s="18">
        <v>6</v>
      </c>
      <c r="O321" s="18" t="s">
        <v>88</v>
      </c>
      <c r="P321" s="18" t="s">
        <v>38</v>
      </c>
      <c r="Q321" s="18" t="s">
        <v>194</v>
      </c>
      <c r="R321" s="18" t="s">
        <v>59</v>
      </c>
      <c r="S321" s="18" t="s">
        <v>195</v>
      </c>
      <c r="T321" s="18" t="b">
        <v>0</v>
      </c>
      <c r="U321" s="18" t="s">
        <v>187</v>
      </c>
      <c r="V321" s="18" t="s">
        <v>40</v>
      </c>
      <c r="W321" s="18" t="s">
        <v>347</v>
      </c>
      <c r="X321" s="18" t="s">
        <v>348</v>
      </c>
      <c r="Y321" s="18">
        <v>1</v>
      </c>
      <c r="Z321" s="18">
        <v>180000</v>
      </c>
      <c r="AA321" s="18" t="s">
        <v>1073</v>
      </c>
      <c r="AB321" s="18" t="s">
        <v>730</v>
      </c>
      <c r="AC321" s="18" t="s">
        <v>200</v>
      </c>
    </row>
    <row r="322" s="18" customFormat="1" spans="1:29">
      <c r="A322" s="18" t="s">
        <v>1074</v>
      </c>
      <c r="B322" s="25" t="s">
        <v>1074</v>
      </c>
      <c r="C322" s="26">
        <v>45671</v>
      </c>
      <c r="D322" s="18" t="s">
        <v>1075</v>
      </c>
      <c r="E322" s="18" t="str">
        <f t="shared" si="4"/>
        <v>Sri Gangothri Video</v>
      </c>
      <c r="F322" s="27" t="s">
        <v>1076</v>
      </c>
      <c r="G322" s="18" t="s">
        <v>32</v>
      </c>
      <c r="H322" s="18" t="s">
        <v>33</v>
      </c>
      <c r="I322" s="18" t="s">
        <v>54</v>
      </c>
      <c r="J322" s="18" t="s">
        <v>310</v>
      </c>
      <c r="K322" s="18" t="s">
        <v>56</v>
      </c>
      <c r="L322" s="18" t="s">
        <v>36</v>
      </c>
      <c r="N322" s="18">
        <v>6</v>
      </c>
      <c r="O322" s="18" t="s">
        <v>88</v>
      </c>
      <c r="P322" s="18" t="s">
        <v>38</v>
      </c>
      <c r="Q322" s="18" t="s">
        <v>58</v>
      </c>
      <c r="R322" s="18" t="s">
        <v>59</v>
      </c>
      <c r="S322" s="18" t="s">
        <v>60</v>
      </c>
      <c r="T322" s="18" t="b">
        <v>1</v>
      </c>
      <c r="U322" s="18" t="s">
        <v>39</v>
      </c>
      <c r="V322" s="18" t="s">
        <v>40</v>
      </c>
      <c r="W322" s="18" t="s">
        <v>371</v>
      </c>
      <c r="X322" s="18" t="s">
        <v>372</v>
      </c>
      <c r="Y322" s="18">
        <v>1</v>
      </c>
      <c r="Z322" s="18">
        <v>75000</v>
      </c>
      <c r="AA322" s="18" t="s">
        <v>303</v>
      </c>
      <c r="AB322" s="18" t="s">
        <v>282</v>
      </c>
      <c r="AC322" s="18" t="s">
        <v>43</v>
      </c>
    </row>
    <row r="323" s="18" customFormat="1" spans="1:29">
      <c r="A323" s="18" t="s">
        <v>1077</v>
      </c>
      <c r="B323" s="25" t="s">
        <v>1077</v>
      </c>
      <c r="C323" s="26">
        <v>45671</v>
      </c>
      <c r="D323" s="18" t="s">
        <v>1078</v>
      </c>
      <c r="E323" s="18" t="str">
        <f t="shared" ref="E323:E386" si="5">_xlfn.TEXTBEFORE(D323,"-")</f>
        <v>Mass Vision</v>
      </c>
      <c r="F323" s="27" t="s">
        <v>1079</v>
      </c>
      <c r="G323" s="18" t="s">
        <v>32</v>
      </c>
      <c r="H323" s="18" t="s">
        <v>33</v>
      </c>
      <c r="I323" s="18" t="s">
        <v>54</v>
      </c>
      <c r="J323" s="18" t="s">
        <v>310</v>
      </c>
      <c r="K323" s="18" t="s">
        <v>56</v>
      </c>
      <c r="L323" s="18" t="s">
        <v>36</v>
      </c>
      <c r="N323" s="18">
        <v>6</v>
      </c>
      <c r="O323" s="18" t="s">
        <v>88</v>
      </c>
      <c r="P323" s="18" t="s">
        <v>38</v>
      </c>
      <c r="Q323" s="18" t="s">
        <v>58</v>
      </c>
      <c r="R323" s="18" t="s">
        <v>59</v>
      </c>
      <c r="S323" s="18" t="s">
        <v>60</v>
      </c>
      <c r="T323" s="18" t="b">
        <v>1</v>
      </c>
      <c r="U323" s="18" t="s">
        <v>39</v>
      </c>
      <c r="V323" s="18" t="s">
        <v>40</v>
      </c>
      <c r="W323" s="18" t="s">
        <v>371</v>
      </c>
      <c r="X323" s="18" t="s">
        <v>372</v>
      </c>
      <c r="Y323" s="18">
        <v>1</v>
      </c>
      <c r="Z323" s="18">
        <v>21000</v>
      </c>
      <c r="AA323" s="18" t="s">
        <v>303</v>
      </c>
      <c r="AB323" s="18" t="s">
        <v>282</v>
      </c>
      <c r="AC323" s="18" t="s">
        <v>43</v>
      </c>
    </row>
    <row r="324" s="18" customFormat="1" spans="1:29">
      <c r="A324" s="18" t="s">
        <v>1080</v>
      </c>
      <c r="B324" s="25" t="s">
        <v>1080</v>
      </c>
      <c r="C324" s="26">
        <v>45671</v>
      </c>
      <c r="D324" s="18" t="s">
        <v>635</v>
      </c>
      <c r="E324" s="18" t="str">
        <f t="shared" si="5"/>
        <v>Ashik Mobile Generator</v>
      </c>
      <c r="F324" s="27" t="s">
        <v>636</v>
      </c>
      <c r="G324" s="18" t="s">
        <v>32</v>
      </c>
      <c r="H324" s="18" t="s">
        <v>33</v>
      </c>
      <c r="I324" s="18" t="s">
        <v>54</v>
      </c>
      <c r="J324" s="18" t="s">
        <v>310</v>
      </c>
      <c r="K324" s="18" t="s">
        <v>56</v>
      </c>
      <c r="L324" s="18" t="s">
        <v>36</v>
      </c>
      <c r="N324" s="18">
        <v>6</v>
      </c>
      <c r="O324" s="18" t="s">
        <v>88</v>
      </c>
      <c r="P324" s="18" t="s">
        <v>38</v>
      </c>
      <c r="Q324" s="18" t="s">
        <v>58</v>
      </c>
      <c r="R324" s="18" t="s">
        <v>59</v>
      </c>
      <c r="S324" s="18" t="s">
        <v>60</v>
      </c>
      <c r="T324" s="18" t="b">
        <v>1</v>
      </c>
      <c r="U324" s="18" t="s">
        <v>39</v>
      </c>
      <c r="V324" s="18" t="s">
        <v>40</v>
      </c>
      <c r="W324" s="18" t="s">
        <v>371</v>
      </c>
      <c r="X324" s="18" t="s">
        <v>372</v>
      </c>
      <c r="Y324" s="18">
        <v>1</v>
      </c>
      <c r="Z324" s="18">
        <v>8600</v>
      </c>
      <c r="AA324" s="18" t="s">
        <v>303</v>
      </c>
      <c r="AB324" s="18" t="s">
        <v>282</v>
      </c>
      <c r="AC324" s="18" t="s">
        <v>43</v>
      </c>
    </row>
    <row r="325" s="18" customFormat="1" spans="1:29">
      <c r="A325" s="18" t="s">
        <v>1081</v>
      </c>
      <c r="B325" s="25" t="s">
        <v>1081</v>
      </c>
      <c r="C325" s="26">
        <v>45671</v>
      </c>
      <c r="D325" s="18" t="s">
        <v>1082</v>
      </c>
      <c r="E325" s="18" t="str">
        <f t="shared" si="5"/>
        <v>Skypillars Manpower Agency</v>
      </c>
      <c r="F325" s="27" t="s">
        <v>1083</v>
      </c>
      <c r="G325" s="18" t="s">
        <v>32</v>
      </c>
      <c r="H325" s="18" t="s">
        <v>33</v>
      </c>
      <c r="I325" s="18" t="s">
        <v>54</v>
      </c>
      <c r="J325" s="18" t="s">
        <v>55</v>
      </c>
      <c r="K325" s="18" t="s">
        <v>56</v>
      </c>
      <c r="L325" s="18" t="s">
        <v>36</v>
      </c>
      <c r="N325" s="18">
        <v>6</v>
      </c>
      <c r="O325" s="18" t="s">
        <v>88</v>
      </c>
      <c r="P325" s="18" t="s">
        <v>38</v>
      </c>
      <c r="Q325" s="18" t="s">
        <v>58</v>
      </c>
      <c r="R325" s="18" t="s">
        <v>59</v>
      </c>
      <c r="S325" s="18" t="s">
        <v>60</v>
      </c>
      <c r="T325" s="18" t="b">
        <v>1</v>
      </c>
      <c r="U325" s="18" t="s">
        <v>39</v>
      </c>
      <c r="V325" s="18" t="s">
        <v>40</v>
      </c>
      <c r="W325" s="18" t="s">
        <v>292</v>
      </c>
      <c r="X325" s="18" t="s">
        <v>293</v>
      </c>
      <c r="Y325" s="18">
        <v>1</v>
      </c>
      <c r="Z325" s="18">
        <v>30500</v>
      </c>
      <c r="AA325" s="18" t="s">
        <v>303</v>
      </c>
      <c r="AB325" s="18" t="s">
        <v>282</v>
      </c>
      <c r="AC325" s="18" t="s">
        <v>43</v>
      </c>
    </row>
    <row r="326" s="18" customFormat="1" spans="1:29">
      <c r="A326" s="18" t="s">
        <v>1084</v>
      </c>
      <c r="B326" s="25" t="s">
        <v>1084</v>
      </c>
      <c r="C326" s="26">
        <v>45671</v>
      </c>
      <c r="D326" s="18" t="s">
        <v>1085</v>
      </c>
      <c r="E326" s="18" t="str">
        <f t="shared" si="5"/>
        <v>Thinking Brahma</v>
      </c>
      <c r="F326" s="27" t="s">
        <v>1086</v>
      </c>
      <c r="G326" s="18" t="s">
        <v>32</v>
      </c>
      <c r="H326" s="18" t="s">
        <v>33</v>
      </c>
      <c r="I326" s="18" t="s">
        <v>54</v>
      </c>
      <c r="J326" s="18" t="s">
        <v>55</v>
      </c>
      <c r="K326" s="18" t="s">
        <v>56</v>
      </c>
      <c r="L326" s="18" t="s">
        <v>36</v>
      </c>
      <c r="N326" s="18">
        <v>6</v>
      </c>
      <c r="O326" s="18" t="s">
        <v>57</v>
      </c>
      <c r="P326" s="18" t="s">
        <v>38</v>
      </c>
      <c r="Q326" s="18" t="s">
        <v>58</v>
      </c>
      <c r="R326" s="18" t="s">
        <v>59</v>
      </c>
      <c r="S326" s="18" t="s">
        <v>60</v>
      </c>
      <c r="T326" s="18" t="b">
        <v>1</v>
      </c>
      <c r="U326" s="18" t="s">
        <v>39</v>
      </c>
      <c r="V326" s="18" t="s">
        <v>40</v>
      </c>
      <c r="W326" s="18" t="s">
        <v>401</v>
      </c>
      <c r="X326" s="18" t="s">
        <v>402</v>
      </c>
      <c r="Y326" s="18">
        <v>1</v>
      </c>
      <c r="Z326" s="18">
        <v>5000</v>
      </c>
      <c r="AA326" s="18" t="s">
        <v>303</v>
      </c>
      <c r="AB326" s="18" t="s">
        <v>282</v>
      </c>
      <c r="AC326" s="18" t="s">
        <v>43</v>
      </c>
    </row>
    <row r="327" s="18" customFormat="1" spans="1:29">
      <c r="A327" s="18" t="s">
        <v>1087</v>
      </c>
      <c r="B327" s="25" t="s">
        <v>1087</v>
      </c>
      <c r="C327" s="26">
        <v>45671</v>
      </c>
      <c r="D327" s="18" t="s">
        <v>635</v>
      </c>
      <c r="E327" s="18" t="str">
        <f t="shared" si="5"/>
        <v>Ashik Mobile Generator</v>
      </c>
      <c r="F327" s="27" t="s">
        <v>636</v>
      </c>
      <c r="G327" s="18" t="s">
        <v>32</v>
      </c>
      <c r="H327" s="18" t="s">
        <v>33</v>
      </c>
      <c r="I327" s="18" t="s">
        <v>54</v>
      </c>
      <c r="J327" s="18" t="s">
        <v>55</v>
      </c>
      <c r="K327" s="18" t="s">
        <v>56</v>
      </c>
      <c r="L327" s="18" t="s">
        <v>36</v>
      </c>
      <c r="N327" s="18">
        <v>6</v>
      </c>
      <c r="O327" s="18" t="s">
        <v>88</v>
      </c>
      <c r="P327" s="18" t="s">
        <v>38</v>
      </c>
      <c r="Q327" s="18" t="s">
        <v>58</v>
      </c>
      <c r="R327" s="18" t="s">
        <v>59</v>
      </c>
      <c r="S327" s="18" t="s">
        <v>60</v>
      </c>
      <c r="T327" s="18" t="b">
        <v>1</v>
      </c>
      <c r="U327" s="18" t="s">
        <v>39</v>
      </c>
      <c r="V327" s="18" t="s">
        <v>40</v>
      </c>
      <c r="W327" s="18" t="s">
        <v>371</v>
      </c>
      <c r="X327" s="18" t="s">
        <v>372</v>
      </c>
      <c r="Y327" s="18">
        <v>1</v>
      </c>
      <c r="Z327" s="18">
        <v>50000</v>
      </c>
      <c r="AA327" s="18" t="s">
        <v>303</v>
      </c>
      <c r="AB327" s="18" t="s">
        <v>282</v>
      </c>
      <c r="AC327" s="18" t="s">
        <v>43</v>
      </c>
    </row>
    <row r="328" s="18" customFormat="1" spans="1:29">
      <c r="A328" s="18" t="s">
        <v>1088</v>
      </c>
      <c r="B328" s="25" t="s">
        <v>1088</v>
      </c>
      <c r="C328" s="26">
        <v>45671</v>
      </c>
      <c r="D328" s="18" t="s">
        <v>1089</v>
      </c>
      <c r="E328" s="18" t="str">
        <f t="shared" si="5"/>
        <v>Kolorkode</v>
      </c>
      <c r="F328" s="27" t="e">
        <v>#N/A</v>
      </c>
      <c r="G328" s="18" t="s">
        <v>32</v>
      </c>
      <c r="H328" s="18" t="s">
        <v>33</v>
      </c>
      <c r="I328" s="18" t="s">
        <v>54</v>
      </c>
      <c r="J328" s="18" t="s">
        <v>55</v>
      </c>
      <c r="K328" s="18" t="s">
        <v>56</v>
      </c>
      <c r="L328" s="18" t="s">
        <v>36</v>
      </c>
      <c r="N328" s="18">
        <v>6</v>
      </c>
      <c r="O328" s="18" t="s">
        <v>57</v>
      </c>
      <c r="P328" s="18" t="s">
        <v>38</v>
      </c>
      <c r="Q328" s="18" t="s">
        <v>58</v>
      </c>
      <c r="R328" s="18" t="s">
        <v>59</v>
      </c>
      <c r="S328" s="18" t="s">
        <v>60</v>
      </c>
      <c r="T328" s="18" t="b">
        <v>1</v>
      </c>
      <c r="U328" s="18" t="s">
        <v>39</v>
      </c>
      <c r="V328" s="18" t="s">
        <v>40</v>
      </c>
      <c r="W328" s="18" t="s">
        <v>196</v>
      </c>
      <c r="X328" s="18" t="s">
        <v>197</v>
      </c>
      <c r="Y328" s="18">
        <v>1</v>
      </c>
      <c r="Z328" s="18">
        <v>3332</v>
      </c>
      <c r="AA328" s="18" t="s">
        <v>303</v>
      </c>
      <c r="AB328" s="18" t="s">
        <v>282</v>
      </c>
      <c r="AC328" s="18" t="s">
        <v>43</v>
      </c>
    </row>
    <row r="329" s="18" customFormat="1" spans="1:29">
      <c r="A329" s="18" t="s">
        <v>1090</v>
      </c>
      <c r="B329" s="25" t="s">
        <v>1090</v>
      </c>
      <c r="C329" s="26">
        <v>45671</v>
      </c>
      <c r="D329" s="18" t="s">
        <v>1091</v>
      </c>
      <c r="E329" s="18" t="str">
        <f t="shared" si="5"/>
        <v>ID Factory (OPC) Pvt Ltd</v>
      </c>
      <c r="F329" s="27" t="s">
        <v>1092</v>
      </c>
      <c r="G329" s="18" t="s">
        <v>32</v>
      </c>
      <c r="H329" s="18" t="s">
        <v>33</v>
      </c>
      <c r="I329" s="18" t="s">
        <v>54</v>
      </c>
      <c r="J329" s="18" t="s">
        <v>55</v>
      </c>
      <c r="K329" s="18" t="s">
        <v>56</v>
      </c>
      <c r="L329" s="18" t="s">
        <v>36</v>
      </c>
      <c r="N329" s="18">
        <v>6</v>
      </c>
      <c r="O329" s="18" t="s">
        <v>88</v>
      </c>
      <c r="P329" s="18" t="s">
        <v>38</v>
      </c>
      <c r="Q329" s="18" t="s">
        <v>58</v>
      </c>
      <c r="R329" s="18" t="s">
        <v>59</v>
      </c>
      <c r="S329" s="18" t="s">
        <v>60</v>
      </c>
      <c r="T329" s="18" t="b">
        <v>1</v>
      </c>
      <c r="U329" s="18" t="s">
        <v>39</v>
      </c>
      <c r="V329" s="18" t="s">
        <v>40</v>
      </c>
      <c r="W329" s="18" t="s">
        <v>196</v>
      </c>
      <c r="X329" s="18" t="s">
        <v>197</v>
      </c>
      <c r="Y329" s="18">
        <v>1</v>
      </c>
      <c r="Z329" s="18">
        <v>8500</v>
      </c>
      <c r="AA329" s="18" t="s">
        <v>303</v>
      </c>
      <c r="AB329" s="18" t="s">
        <v>282</v>
      </c>
      <c r="AC329" s="18" t="s">
        <v>43</v>
      </c>
    </row>
    <row r="330" s="18" customFormat="1" spans="1:29">
      <c r="A330" s="18" t="s">
        <v>1093</v>
      </c>
      <c r="B330" s="25" t="s">
        <v>1093</v>
      </c>
      <c r="C330" s="26">
        <v>45671</v>
      </c>
      <c r="D330" s="18" t="s">
        <v>301</v>
      </c>
      <c r="E330" s="18" t="str">
        <f t="shared" si="5"/>
        <v>Yash Gifts</v>
      </c>
      <c r="F330" s="27" t="s">
        <v>302</v>
      </c>
      <c r="G330" s="18" t="s">
        <v>32</v>
      </c>
      <c r="H330" s="18" t="s">
        <v>33</v>
      </c>
      <c r="I330" s="18" t="s">
        <v>54</v>
      </c>
      <c r="J330" s="18" t="s">
        <v>55</v>
      </c>
      <c r="K330" s="18" t="s">
        <v>56</v>
      </c>
      <c r="L330" s="18" t="s">
        <v>36</v>
      </c>
      <c r="N330" s="18">
        <v>6</v>
      </c>
      <c r="O330" s="18" t="s">
        <v>88</v>
      </c>
      <c r="P330" s="18" t="s">
        <v>38</v>
      </c>
      <c r="Q330" s="18" t="s">
        <v>58</v>
      </c>
      <c r="R330" s="18" t="s">
        <v>59</v>
      </c>
      <c r="S330" s="18" t="s">
        <v>60</v>
      </c>
      <c r="T330" s="18" t="b">
        <v>1</v>
      </c>
      <c r="U330" s="18" t="s">
        <v>39</v>
      </c>
      <c r="V330" s="18" t="s">
        <v>40</v>
      </c>
      <c r="W330" s="18" t="s">
        <v>140</v>
      </c>
      <c r="X330" s="18" t="s">
        <v>141</v>
      </c>
      <c r="Y330" s="18">
        <v>1</v>
      </c>
      <c r="Z330" s="18">
        <v>4917.2</v>
      </c>
      <c r="AA330" s="18" t="s">
        <v>303</v>
      </c>
      <c r="AB330" s="18" t="s">
        <v>282</v>
      </c>
      <c r="AC330" s="18" t="s">
        <v>1094</v>
      </c>
    </row>
    <row r="331" s="18" customFormat="1" spans="1:29">
      <c r="A331" s="18" t="s">
        <v>1095</v>
      </c>
      <c r="B331" s="25" t="s">
        <v>1095</v>
      </c>
      <c r="C331" s="26">
        <v>45671</v>
      </c>
      <c r="D331" s="18" t="s">
        <v>1096</v>
      </c>
      <c r="E331" s="18" t="str">
        <f t="shared" si="5"/>
        <v>21Fools Design &amp; Entertainment Pvt Ltd</v>
      </c>
      <c r="F331" s="27" t="s">
        <v>1097</v>
      </c>
      <c r="G331" s="18" t="s">
        <v>147</v>
      </c>
      <c r="H331" s="18" t="s">
        <v>148</v>
      </c>
      <c r="I331" s="18" t="s">
        <v>54</v>
      </c>
      <c r="J331" s="18" t="s">
        <v>1098</v>
      </c>
      <c r="K331" s="18" t="s">
        <v>56</v>
      </c>
      <c r="L331" s="18" t="s">
        <v>36</v>
      </c>
      <c r="N331" s="18">
        <v>6</v>
      </c>
      <c r="O331" s="18" t="s">
        <v>88</v>
      </c>
      <c r="P331" s="18" t="s">
        <v>38</v>
      </c>
      <c r="Q331" s="18" t="s">
        <v>58</v>
      </c>
      <c r="R331" s="18" t="s">
        <v>59</v>
      </c>
      <c r="S331" s="18" t="s">
        <v>60</v>
      </c>
      <c r="T331" s="18" t="b">
        <v>1</v>
      </c>
      <c r="U331" s="18" t="s">
        <v>150</v>
      </c>
      <c r="V331" s="18" t="s">
        <v>40</v>
      </c>
      <c r="W331" s="18" t="s">
        <v>140</v>
      </c>
      <c r="X331" s="18" t="s">
        <v>141</v>
      </c>
      <c r="Y331" s="18">
        <v>1</v>
      </c>
      <c r="Z331" s="18">
        <v>57288</v>
      </c>
      <c r="AA331" s="18" t="s">
        <v>1099</v>
      </c>
      <c r="AB331" s="18" t="s">
        <v>1100</v>
      </c>
      <c r="AC331" s="18" t="s">
        <v>155</v>
      </c>
    </row>
    <row r="332" s="18" customFormat="1" spans="1:29">
      <c r="A332" s="18" t="s">
        <v>1101</v>
      </c>
      <c r="B332" s="25" t="s">
        <v>1101</v>
      </c>
      <c r="C332" s="26">
        <v>45671</v>
      </c>
      <c r="D332" s="18" t="s">
        <v>1102</v>
      </c>
      <c r="E332" s="18" t="str">
        <f t="shared" si="5"/>
        <v>Modi Graphics</v>
      </c>
      <c r="F332" s="27" t="s">
        <v>1103</v>
      </c>
      <c r="G332" s="18" t="s">
        <v>147</v>
      </c>
      <c r="H332" s="18" t="s">
        <v>148</v>
      </c>
      <c r="I332" s="18" t="s">
        <v>54</v>
      </c>
      <c r="J332" s="18" t="s">
        <v>149</v>
      </c>
      <c r="K332" s="18" t="s">
        <v>56</v>
      </c>
      <c r="L332" s="18" t="s">
        <v>36</v>
      </c>
      <c r="N332" s="18">
        <v>6</v>
      </c>
      <c r="O332" s="18" t="s">
        <v>88</v>
      </c>
      <c r="P332" s="18" t="s">
        <v>38</v>
      </c>
      <c r="Q332" s="18" t="s">
        <v>58</v>
      </c>
      <c r="R332" s="18" t="s">
        <v>59</v>
      </c>
      <c r="S332" s="18" t="s">
        <v>60</v>
      </c>
      <c r="T332" s="18" t="b">
        <v>1</v>
      </c>
      <c r="U332" s="18" t="s">
        <v>150</v>
      </c>
      <c r="V332" s="18" t="s">
        <v>40</v>
      </c>
      <c r="W332" s="18" t="s">
        <v>140</v>
      </c>
      <c r="X332" s="18" t="s">
        <v>141</v>
      </c>
      <c r="Y332" s="18">
        <v>1</v>
      </c>
      <c r="Z332" s="18">
        <v>71750</v>
      </c>
      <c r="AA332" s="18" t="s">
        <v>1104</v>
      </c>
      <c r="AB332" s="18" t="s">
        <v>464</v>
      </c>
      <c r="AC332" s="18" t="s">
        <v>163</v>
      </c>
    </row>
    <row r="333" s="18" customFormat="1" spans="1:29">
      <c r="A333" s="18" t="s">
        <v>1105</v>
      </c>
      <c r="B333" s="25" t="s">
        <v>1105</v>
      </c>
      <c r="C333" s="26">
        <v>45671</v>
      </c>
      <c r="D333" s="18" t="s">
        <v>1106</v>
      </c>
      <c r="E333" s="18" t="str">
        <f t="shared" si="5"/>
        <v>Epicurean Hospitality Services Pvt Ltd</v>
      </c>
      <c r="F333" s="27" t="s">
        <v>1107</v>
      </c>
      <c r="G333" s="18" t="s">
        <v>147</v>
      </c>
      <c r="H333" s="18" t="s">
        <v>148</v>
      </c>
      <c r="I333" s="18" t="s">
        <v>54</v>
      </c>
      <c r="J333" s="18" t="s">
        <v>149</v>
      </c>
      <c r="K333" s="18" t="s">
        <v>56</v>
      </c>
      <c r="L333" s="18" t="s">
        <v>36</v>
      </c>
      <c r="N333" s="18">
        <v>6</v>
      </c>
      <c r="O333" s="18" t="s">
        <v>93</v>
      </c>
      <c r="P333" s="18" t="s">
        <v>38</v>
      </c>
      <c r="Q333" s="18" t="s">
        <v>58</v>
      </c>
      <c r="R333" s="18" t="s">
        <v>59</v>
      </c>
      <c r="S333" s="18" t="s">
        <v>60</v>
      </c>
      <c r="T333" s="18" t="b">
        <v>1</v>
      </c>
      <c r="U333" s="18" t="s">
        <v>150</v>
      </c>
      <c r="V333" s="18" t="s">
        <v>40</v>
      </c>
      <c r="W333" s="18" t="s">
        <v>276</v>
      </c>
      <c r="X333" s="18" t="s">
        <v>276</v>
      </c>
      <c r="Y333" s="18">
        <v>1</v>
      </c>
      <c r="Z333" s="18">
        <v>747000</v>
      </c>
      <c r="AA333" s="18" t="s">
        <v>1108</v>
      </c>
      <c r="AB333" s="18" t="s">
        <v>1109</v>
      </c>
      <c r="AC333" s="18" t="s">
        <v>764</v>
      </c>
    </row>
    <row r="334" s="18" customFormat="1" spans="1:29">
      <c r="A334" s="18" t="s">
        <v>1110</v>
      </c>
      <c r="B334" s="25" t="s">
        <v>1110</v>
      </c>
      <c r="C334" s="26">
        <v>45671</v>
      </c>
      <c r="D334" s="18" t="s">
        <v>1111</v>
      </c>
      <c r="E334" s="18" t="str">
        <f t="shared" si="5"/>
        <v>ITC Maurya New Delhi (ITC Hotels Ltd)</v>
      </c>
      <c r="F334" s="27" t="s">
        <v>1112</v>
      </c>
      <c r="G334" s="18" t="s">
        <v>147</v>
      </c>
      <c r="H334" s="18" t="s">
        <v>148</v>
      </c>
      <c r="I334" s="18" t="s">
        <v>54</v>
      </c>
      <c r="J334" s="18" t="s">
        <v>149</v>
      </c>
      <c r="K334" s="18" t="s">
        <v>56</v>
      </c>
      <c r="L334" s="18" t="s">
        <v>36</v>
      </c>
      <c r="N334" s="18">
        <v>6</v>
      </c>
      <c r="O334" s="18" t="s">
        <v>93</v>
      </c>
      <c r="P334" s="18" t="s">
        <v>38</v>
      </c>
      <c r="Q334" s="18" t="s">
        <v>58</v>
      </c>
      <c r="R334" s="18" t="s">
        <v>59</v>
      </c>
      <c r="S334" s="18" t="s">
        <v>60</v>
      </c>
      <c r="T334" s="18" t="b">
        <v>1</v>
      </c>
      <c r="U334" s="18" t="s">
        <v>150</v>
      </c>
      <c r="V334" s="18" t="s">
        <v>40</v>
      </c>
      <c r="W334" s="18" t="s">
        <v>276</v>
      </c>
      <c r="X334" s="18" t="s">
        <v>276</v>
      </c>
      <c r="Y334" s="18">
        <v>1</v>
      </c>
      <c r="Z334" s="18">
        <v>195035</v>
      </c>
      <c r="AA334" s="18" t="s">
        <v>1113</v>
      </c>
      <c r="AB334" s="18" t="s">
        <v>1109</v>
      </c>
      <c r="AC334" s="18" t="s">
        <v>163</v>
      </c>
    </row>
    <row r="335" s="18" customFormat="1" spans="1:29">
      <c r="A335" s="18" t="s">
        <v>1114</v>
      </c>
      <c r="B335" s="25" t="s">
        <v>1114</v>
      </c>
      <c r="C335" s="26">
        <v>45671</v>
      </c>
      <c r="D335" s="18" t="s">
        <v>1115</v>
      </c>
      <c r="E335" s="18" t="str">
        <f t="shared" si="5"/>
        <v>Nock Time Service</v>
      </c>
      <c r="F335" s="27" t="e">
        <v>#N/A</v>
      </c>
      <c r="G335" s="18" t="s">
        <v>147</v>
      </c>
      <c r="H335" s="18" t="s">
        <v>148</v>
      </c>
      <c r="I335" s="18" t="s">
        <v>34</v>
      </c>
      <c r="J335" s="18" t="s">
        <v>1116</v>
      </c>
      <c r="K335" s="18" t="s">
        <v>56</v>
      </c>
      <c r="L335" s="18" t="s">
        <v>36</v>
      </c>
      <c r="N335" s="18">
        <v>6</v>
      </c>
      <c r="O335" s="18" t="s">
        <v>57</v>
      </c>
      <c r="P335" s="18" t="s">
        <v>38</v>
      </c>
      <c r="Q335" s="18" t="s">
        <v>117</v>
      </c>
      <c r="R335" s="18" t="s">
        <v>59</v>
      </c>
      <c r="S335" s="18" t="s">
        <v>118</v>
      </c>
      <c r="T335" s="18" t="b">
        <v>1</v>
      </c>
      <c r="U335" s="18" t="s">
        <v>150</v>
      </c>
      <c r="V335" s="18" t="s">
        <v>40</v>
      </c>
      <c r="W335" s="18" t="s">
        <v>317</v>
      </c>
      <c r="X335" s="18" t="s">
        <v>318</v>
      </c>
      <c r="Y335" s="18">
        <v>1</v>
      </c>
      <c r="Z335" s="18">
        <v>200000</v>
      </c>
      <c r="AA335" s="18" t="s">
        <v>121</v>
      </c>
      <c r="AB335" s="18" t="s">
        <v>122</v>
      </c>
      <c r="AC335" s="18" t="s">
        <v>155</v>
      </c>
    </row>
    <row r="336" s="18" customFormat="1" spans="1:29">
      <c r="A336" s="18" t="s">
        <v>1117</v>
      </c>
      <c r="B336" s="25" t="s">
        <v>1117</v>
      </c>
      <c r="C336" s="26">
        <v>45671</v>
      </c>
      <c r="D336" s="18" t="s">
        <v>697</v>
      </c>
      <c r="E336" s="18" t="str">
        <f t="shared" si="5"/>
        <v>Pavni Enterprises</v>
      </c>
      <c r="F336" s="27" t="s">
        <v>698</v>
      </c>
      <c r="G336" s="18" t="s">
        <v>147</v>
      </c>
      <c r="H336" s="18" t="s">
        <v>148</v>
      </c>
      <c r="I336" s="18" t="s">
        <v>54</v>
      </c>
      <c r="J336" s="18" t="s">
        <v>1118</v>
      </c>
      <c r="K336" s="18" t="s">
        <v>56</v>
      </c>
      <c r="L336" s="18" t="s">
        <v>36</v>
      </c>
      <c r="N336" s="18">
        <v>6</v>
      </c>
      <c r="O336" s="18" t="s">
        <v>57</v>
      </c>
      <c r="P336" s="18" t="s">
        <v>38</v>
      </c>
      <c r="Q336" s="18" t="s">
        <v>58</v>
      </c>
      <c r="R336" s="18" t="s">
        <v>59</v>
      </c>
      <c r="S336" s="18" t="s">
        <v>60</v>
      </c>
      <c r="T336" s="18" t="b">
        <v>1</v>
      </c>
      <c r="U336" s="18" t="s">
        <v>150</v>
      </c>
      <c r="V336" s="18" t="s">
        <v>40</v>
      </c>
      <c r="W336" s="18" t="s">
        <v>140</v>
      </c>
      <c r="X336" s="18" t="s">
        <v>141</v>
      </c>
      <c r="Y336" s="18">
        <v>1</v>
      </c>
      <c r="Z336" s="18">
        <v>129600</v>
      </c>
      <c r="AA336" s="18" t="s">
        <v>322</v>
      </c>
      <c r="AB336" s="18" t="s">
        <v>323</v>
      </c>
      <c r="AC336" s="18" t="s">
        <v>163</v>
      </c>
    </row>
    <row r="337" s="18" customFormat="1" spans="1:29">
      <c r="A337" s="18" t="s">
        <v>1119</v>
      </c>
      <c r="B337" s="25" t="s">
        <v>1119</v>
      </c>
      <c r="C337" s="26">
        <v>45671</v>
      </c>
      <c r="D337" s="18" t="s">
        <v>697</v>
      </c>
      <c r="E337" s="18" t="str">
        <f t="shared" si="5"/>
        <v>Pavni Enterprises</v>
      </c>
      <c r="F337" s="27" t="s">
        <v>698</v>
      </c>
      <c r="G337" s="18" t="s">
        <v>147</v>
      </c>
      <c r="H337" s="18" t="s">
        <v>148</v>
      </c>
      <c r="I337" s="18" t="s">
        <v>54</v>
      </c>
      <c r="J337" s="18" t="s">
        <v>240</v>
      </c>
      <c r="K337" s="18" t="s">
        <v>56</v>
      </c>
      <c r="L337" s="18" t="s">
        <v>36</v>
      </c>
      <c r="N337" s="18">
        <v>6</v>
      </c>
      <c r="O337" s="18" t="s">
        <v>57</v>
      </c>
      <c r="P337" s="18" t="s">
        <v>38</v>
      </c>
      <c r="Q337" s="18" t="s">
        <v>58</v>
      </c>
      <c r="R337" s="18" t="s">
        <v>59</v>
      </c>
      <c r="S337" s="18" t="s">
        <v>60</v>
      </c>
      <c r="T337" s="18" t="b">
        <v>1</v>
      </c>
      <c r="U337" s="18" t="s">
        <v>150</v>
      </c>
      <c r="V337" s="18" t="s">
        <v>40</v>
      </c>
      <c r="W337" s="18" t="s">
        <v>140</v>
      </c>
      <c r="X337" s="18" t="s">
        <v>141</v>
      </c>
      <c r="Y337" s="18">
        <v>1</v>
      </c>
      <c r="Z337" s="18">
        <v>481500</v>
      </c>
      <c r="AA337" s="18" t="s">
        <v>241</v>
      </c>
      <c r="AB337" s="18" t="s">
        <v>242</v>
      </c>
      <c r="AC337" s="18" t="s">
        <v>163</v>
      </c>
    </row>
    <row r="338" s="18" customFormat="1" spans="1:29">
      <c r="A338" s="18" t="s">
        <v>1120</v>
      </c>
      <c r="B338" s="25" t="s">
        <v>1120</v>
      </c>
      <c r="C338" s="26">
        <v>45671</v>
      </c>
      <c r="D338" s="18" t="s">
        <v>1121</v>
      </c>
      <c r="E338" s="18" t="str">
        <f t="shared" si="5"/>
        <v>Junobo Hotels Pvt Ltd</v>
      </c>
      <c r="F338" s="27" t="s">
        <v>1122</v>
      </c>
      <c r="G338" s="18" t="s">
        <v>182</v>
      </c>
      <c r="H338" s="18" t="s">
        <v>183</v>
      </c>
      <c r="I338" s="18" t="s">
        <v>54</v>
      </c>
      <c r="J338" s="18" t="s">
        <v>1098</v>
      </c>
      <c r="K338" s="18" t="s">
        <v>56</v>
      </c>
      <c r="L338" s="18" t="s">
        <v>36</v>
      </c>
      <c r="N338" s="18">
        <v>6</v>
      </c>
      <c r="O338" s="18" t="s">
        <v>93</v>
      </c>
      <c r="P338" s="18" t="s">
        <v>38</v>
      </c>
      <c r="Q338" s="18" t="s">
        <v>58</v>
      </c>
      <c r="R338" s="18" t="s">
        <v>59</v>
      </c>
      <c r="S338" s="18" t="s">
        <v>60</v>
      </c>
      <c r="T338" s="18" t="b">
        <v>0</v>
      </c>
      <c r="U338" s="18" t="s">
        <v>187</v>
      </c>
      <c r="V338" s="18" t="s">
        <v>40</v>
      </c>
      <c r="W338" s="18" t="s">
        <v>61</v>
      </c>
      <c r="X338" s="18" t="s">
        <v>62</v>
      </c>
      <c r="Y338" s="18">
        <v>1</v>
      </c>
      <c r="Z338" s="18">
        <v>250287</v>
      </c>
      <c r="AA338" s="18" t="s">
        <v>63</v>
      </c>
      <c r="AB338" s="18" t="s">
        <v>64</v>
      </c>
      <c r="AC338" s="18" t="s">
        <v>200</v>
      </c>
    </row>
    <row r="339" s="18" customFormat="1" spans="1:29">
      <c r="A339" s="18" t="s">
        <v>1123</v>
      </c>
      <c r="B339" s="25" t="s">
        <v>1123</v>
      </c>
      <c r="C339" s="26">
        <v>45672</v>
      </c>
      <c r="D339" s="18" t="s">
        <v>1124</v>
      </c>
      <c r="E339" s="18" t="str">
        <f t="shared" si="5"/>
        <v>Gifting Plans</v>
      </c>
      <c r="F339" s="27" t="s">
        <v>1125</v>
      </c>
      <c r="G339" s="18" t="s">
        <v>32</v>
      </c>
      <c r="H339" s="18" t="s">
        <v>33</v>
      </c>
      <c r="I339" s="18" t="s">
        <v>34</v>
      </c>
      <c r="J339" s="18" t="s">
        <v>1126</v>
      </c>
      <c r="K339" s="18" t="s">
        <v>56</v>
      </c>
      <c r="L339" s="18" t="s">
        <v>36</v>
      </c>
      <c r="N339" s="18">
        <v>6</v>
      </c>
      <c r="O339" s="18" t="s">
        <v>88</v>
      </c>
      <c r="P339" s="18" t="s">
        <v>38</v>
      </c>
      <c r="Q339" s="18" t="s">
        <v>117</v>
      </c>
      <c r="R339" s="18" t="s">
        <v>59</v>
      </c>
      <c r="S339" s="18" t="s">
        <v>118</v>
      </c>
      <c r="T339" s="18" t="b">
        <v>1</v>
      </c>
      <c r="U339" s="18" t="s">
        <v>39</v>
      </c>
      <c r="V339" s="18" t="s">
        <v>40</v>
      </c>
      <c r="W339" s="18" t="s">
        <v>140</v>
      </c>
      <c r="X339" s="18" t="s">
        <v>141</v>
      </c>
      <c r="Y339" s="18">
        <v>1</v>
      </c>
      <c r="Z339" s="18">
        <v>64500</v>
      </c>
      <c r="AA339" s="18" t="s">
        <v>1127</v>
      </c>
      <c r="AB339" s="18" t="s">
        <v>1128</v>
      </c>
      <c r="AC339" s="18" t="s">
        <v>43</v>
      </c>
    </row>
    <row r="340" s="18" customFormat="1" ht="29" spans="1:29">
      <c r="A340" s="18" t="s">
        <v>1129</v>
      </c>
      <c r="B340" s="25" t="s">
        <v>1129</v>
      </c>
      <c r="C340" s="26">
        <v>45672</v>
      </c>
      <c r="D340" s="18" t="s">
        <v>1130</v>
      </c>
      <c r="E340" s="18" t="str">
        <f t="shared" si="5"/>
        <v>Reventus</v>
      </c>
      <c r="F340" s="27" t="e">
        <v>#N/A</v>
      </c>
      <c r="G340" s="18" t="s">
        <v>32</v>
      </c>
      <c r="H340" s="18" t="s">
        <v>33</v>
      </c>
      <c r="I340" s="18" t="s">
        <v>184</v>
      </c>
      <c r="J340" s="18" t="s">
        <v>1131</v>
      </c>
      <c r="K340" s="18" t="s">
        <v>56</v>
      </c>
      <c r="L340" s="18" t="s">
        <v>36</v>
      </c>
      <c r="N340" s="18">
        <v>6</v>
      </c>
      <c r="O340" s="18" t="s">
        <v>88</v>
      </c>
      <c r="P340" s="18" t="s">
        <v>38</v>
      </c>
      <c r="Q340" s="18" t="s">
        <v>194</v>
      </c>
      <c r="R340" s="18" t="s">
        <v>59</v>
      </c>
      <c r="S340" s="18" t="s">
        <v>195</v>
      </c>
      <c r="T340" s="18" t="b">
        <v>1</v>
      </c>
      <c r="U340" s="18" t="s">
        <v>39</v>
      </c>
      <c r="V340" s="18" t="s">
        <v>40</v>
      </c>
      <c r="W340" s="18" t="s">
        <v>151</v>
      </c>
      <c r="X340" s="18" t="s">
        <v>152</v>
      </c>
      <c r="Y340" s="18">
        <v>1</v>
      </c>
      <c r="Z340" s="18">
        <v>800000</v>
      </c>
      <c r="AA340" s="31" t="s">
        <v>729</v>
      </c>
      <c r="AB340" s="18" t="s">
        <v>730</v>
      </c>
      <c r="AC340" s="18" t="s">
        <v>43</v>
      </c>
    </row>
    <row r="341" s="18" customFormat="1" spans="1:29">
      <c r="A341" s="18" t="s">
        <v>1132</v>
      </c>
      <c r="B341" s="25" t="s">
        <v>1132</v>
      </c>
      <c r="C341" s="26">
        <v>45672</v>
      </c>
      <c r="D341" s="18" t="s">
        <v>1133</v>
      </c>
      <c r="E341" s="18" t="str">
        <f t="shared" si="5"/>
        <v>Anurama V  </v>
      </c>
      <c r="F341" s="27" t="e">
        <v>#N/A</v>
      </c>
      <c r="G341" s="18" t="s">
        <v>32</v>
      </c>
      <c r="H341" s="18" t="s">
        <v>33</v>
      </c>
      <c r="I341" s="18" t="s">
        <v>133</v>
      </c>
      <c r="K341" s="18" t="s">
        <v>35</v>
      </c>
      <c r="L341" s="18" t="s">
        <v>36</v>
      </c>
      <c r="N341" s="18">
        <v>6</v>
      </c>
      <c r="O341" s="18" t="s">
        <v>93</v>
      </c>
      <c r="P341" s="18" t="s">
        <v>38</v>
      </c>
      <c r="T341" s="18" t="b">
        <v>1</v>
      </c>
      <c r="U341" s="18" t="s">
        <v>39</v>
      </c>
      <c r="V341" s="18" t="s">
        <v>40</v>
      </c>
      <c r="W341" s="18" t="s">
        <v>134</v>
      </c>
      <c r="X341" s="18" t="s">
        <v>135</v>
      </c>
      <c r="Y341" s="18">
        <v>1</v>
      </c>
      <c r="Z341" s="18">
        <v>3890</v>
      </c>
      <c r="AA341" s="18" t="s">
        <v>334</v>
      </c>
      <c r="AB341" s="18" t="s">
        <v>335</v>
      </c>
      <c r="AC341" s="18" t="e">
        <v>#N/A</v>
      </c>
    </row>
    <row r="342" s="19" customFormat="1" spans="1:29">
      <c r="A342" s="19" t="s">
        <v>1134</v>
      </c>
      <c r="B342" s="28" t="s">
        <v>1134</v>
      </c>
      <c r="C342" s="29">
        <v>45672</v>
      </c>
      <c r="D342" s="19" t="s">
        <v>1135</v>
      </c>
      <c r="E342" s="19" t="str">
        <f t="shared" si="5"/>
        <v>Megha Mittal </v>
      </c>
      <c r="F342" s="30" t="e">
        <v>#N/A</v>
      </c>
      <c r="G342" s="19" t="s">
        <v>32</v>
      </c>
      <c r="H342" s="19" t="s">
        <v>33</v>
      </c>
      <c r="I342" s="19" t="s">
        <v>133</v>
      </c>
      <c r="K342" s="19" t="s">
        <v>35</v>
      </c>
      <c r="L342" s="19" t="s">
        <v>36</v>
      </c>
      <c r="N342" s="19">
        <v>6</v>
      </c>
      <c r="O342" s="19" t="s">
        <v>93</v>
      </c>
      <c r="P342" s="19" t="s">
        <v>38</v>
      </c>
      <c r="T342" s="19" t="b">
        <v>1</v>
      </c>
      <c r="U342" s="19" t="s">
        <v>39</v>
      </c>
      <c r="V342" s="19" t="s">
        <v>40</v>
      </c>
      <c r="W342" s="19" t="s">
        <v>107</v>
      </c>
      <c r="X342" s="19" t="e">
        <v>#N/A</v>
      </c>
      <c r="Y342" s="19">
        <v>1</v>
      </c>
      <c r="Z342" s="19">
        <v>1800</v>
      </c>
      <c r="AA342" s="19" t="s">
        <v>334</v>
      </c>
      <c r="AB342" s="19" t="s">
        <v>335</v>
      </c>
      <c r="AC342" s="19" t="e">
        <v>#N/A</v>
      </c>
    </row>
    <row r="343" s="18" customFormat="1" spans="1:29">
      <c r="A343" s="18" t="s">
        <v>1136</v>
      </c>
      <c r="B343" s="25" t="s">
        <v>1136</v>
      </c>
      <c r="C343" s="26">
        <v>45672</v>
      </c>
      <c r="D343" s="18" t="s">
        <v>1135</v>
      </c>
      <c r="E343" s="18" t="str">
        <f t="shared" si="5"/>
        <v>Megha Mittal </v>
      </c>
      <c r="F343" s="27" t="e">
        <v>#N/A</v>
      </c>
      <c r="G343" s="18" t="s">
        <v>32</v>
      </c>
      <c r="H343" s="18" t="s">
        <v>33</v>
      </c>
      <c r="I343" s="18" t="s">
        <v>133</v>
      </c>
      <c r="K343" s="18" t="s">
        <v>35</v>
      </c>
      <c r="L343" s="18" t="s">
        <v>36</v>
      </c>
      <c r="N343" s="18">
        <v>6</v>
      </c>
      <c r="O343" s="18" t="s">
        <v>93</v>
      </c>
      <c r="P343" s="18" t="s">
        <v>38</v>
      </c>
      <c r="T343" s="18" t="b">
        <v>1</v>
      </c>
      <c r="U343" s="18" t="s">
        <v>39</v>
      </c>
      <c r="V343" s="18" t="s">
        <v>40</v>
      </c>
      <c r="W343" s="18" t="s">
        <v>134</v>
      </c>
      <c r="X343" s="18" t="s">
        <v>135</v>
      </c>
      <c r="Y343" s="18">
        <v>1</v>
      </c>
      <c r="Z343" s="18">
        <v>3323</v>
      </c>
      <c r="AA343" s="18" t="s">
        <v>334</v>
      </c>
      <c r="AB343" s="18" t="s">
        <v>335</v>
      </c>
      <c r="AC343" s="18" t="e">
        <v>#N/A</v>
      </c>
    </row>
    <row r="344" s="19" customFormat="1" spans="1:29">
      <c r="A344" s="19" t="s">
        <v>1137</v>
      </c>
      <c r="B344" s="28" t="s">
        <v>1137</v>
      </c>
      <c r="C344" s="29">
        <v>45672</v>
      </c>
      <c r="D344" s="19" t="s">
        <v>1135</v>
      </c>
      <c r="E344" s="19" t="str">
        <f t="shared" si="5"/>
        <v>Megha Mittal </v>
      </c>
      <c r="F344" s="30" t="e">
        <v>#N/A</v>
      </c>
      <c r="G344" s="19" t="s">
        <v>32</v>
      </c>
      <c r="H344" s="19" t="s">
        <v>33</v>
      </c>
      <c r="I344" s="19" t="s">
        <v>133</v>
      </c>
      <c r="K344" s="19" t="s">
        <v>35</v>
      </c>
      <c r="L344" s="19" t="s">
        <v>36</v>
      </c>
      <c r="N344" s="19">
        <v>6</v>
      </c>
      <c r="O344" s="19" t="s">
        <v>93</v>
      </c>
      <c r="P344" s="19" t="s">
        <v>38</v>
      </c>
      <c r="T344" s="19" t="b">
        <v>1</v>
      </c>
      <c r="U344" s="19" t="s">
        <v>39</v>
      </c>
      <c r="V344" s="19" t="s">
        <v>40</v>
      </c>
      <c r="W344" s="19" t="s">
        <v>107</v>
      </c>
      <c r="X344" s="19" t="e">
        <v>#N/A</v>
      </c>
      <c r="Y344" s="19">
        <v>1</v>
      </c>
      <c r="Z344" s="19">
        <v>15000</v>
      </c>
      <c r="AA344" s="19" t="s">
        <v>334</v>
      </c>
      <c r="AB344" s="19" t="s">
        <v>335</v>
      </c>
      <c r="AC344" s="19" t="e">
        <v>#N/A</v>
      </c>
    </row>
    <row r="345" s="18" customFormat="1" spans="1:29">
      <c r="A345" s="18" t="s">
        <v>1138</v>
      </c>
      <c r="B345" s="25" t="s">
        <v>1138</v>
      </c>
      <c r="C345" s="26">
        <v>45672</v>
      </c>
      <c r="D345" s="18" t="s">
        <v>1139</v>
      </c>
      <c r="E345" s="18" t="str">
        <f t="shared" si="5"/>
        <v>Farhan Shariff  </v>
      </c>
      <c r="F345" s="27" t="e">
        <v>#N/A</v>
      </c>
      <c r="G345" s="18" t="s">
        <v>32</v>
      </c>
      <c r="H345" s="18" t="s">
        <v>33</v>
      </c>
      <c r="I345" s="18" t="s">
        <v>133</v>
      </c>
      <c r="J345" s="18" t="s">
        <v>316</v>
      </c>
      <c r="K345" s="18" t="s">
        <v>56</v>
      </c>
      <c r="L345" s="18" t="s">
        <v>36</v>
      </c>
      <c r="N345" s="18">
        <v>6</v>
      </c>
      <c r="O345" s="18" t="s">
        <v>93</v>
      </c>
      <c r="P345" s="18" t="s">
        <v>38</v>
      </c>
      <c r="Q345" s="18" t="s">
        <v>117</v>
      </c>
      <c r="R345" s="18" t="s">
        <v>59</v>
      </c>
      <c r="S345" s="18" t="s">
        <v>118</v>
      </c>
      <c r="T345" s="18" t="b">
        <v>1</v>
      </c>
      <c r="U345" s="18" t="s">
        <v>39</v>
      </c>
      <c r="V345" s="18" t="s">
        <v>40</v>
      </c>
      <c r="W345" s="18" t="s">
        <v>412</v>
      </c>
      <c r="X345" s="18" t="s">
        <v>413</v>
      </c>
      <c r="Y345" s="18">
        <v>1</v>
      </c>
      <c r="Z345" s="18">
        <v>1253</v>
      </c>
      <c r="AA345" s="18" t="s">
        <v>128</v>
      </c>
      <c r="AB345" s="18" t="s">
        <v>129</v>
      </c>
      <c r="AC345" s="18" t="e">
        <v>#N/A</v>
      </c>
    </row>
    <row r="346" s="18" customFormat="1" ht="29" spans="1:29">
      <c r="A346" s="18" t="s">
        <v>1140</v>
      </c>
      <c r="B346" s="25" t="s">
        <v>1140</v>
      </c>
      <c r="C346" s="26">
        <v>45672</v>
      </c>
      <c r="D346" s="18" t="s">
        <v>1141</v>
      </c>
      <c r="E346" s="18" t="str">
        <f t="shared" si="5"/>
        <v>Eco Prints</v>
      </c>
      <c r="F346" s="27" t="s">
        <v>1142</v>
      </c>
      <c r="G346" s="18" t="s">
        <v>99</v>
      </c>
      <c r="H346" s="18" t="s">
        <v>100</v>
      </c>
      <c r="I346" s="18" t="s">
        <v>184</v>
      </c>
      <c r="J346" s="18" t="s">
        <v>916</v>
      </c>
      <c r="K346" s="18" t="s">
        <v>56</v>
      </c>
      <c r="L346" s="18" t="s">
        <v>36</v>
      </c>
      <c r="N346" s="18">
        <v>6</v>
      </c>
      <c r="O346" s="18" t="s">
        <v>88</v>
      </c>
      <c r="P346" s="18" t="s">
        <v>38</v>
      </c>
      <c r="Q346" s="18" t="s">
        <v>194</v>
      </c>
      <c r="R346" s="18" t="s">
        <v>59</v>
      </c>
      <c r="S346" s="18" t="s">
        <v>195</v>
      </c>
      <c r="T346" s="18" t="b">
        <v>1</v>
      </c>
      <c r="U346" s="18" t="s">
        <v>101</v>
      </c>
      <c r="V346" s="18" t="s">
        <v>40</v>
      </c>
      <c r="W346" s="18" t="s">
        <v>196</v>
      </c>
      <c r="X346" s="18" t="s">
        <v>197</v>
      </c>
      <c r="Y346" s="18">
        <v>1</v>
      </c>
      <c r="Z346" s="18">
        <v>1500</v>
      </c>
      <c r="AA346" s="31" t="s">
        <v>1143</v>
      </c>
      <c r="AB346" s="18" t="s">
        <v>514</v>
      </c>
      <c r="AC346" s="18" t="s">
        <v>111</v>
      </c>
    </row>
    <row r="347" s="18" customFormat="1" ht="29" spans="1:29">
      <c r="A347" s="18" t="s">
        <v>1144</v>
      </c>
      <c r="B347" s="25" t="s">
        <v>1144</v>
      </c>
      <c r="C347" s="26">
        <v>45672</v>
      </c>
      <c r="D347" s="18" t="s">
        <v>1145</v>
      </c>
      <c r="E347" s="18" t="str">
        <f t="shared" si="5"/>
        <v>Neet (M) Fabricators</v>
      </c>
      <c r="F347" s="27" t="s">
        <v>1146</v>
      </c>
      <c r="G347" s="18" t="s">
        <v>99</v>
      </c>
      <c r="H347" s="18" t="s">
        <v>100</v>
      </c>
      <c r="I347" s="18" t="s">
        <v>184</v>
      </c>
      <c r="J347" s="18" t="s">
        <v>1147</v>
      </c>
      <c r="K347" s="18" t="s">
        <v>56</v>
      </c>
      <c r="L347" s="18" t="s">
        <v>36</v>
      </c>
      <c r="N347" s="18">
        <v>6</v>
      </c>
      <c r="O347" s="18" t="s">
        <v>57</v>
      </c>
      <c r="P347" s="18" t="s">
        <v>38</v>
      </c>
      <c r="Q347" s="18" t="s">
        <v>58</v>
      </c>
      <c r="R347" s="18" t="s">
        <v>59</v>
      </c>
      <c r="S347" s="18" t="s">
        <v>60</v>
      </c>
      <c r="T347" s="18" t="b">
        <v>1</v>
      </c>
      <c r="U347" s="18" t="s">
        <v>101</v>
      </c>
      <c r="V347" s="18" t="s">
        <v>40</v>
      </c>
      <c r="W347" s="18" t="s">
        <v>151</v>
      </c>
      <c r="X347" s="18" t="s">
        <v>152</v>
      </c>
      <c r="Y347" s="18">
        <v>1</v>
      </c>
      <c r="Z347" s="18">
        <v>159400</v>
      </c>
      <c r="AA347" s="31" t="s">
        <v>1143</v>
      </c>
      <c r="AB347" s="18" t="s">
        <v>514</v>
      </c>
      <c r="AC347" s="18" t="s">
        <v>111</v>
      </c>
    </row>
    <row r="348" s="18" customFormat="1" ht="29" spans="1:29">
      <c r="A348" s="18" t="s">
        <v>1148</v>
      </c>
      <c r="B348" s="25" t="s">
        <v>1148</v>
      </c>
      <c r="C348" s="26">
        <v>45672</v>
      </c>
      <c r="D348" s="18" t="s">
        <v>1141</v>
      </c>
      <c r="E348" s="18" t="str">
        <f t="shared" si="5"/>
        <v>Eco Prints</v>
      </c>
      <c r="F348" s="27" t="s">
        <v>1142</v>
      </c>
      <c r="G348" s="18" t="s">
        <v>99</v>
      </c>
      <c r="H348" s="18" t="s">
        <v>100</v>
      </c>
      <c r="I348" s="18" t="s">
        <v>184</v>
      </c>
      <c r="J348" s="18" t="s">
        <v>1147</v>
      </c>
      <c r="K348" s="18" t="s">
        <v>56</v>
      </c>
      <c r="L348" s="18" t="s">
        <v>36</v>
      </c>
      <c r="N348" s="18">
        <v>6</v>
      </c>
      <c r="O348" s="18" t="s">
        <v>88</v>
      </c>
      <c r="P348" s="18" t="s">
        <v>38</v>
      </c>
      <c r="Q348" s="18" t="s">
        <v>58</v>
      </c>
      <c r="R348" s="18" t="s">
        <v>59</v>
      </c>
      <c r="S348" s="18" t="s">
        <v>60</v>
      </c>
      <c r="T348" s="18" t="b">
        <v>1</v>
      </c>
      <c r="U348" s="18" t="s">
        <v>101</v>
      </c>
      <c r="V348" s="18" t="s">
        <v>40</v>
      </c>
      <c r="W348" s="18" t="s">
        <v>196</v>
      </c>
      <c r="X348" s="18" t="s">
        <v>197</v>
      </c>
      <c r="Y348" s="18">
        <v>1</v>
      </c>
      <c r="Z348" s="18">
        <v>57600</v>
      </c>
      <c r="AA348" s="31" t="s">
        <v>1143</v>
      </c>
      <c r="AB348" s="18" t="s">
        <v>514</v>
      </c>
      <c r="AC348" s="18" t="s">
        <v>111</v>
      </c>
    </row>
    <row r="349" s="18" customFormat="1" ht="29" spans="1:29">
      <c r="A349" s="18" t="s">
        <v>1149</v>
      </c>
      <c r="B349" s="25" t="s">
        <v>1149</v>
      </c>
      <c r="C349" s="26">
        <v>45672</v>
      </c>
      <c r="D349" s="18" t="s">
        <v>325</v>
      </c>
      <c r="E349" s="18" t="str">
        <f t="shared" si="5"/>
        <v>Gala Event Solutions</v>
      </c>
      <c r="F349" s="27" t="s">
        <v>326</v>
      </c>
      <c r="G349" s="18" t="s">
        <v>99</v>
      </c>
      <c r="H349" s="18" t="s">
        <v>100</v>
      </c>
      <c r="I349" s="18" t="s">
        <v>184</v>
      </c>
      <c r="J349" s="18" t="s">
        <v>1147</v>
      </c>
      <c r="K349" s="18" t="s">
        <v>56</v>
      </c>
      <c r="L349" s="18" t="s">
        <v>36</v>
      </c>
      <c r="N349" s="18">
        <v>6</v>
      </c>
      <c r="O349" s="18" t="s">
        <v>88</v>
      </c>
      <c r="P349" s="18" t="s">
        <v>38</v>
      </c>
      <c r="Q349" s="18" t="s">
        <v>58</v>
      </c>
      <c r="R349" s="18" t="s">
        <v>59</v>
      </c>
      <c r="S349" s="18" t="s">
        <v>60</v>
      </c>
      <c r="T349" s="18" t="b">
        <v>1</v>
      </c>
      <c r="U349" s="18" t="s">
        <v>101</v>
      </c>
      <c r="V349" s="18" t="s">
        <v>40</v>
      </c>
      <c r="W349" s="18" t="s">
        <v>292</v>
      </c>
      <c r="X349" s="18" t="s">
        <v>293</v>
      </c>
      <c r="Y349" s="18">
        <v>1</v>
      </c>
      <c r="Z349" s="18">
        <v>4000</v>
      </c>
      <c r="AA349" s="31" t="s">
        <v>1143</v>
      </c>
      <c r="AB349" s="18" t="s">
        <v>514</v>
      </c>
      <c r="AC349" s="18" t="s">
        <v>111</v>
      </c>
    </row>
    <row r="350" s="18" customFormat="1" spans="1:29">
      <c r="A350" s="18" t="s">
        <v>1150</v>
      </c>
      <c r="B350" s="25" t="s">
        <v>1150</v>
      </c>
      <c r="C350" s="26">
        <v>45672</v>
      </c>
      <c r="D350" s="18" t="s">
        <v>331</v>
      </c>
      <c r="E350" s="18" t="str">
        <f t="shared" si="5"/>
        <v>Clinton J  for Expense</v>
      </c>
      <c r="F350" s="27" t="e">
        <v>#N/A</v>
      </c>
      <c r="G350" s="18" t="s">
        <v>99</v>
      </c>
      <c r="H350" s="18" t="s">
        <v>100</v>
      </c>
      <c r="I350" s="18" t="s">
        <v>133</v>
      </c>
      <c r="K350" s="18" t="s">
        <v>35</v>
      </c>
      <c r="L350" s="18" t="s">
        <v>36</v>
      </c>
      <c r="N350" s="18">
        <v>6</v>
      </c>
      <c r="O350" s="18" t="s">
        <v>93</v>
      </c>
      <c r="P350" s="18" t="s">
        <v>38</v>
      </c>
      <c r="T350" s="18" t="b">
        <v>1</v>
      </c>
      <c r="U350" s="18" t="s">
        <v>101</v>
      </c>
      <c r="V350" s="18" t="s">
        <v>40</v>
      </c>
      <c r="W350" s="18" t="s">
        <v>134</v>
      </c>
      <c r="X350" s="18" t="s">
        <v>135</v>
      </c>
      <c r="Y350" s="18">
        <v>1</v>
      </c>
      <c r="Z350" s="18">
        <v>3400</v>
      </c>
      <c r="AA350" s="18" t="s">
        <v>334</v>
      </c>
      <c r="AB350" s="18" t="s">
        <v>335</v>
      </c>
      <c r="AC350" s="18" t="e">
        <v>#N/A</v>
      </c>
    </row>
    <row r="351" s="18" customFormat="1" ht="29" spans="1:29">
      <c r="A351" s="18" t="s">
        <v>1151</v>
      </c>
      <c r="B351" s="25" t="s">
        <v>1151</v>
      </c>
      <c r="C351" s="26">
        <v>45672</v>
      </c>
      <c r="D351" s="18" t="s">
        <v>1152</v>
      </c>
      <c r="E351" s="18" t="str">
        <f t="shared" si="5"/>
        <v>Creo Solutions</v>
      </c>
      <c r="F351" s="27" t="s">
        <v>1153</v>
      </c>
      <c r="G351" s="18" t="s">
        <v>147</v>
      </c>
      <c r="H351" s="18" t="s">
        <v>148</v>
      </c>
      <c r="I351" s="18" t="s">
        <v>184</v>
      </c>
      <c r="J351" s="18" t="s">
        <v>1131</v>
      </c>
      <c r="K351" s="18" t="s">
        <v>56</v>
      </c>
      <c r="L351" s="18" t="s">
        <v>36</v>
      </c>
      <c r="N351" s="18">
        <v>6</v>
      </c>
      <c r="O351" s="18" t="s">
        <v>88</v>
      </c>
      <c r="P351" s="18" t="s">
        <v>38</v>
      </c>
      <c r="Q351" s="18" t="s">
        <v>194</v>
      </c>
      <c r="R351" s="18" t="s">
        <v>59</v>
      </c>
      <c r="S351" s="18" t="s">
        <v>195</v>
      </c>
      <c r="T351" s="18" t="b">
        <v>1</v>
      </c>
      <c r="U351" s="18" t="s">
        <v>150</v>
      </c>
      <c r="V351" s="18" t="s">
        <v>40</v>
      </c>
      <c r="W351" s="18" t="s">
        <v>140</v>
      </c>
      <c r="X351" s="18" t="s">
        <v>141</v>
      </c>
      <c r="Y351" s="18">
        <v>1</v>
      </c>
      <c r="Z351" s="18">
        <v>210200</v>
      </c>
      <c r="AA351" s="31" t="s">
        <v>729</v>
      </c>
      <c r="AB351" s="18" t="s">
        <v>730</v>
      </c>
      <c r="AC351" s="18" t="s">
        <v>163</v>
      </c>
    </row>
    <row r="352" s="18" customFormat="1" spans="1:29">
      <c r="A352" s="18" t="s">
        <v>1154</v>
      </c>
      <c r="B352" s="25" t="s">
        <v>1154</v>
      </c>
      <c r="C352" s="26">
        <v>45672</v>
      </c>
      <c r="D352" s="18" t="s">
        <v>1155</v>
      </c>
      <c r="E352" s="18" t="str">
        <f t="shared" si="5"/>
        <v>Ravi Kiroula </v>
      </c>
      <c r="F352" s="27" t="e">
        <v>#N/A</v>
      </c>
      <c r="G352" s="18" t="s">
        <v>147</v>
      </c>
      <c r="H352" s="18" t="s">
        <v>148</v>
      </c>
      <c r="I352" s="18" t="s">
        <v>207</v>
      </c>
      <c r="J352" s="18" t="s">
        <v>55</v>
      </c>
      <c r="K352" s="18" t="s">
        <v>56</v>
      </c>
      <c r="L352" s="18" t="s">
        <v>36</v>
      </c>
      <c r="N352" s="18">
        <v>6</v>
      </c>
      <c r="O352" s="18" t="s">
        <v>93</v>
      </c>
      <c r="P352" s="18" t="s">
        <v>38</v>
      </c>
      <c r="Q352" s="18" t="s">
        <v>58</v>
      </c>
      <c r="R352" s="18" t="s">
        <v>59</v>
      </c>
      <c r="S352" s="18" t="s">
        <v>60</v>
      </c>
      <c r="T352" s="18" t="b">
        <v>1</v>
      </c>
      <c r="U352" s="18" t="s">
        <v>150</v>
      </c>
      <c r="V352" s="18" t="s">
        <v>40</v>
      </c>
      <c r="W352" s="18" t="s">
        <v>126</v>
      </c>
      <c r="X352" s="18" t="s">
        <v>127</v>
      </c>
      <c r="Y352" s="18">
        <v>1</v>
      </c>
      <c r="Z352" s="18">
        <v>5262</v>
      </c>
      <c r="AA352" s="18" t="s">
        <v>153</v>
      </c>
      <c r="AB352" s="18" t="s">
        <v>154</v>
      </c>
      <c r="AC352" s="18" t="e">
        <v>#N/A</v>
      </c>
    </row>
    <row r="353" s="18" customFormat="1" spans="1:29">
      <c r="A353" s="18" t="s">
        <v>1156</v>
      </c>
      <c r="B353" s="25" t="s">
        <v>1156</v>
      </c>
      <c r="C353" s="26">
        <v>45672</v>
      </c>
      <c r="D353" s="18" t="s">
        <v>426</v>
      </c>
      <c r="E353" s="18" t="str">
        <f t="shared" si="5"/>
        <v>Garv Aggarwal  </v>
      </c>
      <c r="F353" s="27" t="e">
        <v>#N/A</v>
      </c>
      <c r="G353" s="18" t="s">
        <v>147</v>
      </c>
      <c r="H353" s="18" t="s">
        <v>148</v>
      </c>
      <c r="I353" s="18" t="s">
        <v>207</v>
      </c>
      <c r="J353" s="18" t="s">
        <v>462</v>
      </c>
      <c r="K353" s="18" t="s">
        <v>56</v>
      </c>
      <c r="L353" s="18" t="s">
        <v>36</v>
      </c>
      <c r="N353" s="18">
        <v>6</v>
      </c>
      <c r="O353" s="18" t="s">
        <v>93</v>
      </c>
      <c r="P353" s="18" t="s">
        <v>38</v>
      </c>
      <c r="Q353" s="18" t="s">
        <v>58</v>
      </c>
      <c r="R353" s="18" t="s">
        <v>59</v>
      </c>
      <c r="S353" s="18" t="s">
        <v>60</v>
      </c>
      <c r="T353" s="18" t="b">
        <v>1</v>
      </c>
      <c r="U353" s="18" t="s">
        <v>150</v>
      </c>
      <c r="V353" s="18" t="s">
        <v>40</v>
      </c>
      <c r="W353" s="18" t="s">
        <v>140</v>
      </c>
      <c r="X353" s="18" t="s">
        <v>141</v>
      </c>
      <c r="Y353" s="18">
        <v>1</v>
      </c>
      <c r="Z353" s="18">
        <v>159800</v>
      </c>
      <c r="AA353" s="18" t="s">
        <v>781</v>
      </c>
      <c r="AB353" s="18" t="s">
        <v>428</v>
      </c>
      <c r="AC353" s="18" t="e">
        <v>#N/A</v>
      </c>
    </row>
    <row r="354" s="18" customFormat="1" spans="1:29">
      <c r="A354" s="18" t="s">
        <v>1157</v>
      </c>
      <c r="B354" s="25" t="s">
        <v>1157</v>
      </c>
      <c r="C354" s="26">
        <v>45672</v>
      </c>
      <c r="D354" s="18" t="s">
        <v>426</v>
      </c>
      <c r="E354" s="18" t="str">
        <f t="shared" si="5"/>
        <v>Garv Aggarwal  </v>
      </c>
      <c r="F354" s="27" t="e">
        <v>#N/A</v>
      </c>
      <c r="G354" s="18" t="s">
        <v>147</v>
      </c>
      <c r="H354" s="18" t="s">
        <v>148</v>
      </c>
      <c r="I354" s="18" t="s">
        <v>207</v>
      </c>
      <c r="J354" s="18" t="s">
        <v>310</v>
      </c>
      <c r="K354" s="18" t="s">
        <v>56</v>
      </c>
      <c r="L354" s="18" t="s">
        <v>36</v>
      </c>
      <c r="N354" s="18">
        <v>6</v>
      </c>
      <c r="O354" s="18" t="s">
        <v>93</v>
      </c>
      <c r="P354" s="18" t="s">
        <v>38</v>
      </c>
      <c r="Q354" s="18" t="s">
        <v>58</v>
      </c>
      <c r="R354" s="18" t="s">
        <v>59</v>
      </c>
      <c r="S354" s="18" t="s">
        <v>60</v>
      </c>
      <c r="T354" s="18" t="b">
        <v>1</v>
      </c>
      <c r="U354" s="18" t="s">
        <v>150</v>
      </c>
      <c r="V354" s="18" t="s">
        <v>40</v>
      </c>
      <c r="W354" s="18" t="s">
        <v>126</v>
      </c>
      <c r="X354" s="18" t="s">
        <v>127</v>
      </c>
      <c r="Y354" s="18">
        <v>1</v>
      </c>
      <c r="Z354" s="18">
        <v>5659.52</v>
      </c>
      <c r="AA354" s="18" t="s">
        <v>781</v>
      </c>
      <c r="AB354" s="18" t="s">
        <v>428</v>
      </c>
      <c r="AC354" s="18" t="e">
        <v>#N/A</v>
      </c>
    </row>
    <row r="355" s="18" customFormat="1" spans="1:29">
      <c r="A355" s="18" t="s">
        <v>1158</v>
      </c>
      <c r="B355" s="25" t="s">
        <v>1158</v>
      </c>
      <c r="C355" s="26">
        <v>45672</v>
      </c>
      <c r="D355" s="18" t="s">
        <v>426</v>
      </c>
      <c r="E355" s="18" t="str">
        <f t="shared" si="5"/>
        <v>Garv Aggarwal  </v>
      </c>
      <c r="F355" s="27" t="e">
        <v>#N/A</v>
      </c>
      <c r="G355" s="18" t="s">
        <v>147</v>
      </c>
      <c r="H355" s="18" t="s">
        <v>148</v>
      </c>
      <c r="I355" s="18" t="s">
        <v>207</v>
      </c>
      <c r="J355" s="18" t="s">
        <v>55</v>
      </c>
      <c r="K355" s="18" t="s">
        <v>56</v>
      </c>
      <c r="L355" s="18" t="s">
        <v>36</v>
      </c>
      <c r="N355" s="18">
        <v>6</v>
      </c>
      <c r="O355" s="18" t="s">
        <v>93</v>
      </c>
      <c r="P355" s="18" t="s">
        <v>38</v>
      </c>
      <c r="Q355" s="18" t="s">
        <v>58</v>
      </c>
      <c r="R355" s="18" t="s">
        <v>59</v>
      </c>
      <c r="S355" s="18" t="s">
        <v>60</v>
      </c>
      <c r="T355" s="18" t="b">
        <v>1</v>
      </c>
      <c r="U355" s="18" t="s">
        <v>150</v>
      </c>
      <c r="V355" s="18" t="s">
        <v>40</v>
      </c>
      <c r="W355" s="18" t="s">
        <v>126</v>
      </c>
      <c r="X355" s="18" t="s">
        <v>127</v>
      </c>
      <c r="Y355" s="18">
        <v>1</v>
      </c>
      <c r="Z355" s="18">
        <v>1766.8</v>
      </c>
      <c r="AA355" s="18" t="s">
        <v>781</v>
      </c>
      <c r="AB355" s="18" t="s">
        <v>428</v>
      </c>
      <c r="AC355" s="18" t="e">
        <v>#N/A</v>
      </c>
    </row>
    <row r="356" s="18" customFormat="1" spans="1:29">
      <c r="A356" s="18" t="s">
        <v>1159</v>
      </c>
      <c r="B356" s="25" t="s">
        <v>1159</v>
      </c>
      <c r="C356" s="26">
        <v>45672</v>
      </c>
      <c r="D356" s="18" t="s">
        <v>384</v>
      </c>
      <c r="E356" s="18" t="str">
        <f t="shared" si="5"/>
        <v>Anurag Jadli  </v>
      </c>
      <c r="F356" s="27" t="e">
        <v>#N/A</v>
      </c>
      <c r="G356" s="18" t="s">
        <v>147</v>
      </c>
      <c r="H356" s="18" t="s">
        <v>148</v>
      </c>
      <c r="I356" s="18" t="s">
        <v>207</v>
      </c>
      <c r="J356" s="18" t="s">
        <v>240</v>
      </c>
      <c r="K356" s="18" t="s">
        <v>56</v>
      </c>
      <c r="L356" s="18" t="s">
        <v>36</v>
      </c>
      <c r="N356" s="18">
        <v>6</v>
      </c>
      <c r="O356" s="18" t="s">
        <v>93</v>
      </c>
      <c r="P356" s="18" t="s">
        <v>38</v>
      </c>
      <c r="Q356" s="18" t="s">
        <v>58</v>
      </c>
      <c r="R356" s="18" t="s">
        <v>59</v>
      </c>
      <c r="S356" s="18" t="s">
        <v>60</v>
      </c>
      <c r="T356" s="18" t="b">
        <v>1</v>
      </c>
      <c r="U356" s="18" t="s">
        <v>150</v>
      </c>
      <c r="V356" s="18" t="s">
        <v>40</v>
      </c>
      <c r="W356" s="18" t="s">
        <v>126</v>
      </c>
      <c r="X356" s="18" t="s">
        <v>127</v>
      </c>
      <c r="Y356" s="18">
        <v>1</v>
      </c>
      <c r="Z356" s="18">
        <v>1769</v>
      </c>
      <c r="AA356" s="18" t="s">
        <v>1160</v>
      </c>
      <c r="AB356" s="18" t="s">
        <v>386</v>
      </c>
      <c r="AC356" s="18" t="e">
        <v>#N/A</v>
      </c>
    </row>
    <row r="357" s="19" customFormat="1" spans="1:29">
      <c r="A357" s="19" t="s">
        <v>1161</v>
      </c>
      <c r="B357" s="28" t="s">
        <v>1161</v>
      </c>
      <c r="C357" s="29">
        <v>45672</v>
      </c>
      <c r="D357" s="19" t="s">
        <v>1029</v>
      </c>
      <c r="E357" s="19" t="str">
        <f t="shared" si="5"/>
        <v>Pankaj Kumar Mishra  </v>
      </c>
      <c r="F357" s="30" t="e">
        <v>#N/A</v>
      </c>
      <c r="G357" s="19" t="s">
        <v>147</v>
      </c>
      <c r="H357" s="19" t="s">
        <v>148</v>
      </c>
      <c r="I357" s="19" t="s">
        <v>207</v>
      </c>
      <c r="K357" s="19" t="s">
        <v>35</v>
      </c>
      <c r="L357" s="19" t="s">
        <v>36</v>
      </c>
      <c r="N357" s="19">
        <v>6</v>
      </c>
      <c r="O357" s="19" t="s">
        <v>93</v>
      </c>
      <c r="P357" s="19" t="s">
        <v>38</v>
      </c>
      <c r="T357" s="19" t="b">
        <v>1</v>
      </c>
      <c r="U357" s="19" t="s">
        <v>150</v>
      </c>
      <c r="V357" s="19" t="s">
        <v>40</v>
      </c>
      <c r="W357" s="19" t="s">
        <v>1162</v>
      </c>
      <c r="X357" s="19" t="e">
        <v>#N/A</v>
      </c>
      <c r="Y357" s="19">
        <v>1</v>
      </c>
      <c r="Z357" s="19">
        <v>22000</v>
      </c>
      <c r="AA357" s="19" t="s">
        <v>1163</v>
      </c>
      <c r="AB357" s="19" t="s">
        <v>228</v>
      </c>
      <c r="AC357" s="19" t="e">
        <v>#N/A</v>
      </c>
    </row>
    <row r="358" s="18" customFormat="1" spans="1:29">
      <c r="A358" s="18" t="s">
        <v>1164</v>
      </c>
      <c r="B358" s="25" t="s">
        <v>1164</v>
      </c>
      <c r="C358" s="26">
        <v>45672</v>
      </c>
      <c r="D358" s="18" t="s">
        <v>681</v>
      </c>
      <c r="E358" s="18" t="str">
        <f t="shared" si="5"/>
        <v>Ravi (EOFPR1927Q)</v>
      </c>
      <c r="F358" s="27" t="s">
        <v>682</v>
      </c>
      <c r="G358" s="18" t="s">
        <v>147</v>
      </c>
      <c r="H358" s="18" t="s">
        <v>148</v>
      </c>
      <c r="I358" s="18" t="s">
        <v>54</v>
      </c>
      <c r="J358" s="18" t="s">
        <v>149</v>
      </c>
      <c r="K358" s="18" t="s">
        <v>56</v>
      </c>
      <c r="L358" s="18" t="s">
        <v>36</v>
      </c>
      <c r="N358" s="18">
        <v>6</v>
      </c>
      <c r="O358" s="18" t="s">
        <v>57</v>
      </c>
      <c r="P358" s="18" t="s">
        <v>38</v>
      </c>
      <c r="Q358" s="18" t="s">
        <v>58</v>
      </c>
      <c r="R358" s="18" t="s">
        <v>59</v>
      </c>
      <c r="S358" s="18" t="s">
        <v>60</v>
      </c>
      <c r="T358" s="18" t="b">
        <v>1</v>
      </c>
      <c r="U358" s="18" t="s">
        <v>150</v>
      </c>
      <c r="V358" s="18" t="s">
        <v>40</v>
      </c>
      <c r="W358" s="18" t="s">
        <v>683</v>
      </c>
      <c r="X358" s="18" t="s">
        <v>684</v>
      </c>
      <c r="Y358" s="18">
        <v>1</v>
      </c>
      <c r="Z358" s="18">
        <v>120000</v>
      </c>
      <c r="AA358" s="18" t="s">
        <v>1165</v>
      </c>
      <c r="AB358" s="18" t="s">
        <v>1166</v>
      </c>
      <c r="AC358" s="18" t="e">
        <v>#N/A</v>
      </c>
    </row>
    <row r="359" s="18" customFormat="1" spans="1:29">
      <c r="A359" s="18" t="s">
        <v>1167</v>
      </c>
      <c r="B359" s="25" t="s">
        <v>1167</v>
      </c>
      <c r="C359" s="26">
        <v>45672</v>
      </c>
      <c r="D359" s="18" t="s">
        <v>238</v>
      </c>
      <c r="E359" s="18" t="str">
        <f t="shared" si="5"/>
        <v>Studio Merchandise Pvt Ltd</v>
      </c>
      <c r="F359" s="27" t="s">
        <v>239</v>
      </c>
      <c r="G359" s="18" t="s">
        <v>147</v>
      </c>
      <c r="H359" s="18" t="s">
        <v>148</v>
      </c>
      <c r="I359" s="18" t="s">
        <v>54</v>
      </c>
      <c r="J359" s="18" t="s">
        <v>1168</v>
      </c>
      <c r="K359" s="18" t="s">
        <v>56</v>
      </c>
      <c r="L359" s="18" t="s">
        <v>36</v>
      </c>
      <c r="N359" s="18">
        <v>6</v>
      </c>
      <c r="O359" s="18" t="s">
        <v>88</v>
      </c>
      <c r="P359" s="18" t="s">
        <v>38</v>
      </c>
      <c r="Q359" s="18" t="s">
        <v>58</v>
      </c>
      <c r="R359" s="18" t="s">
        <v>59</v>
      </c>
      <c r="S359" s="18" t="s">
        <v>60</v>
      </c>
      <c r="T359" s="18" t="b">
        <v>1</v>
      </c>
      <c r="U359" s="18" t="s">
        <v>150</v>
      </c>
      <c r="V359" s="18" t="s">
        <v>40</v>
      </c>
      <c r="W359" s="18" t="s">
        <v>140</v>
      </c>
      <c r="X359" s="18" t="s">
        <v>141</v>
      </c>
      <c r="Y359" s="18">
        <v>1</v>
      </c>
      <c r="Z359" s="18">
        <v>152800</v>
      </c>
      <c r="AA359" s="18" t="s">
        <v>1169</v>
      </c>
      <c r="AB359" s="18" t="s">
        <v>1170</v>
      </c>
      <c r="AC359" s="18" t="s">
        <v>163</v>
      </c>
    </row>
    <row r="360" s="18" customFormat="1" spans="1:29">
      <c r="A360" s="18" t="s">
        <v>1171</v>
      </c>
      <c r="B360" s="25" t="s">
        <v>1171</v>
      </c>
      <c r="C360" s="26">
        <v>45672</v>
      </c>
      <c r="D360" s="18" t="s">
        <v>238</v>
      </c>
      <c r="E360" s="18" t="str">
        <f t="shared" si="5"/>
        <v>Studio Merchandise Pvt Ltd</v>
      </c>
      <c r="F360" s="27" t="s">
        <v>239</v>
      </c>
      <c r="G360" s="18" t="s">
        <v>147</v>
      </c>
      <c r="H360" s="18" t="s">
        <v>148</v>
      </c>
      <c r="I360" s="18" t="s">
        <v>54</v>
      </c>
      <c r="J360" s="18" t="s">
        <v>1168</v>
      </c>
      <c r="K360" s="18" t="s">
        <v>56</v>
      </c>
      <c r="L360" s="18" t="s">
        <v>36</v>
      </c>
      <c r="N360" s="18">
        <v>6</v>
      </c>
      <c r="O360" s="18" t="s">
        <v>88</v>
      </c>
      <c r="P360" s="18" t="s">
        <v>38</v>
      </c>
      <c r="Q360" s="18" t="s">
        <v>58</v>
      </c>
      <c r="R360" s="18" t="s">
        <v>59</v>
      </c>
      <c r="S360" s="18" t="s">
        <v>60</v>
      </c>
      <c r="T360" s="18" t="b">
        <v>1</v>
      </c>
      <c r="U360" s="18" t="s">
        <v>150</v>
      </c>
      <c r="V360" s="18" t="s">
        <v>40</v>
      </c>
      <c r="W360" s="18" t="s">
        <v>140</v>
      </c>
      <c r="X360" s="18" t="s">
        <v>141</v>
      </c>
      <c r="Y360" s="18">
        <v>1</v>
      </c>
      <c r="Z360" s="18">
        <v>20000</v>
      </c>
      <c r="AA360" s="18" t="s">
        <v>1172</v>
      </c>
      <c r="AB360" s="18" t="s">
        <v>1170</v>
      </c>
      <c r="AC360" s="18" t="s">
        <v>163</v>
      </c>
    </row>
    <row r="361" s="18" customFormat="1" spans="1:29">
      <c r="A361" s="18" t="s">
        <v>1173</v>
      </c>
      <c r="B361" s="25" t="s">
        <v>1173</v>
      </c>
      <c r="C361" s="26">
        <v>45672</v>
      </c>
      <c r="D361" s="18" t="s">
        <v>1174</v>
      </c>
      <c r="E361" s="18" t="str">
        <f t="shared" si="5"/>
        <v>Perfect M &amp; C Services</v>
      </c>
      <c r="F361" s="27" t="s">
        <v>1175</v>
      </c>
      <c r="G361" s="18" t="s">
        <v>147</v>
      </c>
      <c r="H361" s="18" t="s">
        <v>148</v>
      </c>
      <c r="I361" s="18" t="s">
        <v>54</v>
      </c>
      <c r="J361" s="18" t="s">
        <v>310</v>
      </c>
      <c r="K361" s="18" t="s">
        <v>56</v>
      </c>
      <c r="L361" s="18" t="s">
        <v>36</v>
      </c>
      <c r="N361" s="18">
        <v>6</v>
      </c>
      <c r="O361" s="18" t="s">
        <v>88</v>
      </c>
      <c r="P361" s="18" t="s">
        <v>38</v>
      </c>
      <c r="Q361" s="18" t="s">
        <v>58</v>
      </c>
      <c r="R361" s="18" t="s">
        <v>59</v>
      </c>
      <c r="S361" s="18" t="s">
        <v>60</v>
      </c>
      <c r="T361" s="18" t="b">
        <v>1</v>
      </c>
      <c r="U361" s="18" t="s">
        <v>150</v>
      </c>
      <c r="V361" s="18" t="s">
        <v>40</v>
      </c>
      <c r="W361" s="18" t="s">
        <v>1176</v>
      </c>
      <c r="X361" s="18" t="s">
        <v>1177</v>
      </c>
      <c r="Y361" s="18">
        <v>1</v>
      </c>
      <c r="Z361" s="18">
        <v>10470</v>
      </c>
      <c r="AA361" s="18" t="s">
        <v>781</v>
      </c>
      <c r="AB361" s="18" t="s">
        <v>428</v>
      </c>
      <c r="AC361" s="18" t="s">
        <v>163</v>
      </c>
    </row>
    <row r="362" s="18" customFormat="1" spans="1:29">
      <c r="A362" s="18" t="s">
        <v>1178</v>
      </c>
      <c r="B362" s="25" t="s">
        <v>1178</v>
      </c>
      <c r="C362" s="26">
        <v>45672</v>
      </c>
      <c r="D362" s="18" t="s">
        <v>1179</v>
      </c>
      <c r="E362" s="18" t="str">
        <f t="shared" si="5"/>
        <v>Eventom</v>
      </c>
      <c r="F362" s="27" t="e">
        <v>#N/A</v>
      </c>
      <c r="G362" s="18" t="s">
        <v>147</v>
      </c>
      <c r="H362" s="18" t="s">
        <v>148</v>
      </c>
      <c r="I362" s="18" t="s">
        <v>54</v>
      </c>
      <c r="J362" s="18" t="s">
        <v>1180</v>
      </c>
      <c r="K362" s="18" t="s">
        <v>56</v>
      </c>
      <c r="L362" s="18" t="s">
        <v>36</v>
      </c>
      <c r="N362" s="18">
        <v>6</v>
      </c>
      <c r="O362" s="18" t="s">
        <v>88</v>
      </c>
      <c r="P362" s="18" t="s">
        <v>38</v>
      </c>
      <c r="Q362" s="18" t="s">
        <v>58</v>
      </c>
      <c r="R362" s="18" t="s">
        <v>59</v>
      </c>
      <c r="S362" s="18" t="s">
        <v>60</v>
      </c>
      <c r="T362" s="18" t="b">
        <v>1</v>
      </c>
      <c r="U362" s="18" t="s">
        <v>150</v>
      </c>
      <c r="V362" s="18" t="s">
        <v>40</v>
      </c>
      <c r="W362" s="18" t="s">
        <v>317</v>
      </c>
      <c r="X362" s="18" t="s">
        <v>318</v>
      </c>
      <c r="Y362" s="18">
        <v>1</v>
      </c>
      <c r="Z362" s="18">
        <v>258100</v>
      </c>
      <c r="AA362" s="18" t="s">
        <v>1181</v>
      </c>
      <c r="AB362" s="18" t="s">
        <v>1182</v>
      </c>
      <c r="AC362" s="18" t="s">
        <v>163</v>
      </c>
    </row>
    <row r="363" s="18" customFormat="1" spans="1:29">
      <c r="A363" s="18" t="s">
        <v>1183</v>
      </c>
      <c r="B363" s="25" t="s">
        <v>1183</v>
      </c>
      <c r="C363" s="26">
        <v>45672</v>
      </c>
      <c r="D363" s="18" t="s">
        <v>1184</v>
      </c>
      <c r="E363" s="18" t="str">
        <f t="shared" si="5"/>
        <v>JRS Creations &amp; Event Solutions (OPC) Pvt Ltd</v>
      </c>
      <c r="F363" s="27" t="s">
        <v>1185</v>
      </c>
      <c r="G363" s="18" t="s">
        <v>147</v>
      </c>
      <c r="H363" s="18" t="s">
        <v>148</v>
      </c>
      <c r="I363" s="18" t="s">
        <v>54</v>
      </c>
      <c r="J363" s="18" t="s">
        <v>149</v>
      </c>
      <c r="K363" s="18" t="s">
        <v>56</v>
      </c>
      <c r="L363" s="18" t="s">
        <v>36</v>
      </c>
      <c r="N363" s="18">
        <v>6</v>
      </c>
      <c r="O363" s="18" t="s">
        <v>88</v>
      </c>
      <c r="P363" s="18" t="s">
        <v>38</v>
      </c>
      <c r="Q363" s="18" t="s">
        <v>58</v>
      </c>
      <c r="R363" s="18" t="s">
        <v>59</v>
      </c>
      <c r="S363" s="18" t="s">
        <v>60</v>
      </c>
      <c r="T363" s="18" t="b">
        <v>1</v>
      </c>
      <c r="U363" s="18" t="s">
        <v>150</v>
      </c>
      <c r="V363" s="18" t="s">
        <v>40</v>
      </c>
      <c r="W363" s="18" t="s">
        <v>317</v>
      </c>
      <c r="X363" s="18" t="s">
        <v>318</v>
      </c>
      <c r="Y363" s="18">
        <v>1</v>
      </c>
      <c r="Z363" s="18">
        <v>85500</v>
      </c>
      <c r="AA363" s="18" t="s">
        <v>1186</v>
      </c>
      <c r="AB363" s="18" t="s">
        <v>1187</v>
      </c>
      <c r="AC363" s="18" t="s">
        <v>163</v>
      </c>
    </row>
    <row r="364" s="18" customFormat="1" spans="1:29">
      <c r="A364" s="18" t="s">
        <v>1188</v>
      </c>
      <c r="B364" s="25" t="s">
        <v>1188</v>
      </c>
      <c r="C364" s="26">
        <v>45672</v>
      </c>
      <c r="D364" s="18" t="s">
        <v>1189</v>
      </c>
      <c r="E364" s="18" t="str">
        <f t="shared" si="5"/>
        <v>Chandan Kumar</v>
      </c>
      <c r="F364" s="27" t="s">
        <v>1190</v>
      </c>
      <c r="G364" s="18" t="s">
        <v>147</v>
      </c>
      <c r="H364" s="18" t="s">
        <v>148</v>
      </c>
      <c r="I364" s="18" t="s">
        <v>54</v>
      </c>
      <c r="J364" s="18" t="s">
        <v>466</v>
      </c>
      <c r="K364" s="18" t="s">
        <v>56</v>
      </c>
      <c r="L364" s="18" t="s">
        <v>36</v>
      </c>
      <c r="N364" s="18">
        <v>6</v>
      </c>
      <c r="O364" s="18" t="s">
        <v>93</v>
      </c>
      <c r="P364" s="18" t="s">
        <v>38</v>
      </c>
      <c r="Q364" s="18" t="s">
        <v>58</v>
      </c>
      <c r="R364" s="18" t="s">
        <v>59</v>
      </c>
      <c r="S364" s="18" t="s">
        <v>60</v>
      </c>
      <c r="T364" s="18" t="b">
        <v>1</v>
      </c>
      <c r="U364" s="18" t="s">
        <v>150</v>
      </c>
      <c r="V364" s="18" t="s">
        <v>40</v>
      </c>
      <c r="W364" s="18" t="s">
        <v>276</v>
      </c>
      <c r="X364" s="18" t="s">
        <v>276</v>
      </c>
      <c r="Y364" s="18">
        <v>1</v>
      </c>
      <c r="Z364" s="18">
        <v>491750</v>
      </c>
      <c r="AA364" s="18" t="s">
        <v>142</v>
      </c>
      <c r="AB364" s="18" t="s">
        <v>143</v>
      </c>
      <c r="AC364" s="18" t="e">
        <v>#N/A</v>
      </c>
    </row>
    <row r="365" s="19" customFormat="1" spans="1:29">
      <c r="A365" s="19" t="s">
        <v>1191</v>
      </c>
      <c r="B365" s="28" t="s">
        <v>1191</v>
      </c>
      <c r="C365" s="29">
        <v>45672</v>
      </c>
      <c r="D365" s="19" t="s">
        <v>1192</v>
      </c>
      <c r="E365" s="19" t="str">
        <f t="shared" si="5"/>
        <v>Phd Print Solution</v>
      </c>
      <c r="F365" s="30" t="s">
        <v>1193</v>
      </c>
      <c r="G365" s="19" t="s">
        <v>147</v>
      </c>
      <c r="H365" s="19" t="s">
        <v>148</v>
      </c>
      <c r="I365" s="19" t="s">
        <v>54</v>
      </c>
      <c r="K365" s="19" t="s">
        <v>35</v>
      </c>
      <c r="L365" s="19" t="s">
        <v>36</v>
      </c>
      <c r="N365" s="19">
        <v>6</v>
      </c>
      <c r="O365" s="19" t="s">
        <v>88</v>
      </c>
      <c r="P365" s="19" t="s">
        <v>38</v>
      </c>
      <c r="T365" s="19" t="b">
        <v>1</v>
      </c>
      <c r="U365" s="19" t="s">
        <v>150</v>
      </c>
      <c r="V365" s="19" t="s">
        <v>40</v>
      </c>
      <c r="W365" s="19" t="s">
        <v>107</v>
      </c>
      <c r="X365" s="19" t="e">
        <v>#N/A</v>
      </c>
      <c r="Y365" s="19">
        <v>1</v>
      </c>
      <c r="Z365" s="19">
        <v>37200</v>
      </c>
      <c r="AA365" s="19" t="s">
        <v>1194</v>
      </c>
      <c r="AB365" s="19" t="s">
        <v>228</v>
      </c>
      <c r="AC365" s="19" t="s">
        <v>163</v>
      </c>
    </row>
    <row r="366" s="18" customFormat="1" spans="1:29">
      <c r="A366" s="18" t="s">
        <v>1195</v>
      </c>
      <c r="B366" s="25" t="s">
        <v>1195</v>
      </c>
      <c r="C366" s="26">
        <v>45672</v>
      </c>
      <c r="D366" s="18" t="s">
        <v>1052</v>
      </c>
      <c r="E366" s="18" t="str">
        <f t="shared" si="5"/>
        <v>Sachin Jadhav </v>
      </c>
      <c r="F366" s="27" t="e">
        <v>#N/A</v>
      </c>
      <c r="G366" s="18" t="s">
        <v>182</v>
      </c>
      <c r="H366" s="18" t="s">
        <v>183</v>
      </c>
      <c r="I366" s="18" t="s">
        <v>481</v>
      </c>
      <c r="J366" s="18" t="s">
        <v>862</v>
      </c>
      <c r="K366" s="18" t="s">
        <v>56</v>
      </c>
      <c r="L366" s="18" t="s">
        <v>36</v>
      </c>
      <c r="N366" s="18">
        <v>6</v>
      </c>
      <c r="O366" s="18" t="s">
        <v>93</v>
      </c>
      <c r="P366" s="18" t="s">
        <v>38</v>
      </c>
      <c r="Q366" s="18" t="s">
        <v>194</v>
      </c>
      <c r="R366" s="18" t="s">
        <v>59</v>
      </c>
      <c r="S366" s="18" t="s">
        <v>195</v>
      </c>
      <c r="T366" s="18" t="b">
        <v>0</v>
      </c>
      <c r="U366" s="18" t="s">
        <v>187</v>
      </c>
      <c r="V366" s="18" t="s">
        <v>40</v>
      </c>
      <c r="W366" s="18" t="s">
        <v>126</v>
      </c>
      <c r="X366" s="18" t="s">
        <v>127</v>
      </c>
      <c r="Y366" s="18">
        <v>1</v>
      </c>
      <c r="Z366" s="18">
        <v>698</v>
      </c>
      <c r="AC366" s="18" t="e">
        <v>#N/A</v>
      </c>
    </row>
    <row r="367" s="18" customFormat="1" spans="1:29">
      <c r="A367" s="18" t="s">
        <v>1196</v>
      </c>
      <c r="B367" s="25" t="s">
        <v>1196</v>
      </c>
      <c r="C367" s="26">
        <v>45672</v>
      </c>
      <c r="D367" s="18" t="s">
        <v>860</v>
      </c>
      <c r="E367" s="18" t="str">
        <f t="shared" si="5"/>
        <v>Mahendra Mane </v>
      </c>
      <c r="F367" s="27" t="e">
        <v>#N/A</v>
      </c>
      <c r="G367" s="18" t="s">
        <v>182</v>
      </c>
      <c r="H367" s="18" t="s">
        <v>183</v>
      </c>
      <c r="I367" s="18" t="s">
        <v>481</v>
      </c>
      <c r="J367" s="18" t="s">
        <v>1197</v>
      </c>
      <c r="K367" s="18" t="s">
        <v>56</v>
      </c>
      <c r="L367" s="18" t="s">
        <v>36</v>
      </c>
      <c r="N367" s="18">
        <v>6</v>
      </c>
      <c r="O367" s="18" t="s">
        <v>93</v>
      </c>
      <c r="P367" s="18" t="s">
        <v>38</v>
      </c>
      <c r="Q367" s="18" t="s">
        <v>194</v>
      </c>
      <c r="R367" s="18" t="s">
        <v>59</v>
      </c>
      <c r="S367" s="18" t="s">
        <v>195</v>
      </c>
      <c r="T367" s="18" t="b">
        <v>0</v>
      </c>
      <c r="U367" s="18" t="s">
        <v>187</v>
      </c>
      <c r="V367" s="18" t="s">
        <v>40</v>
      </c>
      <c r="W367" s="18" t="s">
        <v>412</v>
      </c>
      <c r="X367" s="18" t="s">
        <v>413</v>
      </c>
      <c r="Y367" s="18">
        <v>1</v>
      </c>
      <c r="Z367" s="18">
        <v>1440</v>
      </c>
      <c r="AC367" s="18" t="e">
        <v>#N/A</v>
      </c>
    </row>
    <row r="368" s="18" customFormat="1" spans="1:29">
      <c r="A368" s="18" t="s">
        <v>1198</v>
      </c>
      <c r="B368" s="25" t="s">
        <v>1198</v>
      </c>
      <c r="C368" s="26">
        <v>45672</v>
      </c>
      <c r="D368" s="18" t="s">
        <v>1052</v>
      </c>
      <c r="E368" s="18" t="str">
        <f t="shared" si="5"/>
        <v>Sachin Jadhav </v>
      </c>
      <c r="F368" s="27" t="e">
        <v>#N/A</v>
      </c>
      <c r="G368" s="18" t="s">
        <v>182</v>
      </c>
      <c r="H368" s="18" t="s">
        <v>183</v>
      </c>
      <c r="I368" s="18" t="s">
        <v>481</v>
      </c>
      <c r="J368" s="18" t="s">
        <v>395</v>
      </c>
      <c r="K368" s="18" t="s">
        <v>56</v>
      </c>
      <c r="L368" s="18" t="s">
        <v>36</v>
      </c>
      <c r="N368" s="18">
        <v>6</v>
      </c>
      <c r="O368" s="18" t="s">
        <v>93</v>
      </c>
      <c r="P368" s="18" t="s">
        <v>38</v>
      </c>
      <c r="Q368" s="18" t="s">
        <v>58</v>
      </c>
      <c r="R368" s="18" t="s">
        <v>59</v>
      </c>
      <c r="S368" s="18" t="s">
        <v>60</v>
      </c>
      <c r="T368" s="18" t="b">
        <v>0</v>
      </c>
      <c r="U368" s="18" t="s">
        <v>187</v>
      </c>
      <c r="V368" s="18" t="s">
        <v>40</v>
      </c>
      <c r="W368" s="18" t="s">
        <v>205</v>
      </c>
      <c r="X368" s="18" t="s">
        <v>205</v>
      </c>
      <c r="Y368" s="18">
        <v>1</v>
      </c>
      <c r="Z368" s="18">
        <v>550</v>
      </c>
      <c r="AC368" s="18" t="e">
        <v>#N/A</v>
      </c>
    </row>
    <row r="369" s="18" customFormat="1" spans="1:29">
      <c r="A369" s="18" t="s">
        <v>1199</v>
      </c>
      <c r="B369" s="25" t="s">
        <v>1199</v>
      </c>
      <c r="C369" s="26">
        <v>45672</v>
      </c>
      <c r="D369" s="18" t="s">
        <v>860</v>
      </c>
      <c r="E369" s="18" t="str">
        <f t="shared" si="5"/>
        <v>Mahendra Mane </v>
      </c>
      <c r="F369" s="27" t="e">
        <v>#N/A</v>
      </c>
      <c r="G369" s="18" t="s">
        <v>182</v>
      </c>
      <c r="H369" s="18" t="s">
        <v>183</v>
      </c>
      <c r="I369" s="18" t="s">
        <v>481</v>
      </c>
      <c r="J369" s="18" t="s">
        <v>989</v>
      </c>
      <c r="K369" s="18" t="s">
        <v>56</v>
      </c>
      <c r="L369" s="18" t="s">
        <v>36</v>
      </c>
      <c r="N369" s="18">
        <v>6</v>
      </c>
      <c r="O369" s="18" t="s">
        <v>93</v>
      </c>
      <c r="P369" s="18" t="s">
        <v>38</v>
      </c>
      <c r="Q369" s="18" t="s">
        <v>194</v>
      </c>
      <c r="R369" s="18" t="s">
        <v>59</v>
      </c>
      <c r="S369" s="18" t="s">
        <v>195</v>
      </c>
      <c r="T369" s="18" t="b">
        <v>0</v>
      </c>
      <c r="U369" s="18" t="s">
        <v>187</v>
      </c>
      <c r="V369" s="18" t="s">
        <v>40</v>
      </c>
      <c r="W369" s="18" t="s">
        <v>317</v>
      </c>
      <c r="X369" s="18" t="s">
        <v>318</v>
      </c>
      <c r="Y369" s="18">
        <v>1</v>
      </c>
      <c r="Z369" s="18">
        <v>4000</v>
      </c>
      <c r="AC369" s="18" t="e">
        <v>#N/A</v>
      </c>
    </row>
    <row r="370" s="18" customFormat="1" spans="1:29">
      <c r="A370" s="18" t="s">
        <v>1200</v>
      </c>
      <c r="B370" s="25" t="s">
        <v>1200</v>
      </c>
      <c r="C370" s="26">
        <v>45672</v>
      </c>
      <c r="D370" s="18" t="s">
        <v>1054</v>
      </c>
      <c r="E370" s="18" t="str">
        <f t="shared" si="5"/>
        <v>Suresh Pardhle  </v>
      </c>
      <c r="F370" s="27" t="e">
        <v>#N/A</v>
      </c>
      <c r="G370" s="18" t="s">
        <v>182</v>
      </c>
      <c r="H370" s="18" t="s">
        <v>183</v>
      </c>
      <c r="I370" s="18" t="s">
        <v>481</v>
      </c>
      <c r="J370" s="18" t="s">
        <v>1197</v>
      </c>
      <c r="K370" s="18" t="s">
        <v>56</v>
      </c>
      <c r="L370" s="18" t="s">
        <v>36</v>
      </c>
      <c r="N370" s="18">
        <v>6</v>
      </c>
      <c r="O370" s="18" t="s">
        <v>93</v>
      </c>
      <c r="P370" s="18" t="s">
        <v>38</v>
      </c>
      <c r="Q370" s="18" t="s">
        <v>194</v>
      </c>
      <c r="R370" s="18" t="s">
        <v>59</v>
      </c>
      <c r="S370" s="18" t="s">
        <v>195</v>
      </c>
      <c r="T370" s="18" t="b">
        <v>0</v>
      </c>
      <c r="U370" s="18" t="s">
        <v>187</v>
      </c>
      <c r="V370" s="18" t="s">
        <v>40</v>
      </c>
      <c r="W370" s="18" t="s">
        <v>317</v>
      </c>
      <c r="X370" s="18" t="s">
        <v>318</v>
      </c>
      <c r="Y370" s="18">
        <v>1</v>
      </c>
      <c r="Z370" s="18">
        <v>550</v>
      </c>
      <c r="AC370" s="18" t="e">
        <v>#N/A</v>
      </c>
    </row>
    <row r="371" s="18" customFormat="1" spans="1:29">
      <c r="A371" s="18" t="s">
        <v>1201</v>
      </c>
      <c r="B371" s="25" t="s">
        <v>1201</v>
      </c>
      <c r="C371" s="26">
        <v>45672</v>
      </c>
      <c r="D371" s="18" t="s">
        <v>1054</v>
      </c>
      <c r="E371" s="18" t="str">
        <f t="shared" si="5"/>
        <v>Suresh Pardhle  </v>
      </c>
      <c r="F371" s="27" t="e">
        <v>#N/A</v>
      </c>
      <c r="G371" s="18" t="s">
        <v>182</v>
      </c>
      <c r="H371" s="18" t="s">
        <v>183</v>
      </c>
      <c r="I371" s="18" t="s">
        <v>481</v>
      </c>
      <c r="J371" s="18" t="s">
        <v>1197</v>
      </c>
      <c r="K371" s="18" t="s">
        <v>56</v>
      </c>
      <c r="L371" s="18" t="s">
        <v>36</v>
      </c>
      <c r="N371" s="18">
        <v>6</v>
      </c>
      <c r="O371" s="18" t="s">
        <v>93</v>
      </c>
      <c r="P371" s="18" t="s">
        <v>38</v>
      </c>
      <c r="Q371" s="18" t="s">
        <v>194</v>
      </c>
      <c r="R371" s="18" t="s">
        <v>59</v>
      </c>
      <c r="S371" s="18" t="s">
        <v>195</v>
      </c>
      <c r="T371" s="18" t="b">
        <v>0</v>
      </c>
      <c r="U371" s="18" t="s">
        <v>187</v>
      </c>
      <c r="V371" s="18" t="s">
        <v>40</v>
      </c>
      <c r="W371" s="18" t="s">
        <v>317</v>
      </c>
      <c r="X371" s="18" t="s">
        <v>318</v>
      </c>
      <c r="Y371" s="18">
        <v>1</v>
      </c>
      <c r="Z371" s="18">
        <v>300</v>
      </c>
      <c r="AC371" s="18" t="e">
        <v>#N/A</v>
      </c>
    </row>
    <row r="372" s="18" customFormat="1" spans="1:29">
      <c r="A372" s="18" t="s">
        <v>1202</v>
      </c>
      <c r="B372" s="25" t="s">
        <v>1202</v>
      </c>
      <c r="C372" s="26">
        <v>45672</v>
      </c>
      <c r="D372" s="18" t="s">
        <v>1203</v>
      </c>
      <c r="E372" s="18" t="str">
        <f t="shared" si="5"/>
        <v>Padmakar Jadhav </v>
      </c>
      <c r="F372" s="27" t="e">
        <v>#N/A</v>
      </c>
      <c r="G372" s="18" t="s">
        <v>182</v>
      </c>
      <c r="H372" s="18" t="s">
        <v>183</v>
      </c>
      <c r="I372" s="18" t="s">
        <v>481</v>
      </c>
      <c r="J372" s="18" t="s">
        <v>1197</v>
      </c>
      <c r="K372" s="18" t="s">
        <v>56</v>
      </c>
      <c r="L372" s="18" t="s">
        <v>36</v>
      </c>
      <c r="N372" s="18">
        <v>6</v>
      </c>
      <c r="O372" s="18" t="s">
        <v>93</v>
      </c>
      <c r="P372" s="18" t="s">
        <v>38</v>
      </c>
      <c r="Q372" s="18" t="s">
        <v>194</v>
      </c>
      <c r="R372" s="18" t="s">
        <v>59</v>
      </c>
      <c r="S372" s="18" t="s">
        <v>195</v>
      </c>
      <c r="T372" s="18" t="b">
        <v>0</v>
      </c>
      <c r="U372" s="18" t="s">
        <v>187</v>
      </c>
      <c r="V372" s="18" t="s">
        <v>40</v>
      </c>
      <c r="W372" s="18" t="s">
        <v>412</v>
      </c>
      <c r="X372" s="18" t="s">
        <v>413</v>
      </c>
      <c r="Y372" s="18">
        <v>1</v>
      </c>
      <c r="Z372" s="18">
        <v>19050</v>
      </c>
      <c r="AC372" s="18" t="e">
        <v>#N/A</v>
      </c>
    </row>
    <row r="373" s="18" customFormat="1" spans="1:29">
      <c r="A373" s="18" t="s">
        <v>1204</v>
      </c>
      <c r="B373" s="25" t="s">
        <v>1204</v>
      </c>
      <c r="C373" s="26">
        <v>45672</v>
      </c>
      <c r="D373" s="18" t="s">
        <v>860</v>
      </c>
      <c r="E373" s="18" t="str">
        <f t="shared" si="5"/>
        <v>Mahendra Mane </v>
      </c>
      <c r="F373" s="27" t="e">
        <v>#N/A</v>
      </c>
      <c r="G373" s="18" t="s">
        <v>182</v>
      </c>
      <c r="H373" s="18" t="s">
        <v>183</v>
      </c>
      <c r="I373" s="18" t="s">
        <v>481</v>
      </c>
      <c r="J373" s="18" t="s">
        <v>793</v>
      </c>
      <c r="K373" s="18" t="s">
        <v>56</v>
      </c>
      <c r="L373" s="18" t="s">
        <v>36</v>
      </c>
      <c r="N373" s="18">
        <v>6</v>
      </c>
      <c r="O373" s="18" t="s">
        <v>93</v>
      </c>
      <c r="P373" s="18" t="s">
        <v>38</v>
      </c>
      <c r="Q373" s="18" t="s">
        <v>194</v>
      </c>
      <c r="R373" s="18" t="s">
        <v>59</v>
      </c>
      <c r="S373" s="18" t="s">
        <v>195</v>
      </c>
      <c r="T373" s="18" t="b">
        <v>0</v>
      </c>
      <c r="U373" s="18" t="s">
        <v>187</v>
      </c>
      <c r="V373" s="18" t="s">
        <v>40</v>
      </c>
      <c r="W373" s="18" t="s">
        <v>126</v>
      </c>
      <c r="X373" s="18" t="s">
        <v>127</v>
      </c>
      <c r="Y373" s="18">
        <v>1</v>
      </c>
      <c r="Z373" s="18">
        <v>135</v>
      </c>
      <c r="AC373" s="18" t="e">
        <v>#N/A</v>
      </c>
    </row>
    <row r="374" s="18" customFormat="1" spans="1:29">
      <c r="A374" s="18" t="s">
        <v>1205</v>
      </c>
      <c r="B374" s="25" t="s">
        <v>1205</v>
      </c>
      <c r="C374" s="26">
        <v>45672</v>
      </c>
      <c r="D374" s="18" t="s">
        <v>1206</v>
      </c>
      <c r="E374" s="18" t="str">
        <f t="shared" si="5"/>
        <v>PARESH SURVE ADV FOR EXPENCES</v>
      </c>
      <c r="F374" s="27" t="e">
        <v>#N/A</v>
      </c>
      <c r="G374" s="18" t="s">
        <v>182</v>
      </c>
      <c r="H374" s="18" t="s">
        <v>183</v>
      </c>
      <c r="I374" s="18" t="s">
        <v>481</v>
      </c>
      <c r="J374" s="18" t="s">
        <v>486</v>
      </c>
      <c r="K374" s="18" t="s">
        <v>56</v>
      </c>
      <c r="L374" s="18" t="s">
        <v>36</v>
      </c>
      <c r="N374" s="18">
        <v>6</v>
      </c>
      <c r="O374" s="18" t="s">
        <v>93</v>
      </c>
      <c r="P374" s="18" t="s">
        <v>38</v>
      </c>
      <c r="Q374" s="18" t="s">
        <v>58</v>
      </c>
      <c r="R374" s="18" t="s">
        <v>59</v>
      </c>
      <c r="S374" s="18" t="s">
        <v>60</v>
      </c>
      <c r="T374" s="18" t="b">
        <v>0</v>
      </c>
      <c r="U374" s="18" t="s">
        <v>187</v>
      </c>
      <c r="V374" s="18" t="s">
        <v>40</v>
      </c>
      <c r="W374" s="18" t="s">
        <v>126</v>
      </c>
      <c r="X374" s="18" t="s">
        <v>127</v>
      </c>
      <c r="Y374" s="18">
        <v>1</v>
      </c>
      <c r="Z374" s="18">
        <v>850</v>
      </c>
      <c r="AC374" s="18" t="e">
        <v>#N/A</v>
      </c>
    </row>
    <row r="375" s="18" customFormat="1" spans="1:29">
      <c r="A375" s="18" t="s">
        <v>1207</v>
      </c>
      <c r="B375" s="25" t="s">
        <v>1207</v>
      </c>
      <c r="C375" s="26">
        <v>45672</v>
      </c>
      <c r="D375" s="18" t="s">
        <v>860</v>
      </c>
      <c r="E375" s="18" t="str">
        <f t="shared" si="5"/>
        <v>Mahendra Mane </v>
      </c>
      <c r="F375" s="27" t="e">
        <v>#N/A</v>
      </c>
      <c r="G375" s="18" t="s">
        <v>182</v>
      </c>
      <c r="H375" s="18" t="s">
        <v>183</v>
      </c>
      <c r="I375" s="18" t="s">
        <v>481</v>
      </c>
      <c r="J375" s="18" t="s">
        <v>862</v>
      </c>
      <c r="K375" s="18" t="s">
        <v>56</v>
      </c>
      <c r="L375" s="18" t="s">
        <v>36</v>
      </c>
      <c r="N375" s="18">
        <v>6</v>
      </c>
      <c r="O375" s="18" t="s">
        <v>93</v>
      </c>
      <c r="P375" s="18" t="s">
        <v>38</v>
      </c>
      <c r="Q375" s="18" t="s">
        <v>194</v>
      </c>
      <c r="R375" s="18" t="s">
        <v>59</v>
      </c>
      <c r="S375" s="18" t="s">
        <v>195</v>
      </c>
      <c r="T375" s="18" t="b">
        <v>0</v>
      </c>
      <c r="U375" s="18" t="s">
        <v>187</v>
      </c>
      <c r="V375" s="18" t="s">
        <v>40</v>
      </c>
      <c r="W375" s="18" t="s">
        <v>412</v>
      </c>
      <c r="X375" s="18" t="s">
        <v>413</v>
      </c>
      <c r="Y375" s="18">
        <v>1</v>
      </c>
      <c r="Z375" s="18">
        <v>713</v>
      </c>
      <c r="AC375" s="18" t="e">
        <v>#N/A</v>
      </c>
    </row>
    <row r="376" s="18" customFormat="1" spans="1:29">
      <c r="A376" s="18" t="s">
        <v>1208</v>
      </c>
      <c r="B376" s="25" t="s">
        <v>1208</v>
      </c>
      <c r="C376" s="26">
        <v>45672</v>
      </c>
      <c r="D376" s="18" t="s">
        <v>1209</v>
      </c>
      <c r="E376" s="18" t="str">
        <f t="shared" si="5"/>
        <v>Hemanshu Sawant  </v>
      </c>
      <c r="F376" s="27" t="e">
        <v>#N/A</v>
      </c>
      <c r="G376" s="18" t="s">
        <v>182</v>
      </c>
      <c r="H376" s="18" t="s">
        <v>183</v>
      </c>
      <c r="I376" s="18" t="s">
        <v>481</v>
      </c>
      <c r="J376" s="18" t="s">
        <v>862</v>
      </c>
      <c r="K376" s="18" t="s">
        <v>56</v>
      </c>
      <c r="L376" s="18" t="s">
        <v>36</v>
      </c>
      <c r="N376" s="18">
        <v>6</v>
      </c>
      <c r="O376" s="18" t="s">
        <v>93</v>
      </c>
      <c r="P376" s="18" t="s">
        <v>38</v>
      </c>
      <c r="Q376" s="18" t="s">
        <v>194</v>
      </c>
      <c r="R376" s="18" t="s">
        <v>59</v>
      </c>
      <c r="S376" s="18" t="s">
        <v>195</v>
      </c>
      <c r="T376" s="18" t="b">
        <v>0</v>
      </c>
      <c r="U376" s="18" t="s">
        <v>187</v>
      </c>
      <c r="V376" s="18" t="s">
        <v>40</v>
      </c>
      <c r="W376" s="18" t="s">
        <v>126</v>
      </c>
      <c r="X376" s="18" t="s">
        <v>127</v>
      </c>
      <c r="Y376" s="18">
        <v>1</v>
      </c>
      <c r="Z376" s="18">
        <v>1149.6</v>
      </c>
      <c r="AC376" s="18" t="e">
        <v>#N/A</v>
      </c>
    </row>
    <row r="377" s="18" customFormat="1" spans="1:29">
      <c r="A377" s="18" t="s">
        <v>1210</v>
      </c>
      <c r="B377" s="25" t="s">
        <v>1210</v>
      </c>
      <c r="C377" s="26">
        <v>45672</v>
      </c>
      <c r="D377" s="18" t="s">
        <v>1054</v>
      </c>
      <c r="E377" s="18" t="str">
        <f t="shared" si="5"/>
        <v>Suresh Pardhle  </v>
      </c>
      <c r="F377" s="27" t="e">
        <v>#N/A</v>
      </c>
      <c r="G377" s="18" t="s">
        <v>182</v>
      </c>
      <c r="H377" s="18" t="s">
        <v>183</v>
      </c>
      <c r="I377" s="18" t="s">
        <v>481</v>
      </c>
      <c r="J377" s="18" t="s">
        <v>864</v>
      </c>
      <c r="K377" s="18" t="s">
        <v>56</v>
      </c>
      <c r="L377" s="18" t="s">
        <v>36</v>
      </c>
      <c r="N377" s="18">
        <v>6</v>
      </c>
      <c r="O377" s="18" t="s">
        <v>93</v>
      </c>
      <c r="P377" s="18" t="s">
        <v>38</v>
      </c>
      <c r="Q377" s="18" t="s">
        <v>194</v>
      </c>
      <c r="R377" s="18" t="s">
        <v>59</v>
      </c>
      <c r="S377" s="18" t="s">
        <v>195</v>
      </c>
      <c r="T377" s="18" t="b">
        <v>0</v>
      </c>
      <c r="U377" s="18" t="s">
        <v>187</v>
      </c>
      <c r="V377" s="18" t="s">
        <v>40</v>
      </c>
      <c r="W377" s="18" t="s">
        <v>126</v>
      </c>
      <c r="X377" s="18" t="s">
        <v>127</v>
      </c>
      <c r="Y377" s="18">
        <v>1</v>
      </c>
      <c r="Z377" s="18">
        <v>426</v>
      </c>
      <c r="AC377" s="18" t="e">
        <v>#N/A</v>
      </c>
    </row>
    <row r="378" s="18" customFormat="1" spans="1:29">
      <c r="A378" s="18" t="s">
        <v>1211</v>
      </c>
      <c r="B378" s="25" t="s">
        <v>1211</v>
      </c>
      <c r="C378" s="26">
        <v>45672</v>
      </c>
      <c r="D378" s="18" t="s">
        <v>860</v>
      </c>
      <c r="E378" s="18" t="str">
        <f t="shared" si="5"/>
        <v>Mahendra Mane </v>
      </c>
      <c r="F378" s="27" t="e">
        <v>#N/A</v>
      </c>
      <c r="G378" s="18" t="s">
        <v>182</v>
      </c>
      <c r="H378" s="18" t="s">
        <v>183</v>
      </c>
      <c r="I378" s="18" t="s">
        <v>481</v>
      </c>
      <c r="J378" s="18" t="s">
        <v>193</v>
      </c>
      <c r="K378" s="18" t="s">
        <v>56</v>
      </c>
      <c r="L378" s="18" t="s">
        <v>36</v>
      </c>
      <c r="N378" s="18">
        <v>6</v>
      </c>
      <c r="O378" s="18" t="s">
        <v>93</v>
      </c>
      <c r="P378" s="18" t="s">
        <v>38</v>
      </c>
      <c r="Q378" s="18" t="s">
        <v>194</v>
      </c>
      <c r="R378" s="18" t="s">
        <v>59</v>
      </c>
      <c r="S378" s="18" t="s">
        <v>195</v>
      </c>
      <c r="T378" s="18" t="b">
        <v>0</v>
      </c>
      <c r="U378" s="18" t="s">
        <v>187</v>
      </c>
      <c r="V378" s="18" t="s">
        <v>40</v>
      </c>
      <c r="W378" s="18" t="s">
        <v>317</v>
      </c>
      <c r="X378" s="18" t="s">
        <v>318</v>
      </c>
      <c r="Y378" s="18">
        <v>1</v>
      </c>
      <c r="Z378" s="18">
        <v>5320</v>
      </c>
      <c r="AC378" s="18" t="e">
        <v>#N/A</v>
      </c>
    </row>
    <row r="379" s="18" customFormat="1" spans="1:29">
      <c r="A379" s="18" t="s">
        <v>1212</v>
      </c>
      <c r="B379" s="25" t="s">
        <v>1212</v>
      </c>
      <c r="C379" s="26">
        <v>45672</v>
      </c>
      <c r="D379" s="18" t="s">
        <v>1213</v>
      </c>
      <c r="E379" s="18" t="str">
        <f t="shared" si="5"/>
        <v>Sanjay Kathale Cash </v>
      </c>
      <c r="F379" s="27" t="e">
        <v>#N/A</v>
      </c>
      <c r="G379" s="18" t="s">
        <v>182</v>
      </c>
      <c r="H379" s="18" t="s">
        <v>183</v>
      </c>
      <c r="I379" s="18" t="s">
        <v>481</v>
      </c>
      <c r="J379" s="18" t="s">
        <v>1197</v>
      </c>
      <c r="K379" s="18" t="s">
        <v>56</v>
      </c>
      <c r="L379" s="18" t="s">
        <v>36</v>
      </c>
      <c r="N379" s="18">
        <v>6</v>
      </c>
      <c r="O379" s="18" t="s">
        <v>93</v>
      </c>
      <c r="P379" s="18" t="s">
        <v>38</v>
      </c>
      <c r="Q379" s="18" t="s">
        <v>194</v>
      </c>
      <c r="R379" s="18" t="s">
        <v>59</v>
      </c>
      <c r="S379" s="18" t="s">
        <v>195</v>
      </c>
      <c r="T379" s="18" t="b">
        <v>0</v>
      </c>
      <c r="U379" s="18" t="s">
        <v>187</v>
      </c>
      <c r="V379" s="18" t="s">
        <v>40</v>
      </c>
      <c r="W379" s="18" t="s">
        <v>126</v>
      </c>
      <c r="X379" s="18" t="s">
        <v>127</v>
      </c>
      <c r="Y379" s="18">
        <v>1</v>
      </c>
      <c r="Z379" s="18">
        <v>484</v>
      </c>
      <c r="AC379" s="18" t="e">
        <v>#N/A</v>
      </c>
    </row>
    <row r="380" s="18" customFormat="1" spans="1:29">
      <c r="A380" s="18" t="s">
        <v>1214</v>
      </c>
      <c r="B380" s="25" t="s">
        <v>1214</v>
      </c>
      <c r="C380" s="26">
        <v>45672</v>
      </c>
      <c r="D380" s="18" t="s">
        <v>1052</v>
      </c>
      <c r="E380" s="18" t="str">
        <f t="shared" si="5"/>
        <v>Sachin Jadhav </v>
      </c>
      <c r="F380" s="27" t="e">
        <v>#N/A</v>
      </c>
      <c r="G380" s="18" t="s">
        <v>182</v>
      </c>
      <c r="H380" s="18" t="s">
        <v>183</v>
      </c>
      <c r="I380" s="18" t="s">
        <v>481</v>
      </c>
      <c r="J380" s="18" t="s">
        <v>1197</v>
      </c>
      <c r="K380" s="18" t="s">
        <v>56</v>
      </c>
      <c r="L380" s="18" t="s">
        <v>36</v>
      </c>
      <c r="N380" s="18">
        <v>6</v>
      </c>
      <c r="O380" s="18" t="s">
        <v>93</v>
      </c>
      <c r="P380" s="18" t="s">
        <v>38</v>
      </c>
      <c r="Q380" s="18" t="s">
        <v>194</v>
      </c>
      <c r="R380" s="18" t="s">
        <v>59</v>
      </c>
      <c r="S380" s="18" t="s">
        <v>195</v>
      </c>
      <c r="T380" s="18" t="b">
        <v>0</v>
      </c>
      <c r="U380" s="18" t="s">
        <v>187</v>
      </c>
      <c r="V380" s="18" t="s">
        <v>40</v>
      </c>
      <c r="W380" s="18" t="s">
        <v>126</v>
      </c>
      <c r="X380" s="18" t="s">
        <v>127</v>
      </c>
      <c r="Y380" s="18">
        <v>1</v>
      </c>
      <c r="Z380" s="18">
        <v>478</v>
      </c>
      <c r="AC380" s="18" t="e">
        <v>#N/A</v>
      </c>
    </row>
    <row r="381" s="18" customFormat="1" spans="1:29">
      <c r="A381" s="18" t="s">
        <v>1215</v>
      </c>
      <c r="B381" s="25" t="s">
        <v>1215</v>
      </c>
      <c r="C381" s="26">
        <v>45672</v>
      </c>
      <c r="D381" s="18" t="s">
        <v>1052</v>
      </c>
      <c r="E381" s="18" t="str">
        <f t="shared" si="5"/>
        <v>Sachin Jadhav </v>
      </c>
      <c r="F381" s="27" t="e">
        <v>#N/A</v>
      </c>
      <c r="G381" s="18" t="s">
        <v>182</v>
      </c>
      <c r="H381" s="18" t="s">
        <v>183</v>
      </c>
      <c r="I381" s="18" t="s">
        <v>481</v>
      </c>
      <c r="J381" s="18" t="s">
        <v>1197</v>
      </c>
      <c r="K381" s="18" t="s">
        <v>56</v>
      </c>
      <c r="L381" s="18" t="s">
        <v>36</v>
      </c>
      <c r="N381" s="18">
        <v>6</v>
      </c>
      <c r="O381" s="18" t="s">
        <v>93</v>
      </c>
      <c r="P381" s="18" t="s">
        <v>38</v>
      </c>
      <c r="Q381" s="18" t="s">
        <v>194</v>
      </c>
      <c r="R381" s="18" t="s">
        <v>59</v>
      </c>
      <c r="S381" s="18" t="s">
        <v>195</v>
      </c>
      <c r="T381" s="18" t="b">
        <v>0</v>
      </c>
      <c r="U381" s="18" t="s">
        <v>187</v>
      </c>
      <c r="V381" s="18" t="s">
        <v>40</v>
      </c>
      <c r="W381" s="18" t="s">
        <v>412</v>
      </c>
      <c r="X381" s="18" t="s">
        <v>413</v>
      </c>
      <c r="Y381" s="18">
        <v>1</v>
      </c>
      <c r="Z381" s="18">
        <v>300</v>
      </c>
      <c r="AC381" s="18" t="e">
        <v>#N/A</v>
      </c>
    </row>
    <row r="382" s="18" customFormat="1" spans="1:29">
      <c r="A382" s="18" t="s">
        <v>1216</v>
      </c>
      <c r="B382" s="25" t="s">
        <v>1216</v>
      </c>
      <c r="C382" s="26">
        <v>45672</v>
      </c>
      <c r="D382" s="18" t="s">
        <v>915</v>
      </c>
      <c r="E382" s="18" t="str">
        <f t="shared" si="5"/>
        <v>Santosh Bhogal Cash  </v>
      </c>
      <c r="F382" s="27" t="e">
        <v>#N/A</v>
      </c>
      <c r="G382" s="18" t="s">
        <v>182</v>
      </c>
      <c r="H382" s="18" t="s">
        <v>183</v>
      </c>
      <c r="I382" s="18" t="s">
        <v>481</v>
      </c>
      <c r="J382" s="18" t="s">
        <v>1197</v>
      </c>
      <c r="K382" s="18" t="s">
        <v>56</v>
      </c>
      <c r="L382" s="18" t="s">
        <v>36</v>
      </c>
      <c r="N382" s="18">
        <v>6</v>
      </c>
      <c r="O382" s="18" t="s">
        <v>93</v>
      </c>
      <c r="P382" s="18" t="s">
        <v>38</v>
      </c>
      <c r="Q382" s="18" t="s">
        <v>194</v>
      </c>
      <c r="R382" s="18" t="s">
        <v>59</v>
      </c>
      <c r="S382" s="18" t="s">
        <v>195</v>
      </c>
      <c r="T382" s="18" t="b">
        <v>0</v>
      </c>
      <c r="U382" s="18" t="s">
        <v>187</v>
      </c>
      <c r="V382" s="18" t="s">
        <v>40</v>
      </c>
      <c r="W382" s="18" t="s">
        <v>126</v>
      </c>
      <c r="X382" s="18" t="s">
        <v>127</v>
      </c>
      <c r="Y382" s="18">
        <v>1</v>
      </c>
      <c r="Z382" s="18">
        <v>1240</v>
      </c>
      <c r="AC382" s="18" t="e">
        <v>#N/A</v>
      </c>
    </row>
    <row r="383" s="18" customFormat="1" spans="1:29">
      <c r="A383" s="18" t="s">
        <v>1217</v>
      </c>
      <c r="B383" s="25" t="s">
        <v>1217</v>
      </c>
      <c r="C383" s="26">
        <v>45672</v>
      </c>
      <c r="D383" s="18" t="s">
        <v>915</v>
      </c>
      <c r="E383" s="18" t="str">
        <f t="shared" si="5"/>
        <v>Santosh Bhogal Cash  </v>
      </c>
      <c r="F383" s="27" t="e">
        <v>#N/A</v>
      </c>
      <c r="G383" s="18" t="s">
        <v>182</v>
      </c>
      <c r="H383" s="18" t="s">
        <v>183</v>
      </c>
      <c r="I383" s="18" t="s">
        <v>481</v>
      </c>
      <c r="J383" s="18" t="s">
        <v>1197</v>
      </c>
      <c r="K383" s="18" t="s">
        <v>56</v>
      </c>
      <c r="L383" s="18" t="s">
        <v>36</v>
      </c>
      <c r="N383" s="18">
        <v>6</v>
      </c>
      <c r="O383" s="18" t="s">
        <v>57</v>
      </c>
      <c r="P383" s="18" t="s">
        <v>38</v>
      </c>
      <c r="Q383" s="18" t="s">
        <v>194</v>
      </c>
      <c r="R383" s="18" t="s">
        <v>59</v>
      </c>
      <c r="S383" s="18" t="s">
        <v>195</v>
      </c>
      <c r="T383" s="18" t="b">
        <v>0</v>
      </c>
      <c r="U383" s="18" t="s">
        <v>187</v>
      </c>
      <c r="V383" s="18" t="s">
        <v>40</v>
      </c>
      <c r="W383" s="18" t="s">
        <v>126</v>
      </c>
      <c r="X383" s="18" t="s">
        <v>127</v>
      </c>
      <c r="Y383" s="18">
        <v>1</v>
      </c>
      <c r="Z383" s="18">
        <v>374</v>
      </c>
      <c r="AC383" s="18" t="e">
        <v>#N/A</v>
      </c>
    </row>
    <row r="384" s="18" customFormat="1" spans="1:29">
      <c r="A384" s="18" t="s">
        <v>1218</v>
      </c>
      <c r="B384" s="25" t="s">
        <v>1218</v>
      </c>
      <c r="C384" s="26">
        <v>45672</v>
      </c>
      <c r="D384" s="18" t="s">
        <v>1219</v>
      </c>
      <c r="E384" s="18" t="str">
        <f t="shared" si="5"/>
        <v>Victoria SA (ASIT Travel Agency)</v>
      </c>
      <c r="F384" s="27" t="s">
        <v>1220</v>
      </c>
      <c r="G384" s="18" t="s">
        <v>182</v>
      </c>
      <c r="H384" s="18" t="s">
        <v>183</v>
      </c>
      <c r="I384" s="18" t="s">
        <v>54</v>
      </c>
      <c r="J384" s="18" t="s">
        <v>139</v>
      </c>
      <c r="K384" s="18" t="s">
        <v>56</v>
      </c>
      <c r="L384" s="18" t="s">
        <v>36</v>
      </c>
      <c r="N384" s="18">
        <v>6</v>
      </c>
      <c r="O384" s="18" t="s">
        <v>57</v>
      </c>
      <c r="P384" s="18" t="s">
        <v>38</v>
      </c>
      <c r="Q384" s="18" t="s">
        <v>58</v>
      </c>
      <c r="R384" s="18" t="s">
        <v>59</v>
      </c>
      <c r="S384" s="18" t="s">
        <v>60</v>
      </c>
      <c r="T384" s="18" t="b">
        <v>0</v>
      </c>
      <c r="U384" s="18" t="s">
        <v>187</v>
      </c>
      <c r="V384" s="18" t="s">
        <v>40</v>
      </c>
      <c r="W384" s="18" t="s">
        <v>1221</v>
      </c>
      <c r="X384" s="18" t="s">
        <v>234</v>
      </c>
      <c r="Y384" s="18">
        <v>1</v>
      </c>
      <c r="Z384" s="18">
        <v>4693908</v>
      </c>
      <c r="AA384" s="18" t="s">
        <v>1015</v>
      </c>
      <c r="AB384" s="18" t="s">
        <v>1016</v>
      </c>
      <c r="AC384" s="18" t="e">
        <v>#N/A</v>
      </c>
    </row>
    <row r="385" s="18" customFormat="1" ht="29" spans="1:29">
      <c r="A385" s="18" t="s">
        <v>1222</v>
      </c>
      <c r="B385" s="25" t="s">
        <v>1222</v>
      </c>
      <c r="C385" s="26">
        <v>45672</v>
      </c>
      <c r="D385" s="18" t="s">
        <v>918</v>
      </c>
      <c r="E385" s="18" t="str">
        <f t="shared" si="5"/>
        <v>Recorded Music Performance Ltd</v>
      </c>
      <c r="F385" s="27" t="s">
        <v>919</v>
      </c>
      <c r="G385" s="18" t="s">
        <v>182</v>
      </c>
      <c r="H385" s="18" t="s">
        <v>183</v>
      </c>
      <c r="I385" s="18" t="s">
        <v>184</v>
      </c>
      <c r="J385" s="18" t="s">
        <v>240</v>
      </c>
      <c r="K385" s="18" t="s">
        <v>56</v>
      </c>
      <c r="L385" s="18" t="s">
        <v>36</v>
      </c>
      <c r="N385" s="18">
        <v>6</v>
      </c>
      <c r="O385" s="18" t="s">
        <v>57</v>
      </c>
      <c r="P385" s="18" t="s">
        <v>38</v>
      </c>
      <c r="Q385" s="18" t="s">
        <v>58</v>
      </c>
      <c r="R385" s="18" t="s">
        <v>59</v>
      </c>
      <c r="S385" s="18" t="s">
        <v>60</v>
      </c>
      <c r="T385" s="18" t="b">
        <v>0</v>
      </c>
      <c r="U385" s="18" t="s">
        <v>187</v>
      </c>
      <c r="V385" s="18" t="s">
        <v>40</v>
      </c>
      <c r="W385" s="18" t="s">
        <v>256</v>
      </c>
      <c r="X385" s="18" t="s">
        <v>257</v>
      </c>
      <c r="Y385" s="18">
        <v>1</v>
      </c>
      <c r="Z385" s="18">
        <v>25000</v>
      </c>
      <c r="AA385" s="31" t="s">
        <v>262</v>
      </c>
      <c r="AB385" s="18" t="s">
        <v>259</v>
      </c>
      <c r="AC385" s="18" t="s">
        <v>200</v>
      </c>
    </row>
    <row r="386" s="18" customFormat="1" ht="29" spans="1:29">
      <c r="A386" s="18" t="s">
        <v>1223</v>
      </c>
      <c r="B386" s="25" t="s">
        <v>1223</v>
      </c>
      <c r="C386" s="26">
        <v>45672</v>
      </c>
      <c r="D386" s="18" t="s">
        <v>192</v>
      </c>
      <c r="E386" s="18" t="str">
        <f t="shared" si="5"/>
        <v>Noaman Digital Partnership Firm</v>
      </c>
      <c r="F386" s="27" t="e">
        <v>#N/A</v>
      </c>
      <c r="G386" s="18" t="s">
        <v>182</v>
      </c>
      <c r="H386" s="18" t="s">
        <v>183</v>
      </c>
      <c r="I386" s="18" t="s">
        <v>184</v>
      </c>
      <c r="J386" s="18" t="s">
        <v>193</v>
      </c>
      <c r="K386" s="18" t="s">
        <v>56</v>
      </c>
      <c r="L386" s="18" t="s">
        <v>36</v>
      </c>
      <c r="N386" s="18">
        <v>6</v>
      </c>
      <c r="O386" s="18" t="s">
        <v>88</v>
      </c>
      <c r="P386" s="18" t="s">
        <v>38</v>
      </c>
      <c r="Q386" s="18" t="s">
        <v>194</v>
      </c>
      <c r="R386" s="18" t="s">
        <v>59</v>
      </c>
      <c r="S386" s="18" t="s">
        <v>195</v>
      </c>
      <c r="T386" s="18" t="b">
        <v>0</v>
      </c>
      <c r="U386" s="18" t="s">
        <v>187</v>
      </c>
      <c r="V386" s="18" t="s">
        <v>40</v>
      </c>
      <c r="W386" s="18" t="s">
        <v>196</v>
      </c>
      <c r="X386" s="18" t="s">
        <v>197</v>
      </c>
      <c r="Y386" s="18">
        <v>1</v>
      </c>
      <c r="Z386" s="18">
        <v>21455</v>
      </c>
      <c r="AA386" s="31" t="s">
        <v>569</v>
      </c>
      <c r="AB386" s="18" t="s">
        <v>570</v>
      </c>
      <c r="AC386" s="18" t="s">
        <v>200</v>
      </c>
    </row>
    <row r="387" s="18" customFormat="1" ht="29" spans="1:29">
      <c r="A387" s="18" t="s">
        <v>1224</v>
      </c>
      <c r="B387" s="25" t="s">
        <v>1224</v>
      </c>
      <c r="C387" s="26">
        <v>45672</v>
      </c>
      <c r="D387" s="18" t="s">
        <v>1225</v>
      </c>
      <c r="E387" s="18" t="str">
        <f t="shared" ref="E387:E450" si="6">_xlfn.TEXTBEFORE(D387,"-")</f>
        <v>Pyramid Production</v>
      </c>
      <c r="F387" s="27" t="s">
        <v>1226</v>
      </c>
      <c r="G387" s="18" t="s">
        <v>182</v>
      </c>
      <c r="H387" s="18" t="s">
        <v>183</v>
      </c>
      <c r="I387" s="18" t="s">
        <v>184</v>
      </c>
      <c r="J387" s="18" t="s">
        <v>1197</v>
      </c>
      <c r="K387" s="18" t="s">
        <v>56</v>
      </c>
      <c r="L387" s="18" t="s">
        <v>36</v>
      </c>
      <c r="N387" s="18">
        <v>6</v>
      </c>
      <c r="O387" s="18" t="s">
        <v>88</v>
      </c>
      <c r="P387" s="18" t="s">
        <v>38</v>
      </c>
      <c r="Q387" s="18" t="s">
        <v>194</v>
      </c>
      <c r="R387" s="18" t="s">
        <v>59</v>
      </c>
      <c r="S387" s="18" t="s">
        <v>195</v>
      </c>
      <c r="T387" s="18" t="b">
        <v>0</v>
      </c>
      <c r="U387" s="18" t="s">
        <v>187</v>
      </c>
      <c r="V387" s="18" t="s">
        <v>40</v>
      </c>
      <c r="W387" s="18" t="s">
        <v>151</v>
      </c>
      <c r="X387" s="18" t="s">
        <v>152</v>
      </c>
      <c r="Y387" s="18">
        <v>1</v>
      </c>
      <c r="Z387" s="18">
        <v>100000</v>
      </c>
      <c r="AA387" s="31" t="s">
        <v>1227</v>
      </c>
      <c r="AB387" s="18" t="s">
        <v>1228</v>
      </c>
      <c r="AC387" s="18" t="s">
        <v>200</v>
      </c>
    </row>
    <row r="388" s="18" customFormat="1" ht="29" spans="1:29">
      <c r="A388" s="18" t="s">
        <v>1229</v>
      </c>
      <c r="B388" s="25" t="s">
        <v>1229</v>
      </c>
      <c r="C388" s="26">
        <v>45672</v>
      </c>
      <c r="D388" s="18" t="s">
        <v>1230</v>
      </c>
      <c r="E388" s="18" t="str">
        <f t="shared" si="6"/>
        <v>Digicraft</v>
      </c>
      <c r="F388" s="27" t="e">
        <v>#N/A</v>
      </c>
      <c r="G388" s="18" t="s">
        <v>182</v>
      </c>
      <c r="H388" s="18" t="s">
        <v>183</v>
      </c>
      <c r="I388" s="18" t="s">
        <v>184</v>
      </c>
      <c r="J388" s="18" t="s">
        <v>1197</v>
      </c>
      <c r="K388" s="18" t="s">
        <v>56</v>
      </c>
      <c r="L388" s="18" t="s">
        <v>36</v>
      </c>
      <c r="N388" s="18">
        <v>6</v>
      </c>
      <c r="O388" s="18" t="s">
        <v>88</v>
      </c>
      <c r="P388" s="18" t="s">
        <v>38</v>
      </c>
      <c r="Q388" s="18" t="s">
        <v>194</v>
      </c>
      <c r="R388" s="18" t="s">
        <v>59</v>
      </c>
      <c r="S388" s="18" t="s">
        <v>195</v>
      </c>
      <c r="T388" s="18" t="b">
        <v>0</v>
      </c>
      <c r="U388" s="18" t="s">
        <v>187</v>
      </c>
      <c r="V388" s="18" t="s">
        <v>40</v>
      </c>
      <c r="W388" s="18" t="s">
        <v>196</v>
      </c>
      <c r="X388" s="18" t="s">
        <v>197</v>
      </c>
      <c r="Y388" s="18">
        <v>1</v>
      </c>
      <c r="Z388" s="18">
        <v>20479</v>
      </c>
      <c r="AA388" s="31" t="s">
        <v>1227</v>
      </c>
      <c r="AB388" s="18" t="s">
        <v>1228</v>
      </c>
      <c r="AC388" s="18" t="s">
        <v>200</v>
      </c>
    </row>
    <row r="389" s="18" customFormat="1" ht="29" spans="1:29">
      <c r="A389" s="18" t="s">
        <v>1231</v>
      </c>
      <c r="B389" s="25" t="s">
        <v>1231</v>
      </c>
      <c r="C389" s="26">
        <v>45672</v>
      </c>
      <c r="D389" s="18" t="s">
        <v>572</v>
      </c>
      <c r="E389" s="18" t="str">
        <f t="shared" si="6"/>
        <v>Emblaze Events (Sunita Harihar Sharma)</v>
      </c>
      <c r="F389" s="27" t="s">
        <v>573</v>
      </c>
      <c r="G389" s="18" t="s">
        <v>182</v>
      </c>
      <c r="H389" s="18" t="s">
        <v>183</v>
      </c>
      <c r="I389" s="18" t="s">
        <v>184</v>
      </c>
      <c r="J389" s="18" t="s">
        <v>1197</v>
      </c>
      <c r="K389" s="18" t="s">
        <v>56</v>
      </c>
      <c r="L389" s="18" t="s">
        <v>36</v>
      </c>
      <c r="N389" s="18">
        <v>6</v>
      </c>
      <c r="O389" s="18" t="s">
        <v>88</v>
      </c>
      <c r="P389" s="18" t="s">
        <v>38</v>
      </c>
      <c r="Q389" s="18" t="s">
        <v>194</v>
      </c>
      <c r="R389" s="18" t="s">
        <v>59</v>
      </c>
      <c r="S389" s="18" t="s">
        <v>195</v>
      </c>
      <c r="T389" s="18" t="b">
        <v>0</v>
      </c>
      <c r="U389" s="18" t="s">
        <v>187</v>
      </c>
      <c r="V389" s="18" t="s">
        <v>40</v>
      </c>
      <c r="W389" s="18" t="s">
        <v>292</v>
      </c>
      <c r="X389" s="18" t="s">
        <v>293</v>
      </c>
      <c r="Y389" s="18">
        <v>1</v>
      </c>
      <c r="Z389" s="18">
        <v>21400</v>
      </c>
      <c r="AA389" s="31" t="s">
        <v>1227</v>
      </c>
      <c r="AB389" s="18" t="s">
        <v>1228</v>
      </c>
      <c r="AC389" s="18" t="s">
        <v>200</v>
      </c>
    </row>
    <row r="390" s="18" customFormat="1" ht="29" spans="1:29">
      <c r="A390" s="18" t="s">
        <v>1232</v>
      </c>
      <c r="B390" s="25" t="s">
        <v>1232</v>
      </c>
      <c r="C390" s="26">
        <v>45673</v>
      </c>
      <c r="D390" s="18" t="s">
        <v>1233</v>
      </c>
      <c r="E390" s="18" t="str">
        <f t="shared" si="6"/>
        <v>Megascule</v>
      </c>
      <c r="F390" s="27" t="e">
        <v>#N/A</v>
      </c>
      <c r="G390" s="18" t="s">
        <v>32</v>
      </c>
      <c r="H390" s="18" t="s">
        <v>33</v>
      </c>
      <c r="I390" s="18" t="s">
        <v>184</v>
      </c>
      <c r="J390" s="18" t="s">
        <v>1234</v>
      </c>
      <c r="K390" s="18" t="s">
        <v>56</v>
      </c>
      <c r="L390" s="18" t="s">
        <v>36</v>
      </c>
      <c r="N390" s="18">
        <v>6</v>
      </c>
      <c r="O390" s="18" t="s">
        <v>88</v>
      </c>
      <c r="P390" s="18" t="s">
        <v>38</v>
      </c>
      <c r="Q390" s="18" t="s">
        <v>194</v>
      </c>
      <c r="R390" s="18" t="s">
        <v>59</v>
      </c>
      <c r="S390" s="18" t="s">
        <v>195</v>
      </c>
      <c r="T390" s="18" t="b">
        <v>1</v>
      </c>
      <c r="U390" s="18" t="s">
        <v>39</v>
      </c>
      <c r="V390" s="18" t="s">
        <v>40</v>
      </c>
      <c r="W390" s="18" t="s">
        <v>140</v>
      </c>
      <c r="X390" s="18" t="s">
        <v>141</v>
      </c>
      <c r="Y390" s="18">
        <v>1</v>
      </c>
      <c r="Z390" s="18">
        <v>60000</v>
      </c>
      <c r="AA390" s="31" t="s">
        <v>729</v>
      </c>
      <c r="AB390" s="18" t="s">
        <v>730</v>
      </c>
      <c r="AC390" s="18" t="s">
        <v>43</v>
      </c>
    </row>
    <row r="391" s="18" customFormat="1" spans="1:29">
      <c r="A391" s="18" t="s">
        <v>1235</v>
      </c>
      <c r="B391" s="25" t="s">
        <v>1235</v>
      </c>
      <c r="C391" s="26">
        <v>45673</v>
      </c>
      <c r="D391" s="18" t="s">
        <v>1236</v>
      </c>
      <c r="E391" s="18" t="str">
        <f t="shared" si="6"/>
        <v>Conrad Bengaluru (Prestige Hospitality Ventures Ltd)</v>
      </c>
      <c r="F391" s="27" t="s">
        <v>1237</v>
      </c>
      <c r="G391" s="18" t="s">
        <v>32</v>
      </c>
      <c r="H391" s="18" t="s">
        <v>33</v>
      </c>
      <c r="I391" s="18" t="s">
        <v>159</v>
      </c>
      <c r="J391" s="18" t="s">
        <v>1238</v>
      </c>
      <c r="K391" s="18" t="s">
        <v>56</v>
      </c>
      <c r="L391" s="18" t="s">
        <v>36</v>
      </c>
      <c r="N391" s="18">
        <v>6</v>
      </c>
      <c r="O391" s="18" t="s">
        <v>93</v>
      </c>
      <c r="P391" s="18" t="s">
        <v>38</v>
      </c>
      <c r="Q391" s="18" t="s">
        <v>58</v>
      </c>
      <c r="R391" s="18" t="s">
        <v>59</v>
      </c>
      <c r="S391" s="18" t="s">
        <v>60</v>
      </c>
      <c r="T391" s="18" t="b">
        <v>1</v>
      </c>
      <c r="U391" s="18" t="s">
        <v>39</v>
      </c>
      <c r="V391" s="18" t="s">
        <v>40</v>
      </c>
      <c r="W391" s="18" t="s">
        <v>1239</v>
      </c>
      <c r="X391" s="18" t="s">
        <v>1240</v>
      </c>
      <c r="Y391" s="18">
        <v>1</v>
      </c>
      <c r="Z391" s="18">
        <v>410330</v>
      </c>
      <c r="AA391" s="18" t="s">
        <v>1241</v>
      </c>
      <c r="AB391" s="18" t="s">
        <v>64</v>
      </c>
      <c r="AC391" s="18" t="s">
        <v>43</v>
      </c>
    </row>
    <row r="392" s="18" customFormat="1" ht="29" spans="1:29">
      <c r="A392" s="18" t="s">
        <v>1242</v>
      </c>
      <c r="B392" s="25" t="s">
        <v>1242</v>
      </c>
      <c r="C392" s="26">
        <v>45673</v>
      </c>
      <c r="D392" s="18" t="s">
        <v>1243</v>
      </c>
      <c r="E392" s="18" t="str">
        <f t="shared" si="6"/>
        <v>Shads Events And Networks</v>
      </c>
      <c r="F392" s="27" t="s">
        <v>1244</v>
      </c>
      <c r="G392" s="18" t="s">
        <v>32</v>
      </c>
      <c r="H392" s="18" t="s">
        <v>33</v>
      </c>
      <c r="I392" s="18" t="s">
        <v>184</v>
      </c>
      <c r="J392" s="18" t="s">
        <v>499</v>
      </c>
      <c r="K392" s="18" t="s">
        <v>56</v>
      </c>
      <c r="L392" s="18" t="s">
        <v>36</v>
      </c>
      <c r="N392" s="18">
        <v>6</v>
      </c>
      <c r="O392" s="18" t="s">
        <v>57</v>
      </c>
      <c r="P392" s="18" t="s">
        <v>38</v>
      </c>
      <c r="Q392" s="18" t="s">
        <v>117</v>
      </c>
      <c r="R392" s="18" t="s">
        <v>59</v>
      </c>
      <c r="S392" s="18" t="s">
        <v>186</v>
      </c>
      <c r="T392" s="18" t="b">
        <v>1</v>
      </c>
      <c r="U392" s="18" t="s">
        <v>39</v>
      </c>
      <c r="V392" s="18" t="s">
        <v>40</v>
      </c>
      <c r="W392" s="18" t="s">
        <v>317</v>
      </c>
      <c r="X392" s="18" t="s">
        <v>318</v>
      </c>
      <c r="Y392" s="18">
        <v>1</v>
      </c>
      <c r="Z392" s="18">
        <v>479000</v>
      </c>
      <c r="AA392" s="31" t="s">
        <v>338</v>
      </c>
      <c r="AB392" s="18" t="s">
        <v>339</v>
      </c>
      <c r="AC392" s="18" t="s">
        <v>43</v>
      </c>
    </row>
    <row r="393" s="18" customFormat="1" spans="1:29">
      <c r="A393" s="18" t="s">
        <v>1245</v>
      </c>
      <c r="B393" s="25" t="s">
        <v>1245</v>
      </c>
      <c r="C393" s="26">
        <v>45673</v>
      </c>
      <c r="D393" s="18" t="s">
        <v>541</v>
      </c>
      <c r="E393" s="18" t="str">
        <f t="shared" si="6"/>
        <v>Dream Factory Pvt. Ltd.</v>
      </c>
      <c r="F393" s="27" t="e">
        <v>#N/A</v>
      </c>
      <c r="G393" s="18" t="s">
        <v>32</v>
      </c>
      <c r="H393" s="18" t="s">
        <v>33</v>
      </c>
      <c r="I393" s="18" t="s">
        <v>1246</v>
      </c>
      <c r="J393" s="18" t="s">
        <v>831</v>
      </c>
      <c r="K393" s="18" t="s">
        <v>56</v>
      </c>
      <c r="L393" s="18" t="s">
        <v>36</v>
      </c>
      <c r="N393" s="18">
        <v>6</v>
      </c>
      <c r="O393" s="18" t="s">
        <v>88</v>
      </c>
      <c r="P393" s="18" t="s">
        <v>38</v>
      </c>
      <c r="Q393" s="18" t="s">
        <v>117</v>
      </c>
      <c r="R393" s="18" t="s">
        <v>59</v>
      </c>
      <c r="S393" s="18" t="s">
        <v>118</v>
      </c>
      <c r="T393" s="18" t="b">
        <v>1</v>
      </c>
      <c r="U393" s="18" t="s">
        <v>39</v>
      </c>
      <c r="V393" s="18" t="s">
        <v>40</v>
      </c>
      <c r="W393" s="18" t="s">
        <v>151</v>
      </c>
      <c r="X393" s="18" t="s">
        <v>152</v>
      </c>
      <c r="Y393" s="18">
        <v>1</v>
      </c>
      <c r="Z393" s="18">
        <v>200000</v>
      </c>
      <c r="AA393" s="18" t="s">
        <v>319</v>
      </c>
      <c r="AB393" s="18" t="s">
        <v>320</v>
      </c>
      <c r="AC393" s="18" t="s">
        <v>43</v>
      </c>
    </row>
    <row r="394" s="18" customFormat="1" spans="1:29">
      <c r="A394" s="18" t="s">
        <v>1247</v>
      </c>
      <c r="B394" s="25" t="s">
        <v>1247</v>
      </c>
      <c r="C394" s="26">
        <v>45673</v>
      </c>
      <c r="D394" s="18" t="s">
        <v>625</v>
      </c>
      <c r="E394" s="18" t="str">
        <f t="shared" si="6"/>
        <v>Pixels2Print</v>
      </c>
      <c r="F394" s="27" t="e">
        <v>#N/A</v>
      </c>
      <c r="G394" s="18" t="s">
        <v>32</v>
      </c>
      <c r="H394" s="18" t="s">
        <v>33</v>
      </c>
      <c r="I394" s="18" t="s">
        <v>1246</v>
      </c>
      <c r="J394" s="18" t="s">
        <v>831</v>
      </c>
      <c r="K394" s="18" t="s">
        <v>56</v>
      </c>
      <c r="L394" s="18" t="s">
        <v>36</v>
      </c>
      <c r="N394" s="18">
        <v>6</v>
      </c>
      <c r="O394" s="18" t="s">
        <v>88</v>
      </c>
      <c r="P394" s="18" t="s">
        <v>38</v>
      </c>
      <c r="Q394" s="18" t="s">
        <v>117</v>
      </c>
      <c r="R394" s="18" t="s">
        <v>59</v>
      </c>
      <c r="S394" s="18" t="s">
        <v>118</v>
      </c>
      <c r="T394" s="18" t="b">
        <v>1</v>
      </c>
      <c r="U394" s="18" t="s">
        <v>39</v>
      </c>
      <c r="V394" s="18" t="s">
        <v>40</v>
      </c>
      <c r="W394" s="18" t="s">
        <v>196</v>
      </c>
      <c r="X394" s="18" t="s">
        <v>197</v>
      </c>
      <c r="Y394" s="18">
        <v>1</v>
      </c>
      <c r="Z394" s="18">
        <v>7600</v>
      </c>
      <c r="AA394" s="18" t="s">
        <v>319</v>
      </c>
      <c r="AB394" s="18" t="s">
        <v>320</v>
      </c>
      <c r="AC394" s="18" t="s">
        <v>43</v>
      </c>
    </row>
    <row r="395" s="18" customFormat="1" spans="1:29">
      <c r="A395" s="18" t="s">
        <v>1248</v>
      </c>
      <c r="B395" s="25" t="s">
        <v>1248</v>
      </c>
      <c r="C395" s="26">
        <v>45673</v>
      </c>
      <c r="D395" s="18" t="s">
        <v>1249</v>
      </c>
      <c r="E395" s="18" t="str">
        <f t="shared" si="6"/>
        <v>Dev Enterprises</v>
      </c>
      <c r="F395" s="27" t="s">
        <v>1250</v>
      </c>
      <c r="G395" s="18" t="s">
        <v>32</v>
      </c>
      <c r="H395" s="18" t="s">
        <v>33</v>
      </c>
      <c r="I395" s="18" t="s">
        <v>1246</v>
      </c>
      <c r="J395" s="18" t="s">
        <v>831</v>
      </c>
      <c r="K395" s="18" t="s">
        <v>56</v>
      </c>
      <c r="L395" s="18" t="s">
        <v>36</v>
      </c>
      <c r="N395" s="18">
        <v>6</v>
      </c>
      <c r="O395" s="18" t="s">
        <v>88</v>
      </c>
      <c r="P395" s="18" t="s">
        <v>38</v>
      </c>
      <c r="Q395" s="18" t="s">
        <v>117</v>
      </c>
      <c r="R395" s="18" t="s">
        <v>59</v>
      </c>
      <c r="S395" s="18" t="s">
        <v>118</v>
      </c>
      <c r="T395" s="18" t="b">
        <v>1</v>
      </c>
      <c r="U395" s="18" t="s">
        <v>39</v>
      </c>
      <c r="V395" s="18" t="s">
        <v>40</v>
      </c>
      <c r="W395" s="18" t="s">
        <v>151</v>
      </c>
      <c r="X395" s="18" t="s">
        <v>152</v>
      </c>
      <c r="Y395" s="18">
        <v>1</v>
      </c>
      <c r="Z395" s="18">
        <v>4650</v>
      </c>
      <c r="AA395" s="18" t="s">
        <v>319</v>
      </c>
      <c r="AB395" s="18" t="s">
        <v>320</v>
      </c>
      <c r="AC395" s="18" t="s">
        <v>43</v>
      </c>
    </row>
    <row r="396" s="18" customFormat="1" spans="1:29">
      <c r="A396" s="18" t="s">
        <v>1251</v>
      </c>
      <c r="B396" s="25" t="s">
        <v>1251</v>
      </c>
      <c r="C396" s="26">
        <v>45673</v>
      </c>
      <c r="D396" s="18" t="s">
        <v>1078</v>
      </c>
      <c r="E396" s="18" t="str">
        <f t="shared" si="6"/>
        <v>Mass Vision</v>
      </c>
      <c r="F396" s="27" t="s">
        <v>1079</v>
      </c>
      <c r="G396" s="18" t="s">
        <v>32</v>
      </c>
      <c r="H396" s="18" t="s">
        <v>33</v>
      </c>
      <c r="I396" s="18" t="s">
        <v>1246</v>
      </c>
      <c r="J396" s="18" t="s">
        <v>831</v>
      </c>
      <c r="K396" s="18" t="s">
        <v>56</v>
      </c>
      <c r="L396" s="18" t="s">
        <v>36</v>
      </c>
      <c r="N396" s="18">
        <v>6</v>
      </c>
      <c r="O396" s="18" t="s">
        <v>88</v>
      </c>
      <c r="P396" s="18" t="s">
        <v>38</v>
      </c>
      <c r="Q396" s="18" t="s">
        <v>117</v>
      </c>
      <c r="R396" s="18" t="s">
        <v>59</v>
      </c>
      <c r="S396" s="18" t="s">
        <v>118</v>
      </c>
      <c r="T396" s="18" t="b">
        <v>1</v>
      </c>
      <c r="U396" s="18" t="s">
        <v>39</v>
      </c>
      <c r="V396" s="18" t="s">
        <v>40</v>
      </c>
      <c r="W396" s="18" t="s">
        <v>371</v>
      </c>
      <c r="X396" s="18" t="s">
        <v>372</v>
      </c>
      <c r="Y396" s="18">
        <v>1</v>
      </c>
      <c r="Z396" s="18">
        <v>20000</v>
      </c>
      <c r="AA396" s="18" t="s">
        <v>319</v>
      </c>
      <c r="AB396" s="18" t="s">
        <v>320</v>
      </c>
      <c r="AC396" s="18" t="s">
        <v>43</v>
      </c>
    </row>
    <row r="397" s="18" customFormat="1" spans="1:29">
      <c r="A397" s="18" t="s">
        <v>1252</v>
      </c>
      <c r="B397" s="25" t="s">
        <v>1252</v>
      </c>
      <c r="C397" s="26">
        <v>45673</v>
      </c>
      <c r="D397" s="18" t="s">
        <v>137</v>
      </c>
      <c r="E397" s="18" t="str">
        <f t="shared" si="6"/>
        <v>The Westin Chennai Velachery (MFAR Hotels and Resorts Pvt Ltd)</v>
      </c>
      <c r="F397" s="27" t="s">
        <v>138</v>
      </c>
      <c r="G397" s="18" t="s">
        <v>99</v>
      </c>
      <c r="H397" s="18" t="s">
        <v>100</v>
      </c>
      <c r="I397" s="18" t="s">
        <v>54</v>
      </c>
      <c r="J397" s="18" t="s">
        <v>1253</v>
      </c>
      <c r="K397" s="18" t="s">
        <v>56</v>
      </c>
      <c r="L397" s="18" t="s">
        <v>36</v>
      </c>
      <c r="N397" s="18">
        <v>6</v>
      </c>
      <c r="O397" s="18" t="s">
        <v>93</v>
      </c>
      <c r="P397" s="18" t="s">
        <v>38</v>
      </c>
      <c r="Q397" s="18" t="s">
        <v>58</v>
      </c>
      <c r="R397" s="18" t="s">
        <v>59</v>
      </c>
      <c r="S397" s="18" t="s">
        <v>60</v>
      </c>
      <c r="T397" s="18" t="b">
        <v>1</v>
      </c>
      <c r="U397" s="18" t="s">
        <v>101</v>
      </c>
      <c r="V397" s="18" t="s">
        <v>40</v>
      </c>
      <c r="W397" s="18" t="s">
        <v>276</v>
      </c>
      <c r="X397" s="18" t="s">
        <v>276</v>
      </c>
      <c r="Y397" s="18">
        <v>1</v>
      </c>
      <c r="Z397" s="18">
        <v>500250</v>
      </c>
      <c r="AA397" s="18" t="s">
        <v>63</v>
      </c>
      <c r="AB397" s="18" t="s">
        <v>64</v>
      </c>
      <c r="AC397" s="18" t="s">
        <v>111</v>
      </c>
    </row>
    <row r="398" s="18" customFormat="1" spans="1:29">
      <c r="A398" s="18" t="s">
        <v>1254</v>
      </c>
      <c r="B398" s="25" t="s">
        <v>1254</v>
      </c>
      <c r="C398" s="26">
        <v>45673</v>
      </c>
      <c r="D398" s="18" t="s">
        <v>507</v>
      </c>
      <c r="E398" s="18" t="str">
        <f t="shared" si="6"/>
        <v>R Anandan  </v>
      </c>
      <c r="F398" s="27" t="e">
        <v>#N/A</v>
      </c>
      <c r="G398" s="18" t="s">
        <v>99</v>
      </c>
      <c r="H398" s="18" t="s">
        <v>100</v>
      </c>
      <c r="I398" s="18" t="s">
        <v>34</v>
      </c>
      <c r="J398" s="18" t="s">
        <v>466</v>
      </c>
      <c r="K398" s="18" t="s">
        <v>56</v>
      </c>
      <c r="L398" s="18" t="s">
        <v>36</v>
      </c>
      <c r="N398" s="18">
        <v>6</v>
      </c>
      <c r="O398" s="18" t="s">
        <v>93</v>
      </c>
      <c r="P398" s="18" t="s">
        <v>38</v>
      </c>
      <c r="Q398" s="18" t="s">
        <v>58</v>
      </c>
      <c r="R398" s="18" t="s">
        <v>59</v>
      </c>
      <c r="S398" s="18" t="s">
        <v>60</v>
      </c>
      <c r="T398" s="18" t="b">
        <v>1</v>
      </c>
      <c r="U398" s="18" t="s">
        <v>101</v>
      </c>
      <c r="V398" s="18" t="s">
        <v>40</v>
      </c>
      <c r="W398" s="18" t="s">
        <v>233</v>
      </c>
      <c r="X398" s="18" t="s">
        <v>234</v>
      </c>
      <c r="Y398" s="18">
        <v>1</v>
      </c>
      <c r="Z398" s="18">
        <v>9000</v>
      </c>
      <c r="AA398" s="18" t="s">
        <v>1255</v>
      </c>
      <c r="AB398" s="18" t="s">
        <v>844</v>
      </c>
      <c r="AC398" s="18" t="e">
        <v>#N/A</v>
      </c>
    </row>
    <row r="399" s="19" customFormat="1" spans="1:29">
      <c r="A399" s="19" t="s">
        <v>1256</v>
      </c>
      <c r="B399" s="28" t="s">
        <v>1256</v>
      </c>
      <c r="C399" s="29">
        <v>45673</v>
      </c>
      <c r="D399" s="19" t="s">
        <v>1257</v>
      </c>
      <c r="E399" s="19" t="str">
        <f t="shared" si="6"/>
        <v>Dell International Services India Pvt Ltd (CR)</v>
      </c>
      <c r="F399" s="30" t="e">
        <v>#N/A</v>
      </c>
      <c r="G399" s="19" t="s">
        <v>147</v>
      </c>
      <c r="H399" s="19" t="s">
        <v>148</v>
      </c>
      <c r="I399" s="19" t="s">
        <v>159</v>
      </c>
      <c r="K399" s="19" t="s">
        <v>35</v>
      </c>
      <c r="L399" s="19" t="s">
        <v>36</v>
      </c>
      <c r="N399" s="19">
        <v>6</v>
      </c>
      <c r="O399" s="19" t="s">
        <v>57</v>
      </c>
      <c r="P399" s="19" t="s">
        <v>38</v>
      </c>
      <c r="T399" s="19" t="b">
        <v>1</v>
      </c>
      <c r="U399" s="19" t="s">
        <v>150</v>
      </c>
      <c r="V399" s="19" t="s">
        <v>40</v>
      </c>
      <c r="W399" s="19" t="s">
        <v>165</v>
      </c>
      <c r="X399" s="19" t="e">
        <v>#N/A</v>
      </c>
      <c r="Y399" s="19">
        <v>2</v>
      </c>
      <c r="Z399" s="19">
        <v>256987</v>
      </c>
      <c r="AA399" s="19" t="s">
        <v>161</v>
      </c>
      <c r="AB399" s="19" t="s">
        <v>162</v>
      </c>
      <c r="AC399" s="19" t="s">
        <v>155</v>
      </c>
    </row>
    <row r="400" s="18" customFormat="1" spans="1:29">
      <c r="A400" s="18" t="s">
        <v>1258</v>
      </c>
      <c r="B400" s="25" t="s">
        <v>1258</v>
      </c>
      <c r="C400" s="26">
        <v>45673</v>
      </c>
      <c r="D400" s="18" t="s">
        <v>1259</v>
      </c>
      <c r="E400" s="18" t="str">
        <f t="shared" si="6"/>
        <v>Bird Airport Hotel Pvt Ltd (Roseate Hotels &amp; Resorts)</v>
      </c>
      <c r="F400" s="27" t="s">
        <v>1260</v>
      </c>
      <c r="G400" s="18" t="s">
        <v>147</v>
      </c>
      <c r="H400" s="18" t="s">
        <v>148</v>
      </c>
      <c r="I400" s="18" t="s">
        <v>54</v>
      </c>
      <c r="J400" s="18" t="s">
        <v>1238</v>
      </c>
      <c r="K400" s="18" t="s">
        <v>56</v>
      </c>
      <c r="L400" s="18" t="s">
        <v>36</v>
      </c>
      <c r="N400" s="18">
        <v>6</v>
      </c>
      <c r="O400" s="18" t="s">
        <v>93</v>
      </c>
      <c r="P400" s="18" t="s">
        <v>38</v>
      </c>
      <c r="Q400" s="18" t="s">
        <v>58</v>
      </c>
      <c r="R400" s="18" t="s">
        <v>59</v>
      </c>
      <c r="S400" s="18" t="s">
        <v>60</v>
      </c>
      <c r="T400" s="18" t="b">
        <v>1</v>
      </c>
      <c r="U400" s="18" t="s">
        <v>150</v>
      </c>
      <c r="V400" s="18" t="s">
        <v>40</v>
      </c>
      <c r="W400" s="18" t="s">
        <v>1239</v>
      </c>
      <c r="X400" s="18" t="s">
        <v>1240</v>
      </c>
      <c r="Y400" s="18">
        <v>1</v>
      </c>
      <c r="Z400" s="18">
        <v>130600</v>
      </c>
      <c r="AA400" s="18" t="s">
        <v>63</v>
      </c>
      <c r="AB400" s="18" t="s">
        <v>64</v>
      </c>
      <c r="AC400" s="18" t="s">
        <v>163</v>
      </c>
    </row>
    <row r="401" s="18" customFormat="1" spans="1:29">
      <c r="A401" s="18" t="s">
        <v>1261</v>
      </c>
      <c r="B401" s="25" t="s">
        <v>1261</v>
      </c>
      <c r="C401" s="26">
        <v>45673</v>
      </c>
      <c r="D401" s="18" t="s">
        <v>1262</v>
      </c>
      <c r="E401" s="18" t="str">
        <f t="shared" si="6"/>
        <v>Alok Khanna  </v>
      </c>
      <c r="F401" s="27" t="s">
        <v>1263</v>
      </c>
      <c r="G401" s="18" t="s">
        <v>147</v>
      </c>
      <c r="H401" s="18" t="s">
        <v>148</v>
      </c>
      <c r="I401" s="18" t="s">
        <v>54</v>
      </c>
      <c r="J401" s="18" t="s">
        <v>249</v>
      </c>
      <c r="K401" s="18" t="s">
        <v>56</v>
      </c>
      <c r="L401" s="18" t="s">
        <v>36</v>
      </c>
      <c r="N401" s="18">
        <v>6</v>
      </c>
      <c r="O401" s="18" t="s">
        <v>93</v>
      </c>
      <c r="P401" s="18" t="s">
        <v>38</v>
      </c>
      <c r="Q401" s="18" t="s">
        <v>58</v>
      </c>
      <c r="R401" s="18" t="s">
        <v>59</v>
      </c>
      <c r="S401" s="18" t="s">
        <v>60</v>
      </c>
      <c r="T401" s="18" t="b">
        <v>1</v>
      </c>
      <c r="U401" s="18" t="s">
        <v>150</v>
      </c>
      <c r="V401" s="18" t="s">
        <v>40</v>
      </c>
      <c r="W401" s="18" t="s">
        <v>126</v>
      </c>
      <c r="X401" s="18" t="s">
        <v>127</v>
      </c>
      <c r="Y401" s="18">
        <v>1</v>
      </c>
      <c r="Z401" s="18">
        <v>2363</v>
      </c>
      <c r="AA401" s="18" t="s">
        <v>63</v>
      </c>
      <c r="AB401" s="18" t="s">
        <v>64</v>
      </c>
      <c r="AC401" s="18" t="e">
        <v>#N/A</v>
      </c>
    </row>
    <row r="402" s="18" customFormat="1" spans="1:29">
      <c r="A402" s="18" t="s">
        <v>1264</v>
      </c>
      <c r="B402" s="25" t="s">
        <v>1264</v>
      </c>
      <c r="C402" s="26">
        <v>45673</v>
      </c>
      <c r="D402" s="18" t="s">
        <v>1265</v>
      </c>
      <c r="E402" s="18" t="str">
        <f t="shared" si="6"/>
        <v>Parvesh Mahalwal............... </v>
      </c>
      <c r="F402" s="27" t="e">
        <v>#N/A</v>
      </c>
      <c r="G402" s="18" t="s">
        <v>147</v>
      </c>
      <c r="H402" s="18" t="s">
        <v>148</v>
      </c>
      <c r="I402" s="18" t="s">
        <v>54</v>
      </c>
      <c r="J402" s="18" t="s">
        <v>240</v>
      </c>
      <c r="K402" s="18" t="s">
        <v>56</v>
      </c>
      <c r="L402" s="18" t="s">
        <v>36</v>
      </c>
      <c r="N402" s="18">
        <v>6</v>
      </c>
      <c r="O402" s="18" t="s">
        <v>93</v>
      </c>
      <c r="P402" s="18" t="s">
        <v>38</v>
      </c>
      <c r="Q402" s="18" t="s">
        <v>58</v>
      </c>
      <c r="R402" s="18" t="s">
        <v>59</v>
      </c>
      <c r="S402" s="18" t="s">
        <v>60</v>
      </c>
      <c r="T402" s="18" t="b">
        <v>1</v>
      </c>
      <c r="U402" s="18" t="s">
        <v>150</v>
      </c>
      <c r="V402" s="18" t="s">
        <v>40</v>
      </c>
      <c r="W402" s="18" t="s">
        <v>126</v>
      </c>
      <c r="X402" s="18" t="s">
        <v>127</v>
      </c>
      <c r="Y402" s="18">
        <v>1</v>
      </c>
      <c r="Z402" s="18">
        <v>4009</v>
      </c>
      <c r="AA402" s="18" t="s">
        <v>299</v>
      </c>
      <c r="AB402" s="18" t="s">
        <v>295</v>
      </c>
      <c r="AC402" s="18" t="e">
        <v>#N/A</v>
      </c>
    </row>
    <row r="403" s="18" customFormat="1" spans="1:29">
      <c r="A403" s="18" t="s">
        <v>1266</v>
      </c>
      <c r="B403" s="25" t="s">
        <v>1266</v>
      </c>
      <c r="C403" s="26">
        <v>45673</v>
      </c>
      <c r="D403" s="18" t="s">
        <v>1267</v>
      </c>
      <c r="E403" s="18" t="str">
        <f t="shared" si="6"/>
        <v>Black Pearl Production Pvt Ltd</v>
      </c>
      <c r="F403" s="27" t="s">
        <v>1268</v>
      </c>
      <c r="G403" s="18" t="s">
        <v>147</v>
      </c>
      <c r="H403" s="18" t="s">
        <v>148</v>
      </c>
      <c r="I403" s="18" t="s">
        <v>54</v>
      </c>
      <c r="J403" s="18" t="s">
        <v>149</v>
      </c>
      <c r="K403" s="18" t="s">
        <v>56</v>
      </c>
      <c r="L403" s="18" t="s">
        <v>36</v>
      </c>
      <c r="N403" s="18">
        <v>6</v>
      </c>
      <c r="O403" s="18" t="s">
        <v>88</v>
      </c>
      <c r="P403" s="18" t="s">
        <v>38</v>
      </c>
      <c r="Q403" s="18" t="s">
        <v>58</v>
      </c>
      <c r="R403" s="18" t="s">
        <v>59</v>
      </c>
      <c r="S403" s="18" t="s">
        <v>60</v>
      </c>
      <c r="T403" s="18" t="b">
        <v>1</v>
      </c>
      <c r="U403" s="18" t="s">
        <v>150</v>
      </c>
      <c r="V403" s="18" t="s">
        <v>40</v>
      </c>
      <c r="W403" s="18" t="s">
        <v>151</v>
      </c>
      <c r="X403" s="18" t="s">
        <v>152</v>
      </c>
      <c r="Y403" s="18">
        <v>1</v>
      </c>
      <c r="Z403" s="18">
        <v>290000</v>
      </c>
      <c r="AA403" s="18" t="s">
        <v>153</v>
      </c>
      <c r="AB403" s="18" t="s">
        <v>154</v>
      </c>
      <c r="AC403" s="18" t="s">
        <v>163</v>
      </c>
    </row>
    <row r="404" s="18" customFormat="1" spans="1:29">
      <c r="A404" s="18" t="s">
        <v>1269</v>
      </c>
      <c r="B404" s="25" t="s">
        <v>1269</v>
      </c>
      <c r="C404" s="26">
        <v>45673</v>
      </c>
      <c r="D404" s="18" t="s">
        <v>1029</v>
      </c>
      <c r="E404" s="18" t="str">
        <f t="shared" si="6"/>
        <v>Pankaj Kumar Mishra  </v>
      </c>
      <c r="F404" s="27" t="e">
        <v>#N/A</v>
      </c>
      <c r="G404" s="18" t="s">
        <v>147</v>
      </c>
      <c r="H404" s="18" t="s">
        <v>148</v>
      </c>
      <c r="I404" s="18" t="s">
        <v>54</v>
      </c>
      <c r="J404" s="18" t="s">
        <v>240</v>
      </c>
      <c r="K404" s="18" t="s">
        <v>56</v>
      </c>
      <c r="L404" s="18" t="s">
        <v>36</v>
      </c>
      <c r="N404" s="18">
        <v>6</v>
      </c>
      <c r="O404" s="18" t="s">
        <v>93</v>
      </c>
      <c r="P404" s="18" t="s">
        <v>38</v>
      </c>
      <c r="Q404" s="18" t="s">
        <v>58</v>
      </c>
      <c r="R404" s="18" t="s">
        <v>59</v>
      </c>
      <c r="S404" s="18" t="s">
        <v>60</v>
      </c>
      <c r="T404" s="18" t="b">
        <v>1</v>
      </c>
      <c r="U404" s="18" t="s">
        <v>150</v>
      </c>
      <c r="V404" s="18" t="s">
        <v>40</v>
      </c>
      <c r="W404" s="18" t="s">
        <v>233</v>
      </c>
      <c r="X404" s="18" t="s">
        <v>234</v>
      </c>
      <c r="Y404" s="18">
        <v>1</v>
      </c>
      <c r="Z404" s="18">
        <v>5500</v>
      </c>
      <c r="AA404" s="18" t="s">
        <v>1194</v>
      </c>
      <c r="AB404" s="18" t="s">
        <v>228</v>
      </c>
      <c r="AC404" s="18" t="e">
        <v>#N/A</v>
      </c>
    </row>
    <row r="405" s="19" customFormat="1" ht="29" spans="1:29">
      <c r="A405" s="19" t="s">
        <v>1270</v>
      </c>
      <c r="B405" s="28" t="s">
        <v>1270</v>
      </c>
      <c r="C405" s="29">
        <v>45673</v>
      </c>
      <c r="D405" s="19" t="s">
        <v>1257</v>
      </c>
      <c r="E405" s="19" t="str">
        <f t="shared" si="6"/>
        <v>Dell International Services India Pvt Ltd (CR)</v>
      </c>
      <c r="F405" s="30" t="e">
        <v>#N/A</v>
      </c>
      <c r="G405" s="19" t="s">
        <v>182</v>
      </c>
      <c r="H405" s="19" t="s">
        <v>473</v>
      </c>
      <c r="I405" s="19" t="s">
        <v>184</v>
      </c>
      <c r="K405" s="19" t="s">
        <v>35</v>
      </c>
      <c r="L405" s="19" t="s">
        <v>36</v>
      </c>
      <c r="N405" s="19">
        <v>6</v>
      </c>
      <c r="O405" s="19" t="s">
        <v>57</v>
      </c>
      <c r="P405" s="19" t="s">
        <v>38</v>
      </c>
      <c r="T405" s="19" t="b">
        <v>0</v>
      </c>
      <c r="U405" s="19" t="s">
        <v>187</v>
      </c>
      <c r="V405" s="19" t="s">
        <v>40</v>
      </c>
      <c r="W405" s="19" t="s">
        <v>1271</v>
      </c>
      <c r="X405" s="19" t="e">
        <v>#N/A</v>
      </c>
      <c r="Y405" s="19">
        <v>4</v>
      </c>
      <c r="Z405" s="19">
        <v>256987</v>
      </c>
      <c r="AA405" s="32" t="s">
        <v>992</v>
      </c>
      <c r="AB405" s="19" t="s">
        <v>993</v>
      </c>
      <c r="AC405" s="19" t="s">
        <v>200</v>
      </c>
    </row>
    <row r="406" s="18" customFormat="1" spans="1:29">
      <c r="A406" s="18" t="s">
        <v>1272</v>
      </c>
      <c r="B406" s="25" t="s">
        <v>1272</v>
      </c>
      <c r="C406" s="26">
        <v>45673</v>
      </c>
      <c r="D406" s="18" t="s">
        <v>1273</v>
      </c>
      <c r="E406" s="18" t="str">
        <f t="shared" si="6"/>
        <v>The Ritz</v>
      </c>
      <c r="F406" s="27" t="e">
        <v>#N/A</v>
      </c>
      <c r="G406" s="18" t="s">
        <v>182</v>
      </c>
      <c r="H406" s="18" t="s">
        <v>183</v>
      </c>
      <c r="I406" s="18" t="s">
        <v>54</v>
      </c>
      <c r="J406" s="18" t="s">
        <v>1253</v>
      </c>
      <c r="K406" s="18" t="s">
        <v>56</v>
      </c>
      <c r="L406" s="18" t="s">
        <v>36</v>
      </c>
      <c r="N406" s="18">
        <v>6</v>
      </c>
      <c r="O406" s="18" t="s">
        <v>93</v>
      </c>
      <c r="P406" s="18" t="s">
        <v>38</v>
      </c>
      <c r="Q406" s="18" t="s">
        <v>58</v>
      </c>
      <c r="R406" s="18" t="s">
        <v>59</v>
      </c>
      <c r="S406" s="18" t="s">
        <v>60</v>
      </c>
      <c r="T406" s="18" t="b">
        <v>0</v>
      </c>
      <c r="U406" s="18" t="s">
        <v>187</v>
      </c>
      <c r="V406" s="18" t="s">
        <v>40</v>
      </c>
      <c r="W406" s="18" t="s">
        <v>1176</v>
      </c>
      <c r="X406" s="18" t="s">
        <v>1177</v>
      </c>
      <c r="Y406" s="18">
        <v>1</v>
      </c>
      <c r="Z406" s="18">
        <v>293817</v>
      </c>
      <c r="AA406" s="18" t="s">
        <v>63</v>
      </c>
      <c r="AB406" s="18" t="s">
        <v>64</v>
      </c>
      <c r="AC406" s="18" t="s">
        <v>200</v>
      </c>
    </row>
    <row r="407" s="18" customFormat="1" spans="1:29">
      <c r="A407" s="18" t="s">
        <v>1274</v>
      </c>
      <c r="B407" s="25" t="s">
        <v>1274</v>
      </c>
      <c r="C407" s="26">
        <v>45673</v>
      </c>
      <c r="D407" s="18" t="s">
        <v>723</v>
      </c>
      <c r="E407" s="18" t="str">
        <f t="shared" si="6"/>
        <v>Greenix Experience Pvt Ltd</v>
      </c>
      <c r="F407" s="27" t="s">
        <v>724</v>
      </c>
      <c r="G407" s="18" t="s">
        <v>182</v>
      </c>
      <c r="H407" s="18" t="s">
        <v>183</v>
      </c>
      <c r="I407" s="18" t="s">
        <v>54</v>
      </c>
      <c r="J407" s="18" t="s">
        <v>1275</v>
      </c>
      <c r="K407" s="18" t="s">
        <v>56</v>
      </c>
      <c r="L407" s="18" t="s">
        <v>36</v>
      </c>
      <c r="N407" s="18">
        <v>6</v>
      </c>
      <c r="O407" s="18" t="s">
        <v>93</v>
      </c>
      <c r="P407" s="18" t="s">
        <v>38</v>
      </c>
      <c r="Q407" s="18" t="s">
        <v>58</v>
      </c>
      <c r="R407" s="18" t="s">
        <v>59</v>
      </c>
      <c r="S407" s="18" t="s">
        <v>60</v>
      </c>
      <c r="T407" s="18" t="b">
        <v>0</v>
      </c>
      <c r="U407" s="18" t="s">
        <v>187</v>
      </c>
      <c r="V407" s="18" t="s">
        <v>40</v>
      </c>
      <c r="W407" s="18" t="s">
        <v>233</v>
      </c>
      <c r="X407" s="18" t="s">
        <v>234</v>
      </c>
      <c r="Y407" s="18">
        <v>1</v>
      </c>
      <c r="Z407" s="18">
        <v>1200000</v>
      </c>
      <c r="AA407" s="18" t="s">
        <v>63</v>
      </c>
      <c r="AB407" s="18" t="s">
        <v>64</v>
      </c>
      <c r="AC407" s="18" t="s">
        <v>216</v>
      </c>
    </row>
    <row r="408" s="18" customFormat="1" ht="29" spans="1:29">
      <c r="A408" s="18" t="s">
        <v>1276</v>
      </c>
      <c r="B408" s="25" t="s">
        <v>1276</v>
      </c>
      <c r="C408" s="26">
        <v>45673</v>
      </c>
      <c r="D408" s="18" t="s">
        <v>1277</v>
      </c>
      <c r="E408" s="18" t="str">
        <f t="shared" si="6"/>
        <v>Pradeep Golak Das </v>
      </c>
      <c r="F408" s="27" t="e">
        <v>#N/A</v>
      </c>
      <c r="G408" s="18" t="s">
        <v>182</v>
      </c>
      <c r="H408" s="18" t="s">
        <v>183</v>
      </c>
      <c r="I408" s="18" t="s">
        <v>184</v>
      </c>
      <c r="J408" s="18" t="s">
        <v>938</v>
      </c>
      <c r="K408" s="18" t="s">
        <v>56</v>
      </c>
      <c r="L408" s="18" t="s">
        <v>36</v>
      </c>
      <c r="N408" s="18">
        <v>6</v>
      </c>
      <c r="O408" s="18" t="s">
        <v>57</v>
      </c>
      <c r="P408" s="18" t="s">
        <v>38</v>
      </c>
      <c r="Q408" s="18" t="s">
        <v>194</v>
      </c>
      <c r="R408" s="18" t="s">
        <v>59</v>
      </c>
      <c r="S408" s="18" t="s">
        <v>195</v>
      </c>
      <c r="T408" s="18" t="b">
        <v>0</v>
      </c>
      <c r="U408" s="18" t="s">
        <v>187</v>
      </c>
      <c r="V408" s="18" t="s">
        <v>40</v>
      </c>
      <c r="W408" s="18" t="s">
        <v>250</v>
      </c>
      <c r="X408" s="18" t="s">
        <v>251</v>
      </c>
      <c r="Y408" s="18">
        <v>1</v>
      </c>
      <c r="Z408" s="18">
        <v>175000</v>
      </c>
      <c r="AA408" s="31" t="s">
        <v>947</v>
      </c>
      <c r="AB408" s="18" t="s">
        <v>948</v>
      </c>
      <c r="AC408" s="18" t="e">
        <v>#N/A</v>
      </c>
    </row>
    <row r="409" s="18" customFormat="1" ht="29" spans="1:29">
      <c r="A409" s="18" t="s">
        <v>1278</v>
      </c>
      <c r="B409" s="25" t="s">
        <v>1278</v>
      </c>
      <c r="C409" s="26">
        <v>45673</v>
      </c>
      <c r="D409" s="18" t="s">
        <v>1279</v>
      </c>
      <c r="E409" s="18" t="str">
        <f t="shared" si="6"/>
        <v>Pro MFG Media Pvt Ltd</v>
      </c>
      <c r="F409" s="27" t="s">
        <v>1280</v>
      </c>
      <c r="G409" s="18" t="s">
        <v>182</v>
      </c>
      <c r="H409" s="18" t="s">
        <v>183</v>
      </c>
      <c r="I409" s="18" t="s">
        <v>184</v>
      </c>
      <c r="J409" s="18" t="s">
        <v>1131</v>
      </c>
      <c r="K409" s="18" t="s">
        <v>56</v>
      </c>
      <c r="L409" s="18" t="s">
        <v>36</v>
      </c>
      <c r="N409" s="18">
        <v>6</v>
      </c>
      <c r="O409" s="18" t="s">
        <v>88</v>
      </c>
      <c r="P409" s="18" t="s">
        <v>38</v>
      </c>
      <c r="Q409" s="18" t="s">
        <v>194</v>
      </c>
      <c r="R409" s="18" t="s">
        <v>59</v>
      </c>
      <c r="S409" s="18" t="s">
        <v>195</v>
      </c>
      <c r="T409" s="18" t="b">
        <v>0</v>
      </c>
      <c r="U409" s="18" t="s">
        <v>187</v>
      </c>
      <c r="V409" s="18" t="s">
        <v>40</v>
      </c>
      <c r="W409" s="18" t="s">
        <v>317</v>
      </c>
      <c r="X409" s="18" t="s">
        <v>318</v>
      </c>
      <c r="Y409" s="18">
        <v>1</v>
      </c>
      <c r="Z409" s="18">
        <v>200000</v>
      </c>
      <c r="AA409" s="31" t="s">
        <v>729</v>
      </c>
      <c r="AB409" s="18" t="s">
        <v>730</v>
      </c>
      <c r="AC409" s="18" t="s">
        <v>200</v>
      </c>
    </row>
    <row r="410" s="18" customFormat="1" spans="1:29">
      <c r="A410" s="18" t="s">
        <v>1281</v>
      </c>
      <c r="B410" s="25" t="s">
        <v>1281</v>
      </c>
      <c r="C410" s="26">
        <v>45674</v>
      </c>
      <c r="D410" s="18" t="s">
        <v>1282</v>
      </c>
      <c r="E410" s="18" t="str">
        <f t="shared" si="6"/>
        <v>Duxmedia LLP</v>
      </c>
      <c r="F410" s="27" t="s">
        <v>1283</v>
      </c>
      <c r="G410" s="18" t="s">
        <v>32</v>
      </c>
      <c r="H410" s="18" t="s">
        <v>33</v>
      </c>
      <c r="I410" s="18" t="s">
        <v>207</v>
      </c>
      <c r="J410" s="18" t="s">
        <v>55</v>
      </c>
      <c r="K410" s="18" t="s">
        <v>56</v>
      </c>
      <c r="L410" s="18" t="s">
        <v>36</v>
      </c>
      <c r="N410" s="18">
        <v>6</v>
      </c>
      <c r="O410" s="18" t="s">
        <v>88</v>
      </c>
      <c r="P410" s="18" t="s">
        <v>38</v>
      </c>
      <c r="Q410" s="18" t="s">
        <v>58</v>
      </c>
      <c r="R410" s="18" t="s">
        <v>59</v>
      </c>
      <c r="S410" s="18" t="s">
        <v>60</v>
      </c>
      <c r="T410" s="18" t="b">
        <v>1</v>
      </c>
      <c r="U410" s="18" t="s">
        <v>39</v>
      </c>
      <c r="V410" s="18" t="s">
        <v>40</v>
      </c>
      <c r="W410" s="18" t="s">
        <v>683</v>
      </c>
      <c r="X410" s="18" t="s">
        <v>684</v>
      </c>
      <c r="Y410" s="18">
        <v>1</v>
      </c>
      <c r="Z410" s="18">
        <v>75000</v>
      </c>
      <c r="AA410" s="18" t="s">
        <v>1284</v>
      </c>
      <c r="AB410" s="18" t="s">
        <v>600</v>
      </c>
      <c r="AC410" s="18" t="s">
        <v>43</v>
      </c>
    </row>
    <row r="411" s="18" customFormat="1" spans="1:29">
      <c r="A411" s="18" t="s">
        <v>1285</v>
      </c>
      <c r="B411" s="25" t="s">
        <v>1285</v>
      </c>
      <c r="C411" s="26">
        <v>45674</v>
      </c>
      <c r="D411" s="18" t="s">
        <v>1286</v>
      </c>
      <c r="E411" s="18" t="str">
        <f t="shared" si="6"/>
        <v>Vinayaka Wooden Die Makers</v>
      </c>
      <c r="F411" s="27" t="s">
        <v>1287</v>
      </c>
      <c r="G411" s="18" t="s">
        <v>32</v>
      </c>
      <c r="H411" s="18" t="s">
        <v>33</v>
      </c>
      <c r="I411" s="18" t="s">
        <v>1246</v>
      </c>
      <c r="J411" s="18" t="s">
        <v>831</v>
      </c>
      <c r="K411" s="18" t="s">
        <v>56</v>
      </c>
      <c r="L411" s="18" t="s">
        <v>36</v>
      </c>
      <c r="N411" s="18">
        <v>6</v>
      </c>
      <c r="O411" s="18" t="s">
        <v>57</v>
      </c>
      <c r="P411" s="18" t="s">
        <v>38</v>
      </c>
      <c r="Q411" s="18" t="s">
        <v>117</v>
      </c>
      <c r="R411" s="18" t="s">
        <v>59</v>
      </c>
      <c r="S411" s="18" t="s">
        <v>118</v>
      </c>
      <c r="T411" s="18" t="b">
        <v>1</v>
      </c>
      <c r="U411" s="18" t="s">
        <v>39</v>
      </c>
      <c r="V411" s="18" t="s">
        <v>40</v>
      </c>
      <c r="W411" s="18" t="s">
        <v>140</v>
      </c>
      <c r="X411" s="18" t="s">
        <v>141</v>
      </c>
      <c r="Y411" s="18">
        <v>1</v>
      </c>
      <c r="Z411" s="18">
        <v>950</v>
      </c>
      <c r="AA411" s="18" t="s">
        <v>319</v>
      </c>
      <c r="AB411" s="18" t="s">
        <v>320</v>
      </c>
      <c r="AC411" s="18" t="s">
        <v>43</v>
      </c>
    </row>
    <row r="412" s="18" customFormat="1" spans="1:29">
      <c r="A412" s="18" t="s">
        <v>1288</v>
      </c>
      <c r="B412" s="25" t="s">
        <v>1288</v>
      </c>
      <c r="C412" s="26">
        <v>45674</v>
      </c>
      <c r="D412" s="18" t="s">
        <v>1289</v>
      </c>
      <c r="E412" s="18" t="str">
        <f t="shared" si="6"/>
        <v>Prismscale Pvt Ltd</v>
      </c>
      <c r="F412" s="27" t="s">
        <v>1290</v>
      </c>
      <c r="G412" s="18" t="s">
        <v>32</v>
      </c>
      <c r="H412" s="18" t="s">
        <v>33</v>
      </c>
      <c r="I412" s="18" t="s">
        <v>1246</v>
      </c>
      <c r="J412" s="18" t="s">
        <v>831</v>
      </c>
      <c r="K412" s="18" t="s">
        <v>56</v>
      </c>
      <c r="L412" s="18" t="s">
        <v>36</v>
      </c>
      <c r="N412" s="18">
        <v>6</v>
      </c>
      <c r="O412" s="18" t="s">
        <v>88</v>
      </c>
      <c r="P412" s="18" t="s">
        <v>38</v>
      </c>
      <c r="Q412" s="18" t="s">
        <v>117</v>
      </c>
      <c r="R412" s="18" t="s">
        <v>59</v>
      </c>
      <c r="S412" s="18" t="s">
        <v>118</v>
      </c>
      <c r="T412" s="18" t="b">
        <v>1</v>
      </c>
      <c r="U412" s="18" t="s">
        <v>39</v>
      </c>
      <c r="V412" s="18" t="s">
        <v>40</v>
      </c>
      <c r="W412" s="18" t="s">
        <v>347</v>
      </c>
      <c r="X412" s="18" t="s">
        <v>348</v>
      </c>
      <c r="Y412" s="18">
        <v>1</v>
      </c>
      <c r="Z412" s="18">
        <v>2000</v>
      </c>
      <c r="AA412" s="18" t="s">
        <v>319</v>
      </c>
      <c r="AB412" s="18" t="s">
        <v>320</v>
      </c>
      <c r="AC412" s="18" t="s">
        <v>43</v>
      </c>
    </row>
    <row r="413" s="18" customFormat="1" spans="1:29">
      <c r="A413" s="18" t="s">
        <v>1291</v>
      </c>
      <c r="B413" s="25" t="s">
        <v>1291</v>
      </c>
      <c r="C413" s="26">
        <v>45674</v>
      </c>
      <c r="D413" s="18" t="s">
        <v>1292</v>
      </c>
      <c r="E413" s="18" t="str">
        <f t="shared" si="6"/>
        <v>The Park Bangalore</v>
      </c>
      <c r="F413" s="27" t="s">
        <v>1293</v>
      </c>
      <c r="G413" s="18" t="s">
        <v>32</v>
      </c>
      <c r="H413" s="18" t="s">
        <v>33</v>
      </c>
      <c r="I413" s="18" t="s">
        <v>207</v>
      </c>
      <c r="J413" s="18" t="s">
        <v>275</v>
      </c>
      <c r="K413" s="18" t="s">
        <v>56</v>
      </c>
      <c r="L413" s="18" t="s">
        <v>36</v>
      </c>
      <c r="N413" s="18">
        <v>6</v>
      </c>
      <c r="O413" s="18" t="s">
        <v>88</v>
      </c>
      <c r="P413" s="18" t="s">
        <v>38</v>
      </c>
      <c r="Q413" s="18" t="s">
        <v>58</v>
      </c>
      <c r="R413" s="18" t="s">
        <v>59</v>
      </c>
      <c r="S413" s="18" t="s">
        <v>60</v>
      </c>
      <c r="T413" s="18" t="b">
        <v>1</v>
      </c>
      <c r="U413" s="18" t="s">
        <v>39</v>
      </c>
      <c r="V413" s="18" t="s">
        <v>40</v>
      </c>
      <c r="W413" s="18" t="s">
        <v>61</v>
      </c>
      <c r="X413" s="18" t="s">
        <v>62</v>
      </c>
      <c r="Y413" s="18">
        <v>1</v>
      </c>
      <c r="Z413" s="18">
        <v>76000</v>
      </c>
      <c r="AA413" s="18" t="s">
        <v>63</v>
      </c>
      <c r="AB413" s="18" t="s">
        <v>64</v>
      </c>
      <c r="AC413" s="18" t="s">
        <v>43</v>
      </c>
    </row>
    <row r="414" s="18" customFormat="1" spans="1:29">
      <c r="A414" s="18" t="s">
        <v>1294</v>
      </c>
      <c r="B414" s="25" t="s">
        <v>1294</v>
      </c>
      <c r="C414" s="26">
        <v>45674</v>
      </c>
      <c r="D414" s="18" t="s">
        <v>987</v>
      </c>
      <c r="E414" s="18" t="str">
        <f t="shared" si="6"/>
        <v>Neha Khemka  </v>
      </c>
      <c r="F414" s="27" t="e">
        <v>#N/A</v>
      </c>
      <c r="G414" s="18" t="s">
        <v>32</v>
      </c>
      <c r="H414" s="18" t="s">
        <v>33</v>
      </c>
      <c r="I414" s="18" t="s">
        <v>34</v>
      </c>
      <c r="J414" s="18" t="s">
        <v>995</v>
      </c>
      <c r="K414" s="18" t="s">
        <v>56</v>
      </c>
      <c r="L414" s="18" t="s">
        <v>36</v>
      </c>
      <c r="N414" s="18">
        <v>6</v>
      </c>
      <c r="O414" s="18" t="s">
        <v>93</v>
      </c>
      <c r="P414" s="18" t="s">
        <v>38</v>
      </c>
      <c r="Q414" s="18" t="s">
        <v>117</v>
      </c>
      <c r="R414" s="18" t="s">
        <v>59</v>
      </c>
      <c r="S414" s="18" t="s">
        <v>118</v>
      </c>
      <c r="T414" s="18" t="b">
        <v>1</v>
      </c>
      <c r="U414" s="18" t="s">
        <v>39</v>
      </c>
      <c r="V414" s="18" t="s">
        <v>40</v>
      </c>
      <c r="W414" s="18" t="s">
        <v>126</v>
      </c>
      <c r="X414" s="18" t="s">
        <v>127</v>
      </c>
      <c r="Y414" s="18">
        <v>1</v>
      </c>
      <c r="Z414" s="18">
        <v>2130</v>
      </c>
      <c r="AA414" s="18" t="s">
        <v>128</v>
      </c>
      <c r="AB414" s="18" t="s">
        <v>129</v>
      </c>
      <c r="AC414" s="18" t="e">
        <v>#N/A</v>
      </c>
    </row>
    <row r="415" s="18" customFormat="1" ht="29" spans="1:29">
      <c r="A415" s="18" t="s">
        <v>1295</v>
      </c>
      <c r="B415" s="25" t="s">
        <v>1295</v>
      </c>
      <c r="C415" s="26">
        <v>45674</v>
      </c>
      <c r="D415" s="18" t="s">
        <v>1296</v>
      </c>
      <c r="E415" s="18" t="str">
        <f t="shared" si="6"/>
        <v>Vsquare Corporate Services</v>
      </c>
      <c r="F415" s="27" t="s">
        <v>1297</v>
      </c>
      <c r="G415" s="18" t="s">
        <v>32</v>
      </c>
      <c r="H415" s="18" t="s">
        <v>33</v>
      </c>
      <c r="I415" s="18" t="s">
        <v>184</v>
      </c>
      <c r="J415" s="18" t="s">
        <v>1131</v>
      </c>
      <c r="K415" s="18" t="s">
        <v>56</v>
      </c>
      <c r="L415" s="18" t="s">
        <v>36</v>
      </c>
      <c r="N415" s="18">
        <v>6</v>
      </c>
      <c r="O415" s="18" t="s">
        <v>57</v>
      </c>
      <c r="P415" s="18" t="s">
        <v>38</v>
      </c>
      <c r="Q415" s="18" t="s">
        <v>194</v>
      </c>
      <c r="R415" s="18" t="s">
        <v>59</v>
      </c>
      <c r="S415" s="18" t="s">
        <v>195</v>
      </c>
      <c r="T415" s="18" t="b">
        <v>1</v>
      </c>
      <c r="U415" s="18" t="s">
        <v>39</v>
      </c>
      <c r="V415" s="18" t="s">
        <v>40</v>
      </c>
      <c r="W415" s="18" t="s">
        <v>317</v>
      </c>
      <c r="X415" s="18" t="s">
        <v>318</v>
      </c>
      <c r="Y415" s="18">
        <v>1</v>
      </c>
      <c r="Z415" s="18">
        <v>131000</v>
      </c>
      <c r="AA415" s="31" t="s">
        <v>1298</v>
      </c>
      <c r="AB415" s="18" t="s">
        <v>282</v>
      </c>
      <c r="AC415" s="18" t="s">
        <v>43</v>
      </c>
    </row>
    <row r="416" s="18" customFormat="1" ht="29" spans="1:29">
      <c r="A416" s="18" t="s">
        <v>1299</v>
      </c>
      <c r="B416" s="25" t="s">
        <v>1299</v>
      </c>
      <c r="C416" s="26">
        <v>45674</v>
      </c>
      <c r="D416" s="18" t="s">
        <v>305</v>
      </c>
      <c r="E416" s="18" t="str">
        <f t="shared" si="6"/>
        <v>Sumair Shariff</v>
      </c>
      <c r="F416" s="27" t="s">
        <v>306</v>
      </c>
      <c r="G416" s="18" t="s">
        <v>32</v>
      </c>
      <c r="H416" s="18" t="s">
        <v>33</v>
      </c>
      <c r="I416" s="18" t="s">
        <v>184</v>
      </c>
      <c r="J416" s="18" t="s">
        <v>1131</v>
      </c>
      <c r="K416" s="18" t="s">
        <v>56</v>
      </c>
      <c r="L416" s="18" t="s">
        <v>36</v>
      </c>
      <c r="N416" s="18">
        <v>6</v>
      </c>
      <c r="O416" s="18" t="s">
        <v>57</v>
      </c>
      <c r="P416" s="18" t="s">
        <v>38</v>
      </c>
      <c r="Q416" s="18" t="s">
        <v>194</v>
      </c>
      <c r="R416" s="18" t="s">
        <v>59</v>
      </c>
      <c r="S416" s="18" t="s">
        <v>195</v>
      </c>
      <c r="T416" s="18" t="b">
        <v>1</v>
      </c>
      <c r="U416" s="18" t="s">
        <v>39</v>
      </c>
      <c r="V416" s="18" t="s">
        <v>40</v>
      </c>
      <c r="W416" s="18" t="s">
        <v>292</v>
      </c>
      <c r="X416" s="18" t="s">
        <v>293</v>
      </c>
      <c r="Y416" s="18">
        <v>1</v>
      </c>
      <c r="Z416" s="18">
        <v>25200</v>
      </c>
      <c r="AA416" s="31" t="s">
        <v>1298</v>
      </c>
      <c r="AB416" s="18" t="s">
        <v>282</v>
      </c>
      <c r="AC416" s="18" t="e">
        <v>#N/A</v>
      </c>
    </row>
    <row r="417" s="18" customFormat="1" ht="29" spans="1:29">
      <c r="A417" s="18" t="s">
        <v>1300</v>
      </c>
      <c r="B417" s="25" t="s">
        <v>1300</v>
      </c>
      <c r="C417" s="26">
        <v>45674</v>
      </c>
      <c r="D417" s="18" t="s">
        <v>301</v>
      </c>
      <c r="E417" s="18" t="str">
        <f t="shared" si="6"/>
        <v>Yash Gifts</v>
      </c>
      <c r="F417" s="27" t="s">
        <v>302</v>
      </c>
      <c r="G417" s="18" t="s">
        <v>32</v>
      </c>
      <c r="H417" s="18" t="s">
        <v>33</v>
      </c>
      <c r="I417" s="18" t="s">
        <v>184</v>
      </c>
      <c r="J417" s="18" t="s">
        <v>1131</v>
      </c>
      <c r="K417" s="18" t="s">
        <v>56</v>
      </c>
      <c r="L417" s="18" t="s">
        <v>36</v>
      </c>
      <c r="N417" s="18">
        <v>6</v>
      </c>
      <c r="O417" s="18" t="s">
        <v>88</v>
      </c>
      <c r="P417" s="18" t="s">
        <v>38</v>
      </c>
      <c r="Q417" s="18" t="s">
        <v>194</v>
      </c>
      <c r="R417" s="18" t="s">
        <v>59</v>
      </c>
      <c r="S417" s="18" t="s">
        <v>195</v>
      </c>
      <c r="T417" s="18" t="b">
        <v>1</v>
      </c>
      <c r="U417" s="18" t="s">
        <v>39</v>
      </c>
      <c r="V417" s="18" t="s">
        <v>40</v>
      </c>
      <c r="W417" s="18" t="s">
        <v>196</v>
      </c>
      <c r="X417" s="18" t="s">
        <v>197</v>
      </c>
      <c r="Y417" s="18">
        <v>1</v>
      </c>
      <c r="Z417" s="18">
        <v>4800</v>
      </c>
      <c r="AA417" s="31" t="s">
        <v>1298</v>
      </c>
      <c r="AB417" s="18" t="s">
        <v>282</v>
      </c>
      <c r="AC417" s="18" t="s">
        <v>43</v>
      </c>
    </row>
    <row r="418" s="18" customFormat="1" ht="29" spans="1:29">
      <c r="A418" s="18" t="s">
        <v>1301</v>
      </c>
      <c r="B418" s="25" t="s">
        <v>1301</v>
      </c>
      <c r="C418" s="26">
        <v>45674</v>
      </c>
      <c r="D418" s="18" t="s">
        <v>1082</v>
      </c>
      <c r="E418" s="18" t="str">
        <f t="shared" si="6"/>
        <v>Skypillars Manpower Agency</v>
      </c>
      <c r="F418" s="27" t="s">
        <v>1083</v>
      </c>
      <c r="G418" s="18" t="s">
        <v>32</v>
      </c>
      <c r="H418" s="18" t="s">
        <v>33</v>
      </c>
      <c r="I418" s="18" t="s">
        <v>184</v>
      </c>
      <c r="J418" s="18" t="s">
        <v>1131</v>
      </c>
      <c r="K418" s="18" t="s">
        <v>56</v>
      </c>
      <c r="L418" s="18" t="s">
        <v>36</v>
      </c>
      <c r="N418" s="18">
        <v>6</v>
      </c>
      <c r="O418" s="18" t="s">
        <v>88</v>
      </c>
      <c r="P418" s="18" t="s">
        <v>38</v>
      </c>
      <c r="Q418" s="18" t="s">
        <v>194</v>
      </c>
      <c r="R418" s="18" t="s">
        <v>59</v>
      </c>
      <c r="S418" s="18" t="s">
        <v>195</v>
      </c>
      <c r="T418" s="18" t="b">
        <v>1</v>
      </c>
      <c r="U418" s="18" t="s">
        <v>39</v>
      </c>
      <c r="V418" s="18" t="s">
        <v>40</v>
      </c>
      <c r="W418" s="18" t="s">
        <v>292</v>
      </c>
      <c r="X418" s="18" t="s">
        <v>293</v>
      </c>
      <c r="Y418" s="18">
        <v>1</v>
      </c>
      <c r="Z418" s="18">
        <v>21500</v>
      </c>
      <c r="AA418" s="31" t="s">
        <v>1298</v>
      </c>
      <c r="AB418" s="18" t="s">
        <v>282</v>
      </c>
      <c r="AC418" s="18" t="s">
        <v>43</v>
      </c>
    </row>
    <row r="419" s="18" customFormat="1" ht="29" spans="1:29">
      <c r="A419" s="18" t="s">
        <v>1302</v>
      </c>
      <c r="B419" s="25" t="s">
        <v>1302</v>
      </c>
      <c r="C419" s="26">
        <v>45674</v>
      </c>
      <c r="D419" s="18" t="s">
        <v>1303</v>
      </c>
      <c r="E419" s="18" t="str">
        <f t="shared" si="6"/>
        <v>Tarun Solutions</v>
      </c>
      <c r="F419" s="27" t="s">
        <v>1304</v>
      </c>
      <c r="G419" s="18" t="s">
        <v>32</v>
      </c>
      <c r="H419" s="18" t="s">
        <v>33</v>
      </c>
      <c r="I419" s="18" t="s">
        <v>184</v>
      </c>
      <c r="J419" s="18" t="s">
        <v>1131</v>
      </c>
      <c r="K419" s="18" t="s">
        <v>56</v>
      </c>
      <c r="L419" s="18" t="s">
        <v>36</v>
      </c>
      <c r="N419" s="18">
        <v>6</v>
      </c>
      <c r="O419" s="18" t="s">
        <v>57</v>
      </c>
      <c r="P419" s="18" t="s">
        <v>38</v>
      </c>
      <c r="Q419" s="18" t="s">
        <v>194</v>
      </c>
      <c r="R419" s="18" t="s">
        <v>59</v>
      </c>
      <c r="S419" s="18" t="s">
        <v>195</v>
      </c>
      <c r="T419" s="18" t="b">
        <v>1</v>
      </c>
      <c r="U419" s="18" t="s">
        <v>39</v>
      </c>
      <c r="V419" s="18" t="s">
        <v>40</v>
      </c>
      <c r="W419" s="18" t="s">
        <v>371</v>
      </c>
      <c r="X419" s="18" t="s">
        <v>372</v>
      </c>
      <c r="Y419" s="18">
        <v>1</v>
      </c>
      <c r="Z419" s="18">
        <v>3500</v>
      </c>
      <c r="AA419" s="31" t="s">
        <v>1298</v>
      </c>
      <c r="AB419" s="18" t="s">
        <v>282</v>
      </c>
      <c r="AC419" s="18" t="s">
        <v>43</v>
      </c>
    </row>
    <row r="420" s="18" customFormat="1" spans="1:29">
      <c r="A420" s="18" t="s">
        <v>1305</v>
      </c>
      <c r="B420" s="25" t="s">
        <v>1305</v>
      </c>
      <c r="C420" s="26">
        <v>45674</v>
      </c>
      <c r="D420" s="18" t="s">
        <v>1306</v>
      </c>
      <c r="E420" s="18" t="str">
        <f t="shared" si="6"/>
        <v>Tijo Joseph </v>
      </c>
      <c r="F420" s="27" t="e">
        <v>#N/A</v>
      </c>
      <c r="G420" s="18" t="s">
        <v>32</v>
      </c>
      <c r="H420" s="18" t="s">
        <v>33</v>
      </c>
      <c r="I420" s="18" t="s">
        <v>34</v>
      </c>
      <c r="K420" s="18" t="s">
        <v>35</v>
      </c>
      <c r="L420" s="18" t="s">
        <v>36</v>
      </c>
      <c r="N420" s="18">
        <v>6</v>
      </c>
      <c r="O420" s="18" t="s">
        <v>93</v>
      </c>
      <c r="P420" s="18" t="s">
        <v>38</v>
      </c>
      <c r="T420" s="18" t="b">
        <v>1</v>
      </c>
      <c r="U420" s="18" t="s">
        <v>39</v>
      </c>
      <c r="V420" s="18" t="s">
        <v>40</v>
      </c>
      <c r="W420" s="18" t="s">
        <v>127</v>
      </c>
      <c r="X420" s="18" t="s">
        <v>127</v>
      </c>
      <c r="Y420" s="18">
        <v>1</v>
      </c>
      <c r="Z420" s="18">
        <v>1200</v>
      </c>
      <c r="AC420" s="18" t="e">
        <v>#N/A</v>
      </c>
    </row>
    <row r="421" s="18" customFormat="1" spans="1:29">
      <c r="A421" s="18" t="s">
        <v>1307</v>
      </c>
      <c r="B421" s="25" t="s">
        <v>1307</v>
      </c>
      <c r="C421" s="26">
        <v>45674</v>
      </c>
      <c r="D421" s="18" t="s">
        <v>1308</v>
      </c>
      <c r="E421" s="18" t="str">
        <f t="shared" si="6"/>
        <v>1115173 Nagaraju R R </v>
      </c>
      <c r="F421" s="27" t="e">
        <v>#N/A</v>
      </c>
      <c r="G421" s="18" t="s">
        <v>32</v>
      </c>
      <c r="H421" s="18" t="s">
        <v>33</v>
      </c>
      <c r="I421" s="18" t="s">
        <v>34</v>
      </c>
      <c r="K421" s="18" t="s">
        <v>35</v>
      </c>
      <c r="L421" s="18" t="s">
        <v>36</v>
      </c>
      <c r="N421" s="18">
        <v>6</v>
      </c>
      <c r="O421" s="18" t="s">
        <v>93</v>
      </c>
      <c r="P421" s="18" t="s">
        <v>38</v>
      </c>
      <c r="T421" s="18" t="b">
        <v>1</v>
      </c>
      <c r="U421" s="18" t="s">
        <v>39</v>
      </c>
      <c r="V421" s="18" t="s">
        <v>40</v>
      </c>
      <c r="W421" s="18" t="s">
        <v>127</v>
      </c>
      <c r="X421" s="18" t="s">
        <v>127</v>
      </c>
      <c r="Y421" s="18">
        <v>1</v>
      </c>
      <c r="Z421" s="18">
        <v>450</v>
      </c>
      <c r="AA421" s="18" t="s">
        <v>824</v>
      </c>
      <c r="AB421" s="18" t="s">
        <v>825</v>
      </c>
      <c r="AC421" s="18" t="e">
        <v>#N/A</v>
      </c>
    </row>
    <row r="422" s="18" customFormat="1" spans="1:29">
      <c r="A422" s="18" t="s">
        <v>1309</v>
      </c>
      <c r="B422" s="25" t="s">
        <v>1309</v>
      </c>
      <c r="C422" s="26">
        <v>45674</v>
      </c>
      <c r="D422" s="18" t="s">
        <v>1310</v>
      </c>
      <c r="E422" s="18" t="str">
        <f t="shared" si="6"/>
        <v>Safex Fire Services Ltd</v>
      </c>
      <c r="F422" s="27" t="s">
        <v>1311</v>
      </c>
      <c r="G422" s="18" t="s">
        <v>32</v>
      </c>
      <c r="H422" s="18" t="s">
        <v>33</v>
      </c>
      <c r="I422" s="18" t="s">
        <v>34</v>
      </c>
      <c r="K422" s="18" t="s">
        <v>35</v>
      </c>
      <c r="L422" s="18" t="s">
        <v>36</v>
      </c>
      <c r="N422" s="18">
        <v>6</v>
      </c>
      <c r="O422" s="18" t="s">
        <v>88</v>
      </c>
      <c r="P422" s="18" t="s">
        <v>38</v>
      </c>
      <c r="T422" s="18" t="b">
        <v>1</v>
      </c>
      <c r="U422" s="18" t="s">
        <v>39</v>
      </c>
      <c r="V422" s="18" t="s">
        <v>40</v>
      </c>
      <c r="W422" s="18" t="s">
        <v>1312</v>
      </c>
      <c r="X422" s="18" t="s">
        <v>1312</v>
      </c>
      <c r="Y422" s="18">
        <v>1</v>
      </c>
      <c r="Z422" s="18">
        <v>2000</v>
      </c>
      <c r="AA422" s="18" t="s">
        <v>71</v>
      </c>
      <c r="AB422" s="18" t="s">
        <v>72</v>
      </c>
      <c r="AC422" s="18" t="s">
        <v>43</v>
      </c>
    </row>
    <row r="423" s="19" customFormat="1" spans="1:29">
      <c r="A423" s="19" t="s">
        <v>1313</v>
      </c>
      <c r="B423" s="28" t="s">
        <v>1313</v>
      </c>
      <c r="C423" s="29">
        <v>45674</v>
      </c>
      <c r="D423" s="19" t="s">
        <v>1314</v>
      </c>
      <c r="E423" s="19" t="str">
        <f t="shared" si="6"/>
        <v>Stepone Office Stationers</v>
      </c>
      <c r="F423" s="30" t="s">
        <v>1315</v>
      </c>
      <c r="G423" s="19" t="s">
        <v>32</v>
      </c>
      <c r="H423" s="19" t="s">
        <v>33</v>
      </c>
      <c r="I423" s="19" t="s">
        <v>34</v>
      </c>
      <c r="K423" s="19" t="s">
        <v>35</v>
      </c>
      <c r="L423" s="19" t="s">
        <v>36</v>
      </c>
      <c r="N423" s="19">
        <v>6</v>
      </c>
      <c r="O423" s="19" t="s">
        <v>88</v>
      </c>
      <c r="P423" s="19" t="s">
        <v>38</v>
      </c>
      <c r="T423" s="19" t="b">
        <v>1</v>
      </c>
      <c r="U423" s="19" t="s">
        <v>39</v>
      </c>
      <c r="V423" s="19" t="s">
        <v>40</v>
      </c>
      <c r="W423" s="19" t="s">
        <v>107</v>
      </c>
      <c r="X423" s="19" t="e">
        <v>#N/A</v>
      </c>
      <c r="Y423" s="19">
        <v>1</v>
      </c>
      <c r="Z423" s="19">
        <v>8193</v>
      </c>
      <c r="AA423" s="19" t="s">
        <v>71</v>
      </c>
      <c r="AB423" s="19" t="s">
        <v>72</v>
      </c>
      <c r="AC423" s="19" t="s">
        <v>43</v>
      </c>
    </row>
    <row r="424" s="19" customFormat="1" spans="1:29">
      <c r="A424" s="19" t="s">
        <v>1316</v>
      </c>
      <c r="B424" s="28" t="s">
        <v>1316</v>
      </c>
      <c r="C424" s="29">
        <v>45674</v>
      </c>
      <c r="D424" s="19" t="s">
        <v>1314</v>
      </c>
      <c r="E424" s="19" t="str">
        <f t="shared" si="6"/>
        <v>Stepone Office Stationers</v>
      </c>
      <c r="F424" s="30" t="s">
        <v>1315</v>
      </c>
      <c r="G424" s="19" t="s">
        <v>32</v>
      </c>
      <c r="H424" s="19" t="s">
        <v>33</v>
      </c>
      <c r="I424" s="19" t="s">
        <v>34</v>
      </c>
      <c r="K424" s="19" t="s">
        <v>35</v>
      </c>
      <c r="L424" s="19" t="s">
        <v>36</v>
      </c>
      <c r="N424" s="19">
        <v>6</v>
      </c>
      <c r="O424" s="19" t="s">
        <v>88</v>
      </c>
      <c r="P424" s="19" t="s">
        <v>38</v>
      </c>
      <c r="T424" s="19" t="b">
        <v>1</v>
      </c>
      <c r="U424" s="19" t="s">
        <v>39</v>
      </c>
      <c r="V424" s="19" t="s">
        <v>40</v>
      </c>
      <c r="W424" s="19" t="s">
        <v>107</v>
      </c>
      <c r="X424" s="19" t="e">
        <v>#N/A</v>
      </c>
      <c r="Y424" s="19">
        <v>1</v>
      </c>
      <c r="Z424" s="19">
        <v>666</v>
      </c>
      <c r="AA424" s="19" t="s">
        <v>1317</v>
      </c>
      <c r="AB424" s="19" t="s">
        <v>1318</v>
      </c>
      <c r="AC424" s="19" t="s">
        <v>630</v>
      </c>
    </row>
    <row r="425" s="18" customFormat="1" spans="1:29">
      <c r="A425" s="18" t="s">
        <v>1319</v>
      </c>
      <c r="B425" s="25" t="s">
        <v>1319</v>
      </c>
      <c r="C425" s="26">
        <v>45674</v>
      </c>
      <c r="D425" s="18" t="s">
        <v>1314</v>
      </c>
      <c r="E425" s="18" t="str">
        <f t="shared" si="6"/>
        <v>Stepone Office Stationers</v>
      </c>
      <c r="F425" s="27" t="s">
        <v>1315</v>
      </c>
      <c r="G425" s="18" t="s">
        <v>32</v>
      </c>
      <c r="H425" s="18" t="s">
        <v>33</v>
      </c>
      <c r="I425" s="18" t="s">
        <v>34</v>
      </c>
      <c r="K425" s="18" t="s">
        <v>35</v>
      </c>
      <c r="L425" s="18" t="s">
        <v>36</v>
      </c>
      <c r="N425" s="18">
        <v>6</v>
      </c>
      <c r="O425" s="18" t="s">
        <v>88</v>
      </c>
      <c r="P425" s="18" t="s">
        <v>38</v>
      </c>
      <c r="T425" s="18" t="b">
        <v>1</v>
      </c>
      <c r="U425" s="18" t="s">
        <v>39</v>
      </c>
      <c r="V425" s="18" t="s">
        <v>40</v>
      </c>
      <c r="W425" s="18" t="s">
        <v>134</v>
      </c>
      <c r="X425" s="18" t="s">
        <v>135</v>
      </c>
      <c r="Y425" s="18">
        <v>1</v>
      </c>
      <c r="Z425" s="18">
        <v>4120</v>
      </c>
      <c r="AA425" s="18" t="s">
        <v>1317</v>
      </c>
      <c r="AB425" s="18" t="s">
        <v>1318</v>
      </c>
      <c r="AC425" s="18" t="s">
        <v>76</v>
      </c>
    </row>
    <row r="426" s="18" customFormat="1" spans="1:29">
      <c r="A426" s="18" t="s">
        <v>1320</v>
      </c>
      <c r="B426" s="25" t="s">
        <v>1320</v>
      </c>
      <c r="C426" s="26">
        <v>45674</v>
      </c>
      <c r="D426" s="18" t="s">
        <v>827</v>
      </c>
      <c r="E426" s="18" t="str">
        <f t="shared" si="6"/>
        <v>Infutech Solutions</v>
      </c>
      <c r="F426" s="27" t="s">
        <v>828</v>
      </c>
      <c r="G426" s="18" t="s">
        <v>32</v>
      </c>
      <c r="H426" s="18" t="s">
        <v>33</v>
      </c>
      <c r="I426" s="18" t="s">
        <v>34</v>
      </c>
      <c r="K426" s="18" t="s">
        <v>35</v>
      </c>
      <c r="L426" s="18" t="s">
        <v>36</v>
      </c>
      <c r="N426" s="18">
        <v>6</v>
      </c>
      <c r="O426" s="18" t="s">
        <v>88</v>
      </c>
      <c r="P426" s="18" t="s">
        <v>38</v>
      </c>
      <c r="T426" s="18" t="b">
        <v>1</v>
      </c>
      <c r="U426" s="18" t="s">
        <v>39</v>
      </c>
      <c r="V426" s="18" t="s">
        <v>40</v>
      </c>
      <c r="W426" s="18" t="s">
        <v>526</v>
      </c>
      <c r="X426" s="18" t="s">
        <v>526</v>
      </c>
      <c r="Y426" s="18">
        <v>1</v>
      </c>
      <c r="Z426" s="18">
        <v>9150</v>
      </c>
      <c r="AA426" s="18" t="s">
        <v>89</v>
      </c>
      <c r="AB426" s="18" t="s">
        <v>90</v>
      </c>
      <c r="AC426" s="18" t="s">
        <v>43</v>
      </c>
    </row>
    <row r="427" s="18" customFormat="1" spans="1:29">
      <c r="A427" s="18" t="s">
        <v>1321</v>
      </c>
      <c r="B427" s="25" t="s">
        <v>1321</v>
      </c>
      <c r="C427" s="26">
        <v>45674</v>
      </c>
      <c r="D427" s="18" t="s">
        <v>1322</v>
      </c>
      <c r="E427" s="18" t="str">
        <f t="shared" si="6"/>
        <v>Plate Project Hospitality LLP (OTV)</v>
      </c>
      <c r="F427" s="27" t="s">
        <v>1323</v>
      </c>
      <c r="G427" s="18" t="s">
        <v>32</v>
      </c>
      <c r="H427" s="18" t="s">
        <v>33</v>
      </c>
      <c r="I427" s="18" t="s">
        <v>34</v>
      </c>
      <c r="J427" s="18" t="s">
        <v>995</v>
      </c>
      <c r="K427" s="18" t="s">
        <v>56</v>
      </c>
      <c r="L427" s="18" t="s">
        <v>36</v>
      </c>
      <c r="N427" s="18">
        <v>6</v>
      </c>
      <c r="O427" s="18" t="s">
        <v>88</v>
      </c>
      <c r="P427" s="18" t="s">
        <v>38</v>
      </c>
      <c r="Q427" s="18" t="s">
        <v>117</v>
      </c>
      <c r="R427" s="18" t="s">
        <v>59</v>
      </c>
      <c r="S427" s="18" t="s">
        <v>118</v>
      </c>
      <c r="T427" s="18" t="b">
        <v>1</v>
      </c>
      <c r="U427" s="18" t="s">
        <v>39</v>
      </c>
      <c r="V427" s="18" t="s">
        <v>40</v>
      </c>
      <c r="W427" s="18" t="s">
        <v>276</v>
      </c>
      <c r="X427" s="18" t="s">
        <v>276</v>
      </c>
      <c r="Y427" s="18">
        <v>1</v>
      </c>
      <c r="Z427" s="18">
        <v>8940</v>
      </c>
      <c r="AA427" s="18" t="s">
        <v>1324</v>
      </c>
      <c r="AB427" s="18" t="s">
        <v>1325</v>
      </c>
      <c r="AC427" s="18" t="e">
        <v>#N/A</v>
      </c>
    </row>
    <row r="428" s="18" customFormat="1" ht="29" spans="1:29">
      <c r="A428" s="18" t="s">
        <v>1326</v>
      </c>
      <c r="B428" s="25" t="s">
        <v>1326</v>
      </c>
      <c r="C428" s="26">
        <v>45674</v>
      </c>
      <c r="D428" s="31" t="s">
        <v>1327</v>
      </c>
      <c r="E428" s="18" t="str">
        <f t="shared" si="6"/>
        <v>Thirtha Patil  </v>
      </c>
      <c r="F428" s="27" t="e">
        <v>#N/A</v>
      </c>
      <c r="G428" s="18" t="s">
        <v>32</v>
      </c>
      <c r="H428" s="18" t="s">
        <v>33</v>
      </c>
      <c r="I428" s="18" t="s">
        <v>34</v>
      </c>
      <c r="J428" s="18" t="s">
        <v>115</v>
      </c>
      <c r="K428" s="18" t="s">
        <v>56</v>
      </c>
      <c r="L428" s="18" t="s">
        <v>36</v>
      </c>
      <c r="N428" s="18">
        <v>6</v>
      </c>
      <c r="O428" s="18" t="s">
        <v>93</v>
      </c>
      <c r="P428" s="18" t="s">
        <v>38</v>
      </c>
      <c r="Q428" s="18" t="s">
        <v>117</v>
      </c>
      <c r="R428" s="18" t="s">
        <v>59</v>
      </c>
      <c r="S428" s="18" t="s">
        <v>118</v>
      </c>
      <c r="T428" s="18" t="b">
        <v>1</v>
      </c>
      <c r="U428" s="18" t="s">
        <v>39</v>
      </c>
      <c r="V428" s="18" t="s">
        <v>40</v>
      </c>
      <c r="W428" s="18" t="s">
        <v>412</v>
      </c>
      <c r="X428" s="18" t="s">
        <v>413</v>
      </c>
      <c r="Y428" s="18">
        <v>1</v>
      </c>
      <c r="Z428" s="18">
        <v>7134</v>
      </c>
      <c r="AA428" s="18" t="s">
        <v>128</v>
      </c>
      <c r="AB428" s="18" t="s">
        <v>129</v>
      </c>
      <c r="AC428" s="18" t="e">
        <v>#N/A</v>
      </c>
    </row>
    <row r="429" s="18" customFormat="1" ht="29" spans="1:29">
      <c r="A429" s="18" t="s">
        <v>1328</v>
      </c>
      <c r="B429" s="25" t="s">
        <v>1328</v>
      </c>
      <c r="C429" s="26">
        <v>45674</v>
      </c>
      <c r="D429" s="31" t="s">
        <v>1327</v>
      </c>
      <c r="E429" s="18" t="str">
        <f t="shared" si="6"/>
        <v>Thirtha Patil  </v>
      </c>
      <c r="F429" s="27" t="e">
        <v>#N/A</v>
      </c>
      <c r="G429" s="18" t="s">
        <v>32</v>
      </c>
      <c r="H429" s="18" t="s">
        <v>33</v>
      </c>
      <c r="I429" s="18" t="s">
        <v>34</v>
      </c>
      <c r="J429" s="18" t="s">
        <v>115</v>
      </c>
      <c r="K429" s="18" t="s">
        <v>56</v>
      </c>
      <c r="L429" s="18" t="s">
        <v>36</v>
      </c>
      <c r="N429" s="18">
        <v>6</v>
      </c>
      <c r="O429" s="18" t="s">
        <v>93</v>
      </c>
      <c r="P429" s="18" t="s">
        <v>38</v>
      </c>
      <c r="Q429" s="18" t="s">
        <v>117</v>
      </c>
      <c r="R429" s="18" t="s">
        <v>59</v>
      </c>
      <c r="S429" s="18" t="s">
        <v>118</v>
      </c>
      <c r="T429" s="18" t="b">
        <v>1</v>
      </c>
      <c r="U429" s="18" t="s">
        <v>39</v>
      </c>
      <c r="V429" s="18" t="s">
        <v>40</v>
      </c>
      <c r="W429" s="18" t="s">
        <v>126</v>
      </c>
      <c r="X429" s="18" t="s">
        <v>127</v>
      </c>
      <c r="Y429" s="18">
        <v>1</v>
      </c>
      <c r="Z429" s="18">
        <v>3638.1</v>
      </c>
      <c r="AA429" s="18" t="s">
        <v>128</v>
      </c>
      <c r="AB429" s="18" t="s">
        <v>129</v>
      </c>
      <c r="AC429" s="18" t="e">
        <v>#N/A</v>
      </c>
    </row>
    <row r="430" s="18" customFormat="1" spans="1:29">
      <c r="A430" s="18" t="s">
        <v>1329</v>
      </c>
      <c r="B430" s="25" t="s">
        <v>1329</v>
      </c>
      <c r="C430" s="26">
        <v>45674</v>
      </c>
      <c r="D430" s="18" t="s">
        <v>113</v>
      </c>
      <c r="E430" s="18" t="str">
        <f t="shared" si="6"/>
        <v>Siva Sankar Cabs</v>
      </c>
      <c r="F430" s="27" t="s">
        <v>114</v>
      </c>
      <c r="G430" s="18" t="s">
        <v>32</v>
      </c>
      <c r="H430" s="18" t="s">
        <v>33</v>
      </c>
      <c r="I430" s="18" t="s">
        <v>34</v>
      </c>
      <c r="J430" s="18" t="s">
        <v>316</v>
      </c>
      <c r="K430" s="18" t="s">
        <v>56</v>
      </c>
      <c r="L430" s="18" t="s">
        <v>36</v>
      </c>
      <c r="N430" s="18">
        <v>6</v>
      </c>
      <c r="O430" s="18" t="s">
        <v>116</v>
      </c>
      <c r="P430" s="18" t="s">
        <v>38</v>
      </c>
      <c r="Q430" s="18" t="s">
        <v>117</v>
      </c>
      <c r="R430" s="18" t="s">
        <v>59</v>
      </c>
      <c r="S430" s="18" t="s">
        <v>118</v>
      </c>
      <c r="T430" s="18" t="b">
        <v>1</v>
      </c>
      <c r="U430" s="18" t="s">
        <v>39</v>
      </c>
      <c r="V430" s="18" t="s">
        <v>40</v>
      </c>
      <c r="W430" s="18" t="s">
        <v>119</v>
      </c>
      <c r="X430" s="18" t="s">
        <v>120</v>
      </c>
      <c r="Y430" s="18">
        <v>1</v>
      </c>
      <c r="Z430" s="18">
        <v>1800</v>
      </c>
      <c r="AA430" s="18" t="s">
        <v>1330</v>
      </c>
      <c r="AB430" s="18" t="s">
        <v>1331</v>
      </c>
      <c r="AC430" s="18" t="e">
        <v>#N/A</v>
      </c>
    </row>
    <row r="431" s="18" customFormat="1" ht="29" spans="1:29">
      <c r="A431" s="18" t="s">
        <v>1332</v>
      </c>
      <c r="B431" s="25" t="s">
        <v>1332</v>
      </c>
      <c r="C431" s="26">
        <v>45674</v>
      </c>
      <c r="D431" s="18" t="s">
        <v>945</v>
      </c>
      <c r="E431" s="18" t="str">
        <f t="shared" si="6"/>
        <v>Konceptz Galore</v>
      </c>
      <c r="F431" s="27" t="s">
        <v>946</v>
      </c>
      <c r="G431" s="18" t="s">
        <v>147</v>
      </c>
      <c r="H431" s="18" t="s">
        <v>148</v>
      </c>
      <c r="I431" s="18" t="s">
        <v>184</v>
      </c>
      <c r="J431" s="18" t="s">
        <v>938</v>
      </c>
      <c r="K431" s="18" t="s">
        <v>56</v>
      </c>
      <c r="L431" s="18" t="s">
        <v>36</v>
      </c>
      <c r="N431" s="18">
        <v>6</v>
      </c>
      <c r="O431" s="18" t="s">
        <v>57</v>
      </c>
      <c r="P431" s="18" t="s">
        <v>38</v>
      </c>
      <c r="Q431" s="18" t="s">
        <v>194</v>
      </c>
      <c r="R431" s="18" t="s">
        <v>59</v>
      </c>
      <c r="S431" s="18" t="s">
        <v>195</v>
      </c>
      <c r="T431" s="18" t="b">
        <v>1</v>
      </c>
      <c r="U431" s="18" t="s">
        <v>150</v>
      </c>
      <c r="V431" s="18" t="s">
        <v>40</v>
      </c>
      <c r="W431" s="18" t="s">
        <v>140</v>
      </c>
      <c r="X431" s="18" t="s">
        <v>141</v>
      </c>
      <c r="Y431" s="18">
        <v>1</v>
      </c>
      <c r="Z431" s="18">
        <v>6360</v>
      </c>
      <c r="AA431" s="31" t="s">
        <v>947</v>
      </c>
      <c r="AB431" s="18" t="s">
        <v>948</v>
      </c>
      <c r="AC431" s="18" t="s">
        <v>163</v>
      </c>
    </row>
    <row r="432" s="18" customFormat="1" spans="1:29">
      <c r="A432" s="18" t="s">
        <v>1333</v>
      </c>
      <c r="B432" s="25" t="s">
        <v>1333</v>
      </c>
      <c r="C432" s="26">
        <v>45674</v>
      </c>
      <c r="D432" s="18" t="s">
        <v>1334</v>
      </c>
      <c r="E432" s="18" t="str">
        <f t="shared" si="6"/>
        <v>Manya Chitkara</v>
      </c>
      <c r="F432" s="27" t="s">
        <v>1335</v>
      </c>
      <c r="G432" s="18" t="s">
        <v>147</v>
      </c>
      <c r="H432" s="18" t="s">
        <v>148</v>
      </c>
      <c r="I432" s="18" t="s">
        <v>159</v>
      </c>
      <c r="J432" s="18" t="s">
        <v>466</v>
      </c>
      <c r="K432" s="18" t="s">
        <v>56</v>
      </c>
      <c r="L432" s="18" t="s">
        <v>36</v>
      </c>
      <c r="N432" s="18">
        <v>6</v>
      </c>
      <c r="O432" s="18" t="s">
        <v>57</v>
      </c>
      <c r="P432" s="18" t="s">
        <v>38</v>
      </c>
      <c r="Q432" s="18" t="s">
        <v>58</v>
      </c>
      <c r="R432" s="18" t="s">
        <v>59</v>
      </c>
      <c r="S432" s="18" t="s">
        <v>60</v>
      </c>
      <c r="T432" s="18" t="b">
        <v>1</v>
      </c>
      <c r="U432" s="18" t="s">
        <v>150</v>
      </c>
      <c r="V432" s="18" t="s">
        <v>40</v>
      </c>
      <c r="W432" s="18" t="s">
        <v>292</v>
      </c>
      <c r="X432" s="18" t="s">
        <v>293</v>
      </c>
      <c r="Y432" s="18">
        <v>1</v>
      </c>
      <c r="Z432" s="18">
        <v>455000</v>
      </c>
      <c r="AA432" s="18" t="s">
        <v>1336</v>
      </c>
      <c r="AB432" s="18" t="s">
        <v>954</v>
      </c>
      <c r="AC432" s="18" t="e">
        <v>#N/A</v>
      </c>
    </row>
    <row r="433" s="18" customFormat="1" spans="1:29">
      <c r="A433" s="18" t="s">
        <v>1337</v>
      </c>
      <c r="B433" s="25" t="s">
        <v>1337</v>
      </c>
      <c r="C433" s="26">
        <v>45674</v>
      </c>
      <c r="D433" s="18" t="s">
        <v>1338</v>
      </c>
      <c r="E433" s="18" t="str">
        <f t="shared" si="6"/>
        <v>Anjali Malhotra</v>
      </c>
      <c r="F433" s="27" t="s">
        <v>1339</v>
      </c>
      <c r="G433" s="18" t="s">
        <v>147</v>
      </c>
      <c r="H433" s="18" t="s">
        <v>148</v>
      </c>
      <c r="I433" s="18" t="s">
        <v>207</v>
      </c>
      <c r="J433" s="18" t="s">
        <v>249</v>
      </c>
      <c r="K433" s="18" t="s">
        <v>56</v>
      </c>
      <c r="L433" s="18" t="s">
        <v>36</v>
      </c>
      <c r="N433" s="18">
        <v>6</v>
      </c>
      <c r="O433" s="18" t="s">
        <v>93</v>
      </c>
      <c r="P433" s="18" t="s">
        <v>38</v>
      </c>
      <c r="Q433" s="18" t="s">
        <v>58</v>
      </c>
      <c r="R433" s="18" t="s">
        <v>59</v>
      </c>
      <c r="S433" s="18" t="s">
        <v>60</v>
      </c>
      <c r="T433" s="18" t="b">
        <v>1</v>
      </c>
      <c r="U433" s="18" t="s">
        <v>150</v>
      </c>
      <c r="V433" s="18" t="s">
        <v>40</v>
      </c>
      <c r="W433" s="18" t="s">
        <v>233</v>
      </c>
      <c r="X433" s="18" t="s">
        <v>234</v>
      </c>
      <c r="Y433" s="18">
        <v>1</v>
      </c>
      <c r="Z433" s="18">
        <v>4270</v>
      </c>
      <c r="AA433" s="18" t="s">
        <v>1340</v>
      </c>
      <c r="AC433" s="18" t="e">
        <v>#N/A</v>
      </c>
    </row>
    <row r="434" s="18" customFormat="1" spans="1:29">
      <c r="A434" s="18" t="s">
        <v>1341</v>
      </c>
      <c r="B434" s="25" t="s">
        <v>1341</v>
      </c>
      <c r="C434" s="26">
        <v>45674</v>
      </c>
      <c r="D434" s="18" t="s">
        <v>1338</v>
      </c>
      <c r="E434" s="18" t="str">
        <f t="shared" si="6"/>
        <v>Anjali Malhotra</v>
      </c>
      <c r="F434" s="27" t="s">
        <v>1339</v>
      </c>
      <c r="G434" s="18" t="s">
        <v>147</v>
      </c>
      <c r="H434" s="18" t="s">
        <v>148</v>
      </c>
      <c r="I434" s="18" t="s">
        <v>207</v>
      </c>
      <c r="J434" s="18" t="s">
        <v>249</v>
      </c>
      <c r="K434" s="18" t="s">
        <v>56</v>
      </c>
      <c r="L434" s="18" t="s">
        <v>36</v>
      </c>
      <c r="N434" s="18">
        <v>6</v>
      </c>
      <c r="O434" s="18" t="s">
        <v>93</v>
      </c>
      <c r="P434" s="18" t="s">
        <v>38</v>
      </c>
      <c r="Q434" s="18" t="s">
        <v>58</v>
      </c>
      <c r="R434" s="18" t="s">
        <v>59</v>
      </c>
      <c r="S434" s="18" t="s">
        <v>60</v>
      </c>
      <c r="T434" s="18" t="b">
        <v>1</v>
      </c>
      <c r="U434" s="18" t="s">
        <v>150</v>
      </c>
      <c r="V434" s="18" t="s">
        <v>40</v>
      </c>
      <c r="W434" s="18" t="s">
        <v>347</v>
      </c>
      <c r="X434" s="18" t="s">
        <v>348</v>
      </c>
      <c r="Y434" s="18">
        <v>1</v>
      </c>
      <c r="Z434" s="18">
        <v>200000</v>
      </c>
      <c r="AA434" s="18" t="s">
        <v>1340</v>
      </c>
      <c r="AC434" s="18" t="e">
        <v>#N/A</v>
      </c>
    </row>
    <row r="435" s="18" customFormat="1" spans="1:29">
      <c r="A435" s="18" t="s">
        <v>1342</v>
      </c>
      <c r="B435" s="25" t="s">
        <v>1342</v>
      </c>
      <c r="C435" s="26">
        <v>45674</v>
      </c>
      <c r="D435" s="18" t="s">
        <v>424</v>
      </c>
      <c r="E435" s="18" t="str">
        <f t="shared" si="6"/>
        <v>Minter Cstech Pvt.Ltd.</v>
      </c>
      <c r="F435" s="27" t="e">
        <v>#N/A</v>
      </c>
      <c r="G435" s="18" t="s">
        <v>147</v>
      </c>
      <c r="H435" s="18" t="s">
        <v>148</v>
      </c>
      <c r="I435" s="18" t="s">
        <v>159</v>
      </c>
      <c r="K435" s="18" t="s">
        <v>35</v>
      </c>
      <c r="L435" s="18" t="s">
        <v>36</v>
      </c>
      <c r="N435" s="18">
        <v>6</v>
      </c>
      <c r="O435" s="18" t="s">
        <v>88</v>
      </c>
      <c r="P435" s="18" t="s">
        <v>38</v>
      </c>
      <c r="T435" s="18" t="b">
        <v>1</v>
      </c>
      <c r="U435" s="18" t="s">
        <v>150</v>
      </c>
      <c r="V435" s="18" t="s">
        <v>40</v>
      </c>
      <c r="W435" s="18" t="s">
        <v>526</v>
      </c>
      <c r="X435" s="18" t="s">
        <v>526</v>
      </c>
      <c r="Y435" s="18">
        <v>1</v>
      </c>
      <c r="Z435" s="18">
        <v>35000</v>
      </c>
      <c r="AA435" s="18" t="s">
        <v>176</v>
      </c>
      <c r="AB435" s="18" t="s">
        <v>173</v>
      </c>
      <c r="AC435" s="18" t="s">
        <v>163</v>
      </c>
    </row>
    <row r="436" s="18" customFormat="1" spans="1:29">
      <c r="A436" s="18" t="s">
        <v>1343</v>
      </c>
      <c r="B436" s="25" t="s">
        <v>1343</v>
      </c>
      <c r="C436" s="26">
        <v>45674</v>
      </c>
      <c r="D436" s="18" t="s">
        <v>238</v>
      </c>
      <c r="E436" s="18" t="str">
        <f t="shared" si="6"/>
        <v>Studio Merchandise Pvt Ltd</v>
      </c>
      <c r="F436" s="27" t="s">
        <v>239</v>
      </c>
      <c r="G436" s="18" t="s">
        <v>147</v>
      </c>
      <c r="H436" s="18" t="s">
        <v>148</v>
      </c>
      <c r="I436" s="18" t="s">
        <v>159</v>
      </c>
      <c r="J436" s="18" t="s">
        <v>240</v>
      </c>
      <c r="K436" s="18" t="s">
        <v>56</v>
      </c>
      <c r="L436" s="18" t="s">
        <v>36</v>
      </c>
      <c r="N436" s="18">
        <v>6</v>
      </c>
      <c r="O436" s="18" t="s">
        <v>88</v>
      </c>
      <c r="P436" s="18" t="s">
        <v>38</v>
      </c>
      <c r="Q436" s="18" t="s">
        <v>58</v>
      </c>
      <c r="R436" s="18" t="s">
        <v>59</v>
      </c>
      <c r="S436" s="18" t="s">
        <v>60</v>
      </c>
      <c r="T436" s="18" t="b">
        <v>1</v>
      </c>
      <c r="U436" s="18" t="s">
        <v>150</v>
      </c>
      <c r="V436" s="18" t="s">
        <v>40</v>
      </c>
      <c r="W436" s="18" t="s">
        <v>140</v>
      </c>
      <c r="X436" s="18" t="s">
        <v>141</v>
      </c>
      <c r="Y436" s="18">
        <v>1</v>
      </c>
      <c r="Z436" s="18">
        <v>101800</v>
      </c>
      <c r="AA436" s="18" t="s">
        <v>1344</v>
      </c>
      <c r="AB436" s="18" t="s">
        <v>242</v>
      </c>
      <c r="AC436" s="18" t="s">
        <v>163</v>
      </c>
    </row>
    <row r="437" s="18" customFormat="1" ht="29" spans="1:29">
      <c r="A437" s="18" t="s">
        <v>1345</v>
      </c>
      <c r="B437" s="25" t="s">
        <v>1345</v>
      </c>
      <c r="C437" s="26">
        <v>45674</v>
      </c>
      <c r="D437" s="18" t="s">
        <v>264</v>
      </c>
      <c r="E437" s="18" t="str">
        <f t="shared" si="6"/>
        <v>The Indian Performing Right Society Ltd.</v>
      </c>
      <c r="F437" s="27" t="e">
        <v>#N/A</v>
      </c>
      <c r="G437" s="18" t="s">
        <v>182</v>
      </c>
      <c r="H437" s="18" t="s">
        <v>183</v>
      </c>
      <c r="I437" s="18" t="s">
        <v>184</v>
      </c>
      <c r="J437" s="18" t="s">
        <v>1346</v>
      </c>
      <c r="K437" s="18" t="s">
        <v>56</v>
      </c>
      <c r="L437" s="18" t="s">
        <v>36</v>
      </c>
      <c r="N437" s="18">
        <v>6</v>
      </c>
      <c r="O437" s="18" t="s">
        <v>57</v>
      </c>
      <c r="P437" s="18" t="s">
        <v>38</v>
      </c>
      <c r="Q437" s="18" t="s">
        <v>194</v>
      </c>
      <c r="R437" s="18" t="s">
        <v>59</v>
      </c>
      <c r="S437" s="18" t="s">
        <v>195</v>
      </c>
      <c r="T437" s="18" t="b">
        <v>0</v>
      </c>
      <c r="U437" s="18" t="s">
        <v>187</v>
      </c>
      <c r="V437" s="18" t="s">
        <v>40</v>
      </c>
      <c r="W437" s="18" t="s">
        <v>256</v>
      </c>
      <c r="X437" s="18" t="s">
        <v>257</v>
      </c>
      <c r="Y437" s="18">
        <v>1</v>
      </c>
      <c r="Z437" s="18">
        <v>60000</v>
      </c>
      <c r="AA437" s="31" t="s">
        <v>262</v>
      </c>
      <c r="AB437" s="18" t="s">
        <v>259</v>
      </c>
      <c r="AC437" s="18" t="s">
        <v>200</v>
      </c>
    </row>
    <row r="438" s="18" customFormat="1" ht="29" spans="1:29">
      <c r="A438" s="18" t="s">
        <v>1347</v>
      </c>
      <c r="B438" s="25" t="s">
        <v>1347</v>
      </c>
      <c r="C438" s="26">
        <v>45674</v>
      </c>
      <c r="D438" s="18" t="s">
        <v>255</v>
      </c>
      <c r="E438" s="18" t="str">
        <f t="shared" si="6"/>
        <v>Phonographic Performance Limited</v>
      </c>
      <c r="F438" s="27" t="e">
        <v>#N/A</v>
      </c>
      <c r="G438" s="18" t="s">
        <v>182</v>
      </c>
      <c r="H438" s="18" t="s">
        <v>183</v>
      </c>
      <c r="I438" s="18" t="s">
        <v>184</v>
      </c>
      <c r="J438" s="18" t="s">
        <v>1346</v>
      </c>
      <c r="K438" s="18" t="s">
        <v>56</v>
      </c>
      <c r="L438" s="18" t="s">
        <v>36</v>
      </c>
      <c r="N438" s="18">
        <v>6</v>
      </c>
      <c r="O438" s="18" t="s">
        <v>88</v>
      </c>
      <c r="P438" s="18" t="s">
        <v>38</v>
      </c>
      <c r="Q438" s="18" t="s">
        <v>194</v>
      </c>
      <c r="R438" s="18" t="s">
        <v>59</v>
      </c>
      <c r="S438" s="18" t="s">
        <v>195</v>
      </c>
      <c r="T438" s="18" t="b">
        <v>0</v>
      </c>
      <c r="U438" s="18" t="s">
        <v>187</v>
      </c>
      <c r="V438" s="18" t="s">
        <v>40</v>
      </c>
      <c r="W438" s="18" t="s">
        <v>256</v>
      </c>
      <c r="X438" s="18" t="s">
        <v>257</v>
      </c>
      <c r="Y438" s="18">
        <v>1</v>
      </c>
      <c r="Z438" s="18">
        <v>55500</v>
      </c>
      <c r="AA438" s="31" t="s">
        <v>262</v>
      </c>
      <c r="AB438" s="18" t="s">
        <v>259</v>
      </c>
      <c r="AC438" s="18" t="s">
        <v>200</v>
      </c>
    </row>
    <row r="439" s="18" customFormat="1" spans="1:29">
      <c r="A439" s="18" t="s">
        <v>1348</v>
      </c>
      <c r="B439" s="25" t="s">
        <v>1348</v>
      </c>
      <c r="C439" s="26">
        <v>45674</v>
      </c>
      <c r="D439" s="18" t="s">
        <v>1349</v>
      </c>
      <c r="E439" s="18" t="str">
        <f t="shared" si="6"/>
        <v>Success Promos &amp; Events Pvt Ltd</v>
      </c>
      <c r="F439" s="27" t="s">
        <v>1350</v>
      </c>
      <c r="G439" s="18" t="s">
        <v>182</v>
      </c>
      <c r="H439" s="18" t="s">
        <v>183</v>
      </c>
      <c r="I439" s="18" t="s">
        <v>159</v>
      </c>
      <c r="J439" s="18" t="s">
        <v>395</v>
      </c>
      <c r="K439" s="18" t="s">
        <v>56</v>
      </c>
      <c r="L439" s="18" t="s">
        <v>36</v>
      </c>
      <c r="N439" s="18">
        <v>6</v>
      </c>
      <c r="O439" s="18" t="s">
        <v>88</v>
      </c>
      <c r="P439" s="18" t="s">
        <v>38</v>
      </c>
      <c r="Q439" s="18" t="s">
        <v>58</v>
      </c>
      <c r="R439" s="18" t="s">
        <v>59</v>
      </c>
      <c r="S439" s="18" t="s">
        <v>60</v>
      </c>
      <c r="T439" s="18" t="b">
        <v>0</v>
      </c>
      <c r="U439" s="18" t="s">
        <v>187</v>
      </c>
      <c r="V439" s="18" t="s">
        <v>40</v>
      </c>
      <c r="W439" s="18" t="s">
        <v>317</v>
      </c>
      <c r="X439" s="18" t="s">
        <v>318</v>
      </c>
      <c r="Y439" s="18">
        <v>1</v>
      </c>
      <c r="Z439" s="18">
        <v>1000000</v>
      </c>
      <c r="AA439" s="18" t="s">
        <v>843</v>
      </c>
      <c r="AB439" s="18" t="s">
        <v>844</v>
      </c>
      <c r="AC439" s="18" t="s">
        <v>216</v>
      </c>
    </row>
    <row r="440" s="18" customFormat="1" spans="1:29">
      <c r="A440" s="18" t="s">
        <v>1351</v>
      </c>
      <c r="B440" s="25" t="s">
        <v>1351</v>
      </c>
      <c r="C440" s="26">
        <v>45674</v>
      </c>
      <c r="D440" s="18" t="s">
        <v>1349</v>
      </c>
      <c r="E440" s="18" t="str">
        <f t="shared" si="6"/>
        <v>Success Promos &amp; Events Pvt Ltd</v>
      </c>
      <c r="F440" s="27" t="s">
        <v>1350</v>
      </c>
      <c r="G440" s="18" t="s">
        <v>182</v>
      </c>
      <c r="H440" s="18" t="s">
        <v>183</v>
      </c>
      <c r="I440" s="18" t="s">
        <v>159</v>
      </c>
      <c r="J440" s="18" t="s">
        <v>149</v>
      </c>
      <c r="K440" s="18" t="s">
        <v>56</v>
      </c>
      <c r="L440" s="18" t="s">
        <v>36</v>
      </c>
      <c r="N440" s="18">
        <v>6</v>
      </c>
      <c r="O440" s="18" t="s">
        <v>88</v>
      </c>
      <c r="P440" s="18" t="s">
        <v>38</v>
      </c>
      <c r="Q440" s="18" t="s">
        <v>58</v>
      </c>
      <c r="R440" s="18" t="s">
        <v>59</v>
      </c>
      <c r="S440" s="18" t="s">
        <v>60</v>
      </c>
      <c r="T440" s="18" t="b">
        <v>0</v>
      </c>
      <c r="U440" s="18" t="s">
        <v>187</v>
      </c>
      <c r="V440" s="18" t="s">
        <v>40</v>
      </c>
      <c r="W440" s="18" t="s">
        <v>317</v>
      </c>
      <c r="X440" s="18" t="s">
        <v>318</v>
      </c>
      <c r="Y440" s="18">
        <v>1</v>
      </c>
      <c r="Z440" s="18">
        <v>500000</v>
      </c>
      <c r="AA440" s="18" t="s">
        <v>843</v>
      </c>
      <c r="AB440" s="18" t="s">
        <v>844</v>
      </c>
      <c r="AC440" s="18" t="s">
        <v>216</v>
      </c>
    </row>
    <row r="441" s="18" customFormat="1" ht="29" spans="1:29">
      <c r="A441" s="18" t="s">
        <v>1352</v>
      </c>
      <c r="B441" s="25" t="s">
        <v>1352</v>
      </c>
      <c r="C441" s="26">
        <v>45674</v>
      </c>
      <c r="D441" s="18" t="s">
        <v>966</v>
      </c>
      <c r="E441" s="18" t="str">
        <f t="shared" si="6"/>
        <v>Om Screen Art Events</v>
      </c>
      <c r="F441" s="27" t="s">
        <v>967</v>
      </c>
      <c r="G441" s="18" t="s">
        <v>182</v>
      </c>
      <c r="H441" s="18" t="s">
        <v>183</v>
      </c>
      <c r="I441" s="18" t="s">
        <v>184</v>
      </c>
      <c r="J441" s="18" t="s">
        <v>1346</v>
      </c>
      <c r="K441" s="18" t="s">
        <v>56</v>
      </c>
      <c r="L441" s="18" t="s">
        <v>36</v>
      </c>
      <c r="N441" s="18">
        <v>6</v>
      </c>
      <c r="O441" s="18" t="s">
        <v>88</v>
      </c>
      <c r="P441" s="18" t="s">
        <v>38</v>
      </c>
      <c r="Q441" s="18" t="s">
        <v>194</v>
      </c>
      <c r="R441" s="18" t="s">
        <v>59</v>
      </c>
      <c r="S441" s="18" t="s">
        <v>195</v>
      </c>
      <c r="T441" s="18" t="b">
        <v>0</v>
      </c>
      <c r="U441" s="18" t="s">
        <v>187</v>
      </c>
      <c r="V441" s="18" t="s">
        <v>40</v>
      </c>
      <c r="W441" s="18" t="s">
        <v>151</v>
      </c>
      <c r="X441" s="18" t="s">
        <v>152</v>
      </c>
      <c r="Y441" s="18">
        <v>1</v>
      </c>
      <c r="Z441" s="18">
        <v>10000</v>
      </c>
      <c r="AA441" s="31" t="s">
        <v>1353</v>
      </c>
      <c r="AB441" s="18" t="s">
        <v>1354</v>
      </c>
      <c r="AC441" s="18" t="s">
        <v>200</v>
      </c>
    </row>
    <row r="442" s="18" customFormat="1" ht="29" spans="1:29">
      <c r="A442" s="18" t="s">
        <v>1355</v>
      </c>
      <c r="B442" s="25" t="s">
        <v>1355</v>
      </c>
      <c r="C442" s="26">
        <v>45674</v>
      </c>
      <c r="D442" s="18" t="s">
        <v>977</v>
      </c>
      <c r="E442" s="18" t="str">
        <f t="shared" si="6"/>
        <v>Videowaves</v>
      </c>
      <c r="F442" s="27" t="e">
        <v>#N/A</v>
      </c>
      <c r="G442" s="18" t="s">
        <v>182</v>
      </c>
      <c r="H442" s="18" t="s">
        <v>183</v>
      </c>
      <c r="I442" s="18" t="s">
        <v>184</v>
      </c>
      <c r="J442" s="18" t="s">
        <v>1346</v>
      </c>
      <c r="K442" s="18" t="s">
        <v>56</v>
      </c>
      <c r="L442" s="18" t="s">
        <v>36</v>
      </c>
      <c r="N442" s="18">
        <v>6</v>
      </c>
      <c r="O442" s="18" t="s">
        <v>88</v>
      </c>
      <c r="P442" s="18" t="s">
        <v>38</v>
      </c>
      <c r="Q442" s="18" t="s">
        <v>194</v>
      </c>
      <c r="R442" s="18" t="s">
        <v>59</v>
      </c>
      <c r="S442" s="18" t="s">
        <v>195</v>
      </c>
      <c r="T442" s="18" t="b">
        <v>0</v>
      </c>
      <c r="U442" s="18" t="s">
        <v>187</v>
      </c>
      <c r="V442" s="18" t="s">
        <v>40</v>
      </c>
      <c r="W442" s="18" t="s">
        <v>371</v>
      </c>
      <c r="X442" s="18" t="s">
        <v>372</v>
      </c>
      <c r="Y442" s="18">
        <v>1</v>
      </c>
      <c r="Z442" s="18">
        <v>120000</v>
      </c>
      <c r="AA442" s="31" t="s">
        <v>1353</v>
      </c>
      <c r="AB442" s="18" t="s">
        <v>1354</v>
      </c>
      <c r="AC442" s="18" t="s">
        <v>200</v>
      </c>
    </row>
    <row r="443" s="18" customFormat="1" spans="1:29">
      <c r="A443" s="18" t="s">
        <v>1356</v>
      </c>
      <c r="B443" s="25" t="s">
        <v>1356</v>
      </c>
      <c r="C443" s="26">
        <v>45675</v>
      </c>
      <c r="D443" s="18" t="s">
        <v>1357</v>
      </c>
      <c r="E443" s="18" t="str">
        <f t="shared" si="6"/>
        <v>H V Communication Pvt Ltd</v>
      </c>
      <c r="F443" s="27" t="e">
        <v>#N/A</v>
      </c>
      <c r="G443" s="18" t="s">
        <v>99</v>
      </c>
      <c r="H443" s="18" t="s">
        <v>100</v>
      </c>
      <c r="I443" s="18" t="s">
        <v>34</v>
      </c>
      <c r="J443" s="18" t="s">
        <v>1006</v>
      </c>
      <c r="K443" s="18" t="s">
        <v>56</v>
      </c>
      <c r="L443" s="18" t="s">
        <v>36</v>
      </c>
      <c r="N443" s="18">
        <v>6</v>
      </c>
      <c r="O443" s="18" t="s">
        <v>88</v>
      </c>
      <c r="P443" s="18" t="s">
        <v>38</v>
      </c>
      <c r="Q443" s="18" t="s">
        <v>117</v>
      </c>
      <c r="R443" s="18" t="s">
        <v>59</v>
      </c>
      <c r="S443" s="18" t="s">
        <v>186</v>
      </c>
      <c r="T443" s="18" t="b">
        <v>1</v>
      </c>
      <c r="U443" s="18" t="s">
        <v>101</v>
      </c>
      <c r="V443" s="18" t="s">
        <v>40</v>
      </c>
      <c r="W443" s="18" t="s">
        <v>371</v>
      </c>
      <c r="X443" s="18" t="s">
        <v>372</v>
      </c>
      <c r="Y443" s="18">
        <v>1</v>
      </c>
      <c r="Z443" s="18">
        <v>19420</v>
      </c>
      <c r="AA443" s="18" t="s">
        <v>1358</v>
      </c>
      <c r="AB443" s="18" t="s">
        <v>1008</v>
      </c>
      <c r="AC443" s="18" t="s">
        <v>1359</v>
      </c>
    </row>
    <row r="444" s="18" customFormat="1" ht="29" spans="1:29">
      <c r="A444" s="18" t="s">
        <v>1360</v>
      </c>
      <c r="B444" s="25" t="s">
        <v>1360</v>
      </c>
      <c r="C444" s="26">
        <v>45675</v>
      </c>
      <c r="D444" s="18" t="s">
        <v>1005</v>
      </c>
      <c r="E444" s="18" t="str">
        <f t="shared" si="6"/>
        <v>Cockpitmarx </v>
      </c>
      <c r="F444" s="27" t="e">
        <v>#N/A</v>
      </c>
      <c r="G444" s="18" t="s">
        <v>147</v>
      </c>
      <c r="H444" s="18" t="s">
        <v>148</v>
      </c>
      <c r="I444" s="18" t="s">
        <v>184</v>
      </c>
      <c r="J444" s="18" t="s">
        <v>813</v>
      </c>
      <c r="K444" s="18" t="s">
        <v>56</v>
      </c>
      <c r="L444" s="18" t="s">
        <v>36</v>
      </c>
      <c r="N444" s="18">
        <v>6</v>
      </c>
      <c r="O444" s="18" t="s">
        <v>88</v>
      </c>
      <c r="P444" s="18" t="s">
        <v>38</v>
      </c>
      <c r="Q444" s="18" t="s">
        <v>117</v>
      </c>
      <c r="R444" s="18" t="s">
        <v>59</v>
      </c>
      <c r="S444" s="18" t="s">
        <v>186</v>
      </c>
      <c r="T444" s="18" t="b">
        <v>1</v>
      </c>
      <c r="U444" s="18" t="s">
        <v>150</v>
      </c>
      <c r="V444" s="18" t="s">
        <v>40</v>
      </c>
      <c r="W444" s="18" t="s">
        <v>196</v>
      </c>
      <c r="X444" s="18" t="s">
        <v>197</v>
      </c>
      <c r="Y444" s="18">
        <v>1</v>
      </c>
      <c r="Z444" s="18">
        <v>5500</v>
      </c>
      <c r="AA444" s="31" t="s">
        <v>1361</v>
      </c>
      <c r="AB444" s="18" t="s">
        <v>189</v>
      </c>
      <c r="AC444" s="18" t="s">
        <v>163</v>
      </c>
    </row>
    <row r="445" s="18" customFormat="1" ht="29" spans="1:29">
      <c r="A445" s="18" t="s">
        <v>1362</v>
      </c>
      <c r="B445" s="25" t="s">
        <v>1362</v>
      </c>
      <c r="C445" s="26">
        <v>45675</v>
      </c>
      <c r="D445" s="18" t="s">
        <v>1005</v>
      </c>
      <c r="E445" s="18" t="str">
        <f t="shared" si="6"/>
        <v>Cockpitmarx </v>
      </c>
      <c r="F445" s="27" t="e">
        <v>#N/A</v>
      </c>
      <c r="G445" s="18" t="s">
        <v>147</v>
      </c>
      <c r="H445" s="18" t="s">
        <v>148</v>
      </c>
      <c r="I445" s="18" t="s">
        <v>184</v>
      </c>
      <c r="J445" s="18" t="s">
        <v>809</v>
      </c>
      <c r="K445" s="18" t="s">
        <v>56</v>
      </c>
      <c r="L445" s="18" t="s">
        <v>36</v>
      </c>
      <c r="N445" s="18">
        <v>6</v>
      </c>
      <c r="O445" s="18" t="s">
        <v>88</v>
      </c>
      <c r="P445" s="18" t="s">
        <v>38</v>
      </c>
      <c r="Q445" s="18" t="s">
        <v>117</v>
      </c>
      <c r="R445" s="18" t="s">
        <v>59</v>
      </c>
      <c r="S445" s="18" t="s">
        <v>186</v>
      </c>
      <c r="T445" s="18" t="b">
        <v>1</v>
      </c>
      <c r="U445" s="18" t="s">
        <v>150</v>
      </c>
      <c r="V445" s="18" t="s">
        <v>40</v>
      </c>
      <c r="W445" s="18" t="s">
        <v>196</v>
      </c>
      <c r="X445" s="18" t="s">
        <v>197</v>
      </c>
      <c r="Y445" s="18">
        <v>1</v>
      </c>
      <c r="Z445" s="18">
        <v>19200</v>
      </c>
      <c r="AA445" s="31" t="s">
        <v>1361</v>
      </c>
      <c r="AB445" s="18" t="s">
        <v>189</v>
      </c>
      <c r="AC445" s="18" t="s">
        <v>163</v>
      </c>
    </row>
    <row r="446" s="18" customFormat="1" spans="1:29">
      <c r="A446" s="18" t="s">
        <v>1363</v>
      </c>
      <c r="B446" s="25" t="s">
        <v>1363</v>
      </c>
      <c r="C446" s="26">
        <v>45675</v>
      </c>
      <c r="D446" s="18" t="s">
        <v>86</v>
      </c>
      <c r="E446" s="18" t="str">
        <f t="shared" si="6"/>
        <v>Aaa Rental Llp</v>
      </c>
      <c r="F446" s="27" t="s">
        <v>87</v>
      </c>
      <c r="G446" s="18" t="s">
        <v>147</v>
      </c>
      <c r="H446" s="18" t="s">
        <v>148</v>
      </c>
      <c r="I446" s="18" t="s">
        <v>159</v>
      </c>
      <c r="J446" s="18" t="s">
        <v>149</v>
      </c>
      <c r="K446" s="18" t="s">
        <v>56</v>
      </c>
      <c r="L446" s="18" t="s">
        <v>36</v>
      </c>
      <c r="N446" s="18">
        <v>6</v>
      </c>
      <c r="O446" s="18" t="s">
        <v>88</v>
      </c>
      <c r="P446" s="18" t="s">
        <v>38</v>
      </c>
      <c r="Q446" s="18" t="s">
        <v>58</v>
      </c>
      <c r="R446" s="18" t="s">
        <v>59</v>
      </c>
      <c r="S446" s="18" t="s">
        <v>60</v>
      </c>
      <c r="T446" s="18" t="b">
        <v>1</v>
      </c>
      <c r="U446" s="18" t="s">
        <v>150</v>
      </c>
      <c r="V446" s="18" t="s">
        <v>40</v>
      </c>
      <c r="W446" s="18" t="s">
        <v>990</v>
      </c>
      <c r="X446" s="18" t="s">
        <v>991</v>
      </c>
      <c r="Y446" s="18">
        <v>1</v>
      </c>
      <c r="Z446" s="18">
        <v>22500</v>
      </c>
      <c r="AA446" s="18" t="s">
        <v>176</v>
      </c>
      <c r="AB446" s="18" t="s">
        <v>173</v>
      </c>
      <c r="AC446" s="18" t="s">
        <v>163</v>
      </c>
    </row>
    <row r="447" s="18" customFormat="1" ht="29" spans="1:29">
      <c r="A447" s="18" t="s">
        <v>1364</v>
      </c>
      <c r="B447" s="25" t="s">
        <v>1364</v>
      </c>
      <c r="C447" s="26">
        <v>45675</v>
      </c>
      <c r="D447" s="18" t="s">
        <v>264</v>
      </c>
      <c r="E447" s="18" t="str">
        <f t="shared" si="6"/>
        <v>The Indian Performing Right Society Ltd.</v>
      </c>
      <c r="F447" s="27" t="e">
        <v>#N/A</v>
      </c>
      <c r="G447" s="18" t="s">
        <v>182</v>
      </c>
      <c r="H447" s="18" t="s">
        <v>183</v>
      </c>
      <c r="I447" s="18" t="s">
        <v>184</v>
      </c>
      <c r="J447" s="18" t="s">
        <v>240</v>
      </c>
      <c r="K447" s="18" t="s">
        <v>56</v>
      </c>
      <c r="L447" s="18" t="s">
        <v>36</v>
      </c>
      <c r="N447" s="18">
        <v>6</v>
      </c>
      <c r="O447" s="18" t="s">
        <v>57</v>
      </c>
      <c r="P447" s="18" t="s">
        <v>38</v>
      </c>
      <c r="Q447" s="18" t="s">
        <v>58</v>
      </c>
      <c r="R447" s="18" t="s">
        <v>59</v>
      </c>
      <c r="S447" s="18" t="s">
        <v>60</v>
      </c>
      <c r="T447" s="18" t="b">
        <v>0</v>
      </c>
      <c r="U447" s="18" t="s">
        <v>187</v>
      </c>
      <c r="V447" s="18" t="s">
        <v>40</v>
      </c>
      <c r="W447" s="18" t="s">
        <v>256</v>
      </c>
      <c r="X447" s="18" t="s">
        <v>257</v>
      </c>
      <c r="Y447" s="18">
        <v>1</v>
      </c>
      <c r="Z447" s="18">
        <v>30000</v>
      </c>
      <c r="AA447" s="31" t="s">
        <v>262</v>
      </c>
      <c r="AB447" s="18" t="s">
        <v>259</v>
      </c>
      <c r="AC447" s="18" t="s">
        <v>200</v>
      </c>
    </row>
    <row r="448" s="18" customFormat="1" ht="29" spans="1:29">
      <c r="A448" s="18" t="s">
        <v>1365</v>
      </c>
      <c r="B448" s="25" t="s">
        <v>1365</v>
      </c>
      <c r="C448" s="26">
        <v>45675</v>
      </c>
      <c r="D448" s="18" t="s">
        <v>255</v>
      </c>
      <c r="E448" s="18" t="str">
        <f t="shared" si="6"/>
        <v>Phonographic Performance Limited</v>
      </c>
      <c r="F448" s="27" t="e">
        <v>#N/A</v>
      </c>
      <c r="G448" s="18" t="s">
        <v>182</v>
      </c>
      <c r="H448" s="18" t="s">
        <v>183</v>
      </c>
      <c r="I448" s="18" t="s">
        <v>184</v>
      </c>
      <c r="J448" s="18" t="s">
        <v>240</v>
      </c>
      <c r="K448" s="18" t="s">
        <v>56</v>
      </c>
      <c r="L448" s="18" t="s">
        <v>36</v>
      </c>
      <c r="N448" s="18">
        <v>6</v>
      </c>
      <c r="O448" s="18" t="s">
        <v>88</v>
      </c>
      <c r="P448" s="18" t="s">
        <v>38</v>
      </c>
      <c r="Q448" s="18" t="s">
        <v>58</v>
      </c>
      <c r="R448" s="18" t="s">
        <v>59</v>
      </c>
      <c r="S448" s="18" t="s">
        <v>60</v>
      </c>
      <c r="T448" s="18" t="b">
        <v>0</v>
      </c>
      <c r="U448" s="18" t="s">
        <v>187</v>
      </c>
      <c r="V448" s="18" t="s">
        <v>40</v>
      </c>
      <c r="W448" s="18" t="s">
        <v>256</v>
      </c>
      <c r="X448" s="18" t="s">
        <v>257</v>
      </c>
      <c r="Y448" s="18">
        <v>1</v>
      </c>
      <c r="Z448" s="18">
        <v>55500</v>
      </c>
      <c r="AA448" s="31" t="s">
        <v>262</v>
      </c>
      <c r="AB448" s="18" t="s">
        <v>259</v>
      </c>
      <c r="AC448" s="18" t="s">
        <v>200</v>
      </c>
    </row>
    <row r="449" s="18" customFormat="1" ht="29" spans="1:29">
      <c r="A449" s="18" t="s">
        <v>1366</v>
      </c>
      <c r="B449" s="25" t="s">
        <v>1366</v>
      </c>
      <c r="C449" s="26">
        <v>45675</v>
      </c>
      <c r="D449" s="18" t="s">
        <v>261</v>
      </c>
      <c r="E449" s="18" t="str">
        <f t="shared" si="6"/>
        <v>Novex Communications Pvt. Ltd.</v>
      </c>
      <c r="F449" s="27" t="e">
        <v>#N/A</v>
      </c>
      <c r="G449" s="18" t="s">
        <v>182</v>
      </c>
      <c r="H449" s="18" t="s">
        <v>183</v>
      </c>
      <c r="I449" s="18" t="s">
        <v>184</v>
      </c>
      <c r="J449" s="18" t="s">
        <v>240</v>
      </c>
      <c r="K449" s="18" t="s">
        <v>56</v>
      </c>
      <c r="L449" s="18" t="s">
        <v>36</v>
      </c>
      <c r="N449" s="18">
        <v>6</v>
      </c>
      <c r="O449" s="18" t="s">
        <v>88</v>
      </c>
      <c r="P449" s="18" t="s">
        <v>38</v>
      </c>
      <c r="Q449" s="18" t="s">
        <v>58</v>
      </c>
      <c r="R449" s="18" t="s">
        <v>59</v>
      </c>
      <c r="S449" s="18" t="s">
        <v>60</v>
      </c>
      <c r="T449" s="18" t="b">
        <v>0</v>
      </c>
      <c r="U449" s="18" t="s">
        <v>187</v>
      </c>
      <c r="V449" s="18" t="s">
        <v>40</v>
      </c>
      <c r="W449" s="18" t="s">
        <v>256</v>
      </c>
      <c r="X449" s="18" t="s">
        <v>257</v>
      </c>
      <c r="Y449" s="18">
        <v>1</v>
      </c>
      <c r="Z449" s="18">
        <v>60000</v>
      </c>
      <c r="AA449" s="31" t="s">
        <v>262</v>
      </c>
      <c r="AB449" s="18" t="s">
        <v>259</v>
      </c>
      <c r="AC449" s="18" t="s">
        <v>200</v>
      </c>
    </row>
    <row r="450" s="18" customFormat="1" ht="29" spans="1:29">
      <c r="A450" s="18" t="s">
        <v>1367</v>
      </c>
      <c r="B450" s="25" t="s">
        <v>1367</v>
      </c>
      <c r="C450" s="26">
        <v>45675</v>
      </c>
      <c r="D450" s="18" t="s">
        <v>918</v>
      </c>
      <c r="E450" s="18" t="str">
        <f t="shared" si="6"/>
        <v>Recorded Music Performance Ltd</v>
      </c>
      <c r="F450" s="27" t="s">
        <v>919</v>
      </c>
      <c r="G450" s="18" t="s">
        <v>182</v>
      </c>
      <c r="H450" s="18" t="s">
        <v>183</v>
      </c>
      <c r="I450" s="18" t="s">
        <v>184</v>
      </c>
      <c r="J450" s="18" t="s">
        <v>240</v>
      </c>
      <c r="K450" s="18" t="s">
        <v>56</v>
      </c>
      <c r="L450" s="18" t="s">
        <v>36</v>
      </c>
      <c r="N450" s="18">
        <v>6</v>
      </c>
      <c r="O450" s="18" t="s">
        <v>57</v>
      </c>
      <c r="P450" s="18" t="s">
        <v>38</v>
      </c>
      <c r="Q450" s="18" t="s">
        <v>58</v>
      </c>
      <c r="R450" s="18" t="s">
        <v>59</v>
      </c>
      <c r="S450" s="18" t="s">
        <v>60</v>
      </c>
      <c r="T450" s="18" t="b">
        <v>0</v>
      </c>
      <c r="U450" s="18" t="s">
        <v>187</v>
      </c>
      <c r="V450" s="18" t="s">
        <v>40</v>
      </c>
      <c r="W450" s="18" t="s">
        <v>256</v>
      </c>
      <c r="X450" s="18" t="s">
        <v>257</v>
      </c>
      <c r="Y450" s="18">
        <v>1</v>
      </c>
      <c r="Z450" s="18">
        <v>25000</v>
      </c>
      <c r="AA450" s="31" t="s">
        <v>262</v>
      </c>
      <c r="AB450" s="18" t="s">
        <v>259</v>
      </c>
      <c r="AC450" s="18" t="s">
        <v>200</v>
      </c>
    </row>
    <row r="451" s="18" customFormat="1" ht="29" spans="1:29">
      <c r="A451" s="18" t="s">
        <v>1368</v>
      </c>
      <c r="B451" s="25" t="s">
        <v>1368</v>
      </c>
      <c r="C451" s="26">
        <v>45677</v>
      </c>
      <c r="D451" s="18" t="s">
        <v>1085</v>
      </c>
      <c r="E451" s="18" t="str">
        <f t="shared" ref="E451:E514" si="7">_xlfn.TEXTBEFORE(D451,"-")</f>
        <v>Thinking Brahma</v>
      </c>
      <c r="F451" s="27" t="s">
        <v>1086</v>
      </c>
      <c r="G451" s="18" t="s">
        <v>32</v>
      </c>
      <c r="H451" s="18" t="s">
        <v>33</v>
      </c>
      <c r="I451" s="18" t="s">
        <v>184</v>
      </c>
      <c r="J451" s="18" t="s">
        <v>989</v>
      </c>
      <c r="K451" s="18" t="s">
        <v>56</v>
      </c>
      <c r="L451" s="18" t="s">
        <v>36</v>
      </c>
      <c r="N451" s="18">
        <v>6</v>
      </c>
      <c r="O451" s="18" t="s">
        <v>88</v>
      </c>
      <c r="P451" s="18" t="s">
        <v>38</v>
      </c>
      <c r="Q451" s="18" t="s">
        <v>194</v>
      </c>
      <c r="R451" s="18" t="s">
        <v>59</v>
      </c>
      <c r="S451" s="18" t="s">
        <v>195</v>
      </c>
      <c r="T451" s="18" t="b">
        <v>1</v>
      </c>
      <c r="U451" s="18" t="s">
        <v>39</v>
      </c>
      <c r="V451" s="18" t="s">
        <v>40</v>
      </c>
      <c r="W451" s="18" t="s">
        <v>401</v>
      </c>
      <c r="X451" s="18" t="s">
        <v>402</v>
      </c>
      <c r="Y451" s="18">
        <v>1</v>
      </c>
      <c r="Z451" s="18">
        <v>133500</v>
      </c>
      <c r="AA451" s="31" t="s">
        <v>1298</v>
      </c>
      <c r="AB451" s="18" t="s">
        <v>282</v>
      </c>
      <c r="AC451" s="18" t="s">
        <v>43</v>
      </c>
    </row>
    <row r="452" s="18" customFormat="1" spans="1:29">
      <c r="A452" s="18" t="s">
        <v>1369</v>
      </c>
      <c r="B452" s="25" t="s">
        <v>1369</v>
      </c>
      <c r="C452" s="26">
        <v>45677</v>
      </c>
      <c r="D452" s="18" t="s">
        <v>1236</v>
      </c>
      <c r="E452" s="18" t="str">
        <f t="shared" si="7"/>
        <v>Conrad Bengaluru (Prestige Hospitality Ventures Ltd)</v>
      </c>
      <c r="F452" s="27" t="s">
        <v>1237</v>
      </c>
      <c r="G452" s="18" t="s">
        <v>32</v>
      </c>
      <c r="H452" s="18" t="s">
        <v>33</v>
      </c>
      <c r="I452" s="18" t="s">
        <v>207</v>
      </c>
      <c r="J452" s="18" t="s">
        <v>1370</v>
      </c>
      <c r="K452" s="18" t="s">
        <v>56</v>
      </c>
      <c r="L452" s="18" t="s">
        <v>36</v>
      </c>
      <c r="N452" s="18">
        <v>6</v>
      </c>
      <c r="O452" s="18" t="s">
        <v>57</v>
      </c>
      <c r="P452" s="18" t="s">
        <v>38</v>
      </c>
      <c r="Q452" s="18" t="s">
        <v>58</v>
      </c>
      <c r="R452" s="18" t="s">
        <v>59</v>
      </c>
      <c r="S452" s="18" t="s">
        <v>60</v>
      </c>
      <c r="T452" s="18" t="b">
        <v>1</v>
      </c>
      <c r="U452" s="18" t="s">
        <v>39</v>
      </c>
      <c r="V452" s="18" t="s">
        <v>40</v>
      </c>
      <c r="W452" s="18" t="s">
        <v>1176</v>
      </c>
      <c r="X452" s="18" t="s">
        <v>1177</v>
      </c>
      <c r="Y452" s="18">
        <v>1</v>
      </c>
      <c r="Z452" s="18">
        <v>2300000</v>
      </c>
      <c r="AA452" s="18" t="s">
        <v>1371</v>
      </c>
      <c r="AB452" s="18" t="s">
        <v>1109</v>
      </c>
      <c r="AC452" s="18" t="s">
        <v>43</v>
      </c>
    </row>
    <row r="453" s="18" customFormat="1" ht="29" spans="1:29">
      <c r="A453" s="18" t="s">
        <v>1372</v>
      </c>
      <c r="B453" s="25" t="s">
        <v>1372</v>
      </c>
      <c r="C453" s="26">
        <v>45677</v>
      </c>
      <c r="D453" s="18" t="s">
        <v>1373</v>
      </c>
      <c r="E453" s="18" t="str">
        <f t="shared" si="7"/>
        <v>Crystal Event &amp; Service</v>
      </c>
      <c r="F453" s="27" t="s">
        <v>1374</v>
      </c>
      <c r="G453" s="18" t="s">
        <v>99</v>
      </c>
      <c r="H453" s="18" t="s">
        <v>100</v>
      </c>
      <c r="I453" s="18" t="s">
        <v>184</v>
      </c>
      <c r="J453" s="18" t="s">
        <v>499</v>
      </c>
      <c r="K453" s="18" t="s">
        <v>56</v>
      </c>
      <c r="L453" s="18" t="s">
        <v>36</v>
      </c>
      <c r="N453" s="18">
        <v>6</v>
      </c>
      <c r="O453" s="18" t="s">
        <v>88</v>
      </c>
      <c r="P453" s="18" t="s">
        <v>38</v>
      </c>
      <c r="Q453" s="18" t="s">
        <v>117</v>
      </c>
      <c r="R453" s="18" t="s">
        <v>59</v>
      </c>
      <c r="S453" s="18" t="s">
        <v>186</v>
      </c>
      <c r="T453" s="18" t="b">
        <v>1</v>
      </c>
      <c r="U453" s="18" t="s">
        <v>101</v>
      </c>
      <c r="V453" s="18" t="s">
        <v>40</v>
      </c>
      <c r="W453" s="18" t="s">
        <v>317</v>
      </c>
      <c r="X453" s="18" t="s">
        <v>318</v>
      </c>
      <c r="Y453" s="18">
        <v>1</v>
      </c>
      <c r="Z453" s="18">
        <v>125000</v>
      </c>
      <c r="AA453" s="31" t="s">
        <v>338</v>
      </c>
      <c r="AB453" s="18" t="s">
        <v>339</v>
      </c>
      <c r="AC453" s="18" t="s">
        <v>111</v>
      </c>
    </row>
    <row r="454" s="18" customFormat="1" ht="29" spans="1:29">
      <c r="A454" s="18" t="s">
        <v>1375</v>
      </c>
      <c r="B454" s="25" t="s">
        <v>1375</v>
      </c>
      <c r="C454" s="26">
        <v>45677</v>
      </c>
      <c r="D454" s="18" t="s">
        <v>1267</v>
      </c>
      <c r="E454" s="18" t="str">
        <f t="shared" si="7"/>
        <v>Black Pearl Production Pvt Ltd</v>
      </c>
      <c r="F454" s="27" t="s">
        <v>1268</v>
      </c>
      <c r="G454" s="18" t="s">
        <v>147</v>
      </c>
      <c r="H454" s="18" t="s">
        <v>148</v>
      </c>
      <c r="I454" s="18" t="s">
        <v>184</v>
      </c>
      <c r="J454" s="18" t="s">
        <v>938</v>
      </c>
      <c r="K454" s="18" t="s">
        <v>56</v>
      </c>
      <c r="L454" s="18" t="s">
        <v>36</v>
      </c>
      <c r="N454" s="18">
        <v>6</v>
      </c>
      <c r="O454" s="18" t="s">
        <v>88</v>
      </c>
      <c r="P454" s="18" t="s">
        <v>38</v>
      </c>
      <c r="Q454" s="18" t="s">
        <v>194</v>
      </c>
      <c r="R454" s="18" t="s">
        <v>59</v>
      </c>
      <c r="S454" s="18" t="s">
        <v>195</v>
      </c>
      <c r="T454" s="18" t="b">
        <v>1</v>
      </c>
      <c r="U454" s="18" t="s">
        <v>150</v>
      </c>
      <c r="V454" s="18" t="s">
        <v>40</v>
      </c>
      <c r="W454" s="18" t="s">
        <v>151</v>
      </c>
      <c r="X454" s="18" t="s">
        <v>152</v>
      </c>
      <c r="Y454" s="18">
        <v>1</v>
      </c>
      <c r="Z454" s="18">
        <v>225000</v>
      </c>
      <c r="AA454" s="31" t="s">
        <v>947</v>
      </c>
      <c r="AB454" s="18" t="s">
        <v>948</v>
      </c>
      <c r="AC454" s="18" t="s">
        <v>163</v>
      </c>
    </row>
    <row r="455" s="18" customFormat="1" spans="1:29">
      <c r="A455" s="18" t="s">
        <v>1376</v>
      </c>
      <c r="B455" s="25" t="s">
        <v>1376</v>
      </c>
      <c r="C455" s="26">
        <v>45677</v>
      </c>
      <c r="D455" s="18" t="s">
        <v>770</v>
      </c>
      <c r="E455" s="18" t="str">
        <f t="shared" si="7"/>
        <v>Kalu Halder............. </v>
      </c>
      <c r="F455" s="27" t="e">
        <v>#N/A</v>
      </c>
      <c r="G455" s="18" t="s">
        <v>147</v>
      </c>
      <c r="H455" s="18" t="s">
        <v>148</v>
      </c>
      <c r="I455" s="18" t="s">
        <v>159</v>
      </c>
      <c r="J455" s="18" t="s">
        <v>466</v>
      </c>
      <c r="K455" s="18" t="s">
        <v>56</v>
      </c>
      <c r="L455" s="18" t="s">
        <v>36</v>
      </c>
      <c r="N455" s="18">
        <v>6</v>
      </c>
      <c r="O455" s="18" t="s">
        <v>93</v>
      </c>
      <c r="P455" s="18" t="s">
        <v>38</v>
      </c>
      <c r="Q455" s="18" t="s">
        <v>58</v>
      </c>
      <c r="R455" s="18" t="s">
        <v>59</v>
      </c>
      <c r="S455" s="18" t="s">
        <v>60</v>
      </c>
      <c r="T455" s="18" t="b">
        <v>1</v>
      </c>
      <c r="U455" s="18" t="s">
        <v>150</v>
      </c>
      <c r="V455" s="18" t="s">
        <v>40</v>
      </c>
      <c r="W455" s="18" t="s">
        <v>412</v>
      </c>
      <c r="X455" s="18" t="s">
        <v>413</v>
      </c>
      <c r="Y455" s="18">
        <v>1</v>
      </c>
      <c r="Z455" s="18">
        <v>40707</v>
      </c>
      <c r="AA455" s="18" t="s">
        <v>1377</v>
      </c>
      <c r="AB455" s="18" t="s">
        <v>1378</v>
      </c>
      <c r="AC455" s="18" t="e">
        <v>#N/A</v>
      </c>
    </row>
    <row r="456" s="18" customFormat="1" spans="1:29">
      <c r="A456" s="18" t="s">
        <v>1379</v>
      </c>
      <c r="B456" s="25" t="s">
        <v>1379</v>
      </c>
      <c r="C456" s="26">
        <v>45677</v>
      </c>
      <c r="D456" s="18" t="s">
        <v>692</v>
      </c>
      <c r="E456" s="18" t="str">
        <f t="shared" si="7"/>
        <v>Yolekha Events</v>
      </c>
      <c r="F456" s="27" t="s">
        <v>693</v>
      </c>
      <c r="G456" s="18" t="s">
        <v>147</v>
      </c>
      <c r="H456" s="18" t="s">
        <v>148</v>
      </c>
      <c r="I456" s="18" t="s">
        <v>207</v>
      </c>
      <c r="J456" s="18" t="s">
        <v>466</v>
      </c>
      <c r="K456" s="18" t="s">
        <v>56</v>
      </c>
      <c r="L456" s="18" t="s">
        <v>36</v>
      </c>
      <c r="N456" s="18">
        <v>6</v>
      </c>
      <c r="O456" s="18" t="s">
        <v>57</v>
      </c>
      <c r="P456" s="18" t="s">
        <v>38</v>
      </c>
      <c r="Q456" s="18" t="s">
        <v>58</v>
      </c>
      <c r="R456" s="18" t="s">
        <v>59</v>
      </c>
      <c r="S456" s="18" t="s">
        <v>60</v>
      </c>
      <c r="T456" s="18" t="b">
        <v>1</v>
      </c>
      <c r="U456" s="18" t="s">
        <v>150</v>
      </c>
      <c r="V456" s="18" t="s">
        <v>40</v>
      </c>
      <c r="W456" s="18" t="s">
        <v>196</v>
      </c>
      <c r="X456" s="18" t="s">
        <v>197</v>
      </c>
      <c r="Y456" s="18">
        <v>1</v>
      </c>
      <c r="Z456" s="18">
        <v>15300</v>
      </c>
      <c r="AA456" s="18" t="s">
        <v>1380</v>
      </c>
      <c r="AC456" s="18" t="s">
        <v>695</v>
      </c>
    </row>
    <row r="457" s="18" customFormat="1" spans="1:29">
      <c r="A457" s="18" t="s">
        <v>1381</v>
      </c>
      <c r="B457" s="25" t="s">
        <v>1381</v>
      </c>
      <c r="C457" s="26">
        <v>45677</v>
      </c>
      <c r="D457" s="18" t="s">
        <v>1382</v>
      </c>
      <c r="E457" s="18" t="str">
        <f t="shared" si="7"/>
        <v>Chawla Movies</v>
      </c>
      <c r="F457" s="27" t="s">
        <v>1383</v>
      </c>
      <c r="G457" s="18" t="s">
        <v>147</v>
      </c>
      <c r="H457" s="18" t="s">
        <v>148</v>
      </c>
      <c r="I457" s="18" t="s">
        <v>34</v>
      </c>
      <c r="J457" s="18" t="s">
        <v>1116</v>
      </c>
      <c r="K457" s="18" t="s">
        <v>56</v>
      </c>
      <c r="L457" s="18" t="s">
        <v>36</v>
      </c>
      <c r="N457" s="18">
        <v>6</v>
      </c>
      <c r="O457" s="18" t="s">
        <v>88</v>
      </c>
      <c r="P457" s="18" t="s">
        <v>38</v>
      </c>
      <c r="Q457" s="18" t="s">
        <v>117</v>
      </c>
      <c r="R457" s="18" t="s">
        <v>59</v>
      </c>
      <c r="S457" s="18" t="s">
        <v>118</v>
      </c>
      <c r="T457" s="18" t="b">
        <v>1</v>
      </c>
      <c r="U457" s="18" t="s">
        <v>150</v>
      </c>
      <c r="V457" s="18" t="s">
        <v>40</v>
      </c>
      <c r="W457" s="18" t="s">
        <v>371</v>
      </c>
      <c r="X457" s="18" t="s">
        <v>372</v>
      </c>
      <c r="Y457" s="18">
        <v>1</v>
      </c>
      <c r="Z457" s="18">
        <v>900000</v>
      </c>
      <c r="AA457" s="18" t="s">
        <v>121</v>
      </c>
      <c r="AB457" s="18" t="s">
        <v>122</v>
      </c>
      <c r="AC457" s="18" t="s">
        <v>163</v>
      </c>
    </row>
    <row r="458" s="18" customFormat="1" spans="1:29">
      <c r="A458" s="18" t="s">
        <v>1384</v>
      </c>
      <c r="B458" s="25" t="s">
        <v>1384</v>
      </c>
      <c r="C458" s="26">
        <v>45677</v>
      </c>
      <c r="D458" s="18" t="s">
        <v>1385</v>
      </c>
      <c r="E458" s="18" t="str">
        <f t="shared" si="7"/>
        <v>Prashant Vaishnav (Cr)</v>
      </c>
      <c r="F458" s="27" t="s">
        <v>1386</v>
      </c>
      <c r="G458" s="18" t="s">
        <v>147</v>
      </c>
      <c r="H458" s="18" t="s">
        <v>148</v>
      </c>
      <c r="I458" s="18" t="s">
        <v>159</v>
      </c>
      <c r="J458" s="18" t="s">
        <v>275</v>
      </c>
      <c r="K458" s="18" t="s">
        <v>56</v>
      </c>
      <c r="L458" s="18" t="s">
        <v>36</v>
      </c>
      <c r="N458" s="18">
        <v>6</v>
      </c>
      <c r="O458" s="18" t="s">
        <v>93</v>
      </c>
      <c r="P458" s="18" t="s">
        <v>38</v>
      </c>
      <c r="Q458" s="18" t="s">
        <v>58</v>
      </c>
      <c r="R458" s="18" t="s">
        <v>59</v>
      </c>
      <c r="S458" s="18" t="s">
        <v>60</v>
      </c>
      <c r="T458" s="18" t="b">
        <v>1</v>
      </c>
      <c r="U458" s="18" t="s">
        <v>150</v>
      </c>
      <c r="V458" s="18" t="s">
        <v>40</v>
      </c>
      <c r="W458" s="18" t="s">
        <v>347</v>
      </c>
      <c r="X458" s="18" t="s">
        <v>348</v>
      </c>
      <c r="Y458" s="18">
        <v>1</v>
      </c>
      <c r="Z458" s="18">
        <v>10000</v>
      </c>
      <c r="AA458" s="18" t="s">
        <v>1169</v>
      </c>
      <c r="AB458" s="18" t="s">
        <v>1170</v>
      </c>
      <c r="AC458" s="18" t="e">
        <v>#N/A</v>
      </c>
    </row>
    <row r="459" s="18" customFormat="1" ht="29" spans="1:29">
      <c r="A459" s="18" t="s">
        <v>1387</v>
      </c>
      <c r="B459" s="25" t="s">
        <v>1387</v>
      </c>
      <c r="C459" s="26">
        <v>45677</v>
      </c>
      <c r="D459" s="18" t="s">
        <v>775</v>
      </c>
      <c r="E459" s="18" t="str">
        <f t="shared" si="7"/>
        <v>Login Enterprises</v>
      </c>
      <c r="F459" s="27" t="s">
        <v>776</v>
      </c>
      <c r="G459" s="18" t="s">
        <v>182</v>
      </c>
      <c r="H459" s="18" t="s">
        <v>473</v>
      </c>
      <c r="I459" s="18" t="s">
        <v>184</v>
      </c>
      <c r="K459" s="18" t="s">
        <v>35</v>
      </c>
      <c r="L459" s="18" t="s">
        <v>36</v>
      </c>
      <c r="N459" s="18">
        <v>6</v>
      </c>
      <c r="O459" s="18" t="s">
        <v>88</v>
      </c>
      <c r="P459" s="18" t="s">
        <v>38</v>
      </c>
      <c r="T459" s="18" t="b">
        <v>0</v>
      </c>
      <c r="U459" s="18" t="s">
        <v>187</v>
      </c>
      <c r="V459" s="18" t="s">
        <v>40</v>
      </c>
      <c r="W459" s="18" t="s">
        <v>777</v>
      </c>
      <c r="X459" s="18" t="s">
        <v>777</v>
      </c>
      <c r="Y459" s="18">
        <v>1</v>
      </c>
      <c r="Z459" s="18">
        <v>9427.04</v>
      </c>
      <c r="AA459" s="31" t="s">
        <v>1388</v>
      </c>
      <c r="AB459" s="18" t="s">
        <v>948</v>
      </c>
      <c r="AC459" s="18" t="s">
        <v>200</v>
      </c>
    </row>
    <row r="460" s="18" customFormat="1" spans="1:29">
      <c r="A460" s="18" t="s">
        <v>1389</v>
      </c>
      <c r="B460" s="25" t="s">
        <v>1389</v>
      </c>
      <c r="C460" s="26">
        <v>45677</v>
      </c>
      <c r="D460" s="18" t="s">
        <v>1206</v>
      </c>
      <c r="E460" s="18" t="str">
        <f t="shared" si="7"/>
        <v>PARESH SURVE ADV FOR EXPENCES</v>
      </c>
      <c r="F460" s="27" t="e">
        <v>#N/A</v>
      </c>
      <c r="G460" s="18" t="s">
        <v>182</v>
      </c>
      <c r="H460" s="18" t="s">
        <v>183</v>
      </c>
      <c r="I460" s="18" t="s">
        <v>481</v>
      </c>
      <c r="J460" s="18" t="s">
        <v>1006</v>
      </c>
      <c r="K460" s="18" t="s">
        <v>56</v>
      </c>
      <c r="L460" s="18" t="s">
        <v>36</v>
      </c>
      <c r="N460" s="18">
        <v>6</v>
      </c>
      <c r="O460" s="18" t="s">
        <v>93</v>
      </c>
      <c r="P460" s="18" t="s">
        <v>38</v>
      </c>
      <c r="Q460" s="18" t="s">
        <v>117</v>
      </c>
      <c r="R460" s="18" t="s">
        <v>59</v>
      </c>
      <c r="S460" s="18" t="s">
        <v>186</v>
      </c>
      <c r="T460" s="18" t="b">
        <v>0</v>
      </c>
      <c r="U460" s="18" t="s">
        <v>187</v>
      </c>
      <c r="V460" s="18" t="s">
        <v>40</v>
      </c>
      <c r="W460" s="18" t="s">
        <v>412</v>
      </c>
      <c r="X460" s="18" t="s">
        <v>413</v>
      </c>
      <c r="Y460" s="18">
        <v>1</v>
      </c>
      <c r="Z460" s="18">
        <v>10811.05</v>
      </c>
      <c r="AC460" s="18" t="e">
        <v>#N/A</v>
      </c>
    </row>
    <row r="461" s="18" customFormat="1" spans="1:29">
      <c r="A461" s="18" t="s">
        <v>1390</v>
      </c>
      <c r="B461" s="25" t="s">
        <v>1390</v>
      </c>
      <c r="C461" s="26">
        <v>45677</v>
      </c>
      <c r="D461" s="18" t="s">
        <v>1391</v>
      </c>
      <c r="E461" s="18" t="str">
        <f t="shared" si="7"/>
        <v>Vishal Vasani  </v>
      </c>
      <c r="F461" s="27" t="e">
        <v>#N/A</v>
      </c>
      <c r="G461" s="18" t="s">
        <v>182</v>
      </c>
      <c r="H461" s="18" t="s">
        <v>183</v>
      </c>
      <c r="I461" s="18" t="s">
        <v>481</v>
      </c>
      <c r="J461" s="18" t="s">
        <v>1048</v>
      </c>
      <c r="K461" s="18" t="s">
        <v>56</v>
      </c>
      <c r="L461" s="18" t="s">
        <v>36</v>
      </c>
      <c r="N461" s="18">
        <v>6</v>
      </c>
      <c r="O461" s="18" t="s">
        <v>93</v>
      </c>
      <c r="P461" s="18" t="s">
        <v>38</v>
      </c>
      <c r="Q461" s="18" t="s">
        <v>117</v>
      </c>
      <c r="R461" s="18" t="s">
        <v>59</v>
      </c>
      <c r="S461" s="18" t="s">
        <v>186</v>
      </c>
      <c r="T461" s="18" t="b">
        <v>0</v>
      </c>
      <c r="U461" s="18" t="s">
        <v>187</v>
      </c>
      <c r="V461" s="18" t="s">
        <v>40</v>
      </c>
      <c r="W461" s="18" t="s">
        <v>317</v>
      </c>
      <c r="X461" s="18" t="s">
        <v>318</v>
      </c>
      <c r="Y461" s="18">
        <v>1</v>
      </c>
      <c r="Z461" s="18">
        <v>578</v>
      </c>
      <c r="AC461" s="18" t="e">
        <v>#N/A</v>
      </c>
    </row>
    <row r="462" s="18" customFormat="1" spans="1:29">
      <c r="A462" s="18" t="s">
        <v>1392</v>
      </c>
      <c r="B462" s="25" t="s">
        <v>1392</v>
      </c>
      <c r="C462" s="26">
        <v>45677</v>
      </c>
      <c r="D462" s="18" t="s">
        <v>860</v>
      </c>
      <c r="E462" s="18" t="str">
        <f t="shared" si="7"/>
        <v>Mahendra Mane </v>
      </c>
      <c r="F462" s="27" t="e">
        <v>#N/A</v>
      </c>
      <c r="G462" s="18" t="s">
        <v>182</v>
      </c>
      <c r="H462" s="18" t="s">
        <v>183</v>
      </c>
      <c r="I462" s="18" t="s">
        <v>481</v>
      </c>
      <c r="J462" s="18" t="s">
        <v>1393</v>
      </c>
      <c r="K462" s="18" t="s">
        <v>56</v>
      </c>
      <c r="L462" s="18" t="s">
        <v>36</v>
      </c>
      <c r="N462" s="18">
        <v>6</v>
      </c>
      <c r="O462" s="18" t="s">
        <v>93</v>
      </c>
      <c r="P462" s="18" t="s">
        <v>38</v>
      </c>
      <c r="Q462" s="18" t="s">
        <v>194</v>
      </c>
      <c r="R462" s="18" t="s">
        <v>59</v>
      </c>
      <c r="S462" s="18" t="s">
        <v>195</v>
      </c>
      <c r="T462" s="18" t="b">
        <v>0</v>
      </c>
      <c r="U462" s="18" t="s">
        <v>187</v>
      </c>
      <c r="V462" s="18" t="s">
        <v>40</v>
      </c>
      <c r="W462" s="18" t="s">
        <v>317</v>
      </c>
      <c r="X462" s="18" t="s">
        <v>318</v>
      </c>
      <c r="Y462" s="18">
        <v>1</v>
      </c>
      <c r="Z462" s="18">
        <v>2850</v>
      </c>
      <c r="AC462" s="18" t="e">
        <v>#N/A</v>
      </c>
    </row>
    <row r="463" s="18" customFormat="1" ht="29" spans="1:29">
      <c r="A463" s="18" t="s">
        <v>1394</v>
      </c>
      <c r="B463" s="25" t="s">
        <v>1394</v>
      </c>
      <c r="C463" s="26">
        <v>45677</v>
      </c>
      <c r="D463" s="18" t="s">
        <v>1395</v>
      </c>
      <c r="E463" s="18" t="str">
        <f t="shared" si="7"/>
        <v>KG Movie</v>
      </c>
      <c r="F463" s="27" t="s">
        <v>1396</v>
      </c>
      <c r="G463" s="18" t="s">
        <v>182</v>
      </c>
      <c r="H463" s="18" t="s">
        <v>183</v>
      </c>
      <c r="I463" s="18" t="s">
        <v>184</v>
      </c>
      <c r="J463" s="18" t="s">
        <v>499</v>
      </c>
      <c r="K463" s="18" t="s">
        <v>56</v>
      </c>
      <c r="L463" s="18" t="s">
        <v>36</v>
      </c>
      <c r="N463" s="18">
        <v>6</v>
      </c>
      <c r="O463" s="18" t="s">
        <v>88</v>
      </c>
      <c r="P463" s="18" t="s">
        <v>38</v>
      </c>
      <c r="Q463" s="18" t="s">
        <v>117</v>
      </c>
      <c r="R463" s="18" t="s">
        <v>59</v>
      </c>
      <c r="S463" s="18" t="s">
        <v>186</v>
      </c>
      <c r="T463" s="18" t="b">
        <v>0</v>
      </c>
      <c r="U463" s="18" t="s">
        <v>187</v>
      </c>
      <c r="V463" s="18" t="s">
        <v>40</v>
      </c>
      <c r="W463" s="18" t="s">
        <v>317</v>
      </c>
      <c r="X463" s="18" t="s">
        <v>318</v>
      </c>
      <c r="Y463" s="18">
        <v>1</v>
      </c>
      <c r="Z463" s="18">
        <v>465000</v>
      </c>
      <c r="AA463" s="31" t="s">
        <v>338</v>
      </c>
      <c r="AB463" s="18" t="s">
        <v>339</v>
      </c>
      <c r="AC463" s="18" t="s">
        <v>216</v>
      </c>
    </row>
    <row r="464" s="18" customFormat="1" ht="29" spans="1:29">
      <c r="A464" s="18" t="s">
        <v>1397</v>
      </c>
      <c r="B464" s="25" t="s">
        <v>1397</v>
      </c>
      <c r="C464" s="26">
        <v>45677</v>
      </c>
      <c r="D464" s="18" t="s">
        <v>1395</v>
      </c>
      <c r="E464" s="18" t="str">
        <f t="shared" si="7"/>
        <v>KG Movie</v>
      </c>
      <c r="F464" s="27" t="s">
        <v>1396</v>
      </c>
      <c r="G464" s="18" t="s">
        <v>182</v>
      </c>
      <c r="H464" s="18" t="s">
        <v>183</v>
      </c>
      <c r="I464" s="18" t="s">
        <v>184</v>
      </c>
      <c r="J464" s="18" t="s">
        <v>499</v>
      </c>
      <c r="K464" s="18" t="s">
        <v>56</v>
      </c>
      <c r="L464" s="18" t="s">
        <v>36</v>
      </c>
      <c r="N464" s="18">
        <v>6</v>
      </c>
      <c r="O464" s="18" t="s">
        <v>88</v>
      </c>
      <c r="P464" s="18" t="s">
        <v>38</v>
      </c>
      <c r="Q464" s="18" t="s">
        <v>117</v>
      </c>
      <c r="R464" s="18" t="s">
        <v>59</v>
      </c>
      <c r="S464" s="18" t="s">
        <v>186</v>
      </c>
      <c r="T464" s="18" t="b">
        <v>0</v>
      </c>
      <c r="U464" s="18" t="s">
        <v>187</v>
      </c>
      <c r="V464" s="18" t="s">
        <v>40</v>
      </c>
      <c r="W464" s="18" t="s">
        <v>317</v>
      </c>
      <c r="X464" s="18" t="s">
        <v>318</v>
      </c>
      <c r="Y464" s="18">
        <v>1</v>
      </c>
      <c r="Z464" s="18">
        <v>122540</v>
      </c>
      <c r="AA464" s="31" t="s">
        <v>338</v>
      </c>
      <c r="AB464" s="18" t="s">
        <v>339</v>
      </c>
      <c r="AC464" s="18" t="s">
        <v>216</v>
      </c>
    </row>
    <row r="465" s="18" customFormat="1" ht="29" spans="1:29">
      <c r="A465" s="18" t="s">
        <v>1398</v>
      </c>
      <c r="B465" s="25" t="s">
        <v>1398</v>
      </c>
      <c r="C465" s="26">
        <v>45677</v>
      </c>
      <c r="D465" s="18" t="s">
        <v>1399</v>
      </c>
      <c r="E465" s="18" t="str">
        <f t="shared" si="7"/>
        <v>V.J. Productions</v>
      </c>
      <c r="F465" s="27" t="e">
        <v>#N/A</v>
      </c>
      <c r="G465" s="18" t="s">
        <v>182</v>
      </c>
      <c r="H465" s="18" t="s">
        <v>183</v>
      </c>
      <c r="I465" s="18" t="s">
        <v>184</v>
      </c>
      <c r="J465" s="18" t="s">
        <v>499</v>
      </c>
      <c r="K465" s="18" t="s">
        <v>56</v>
      </c>
      <c r="L465" s="18" t="s">
        <v>36</v>
      </c>
      <c r="N465" s="18">
        <v>6</v>
      </c>
      <c r="O465" s="18" t="s">
        <v>88</v>
      </c>
      <c r="P465" s="18" t="s">
        <v>38</v>
      </c>
      <c r="Q465" s="18" t="s">
        <v>117</v>
      </c>
      <c r="R465" s="18" t="s">
        <v>59</v>
      </c>
      <c r="S465" s="18" t="s">
        <v>186</v>
      </c>
      <c r="T465" s="18" t="b">
        <v>0</v>
      </c>
      <c r="U465" s="18" t="s">
        <v>187</v>
      </c>
      <c r="V465" s="18" t="s">
        <v>40</v>
      </c>
      <c r="W465" s="18" t="s">
        <v>317</v>
      </c>
      <c r="X465" s="18" t="s">
        <v>318</v>
      </c>
      <c r="Y465" s="18">
        <v>1</v>
      </c>
      <c r="Z465" s="18">
        <v>440000</v>
      </c>
      <c r="AA465" s="31" t="s">
        <v>338</v>
      </c>
      <c r="AB465" s="18" t="s">
        <v>339</v>
      </c>
      <c r="AC465" s="18" t="s">
        <v>216</v>
      </c>
    </row>
    <row r="466" s="18" customFormat="1" spans="1:29">
      <c r="A466" s="18" t="s">
        <v>1400</v>
      </c>
      <c r="B466" s="25" t="s">
        <v>1400</v>
      </c>
      <c r="C466" s="26">
        <v>45677</v>
      </c>
      <c r="D466" s="18" t="s">
        <v>860</v>
      </c>
      <c r="E466" s="18" t="str">
        <f t="shared" si="7"/>
        <v>Mahendra Mane </v>
      </c>
      <c r="F466" s="27" t="e">
        <v>#N/A</v>
      </c>
      <c r="G466" s="18" t="s">
        <v>182</v>
      </c>
      <c r="H466" s="18" t="s">
        <v>183</v>
      </c>
      <c r="I466" s="18" t="s">
        <v>481</v>
      </c>
      <c r="J466" s="18" t="s">
        <v>728</v>
      </c>
      <c r="K466" s="18" t="s">
        <v>56</v>
      </c>
      <c r="L466" s="18" t="s">
        <v>36</v>
      </c>
      <c r="N466" s="18">
        <v>6</v>
      </c>
      <c r="O466" s="18" t="s">
        <v>93</v>
      </c>
      <c r="P466" s="18" t="s">
        <v>38</v>
      </c>
      <c r="Q466" s="18" t="s">
        <v>194</v>
      </c>
      <c r="R466" s="18" t="s">
        <v>59</v>
      </c>
      <c r="S466" s="18" t="s">
        <v>195</v>
      </c>
      <c r="T466" s="18" t="b">
        <v>0</v>
      </c>
      <c r="U466" s="18" t="s">
        <v>187</v>
      </c>
      <c r="V466" s="18" t="s">
        <v>40</v>
      </c>
      <c r="W466" s="18" t="s">
        <v>126</v>
      </c>
      <c r="X466" s="18" t="s">
        <v>127</v>
      </c>
      <c r="Y466" s="18">
        <v>1</v>
      </c>
      <c r="Z466" s="18">
        <v>342</v>
      </c>
      <c r="AC466" s="18" t="e">
        <v>#N/A</v>
      </c>
    </row>
    <row r="467" s="18" customFormat="1" spans="1:29">
      <c r="A467" s="18" t="s">
        <v>1401</v>
      </c>
      <c r="B467" s="25" t="s">
        <v>1401</v>
      </c>
      <c r="C467" s="26">
        <v>45677</v>
      </c>
      <c r="D467" s="18" t="s">
        <v>1203</v>
      </c>
      <c r="E467" s="18" t="str">
        <f t="shared" si="7"/>
        <v>Padmakar Jadhav </v>
      </c>
      <c r="F467" s="27" t="e">
        <v>#N/A</v>
      </c>
      <c r="G467" s="18" t="s">
        <v>182</v>
      </c>
      <c r="H467" s="18" t="s">
        <v>183</v>
      </c>
      <c r="I467" s="18" t="s">
        <v>481</v>
      </c>
      <c r="J467" s="18" t="s">
        <v>240</v>
      </c>
      <c r="K467" s="18" t="s">
        <v>56</v>
      </c>
      <c r="L467" s="18" t="s">
        <v>36</v>
      </c>
      <c r="N467" s="18">
        <v>6</v>
      </c>
      <c r="O467" s="18" t="s">
        <v>93</v>
      </c>
      <c r="P467" s="18" t="s">
        <v>38</v>
      </c>
      <c r="Q467" s="18" t="s">
        <v>58</v>
      </c>
      <c r="R467" s="18" t="s">
        <v>59</v>
      </c>
      <c r="S467" s="18" t="s">
        <v>60</v>
      </c>
      <c r="T467" s="18" t="b">
        <v>0</v>
      </c>
      <c r="U467" s="18" t="s">
        <v>187</v>
      </c>
      <c r="V467" s="18" t="s">
        <v>40</v>
      </c>
      <c r="W467" s="18" t="s">
        <v>126</v>
      </c>
      <c r="X467" s="18" t="s">
        <v>127</v>
      </c>
      <c r="Y467" s="18">
        <v>1</v>
      </c>
      <c r="Z467" s="18">
        <v>743</v>
      </c>
      <c r="AC467" s="18" t="e">
        <v>#N/A</v>
      </c>
    </row>
    <row r="468" s="18" customFormat="1" spans="1:29">
      <c r="A468" s="18" t="s">
        <v>1402</v>
      </c>
      <c r="B468" s="25" t="s">
        <v>1402</v>
      </c>
      <c r="C468" s="26">
        <v>45677</v>
      </c>
      <c r="D468" s="18" t="s">
        <v>1206</v>
      </c>
      <c r="E468" s="18" t="str">
        <f t="shared" si="7"/>
        <v>PARESH SURVE ADV FOR EXPENCES</v>
      </c>
      <c r="F468" s="27" t="e">
        <v>#N/A</v>
      </c>
      <c r="G468" s="18" t="s">
        <v>182</v>
      </c>
      <c r="H468" s="18" t="s">
        <v>183</v>
      </c>
      <c r="I468" s="18" t="s">
        <v>481</v>
      </c>
      <c r="J468" s="18" t="s">
        <v>1006</v>
      </c>
      <c r="K468" s="18" t="s">
        <v>56</v>
      </c>
      <c r="L468" s="18" t="s">
        <v>36</v>
      </c>
      <c r="N468" s="18">
        <v>6</v>
      </c>
      <c r="O468" s="18" t="s">
        <v>93</v>
      </c>
      <c r="P468" s="18" t="s">
        <v>38</v>
      </c>
      <c r="Q468" s="18" t="s">
        <v>117</v>
      </c>
      <c r="R468" s="18" t="s">
        <v>59</v>
      </c>
      <c r="S468" s="18" t="s">
        <v>186</v>
      </c>
      <c r="T468" s="18" t="b">
        <v>0</v>
      </c>
      <c r="U468" s="18" t="s">
        <v>187</v>
      </c>
      <c r="V468" s="18" t="s">
        <v>40</v>
      </c>
      <c r="W468" s="18" t="s">
        <v>412</v>
      </c>
      <c r="X468" s="18" t="s">
        <v>413</v>
      </c>
      <c r="Y468" s="18">
        <v>1</v>
      </c>
      <c r="Z468" s="18">
        <v>8157.92</v>
      </c>
      <c r="AC468" s="18" t="e">
        <v>#N/A</v>
      </c>
    </row>
    <row r="469" s="18" customFormat="1" spans="1:29">
      <c r="A469" s="18" t="s">
        <v>1403</v>
      </c>
      <c r="B469" s="25" t="s">
        <v>1403</v>
      </c>
      <c r="C469" s="26">
        <v>45677</v>
      </c>
      <c r="D469" s="18" t="s">
        <v>1404</v>
      </c>
      <c r="E469" s="18" t="str">
        <f t="shared" si="7"/>
        <v>Mohammad Danish  </v>
      </c>
      <c r="F469" s="27" t="s">
        <v>1405</v>
      </c>
      <c r="G469" s="18" t="s">
        <v>182</v>
      </c>
      <c r="H469" s="18" t="s">
        <v>183</v>
      </c>
      <c r="I469" s="18" t="s">
        <v>481</v>
      </c>
      <c r="J469" s="18" t="s">
        <v>486</v>
      </c>
      <c r="K469" s="18" t="s">
        <v>56</v>
      </c>
      <c r="L469" s="18" t="s">
        <v>36</v>
      </c>
      <c r="N469" s="18">
        <v>6</v>
      </c>
      <c r="O469" s="18" t="s">
        <v>93</v>
      </c>
      <c r="P469" s="18" t="s">
        <v>38</v>
      </c>
      <c r="Q469" s="18" t="s">
        <v>58</v>
      </c>
      <c r="R469" s="18" t="s">
        <v>59</v>
      </c>
      <c r="S469" s="18" t="s">
        <v>60</v>
      </c>
      <c r="T469" s="18" t="b">
        <v>0</v>
      </c>
      <c r="U469" s="18" t="s">
        <v>187</v>
      </c>
      <c r="V469" s="18" t="s">
        <v>40</v>
      </c>
      <c r="W469" s="18" t="s">
        <v>126</v>
      </c>
      <c r="X469" s="18" t="s">
        <v>127</v>
      </c>
      <c r="Y469" s="18">
        <v>1</v>
      </c>
      <c r="Z469" s="18">
        <v>3621</v>
      </c>
      <c r="AC469" s="18" t="e">
        <v>#N/A</v>
      </c>
    </row>
    <row r="470" s="18" customFormat="1" spans="1:29">
      <c r="A470" s="18" t="s">
        <v>1406</v>
      </c>
      <c r="B470" s="25" t="s">
        <v>1406</v>
      </c>
      <c r="C470" s="26">
        <v>45677</v>
      </c>
      <c r="D470" s="18" t="s">
        <v>860</v>
      </c>
      <c r="E470" s="18" t="str">
        <f t="shared" si="7"/>
        <v>Mahendra Mane </v>
      </c>
      <c r="F470" s="27" t="e">
        <v>#N/A</v>
      </c>
      <c r="G470" s="18" t="s">
        <v>182</v>
      </c>
      <c r="H470" s="18" t="s">
        <v>183</v>
      </c>
      <c r="I470" s="18" t="s">
        <v>481</v>
      </c>
      <c r="J470" s="18" t="s">
        <v>486</v>
      </c>
      <c r="K470" s="18" t="s">
        <v>56</v>
      </c>
      <c r="L470" s="18" t="s">
        <v>36</v>
      </c>
      <c r="N470" s="18">
        <v>6</v>
      </c>
      <c r="O470" s="18" t="s">
        <v>93</v>
      </c>
      <c r="P470" s="18" t="s">
        <v>38</v>
      </c>
      <c r="Q470" s="18" t="s">
        <v>58</v>
      </c>
      <c r="R470" s="18" t="s">
        <v>59</v>
      </c>
      <c r="S470" s="18" t="s">
        <v>60</v>
      </c>
      <c r="T470" s="18" t="b">
        <v>0</v>
      </c>
      <c r="U470" s="18" t="s">
        <v>187</v>
      </c>
      <c r="V470" s="18" t="s">
        <v>40</v>
      </c>
      <c r="W470" s="18" t="s">
        <v>126</v>
      </c>
      <c r="X470" s="18" t="s">
        <v>127</v>
      </c>
      <c r="Y470" s="18">
        <v>1</v>
      </c>
      <c r="Z470" s="18">
        <v>368</v>
      </c>
      <c r="AC470" s="18" t="e">
        <v>#N/A</v>
      </c>
    </row>
    <row r="471" s="18" customFormat="1" spans="1:29">
      <c r="A471" s="18" t="s">
        <v>1407</v>
      </c>
      <c r="B471" s="25" t="s">
        <v>1407</v>
      </c>
      <c r="C471" s="26">
        <v>45677</v>
      </c>
      <c r="D471" s="18" t="s">
        <v>1213</v>
      </c>
      <c r="E471" s="18" t="str">
        <f t="shared" si="7"/>
        <v>Sanjay Kathale Cash </v>
      </c>
      <c r="F471" s="27" t="e">
        <v>#N/A</v>
      </c>
      <c r="G471" s="18" t="s">
        <v>182</v>
      </c>
      <c r="H471" s="18" t="s">
        <v>183</v>
      </c>
      <c r="I471" s="18" t="s">
        <v>481</v>
      </c>
      <c r="J471" s="18" t="s">
        <v>728</v>
      </c>
      <c r="K471" s="18" t="s">
        <v>56</v>
      </c>
      <c r="L471" s="18" t="s">
        <v>36</v>
      </c>
      <c r="N471" s="18">
        <v>6</v>
      </c>
      <c r="O471" s="18" t="s">
        <v>93</v>
      </c>
      <c r="P471" s="18" t="s">
        <v>38</v>
      </c>
      <c r="Q471" s="18" t="s">
        <v>194</v>
      </c>
      <c r="R471" s="18" t="s">
        <v>59</v>
      </c>
      <c r="S471" s="18" t="s">
        <v>195</v>
      </c>
      <c r="T471" s="18" t="b">
        <v>0</v>
      </c>
      <c r="U471" s="18" t="s">
        <v>187</v>
      </c>
      <c r="V471" s="18" t="s">
        <v>40</v>
      </c>
      <c r="W471" s="18" t="s">
        <v>126</v>
      </c>
      <c r="X471" s="18" t="s">
        <v>127</v>
      </c>
      <c r="Y471" s="18">
        <v>1</v>
      </c>
      <c r="Z471" s="18">
        <v>1130</v>
      </c>
      <c r="AC471" s="18" t="e">
        <v>#N/A</v>
      </c>
    </row>
    <row r="472" s="18" customFormat="1" spans="1:29">
      <c r="A472" s="18" t="s">
        <v>1408</v>
      </c>
      <c r="B472" s="25" t="s">
        <v>1408</v>
      </c>
      <c r="C472" s="26">
        <v>45677</v>
      </c>
      <c r="D472" s="18" t="s">
        <v>1409</v>
      </c>
      <c r="E472" s="18" t="str">
        <f t="shared" si="7"/>
        <v>Rajesh Singh </v>
      </c>
      <c r="F472" s="27" t="e">
        <v>#N/A</v>
      </c>
      <c r="G472" s="18" t="s">
        <v>182</v>
      </c>
      <c r="H472" s="18" t="s">
        <v>183</v>
      </c>
      <c r="I472" s="18" t="s">
        <v>481</v>
      </c>
      <c r="J472" s="18" t="s">
        <v>728</v>
      </c>
      <c r="K472" s="18" t="s">
        <v>56</v>
      </c>
      <c r="L472" s="18" t="s">
        <v>36</v>
      </c>
      <c r="N472" s="18">
        <v>6</v>
      </c>
      <c r="O472" s="18" t="s">
        <v>93</v>
      </c>
      <c r="P472" s="18" t="s">
        <v>38</v>
      </c>
      <c r="Q472" s="18" t="s">
        <v>194</v>
      </c>
      <c r="R472" s="18" t="s">
        <v>59</v>
      </c>
      <c r="S472" s="18" t="s">
        <v>195</v>
      </c>
      <c r="T472" s="18" t="b">
        <v>0</v>
      </c>
      <c r="U472" s="18" t="s">
        <v>187</v>
      </c>
      <c r="V472" s="18" t="s">
        <v>40</v>
      </c>
      <c r="W472" s="18" t="s">
        <v>126</v>
      </c>
      <c r="X472" s="18" t="s">
        <v>127</v>
      </c>
      <c r="Y472" s="18">
        <v>1</v>
      </c>
      <c r="Z472" s="18">
        <v>36869.01</v>
      </c>
      <c r="AC472" s="18" t="e">
        <v>#N/A</v>
      </c>
    </row>
    <row r="473" s="18" customFormat="1" spans="1:29">
      <c r="A473" s="18" t="s">
        <v>1410</v>
      </c>
      <c r="B473" s="25" t="s">
        <v>1410</v>
      </c>
      <c r="C473" s="26">
        <v>45677</v>
      </c>
      <c r="D473" s="18" t="s">
        <v>1411</v>
      </c>
      <c r="E473" s="18" t="str">
        <f t="shared" si="7"/>
        <v>Rushabh Vimlesh Upadhyay  </v>
      </c>
      <c r="F473" s="27" t="e">
        <v>#N/A</v>
      </c>
      <c r="G473" s="18" t="s">
        <v>182</v>
      </c>
      <c r="H473" s="18" t="s">
        <v>183</v>
      </c>
      <c r="I473" s="18" t="s">
        <v>481</v>
      </c>
      <c r="J473" s="18" t="s">
        <v>728</v>
      </c>
      <c r="K473" s="18" t="s">
        <v>56</v>
      </c>
      <c r="L473" s="18" t="s">
        <v>36</v>
      </c>
      <c r="N473" s="18">
        <v>6</v>
      </c>
      <c r="O473" s="18" t="s">
        <v>93</v>
      </c>
      <c r="P473" s="18" t="s">
        <v>38</v>
      </c>
      <c r="Q473" s="18" t="s">
        <v>194</v>
      </c>
      <c r="R473" s="18" t="s">
        <v>59</v>
      </c>
      <c r="S473" s="18" t="s">
        <v>195</v>
      </c>
      <c r="T473" s="18" t="b">
        <v>0</v>
      </c>
      <c r="U473" s="18" t="s">
        <v>187</v>
      </c>
      <c r="V473" s="18" t="s">
        <v>40</v>
      </c>
      <c r="W473" s="18" t="s">
        <v>126</v>
      </c>
      <c r="X473" s="18" t="s">
        <v>127</v>
      </c>
      <c r="Y473" s="18">
        <v>1</v>
      </c>
      <c r="Z473" s="18">
        <v>965</v>
      </c>
      <c r="AC473" s="18" t="e">
        <v>#N/A</v>
      </c>
    </row>
    <row r="474" s="18" customFormat="1" ht="29" spans="1:29">
      <c r="A474" s="18" t="s">
        <v>1412</v>
      </c>
      <c r="B474" s="25" t="s">
        <v>1412</v>
      </c>
      <c r="C474" s="26">
        <v>45677</v>
      </c>
      <c r="D474" s="18" t="s">
        <v>264</v>
      </c>
      <c r="E474" s="18" t="str">
        <f t="shared" si="7"/>
        <v>The Indian Performing Right Society Ltd.</v>
      </c>
      <c r="F474" s="27" t="e">
        <v>#N/A</v>
      </c>
      <c r="G474" s="18" t="s">
        <v>182</v>
      </c>
      <c r="H474" s="18" t="s">
        <v>183</v>
      </c>
      <c r="I474" s="18" t="s">
        <v>184</v>
      </c>
      <c r="J474" s="18" t="s">
        <v>149</v>
      </c>
      <c r="K474" s="18" t="s">
        <v>56</v>
      </c>
      <c r="L474" s="18" t="s">
        <v>36</v>
      </c>
      <c r="N474" s="18">
        <v>6</v>
      </c>
      <c r="O474" s="18" t="s">
        <v>57</v>
      </c>
      <c r="P474" s="18" t="s">
        <v>38</v>
      </c>
      <c r="Q474" s="18" t="s">
        <v>58</v>
      </c>
      <c r="R474" s="18" t="s">
        <v>59</v>
      </c>
      <c r="S474" s="18" t="s">
        <v>60</v>
      </c>
      <c r="T474" s="18" t="b">
        <v>0</v>
      </c>
      <c r="U474" s="18" t="s">
        <v>187</v>
      </c>
      <c r="V474" s="18" t="s">
        <v>40</v>
      </c>
      <c r="W474" s="18" t="s">
        <v>256</v>
      </c>
      <c r="X474" s="18" t="s">
        <v>257</v>
      </c>
      <c r="Y474" s="18">
        <v>1</v>
      </c>
      <c r="Z474" s="18">
        <v>450000</v>
      </c>
      <c r="AA474" s="31" t="s">
        <v>262</v>
      </c>
      <c r="AB474" s="18" t="s">
        <v>259</v>
      </c>
      <c r="AC474" s="18" t="s">
        <v>200</v>
      </c>
    </row>
    <row r="475" s="18" customFormat="1" ht="29" spans="1:29">
      <c r="A475" s="18" t="s">
        <v>1413</v>
      </c>
      <c r="B475" s="25" t="s">
        <v>1413</v>
      </c>
      <c r="C475" s="26">
        <v>45677</v>
      </c>
      <c r="D475" s="18" t="s">
        <v>264</v>
      </c>
      <c r="E475" s="18" t="str">
        <f t="shared" si="7"/>
        <v>The Indian Performing Right Society Ltd.</v>
      </c>
      <c r="F475" s="27" t="e">
        <v>#N/A</v>
      </c>
      <c r="G475" s="18" t="s">
        <v>182</v>
      </c>
      <c r="H475" s="18" t="s">
        <v>183</v>
      </c>
      <c r="I475" s="18" t="s">
        <v>184</v>
      </c>
      <c r="J475" s="18" t="s">
        <v>499</v>
      </c>
      <c r="K475" s="18" t="s">
        <v>56</v>
      </c>
      <c r="L475" s="18" t="s">
        <v>36</v>
      </c>
      <c r="N475" s="18">
        <v>6</v>
      </c>
      <c r="O475" s="18" t="s">
        <v>57</v>
      </c>
      <c r="P475" s="18" t="s">
        <v>38</v>
      </c>
      <c r="Q475" s="18" t="s">
        <v>117</v>
      </c>
      <c r="R475" s="18" t="s">
        <v>59</v>
      </c>
      <c r="S475" s="18" t="s">
        <v>186</v>
      </c>
      <c r="T475" s="18" t="b">
        <v>0</v>
      </c>
      <c r="U475" s="18" t="s">
        <v>187</v>
      </c>
      <c r="V475" s="18" t="s">
        <v>40</v>
      </c>
      <c r="W475" s="18" t="s">
        <v>256</v>
      </c>
      <c r="X475" s="18" t="s">
        <v>257</v>
      </c>
      <c r="Y475" s="18">
        <v>1</v>
      </c>
      <c r="Z475" s="18">
        <v>75000</v>
      </c>
      <c r="AA475" s="31" t="s">
        <v>262</v>
      </c>
      <c r="AB475" s="18" t="s">
        <v>259</v>
      </c>
      <c r="AC475" s="18" t="s">
        <v>200</v>
      </c>
    </row>
    <row r="476" s="18" customFormat="1" ht="29" spans="1:29">
      <c r="A476" s="18" t="s">
        <v>1414</v>
      </c>
      <c r="B476" s="25" t="s">
        <v>1414</v>
      </c>
      <c r="C476" s="26">
        <v>45677</v>
      </c>
      <c r="D476" s="18" t="s">
        <v>255</v>
      </c>
      <c r="E476" s="18" t="str">
        <f t="shared" si="7"/>
        <v>Phonographic Performance Limited</v>
      </c>
      <c r="F476" s="27" t="e">
        <v>#N/A</v>
      </c>
      <c r="G476" s="18" t="s">
        <v>182</v>
      </c>
      <c r="H476" s="18" t="s">
        <v>183</v>
      </c>
      <c r="I476" s="18" t="s">
        <v>184</v>
      </c>
      <c r="J476" s="18" t="s">
        <v>499</v>
      </c>
      <c r="K476" s="18" t="s">
        <v>56</v>
      </c>
      <c r="L476" s="18" t="s">
        <v>36</v>
      </c>
      <c r="N476" s="18">
        <v>6</v>
      </c>
      <c r="O476" s="18" t="s">
        <v>88</v>
      </c>
      <c r="P476" s="18" t="s">
        <v>38</v>
      </c>
      <c r="Q476" s="18" t="s">
        <v>117</v>
      </c>
      <c r="R476" s="18" t="s">
        <v>59</v>
      </c>
      <c r="S476" s="18" t="s">
        <v>186</v>
      </c>
      <c r="T476" s="18" t="b">
        <v>0</v>
      </c>
      <c r="U476" s="18" t="s">
        <v>187</v>
      </c>
      <c r="V476" s="18" t="s">
        <v>40</v>
      </c>
      <c r="W476" s="18" t="s">
        <v>256</v>
      </c>
      <c r="X476" s="18" t="s">
        <v>257</v>
      </c>
      <c r="Y476" s="18">
        <v>1</v>
      </c>
      <c r="Z476" s="18">
        <v>50875</v>
      </c>
      <c r="AA476" s="31" t="s">
        <v>262</v>
      </c>
      <c r="AB476" s="18" t="s">
        <v>259</v>
      </c>
      <c r="AC476" s="18" t="s">
        <v>200</v>
      </c>
    </row>
    <row r="477" s="18" customFormat="1" ht="29" spans="1:29">
      <c r="A477" s="18" t="s">
        <v>1415</v>
      </c>
      <c r="B477" s="25" t="s">
        <v>1415</v>
      </c>
      <c r="C477" s="26">
        <v>45677</v>
      </c>
      <c r="D477" s="18" t="s">
        <v>261</v>
      </c>
      <c r="E477" s="18" t="str">
        <f t="shared" si="7"/>
        <v>Novex Communications Pvt. Ltd.</v>
      </c>
      <c r="F477" s="27" t="e">
        <v>#N/A</v>
      </c>
      <c r="G477" s="18" t="s">
        <v>182</v>
      </c>
      <c r="H477" s="18" t="s">
        <v>183</v>
      </c>
      <c r="I477" s="18" t="s">
        <v>184</v>
      </c>
      <c r="J477" s="18" t="s">
        <v>499</v>
      </c>
      <c r="K477" s="18" t="s">
        <v>56</v>
      </c>
      <c r="L477" s="18" t="s">
        <v>36</v>
      </c>
      <c r="N477" s="18">
        <v>6</v>
      </c>
      <c r="O477" s="18" t="s">
        <v>88</v>
      </c>
      <c r="P477" s="18" t="s">
        <v>38</v>
      </c>
      <c r="Q477" s="18" t="s">
        <v>117</v>
      </c>
      <c r="R477" s="18" t="s">
        <v>59</v>
      </c>
      <c r="S477" s="18" t="s">
        <v>186</v>
      </c>
      <c r="T477" s="18" t="b">
        <v>0</v>
      </c>
      <c r="U477" s="18" t="s">
        <v>187</v>
      </c>
      <c r="V477" s="18" t="s">
        <v>40</v>
      </c>
      <c r="W477" s="18" t="s">
        <v>256</v>
      </c>
      <c r="X477" s="18" t="s">
        <v>257</v>
      </c>
      <c r="Y477" s="18">
        <v>1</v>
      </c>
      <c r="Z477" s="18">
        <v>57000</v>
      </c>
      <c r="AA477" s="31" t="s">
        <v>262</v>
      </c>
      <c r="AB477" s="18" t="s">
        <v>259</v>
      </c>
      <c r="AC477" s="18" t="s">
        <v>200</v>
      </c>
    </row>
    <row r="478" s="18" customFormat="1" spans="1:29">
      <c r="A478" s="18" t="s">
        <v>1416</v>
      </c>
      <c r="B478" s="25" t="s">
        <v>1416</v>
      </c>
      <c r="C478" s="26">
        <v>45677</v>
      </c>
      <c r="D478" s="18" t="s">
        <v>1417</v>
      </c>
      <c r="E478" s="18" t="str">
        <f t="shared" si="7"/>
        <v>Poppy Jabbal</v>
      </c>
      <c r="F478" s="27" t="s">
        <v>1418</v>
      </c>
      <c r="G478" s="18" t="s">
        <v>182</v>
      </c>
      <c r="H478" s="18" t="s">
        <v>183</v>
      </c>
      <c r="I478" s="18" t="s">
        <v>159</v>
      </c>
      <c r="J478" s="18" t="s">
        <v>466</v>
      </c>
      <c r="K478" s="18" t="s">
        <v>56</v>
      </c>
      <c r="L478" s="18" t="s">
        <v>36</v>
      </c>
      <c r="N478" s="18">
        <v>6</v>
      </c>
      <c r="O478" s="18" t="s">
        <v>57</v>
      </c>
      <c r="P478" s="18" t="s">
        <v>38</v>
      </c>
      <c r="Q478" s="18" t="s">
        <v>58</v>
      </c>
      <c r="R478" s="18" t="s">
        <v>59</v>
      </c>
      <c r="S478" s="18" t="s">
        <v>60</v>
      </c>
      <c r="T478" s="18" t="b">
        <v>0</v>
      </c>
      <c r="U478" s="18" t="s">
        <v>187</v>
      </c>
      <c r="V478" s="18" t="s">
        <v>40</v>
      </c>
      <c r="W478" s="18" t="s">
        <v>250</v>
      </c>
      <c r="X478" s="18" t="s">
        <v>251</v>
      </c>
      <c r="Y478" s="18">
        <v>1</v>
      </c>
      <c r="Z478" s="18">
        <v>465000</v>
      </c>
      <c r="AA478" s="18" t="s">
        <v>1336</v>
      </c>
      <c r="AB478" s="18" t="s">
        <v>954</v>
      </c>
      <c r="AC478" s="18" t="s">
        <v>200</v>
      </c>
    </row>
    <row r="479" s="18" customFormat="1" ht="29" spans="1:29">
      <c r="A479" s="18" t="s">
        <v>1419</v>
      </c>
      <c r="B479" s="25" t="s">
        <v>1419</v>
      </c>
      <c r="C479" s="26">
        <v>45677</v>
      </c>
      <c r="D479" s="18" t="s">
        <v>926</v>
      </c>
      <c r="E479" s="18" t="str">
        <f t="shared" si="7"/>
        <v>A. J. Creation</v>
      </c>
      <c r="F479" s="27" t="e">
        <v>#N/A</v>
      </c>
      <c r="G479" s="18" t="s">
        <v>182</v>
      </c>
      <c r="H479" s="18" t="s">
        <v>183</v>
      </c>
      <c r="I479" s="18" t="s">
        <v>184</v>
      </c>
      <c r="J479" s="18" t="s">
        <v>864</v>
      </c>
      <c r="K479" s="18" t="s">
        <v>56</v>
      </c>
      <c r="L479" s="18" t="s">
        <v>36</v>
      </c>
      <c r="N479" s="18">
        <v>6</v>
      </c>
      <c r="O479" s="18" t="s">
        <v>88</v>
      </c>
      <c r="P479" s="18" t="s">
        <v>38</v>
      </c>
      <c r="Q479" s="18" t="s">
        <v>194</v>
      </c>
      <c r="R479" s="18" t="s">
        <v>59</v>
      </c>
      <c r="S479" s="18" t="s">
        <v>195</v>
      </c>
      <c r="T479" s="18" t="b">
        <v>0</v>
      </c>
      <c r="U479" s="18" t="s">
        <v>187</v>
      </c>
      <c r="V479" s="18" t="s">
        <v>40</v>
      </c>
      <c r="W479" s="18" t="s">
        <v>140</v>
      </c>
      <c r="X479" s="18" t="s">
        <v>141</v>
      </c>
      <c r="Y479" s="18">
        <v>1</v>
      </c>
      <c r="Z479" s="18">
        <v>17600</v>
      </c>
      <c r="AA479" s="31" t="s">
        <v>262</v>
      </c>
      <c r="AB479" s="18" t="s">
        <v>259</v>
      </c>
      <c r="AC479" s="18" t="s">
        <v>200</v>
      </c>
    </row>
    <row r="480" s="18" customFormat="1" ht="29" spans="1:29">
      <c r="A480" s="18" t="s">
        <v>1420</v>
      </c>
      <c r="B480" s="25" t="s">
        <v>1420</v>
      </c>
      <c r="C480" s="26">
        <v>45677</v>
      </c>
      <c r="D480" s="18" t="s">
        <v>1421</v>
      </c>
      <c r="E480" s="18" t="str">
        <f t="shared" si="7"/>
        <v>ITC Narmada Ahmedabad (ITC Hotels Ltd)</v>
      </c>
      <c r="F480" s="27" t="s">
        <v>1422</v>
      </c>
      <c r="G480" s="18" t="s">
        <v>182</v>
      </c>
      <c r="H480" s="18" t="s">
        <v>183</v>
      </c>
      <c r="I480" s="18" t="s">
        <v>184</v>
      </c>
      <c r="J480" s="18" t="s">
        <v>1126</v>
      </c>
      <c r="K480" s="18" t="s">
        <v>56</v>
      </c>
      <c r="L480" s="18" t="s">
        <v>36</v>
      </c>
      <c r="N480" s="18">
        <v>6</v>
      </c>
      <c r="O480" s="18" t="s">
        <v>57</v>
      </c>
      <c r="P480" s="18" t="s">
        <v>38</v>
      </c>
      <c r="Q480" s="18" t="s">
        <v>117</v>
      </c>
      <c r="R480" s="18" t="s">
        <v>59</v>
      </c>
      <c r="S480" s="18" t="s">
        <v>118</v>
      </c>
      <c r="T480" s="18" t="b">
        <v>0</v>
      </c>
      <c r="U480" s="18" t="s">
        <v>187</v>
      </c>
      <c r="V480" s="18" t="s">
        <v>40</v>
      </c>
      <c r="W480" s="18" t="s">
        <v>1176</v>
      </c>
      <c r="X480" s="18" t="s">
        <v>1177</v>
      </c>
      <c r="Y480" s="18">
        <v>1</v>
      </c>
      <c r="Z480" s="18">
        <v>480000</v>
      </c>
      <c r="AA480" s="31" t="s">
        <v>1423</v>
      </c>
      <c r="AB480" s="18" t="s">
        <v>1424</v>
      </c>
      <c r="AC480" s="18" t="s">
        <v>764</v>
      </c>
    </row>
    <row r="481" s="18" customFormat="1" spans="1:29">
      <c r="A481" s="18" t="s">
        <v>1425</v>
      </c>
      <c r="B481" s="25" t="s">
        <v>1425</v>
      </c>
      <c r="C481" s="26">
        <v>45677</v>
      </c>
      <c r="D481" s="18" t="s">
        <v>732</v>
      </c>
      <c r="E481" s="18" t="str">
        <f t="shared" si="7"/>
        <v>Musafir.Com India Pvt Ltd</v>
      </c>
      <c r="F481" s="27" t="s">
        <v>733</v>
      </c>
      <c r="G481" s="18" t="s">
        <v>182</v>
      </c>
      <c r="H481" s="18" t="s">
        <v>183</v>
      </c>
      <c r="I481" s="18" t="s">
        <v>184</v>
      </c>
      <c r="J481" s="18" t="s">
        <v>1426</v>
      </c>
      <c r="K481" s="18" t="s">
        <v>56</v>
      </c>
      <c r="L481" s="18" t="s">
        <v>36</v>
      </c>
      <c r="N481" s="18">
        <v>6</v>
      </c>
      <c r="O481" s="18" t="s">
        <v>57</v>
      </c>
      <c r="P481" s="18" t="s">
        <v>38</v>
      </c>
      <c r="Q481" s="18" t="s">
        <v>58</v>
      </c>
      <c r="R481" s="18" t="s">
        <v>59</v>
      </c>
      <c r="S481" s="18" t="s">
        <v>60</v>
      </c>
      <c r="T481" s="18" t="b">
        <v>0</v>
      </c>
      <c r="U481" s="18" t="s">
        <v>187</v>
      </c>
      <c r="V481" s="18" t="s">
        <v>40</v>
      </c>
      <c r="W481" s="18" t="s">
        <v>734</v>
      </c>
      <c r="X481" s="18" t="s">
        <v>735</v>
      </c>
      <c r="Y481" s="18">
        <v>1</v>
      </c>
      <c r="Z481" s="18">
        <v>892017</v>
      </c>
      <c r="AA481" s="18" t="s">
        <v>736</v>
      </c>
      <c r="AB481" s="18" t="s">
        <v>737</v>
      </c>
      <c r="AC481" s="18" t="e">
        <v>#N/A</v>
      </c>
    </row>
    <row r="482" s="18" customFormat="1" ht="29" spans="1:29">
      <c r="A482" s="18" t="s">
        <v>1427</v>
      </c>
      <c r="B482" s="25" t="s">
        <v>1427</v>
      </c>
      <c r="C482" s="26">
        <v>45677</v>
      </c>
      <c r="D482" s="18" t="s">
        <v>775</v>
      </c>
      <c r="E482" s="18" t="str">
        <f t="shared" si="7"/>
        <v>Login Enterprises</v>
      </c>
      <c r="F482" s="27" t="s">
        <v>776</v>
      </c>
      <c r="G482" s="18" t="s">
        <v>182</v>
      </c>
      <c r="H482" s="18" t="s">
        <v>183</v>
      </c>
      <c r="I482" s="18" t="s">
        <v>184</v>
      </c>
      <c r="J482" s="18" t="s">
        <v>240</v>
      </c>
      <c r="K482" s="18" t="s">
        <v>56</v>
      </c>
      <c r="L482" s="18" t="s">
        <v>36</v>
      </c>
      <c r="N482" s="18">
        <v>6</v>
      </c>
      <c r="O482" s="18" t="s">
        <v>88</v>
      </c>
      <c r="P482" s="18" t="s">
        <v>38</v>
      </c>
      <c r="Q482" s="18" t="s">
        <v>58</v>
      </c>
      <c r="R482" s="18" t="s">
        <v>59</v>
      </c>
      <c r="S482" s="18" t="s">
        <v>60</v>
      </c>
      <c r="T482" s="18" t="b">
        <v>0</v>
      </c>
      <c r="U482" s="18" t="s">
        <v>187</v>
      </c>
      <c r="V482" s="18" t="s">
        <v>40</v>
      </c>
      <c r="W482" s="18" t="s">
        <v>196</v>
      </c>
      <c r="X482" s="18" t="s">
        <v>197</v>
      </c>
      <c r="Y482" s="18">
        <v>1</v>
      </c>
      <c r="Z482" s="18">
        <v>10590</v>
      </c>
      <c r="AA482" s="31" t="s">
        <v>896</v>
      </c>
      <c r="AB482" s="18" t="s">
        <v>897</v>
      </c>
      <c r="AC482" s="18" t="s">
        <v>200</v>
      </c>
    </row>
    <row r="483" s="18" customFormat="1" spans="1:29">
      <c r="A483" s="18" t="s">
        <v>1428</v>
      </c>
      <c r="B483" s="25" t="s">
        <v>1428</v>
      </c>
      <c r="C483" s="26">
        <v>45678</v>
      </c>
      <c r="D483" s="18" t="s">
        <v>1429</v>
      </c>
      <c r="E483" s="18" t="str">
        <f t="shared" si="7"/>
        <v>A V Links</v>
      </c>
      <c r="F483" s="27" t="s">
        <v>1430</v>
      </c>
      <c r="G483" s="18" t="s">
        <v>32</v>
      </c>
      <c r="H483" s="18" t="s">
        <v>33</v>
      </c>
      <c r="I483" s="18" t="s">
        <v>207</v>
      </c>
      <c r="J483" s="18" t="s">
        <v>240</v>
      </c>
      <c r="K483" s="18" t="s">
        <v>56</v>
      </c>
      <c r="L483" s="18" t="s">
        <v>36</v>
      </c>
      <c r="N483" s="18">
        <v>6</v>
      </c>
      <c r="O483" s="18" t="s">
        <v>57</v>
      </c>
      <c r="P483" s="18" t="s">
        <v>38</v>
      </c>
      <c r="Q483" s="18" t="s">
        <v>58</v>
      </c>
      <c r="R483" s="18" t="s">
        <v>59</v>
      </c>
      <c r="S483" s="18" t="s">
        <v>60</v>
      </c>
      <c r="T483" s="18" t="b">
        <v>1</v>
      </c>
      <c r="U483" s="18" t="s">
        <v>39</v>
      </c>
      <c r="V483" s="18" t="s">
        <v>40</v>
      </c>
      <c r="W483" s="18" t="s">
        <v>317</v>
      </c>
      <c r="X483" s="18" t="s">
        <v>318</v>
      </c>
      <c r="Y483" s="18">
        <v>1</v>
      </c>
      <c r="Z483" s="18">
        <v>190000</v>
      </c>
      <c r="AA483" s="18" t="s">
        <v>1012</v>
      </c>
      <c r="AB483" s="18" t="s">
        <v>295</v>
      </c>
      <c r="AC483" s="18" t="s">
        <v>43</v>
      </c>
    </row>
    <row r="484" s="18" customFormat="1" spans="1:29">
      <c r="A484" s="18" t="s">
        <v>1431</v>
      </c>
      <c r="B484" s="25" t="s">
        <v>1431</v>
      </c>
      <c r="C484" s="26">
        <v>45678</v>
      </c>
      <c r="D484" s="18" t="s">
        <v>1429</v>
      </c>
      <c r="E484" s="18" t="str">
        <f t="shared" si="7"/>
        <v>A V Links</v>
      </c>
      <c r="F484" s="27" t="s">
        <v>1430</v>
      </c>
      <c r="G484" s="18" t="s">
        <v>32</v>
      </c>
      <c r="H484" s="18" t="s">
        <v>33</v>
      </c>
      <c r="I484" s="18" t="s">
        <v>207</v>
      </c>
      <c r="J484" s="18" t="s">
        <v>240</v>
      </c>
      <c r="K484" s="18" t="s">
        <v>56</v>
      </c>
      <c r="L484" s="18" t="s">
        <v>36</v>
      </c>
      <c r="N484" s="18">
        <v>6</v>
      </c>
      <c r="O484" s="18" t="s">
        <v>57</v>
      </c>
      <c r="P484" s="18" t="s">
        <v>38</v>
      </c>
      <c r="Q484" s="18" t="s">
        <v>58</v>
      </c>
      <c r="R484" s="18" t="s">
        <v>59</v>
      </c>
      <c r="S484" s="18" t="s">
        <v>60</v>
      </c>
      <c r="T484" s="18" t="b">
        <v>1</v>
      </c>
      <c r="U484" s="18" t="s">
        <v>39</v>
      </c>
      <c r="V484" s="18" t="s">
        <v>40</v>
      </c>
      <c r="W484" s="18" t="s">
        <v>317</v>
      </c>
      <c r="X484" s="18" t="s">
        <v>318</v>
      </c>
      <c r="Y484" s="18">
        <v>1</v>
      </c>
      <c r="Z484" s="18">
        <v>180000</v>
      </c>
      <c r="AA484" s="18" t="s">
        <v>299</v>
      </c>
      <c r="AB484" s="18" t="s">
        <v>295</v>
      </c>
      <c r="AC484" s="18" t="s">
        <v>43</v>
      </c>
    </row>
    <row r="485" s="18" customFormat="1" spans="1:29">
      <c r="A485" s="18" t="s">
        <v>1432</v>
      </c>
      <c r="B485" s="25" t="s">
        <v>1432</v>
      </c>
      <c r="C485" s="26">
        <v>45678</v>
      </c>
      <c r="D485" s="18" t="s">
        <v>1433</v>
      </c>
      <c r="E485" s="18" t="str">
        <f t="shared" si="7"/>
        <v>Nariandkage Pvt Ltd</v>
      </c>
      <c r="F485" s="27" t="s">
        <v>1434</v>
      </c>
      <c r="G485" s="18" t="s">
        <v>32</v>
      </c>
      <c r="H485" s="18" t="s">
        <v>33</v>
      </c>
      <c r="I485" s="18" t="s">
        <v>1246</v>
      </c>
      <c r="J485" s="18" t="s">
        <v>995</v>
      </c>
      <c r="K485" s="18" t="s">
        <v>56</v>
      </c>
      <c r="L485" s="18" t="s">
        <v>36</v>
      </c>
      <c r="N485" s="18">
        <v>6</v>
      </c>
      <c r="O485" s="18" t="s">
        <v>88</v>
      </c>
      <c r="P485" s="18" t="s">
        <v>38</v>
      </c>
      <c r="Q485" s="18" t="s">
        <v>117</v>
      </c>
      <c r="R485" s="18" t="s">
        <v>59</v>
      </c>
      <c r="S485" s="18" t="s">
        <v>118</v>
      </c>
      <c r="T485" s="18" t="b">
        <v>1</v>
      </c>
      <c r="U485" s="18" t="s">
        <v>39</v>
      </c>
      <c r="V485" s="18" t="s">
        <v>40</v>
      </c>
      <c r="W485" s="18" t="s">
        <v>276</v>
      </c>
      <c r="X485" s="18" t="s">
        <v>276</v>
      </c>
      <c r="Y485" s="18">
        <v>1</v>
      </c>
      <c r="Z485" s="18">
        <v>11849.7</v>
      </c>
      <c r="AA485" s="18" t="s">
        <v>1435</v>
      </c>
      <c r="AB485" s="18" t="s">
        <v>650</v>
      </c>
      <c r="AC485" s="18" t="s">
        <v>676</v>
      </c>
    </row>
    <row r="486" s="18" customFormat="1" spans="1:29">
      <c r="A486" s="18" t="s">
        <v>1436</v>
      </c>
      <c r="B486" s="25" t="s">
        <v>1436</v>
      </c>
      <c r="C486" s="26">
        <v>45678</v>
      </c>
      <c r="D486" s="18" t="s">
        <v>1437</v>
      </c>
      <c r="E486" s="18" t="str">
        <f t="shared" si="7"/>
        <v>A S Production</v>
      </c>
      <c r="F486" s="27" t="s">
        <v>1438</v>
      </c>
      <c r="G486" s="18" t="s">
        <v>32</v>
      </c>
      <c r="H486" s="18" t="s">
        <v>33</v>
      </c>
      <c r="I486" s="18" t="s">
        <v>1246</v>
      </c>
      <c r="J486" s="18" t="s">
        <v>995</v>
      </c>
      <c r="K486" s="18" t="s">
        <v>56</v>
      </c>
      <c r="L486" s="18" t="s">
        <v>36</v>
      </c>
      <c r="N486" s="18">
        <v>6</v>
      </c>
      <c r="O486" s="18" t="s">
        <v>57</v>
      </c>
      <c r="P486" s="18" t="s">
        <v>38</v>
      </c>
      <c r="Q486" s="18" t="s">
        <v>117</v>
      </c>
      <c r="R486" s="18" t="s">
        <v>59</v>
      </c>
      <c r="S486" s="18" t="s">
        <v>118</v>
      </c>
      <c r="T486" s="18" t="b">
        <v>1</v>
      </c>
      <c r="U486" s="18" t="s">
        <v>39</v>
      </c>
      <c r="V486" s="18" t="s">
        <v>40</v>
      </c>
      <c r="W486" s="18" t="s">
        <v>151</v>
      </c>
      <c r="X486" s="18" t="s">
        <v>152</v>
      </c>
      <c r="Y486" s="18">
        <v>1</v>
      </c>
      <c r="Z486" s="18">
        <v>10000</v>
      </c>
      <c r="AA486" s="18" t="s">
        <v>1435</v>
      </c>
      <c r="AB486" s="18" t="s">
        <v>650</v>
      </c>
      <c r="AC486" s="18" t="s">
        <v>43</v>
      </c>
    </row>
    <row r="487" s="18" customFormat="1" spans="1:29">
      <c r="A487" s="18" t="s">
        <v>1439</v>
      </c>
      <c r="B487" s="25" t="s">
        <v>1439</v>
      </c>
      <c r="C487" s="26">
        <v>45678</v>
      </c>
      <c r="D487" s="18" t="s">
        <v>628</v>
      </c>
      <c r="E487" s="18" t="str">
        <f t="shared" si="7"/>
        <v>New Print House</v>
      </c>
      <c r="F487" s="27" t="s">
        <v>629</v>
      </c>
      <c r="G487" s="18" t="s">
        <v>32</v>
      </c>
      <c r="H487" s="18" t="s">
        <v>33</v>
      </c>
      <c r="I487" s="18" t="s">
        <v>1246</v>
      </c>
      <c r="J487" s="18" t="s">
        <v>995</v>
      </c>
      <c r="K487" s="18" t="s">
        <v>56</v>
      </c>
      <c r="L487" s="18" t="s">
        <v>36</v>
      </c>
      <c r="N487" s="18">
        <v>6</v>
      </c>
      <c r="O487" s="18" t="s">
        <v>88</v>
      </c>
      <c r="P487" s="18" t="s">
        <v>38</v>
      </c>
      <c r="Q487" s="18" t="s">
        <v>117</v>
      </c>
      <c r="R487" s="18" t="s">
        <v>59</v>
      </c>
      <c r="S487" s="18" t="s">
        <v>118</v>
      </c>
      <c r="T487" s="18" t="b">
        <v>1</v>
      </c>
      <c r="U487" s="18" t="s">
        <v>39</v>
      </c>
      <c r="V487" s="18" t="s">
        <v>40</v>
      </c>
      <c r="W487" s="18" t="s">
        <v>196</v>
      </c>
      <c r="X487" s="18" t="s">
        <v>197</v>
      </c>
      <c r="Y487" s="18">
        <v>1</v>
      </c>
      <c r="Z487" s="18">
        <v>1388</v>
      </c>
      <c r="AA487" s="18" t="s">
        <v>1435</v>
      </c>
      <c r="AB487" s="18" t="s">
        <v>650</v>
      </c>
      <c r="AC487" s="18" t="s">
        <v>43</v>
      </c>
    </row>
    <row r="488" s="18" customFormat="1" spans="1:29">
      <c r="A488" s="18" t="s">
        <v>1440</v>
      </c>
      <c r="B488" s="25" t="s">
        <v>1440</v>
      </c>
      <c r="C488" s="26">
        <v>45678</v>
      </c>
      <c r="D488" s="18" t="s">
        <v>1441</v>
      </c>
      <c r="E488" s="18" t="str">
        <f t="shared" si="7"/>
        <v>Reverb Sound And Light Studio</v>
      </c>
      <c r="F488" s="27" t="s">
        <v>1442</v>
      </c>
      <c r="G488" s="18" t="s">
        <v>32</v>
      </c>
      <c r="H488" s="18" t="s">
        <v>33</v>
      </c>
      <c r="I488" s="18" t="s">
        <v>1246</v>
      </c>
      <c r="J488" s="18" t="s">
        <v>995</v>
      </c>
      <c r="K488" s="18" t="s">
        <v>56</v>
      </c>
      <c r="L488" s="18" t="s">
        <v>36</v>
      </c>
      <c r="N488" s="18">
        <v>6</v>
      </c>
      <c r="O488" s="18" t="s">
        <v>88</v>
      </c>
      <c r="P488" s="18" t="s">
        <v>38</v>
      </c>
      <c r="Q488" s="18" t="s">
        <v>117</v>
      </c>
      <c r="R488" s="18" t="s">
        <v>59</v>
      </c>
      <c r="S488" s="18" t="s">
        <v>118</v>
      </c>
      <c r="T488" s="18" t="b">
        <v>1</v>
      </c>
      <c r="U488" s="18" t="s">
        <v>39</v>
      </c>
      <c r="V488" s="18" t="s">
        <v>40</v>
      </c>
      <c r="W488" s="18" t="s">
        <v>371</v>
      </c>
      <c r="X488" s="18" t="s">
        <v>372</v>
      </c>
      <c r="Y488" s="18">
        <v>1</v>
      </c>
      <c r="Z488" s="18">
        <v>13000</v>
      </c>
      <c r="AA488" s="18" t="s">
        <v>1435</v>
      </c>
      <c r="AB488" s="18" t="s">
        <v>650</v>
      </c>
      <c r="AC488" s="18" t="s">
        <v>43</v>
      </c>
    </row>
    <row r="489" s="18" customFormat="1" spans="1:29">
      <c r="A489" s="18" t="s">
        <v>1443</v>
      </c>
      <c r="B489" s="25" t="s">
        <v>1443</v>
      </c>
      <c r="C489" s="26">
        <v>45678</v>
      </c>
      <c r="D489" s="18" t="s">
        <v>1444</v>
      </c>
      <c r="E489" s="18" t="str">
        <f t="shared" si="7"/>
        <v>Bison Wilderness Resorts Pvt Ltd (OTV)</v>
      </c>
      <c r="F489" s="27" t="s">
        <v>1445</v>
      </c>
      <c r="G489" s="18" t="s">
        <v>32</v>
      </c>
      <c r="H489" s="18" t="s">
        <v>33</v>
      </c>
      <c r="I489" s="18" t="s">
        <v>159</v>
      </c>
      <c r="J489" s="18" t="s">
        <v>1446</v>
      </c>
      <c r="K489" s="18" t="s">
        <v>56</v>
      </c>
      <c r="L489" s="18" t="s">
        <v>36</v>
      </c>
      <c r="N489" s="18">
        <v>6</v>
      </c>
      <c r="O489" s="18" t="s">
        <v>93</v>
      </c>
      <c r="P489" s="18" t="s">
        <v>38</v>
      </c>
      <c r="Q489" s="18" t="s">
        <v>58</v>
      </c>
      <c r="R489" s="18" t="s">
        <v>59</v>
      </c>
      <c r="S489" s="18" t="s">
        <v>60</v>
      </c>
      <c r="T489" s="18" t="b">
        <v>1</v>
      </c>
      <c r="U489" s="18" t="s">
        <v>39</v>
      </c>
      <c r="V489" s="18" t="s">
        <v>40</v>
      </c>
      <c r="W489" s="18" t="s">
        <v>1176</v>
      </c>
      <c r="X489" s="18" t="s">
        <v>1177</v>
      </c>
      <c r="Y489" s="18">
        <v>1</v>
      </c>
      <c r="Z489" s="18">
        <v>312458</v>
      </c>
      <c r="AA489" s="18" t="s">
        <v>1447</v>
      </c>
      <c r="AC489" s="18" t="s">
        <v>43</v>
      </c>
    </row>
    <row r="490" s="18" customFormat="1" spans="1:29">
      <c r="A490" s="18" t="s">
        <v>1448</v>
      </c>
      <c r="B490" s="25" t="s">
        <v>1448</v>
      </c>
      <c r="C490" s="26">
        <v>45678</v>
      </c>
      <c r="D490" s="18" t="s">
        <v>1133</v>
      </c>
      <c r="E490" s="18" t="str">
        <f t="shared" si="7"/>
        <v>Anurama V  </v>
      </c>
      <c r="F490" s="27" t="e">
        <v>#N/A</v>
      </c>
      <c r="G490" s="18" t="s">
        <v>32</v>
      </c>
      <c r="H490" s="18" t="s">
        <v>33</v>
      </c>
      <c r="I490" s="18" t="s">
        <v>34</v>
      </c>
      <c r="K490" s="18" t="s">
        <v>35</v>
      </c>
      <c r="L490" s="18" t="s">
        <v>36</v>
      </c>
      <c r="N490" s="18">
        <v>6</v>
      </c>
      <c r="O490" s="18" t="s">
        <v>93</v>
      </c>
      <c r="P490" s="18" t="s">
        <v>38</v>
      </c>
      <c r="T490" s="18" t="b">
        <v>1</v>
      </c>
      <c r="U490" s="18" t="s">
        <v>39</v>
      </c>
      <c r="V490" s="18" t="s">
        <v>40</v>
      </c>
      <c r="W490" s="18" t="s">
        <v>127</v>
      </c>
      <c r="X490" s="18" t="s">
        <v>127</v>
      </c>
      <c r="Y490" s="18">
        <v>1</v>
      </c>
      <c r="Z490" s="18">
        <v>250</v>
      </c>
      <c r="AA490" s="18" t="s">
        <v>334</v>
      </c>
      <c r="AB490" s="18" t="s">
        <v>335</v>
      </c>
      <c r="AC490" s="18" t="e">
        <v>#N/A</v>
      </c>
    </row>
    <row r="491" s="19" customFormat="1" spans="1:29">
      <c r="A491" s="19" t="s">
        <v>1449</v>
      </c>
      <c r="B491" s="28" t="s">
        <v>1449</v>
      </c>
      <c r="C491" s="29">
        <v>45678</v>
      </c>
      <c r="D491" s="19" t="s">
        <v>1133</v>
      </c>
      <c r="E491" s="19" t="str">
        <f t="shared" si="7"/>
        <v>Anurama V  </v>
      </c>
      <c r="F491" s="30" t="e">
        <v>#N/A</v>
      </c>
      <c r="G491" s="19" t="s">
        <v>32</v>
      </c>
      <c r="H491" s="19" t="s">
        <v>33</v>
      </c>
      <c r="I491" s="19" t="s">
        <v>34</v>
      </c>
      <c r="K491" s="19" t="s">
        <v>35</v>
      </c>
      <c r="L491" s="19" t="s">
        <v>36</v>
      </c>
      <c r="N491" s="19">
        <v>6</v>
      </c>
      <c r="O491" s="19" t="s">
        <v>93</v>
      </c>
      <c r="P491" s="19" t="s">
        <v>38</v>
      </c>
      <c r="T491" s="19" t="b">
        <v>1</v>
      </c>
      <c r="U491" s="19" t="s">
        <v>39</v>
      </c>
      <c r="V491" s="19" t="s">
        <v>40</v>
      </c>
      <c r="W491" s="19" t="s">
        <v>66</v>
      </c>
      <c r="X491" s="19" t="e">
        <v>#N/A</v>
      </c>
      <c r="Y491" s="19">
        <v>1</v>
      </c>
      <c r="Z491" s="19">
        <v>630</v>
      </c>
      <c r="AA491" s="19" t="s">
        <v>334</v>
      </c>
      <c r="AB491" s="19" t="s">
        <v>335</v>
      </c>
      <c r="AC491" s="19" t="e">
        <v>#N/A</v>
      </c>
    </row>
    <row r="492" s="18" customFormat="1" spans="1:29">
      <c r="A492" s="18" t="s">
        <v>1450</v>
      </c>
      <c r="B492" s="25" t="s">
        <v>1450</v>
      </c>
      <c r="C492" s="26">
        <v>45678</v>
      </c>
      <c r="D492" s="18" t="s">
        <v>1133</v>
      </c>
      <c r="E492" s="18" t="str">
        <f t="shared" si="7"/>
        <v>Anurama V  </v>
      </c>
      <c r="F492" s="27" t="e">
        <v>#N/A</v>
      </c>
      <c r="G492" s="18" t="s">
        <v>32</v>
      </c>
      <c r="H492" s="18" t="s">
        <v>33</v>
      </c>
      <c r="I492" s="18" t="s">
        <v>34</v>
      </c>
      <c r="K492" s="18" t="s">
        <v>35</v>
      </c>
      <c r="L492" s="18" t="s">
        <v>36</v>
      </c>
      <c r="N492" s="18">
        <v>6</v>
      </c>
      <c r="O492" s="18" t="s">
        <v>93</v>
      </c>
      <c r="P492" s="18" t="s">
        <v>38</v>
      </c>
      <c r="T492" s="18" t="b">
        <v>1</v>
      </c>
      <c r="U492" s="18" t="s">
        <v>39</v>
      </c>
      <c r="V492" s="18" t="s">
        <v>40</v>
      </c>
      <c r="W492" s="18" t="s">
        <v>134</v>
      </c>
      <c r="X492" s="18" t="s">
        <v>135</v>
      </c>
      <c r="Y492" s="18">
        <v>1</v>
      </c>
      <c r="Z492" s="18">
        <v>2320</v>
      </c>
      <c r="AA492" s="18" t="s">
        <v>334</v>
      </c>
      <c r="AB492" s="18" t="s">
        <v>335</v>
      </c>
      <c r="AC492" s="18" t="e">
        <v>#N/A</v>
      </c>
    </row>
    <row r="493" s="18" customFormat="1" ht="29" spans="1:29">
      <c r="A493" s="18" t="s">
        <v>1451</v>
      </c>
      <c r="B493" s="25" t="s">
        <v>1451</v>
      </c>
      <c r="C493" s="26">
        <v>45678</v>
      </c>
      <c r="D493" s="18" t="s">
        <v>1373</v>
      </c>
      <c r="E493" s="18" t="str">
        <f t="shared" si="7"/>
        <v>Crystal Event &amp; Service</v>
      </c>
      <c r="F493" s="27" t="s">
        <v>1374</v>
      </c>
      <c r="G493" s="18" t="s">
        <v>99</v>
      </c>
      <c r="H493" s="18" t="s">
        <v>100</v>
      </c>
      <c r="I493" s="18" t="s">
        <v>184</v>
      </c>
      <c r="J493" s="18" t="s">
        <v>499</v>
      </c>
      <c r="K493" s="18" t="s">
        <v>56</v>
      </c>
      <c r="L493" s="18" t="s">
        <v>36</v>
      </c>
      <c r="N493" s="18">
        <v>6</v>
      </c>
      <c r="O493" s="18" t="s">
        <v>88</v>
      </c>
      <c r="P493" s="18" t="s">
        <v>38</v>
      </c>
      <c r="Q493" s="18" t="s">
        <v>117</v>
      </c>
      <c r="R493" s="18" t="s">
        <v>59</v>
      </c>
      <c r="S493" s="18" t="s">
        <v>186</v>
      </c>
      <c r="T493" s="18" t="b">
        <v>1</v>
      </c>
      <c r="U493" s="18" t="s">
        <v>101</v>
      </c>
      <c r="V493" s="18" t="s">
        <v>40</v>
      </c>
      <c r="W493" s="18" t="s">
        <v>317</v>
      </c>
      <c r="X493" s="18" t="s">
        <v>318</v>
      </c>
      <c r="Y493" s="18">
        <v>1</v>
      </c>
      <c r="Z493" s="18">
        <v>30000</v>
      </c>
      <c r="AA493" s="31" t="s">
        <v>810</v>
      </c>
      <c r="AB493" s="18" t="s">
        <v>811</v>
      </c>
      <c r="AC493" s="18" t="s">
        <v>111</v>
      </c>
    </row>
    <row r="494" s="18" customFormat="1" spans="1:29">
      <c r="A494" s="18" t="s">
        <v>1452</v>
      </c>
      <c r="B494" s="25" t="s">
        <v>1452</v>
      </c>
      <c r="C494" s="26">
        <v>45678</v>
      </c>
      <c r="D494" s="18" t="s">
        <v>1373</v>
      </c>
      <c r="E494" s="18" t="str">
        <f t="shared" si="7"/>
        <v>Crystal Event &amp; Service</v>
      </c>
      <c r="F494" s="27" t="s">
        <v>1374</v>
      </c>
      <c r="G494" s="18" t="s">
        <v>99</v>
      </c>
      <c r="H494" s="18" t="s">
        <v>100</v>
      </c>
      <c r="I494" s="18" t="s">
        <v>207</v>
      </c>
      <c r="J494" s="18" t="s">
        <v>240</v>
      </c>
      <c r="K494" s="18" t="s">
        <v>56</v>
      </c>
      <c r="L494" s="18" t="s">
        <v>36</v>
      </c>
      <c r="N494" s="18">
        <v>6</v>
      </c>
      <c r="O494" s="18" t="s">
        <v>88</v>
      </c>
      <c r="P494" s="18" t="s">
        <v>38</v>
      </c>
      <c r="Q494" s="18" t="s">
        <v>58</v>
      </c>
      <c r="R494" s="18" t="s">
        <v>59</v>
      </c>
      <c r="S494" s="18" t="s">
        <v>60</v>
      </c>
      <c r="T494" s="18" t="b">
        <v>1</v>
      </c>
      <c r="U494" s="18" t="s">
        <v>101</v>
      </c>
      <c r="V494" s="18" t="s">
        <v>40</v>
      </c>
      <c r="W494" s="18" t="s">
        <v>317</v>
      </c>
      <c r="X494" s="18" t="s">
        <v>318</v>
      </c>
      <c r="Y494" s="18">
        <v>1</v>
      </c>
      <c r="Z494" s="18">
        <v>180000</v>
      </c>
      <c r="AA494" s="18" t="s">
        <v>299</v>
      </c>
      <c r="AB494" s="18" t="s">
        <v>295</v>
      </c>
      <c r="AC494" s="18" t="s">
        <v>111</v>
      </c>
    </row>
    <row r="495" s="18" customFormat="1" ht="29" spans="1:29">
      <c r="A495" s="18" t="s">
        <v>1453</v>
      </c>
      <c r="B495" s="25" t="s">
        <v>1453</v>
      </c>
      <c r="C495" s="26">
        <v>45678</v>
      </c>
      <c r="D495" s="18" t="s">
        <v>1454</v>
      </c>
      <c r="E495" s="18" t="str">
        <f t="shared" si="7"/>
        <v>Silvercrest Events &amp; Promotions Pvt Ltd</v>
      </c>
      <c r="F495" s="27" t="s">
        <v>1455</v>
      </c>
      <c r="G495" s="18" t="s">
        <v>147</v>
      </c>
      <c r="H495" s="18" t="s">
        <v>148</v>
      </c>
      <c r="I495" s="18" t="s">
        <v>184</v>
      </c>
      <c r="J495" s="18" t="s">
        <v>1393</v>
      </c>
      <c r="K495" s="18" t="s">
        <v>56</v>
      </c>
      <c r="L495" s="18" t="s">
        <v>36</v>
      </c>
      <c r="N495" s="18">
        <v>6</v>
      </c>
      <c r="O495" s="18" t="s">
        <v>88</v>
      </c>
      <c r="P495" s="18" t="s">
        <v>38</v>
      </c>
      <c r="Q495" s="18" t="s">
        <v>194</v>
      </c>
      <c r="R495" s="18" t="s">
        <v>59</v>
      </c>
      <c r="S495" s="18" t="s">
        <v>195</v>
      </c>
      <c r="T495" s="18" t="b">
        <v>1</v>
      </c>
      <c r="U495" s="18" t="s">
        <v>150</v>
      </c>
      <c r="V495" s="18" t="s">
        <v>40</v>
      </c>
      <c r="W495" s="18" t="s">
        <v>317</v>
      </c>
      <c r="X495" s="18" t="s">
        <v>318</v>
      </c>
      <c r="Y495" s="18">
        <v>1</v>
      </c>
      <c r="Z495" s="18">
        <v>180000</v>
      </c>
      <c r="AA495" s="31" t="s">
        <v>1456</v>
      </c>
      <c r="AB495" s="18" t="s">
        <v>1457</v>
      </c>
      <c r="AC495" s="18" t="s">
        <v>163</v>
      </c>
    </row>
    <row r="496" s="20" customFormat="1" spans="1:29">
      <c r="A496" s="20" t="s">
        <v>1458</v>
      </c>
      <c r="B496" s="33" t="s">
        <v>1458</v>
      </c>
      <c r="C496" s="34">
        <v>45678</v>
      </c>
      <c r="D496" s="20" t="s">
        <v>1459</v>
      </c>
      <c r="E496" s="20" t="str">
        <f t="shared" si="7"/>
        <v>Mohd.Waris.....</v>
      </c>
      <c r="F496" s="27" t="e">
        <v>#N/A</v>
      </c>
      <c r="G496" s="20" t="s">
        <v>147</v>
      </c>
      <c r="H496" s="20" t="s">
        <v>148</v>
      </c>
      <c r="I496" s="20" t="s">
        <v>207</v>
      </c>
      <c r="J496" s="20" t="s">
        <v>139</v>
      </c>
      <c r="K496" s="20" t="s">
        <v>56</v>
      </c>
      <c r="L496" s="20" t="s">
        <v>36</v>
      </c>
      <c r="N496" s="20">
        <v>6</v>
      </c>
      <c r="O496" s="20" t="s">
        <v>93</v>
      </c>
      <c r="P496" s="20" t="s">
        <v>38</v>
      </c>
      <c r="Q496" s="20" t="s">
        <v>58</v>
      </c>
      <c r="R496" s="20" t="s">
        <v>59</v>
      </c>
      <c r="S496" s="20" t="s">
        <v>60</v>
      </c>
      <c r="T496" s="20" t="b">
        <v>1</v>
      </c>
      <c r="U496" s="20" t="s">
        <v>150</v>
      </c>
      <c r="V496" s="20" t="s">
        <v>40</v>
      </c>
      <c r="W496" s="20" t="s">
        <v>126</v>
      </c>
      <c r="X496" s="20" t="s">
        <v>127</v>
      </c>
      <c r="Y496" s="20">
        <v>1</v>
      </c>
      <c r="Z496" s="20">
        <v>600</v>
      </c>
      <c r="AA496" s="20" t="s">
        <v>1460</v>
      </c>
      <c r="AB496" s="20" t="e">
        <v>#N/A</v>
      </c>
      <c r="AC496" s="20" t="e">
        <v>#N/A</v>
      </c>
    </row>
    <row r="497" s="18" customFormat="1" spans="1:29">
      <c r="A497" s="18" t="s">
        <v>1461</v>
      </c>
      <c r="B497" s="25" t="s">
        <v>1461</v>
      </c>
      <c r="C497" s="26">
        <v>45678</v>
      </c>
      <c r="D497" s="18" t="s">
        <v>1462</v>
      </c>
      <c r="E497" s="18" t="str">
        <f t="shared" si="7"/>
        <v>99 Online</v>
      </c>
      <c r="F497" s="27" t="s">
        <v>1463</v>
      </c>
      <c r="G497" s="18" t="s">
        <v>147</v>
      </c>
      <c r="H497" s="18" t="s">
        <v>148</v>
      </c>
      <c r="I497" s="18" t="s">
        <v>207</v>
      </c>
      <c r="J497" s="18" t="s">
        <v>240</v>
      </c>
      <c r="K497" s="18" t="s">
        <v>56</v>
      </c>
      <c r="L497" s="18" t="s">
        <v>36</v>
      </c>
      <c r="N497" s="18">
        <v>6</v>
      </c>
      <c r="O497" s="18" t="s">
        <v>88</v>
      </c>
      <c r="P497" s="18" t="s">
        <v>38</v>
      </c>
      <c r="Q497" s="18" t="s">
        <v>58</v>
      </c>
      <c r="R497" s="18" t="s">
        <v>59</v>
      </c>
      <c r="S497" s="18" t="s">
        <v>60</v>
      </c>
      <c r="T497" s="18" t="b">
        <v>1</v>
      </c>
      <c r="U497" s="18" t="s">
        <v>150</v>
      </c>
      <c r="V497" s="18" t="s">
        <v>40</v>
      </c>
      <c r="W497" s="18" t="s">
        <v>317</v>
      </c>
      <c r="X497" s="18" t="s">
        <v>318</v>
      </c>
      <c r="Y497" s="18">
        <v>1</v>
      </c>
      <c r="Z497" s="18">
        <v>245500</v>
      </c>
      <c r="AA497" s="18" t="s">
        <v>299</v>
      </c>
      <c r="AB497" s="18" t="s">
        <v>295</v>
      </c>
      <c r="AC497" s="18" t="s">
        <v>163</v>
      </c>
    </row>
    <row r="498" s="18" customFormat="1" spans="1:29">
      <c r="A498" s="18" t="s">
        <v>1464</v>
      </c>
      <c r="B498" s="25" t="s">
        <v>1464</v>
      </c>
      <c r="C498" s="26">
        <v>45678</v>
      </c>
      <c r="D498" s="18" t="s">
        <v>381</v>
      </c>
      <c r="E498" s="18" t="str">
        <f t="shared" si="7"/>
        <v>All4One Events</v>
      </c>
      <c r="F498" s="27" t="s">
        <v>382</v>
      </c>
      <c r="G498" s="18" t="s">
        <v>147</v>
      </c>
      <c r="H498" s="18" t="s">
        <v>148</v>
      </c>
      <c r="I498" s="18" t="s">
        <v>207</v>
      </c>
      <c r="J498" s="18" t="s">
        <v>240</v>
      </c>
      <c r="K498" s="18" t="s">
        <v>56</v>
      </c>
      <c r="L498" s="18" t="s">
        <v>36</v>
      </c>
      <c r="N498" s="18">
        <v>6</v>
      </c>
      <c r="O498" s="18" t="s">
        <v>88</v>
      </c>
      <c r="P498" s="18" t="s">
        <v>38</v>
      </c>
      <c r="Q498" s="18" t="s">
        <v>58</v>
      </c>
      <c r="R498" s="18" t="s">
        <v>59</v>
      </c>
      <c r="S498" s="18" t="s">
        <v>60</v>
      </c>
      <c r="T498" s="18" t="b">
        <v>1</v>
      </c>
      <c r="U498" s="18" t="s">
        <v>150</v>
      </c>
      <c r="V498" s="18" t="s">
        <v>40</v>
      </c>
      <c r="W498" s="18" t="s">
        <v>292</v>
      </c>
      <c r="X498" s="18" t="s">
        <v>293</v>
      </c>
      <c r="Y498" s="18">
        <v>1</v>
      </c>
      <c r="Z498" s="18">
        <v>8600</v>
      </c>
      <c r="AA498" s="18" t="s">
        <v>299</v>
      </c>
      <c r="AB498" s="18" t="s">
        <v>295</v>
      </c>
      <c r="AC498" s="18" t="s">
        <v>163</v>
      </c>
    </row>
    <row r="499" s="18" customFormat="1" spans="1:29">
      <c r="A499" s="18" t="s">
        <v>1465</v>
      </c>
      <c r="B499" s="25" t="s">
        <v>1465</v>
      </c>
      <c r="C499" s="26">
        <v>45678</v>
      </c>
      <c r="D499" s="18" t="s">
        <v>533</v>
      </c>
      <c r="E499" s="18" t="str">
        <f t="shared" si="7"/>
        <v>Powerpro</v>
      </c>
      <c r="F499" s="27" t="e">
        <v>#N/A</v>
      </c>
      <c r="G499" s="18" t="s">
        <v>147</v>
      </c>
      <c r="H499" s="18" t="s">
        <v>148</v>
      </c>
      <c r="I499" s="18" t="s">
        <v>207</v>
      </c>
      <c r="J499" s="18" t="s">
        <v>240</v>
      </c>
      <c r="K499" s="18" t="s">
        <v>56</v>
      </c>
      <c r="L499" s="18" t="s">
        <v>36</v>
      </c>
      <c r="N499" s="18">
        <v>6</v>
      </c>
      <c r="O499" s="18" t="s">
        <v>88</v>
      </c>
      <c r="P499" s="18" t="s">
        <v>38</v>
      </c>
      <c r="Q499" s="18" t="s">
        <v>58</v>
      </c>
      <c r="R499" s="18" t="s">
        <v>59</v>
      </c>
      <c r="S499" s="18" t="s">
        <v>60</v>
      </c>
      <c r="T499" s="18" t="b">
        <v>1</v>
      </c>
      <c r="U499" s="18" t="s">
        <v>150</v>
      </c>
      <c r="V499" s="18" t="s">
        <v>40</v>
      </c>
      <c r="W499" s="18" t="s">
        <v>371</v>
      </c>
      <c r="X499" s="18" t="s">
        <v>372</v>
      </c>
      <c r="Y499" s="18">
        <v>1</v>
      </c>
      <c r="Z499" s="18">
        <v>15450</v>
      </c>
      <c r="AA499" s="18" t="s">
        <v>299</v>
      </c>
      <c r="AB499" s="18" t="s">
        <v>295</v>
      </c>
      <c r="AC499" s="18" t="s">
        <v>163</v>
      </c>
    </row>
    <row r="500" s="18" customFormat="1" spans="1:29">
      <c r="A500" s="18" t="s">
        <v>1466</v>
      </c>
      <c r="B500" s="25" t="s">
        <v>1466</v>
      </c>
      <c r="C500" s="26">
        <v>45678</v>
      </c>
      <c r="D500" s="18" t="s">
        <v>238</v>
      </c>
      <c r="E500" s="18" t="str">
        <f t="shared" si="7"/>
        <v>Studio Merchandise Pvt Ltd</v>
      </c>
      <c r="F500" s="27" t="s">
        <v>239</v>
      </c>
      <c r="G500" s="18" t="s">
        <v>147</v>
      </c>
      <c r="H500" s="18" t="s">
        <v>148</v>
      </c>
      <c r="I500" s="18" t="s">
        <v>207</v>
      </c>
      <c r="J500" s="18" t="s">
        <v>1467</v>
      </c>
      <c r="K500" s="18" t="s">
        <v>56</v>
      </c>
      <c r="L500" s="18" t="s">
        <v>36</v>
      </c>
      <c r="N500" s="18">
        <v>6</v>
      </c>
      <c r="O500" s="18" t="s">
        <v>88</v>
      </c>
      <c r="P500" s="18" t="s">
        <v>38</v>
      </c>
      <c r="Q500" s="18" t="s">
        <v>58</v>
      </c>
      <c r="R500" s="18" t="s">
        <v>59</v>
      </c>
      <c r="S500" s="18" t="s">
        <v>60</v>
      </c>
      <c r="T500" s="18" t="b">
        <v>1</v>
      </c>
      <c r="U500" s="18" t="s">
        <v>150</v>
      </c>
      <c r="V500" s="18" t="s">
        <v>40</v>
      </c>
      <c r="W500" s="18" t="s">
        <v>140</v>
      </c>
      <c r="X500" s="18" t="s">
        <v>141</v>
      </c>
      <c r="Y500" s="18">
        <v>1</v>
      </c>
      <c r="Z500" s="18">
        <v>212200</v>
      </c>
      <c r="AA500" s="18" t="s">
        <v>1172</v>
      </c>
      <c r="AB500" s="18" t="s">
        <v>1170</v>
      </c>
      <c r="AC500" s="18" t="s">
        <v>163</v>
      </c>
    </row>
    <row r="501" s="18" customFormat="1" spans="1:29">
      <c r="A501" s="18" t="s">
        <v>1468</v>
      </c>
      <c r="B501" s="25" t="s">
        <v>1468</v>
      </c>
      <c r="C501" s="26">
        <v>45678</v>
      </c>
      <c r="D501" s="18" t="s">
        <v>1469</v>
      </c>
      <c r="E501" s="18" t="str">
        <f t="shared" si="7"/>
        <v>Milovo (Anuradha Khilnani)</v>
      </c>
      <c r="F501" s="27" t="s">
        <v>1470</v>
      </c>
      <c r="G501" s="18" t="s">
        <v>147</v>
      </c>
      <c r="H501" s="18" t="s">
        <v>148</v>
      </c>
      <c r="I501" s="18" t="s">
        <v>207</v>
      </c>
      <c r="J501" s="18" t="s">
        <v>149</v>
      </c>
      <c r="K501" s="18" t="s">
        <v>56</v>
      </c>
      <c r="L501" s="18" t="s">
        <v>36</v>
      </c>
      <c r="N501" s="18">
        <v>6</v>
      </c>
      <c r="O501" s="18" t="s">
        <v>88</v>
      </c>
      <c r="P501" s="18" t="s">
        <v>38</v>
      </c>
      <c r="Q501" s="18" t="s">
        <v>58</v>
      </c>
      <c r="R501" s="18" t="s">
        <v>59</v>
      </c>
      <c r="S501" s="18" t="s">
        <v>60</v>
      </c>
      <c r="T501" s="18" t="b">
        <v>1</v>
      </c>
      <c r="U501" s="18" t="s">
        <v>150</v>
      </c>
      <c r="V501" s="18" t="s">
        <v>40</v>
      </c>
      <c r="W501" s="18" t="s">
        <v>250</v>
      </c>
      <c r="X501" s="18" t="s">
        <v>251</v>
      </c>
      <c r="Y501" s="18">
        <v>1</v>
      </c>
      <c r="Z501" s="18">
        <v>250000</v>
      </c>
      <c r="AA501" s="18" t="s">
        <v>1471</v>
      </c>
      <c r="AB501" s="18" t="s">
        <v>406</v>
      </c>
      <c r="AC501" s="18" t="s">
        <v>163</v>
      </c>
    </row>
    <row r="502" s="18" customFormat="1" ht="29" spans="1:29">
      <c r="A502" s="18" t="s">
        <v>1472</v>
      </c>
      <c r="B502" s="25" t="s">
        <v>1472</v>
      </c>
      <c r="C502" s="26">
        <v>45678</v>
      </c>
      <c r="D502" s="18" t="s">
        <v>674</v>
      </c>
      <c r="E502" s="18" t="str">
        <f t="shared" si="7"/>
        <v>Rastey Commuting Services Pvt Ltd</v>
      </c>
      <c r="F502" s="27" t="s">
        <v>675</v>
      </c>
      <c r="G502" s="18" t="s">
        <v>147</v>
      </c>
      <c r="H502" s="18" t="s">
        <v>148</v>
      </c>
      <c r="I502" s="18" t="s">
        <v>184</v>
      </c>
      <c r="J502" s="18" t="s">
        <v>728</v>
      </c>
      <c r="K502" s="18" t="s">
        <v>56</v>
      </c>
      <c r="L502" s="18" t="s">
        <v>36</v>
      </c>
      <c r="N502" s="18">
        <v>6</v>
      </c>
      <c r="O502" s="18" t="s">
        <v>88</v>
      </c>
      <c r="P502" s="18" t="s">
        <v>38</v>
      </c>
      <c r="Q502" s="18" t="s">
        <v>194</v>
      </c>
      <c r="R502" s="18" t="s">
        <v>59</v>
      </c>
      <c r="S502" s="18" t="s">
        <v>195</v>
      </c>
      <c r="T502" s="18" t="b">
        <v>1</v>
      </c>
      <c r="U502" s="18" t="s">
        <v>150</v>
      </c>
      <c r="V502" s="18" t="s">
        <v>40</v>
      </c>
      <c r="W502" s="18" t="s">
        <v>119</v>
      </c>
      <c r="X502" s="18" t="s">
        <v>120</v>
      </c>
      <c r="Y502" s="18">
        <v>1</v>
      </c>
      <c r="Z502" s="18">
        <v>69903</v>
      </c>
      <c r="AA502" s="31" t="s">
        <v>800</v>
      </c>
      <c r="AB502" s="18" t="s">
        <v>798</v>
      </c>
      <c r="AC502" s="18" t="s">
        <v>676</v>
      </c>
    </row>
    <row r="503" s="18" customFormat="1" spans="1:29">
      <c r="A503" s="18" t="s">
        <v>1473</v>
      </c>
      <c r="B503" s="25" t="s">
        <v>1473</v>
      </c>
      <c r="C503" s="26">
        <v>45678</v>
      </c>
      <c r="D503" s="18" t="s">
        <v>1474</v>
      </c>
      <c r="E503" s="18" t="str">
        <f t="shared" si="7"/>
        <v>Virender Singh  </v>
      </c>
      <c r="F503" s="27" t="e">
        <v>#N/A</v>
      </c>
      <c r="G503" s="18" t="s">
        <v>147</v>
      </c>
      <c r="H503" s="18" t="s">
        <v>148</v>
      </c>
      <c r="I503" s="18" t="s">
        <v>207</v>
      </c>
      <c r="J503" s="18" t="s">
        <v>249</v>
      </c>
      <c r="K503" s="18" t="s">
        <v>56</v>
      </c>
      <c r="L503" s="18" t="s">
        <v>36</v>
      </c>
      <c r="N503" s="18">
        <v>6</v>
      </c>
      <c r="O503" s="18" t="s">
        <v>93</v>
      </c>
      <c r="P503" s="18" t="s">
        <v>38</v>
      </c>
      <c r="Q503" s="18" t="s">
        <v>58</v>
      </c>
      <c r="R503" s="18" t="s">
        <v>59</v>
      </c>
      <c r="S503" s="18" t="s">
        <v>60</v>
      </c>
      <c r="T503" s="18" t="b">
        <v>1</v>
      </c>
      <c r="U503" s="18" t="s">
        <v>150</v>
      </c>
      <c r="V503" s="18" t="s">
        <v>40</v>
      </c>
      <c r="W503" s="18" t="s">
        <v>126</v>
      </c>
      <c r="X503" s="18" t="s">
        <v>127</v>
      </c>
      <c r="Y503" s="18">
        <v>1</v>
      </c>
      <c r="Z503" s="18">
        <v>1918</v>
      </c>
      <c r="AA503" s="18" t="s">
        <v>1108</v>
      </c>
      <c r="AB503" s="18" t="s">
        <v>1109</v>
      </c>
      <c r="AC503" s="18" t="e">
        <v>#N/A</v>
      </c>
    </row>
    <row r="504" s="18" customFormat="1" spans="1:29">
      <c r="A504" s="18" t="s">
        <v>1475</v>
      </c>
      <c r="B504" s="25" t="s">
        <v>1475</v>
      </c>
      <c r="C504" s="26">
        <v>45678</v>
      </c>
      <c r="D504" s="18" t="s">
        <v>1476</v>
      </c>
      <c r="E504" s="18" t="str">
        <f t="shared" si="7"/>
        <v>Ashutosh Darekar </v>
      </c>
      <c r="F504" s="27" t="e">
        <v>#N/A</v>
      </c>
      <c r="G504" s="18" t="s">
        <v>182</v>
      </c>
      <c r="H504" s="18" t="s">
        <v>183</v>
      </c>
      <c r="I504" s="18" t="s">
        <v>481</v>
      </c>
      <c r="J504" s="18" t="s">
        <v>486</v>
      </c>
      <c r="K504" s="18" t="s">
        <v>56</v>
      </c>
      <c r="L504" s="18" t="s">
        <v>36</v>
      </c>
      <c r="N504" s="18">
        <v>6</v>
      </c>
      <c r="O504" s="18" t="s">
        <v>93</v>
      </c>
      <c r="P504" s="18" t="s">
        <v>38</v>
      </c>
      <c r="Q504" s="18" t="s">
        <v>58</v>
      </c>
      <c r="R504" s="18" t="s">
        <v>59</v>
      </c>
      <c r="S504" s="18" t="s">
        <v>60</v>
      </c>
      <c r="T504" s="18" t="b">
        <v>0</v>
      </c>
      <c r="U504" s="18" t="s">
        <v>187</v>
      </c>
      <c r="V504" s="18" t="s">
        <v>40</v>
      </c>
      <c r="W504" s="18" t="s">
        <v>126</v>
      </c>
      <c r="X504" s="18" t="s">
        <v>127</v>
      </c>
      <c r="Y504" s="18">
        <v>1</v>
      </c>
      <c r="Z504" s="18">
        <v>873</v>
      </c>
      <c r="AC504" s="18" t="e">
        <v>#N/A</v>
      </c>
    </row>
    <row r="505" s="18" customFormat="1" spans="1:29">
      <c r="A505" s="18" t="s">
        <v>1477</v>
      </c>
      <c r="B505" s="25" t="s">
        <v>1477</v>
      </c>
      <c r="C505" s="26">
        <v>45678</v>
      </c>
      <c r="D505" s="18" t="s">
        <v>1478</v>
      </c>
      <c r="E505" s="18" t="str">
        <f t="shared" si="7"/>
        <v>Supriya Naik  </v>
      </c>
      <c r="F505" s="27" t="e">
        <v>#N/A</v>
      </c>
      <c r="G505" s="18" t="s">
        <v>182</v>
      </c>
      <c r="H505" s="18" t="s">
        <v>183</v>
      </c>
      <c r="I505" s="18" t="s">
        <v>481</v>
      </c>
      <c r="J505" s="18" t="s">
        <v>316</v>
      </c>
      <c r="K505" s="18" t="s">
        <v>56</v>
      </c>
      <c r="L505" s="18" t="s">
        <v>36</v>
      </c>
      <c r="N505" s="18">
        <v>6</v>
      </c>
      <c r="O505" s="18" t="s">
        <v>93</v>
      </c>
      <c r="P505" s="18" t="s">
        <v>38</v>
      </c>
      <c r="Q505" s="18" t="s">
        <v>117</v>
      </c>
      <c r="R505" s="18" t="s">
        <v>59</v>
      </c>
      <c r="S505" s="18" t="s">
        <v>118</v>
      </c>
      <c r="T505" s="18" t="b">
        <v>0</v>
      </c>
      <c r="U505" s="18" t="s">
        <v>187</v>
      </c>
      <c r="V505" s="18" t="s">
        <v>40</v>
      </c>
      <c r="W505" s="18" t="s">
        <v>126</v>
      </c>
      <c r="X505" s="18" t="s">
        <v>127</v>
      </c>
      <c r="Y505" s="18">
        <v>1</v>
      </c>
      <c r="Z505" s="18">
        <v>1006</v>
      </c>
      <c r="AC505" s="18" t="e">
        <v>#N/A</v>
      </c>
    </row>
    <row r="506" s="18" customFormat="1" spans="1:29">
      <c r="A506" s="18" t="s">
        <v>1479</v>
      </c>
      <c r="B506" s="25" t="s">
        <v>1479</v>
      </c>
      <c r="C506" s="26">
        <v>45678</v>
      </c>
      <c r="D506" s="18" t="s">
        <v>1480</v>
      </c>
      <c r="E506" s="18" t="str">
        <f t="shared" si="7"/>
        <v>Gulfaam Shaikh  </v>
      </c>
      <c r="F506" s="27" t="e">
        <v>#N/A</v>
      </c>
      <c r="G506" s="18" t="s">
        <v>182</v>
      </c>
      <c r="H506" s="18" t="s">
        <v>183</v>
      </c>
      <c r="I506" s="18" t="s">
        <v>481</v>
      </c>
      <c r="J506" s="18" t="s">
        <v>728</v>
      </c>
      <c r="K506" s="18" t="s">
        <v>56</v>
      </c>
      <c r="L506" s="18" t="s">
        <v>36</v>
      </c>
      <c r="N506" s="18">
        <v>6</v>
      </c>
      <c r="O506" s="18" t="s">
        <v>93</v>
      </c>
      <c r="P506" s="18" t="s">
        <v>38</v>
      </c>
      <c r="Q506" s="18" t="s">
        <v>194</v>
      </c>
      <c r="R506" s="18" t="s">
        <v>59</v>
      </c>
      <c r="S506" s="18" t="s">
        <v>195</v>
      </c>
      <c r="T506" s="18" t="b">
        <v>0</v>
      </c>
      <c r="U506" s="18" t="s">
        <v>187</v>
      </c>
      <c r="V506" s="18" t="s">
        <v>40</v>
      </c>
      <c r="W506" s="18" t="s">
        <v>126</v>
      </c>
      <c r="X506" s="18" t="s">
        <v>127</v>
      </c>
      <c r="Y506" s="18">
        <v>1</v>
      </c>
      <c r="Z506" s="18">
        <v>1949</v>
      </c>
      <c r="AC506" s="18" t="e">
        <v>#N/A</v>
      </c>
    </row>
    <row r="507" s="18" customFormat="1" ht="29" spans="1:29">
      <c r="A507" s="18" t="s">
        <v>1481</v>
      </c>
      <c r="B507" s="25" t="s">
        <v>1481</v>
      </c>
      <c r="C507" s="26">
        <v>45678</v>
      </c>
      <c r="D507" s="18" t="s">
        <v>1482</v>
      </c>
      <c r="E507" s="18" t="str">
        <f t="shared" si="7"/>
        <v>Front Of House</v>
      </c>
      <c r="F507" s="27" t="s">
        <v>1483</v>
      </c>
      <c r="G507" s="18" t="s">
        <v>182</v>
      </c>
      <c r="H507" s="18" t="s">
        <v>183</v>
      </c>
      <c r="I507" s="18" t="s">
        <v>184</v>
      </c>
      <c r="J507" s="18" t="s">
        <v>1346</v>
      </c>
      <c r="K507" s="18" t="s">
        <v>56</v>
      </c>
      <c r="L507" s="18" t="s">
        <v>36</v>
      </c>
      <c r="N507" s="18">
        <v>6</v>
      </c>
      <c r="O507" s="18" t="s">
        <v>88</v>
      </c>
      <c r="P507" s="18" t="s">
        <v>38</v>
      </c>
      <c r="Q507" s="18" t="s">
        <v>194</v>
      </c>
      <c r="R507" s="18" t="s">
        <v>59</v>
      </c>
      <c r="S507" s="18" t="s">
        <v>195</v>
      </c>
      <c r="T507" s="18" t="b">
        <v>0</v>
      </c>
      <c r="U507" s="18" t="s">
        <v>187</v>
      </c>
      <c r="V507" s="18" t="s">
        <v>40</v>
      </c>
      <c r="W507" s="18" t="s">
        <v>317</v>
      </c>
      <c r="X507" s="18" t="s">
        <v>318</v>
      </c>
      <c r="Y507" s="18">
        <v>1</v>
      </c>
      <c r="Z507" s="18">
        <v>125000</v>
      </c>
      <c r="AA507" s="31" t="s">
        <v>1456</v>
      </c>
      <c r="AB507" s="18" t="s">
        <v>1457</v>
      </c>
      <c r="AC507" s="18" t="s">
        <v>216</v>
      </c>
    </row>
    <row r="508" s="18" customFormat="1" spans="1:29">
      <c r="A508" s="18" t="s">
        <v>1484</v>
      </c>
      <c r="B508" s="25" t="s">
        <v>1484</v>
      </c>
      <c r="C508" s="26">
        <v>45678</v>
      </c>
      <c r="D508" s="18" t="s">
        <v>1485</v>
      </c>
      <c r="E508" s="18" t="str">
        <f t="shared" si="7"/>
        <v>Alliance International Tours &amp; Travels</v>
      </c>
      <c r="F508" s="27" t="s">
        <v>1486</v>
      </c>
      <c r="G508" s="18" t="s">
        <v>182</v>
      </c>
      <c r="H508" s="18" t="s">
        <v>183</v>
      </c>
      <c r="I508" s="18" t="s">
        <v>184</v>
      </c>
      <c r="J508" s="18" t="s">
        <v>728</v>
      </c>
      <c r="K508" s="18" t="s">
        <v>56</v>
      </c>
      <c r="L508" s="18" t="s">
        <v>36</v>
      </c>
      <c r="N508" s="18">
        <v>6</v>
      </c>
      <c r="O508" s="18" t="s">
        <v>88</v>
      </c>
      <c r="P508" s="18" t="s">
        <v>38</v>
      </c>
      <c r="Q508" s="18" t="s">
        <v>194</v>
      </c>
      <c r="R508" s="18" t="s">
        <v>59</v>
      </c>
      <c r="S508" s="18" t="s">
        <v>195</v>
      </c>
      <c r="T508" s="18" t="b">
        <v>0</v>
      </c>
      <c r="U508" s="18" t="s">
        <v>187</v>
      </c>
      <c r="V508" s="18" t="s">
        <v>40</v>
      </c>
      <c r="W508" s="18" t="s">
        <v>734</v>
      </c>
      <c r="X508" s="18" t="s">
        <v>735</v>
      </c>
      <c r="Y508" s="18">
        <v>1</v>
      </c>
      <c r="Z508" s="18">
        <v>167950</v>
      </c>
      <c r="AA508" s="18" t="s">
        <v>1487</v>
      </c>
      <c r="AB508" s="18" t="s">
        <v>1488</v>
      </c>
      <c r="AC508" s="18" t="e">
        <v>#N/A</v>
      </c>
    </row>
    <row r="509" s="18" customFormat="1" spans="1:29">
      <c r="A509" s="18" t="s">
        <v>1489</v>
      </c>
      <c r="B509" s="25" t="s">
        <v>1489</v>
      </c>
      <c r="C509" s="26">
        <v>45678</v>
      </c>
      <c r="D509" s="18" t="s">
        <v>1490</v>
      </c>
      <c r="E509" s="18" t="str">
        <f t="shared" si="7"/>
        <v>Chetan Handa  </v>
      </c>
      <c r="F509" s="27" t="e">
        <v>#N/A</v>
      </c>
      <c r="G509" s="18" t="s">
        <v>182</v>
      </c>
      <c r="H509" s="18" t="s">
        <v>183</v>
      </c>
      <c r="I509" s="18" t="s">
        <v>481</v>
      </c>
      <c r="J509" s="18" t="s">
        <v>1491</v>
      </c>
      <c r="K509" s="18" t="s">
        <v>56</v>
      </c>
      <c r="L509" s="18" t="s">
        <v>36</v>
      </c>
      <c r="N509" s="18">
        <v>6</v>
      </c>
      <c r="O509" s="18" t="s">
        <v>93</v>
      </c>
      <c r="P509" s="18" t="s">
        <v>38</v>
      </c>
      <c r="Q509" s="18" t="s">
        <v>194</v>
      </c>
      <c r="R509" s="18" t="s">
        <v>59</v>
      </c>
      <c r="S509" s="18" t="s">
        <v>195</v>
      </c>
      <c r="T509" s="18" t="b">
        <v>0</v>
      </c>
      <c r="U509" s="18" t="s">
        <v>187</v>
      </c>
      <c r="V509" s="18" t="s">
        <v>40</v>
      </c>
      <c r="W509" s="18" t="s">
        <v>126</v>
      </c>
      <c r="X509" s="18" t="s">
        <v>127</v>
      </c>
      <c r="Y509" s="18">
        <v>1</v>
      </c>
      <c r="Z509" s="18">
        <v>704</v>
      </c>
      <c r="AC509" s="18" t="e">
        <v>#N/A</v>
      </c>
    </row>
    <row r="510" s="18" customFormat="1" spans="1:29">
      <c r="A510" s="18" t="s">
        <v>1492</v>
      </c>
      <c r="B510" s="25" t="s">
        <v>1492</v>
      </c>
      <c r="C510" s="26">
        <v>45678</v>
      </c>
      <c r="D510" s="18" t="s">
        <v>247</v>
      </c>
      <c r="E510" s="18" t="str">
        <f t="shared" si="7"/>
        <v>Black Hat Talent Solutions &amp; Consulting Pvt Ltd</v>
      </c>
      <c r="F510" s="27" t="s">
        <v>248</v>
      </c>
      <c r="G510" s="18" t="s">
        <v>182</v>
      </c>
      <c r="H510" s="18" t="s">
        <v>183</v>
      </c>
      <c r="I510" s="18" t="s">
        <v>207</v>
      </c>
      <c r="J510" s="18" t="s">
        <v>1467</v>
      </c>
      <c r="K510" s="18" t="s">
        <v>56</v>
      </c>
      <c r="L510" s="18" t="s">
        <v>36</v>
      </c>
      <c r="N510" s="18">
        <v>6</v>
      </c>
      <c r="O510" s="18" t="s">
        <v>57</v>
      </c>
      <c r="P510" s="18" t="s">
        <v>38</v>
      </c>
      <c r="Q510" s="18" t="s">
        <v>58</v>
      </c>
      <c r="R510" s="18" t="s">
        <v>59</v>
      </c>
      <c r="S510" s="18" t="s">
        <v>60</v>
      </c>
      <c r="T510" s="18" t="b">
        <v>0</v>
      </c>
      <c r="U510" s="18" t="s">
        <v>187</v>
      </c>
      <c r="V510" s="18" t="s">
        <v>40</v>
      </c>
      <c r="W510" s="18" t="s">
        <v>250</v>
      </c>
      <c r="X510" s="18" t="s">
        <v>251</v>
      </c>
      <c r="Y510" s="18">
        <v>1</v>
      </c>
      <c r="Z510" s="18">
        <v>225000</v>
      </c>
      <c r="AA510" s="18" t="s">
        <v>1172</v>
      </c>
      <c r="AB510" s="18" t="s">
        <v>1170</v>
      </c>
      <c r="AC510" s="18" t="s">
        <v>200</v>
      </c>
    </row>
    <row r="511" s="18" customFormat="1" ht="29" spans="1:29">
      <c r="A511" s="18" t="s">
        <v>1493</v>
      </c>
      <c r="B511" s="25" t="s">
        <v>1493</v>
      </c>
      <c r="C511" s="26">
        <v>45678</v>
      </c>
      <c r="D511" s="18" t="s">
        <v>1494</v>
      </c>
      <c r="E511" s="18" t="str">
        <f t="shared" si="7"/>
        <v>Colour N Chill (Pranali Patel)</v>
      </c>
      <c r="F511" s="27" t="s">
        <v>1495</v>
      </c>
      <c r="G511" s="18" t="s">
        <v>182</v>
      </c>
      <c r="H511" s="18" t="s">
        <v>183</v>
      </c>
      <c r="I511" s="18" t="s">
        <v>184</v>
      </c>
      <c r="J511" s="18" t="s">
        <v>193</v>
      </c>
      <c r="K511" s="18" t="s">
        <v>56</v>
      </c>
      <c r="L511" s="18" t="s">
        <v>36</v>
      </c>
      <c r="N511" s="18">
        <v>6</v>
      </c>
      <c r="O511" s="18" t="s">
        <v>57</v>
      </c>
      <c r="P511" s="18" t="s">
        <v>38</v>
      </c>
      <c r="Q511" s="18" t="s">
        <v>194</v>
      </c>
      <c r="R511" s="18" t="s">
        <v>59</v>
      </c>
      <c r="S511" s="18" t="s">
        <v>195</v>
      </c>
      <c r="T511" s="18" t="b">
        <v>0</v>
      </c>
      <c r="U511" s="18" t="s">
        <v>187</v>
      </c>
      <c r="V511" s="18" t="s">
        <v>40</v>
      </c>
      <c r="W511" s="18" t="s">
        <v>250</v>
      </c>
      <c r="X511" s="18" t="s">
        <v>251</v>
      </c>
      <c r="Y511" s="18">
        <v>1</v>
      </c>
      <c r="Z511" s="18">
        <v>65000</v>
      </c>
      <c r="AA511" s="31" t="s">
        <v>569</v>
      </c>
      <c r="AB511" s="18" t="s">
        <v>570</v>
      </c>
      <c r="AC511" s="18" t="e">
        <v>#N/A</v>
      </c>
    </row>
    <row r="512" s="18" customFormat="1" ht="29" spans="1:29">
      <c r="A512" s="18" t="s">
        <v>1496</v>
      </c>
      <c r="B512" s="25" t="s">
        <v>1496</v>
      </c>
      <c r="C512" s="26">
        <v>45678</v>
      </c>
      <c r="D512" s="18" t="s">
        <v>1497</v>
      </c>
      <c r="E512" s="18" t="str">
        <f t="shared" si="7"/>
        <v>Mohammed Saqib Ansari</v>
      </c>
      <c r="F512" s="27" t="s">
        <v>1498</v>
      </c>
      <c r="G512" s="18" t="s">
        <v>182</v>
      </c>
      <c r="H512" s="18" t="s">
        <v>183</v>
      </c>
      <c r="I512" s="18" t="s">
        <v>184</v>
      </c>
      <c r="J512" s="18" t="s">
        <v>193</v>
      </c>
      <c r="K512" s="18" t="s">
        <v>56</v>
      </c>
      <c r="L512" s="18" t="s">
        <v>36</v>
      </c>
      <c r="N512" s="18">
        <v>6</v>
      </c>
      <c r="O512" s="18" t="s">
        <v>57</v>
      </c>
      <c r="P512" s="18" t="s">
        <v>38</v>
      </c>
      <c r="Q512" s="18" t="s">
        <v>194</v>
      </c>
      <c r="R512" s="18" t="s">
        <v>59</v>
      </c>
      <c r="S512" s="18" t="s">
        <v>195</v>
      </c>
      <c r="T512" s="18" t="b">
        <v>0</v>
      </c>
      <c r="U512" s="18" t="s">
        <v>187</v>
      </c>
      <c r="V512" s="18" t="s">
        <v>40</v>
      </c>
      <c r="W512" s="18" t="s">
        <v>347</v>
      </c>
      <c r="X512" s="18" t="s">
        <v>348</v>
      </c>
      <c r="Y512" s="18">
        <v>1</v>
      </c>
      <c r="Z512" s="18">
        <v>60000</v>
      </c>
      <c r="AA512" s="31" t="s">
        <v>569</v>
      </c>
      <c r="AB512" s="18" t="s">
        <v>570</v>
      </c>
      <c r="AC512" s="18" t="e">
        <v>#N/A</v>
      </c>
    </row>
    <row r="513" s="18" customFormat="1" spans="1:29">
      <c r="A513" s="18" t="s">
        <v>1499</v>
      </c>
      <c r="B513" s="25" t="s">
        <v>1499</v>
      </c>
      <c r="C513" s="26">
        <v>45678</v>
      </c>
      <c r="D513" s="18" t="s">
        <v>1500</v>
      </c>
      <c r="E513" s="18" t="str">
        <f t="shared" si="7"/>
        <v>Mirah Hospitality &amp; Gourmet Solutions Pvt Ltd</v>
      </c>
      <c r="F513" s="27" t="s">
        <v>1501</v>
      </c>
      <c r="G513" s="18" t="s">
        <v>182</v>
      </c>
      <c r="H513" s="18" t="s">
        <v>183</v>
      </c>
      <c r="I513" s="18" t="s">
        <v>207</v>
      </c>
      <c r="J513" s="18" t="s">
        <v>1502</v>
      </c>
      <c r="K513" s="18" t="s">
        <v>56</v>
      </c>
      <c r="L513" s="18" t="s">
        <v>36</v>
      </c>
      <c r="N513" s="18">
        <v>6</v>
      </c>
      <c r="O513" s="18" t="s">
        <v>93</v>
      </c>
      <c r="P513" s="18" t="s">
        <v>38</v>
      </c>
      <c r="Q513" s="18" t="s">
        <v>58</v>
      </c>
      <c r="R513" s="18" t="s">
        <v>59</v>
      </c>
      <c r="S513" s="18" t="s">
        <v>60</v>
      </c>
      <c r="T513" s="18" t="b">
        <v>0</v>
      </c>
      <c r="U513" s="18" t="s">
        <v>187</v>
      </c>
      <c r="V513" s="18" t="s">
        <v>40</v>
      </c>
      <c r="W513" s="18" t="s">
        <v>1176</v>
      </c>
      <c r="X513" s="18" t="s">
        <v>1177</v>
      </c>
      <c r="Y513" s="18">
        <v>1</v>
      </c>
      <c r="Z513" s="18">
        <v>476190</v>
      </c>
      <c r="AA513" s="18" t="s">
        <v>1503</v>
      </c>
      <c r="AB513" s="18" t="s">
        <v>64</v>
      </c>
      <c r="AC513" s="18" t="s">
        <v>676</v>
      </c>
    </row>
    <row r="514" s="18" customFormat="1" ht="29" spans="1:29">
      <c r="A514" s="18" t="s">
        <v>1504</v>
      </c>
      <c r="B514" s="25" t="s">
        <v>1504</v>
      </c>
      <c r="C514" s="26">
        <v>45678</v>
      </c>
      <c r="D514" s="18" t="s">
        <v>726</v>
      </c>
      <c r="E514" s="18" t="str">
        <f t="shared" si="7"/>
        <v>Utsara Sports Pvt Ltd (OTV)</v>
      </c>
      <c r="F514" s="27" t="s">
        <v>727</v>
      </c>
      <c r="G514" s="18" t="s">
        <v>182</v>
      </c>
      <c r="H514" s="18" t="s">
        <v>183</v>
      </c>
      <c r="I514" s="18" t="s">
        <v>184</v>
      </c>
      <c r="J514" s="18" t="s">
        <v>728</v>
      </c>
      <c r="K514" s="18" t="s">
        <v>56</v>
      </c>
      <c r="L514" s="18" t="s">
        <v>36</v>
      </c>
      <c r="N514" s="18">
        <v>6</v>
      </c>
      <c r="O514" s="18" t="s">
        <v>88</v>
      </c>
      <c r="P514" s="18" t="s">
        <v>38</v>
      </c>
      <c r="Q514" s="18" t="s">
        <v>194</v>
      </c>
      <c r="R514" s="18" t="s">
        <v>59</v>
      </c>
      <c r="S514" s="18" t="s">
        <v>195</v>
      </c>
      <c r="T514" s="18" t="b">
        <v>0</v>
      </c>
      <c r="U514" s="18" t="s">
        <v>187</v>
      </c>
      <c r="V514" s="18" t="s">
        <v>40</v>
      </c>
      <c r="W514" s="18" t="s">
        <v>317</v>
      </c>
      <c r="X514" s="18" t="s">
        <v>318</v>
      </c>
      <c r="Y514" s="18">
        <v>1</v>
      </c>
      <c r="Z514" s="18">
        <v>100000</v>
      </c>
      <c r="AA514" s="31" t="s">
        <v>800</v>
      </c>
      <c r="AB514" s="18" t="s">
        <v>798</v>
      </c>
      <c r="AC514" s="18" t="s">
        <v>216</v>
      </c>
    </row>
    <row r="515" s="18" customFormat="1" spans="1:29">
      <c r="A515" s="18" t="s">
        <v>1505</v>
      </c>
      <c r="B515" s="25" t="s">
        <v>1505</v>
      </c>
      <c r="C515" s="26">
        <v>45678</v>
      </c>
      <c r="D515" s="18" t="s">
        <v>1506</v>
      </c>
      <c r="E515" s="18" t="str">
        <f t="shared" ref="E515:E578" si="8">_xlfn.TEXTBEFORE(D515,"-")</f>
        <v>Shivam Logistics</v>
      </c>
      <c r="F515" s="27" t="s">
        <v>1507</v>
      </c>
      <c r="G515" s="18" t="s">
        <v>182</v>
      </c>
      <c r="H515" s="18" t="s">
        <v>183</v>
      </c>
      <c r="I515" s="18" t="s">
        <v>184</v>
      </c>
      <c r="J515" s="18" t="s">
        <v>240</v>
      </c>
      <c r="K515" s="18" t="s">
        <v>56</v>
      </c>
      <c r="L515" s="18" t="s">
        <v>36</v>
      </c>
      <c r="N515" s="18">
        <v>6</v>
      </c>
      <c r="O515" s="18" t="s">
        <v>88</v>
      </c>
      <c r="P515" s="18" t="s">
        <v>38</v>
      </c>
      <c r="Q515" s="18" t="s">
        <v>58</v>
      </c>
      <c r="R515" s="18" t="s">
        <v>59</v>
      </c>
      <c r="S515" s="18" t="s">
        <v>60</v>
      </c>
      <c r="T515" s="18" t="b">
        <v>0</v>
      </c>
      <c r="U515" s="18" t="s">
        <v>187</v>
      </c>
      <c r="V515" s="18" t="s">
        <v>40</v>
      </c>
      <c r="W515" s="18" t="s">
        <v>205</v>
      </c>
      <c r="X515" s="18" t="s">
        <v>205</v>
      </c>
      <c r="Y515" s="18">
        <v>1</v>
      </c>
      <c r="Z515" s="18">
        <v>38241</v>
      </c>
      <c r="AA515" s="18" t="s">
        <v>1194</v>
      </c>
      <c r="AB515" s="18" t="s">
        <v>228</v>
      </c>
      <c r="AC515" s="18" t="s">
        <v>200</v>
      </c>
    </row>
    <row r="516" s="18" customFormat="1" ht="29" spans="1:29">
      <c r="A516" s="18" t="s">
        <v>1508</v>
      </c>
      <c r="B516" s="25" t="s">
        <v>1508</v>
      </c>
      <c r="C516" s="26">
        <v>45679</v>
      </c>
      <c r="D516" s="18" t="s">
        <v>511</v>
      </c>
      <c r="E516" s="18" t="str">
        <f t="shared" si="8"/>
        <v>Pro Audio Solutions India Pvt Ltd</v>
      </c>
      <c r="F516" s="27" t="s">
        <v>512</v>
      </c>
      <c r="G516" s="18" t="s">
        <v>99</v>
      </c>
      <c r="H516" s="18" t="s">
        <v>100</v>
      </c>
      <c r="I516" s="18" t="s">
        <v>184</v>
      </c>
      <c r="J516" s="18" t="s">
        <v>499</v>
      </c>
      <c r="K516" s="18" t="s">
        <v>56</v>
      </c>
      <c r="L516" s="18" t="s">
        <v>36</v>
      </c>
      <c r="N516" s="18">
        <v>6</v>
      </c>
      <c r="O516" s="18" t="s">
        <v>88</v>
      </c>
      <c r="P516" s="18" t="s">
        <v>38</v>
      </c>
      <c r="Q516" s="18" t="s">
        <v>117</v>
      </c>
      <c r="R516" s="18" t="s">
        <v>59</v>
      </c>
      <c r="S516" s="18" t="s">
        <v>186</v>
      </c>
      <c r="T516" s="18" t="b">
        <v>1</v>
      </c>
      <c r="U516" s="18" t="s">
        <v>101</v>
      </c>
      <c r="V516" s="18" t="s">
        <v>40</v>
      </c>
      <c r="W516" s="18" t="s">
        <v>371</v>
      </c>
      <c r="X516" s="18" t="s">
        <v>372</v>
      </c>
      <c r="Y516" s="18">
        <v>1</v>
      </c>
      <c r="Z516" s="18">
        <v>730000</v>
      </c>
      <c r="AA516" s="31" t="s">
        <v>1143</v>
      </c>
      <c r="AB516" s="18" t="s">
        <v>514</v>
      </c>
      <c r="AC516" s="18" t="s">
        <v>111</v>
      </c>
    </row>
    <row r="517" s="18" customFormat="1" spans="1:29">
      <c r="A517" s="18" t="s">
        <v>1509</v>
      </c>
      <c r="B517" s="25" t="s">
        <v>1509</v>
      </c>
      <c r="C517" s="26">
        <v>45679</v>
      </c>
      <c r="D517" s="18" t="s">
        <v>1510</v>
      </c>
      <c r="E517" s="18" t="str">
        <f t="shared" si="8"/>
        <v>Square Feet Productions</v>
      </c>
      <c r="F517" s="27" t="s">
        <v>1511</v>
      </c>
      <c r="G517" s="18" t="s">
        <v>99</v>
      </c>
      <c r="H517" s="18" t="s">
        <v>100</v>
      </c>
      <c r="I517" s="18" t="s">
        <v>34</v>
      </c>
      <c r="J517" s="18" t="s">
        <v>1512</v>
      </c>
      <c r="K517" s="18" t="s">
        <v>56</v>
      </c>
      <c r="L517" s="18" t="s">
        <v>36</v>
      </c>
      <c r="N517" s="18">
        <v>6</v>
      </c>
      <c r="O517" s="18" t="s">
        <v>57</v>
      </c>
      <c r="P517" s="18" t="s">
        <v>38</v>
      </c>
      <c r="Q517" s="18" t="s">
        <v>117</v>
      </c>
      <c r="R517" s="18" t="s">
        <v>59</v>
      </c>
      <c r="S517" s="18" t="s">
        <v>118</v>
      </c>
      <c r="T517" s="18" t="b">
        <v>1</v>
      </c>
      <c r="U517" s="18" t="s">
        <v>101</v>
      </c>
      <c r="V517" s="18" t="s">
        <v>40</v>
      </c>
      <c r="W517" s="18" t="s">
        <v>317</v>
      </c>
      <c r="X517" s="18" t="s">
        <v>318</v>
      </c>
      <c r="Y517" s="18">
        <v>1</v>
      </c>
      <c r="Z517" s="18">
        <v>157000</v>
      </c>
      <c r="AA517" s="18" t="s">
        <v>121</v>
      </c>
      <c r="AB517" s="18" t="s">
        <v>122</v>
      </c>
      <c r="AC517" s="18" t="s">
        <v>111</v>
      </c>
    </row>
    <row r="518" s="18" customFormat="1" spans="1:29">
      <c r="A518" s="18" t="s">
        <v>1513</v>
      </c>
      <c r="B518" s="25" t="s">
        <v>1513</v>
      </c>
      <c r="C518" s="26">
        <v>45679</v>
      </c>
      <c r="D518" s="18" t="s">
        <v>1514</v>
      </c>
      <c r="E518" s="18" t="str">
        <f t="shared" si="8"/>
        <v>Aishwarya Anil Kumar</v>
      </c>
      <c r="F518" s="27" t="s">
        <v>1515</v>
      </c>
      <c r="G518" s="18" t="s">
        <v>99</v>
      </c>
      <c r="H518" s="18" t="s">
        <v>100</v>
      </c>
      <c r="I518" s="18" t="s">
        <v>34</v>
      </c>
      <c r="J518" s="18" t="s">
        <v>499</v>
      </c>
      <c r="K518" s="18" t="s">
        <v>56</v>
      </c>
      <c r="L518" s="18" t="s">
        <v>36</v>
      </c>
      <c r="N518" s="18">
        <v>6</v>
      </c>
      <c r="O518" s="18" t="s">
        <v>57</v>
      </c>
      <c r="P518" s="18" t="s">
        <v>38</v>
      </c>
      <c r="Q518" s="18" t="s">
        <v>117</v>
      </c>
      <c r="R518" s="18" t="s">
        <v>59</v>
      </c>
      <c r="S518" s="18" t="s">
        <v>186</v>
      </c>
      <c r="T518" s="18" t="b">
        <v>1</v>
      </c>
      <c r="U518" s="18" t="s">
        <v>101</v>
      </c>
      <c r="V518" s="18" t="s">
        <v>40</v>
      </c>
      <c r="W518" s="18" t="s">
        <v>317</v>
      </c>
      <c r="X518" s="18" t="s">
        <v>318</v>
      </c>
      <c r="Y518" s="18">
        <v>1</v>
      </c>
      <c r="Z518" s="18">
        <v>296000</v>
      </c>
      <c r="AA518" s="18" t="s">
        <v>1516</v>
      </c>
      <c r="AB518" s="18" t="s">
        <v>1517</v>
      </c>
      <c r="AC518" s="18" t="e">
        <v>#N/A</v>
      </c>
    </row>
    <row r="519" s="18" customFormat="1" spans="1:29">
      <c r="A519" s="18" t="s">
        <v>1518</v>
      </c>
      <c r="B519" s="25" t="s">
        <v>1518</v>
      </c>
      <c r="C519" s="26">
        <v>45679</v>
      </c>
      <c r="D519" s="18" t="s">
        <v>1519</v>
      </c>
      <c r="E519" s="18" t="str">
        <f t="shared" si="8"/>
        <v>Shardul Singh</v>
      </c>
      <c r="F519" s="27" t="s">
        <v>1520</v>
      </c>
      <c r="G519" s="18" t="s">
        <v>147</v>
      </c>
      <c r="H519" s="18" t="s">
        <v>148</v>
      </c>
      <c r="I519" s="18" t="s">
        <v>207</v>
      </c>
      <c r="J519" s="18" t="s">
        <v>249</v>
      </c>
      <c r="K519" s="18" t="s">
        <v>56</v>
      </c>
      <c r="L519" s="18" t="s">
        <v>36</v>
      </c>
      <c r="N519" s="18">
        <v>6</v>
      </c>
      <c r="O519" s="18" t="s">
        <v>93</v>
      </c>
      <c r="P519" s="18" t="s">
        <v>38</v>
      </c>
      <c r="Q519" s="18" t="s">
        <v>58</v>
      </c>
      <c r="R519" s="18" t="s">
        <v>59</v>
      </c>
      <c r="S519" s="18" t="s">
        <v>60</v>
      </c>
      <c r="T519" s="18" t="b">
        <v>1</v>
      </c>
      <c r="U519" s="18" t="s">
        <v>150</v>
      </c>
      <c r="V519" s="18" t="s">
        <v>40</v>
      </c>
      <c r="W519" s="18" t="s">
        <v>233</v>
      </c>
      <c r="X519" s="18" t="s">
        <v>234</v>
      </c>
      <c r="Y519" s="18">
        <v>1</v>
      </c>
      <c r="Z519" s="18">
        <v>1744</v>
      </c>
      <c r="AA519" s="18" t="s">
        <v>1521</v>
      </c>
      <c r="AB519" s="18" t="s">
        <v>1522</v>
      </c>
      <c r="AC519" s="18" t="e">
        <v>#N/A</v>
      </c>
    </row>
    <row r="520" s="18" customFormat="1" spans="1:29">
      <c r="A520" s="18" t="s">
        <v>1523</v>
      </c>
      <c r="B520" s="25" t="s">
        <v>1523</v>
      </c>
      <c r="C520" s="26">
        <v>45679</v>
      </c>
      <c r="D520" s="18" t="s">
        <v>1029</v>
      </c>
      <c r="E520" s="18" t="str">
        <f t="shared" si="8"/>
        <v>Pankaj Kumar Mishra  </v>
      </c>
      <c r="F520" s="27" t="e">
        <v>#N/A</v>
      </c>
      <c r="G520" s="18" t="s">
        <v>147</v>
      </c>
      <c r="H520" s="18" t="s">
        <v>148</v>
      </c>
      <c r="I520" s="18" t="s">
        <v>207</v>
      </c>
      <c r="J520" s="18" t="s">
        <v>249</v>
      </c>
      <c r="K520" s="18" t="s">
        <v>56</v>
      </c>
      <c r="L520" s="18" t="s">
        <v>36</v>
      </c>
      <c r="N520" s="18">
        <v>6</v>
      </c>
      <c r="O520" s="18" t="s">
        <v>93</v>
      </c>
      <c r="P520" s="18" t="s">
        <v>38</v>
      </c>
      <c r="Q520" s="18" t="s">
        <v>58</v>
      </c>
      <c r="R520" s="18" t="s">
        <v>59</v>
      </c>
      <c r="S520" s="18" t="s">
        <v>60</v>
      </c>
      <c r="T520" s="18" t="b">
        <v>1</v>
      </c>
      <c r="U520" s="18" t="s">
        <v>150</v>
      </c>
      <c r="V520" s="18" t="s">
        <v>40</v>
      </c>
      <c r="W520" s="18" t="s">
        <v>1055</v>
      </c>
      <c r="X520" s="18" t="s">
        <v>1056</v>
      </c>
      <c r="Y520" s="18">
        <v>1</v>
      </c>
      <c r="Z520" s="18">
        <v>9000</v>
      </c>
      <c r="AA520" s="18" t="s">
        <v>1524</v>
      </c>
      <c r="AB520" s="18" t="s">
        <v>228</v>
      </c>
      <c r="AC520" s="18" t="e">
        <v>#N/A</v>
      </c>
    </row>
    <row r="521" s="18" customFormat="1" spans="1:29">
      <c r="A521" s="18" t="s">
        <v>1525</v>
      </c>
      <c r="B521" s="25" t="s">
        <v>1525</v>
      </c>
      <c r="C521" s="26">
        <v>45679</v>
      </c>
      <c r="D521" s="18" t="s">
        <v>1029</v>
      </c>
      <c r="E521" s="18" t="str">
        <f t="shared" si="8"/>
        <v>Pankaj Kumar Mishra  </v>
      </c>
      <c r="F521" s="27" t="e">
        <v>#N/A</v>
      </c>
      <c r="G521" s="18" t="s">
        <v>147</v>
      </c>
      <c r="H521" s="18" t="s">
        <v>148</v>
      </c>
      <c r="I521" s="18" t="s">
        <v>207</v>
      </c>
      <c r="J521" s="18" t="s">
        <v>55</v>
      </c>
      <c r="K521" s="18" t="s">
        <v>56</v>
      </c>
      <c r="L521" s="18" t="s">
        <v>36</v>
      </c>
      <c r="N521" s="18">
        <v>6</v>
      </c>
      <c r="O521" s="18" t="s">
        <v>93</v>
      </c>
      <c r="P521" s="18" t="s">
        <v>38</v>
      </c>
      <c r="Q521" s="18" t="s">
        <v>58</v>
      </c>
      <c r="R521" s="18" t="s">
        <v>59</v>
      </c>
      <c r="S521" s="18" t="s">
        <v>60</v>
      </c>
      <c r="T521" s="18" t="b">
        <v>1</v>
      </c>
      <c r="U521" s="18" t="s">
        <v>150</v>
      </c>
      <c r="V521" s="18" t="s">
        <v>40</v>
      </c>
      <c r="W521" s="18" t="s">
        <v>1055</v>
      </c>
      <c r="X521" s="18" t="s">
        <v>1056</v>
      </c>
      <c r="Y521" s="18">
        <v>1</v>
      </c>
      <c r="Z521" s="18">
        <v>2500</v>
      </c>
      <c r="AA521" s="18" t="s">
        <v>1524</v>
      </c>
      <c r="AB521" s="18" t="s">
        <v>228</v>
      </c>
      <c r="AC521" s="18" t="e">
        <v>#N/A</v>
      </c>
    </row>
    <row r="522" s="18" customFormat="1" spans="1:29">
      <c r="A522" s="18" t="s">
        <v>1526</v>
      </c>
      <c r="B522" s="25" t="s">
        <v>1526</v>
      </c>
      <c r="C522" s="26">
        <v>45679</v>
      </c>
      <c r="D522" s="18" t="s">
        <v>1029</v>
      </c>
      <c r="E522" s="18" t="str">
        <f t="shared" si="8"/>
        <v>Pankaj Kumar Mishra  </v>
      </c>
      <c r="F522" s="27" t="e">
        <v>#N/A</v>
      </c>
      <c r="G522" s="18" t="s">
        <v>147</v>
      </c>
      <c r="H522" s="18" t="s">
        <v>148</v>
      </c>
      <c r="I522" s="18" t="s">
        <v>207</v>
      </c>
      <c r="J522" s="18" t="s">
        <v>240</v>
      </c>
      <c r="K522" s="18" t="s">
        <v>56</v>
      </c>
      <c r="L522" s="18" t="s">
        <v>36</v>
      </c>
      <c r="N522" s="18">
        <v>6</v>
      </c>
      <c r="O522" s="18" t="s">
        <v>93</v>
      </c>
      <c r="P522" s="18" t="s">
        <v>38</v>
      </c>
      <c r="Q522" s="18" t="s">
        <v>58</v>
      </c>
      <c r="R522" s="18" t="s">
        <v>59</v>
      </c>
      <c r="S522" s="18" t="s">
        <v>60</v>
      </c>
      <c r="T522" s="18" t="b">
        <v>1</v>
      </c>
      <c r="U522" s="18" t="s">
        <v>150</v>
      </c>
      <c r="V522" s="18" t="s">
        <v>40</v>
      </c>
      <c r="W522" s="18" t="s">
        <v>1055</v>
      </c>
      <c r="X522" s="18" t="s">
        <v>1056</v>
      </c>
      <c r="Y522" s="18">
        <v>1</v>
      </c>
      <c r="Z522" s="18">
        <v>3500</v>
      </c>
      <c r="AA522" s="18" t="s">
        <v>1524</v>
      </c>
      <c r="AB522" s="18" t="s">
        <v>228</v>
      </c>
      <c r="AC522" s="18" t="e">
        <v>#N/A</v>
      </c>
    </row>
    <row r="523" s="18" customFormat="1" spans="1:29">
      <c r="A523" s="18" t="s">
        <v>1527</v>
      </c>
      <c r="B523" s="25" t="s">
        <v>1527</v>
      </c>
      <c r="C523" s="26">
        <v>45679</v>
      </c>
      <c r="D523" s="18" t="s">
        <v>1029</v>
      </c>
      <c r="E523" s="18" t="str">
        <f t="shared" si="8"/>
        <v>Pankaj Kumar Mishra  </v>
      </c>
      <c r="F523" s="27" t="e">
        <v>#N/A</v>
      </c>
      <c r="G523" s="18" t="s">
        <v>147</v>
      </c>
      <c r="H523" s="18" t="s">
        <v>148</v>
      </c>
      <c r="I523" s="18" t="s">
        <v>207</v>
      </c>
      <c r="J523" s="18" t="s">
        <v>149</v>
      </c>
      <c r="K523" s="18" t="s">
        <v>56</v>
      </c>
      <c r="L523" s="18" t="s">
        <v>36</v>
      </c>
      <c r="N523" s="18">
        <v>6</v>
      </c>
      <c r="O523" s="18" t="s">
        <v>93</v>
      </c>
      <c r="P523" s="18" t="s">
        <v>38</v>
      </c>
      <c r="Q523" s="18" t="s">
        <v>58</v>
      </c>
      <c r="R523" s="18" t="s">
        <v>59</v>
      </c>
      <c r="S523" s="18" t="s">
        <v>60</v>
      </c>
      <c r="T523" s="18" t="b">
        <v>1</v>
      </c>
      <c r="U523" s="18" t="s">
        <v>150</v>
      </c>
      <c r="V523" s="18" t="s">
        <v>40</v>
      </c>
      <c r="W523" s="18" t="s">
        <v>412</v>
      </c>
      <c r="X523" s="18" t="s">
        <v>413</v>
      </c>
      <c r="Y523" s="18">
        <v>1</v>
      </c>
      <c r="Z523" s="18">
        <v>1300</v>
      </c>
      <c r="AA523" s="18" t="s">
        <v>1524</v>
      </c>
      <c r="AB523" s="18" t="s">
        <v>228</v>
      </c>
      <c r="AC523" s="18" t="e">
        <v>#N/A</v>
      </c>
    </row>
    <row r="524" s="18" customFormat="1" spans="1:29">
      <c r="A524" s="18" t="s">
        <v>1528</v>
      </c>
      <c r="B524" s="25" t="s">
        <v>1528</v>
      </c>
      <c r="C524" s="26">
        <v>45679</v>
      </c>
      <c r="D524" s="18" t="s">
        <v>1529</v>
      </c>
      <c r="E524" s="18" t="str">
        <f t="shared" si="8"/>
        <v>R E Rogers India Pvt Ltd</v>
      </c>
      <c r="F524" s="27" t="s">
        <v>1530</v>
      </c>
      <c r="G524" s="18" t="s">
        <v>147</v>
      </c>
      <c r="H524" s="18" t="s">
        <v>148</v>
      </c>
      <c r="I524" s="18" t="s">
        <v>159</v>
      </c>
      <c r="J524" s="18" t="s">
        <v>466</v>
      </c>
      <c r="K524" s="18" t="s">
        <v>56</v>
      </c>
      <c r="L524" s="18" t="s">
        <v>36</v>
      </c>
      <c r="N524" s="18">
        <v>6</v>
      </c>
      <c r="O524" s="18" t="s">
        <v>88</v>
      </c>
      <c r="P524" s="18" t="s">
        <v>38</v>
      </c>
      <c r="Q524" s="18" t="s">
        <v>58</v>
      </c>
      <c r="R524" s="18" t="s">
        <v>59</v>
      </c>
      <c r="S524" s="18" t="s">
        <v>60</v>
      </c>
      <c r="T524" s="18" t="b">
        <v>1</v>
      </c>
      <c r="U524" s="18" t="s">
        <v>150</v>
      </c>
      <c r="V524" s="18" t="s">
        <v>40</v>
      </c>
      <c r="W524" s="18" t="s">
        <v>1055</v>
      </c>
      <c r="X524" s="18" t="s">
        <v>1056</v>
      </c>
      <c r="Y524" s="18">
        <v>1</v>
      </c>
      <c r="Z524" s="18">
        <v>100000</v>
      </c>
      <c r="AA524" s="18" t="s">
        <v>953</v>
      </c>
      <c r="AB524" s="18" t="s">
        <v>954</v>
      </c>
      <c r="AC524" s="18" t="s">
        <v>163</v>
      </c>
    </row>
    <row r="525" s="18" customFormat="1" spans="1:29">
      <c r="A525" s="18" t="s">
        <v>1531</v>
      </c>
      <c r="B525" s="25" t="s">
        <v>1531</v>
      </c>
      <c r="C525" s="26">
        <v>45679</v>
      </c>
      <c r="D525" s="18" t="s">
        <v>1532</v>
      </c>
      <c r="E525" s="18" t="str">
        <f t="shared" si="8"/>
        <v>Keval Rajyaguru  </v>
      </c>
      <c r="F525" s="27" t="e">
        <v>#N/A</v>
      </c>
      <c r="G525" s="18" t="s">
        <v>182</v>
      </c>
      <c r="H525" s="18" t="s">
        <v>183</v>
      </c>
      <c r="I525" s="18" t="s">
        <v>481</v>
      </c>
      <c r="J525" s="18" t="s">
        <v>1197</v>
      </c>
      <c r="K525" s="18" t="s">
        <v>56</v>
      </c>
      <c r="L525" s="18" t="s">
        <v>36</v>
      </c>
      <c r="N525" s="18">
        <v>6</v>
      </c>
      <c r="O525" s="18" t="s">
        <v>93</v>
      </c>
      <c r="P525" s="18" t="s">
        <v>38</v>
      </c>
      <c r="Q525" s="18" t="s">
        <v>194</v>
      </c>
      <c r="R525" s="18" t="s">
        <v>59</v>
      </c>
      <c r="S525" s="18" t="s">
        <v>195</v>
      </c>
      <c r="T525" s="18" t="b">
        <v>0</v>
      </c>
      <c r="U525" s="18" t="s">
        <v>187</v>
      </c>
      <c r="V525" s="18" t="s">
        <v>40</v>
      </c>
      <c r="W525" s="18" t="s">
        <v>126</v>
      </c>
      <c r="X525" s="18" t="s">
        <v>127</v>
      </c>
      <c r="Y525" s="18">
        <v>1</v>
      </c>
      <c r="Z525" s="18">
        <v>7057.08</v>
      </c>
      <c r="AC525" s="18" t="e">
        <v>#N/A</v>
      </c>
    </row>
    <row r="526" s="18" customFormat="1" spans="1:29">
      <c r="A526" s="18" t="s">
        <v>1533</v>
      </c>
      <c r="B526" s="25" t="s">
        <v>1533</v>
      </c>
      <c r="C526" s="26">
        <v>45679</v>
      </c>
      <c r="D526" s="18" t="s">
        <v>1404</v>
      </c>
      <c r="E526" s="18" t="str">
        <f t="shared" si="8"/>
        <v>Mohammad Danish  </v>
      </c>
      <c r="F526" s="27" t="s">
        <v>1405</v>
      </c>
      <c r="G526" s="18" t="s">
        <v>182</v>
      </c>
      <c r="H526" s="18" t="s">
        <v>183</v>
      </c>
      <c r="I526" s="18" t="s">
        <v>481</v>
      </c>
      <c r="J526" s="18" t="s">
        <v>486</v>
      </c>
      <c r="K526" s="18" t="s">
        <v>56</v>
      </c>
      <c r="L526" s="18" t="s">
        <v>36</v>
      </c>
      <c r="N526" s="18">
        <v>6</v>
      </c>
      <c r="O526" s="18" t="s">
        <v>93</v>
      </c>
      <c r="P526" s="18" t="s">
        <v>38</v>
      </c>
      <c r="Q526" s="18" t="s">
        <v>58</v>
      </c>
      <c r="R526" s="18" t="s">
        <v>59</v>
      </c>
      <c r="S526" s="18" t="s">
        <v>60</v>
      </c>
      <c r="T526" s="18" t="b">
        <v>0</v>
      </c>
      <c r="U526" s="18" t="s">
        <v>187</v>
      </c>
      <c r="V526" s="18" t="s">
        <v>40</v>
      </c>
      <c r="W526" s="18" t="s">
        <v>126</v>
      </c>
      <c r="X526" s="18" t="s">
        <v>127</v>
      </c>
      <c r="Y526" s="18">
        <v>1</v>
      </c>
      <c r="Z526" s="18">
        <v>409</v>
      </c>
      <c r="AC526" s="18" t="e">
        <v>#N/A</v>
      </c>
    </row>
    <row r="527" s="18" customFormat="1" ht="29" spans="1:29">
      <c r="A527" s="18" t="s">
        <v>1534</v>
      </c>
      <c r="B527" s="25" t="s">
        <v>1534</v>
      </c>
      <c r="C527" s="26">
        <v>45679</v>
      </c>
      <c r="D527" s="18" t="s">
        <v>192</v>
      </c>
      <c r="E527" s="18" t="str">
        <f t="shared" si="8"/>
        <v>Noaman Digital Partnership Firm</v>
      </c>
      <c r="F527" s="27" t="e">
        <v>#N/A</v>
      </c>
      <c r="G527" s="18" t="s">
        <v>182</v>
      </c>
      <c r="H527" s="18" t="s">
        <v>183</v>
      </c>
      <c r="I527" s="18" t="s">
        <v>184</v>
      </c>
      <c r="J527" s="18" t="s">
        <v>1535</v>
      </c>
      <c r="K527" s="18" t="s">
        <v>56</v>
      </c>
      <c r="L527" s="18" t="s">
        <v>36</v>
      </c>
      <c r="N527" s="18">
        <v>6</v>
      </c>
      <c r="O527" s="18" t="s">
        <v>88</v>
      </c>
      <c r="P527" s="18" t="s">
        <v>38</v>
      </c>
      <c r="Q527" s="18" t="s">
        <v>194</v>
      </c>
      <c r="R527" s="18" t="s">
        <v>59</v>
      </c>
      <c r="S527" s="18" t="s">
        <v>195</v>
      </c>
      <c r="T527" s="18" t="b">
        <v>0</v>
      </c>
      <c r="U527" s="18" t="s">
        <v>187</v>
      </c>
      <c r="V527" s="18" t="s">
        <v>40</v>
      </c>
      <c r="W527" s="18" t="s">
        <v>196</v>
      </c>
      <c r="X527" s="18" t="s">
        <v>197</v>
      </c>
      <c r="Y527" s="18">
        <v>1</v>
      </c>
      <c r="Z527" s="18">
        <v>126617.5</v>
      </c>
      <c r="AA527" s="31" t="s">
        <v>962</v>
      </c>
      <c r="AB527" s="18" t="s">
        <v>963</v>
      </c>
      <c r="AC527" s="18" t="s">
        <v>200</v>
      </c>
    </row>
    <row r="528" s="18" customFormat="1" ht="29" spans="1:29">
      <c r="A528" s="18" t="s">
        <v>1536</v>
      </c>
      <c r="B528" s="25" t="s">
        <v>1536</v>
      </c>
      <c r="C528" s="26">
        <v>45679</v>
      </c>
      <c r="D528" s="18" t="s">
        <v>1537</v>
      </c>
      <c r="E528" s="18" t="str">
        <f t="shared" si="8"/>
        <v>Neowiz Events</v>
      </c>
      <c r="F528" s="27" t="s">
        <v>1538</v>
      </c>
      <c r="G528" s="18" t="s">
        <v>182</v>
      </c>
      <c r="H528" s="18" t="s">
        <v>183</v>
      </c>
      <c r="I528" s="18" t="s">
        <v>184</v>
      </c>
      <c r="J528" s="18" t="s">
        <v>499</v>
      </c>
      <c r="K528" s="18" t="s">
        <v>56</v>
      </c>
      <c r="L528" s="18" t="s">
        <v>36</v>
      </c>
      <c r="N528" s="18">
        <v>6</v>
      </c>
      <c r="O528" s="18" t="s">
        <v>88</v>
      </c>
      <c r="P528" s="18" t="s">
        <v>38</v>
      </c>
      <c r="Q528" s="18" t="s">
        <v>117</v>
      </c>
      <c r="R528" s="18" t="s">
        <v>59</v>
      </c>
      <c r="S528" s="18" t="s">
        <v>186</v>
      </c>
      <c r="T528" s="18" t="b">
        <v>0</v>
      </c>
      <c r="U528" s="18" t="s">
        <v>187</v>
      </c>
      <c r="V528" s="18" t="s">
        <v>40</v>
      </c>
      <c r="W528" s="18" t="s">
        <v>317</v>
      </c>
      <c r="X528" s="18" t="s">
        <v>318</v>
      </c>
      <c r="Y528" s="18">
        <v>1</v>
      </c>
      <c r="Z528" s="18">
        <v>365000</v>
      </c>
      <c r="AA528" s="31" t="s">
        <v>338</v>
      </c>
      <c r="AB528" s="18" t="s">
        <v>339</v>
      </c>
      <c r="AC528" s="18" t="s">
        <v>200</v>
      </c>
    </row>
    <row r="529" s="18" customFormat="1" spans="1:29">
      <c r="A529" s="18" t="s">
        <v>1539</v>
      </c>
      <c r="B529" s="25" t="s">
        <v>1539</v>
      </c>
      <c r="C529" s="26">
        <v>45679</v>
      </c>
      <c r="D529" s="18" t="s">
        <v>1540</v>
      </c>
      <c r="E529" s="18" t="str">
        <f t="shared" si="8"/>
        <v>Sagar Dixit  </v>
      </c>
      <c r="F529" s="27" t="e">
        <v>#N/A</v>
      </c>
      <c r="G529" s="18" t="s">
        <v>182</v>
      </c>
      <c r="H529" s="18" t="s">
        <v>183</v>
      </c>
      <c r="I529" s="18" t="s">
        <v>481</v>
      </c>
      <c r="J529" s="18" t="s">
        <v>938</v>
      </c>
      <c r="K529" s="18" t="s">
        <v>56</v>
      </c>
      <c r="L529" s="18" t="s">
        <v>36</v>
      </c>
      <c r="N529" s="18">
        <v>6</v>
      </c>
      <c r="O529" s="18" t="s">
        <v>93</v>
      </c>
      <c r="P529" s="18" t="s">
        <v>38</v>
      </c>
      <c r="Q529" s="18" t="s">
        <v>194</v>
      </c>
      <c r="R529" s="18" t="s">
        <v>59</v>
      </c>
      <c r="S529" s="18" t="s">
        <v>195</v>
      </c>
      <c r="T529" s="18" t="b">
        <v>0</v>
      </c>
      <c r="U529" s="18" t="s">
        <v>187</v>
      </c>
      <c r="V529" s="18" t="s">
        <v>40</v>
      </c>
      <c r="W529" s="18" t="s">
        <v>126</v>
      </c>
      <c r="X529" s="18" t="s">
        <v>127</v>
      </c>
      <c r="Y529" s="18">
        <v>1</v>
      </c>
      <c r="Z529" s="18">
        <v>4532</v>
      </c>
      <c r="AC529" s="18" t="e">
        <v>#N/A</v>
      </c>
    </row>
    <row r="530" s="18" customFormat="1" spans="1:29">
      <c r="A530" s="18" t="s">
        <v>1541</v>
      </c>
      <c r="B530" s="25" t="s">
        <v>1541</v>
      </c>
      <c r="C530" s="26">
        <v>45679</v>
      </c>
      <c r="D530" s="18" t="s">
        <v>1542</v>
      </c>
      <c r="E530" s="18" t="str">
        <f t="shared" si="8"/>
        <v>Hazarat Ansari </v>
      </c>
      <c r="F530" s="27" t="e">
        <v>#N/A</v>
      </c>
      <c r="G530" s="18" t="s">
        <v>182</v>
      </c>
      <c r="H530" s="18" t="s">
        <v>183</v>
      </c>
      <c r="I530" s="18" t="s">
        <v>481</v>
      </c>
      <c r="J530" s="18" t="s">
        <v>938</v>
      </c>
      <c r="K530" s="18" t="s">
        <v>56</v>
      </c>
      <c r="L530" s="18" t="s">
        <v>36</v>
      </c>
      <c r="N530" s="18">
        <v>6</v>
      </c>
      <c r="O530" s="18" t="s">
        <v>93</v>
      </c>
      <c r="P530" s="18" t="s">
        <v>38</v>
      </c>
      <c r="Q530" s="18" t="s">
        <v>194</v>
      </c>
      <c r="R530" s="18" t="s">
        <v>59</v>
      </c>
      <c r="S530" s="18" t="s">
        <v>195</v>
      </c>
      <c r="T530" s="18" t="b">
        <v>0</v>
      </c>
      <c r="U530" s="18" t="s">
        <v>187</v>
      </c>
      <c r="V530" s="18" t="s">
        <v>40</v>
      </c>
      <c r="W530" s="18" t="s">
        <v>61</v>
      </c>
      <c r="X530" s="18" t="s">
        <v>62</v>
      </c>
      <c r="Y530" s="18">
        <v>1</v>
      </c>
      <c r="Z530" s="18">
        <v>3274</v>
      </c>
      <c r="AC530" s="18" t="e">
        <v>#N/A</v>
      </c>
    </row>
    <row r="531" s="18" customFormat="1" spans="1:29">
      <c r="A531" s="18" t="s">
        <v>1543</v>
      </c>
      <c r="B531" s="25" t="s">
        <v>1543</v>
      </c>
      <c r="C531" s="26">
        <v>45679</v>
      </c>
      <c r="D531" s="18" t="s">
        <v>1544</v>
      </c>
      <c r="E531" s="18" t="str">
        <f t="shared" si="8"/>
        <v>Ghanshyam Asolkar </v>
      </c>
      <c r="F531" s="27" t="e">
        <v>#N/A</v>
      </c>
      <c r="G531" s="18" t="s">
        <v>182</v>
      </c>
      <c r="H531" s="18" t="s">
        <v>183</v>
      </c>
      <c r="I531" s="18" t="s">
        <v>481</v>
      </c>
      <c r="J531" s="18" t="s">
        <v>1197</v>
      </c>
      <c r="K531" s="18" t="s">
        <v>56</v>
      </c>
      <c r="L531" s="18" t="s">
        <v>36</v>
      </c>
      <c r="N531" s="18">
        <v>6</v>
      </c>
      <c r="O531" s="18" t="s">
        <v>93</v>
      </c>
      <c r="P531" s="18" t="s">
        <v>38</v>
      </c>
      <c r="Q531" s="18" t="s">
        <v>194</v>
      </c>
      <c r="R531" s="18" t="s">
        <v>59</v>
      </c>
      <c r="S531" s="18" t="s">
        <v>195</v>
      </c>
      <c r="T531" s="18" t="b">
        <v>0</v>
      </c>
      <c r="U531" s="18" t="s">
        <v>187</v>
      </c>
      <c r="V531" s="18" t="s">
        <v>40</v>
      </c>
      <c r="W531" s="18" t="s">
        <v>126</v>
      </c>
      <c r="X531" s="18" t="s">
        <v>127</v>
      </c>
      <c r="Y531" s="18">
        <v>1</v>
      </c>
      <c r="Z531" s="18">
        <v>2345</v>
      </c>
      <c r="AC531" s="18" t="e">
        <v>#N/A</v>
      </c>
    </row>
    <row r="532" s="18" customFormat="1" ht="29" spans="1:29">
      <c r="A532" s="18" t="s">
        <v>1545</v>
      </c>
      <c r="B532" s="25" t="s">
        <v>1545</v>
      </c>
      <c r="C532" s="26">
        <v>45679</v>
      </c>
      <c r="D532" s="18" t="s">
        <v>590</v>
      </c>
      <c r="E532" s="18" t="str">
        <f t="shared" si="8"/>
        <v>Rak Lead Events</v>
      </c>
      <c r="F532" s="27" t="s">
        <v>591</v>
      </c>
      <c r="G532" s="18" t="s">
        <v>182</v>
      </c>
      <c r="H532" s="18" t="s">
        <v>183</v>
      </c>
      <c r="I532" s="18" t="s">
        <v>184</v>
      </c>
      <c r="J532" s="18" t="s">
        <v>499</v>
      </c>
      <c r="K532" s="18" t="s">
        <v>56</v>
      </c>
      <c r="L532" s="18" t="s">
        <v>36</v>
      </c>
      <c r="N532" s="18">
        <v>6</v>
      </c>
      <c r="O532" s="18" t="s">
        <v>88</v>
      </c>
      <c r="P532" s="18" t="s">
        <v>38</v>
      </c>
      <c r="Q532" s="18" t="s">
        <v>117</v>
      </c>
      <c r="R532" s="18" t="s">
        <v>59</v>
      </c>
      <c r="S532" s="18" t="s">
        <v>186</v>
      </c>
      <c r="T532" s="18" t="b">
        <v>0</v>
      </c>
      <c r="U532" s="18" t="s">
        <v>187</v>
      </c>
      <c r="V532" s="18" t="s">
        <v>40</v>
      </c>
      <c r="W532" s="18" t="s">
        <v>317</v>
      </c>
      <c r="X532" s="18" t="s">
        <v>318</v>
      </c>
      <c r="Y532" s="18">
        <v>1</v>
      </c>
      <c r="Z532" s="18">
        <v>890000</v>
      </c>
      <c r="AA532" s="31" t="s">
        <v>1143</v>
      </c>
      <c r="AB532" s="18" t="s">
        <v>514</v>
      </c>
      <c r="AC532" s="18" t="s">
        <v>216</v>
      </c>
    </row>
    <row r="533" s="18" customFormat="1" ht="29" spans="1:29">
      <c r="A533" s="18" t="s">
        <v>1546</v>
      </c>
      <c r="B533" s="25" t="s">
        <v>1546</v>
      </c>
      <c r="C533" s="26">
        <v>45679</v>
      </c>
      <c r="D533" s="18" t="s">
        <v>1547</v>
      </c>
      <c r="E533" s="18" t="str">
        <f t="shared" si="8"/>
        <v>Shree Samarth Krupa Creation</v>
      </c>
      <c r="F533" s="27" t="s">
        <v>1548</v>
      </c>
      <c r="G533" s="18" t="s">
        <v>182</v>
      </c>
      <c r="H533" s="18" t="s">
        <v>183</v>
      </c>
      <c r="I533" s="18" t="s">
        <v>184</v>
      </c>
      <c r="J533" s="18" t="s">
        <v>1549</v>
      </c>
      <c r="K533" s="18" t="s">
        <v>56</v>
      </c>
      <c r="L533" s="18" t="s">
        <v>36</v>
      </c>
      <c r="N533" s="18">
        <v>6</v>
      </c>
      <c r="O533" s="18" t="s">
        <v>57</v>
      </c>
      <c r="P533" s="18" t="s">
        <v>38</v>
      </c>
      <c r="Q533" s="18" t="s">
        <v>194</v>
      </c>
      <c r="R533" s="18" t="s">
        <v>59</v>
      </c>
      <c r="S533" s="18" t="s">
        <v>195</v>
      </c>
      <c r="T533" s="18" t="b">
        <v>0</v>
      </c>
      <c r="U533" s="18" t="s">
        <v>187</v>
      </c>
      <c r="V533" s="18" t="s">
        <v>40</v>
      </c>
      <c r="W533" s="18" t="s">
        <v>401</v>
      </c>
      <c r="X533" s="18" t="s">
        <v>402</v>
      </c>
      <c r="Y533" s="18">
        <v>1</v>
      </c>
      <c r="Z533" s="18">
        <v>55000</v>
      </c>
      <c r="AA533" s="31" t="s">
        <v>962</v>
      </c>
      <c r="AB533" s="18" t="s">
        <v>963</v>
      </c>
      <c r="AC533" s="18" t="s">
        <v>200</v>
      </c>
    </row>
    <row r="534" s="18" customFormat="1" ht="29" spans="1:29">
      <c r="A534" s="18" t="s">
        <v>1550</v>
      </c>
      <c r="B534" s="25" t="s">
        <v>1550</v>
      </c>
      <c r="C534" s="26">
        <v>45679</v>
      </c>
      <c r="D534" s="18" t="s">
        <v>1551</v>
      </c>
      <c r="E534" s="18" t="str">
        <f t="shared" si="8"/>
        <v>Sakshi Kaushal Patwa</v>
      </c>
      <c r="F534" s="27" t="s">
        <v>1552</v>
      </c>
      <c r="G534" s="18" t="s">
        <v>182</v>
      </c>
      <c r="H534" s="18" t="s">
        <v>183</v>
      </c>
      <c r="I534" s="18" t="s">
        <v>184</v>
      </c>
      <c r="J534" s="18" t="s">
        <v>1491</v>
      </c>
      <c r="K534" s="18" t="s">
        <v>56</v>
      </c>
      <c r="L534" s="18" t="s">
        <v>36</v>
      </c>
      <c r="N534" s="18">
        <v>6</v>
      </c>
      <c r="O534" s="18" t="s">
        <v>57</v>
      </c>
      <c r="P534" s="18" t="s">
        <v>38</v>
      </c>
      <c r="Q534" s="18" t="s">
        <v>194</v>
      </c>
      <c r="R534" s="18" t="s">
        <v>59</v>
      </c>
      <c r="S534" s="18" t="s">
        <v>195</v>
      </c>
      <c r="T534" s="18" t="b">
        <v>0</v>
      </c>
      <c r="U534" s="18" t="s">
        <v>187</v>
      </c>
      <c r="V534" s="18" t="s">
        <v>40</v>
      </c>
      <c r="W534" s="18" t="s">
        <v>250</v>
      </c>
      <c r="X534" s="18" t="s">
        <v>251</v>
      </c>
      <c r="Y534" s="18">
        <v>1</v>
      </c>
      <c r="Z534" s="18">
        <v>25000</v>
      </c>
      <c r="AA534" s="31" t="s">
        <v>1553</v>
      </c>
      <c r="AB534" s="18" t="s">
        <v>1554</v>
      </c>
      <c r="AC534" s="18" t="e">
        <v>#N/A</v>
      </c>
    </row>
    <row r="535" s="18" customFormat="1" ht="29" spans="1:29">
      <c r="A535" s="18" t="s">
        <v>1555</v>
      </c>
      <c r="B535" s="25" t="s">
        <v>1555</v>
      </c>
      <c r="C535" s="26">
        <v>45679</v>
      </c>
      <c r="D535" s="18" t="s">
        <v>1556</v>
      </c>
      <c r="E535" s="18" t="str">
        <f t="shared" si="8"/>
        <v>Meta Platforms Ireland Ltd</v>
      </c>
      <c r="F535" s="27" t="s">
        <v>1557</v>
      </c>
      <c r="G535" s="18" t="s">
        <v>182</v>
      </c>
      <c r="H535" s="18" t="s">
        <v>183</v>
      </c>
      <c r="I535" s="18" t="s">
        <v>184</v>
      </c>
      <c r="J535" s="18" t="s">
        <v>240</v>
      </c>
      <c r="K535" s="18" t="s">
        <v>56</v>
      </c>
      <c r="L535" s="18" t="s">
        <v>36</v>
      </c>
      <c r="N535" s="18">
        <v>6</v>
      </c>
      <c r="O535" s="18" t="s">
        <v>57</v>
      </c>
      <c r="P535" s="18" t="s">
        <v>38</v>
      </c>
      <c r="Q535" s="18" t="s">
        <v>58</v>
      </c>
      <c r="R535" s="18" t="s">
        <v>59</v>
      </c>
      <c r="S535" s="18" t="s">
        <v>60</v>
      </c>
      <c r="T535" s="18" t="b">
        <v>0</v>
      </c>
      <c r="U535" s="18" t="s">
        <v>187</v>
      </c>
      <c r="V535" s="18" t="s">
        <v>40</v>
      </c>
      <c r="W535" s="18" t="s">
        <v>803</v>
      </c>
      <c r="X535" s="18" t="s">
        <v>804</v>
      </c>
      <c r="Y535" s="18">
        <v>1</v>
      </c>
      <c r="Z535" s="18">
        <v>466.05</v>
      </c>
      <c r="AA535" s="31" t="s">
        <v>1558</v>
      </c>
      <c r="AB535" s="18" t="s">
        <v>90</v>
      </c>
      <c r="AC535" s="18" t="e">
        <v>#N/A</v>
      </c>
    </row>
    <row r="536" s="18" customFormat="1" spans="1:29">
      <c r="A536" s="18" t="s">
        <v>1559</v>
      </c>
      <c r="B536" s="25" t="s">
        <v>1559</v>
      </c>
      <c r="C536" s="26">
        <v>45679</v>
      </c>
      <c r="D536" s="18" t="s">
        <v>785</v>
      </c>
      <c r="E536" s="18" t="str">
        <f t="shared" si="8"/>
        <v>Ushta Te Consultancy Services LLP</v>
      </c>
      <c r="F536" s="27" t="s">
        <v>786</v>
      </c>
      <c r="G536" s="18" t="s">
        <v>182</v>
      </c>
      <c r="H536" s="18" t="s">
        <v>183</v>
      </c>
      <c r="I536" s="18" t="s">
        <v>184</v>
      </c>
      <c r="J536" s="18" t="s">
        <v>728</v>
      </c>
      <c r="K536" s="18" t="s">
        <v>56</v>
      </c>
      <c r="L536" s="18" t="s">
        <v>36</v>
      </c>
      <c r="N536" s="18">
        <v>6</v>
      </c>
      <c r="O536" s="18" t="s">
        <v>88</v>
      </c>
      <c r="P536" s="18" t="s">
        <v>38</v>
      </c>
      <c r="Q536" s="18" t="s">
        <v>194</v>
      </c>
      <c r="R536" s="18" t="s">
        <v>59</v>
      </c>
      <c r="S536" s="18" t="s">
        <v>195</v>
      </c>
      <c r="T536" s="18" t="b">
        <v>0</v>
      </c>
      <c r="U536" s="18" t="s">
        <v>187</v>
      </c>
      <c r="V536" s="18" t="s">
        <v>40</v>
      </c>
      <c r="W536" s="18" t="s">
        <v>787</v>
      </c>
      <c r="X536" s="18" t="s">
        <v>788</v>
      </c>
      <c r="Y536" s="18">
        <v>1</v>
      </c>
      <c r="Z536" s="18">
        <v>73626</v>
      </c>
      <c r="AA536" s="18" t="s">
        <v>789</v>
      </c>
      <c r="AB536" s="18" t="s">
        <v>790</v>
      </c>
      <c r="AC536" s="18" t="s">
        <v>216</v>
      </c>
    </row>
    <row r="537" s="18" customFormat="1" ht="29" spans="1:29">
      <c r="A537" s="18" t="s">
        <v>1560</v>
      </c>
      <c r="B537" s="25" t="s">
        <v>1560</v>
      </c>
      <c r="C537" s="26">
        <v>45679</v>
      </c>
      <c r="D537" s="18" t="s">
        <v>1561</v>
      </c>
      <c r="E537" s="18" t="str">
        <f t="shared" si="8"/>
        <v>Dinesh Kanojia (Cr)</v>
      </c>
      <c r="F537" s="27" t="e">
        <v>#N/A</v>
      </c>
      <c r="G537" s="18" t="s">
        <v>182</v>
      </c>
      <c r="H537" s="18" t="s">
        <v>183</v>
      </c>
      <c r="I537" s="18" t="s">
        <v>184</v>
      </c>
      <c r="J537" s="18" t="s">
        <v>1346</v>
      </c>
      <c r="K537" s="18" t="s">
        <v>56</v>
      </c>
      <c r="L537" s="18" t="s">
        <v>36</v>
      </c>
      <c r="N537" s="18">
        <v>6</v>
      </c>
      <c r="O537" s="18" t="s">
        <v>57</v>
      </c>
      <c r="P537" s="18" t="s">
        <v>38</v>
      </c>
      <c r="Q537" s="18" t="s">
        <v>194</v>
      </c>
      <c r="R537" s="18" t="s">
        <v>59</v>
      </c>
      <c r="S537" s="18" t="s">
        <v>195</v>
      </c>
      <c r="T537" s="18" t="b">
        <v>0</v>
      </c>
      <c r="U537" s="18" t="s">
        <v>187</v>
      </c>
      <c r="V537" s="18" t="s">
        <v>40</v>
      </c>
      <c r="W537" s="18" t="s">
        <v>347</v>
      </c>
      <c r="X537" s="18" t="s">
        <v>348</v>
      </c>
      <c r="Y537" s="18">
        <v>1</v>
      </c>
      <c r="Z537" s="18">
        <v>10000</v>
      </c>
      <c r="AA537" s="31" t="s">
        <v>262</v>
      </c>
      <c r="AB537" s="18" t="s">
        <v>259</v>
      </c>
      <c r="AC537" s="18" t="e">
        <v>#N/A</v>
      </c>
    </row>
    <row r="538" s="18" customFormat="1" ht="29" spans="1:29">
      <c r="A538" s="18" t="s">
        <v>1562</v>
      </c>
      <c r="B538" s="25" t="s">
        <v>1562</v>
      </c>
      <c r="C538" s="26">
        <v>45679</v>
      </c>
      <c r="D538" s="18" t="s">
        <v>1563</v>
      </c>
      <c r="E538" s="18" t="str">
        <f t="shared" si="8"/>
        <v>Wellness Associates Fitness Solutions &amp; Management Pvt Ltd</v>
      </c>
      <c r="F538" s="27" t="s">
        <v>1564</v>
      </c>
      <c r="G538" s="18" t="s">
        <v>182</v>
      </c>
      <c r="H538" s="18" t="s">
        <v>183</v>
      </c>
      <c r="I538" s="18" t="s">
        <v>184</v>
      </c>
      <c r="J538" s="18" t="s">
        <v>793</v>
      </c>
      <c r="K538" s="18" t="s">
        <v>56</v>
      </c>
      <c r="L538" s="18" t="s">
        <v>36</v>
      </c>
      <c r="N538" s="18">
        <v>6</v>
      </c>
      <c r="O538" s="18" t="s">
        <v>88</v>
      </c>
      <c r="P538" s="18" t="s">
        <v>38</v>
      </c>
      <c r="Q538" s="18" t="s">
        <v>194</v>
      </c>
      <c r="R538" s="18" t="s">
        <v>59</v>
      </c>
      <c r="S538" s="18" t="s">
        <v>195</v>
      </c>
      <c r="T538" s="18" t="b">
        <v>0</v>
      </c>
      <c r="U538" s="18" t="s">
        <v>187</v>
      </c>
      <c r="V538" s="18" t="s">
        <v>40</v>
      </c>
      <c r="W538" s="18" t="s">
        <v>347</v>
      </c>
      <c r="X538" s="18" t="s">
        <v>348</v>
      </c>
      <c r="Y538" s="18">
        <v>1</v>
      </c>
      <c r="Z538" s="18">
        <v>40000</v>
      </c>
      <c r="AA538" s="31" t="s">
        <v>1565</v>
      </c>
      <c r="AB538" s="18" t="s">
        <v>1566</v>
      </c>
      <c r="AC538" s="18" t="s">
        <v>200</v>
      </c>
    </row>
    <row r="539" s="18" customFormat="1" spans="1:29">
      <c r="A539" s="18" t="s">
        <v>1567</v>
      </c>
      <c r="B539" s="25" t="s">
        <v>1567</v>
      </c>
      <c r="C539" s="26">
        <v>45679</v>
      </c>
      <c r="D539" s="18" t="s">
        <v>1568</v>
      </c>
      <c r="E539" s="18" t="str">
        <f t="shared" si="8"/>
        <v>K Raheja IT Park (Hyderabad) Ltd (OTV)</v>
      </c>
      <c r="F539" s="27" t="s">
        <v>1569</v>
      </c>
      <c r="G539" s="18" t="s">
        <v>182</v>
      </c>
      <c r="H539" s="18" t="s">
        <v>183</v>
      </c>
      <c r="I539" s="18" t="s">
        <v>34</v>
      </c>
      <c r="J539" s="18" t="s">
        <v>499</v>
      </c>
      <c r="K539" s="18" t="s">
        <v>56</v>
      </c>
      <c r="L539" s="18" t="s">
        <v>36</v>
      </c>
      <c r="N539" s="18">
        <v>6</v>
      </c>
      <c r="O539" s="18" t="s">
        <v>57</v>
      </c>
      <c r="P539" s="18" t="s">
        <v>38</v>
      </c>
      <c r="Q539" s="18" t="s">
        <v>117</v>
      </c>
      <c r="R539" s="18" t="s">
        <v>59</v>
      </c>
      <c r="S539" s="18" t="s">
        <v>186</v>
      </c>
      <c r="T539" s="18" t="b">
        <v>0</v>
      </c>
      <c r="U539" s="18" t="s">
        <v>187</v>
      </c>
      <c r="V539" s="18" t="s">
        <v>40</v>
      </c>
      <c r="W539" s="18" t="s">
        <v>1239</v>
      </c>
      <c r="X539" s="18" t="s">
        <v>1240</v>
      </c>
      <c r="Y539" s="18">
        <v>1</v>
      </c>
      <c r="Z539" s="18">
        <v>100000</v>
      </c>
      <c r="AA539" s="18" t="s">
        <v>513</v>
      </c>
      <c r="AB539" s="18" t="s">
        <v>514</v>
      </c>
      <c r="AC539" s="18" t="s">
        <v>676</v>
      </c>
    </row>
    <row r="540" s="18" customFormat="1" ht="29" spans="1:29">
      <c r="A540" s="18" t="s">
        <v>1570</v>
      </c>
      <c r="B540" s="25" t="s">
        <v>1570</v>
      </c>
      <c r="C540" s="26">
        <v>45680</v>
      </c>
      <c r="D540" s="18" t="s">
        <v>1233</v>
      </c>
      <c r="E540" s="18" t="str">
        <f t="shared" si="8"/>
        <v>Megascule</v>
      </c>
      <c r="F540" s="27" t="e">
        <v>#N/A</v>
      </c>
      <c r="G540" s="18" t="s">
        <v>32</v>
      </c>
      <c r="H540" s="18" t="s">
        <v>33</v>
      </c>
      <c r="I540" s="18" t="s">
        <v>184</v>
      </c>
      <c r="J540" s="18" t="s">
        <v>1234</v>
      </c>
      <c r="K540" s="18" t="s">
        <v>56</v>
      </c>
      <c r="L540" s="18" t="s">
        <v>36</v>
      </c>
      <c r="N540" s="18">
        <v>6</v>
      </c>
      <c r="O540" s="18" t="s">
        <v>88</v>
      </c>
      <c r="P540" s="18" t="s">
        <v>38</v>
      </c>
      <c r="Q540" s="18" t="s">
        <v>194</v>
      </c>
      <c r="R540" s="18" t="s">
        <v>59</v>
      </c>
      <c r="S540" s="18" t="s">
        <v>195</v>
      </c>
      <c r="T540" s="18" t="b">
        <v>1</v>
      </c>
      <c r="U540" s="18" t="s">
        <v>39</v>
      </c>
      <c r="V540" s="18" t="s">
        <v>40</v>
      </c>
      <c r="W540" s="18" t="s">
        <v>140</v>
      </c>
      <c r="X540" s="18" t="s">
        <v>141</v>
      </c>
      <c r="Y540" s="18">
        <v>1</v>
      </c>
      <c r="Z540" s="18">
        <v>2800</v>
      </c>
      <c r="AA540" s="31" t="s">
        <v>729</v>
      </c>
      <c r="AB540" s="18" t="s">
        <v>730</v>
      </c>
      <c r="AC540" s="18" t="s">
        <v>43</v>
      </c>
    </row>
    <row r="541" s="19" customFormat="1" spans="1:29">
      <c r="A541" s="19" t="s">
        <v>1571</v>
      </c>
      <c r="B541" s="28" t="s">
        <v>1571</v>
      </c>
      <c r="C541" s="29">
        <v>45680</v>
      </c>
      <c r="D541" s="19" t="s">
        <v>827</v>
      </c>
      <c r="E541" s="19" t="str">
        <f t="shared" si="8"/>
        <v>Infutech Solutions</v>
      </c>
      <c r="F541" s="30" t="s">
        <v>828</v>
      </c>
      <c r="G541" s="19" t="s">
        <v>32</v>
      </c>
      <c r="H541" s="19" t="s">
        <v>33</v>
      </c>
      <c r="I541" s="19" t="s">
        <v>133</v>
      </c>
      <c r="K541" s="19" t="s">
        <v>35</v>
      </c>
      <c r="L541" s="19" t="s">
        <v>36</v>
      </c>
      <c r="N541" s="19">
        <v>6</v>
      </c>
      <c r="O541" s="19" t="s">
        <v>88</v>
      </c>
      <c r="P541" s="19" t="s">
        <v>38</v>
      </c>
      <c r="T541" s="19" t="b">
        <v>1</v>
      </c>
      <c r="U541" s="19" t="s">
        <v>39</v>
      </c>
      <c r="V541" s="19" t="s">
        <v>40</v>
      </c>
      <c r="W541" s="19" t="s">
        <v>1572</v>
      </c>
      <c r="X541" s="19" t="e">
        <v>#N/A</v>
      </c>
      <c r="Y541" s="19">
        <v>1</v>
      </c>
      <c r="Z541" s="19">
        <v>23700</v>
      </c>
      <c r="AA541" s="19" t="s">
        <v>89</v>
      </c>
      <c r="AB541" s="19" t="s">
        <v>90</v>
      </c>
      <c r="AC541" s="19" t="s">
        <v>43</v>
      </c>
    </row>
    <row r="542" s="18" customFormat="1" ht="29" spans="1:29">
      <c r="A542" s="18" t="s">
        <v>1573</v>
      </c>
      <c r="B542" s="25" t="s">
        <v>1573</v>
      </c>
      <c r="C542" s="26">
        <v>45680</v>
      </c>
      <c r="D542" s="18" t="s">
        <v>325</v>
      </c>
      <c r="E542" s="18" t="str">
        <f t="shared" si="8"/>
        <v>Gala Event Solutions</v>
      </c>
      <c r="F542" s="27" t="s">
        <v>326</v>
      </c>
      <c r="G542" s="18" t="s">
        <v>99</v>
      </c>
      <c r="H542" s="18" t="s">
        <v>100</v>
      </c>
      <c r="I542" s="18" t="s">
        <v>184</v>
      </c>
      <c r="J542" s="18" t="s">
        <v>1574</v>
      </c>
      <c r="K542" s="18" t="s">
        <v>56</v>
      </c>
      <c r="L542" s="18" t="s">
        <v>36</v>
      </c>
      <c r="N542" s="18">
        <v>6</v>
      </c>
      <c r="O542" s="18" t="s">
        <v>88</v>
      </c>
      <c r="P542" s="18" t="s">
        <v>38</v>
      </c>
      <c r="Q542" s="18" t="s">
        <v>117</v>
      </c>
      <c r="R542" s="18" t="s">
        <v>59</v>
      </c>
      <c r="S542" s="18" t="s">
        <v>186</v>
      </c>
      <c r="T542" s="18" t="b">
        <v>1</v>
      </c>
      <c r="U542" s="18" t="s">
        <v>101</v>
      </c>
      <c r="V542" s="18" t="s">
        <v>40</v>
      </c>
      <c r="W542" s="18" t="s">
        <v>317</v>
      </c>
      <c r="X542" s="18" t="s">
        <v>318</v>
      </c>
      <c r="Y542" s="18">
        <v>1</v>
      </c>
      <c r="Z542" s="18">
        <v>158000</v>
      </c>
      <c r="AA542" s="31" t="s">
        <v>1575</v>
      </c>
      <c r="AB542" s="18" t="s">
        <v>103</v>
      </c>
      <c r="AC542" s="18" t="s">
        <v>111</v>
      </c>
    </row>
    <row r="543" s="18" customFormat="1" spans="1:29">
      <c r="A543" s="18" t="s">
        <v>1576</v>
      </c>
      <c r="B543" s="25" t="s">
        <v>1576</v>
      </c>
      <c r="C543" s="26">
        <v>45680</v>
      </c>
      <c r="D543" s="18" t="s">
        <v>1577</v>
      </c>
      <c r="E543" s="18" t="str">
        <f t="shared" si="8"/>
        <v>Evangelin Dominiic  </v>
      </c>
      <c r="F543" s="27" t="e">
        <v>#N/A</v>
      </c>
      <c r="G543" s="18" t="s">
        <v>99</v>
      </c>
      <c r="H543" s="18" t="s">
        <v>100</v>
      </c>
      <c r="I543" s="18" t="s">
        <v>1246</v>
      </c>
      <c r="J543" s="18" t="s">
        <v>499</v>
      </c>
      <c r="K543" s="18" t="s">
        <v>56</v>
      </c>
      <c r="L543" s="18" t="s">
        <v>36</v>
      </c>
      <c r="N543" s="18">
        <v>6</v>
      </c>
      <c r="O543" s="18" t="s">
        <v>93</v>
      </c>
      <c r="P543" s="18" t="s">
        <v>38</v>
      </c>
      <c r="Q543" s="18" t="s">
        <v>117</v>
      </c>
      <c r="R543" s="18" t="s">
        <v>59</v>
      </c>
      <c r="S543" s="18" t="s">
        <v>186</v>
      </c>
      <c r="T543" s="18" t="b">
        <v>1</v>
      </c>
      <c r="U543" s="18" t="s">
        <v>101</v>
      </c>
      <c r="V543" s="18" t="s">
        <v>40</v>
      </c>
      <c r="W543" s="18" t="s">
        <v>126</v>
      </c>
      <c r="X543" s="18" t="s">
        <v>127</v>
      </c>
      <c r="Y543" s="18">
        <v>1</v>
      </c>
      <c r="Z543" s="18">
        <v>990</v>
      </c>
      <c r="AA543" s="18" t="s">
        <v>102</v>
      </c>
      <c r="AB543" s="18" t="s">
        <v>103</v>
      </c>
      <c r="AC543" s="18" t="e">
        <v>#N/A</v>
      </c>
    </row>
    <row r="544" s="18" customFormat="1" spans="1:29">
      <c r="A544" s="18" t="s">
        <v>1578</v>
      </c>
      <c r="B544" s="25" t="s">
        <v>1578</v>
      </c>
      <c r="C544" s="26">
        <v>45680</v>
      </c>
      <c r="D544" s="18" t="s">
        <v>331</v>
      </c>
      <c r="E544" s="18" t="str">
        <f t="shared" si="8"/>
        <v>Clinton J  for Expense</v>
      </c>
      <c r="F544" s="27" t="e">
        <v>#N/A</v>
      </c>
      <c r="G544" s="18" t="s">
        <v>99</v>
      </c>
      <c r="H544" s="18" t="s">
        <v>100</v>
      </c>
      <c r="I544" s="18" t="s">
        <v>133</v>
      </c>
      <c r="J544" s="18" t="s">
        <v>240</v>
      </c>
      <c r="K544" s="18" t="s">
        <v>56</v>
      </c>
      <c r="L544" s="18" t="s">
        <v>36</v>
      </c>
      <c r="N544" s="18">
        <v>6</v>
      </c>
      <c r="O544" s="18" t="s">
        <v>93</v>
      </c>
      <c r="P544" s="18" t="s">
        <v>38</v>
      </c>
      <c r="Q544" s="18" t="s">
        <v>58</v>
      </c>
      <c r="R544" s="18" t="s">
        <v>59</v>
      </c>
      <c r="S544" s="18" t="s">
        <v>60</v>
      </c>
      <c r="T544" s="18" t="b">
        <v>1</v>
      </c>
      <c r="U544" s="18" t="s">
        <v>101</v>
      </c>
      <c r="V544" s="18" t="s">
        <v>40</v>
      </c>
      <c r="W544" s="18" t="s">
        <v>126</v>
      </c>
      <c r="X544" s="18" t="s">
        <v>127</v>
      </c>
      <c r="Y544" s="18">
        <v>1</v>
      </c>
      <c r="Z544" s="18">
        <v>280</v>
      </c>
      <c r="AA544" s="18" t="s">
        <v>241</v>
      </c>
      <c r="AB544" s="18" t="s">
        <v>242</v>
      </c>
      <c r="AC544" s="18" t="e">
        <v>#N/A</v>
      </c>
    </row>
    <row r="545" s="18" customFormat="1" ht="29" spans="1:29">
      <c r="A545" s="18" t="s">
        <v>1579</v>
      </c>
      <c r="B545" s="25" t="s">
        <v>1579</v>
      </c>
      <c r="C545" s="26">
        <v>45680</v>
      </c>
      <c r="D545" s="18" t="s">
        <v>1580</v>
      </c>
      <c r="E545" s="18" t="str">
        <f t="shared" si="8"/>
        <v>Empee Hotels Limited (Hilton Chennai)</v>
      </c>
      <c r="F545" s="27" t="e">
        <v>#N/A</v>
      </c>
      <c r="G545" s="18" t="s">
        <v>99</v>
      </c>
      <c r="H545" s="18" t="s">
        <v>100</v>
      </c>
      <c r="I545" s="18" t="s">
        <v>184</v>
      </c>
      <c r="J545" s="18" t="s">
        <v>1581</v>
      </c>
      <c r="K545" s="18" t="s">
        <v>56</v>
      </c>
      <c r="L545" s="18" t="s">
        <v>36</v>
      </c>
      <c r="N545" s="18">
        <v>6</v>
      </c>
      <c r="O545" s="18" t="s">
        <v>57</v>
      </c>
      <c r="P545" s="18" t="s">
        <v>38</v>
      </c>
      <c r="Q545" s="18" t="s">
        <v>117</v>
      </c>
      <c r="R545" s="18" t="s">
        <v>59</v>
      </c>
      <c r="S545" s="18" t="s">
        <v>118</v>
      </c>
      <c r="T545" s="18" t="b">
        <v>1</v>
      </c>
      <c r="U545" s="18" t="s">
        <v>101</v>
      </c>
      <c r="V545" s="18" t="s">
        <v>40</v>
      </c>
      <c r="W545" s="18" t="s">
        <v>276</v>
      </c>
      <c r="X545" s="18" t="s">
        <v>276</v>
      </c>
      <c r="Y545" s="18">
        <v>1</v>
      </c>
      <c r="Z545" s="18">
        <v>108359.12</v>
      </c>
      <c r="AA545" s="31" t="s">
        <v>1582</v>
      </c>
      <c r="AB545" s="18" t="s">
        <v>1424</v>
      </c>
      <c r="AC545" s="18" t="s">
        <v>111</v>
      </c>
    </row>
    <row r="546" s="18" customFormat="1" spans="1:29">
      <c r="A546" s="18" t="s">
        <v>1583</v>
      </c>
      <c r="B546" s="25" t="s">
        <v>1583</v>
      </c>
      <c r="C546" s="26">
        <v>45680</v>
      </c>
      <c r="D546" s="18" t="s">
        <v>331</v>
      </c>
      <c r="E546" s="18" t="str">
        <f t="shared" si="8"/>
        <v>Clinton J  for Expense</v>
      </c>
      <c r="F546" s="27" t="e">
        <v>#N/A</v>
      </c>
      <c r="G546" s="18" t="s">
        <v>99</v>
      </c>
      <c r="H546" s="18" t="s">
        <v>100</v>
      </c>
      <c r="I546" s="18" t="s">
        <v>133</v>
      </c>
      <c r="J546" s="18" t="s">
        <v>1147</v>
      </c>
      <c r="K546" s="18" t="s">
        <v>56</v>
      </c>
      <c r="L546" s="18" t="s">
        <v>36</v>
      </c>
      <c r="N546" s="18">
        <v>6</v>
      </c>
      <c r="O546" s="18" t="s">
        <v>93</v>
      </c>
      <c r="P546" s="18" t="s">
        <v>38</v>
      </c>
      <c r="Q546" s="18" t="s">
        <v>58</v>
      </c>
      <c r="R546" s="18" t="s">
        <v>59</v>
      </c>
      <c r="S546" s="18" t="s">
        <v>60</v>
      </c>
      <c r="T546" s="18" t="b">
        <v>1</v>
      </c>
      <c r="U546" s="18" t="s">
        <v>101</v>
      </c>
      <c r="V546" s="18" t="s">
        <v>40</v>
      </c>
      <c r="W546" s="18" t="s">
        <v>1055</v>
      </c>
      <c r="X546" s="18" t="s">
        <v>1056</v>
      </c>
      <c r="Y546" s="18">
        <v>1</v>
      </c>
      <c r="Z546" s="18">
        <v>783</v>
      </c>
      <c r="AA546" s="18" t="s">
        <v>603</v>
      </c>
      <c r="AB546" s="18" t="s">
        <v>600</v>
      </c>
      <c r="AC546" s="18" t="e">
        <v>#N/A</v>
      </c>
    </row>
    <row r="547" s="18" customFormat="1" spans="1:29">
      <c r="A547" s="18" t="s">
        <v>1584</v>
      </c>
      <c r="B547" s="25" t="s">
        <v>1584</v>
      </c>
      <c r="C547" s="26">
        <v>45680</v>
      </c>
      <c r="D547" s="18" t="s">
        <v>1585</v>
      </c>
      <c r="E547" s="18" t="str">
        <f t="shared" si="8"/>
        <v>Praveen Raj Adv for Expenses</v>
      </c>
      <c r="F547" s="27" t="e">
        <v>#N/A</v>
      </c>
      <c r="G547" s="18" t="s">
        <v>99</v>
      </c>
      <c r="H547" s="18" t="s">
        <v>100</v>
      </c>
      <c r="I547" s="18" t="s">
        <v>34</v>
      </c>
      <c r="J547" s="18" t="s">
        <v>499</v>
      </c>
      <c r="K547" s="18" t="s">
        <v>56</v>
      </c>
      <c r="L547" s="18" t="s">
        <v>36</v>
      </c>
      <c r="N547" s="18">
        <v>6</v>
      </c>
      <c r="O547" s="18" t="s">
        <v>93</v>
      </c>
      <c r="P547" s="18" t="s">
        <v>38</v>
      </c>
      <c r="Q547" s="18" t="s">
        <v>117</v>
      </c>
      <c r="R547" s="18" t="s">
        <v>59</v>
      </c>
      <c r="S547" s="18" t="s">
        <v>186</v>
      </c>
      <c r="T547" s="18" t="b">
        <v>1</v>
      </c>
      <c r="U547" s="18" t="s">
        <v>101</v>
      </c>
      <c r="V547" s="18" t="s">
        <v>40</v>
      </c>
      <c r="W547" s="18" t="s">
        <v>126</v>
      </c>
      <c r="X547" s="18" t="s">
        <v>127</v>
      </c>
      <c r="Y547" s="18">
        <v>1</v>
      </c>
      <c r="Z547" s="18">
        <v>3950</v>
      </c>
      <c r="AA547" s="18" t="s">
        <v>102</v>
      </c>
      <c r="AB547" s="18" t="s">
        <v>103</v>
      </c>
      <c r="AC547" s="18" t="e">
        <v>#N/A</v>
      </c>
    </row>
    <row r="548" s="18" customFormat="1" spans="1:29">
      <c r="A548" s="18" t="s">
        <v>1586</v>
      </c>
      <c r="B548" s="25" t="s">
        <v>1586</v>
      </c>
      <c r="C548" s="26">
        <v>45680</v>
      </c>
      <c r="D548" s="18" t="s">
        <v>1585</v>
      </c>
      <c r="E548" s="18" t="str">
        <f t="shared" si="8"/>
        <v>Praveen Raj Adv for Expenses</v>
      </c>
      <c r="F548" s="27" t="e">
        <v>#N/A</v>
      </c>
      <c r="G548" s="18" t="s">
        <v>99</v>
      </c>
      <c r="H548" s="18" t="s">
        <v>100</v>
      </c>
      <c r="I548" s="18" t="s">
        <v>1246</v>
      </c>
      <c r="J548" s="18" t="s">
        <v>499</v>
      </c>
      <c r="K548" s="18" t="s">
        <v>56</v>
      </c>
      <c r="L548" s="18" t="s">
        <v>36</v>
      </c>
      <c r="N548" s="18">
        <v>6</v>
      </c>
      <c r="O548" s="18" t="s">
        <v>93</v>
      </c>
      <c r="P548" s="18" t="s">
        <v>38</v>
      </c>
      <c r="Q548" s="18" t="s">
        <v>117</v>
      </c>
      <c r="R548" s="18" t="s">
        <v>59</v>
      </c>
      <c r="S548" s="18" t="s">
        <v>186</v>
      </c>
      <c r="T548" s="18" t="b">
        <v>1</v>
      </c>
      <c r="U548" s="18" t="s">
        <v>101</v>
      </c>
      <c r="V548" s="18" t="s">
        <v>40</v>
      </c>
      <c r="W548" s="18" t="s">
        <v>126</v>
      </c>
      <c r="X548" s="18" t="s">
        <v>127</v>
      </c>
      <c r="Y548" s="18">
        <v>1</v>
      </c>
      <c r="Z548" s="18">
        <v>4950</v>
      </c>
      <c r="AA548" s="18" t="s">
        <v>102</v>
      </c>
      <c r="AB548" s="18" t="s">
        <v>103</v>
      </c>
      <c r="AC548" s="18" t="e">
        <v>#N/A</v>
      </c>
    </row>
    <row r="549" s="18" customFormat="1" spans="1:29">
      <c r="A549" s="18" t="s">
        <v>1587</v>
      </c>
      <c r="B549" s="25" t="s">
        <v>1587</v>
      </c>
      <c r="C549" s="26">
        <v>45680</v>
      </c>
      <c r="D549" s="18" t="s">
        <v>1588</v>
      </c>
      <c r="E549" s="18" t="str">
        <f t="shared" si="8"/>
        <v>Utkarsh Luthra  </v>
      </c>
      <c r="F549" s="27" t="e">
        <v>#N/A</v>
      </c>
      <c r="G549" s="18" t="s">
        <v>147</v>
      </c>
      <c r="H549" s="18" t="s">
        <v>148</v>
      </c>
      <c r="I549" s="18" t="s">
        <v>207</v>
      </c>
      <c r="J549" s="18" t="s">
        <v>395</v>
      </c>
      <c r="K549" s="18" t="s">
        <v>56</v>
      </c>
      <c r="L549" s="18" t="s">
        <v>36</v>
      </c>
      <c r="N549" s="18">
        <v>6</v>
      </c>
      <c r="O549" s="18" t="s">
        <v>93</v>
      </c>
      <c r="P549" s="18" t="s">
        <v>38</v>
      </c>
      <c r="Q549" s="18" t="s">
        <v>58</v>
      </c>
      <c r="R549" s="18" t="s">
        <v>59</v>
      </c>
      <c r="S549" s="18" t="s">
        <v>60</v>
      </c>
      <c r="T549" s="18" t="b">
        <v>1</v>
      </c>
      <c r="U549" s="18" t="s">
        <v>150</v>
      </c>
      <c r="V549" s="18" t="s">
        <v>40</v>
      </c>
      <c r="W549" s="18" t="s">
        <v>126</v>
      </c>
      <c r="X549" s="18" t="s">
        <v>127</v>
      </c>
      <c r="Y549" s="18">
        <v>1</v>
      </c>
      <c r="Z549" s="18">
        <v>600</v>
      </c>
      <c r="AA549" s="18" t="s">
        <v>1589</v>
      </c>
      <c r="AB549" s="18" t="s">
        <v>1590</v>
      </c>
      <c r="AC549" s="18" t="e">
        <v>#N/A</v>
      </c>
    </row>
    <row r="550" s="18" customFormat="1" spans="1:29">
      <c r="A550" s="18" t="s">
        <v>1591</v>
      </c>
      <c r="B550" s="25" t="s">
        <v>1591</v>
      </c>
      <c r="C550" s="26">
        <v>45680</v>
      </c>
      <c r="D550" s="18" t="s">
        <v>1592</v>
      </c>
      <c r="E550" s="18" t="str">
        <f t="shared" si="8"/>
        <v>Harsh Arya  </v>
      </c>
      <c r="F550" s="27" t="e">
        <v>#N/A</v>
      </c>
      <c r="G550" s="18" t="s">
        <v>147</v>
      </c>
      <c r="H550" s="18" t="s">
        <v>148</v>
      </c>
      <c r="I550" s="18" t="s">
        <v>207</v>
      </c>
      <c r="J550" s="18" t="s">
        <v>395</v>
      </c>
      <c r="K550" s="18" t="s">
        <v>56</v>
      </c>
      <c r="L550" s="18" t="s">
        <v>36</v>
      </c>
      <c r="N550" s="18">
        <v>6</v>
      </c>
      <c r="O550" s="18" t="s">
        <v>93</v>
      </c>
      <c r="P550" s="18" t="s">
        <v>38</v>
      </c>
      <c r="Q550" s="18" t="s">
        <v>58</v>
      </c>
      <c r="R550" s="18" t="s">
        <v>59</v>
      </c>
      <c r="S550" s="18" t="s">
        <v>60</v>
      </c>
      <c r="T550" s="18" t="b">
        <v>1</v>
      </c>
      <c r="U550" s="18" t="s">
        <v>150</v>
      </c>
      <c r="V550" s="18" t="s">
        <v>40</v>
      </c>
      <c r="W550" s="18" t="s">
        <v>126</v>
      </c>
      <c r="X550" s="18" t="s">
        <v>127</v>
      </c>
      <c r="Y550" s="18">
        <v>1</v>
      </c>
      <c r="Z550" s="18">
        <v>1960</v>
      </c>
      <c r="AA550" s="18" t="s">
        <v>1593</v>
      </c>
      <c r="AB550" s="18" t="s">
        <v>1594</v>
      </c>
      <c r="AC550" s="18" t="e">
        <v>#N/A</v>
      </c>
    </row>
    <row r="551" s="18" customFormat="1" ht="29" spans="1:29">
      <c r="A551" s="18" t="s">
        <v>1595</v>
      </c>
      <c r="B551" s="25" t="s">
        <v>1595</v>
      </c>
      <c r="C551" s="26">
        <v>45680</v>
      </c>
      <c r="D551" s="18" t="s">
        <v>1596</v>
      </c>
      <c r="E551" s="18" t="str">
        <f t="shared" si="8"/>
        <v>Ground Zero Events Pvt Ltd</v>
      </c>
      <c r="F551" s="27" t="s">
        <v>1597</v>
      </c>
      <c r="G551" s="18" t="s">
        <v>147</v>
      </c>
      <c r="H551" s="18" t="s">
        <v>148</v>
      </c>
      <c r="I551" s="18" t="s">
        <v>184</v>
      </c>
      <c r="J551" s="18" t="s">
        <v>1598</v>
      </c>
      <c r="K551" s="18" t="s">
        <v>56</v>
      </c>
      <c r="L551" s="18" t="s">
        <v>36</v>
      </c>
      <c r="N551" s="18">
        <v>6</v>
      </c>
      <c r="O551" s="18" t="s">
        <v>88</v>
      </c>
      <c r="P551" s="18" t="s">
        <v>38</v>
      </c>
      <c r="Q551" s="18" t="s">
        <v>194</v>
      </c>
      <c r="R551" s="18" t="s">
        <v>59</v>
      </c>
      <c r="S551" s="18" t="s">
        <v>195</v>
      </c>
      <c r="T551" s="18" t="b">
        <v>1</v>
      </c>
      <c r="U551" s="18" t="s">
        <v>150</v>
      </c>
      <c r="V551" s="18" t="s">
        <v>40</v>
      </c>
      <c r="W551" s="18" t="s">
        <v>317</v>
      </c>
      <c r="X551" s="18" t="s">
        <v>318</v>
      </c>
      <c r="Y551" s="18">
        <v>1</v>
      </c>
      <c r="Z551" s="18">
        <v>129000</v>
      </c>
      <c r="AA551" s="31" t="s">
        <v>198</v>
      </c>
      <c r="AB551" s="18" t="s">
        <v>199</v>
      </c>
      <c r="AC551" s="18" t="s">
        <v>155</v>
      </c>
    </row>
    <row r="552" s="18" customFormat="1" spans="1:29">
      <c r="A552" s="18" t="s">
        <v>1599</v>
      </c>
      <c r="B552" s="25" t="s">
        <v>1599</v>
      </c>
      <c r="C552" s="26">
        <v>45680</v>
      </c>
      <c r="D552" s="18" t="s">
        <v>1029</v>
      </c>
      <c r="E552" s="18" t="str">
        <f t="shared" si="8"/>
        <v>Pankaj Kumar Mishra  </v>
      </c>
      <c r="F552" s="27" t="e">
        <v>#N/A</v>
      </c>
      <c r="G552" s="18" t="s">
        <v>147</v>
      </c>
      <c r="H552" s="18" t="s">
        <v>148</v>
      </c>
      <c r="I552" s="18" t="s">
        <v>207</v>
      </c>
      <c r="J552" s="18" t="s">
        <v>55</v>
      </c>
      <c r="K552" s="18" t="s">
        <v>56</v>
      </c>
      <c r="L552" s="18" t="s">
        <v>36</v>
      </c>
      <c r="N552" s="18">
        <v>6</v>
      </c>
      <c r="O552" s="18" t="s">
        <v>93</v>
      </c>
      <c r="P552" s="18" t="s">
        <v>38</v>
      </c>
      <c r="Q552" s="18" t="s">
        <v>58</v>
      </c>
      <c r="R552" s="18" t="s">
        <v>59</v>
      </c>
      <c r="S552" s="18" t="s">
        <v>60</v>
      </c>
      <c r="T552" s="18" t="b">
        <v>1</v>
      </c>
      <c r="U552" s="18" t="s">
        <v>150</v>
      </c>
      <c r="V552" s="18" t="s">
        <v>40</v>
      </c>
      <c r="W552" s="18" t="s">
        <v>233</v>
      </c>
      <c r="X552" s="18" t="s">
        <v>234</v>
      </c>
      <c r="Y552" s="18">
        <v>1</v>
      </c>
      <c r="Z552" s="18">
        <v>2120.46</v>
      </c>
      <c r="AA552" s="18" t="s">
        <v>1524</v>
      </c>
      <c r="AB552" s="18" t="s">
        <v>228</v>
      </c>
      <c r="AC552" s="18" t="e">
        <v>#N/A</v>
      </c>
    </row>
    <row r="553" s="18" customFormat="1" spans="1:29">
      <c r="A553" s="18" t="s">
        <v>1600</v>
      </c>
      <c r="B553" s="25" t="s">
        <v>1600</v>
      </c>
      <c r="C553" s="26">
        <v>45680</v>
      </c>
      <c r="D553" s="18" t="s">
        <v>559</v>
      </c>
      <c r="E553" s="18" t="str">
        <f t="shared" si="8"/>
        <v>Red Carpet Events And Entertainment</v>
      </c>
      <c r="F553" s="27" t="s">
        <v>560</v>
      </c>
      <c r="G553" s="18" t="s">
        <v>147</v>
      </c>
      <c r="H553" s="18" t="s">
        <v>148</v>
      </c>
      <c r="I553" s="18" t="s">
        <v>207</v>
      </c>
      <c r="J553" s="18" t="s">
        <v>1098</v>
      </c>
      <c r="K553" s="18" t="s">
        <v>56</v>
      </c>
      <c r="L553" s="18" t="s">
        <v>36</v>
      </c>
      <c r="N553" s="18">
        <v>6</v>
      </c>
      <c r="O553" s="18" t="s">
        <v>88</v>
      </c>
      <c r="P553" s="18" t="s">
        <v>38</v>
      </c>
      <c r="Q553" s="18" t="s">
        <v>58</v>
      </c>
      <c r="R553" s="18" t="s">
        <v>59</v>
      </c>
      <c r="S553" s="18" t="s">
        <v>60</v>
      </c>
      <c r="T553" s="18" t="b">
        <v>1</v>
      </c>
      <c r="U553" s="18" t="s">
        <v>150</v>
      </c>
      <c r="V553" s="18" t="s">
        <v>40</v>
      </c>
      <c r="W553" s="18" t="s">
        <v>292</v>
      </c>
      <c r="X553" s="18" t="s">
        <v>293</v>
      </c>
      <c r="Y553" s="18">
        <v>1</v>
      </c>
      <c r="Z553" s="18">
        <v>4000</v>
      </c>
      <c r="AA553" s="18" t="s">
        <v>1601</v>
      </c>
      <c r="AB553" s="18" t="s">
        <v>1100</v>
      </c>
      <c r="AC553" s="18" t="e">
        <v>#N/A</v>
      </c>
    </row>
    <row r="554" s="18" customFormat="1" spans="1:29">
      <c r="A554" s="18" t="s">
        <v>1602</v>
      </c>
      <c r="B554" s="25" t="s">
        <v>1602</v>
      </c>
      <c r="C554" s="26">
        <v>45680</v>
      </c>
      <c r="D554" s="18" t="s">
        <v>424</v>
      </c>
      <c r="E554" s="18" t="str">
        <f t="shared" si="8"/>
        <v>Minter Cstech Pvt.Ltd.</v>
      </c>
      <c r="F554" s="27" t="e">
        <v>#N/A</v>
      </c>
      <c r="G554" s="18" t="s">
        <v>147</v>
      </c>
      <c r="H554" s="18" t="s">
        <v>148</v>
      </c>
      <c r="I554" s="18" t="s">
        <v>159</v>
      </c>
      <c r="K554" s="18" t="s">
        <v>35</v>
      </c>
      <c r="L554" s="18" t="s">
        <v>36</v>
      </c>
      <c r="N554" s="18">
        <v>6</v>
      </c>
      <c r="O554" s="18" t="s">
        <v>88</v>
      </c>
      <c r="P554" s="18" t="s">
        <v>38</v>
      </c>
      <c r="T554" s="18" t="b">
        <v>1</v>
      </c>
      <c r="U554" s="18" t="s">
        <v>150</v>
      </c>
      <c r="V554" s="18" t="s">
        <v>40</v>
      </c>
      <c r="W554" s="18" t="s">
        <v>526</v>
      </c>
      <c r="X554" s="18" t="s">
        <v>526</v>
      </c>
      <c r="Y554" s="18">
        <v>1</v>
      </c>
      <c r="Z554" s="18">
        <v>48850</v>
      </c>
      <c r="AA554" s="18" t="s">
        <v>176</v>
      </c>
      <c r="AB554" s="18" t="s">
        <v>173</v>
      </c>
      <c r="AC554" s="18" t="s">
        <v>163</v>
      </c>
    </row>
    <row r="555" s="18" customFormat="1" spans="1:29">
      <c r="A555" s="18" t="s">
        <v>1603</v>
      </c>
      <c r="B555" s="25" t="s">
        <v>1603</v>
      </c>
      <c r="C555" s="26">
        <v>45680</v>
      </c>
      <c r="D555" s="18" t="s">
        <v>702</v>
      </c>
      <c r="E555" s="18" t="str">
        <f t="shared" si="8"/>
        <v>Shree Ram Computers</v>
      </c>
      <c r="F555" s="27" t="s">
        <v>703</v>
      </c>
      <c r="G555" s="18" t="s">
        <v>147</v>
      </c>
      <c r="H555" s="18" t="s">
        <v>148</v>
      </c>
      <c r="I555" s="18" t="s">
        <v>207</v>
      </c>
      <c r="J555" s="18" t="s">
        <v>466</v>
      </c>
      <c r="K555" s="18" t="s">
        <v>56</v>
      </c>
      <c r="L555" s="18" t="s">
        <v>36</v>
      </c>
      <c r="N555" s="18">
        <v>6</v>
      </c>
      <c r="O555" s="18" t="s">
        <v>57</v>
      </c>
      <c r="P555" s="18" t="s">
        <v>38</v>
      </c>
      <c r="Q555" s="18" t="s">
        <v>58</v>
      </c>
      <c r="R555" s="18" t="s">
        <v>59</v>
      </c>
      <c r="S555" s="18" t="s">
        <v>60</v>
      </c>
      <c r="T555" s="18" t="b">
        <v>1</v>
      </c>
      <c r="U555" s="18" t="s">
        <v>150</v>
      </c>
      <c r="V555" s="18" t="s">
        <v>40</v>
      </c>
      <c r="W555" s="18" t="s">
        <v>704</v>
      </c>
      <c r="X555" s="18" t="s">
        <v>704</v>
      </c>
      <c r="Y555" s="18">
        <v>1</v>
      </c>
      <c r="Z555" s="18">
        <v>24576</v>
      </c>
      <c r="AA555" s="18" t="s">
        <v>516</v>
      </c>
      <c r="AB555" s="18" t="s">
        <v>173</v>
      </c>
      <c r="AC555" s="18" t="s">
        <v>163</v>
      </c>
    </row>
    <row r="556" s="18" customFormat="1" spans="1:29">
      <c r="A556" s="18" t="s">
        <v>1604</v>
      </c>
      <c r="B556" s="25" t="s">
        <v>1604</v>
      </c>
      <c r="C556" s="26">
        <v>45680</v>
      </c>
      <c r="D556" s="18" t="s">
        <v>692</v>
      </c>
      <c r="E556" s="18" t="str">
        <f t="shared" si="8"/>
        <v>Yolekha Events</v>
      </c>
      <c r="F556" s="27" t="s">
        <v>693</v>
      </c>
      <c r="G556" s="18" t="s">
        <v>147</v>
      </c>
      <c r="H556" s="18" t="s">
        <v>148</v>
      </c>
      <c r="I556" s="18" t="s">
        <v>207</v>
      </c>
      <c r="J556" s="18" t="s">
        <v>149</v>
      </c>
      <c r="K556" s="18" t="s">
        <v>56</v>
      </c>
      <c r="L556" s="18" t="s">
        <v>36</v>
      </c>
      <c r="N556" s="18">
        <v>6</v>
      </c>
      <c r="O556" s="18" t="s">
        <v>57</v>
      </c>
      <c r="P556" s="18" t="s">
        <v>38</v>
      </c>
      <c r="Q556" s="18" t="s">
        <v>58</v>
      </c>
      <c r="R556" s="18" t="s">
        <v>59</v>
      </c>
      <c r="S556" s="18" t="s">
        <v>60</v>
      </c>
      <c r="T556" s="18" t="b">
        <v>1</v>
      </c>
      <c r="U556" s="18" t="s">
        <v>150</v>
      </c>
      <c r="V556" s="18" t="s">
        <v>40</v>
      </c>
      <c r="W556" s="18" t="s">
        <v>196</v>
      </c>
      <c r="X556" s="18" t="s">
        <v>197</v>
      </c>
      <c r="Y556" s="18">
        <v>1</v>
      </c>
      <c r="Z556" s="18">
        <v>28335</v>
      </c>
      <c r="AA556" s="18" t="s">
        <v>227</v>
      </c>
      <c r="AB556" s="18" t="s">
        <v>228</v>
      </c>
      <c r="AC556" s="18" t="s">
        <v>163</v>
      </c>
    </row>
    <row r="557" s="18" customFormat="1" spans="1:29">
      <c r="A557" s="18" t="s">
        <v>1605</v>
      </c>
      <c r="B557" s="25" t="s">
        <v>1605</v>
      </c>
      <c r="C557" s="26">
        <v>45680</v>
      </c>
      <c r="D557" s="18" t="s">
        <v>702</v>
      </c>
      <c r="E557" s="18" t="str">
        <f t="shared" si="8"/>
        <v>Shree Ram Computers</v>
      </c>
      <c r="F557" s="27" t="s">
        <v>703</v>
      </c>
      <c r="G557" s="18" t="s">
        <v>147</v>
      </c>
      <c r="H557" s="18" t="s">
        <v>148</v>
      </c>
      <c r="I557" s="18" t="s">
        <v>207</v>
      </c>
      <c r="J557" s="18" t="s">
        <v>149</v>
      </c>
      <c r="K557" s="18" t="s">
        <v>56</v>
      </c>
      <c r="L557" s="18" t="s">
        <v>36</v>
      </c>
      <c r="N557" s="18">
        <v>6</v>
      </c>
      <c r="O557" s="18" t="s">
        <v>57</v>
      </c>
      <c r="P557" s="18" t="s">
        <v>38</v>
      </c>
      <c r="Q557" s="18" t="s">
        <v>58</v>
      </c>
      <c r="R557" s="18" t="s">
        <v>59</v>
      </c>
      <c r="S557" s="18" t="s">
        <v>60</v>
      </c>
      <c r="T557" s="18" t="b">
        <v>1</v>
      </c>
      <c r="U557" s="18" t="s">
        <v>150</v>
      </c>
      <c r="V557" s="18" t="s">
        <v>40</v>
      </c>
      <c r="W557" s="18" t="s">
        <v>704</v>
      </c>
      <c r="X557" s="18" t="s">
        <v>704</v>
      </c>
      <c r="Y557" s="18">
        <v>1</v>
      </c>
      <c r="Z557" s="18">
        <v>860</v>
      </c>
      <c r="AA557" s="18" t="s">
        <v>176</v>
      </c>
      <c r="AB557" s="18" t="s">
        <v>173</v>
      </c>
      <c r="AC557" s="18" t="s">
        <v>163</v>
      </c>
    </row>
    <row r="558" s="18" customFormat="1" spans="1:29">
      <c r="A558" s="18" t="s">
        <v>1606</v>
      </c>
      <c r="B558" s="25" t="s">
        <v>1606</v>
      </c>
      <c r="C558" s="26">
        <v>45680</v>
      </c>
      <c r="D558" s="18" t="s">
        <v>1607</v>
      </c>
      <c r="E558" s="18" t="str">
        <f t="shared" si="8"/>
        <v>Amrik Singh (Mika Singh)</v>
      </c>
      <c r="F558" s="27" t="s">
        <v>1608</v>
      </c>
      <c r="G558" s="18" t="s">
        <v>147</v>
      </c>
      <c r="H558" s="18" t="s">
        <v>148</v>
      </c>
      <c r="I558" s="18" t="s">
        <v>207</v>
      </c>
      <c r="J558" s="18" t="s">
        <v>1609</v>
      </c>
      <c r="K558" s="18" t="s">
        <v>56</v>
      </c>
      <c r="L558" s="18" t="s">
        <v>36</v>
      </c>
      <c r="N558" s="18">
        <v>6</v>
      </c>
      <c r="O558" s="18" t="s">
        <v>88</v>
      </c>
      <c r="P558" s="18" t="s">
        <v>38</v>
      </c>
      <c r="Q558" s="18" t="s">
        <v>58</v>
      </c>
      <c r="R558" s="18" t="s">
        <v>59</v>
      </c>
      <c r="S558" s="18" t="s">
        <v>60</v>
      </c>
      <c r="T558" s="18" t="b">
        <v>1</v>
      </c>
      <c r="U558" s="18" t="s">
        <v>150</v>
      </c>
      <c r="V558" s="18" t="s">
        <v>40</v>
      </c>
      <c r="W558" s="18" t="s">
        <v>250</v>
      </c>
      <c r="X558" s="18" t="s">
        <v>251</v>
      </c>
      <c r="Y558" s="18">
        <v>1</v>
      </c>
      <c r="Z558" s="18">
        <v>5000000</v>
      </c>
      <c r="AA558" s="18" t="s">
        <v>1610</v>
      </c>
      <c r="AB558" s="18" t="s">
        <v>339</v>
      </c>
      <c r="AC558" s="18" t="s">
        <v>163</v>
      </c>
    </row>
    <row r="559" s="18" customFormat="1" ht="29" spans="1:29">
      <c r="A559" s="18" t="s">
        <v>1611</v>
      </c>
      <c r="B559" s="25" t="s">
        <v>1611</v>
      </c>
      <c r="C559" s="26">
        <v>45680</v>
      </c>
      <c r="D559" s="18" t="s">
        <v>1612</v>
      </c>
      <c r="E559" s="18" t="str">
        <f t="shared" si="8"/>
        <v>Elite International</v>
      </c>
      <c r="F559" s="27" t="e">
        <v>#N/A</v>
      </c>
      <c r="G559" s="18" t="s">
        <v>182</v>
      </c>
      <c r="H559" s="18" t="s">
        <v>183</v>
      </c>
      <c r="I559" s="18" t="s">
        <v>184</v>
      </c>
      <c r="J559" s="18" t="s">
        <v>728</v>
      </c>
      <c r="K559" s="18" t="s">
        <v>56</v>
      </c>
      <c r="L559" s="18" t="s">
        <v>36</v>
      </c>
      <c r="N559" s="18">
        <v>6</v>
      </c>
      <c r="O559" s="18" t="s">
        <v>88</v>
      </c>
      <c r="P559" s="18" t="s">
        <v>38</v>
      </c>
      <c r="Q559" s="18" t="s">
        <v>194</v>
      </c>
      <c r="R559" s="18" t="s">
        <v>59</v>
      </c>
      <c r="S559" s="18" t="s">
        <v>195</v>
      </c>
      <c r="T559" s="18" t="b">
        <v>0</v>
      </c>
      <c r="U559" s="18" t="s">
        <v>187</v>
      </c>
      <c r="V559" s="18" t="s">
        <v>40</v>
      </c>
      <c r="W559" s="18" t="s">
        <v>61</v>
      </c>
      <c r="X559" s="18" t="s">
        <v>62</v>
      </c>
      <c r="Y559" s="18">
        <v>1</v>
      </c>
      <c r="Z559" s="18">
        <v>143138</v>
      </c>
      <c r="AA559" s="31" t="s">
        <v>1423</v>
      </c>
      <c r="AB559" s="18" t="s">
        <v>1424</v>
      </c>
      <c r="AC559" s="18" t="s">
        <v>200</v>
      </c>
    </row>
    <row r="560" s="18" customFormat="1" ht="29" spans="1:29">
      <c r="A560" s="18" t="s">
        <v>1613</v>
      </c>
      <c r="B560" s="25" t="s">
        <v>1613</v>
      </c>
      <c r="C560" s="26">
        <v>45680</v>
      </c>
      <c r="D560" s="18" t="s">
        <v>1614</v>
      </c>
      <c r="E560" s="18" t="str">
        <f t="shared" si="8"/>
        <v>Shalini Digital Photo Studio</v>
      </c>
      <c r="F560" s="27" t="s">
        <v>1615</v>
      </c>
      <c r="G560" s="18" t="s">
        <v>182</v>
      </c>
      <c r="H560" s="18" t="s">
        <v>183</v>
      </c>
      <c r="I560" s="18" t="s">
        <v>184</v>
      </c>
      <c r="J560" s="18" t="s">
        <v>793</v>
      </c>
      <c r="K560" s="18" t="s">
        <v>56</v>
      </c>
      <c r="L560" s="18" t="s">
        <v>36</v>
      </c>
      <c r="N560" s="18">
        <v>6</v>
      </c>
      <c r="O560" s="18" t="s">
        <v>88</v>
      </c>
      <c r="P560" s="18" t="s">
        <v>38</v>
      </c>
      <c r="Q560" s="18" t="s">
        <v>194</v>
      </c>
      <c r="R560" s="18" t="s">
        <v>59</v>
      </c>
      <c r="S560" s="18" t="s">
        <v>195</v>
      </c>
      <c r="T560" s="18" t="b">
        <v>0</v>
      </c>
      <c r="U560" s="18" t="s">
        <v>187</v>
      </c>
      <c r="V560" s="18" t="s">
        <v>40</v>
      </c>
      <c r="W560" s="18" t="s">
        <v>401</v>
      </c>
      <c r="X560" s="18" t="s">
        <v>402</v>
      </c>
      <c r="Y560" s="18">
        <v>1</v>
      </c>
      <c r="Z560" s="18">
        <v>59000</v>
      </c>
      <c r="AA560" s="31" t="s">
        <v>1565</v>
      </c>
      <c r="AB560" s="18" t="s">
        <v>1566</v>
      </c>
      <c r="AC560" s="18" t="s">
        <v>200</v>
      </c>
    </row>
    <row r="561" s="18" customFormat="1" ht="29" spans="1:29">
      <c r="A561" s="18" t="s">
        <v>1616</v>
      </c>
      <c r="B561" s="25" t="s">
        <v>1616</v>
      </c>
      <c r="C561" s="26">
        <v>45680</v>
      </c>
      <c r="D561" s="18" t="s">
        <v>192</v>
      </c>
      <c r="E561" s="18" t="str">
        <f t="shared" si="8"/>
        <v>Noaman Digital Partnership Firm</v>
      </c>
      <c r="F561" s="27" t="e">
        <v>#N/A</v>
      </c>
      <c r="G561" s="18" t="s">
        <v>182</v>
      </c>
      <c r="H561" s="18" t="s">
        <v>183</v>
      </c>
      <c r="I561" s="18" t="s">
        <v>184</v>
      </c>
      <c r="J561" s="18" t="s">
        <v>1491</v>
      </c>
      <c r="K561" s="18" t="s">
        <v>56</v>
      </c>
      <c r="L561" s="18" t="s">
        <v>36</v>
      </c>
      <c r="N561" s="18">
        <v>6</v>
      </c>
      <c r="O561" s="18" t="s">
        <v>88</v>
      </c>
      <c r="P561" s="18" t="s">
        <v>38</v>
      </c>
      <c r="Q561" s="18" t="s">
        <v>194</v>
      </c>
      <c r="R561" s="18" t="s">
        <v>59</v>
      </c>
      <c r="S561" s="18" t="s">
        <v>195</v>
      </c>
      <c r="T561" s="18" t="b">
        <v>0</v>
      </c>
      <c r="U561" s="18" t="s">
        <v>187</v>
      </c>
      <c r="V561" s="18" t="s">
        <v>40</v>
      </c>
      <c r="W561" s="18" t="s">
        <v>196</v>
      </c>
      <c r="X561" s="18" t="s">
        <v>197</v>
      </c>
      <c r="Y561" s="18">
        <v>1</v>
      </c>
      <c r="Z561" s="18">
        <v>174336</v>
      </c>
      <c r="AA561" s="31" t="s">
        <v>198</v>
      </c>
      <c r="AB561" s="18" t="s">
        <v>199</v>
      </c>
      <c r="AC561" s="18" t="s">
        <v>200</v>
      </c>
    </row>
    <row r="562" s="18" customFormat="1" ht="29" spans="1:29">
      <c r="A562" s="18" t="s">
        <v>1617</v>
      </c>
      <c r="B562" s="25" t="s">
        <v>1617</v>
      </c>
      <c r="C562" s="26">
        <v>45680</v>
      </c>
      <c r="D562" s="18" t="s">
        <v>264</v>
      </c>
      <c r="E562" s="18" t="str">
        <f t="shared" si="8"/>
        <v>The Indian Performing Right Society Ltd.</v>
      </c>
      <c r="F562" s="27" t="e">
        <v>#N/A</v>
      </c>
      <c r="G562" s="18" t="s">
        <v>182</v>
      </c>
      <c r="H562" s="18" t="s">
        <v>183</v>
      </c>
      <c r="I562" s="18" t="s">
        <v>184</v>
      </c>
      <c r="J562" s="18" t="s">
        <v>193</v>
      </c>
      <c r="K562" s="18" t="s">
        <v>56</v>
      </c>
      <c r="L562" s="18" t="s">
        <v>36</v>
      </c>
      <c r="N562" s="18">
        <v>6</v>
      </c>
      <c r="O562" s="18" t="s">
        <v>57</v>
      </c>
      <c r="P562" s="18" t="s">
        <v>38</v>
      </c>
      <c r="Q562" s="18" t="s">
        <v>194</v>
      </c>
      <c r="R562" s="18" t="s">
        <v>59</v>
      </c>
      <c r="S562" s="18" t="s">
        <v>195</v>
      </c>
      <c r="T562" s="18" t="b">
        <v>0</v>
      </c>
      <c r="U562" s="18" t="s">
        <v>187</v>
      </c>
      <c r="V562" s="18" t="s">
        <v>40</v>
      </c>
      <c r="W562" s="18" t="s">
        <v>256</v>
      </c>
      <c r="X562" s="18" t="s">
        <v>257</v>
      </c>
      <c r="Y562" s="18">
        <v>1</v>
      </c>
      <c r="Z562" s="18">
        <v>67500</v>
      </c>
      <c r="AA562" s="31" t="s">
        <v>262</v>
      </c>
      <c r="AB562" s="18" t="s">
        <v>259</v>
      </c>
      <c r="AC562" s="18" t="s">
        <v>200</v>
      </c>
    </row>
    <row r="563" s="18" customFormat="1" ht="29" spans="1:29">
      <c r="A563" s="18" t="s">
        <v>1618</v>
      </c>
      <c r="B563" s="25" t="s">
        <v>1618</v>
      </c>
      <c r="C563" s="26">
        <v>45680</v>
      </c>
      <c r="D563" s="18" t="s">
        <v>255</v>
      </c>
      <c r="E563" s="18" t="str">
        <f t="shared" si="8"/>
        <v>Phonographic Performance Limited</v>
      </c>
      <c r="F563" s="27" t="e">
        <v>#N/A</v>
      </c>
      <c r="G563" s="18" t="s">
        <v>182</v>
      </c>
      <c r="H563" s="18" t="s">
        <v>183</v>
      </c>
      <c r="I563" s="18" t="s">
        <v>184</v>
      </c>
      <c r="J563" s="18" t="s">
        <v>193</v>
      </c>
      <c r="K563" s="18" t="s">
        <v>56</v>
      </c>
      <c r="L563" s="18" t="s">
        <v>36</v>
      </c>
      <c r="N563" s="18">
        <v>6</v>
      </c>
      <c r="O563" s="18" t="s">
        <v>88</v>
      </c>
      <c r="P563" s="18" t="s">
        <v>38</v>
      </c>
      <c r="Q563" s="18" t="s">
        <v>194</v>
      </c>
      <c r="R563" s="18" t="s">
        <v>59</v>
      </c>
      <c r="S563" s="18" t="s">
        <v>195</v>
      </c>
      <c r="T563" s="18" t="b">
        <v>0</v>
      </c>
      <c r="U563" s="18" t="s">
        <v>187</v>
      </c>
      <c r="V563" s="18" t="s">
        <v>40</v>
      </c>
      <c r="W563" s="18" t="s">
        <v>256</v>
      </c>
      <c r="X563" s="18" t="s">
        <v>257</v>
      </c>
      <c r="Y563" s="18">
        <v>1</v>
      </c>
      <c r="Z563" s="18">
        <v>60000</v>
      </c>
      <c r="AA563" s="31" t="s">
        <v>262</v>
      </c>
      <c r="AB563" s="18" t="s">
        <v>259</v>
      </c>
      <c r="AC563" s="18" t="s">
        <v>200</v>
      </c>
    </row>
    <row r="564" s="18" customFormat="1" ht="29" spans="1:29">
      <c r="A564" s="18" t="s">
        <v>1619</v>
      </c>
      <c r="B564" s="25" t="s">
        <v>1619</v>
      </c>
      <c r="C564" s="26">
        <v>45680</v>
      </c>
      <c r="D564" s="18" t="s">
        <v>261</v>
      </c>
      <c r="E564" s="18" t="str">
        <f t="shared" si="8"/>
        <v>Novex Communications Pvt. Ltd.</v>
      </c>
      <c r="F564" s="27" t="e">
        <v>#N/A</v>
      </c>
      <c r="G564" s="18" t="s">
        <v>182</v>
      </c>
      <c r="H564" s="18" t="s">
        <v>183</v>
      </c>
      <c r="I564" s="18" t="s">
        <v>184</v>
      </c>
      <c r="J564" s="18" t="s">
        <v>193</v>
      </c>
      <c r="K564" s="18" t="s">
        <v>56</v>
      </c>
      <c r="L564" s="18" t="s">
        <v>36</v>
      </c>
      <c r="N564" s="18">
        <v>6</v>
      </c>
      <c r="O564" s="18" t="s">
        <v>88</v>
      </c>
      <c r="P564" s="18" t="s">
        <v>38</v>
      </c>
      <c r="Q564" s="18" t="s">
        <v>194</v>
      </c>
      <c r="R564" s="18" t="s">
        <v>59</v>
      </c>
      <c r="S564" s="18" t="s">
        <v>195</v>
      </c>
      <c r="T564" s="18" t="b">
        <v>0</v>
      </c>
      <c r="U564" s="18" t="s">
        <v>187</v>
      </c>
      <c r="V564" s="18" t="s">
        <v>40</v>
      </c>
      <c r="W564" s="18" t="s">
        <v>256</v>
      </c>
      <c r="X564" s="18" t="s">
        <v>257</v>
      </c>
      <c r="Y564" s="18">
        <v>1</v>
      </c>
      <c r="Z564" s="18">
        <v>60000</v>
      </c>
      <c r="AA564" s="31" t="s">
        <v>262</v>
      </c>
      <c r="AB564" s="18" t="s">
        <v>259</v>
      </c>
      <c r="AC564" s="18" t="s">
        <v>200</v>
      </c>
    </row>
    <row r="565" s="18" customFormat="1" spans="1:29">
      <c r="A565" s="18" t="s">
        <v>1620</v>
      </c>
      <c r="B565" s="25" t="s">
        <v>1620</v>
      </c>
      <c r="C565" s="26">
        <v>45680</v>
      </c>
      <c r="D565" s="18" t="s">
        <v>1621</v>
      </c>
      <c r="E565" s="18" t="str">
        <f t="shared" si="8"/>
        <v>Mahesh Borade</v>
      </c>
      <c r="F565" s="27" t="s">
        <v>1622</v>
      </c>
      <c r="G565" s="18" t="s">
        <v>182</v>
      </c>
      <c r="H565" s="18" t="s">
        <v>183</v>
      </c>
      <c r="I565" s="18" t="s">
        <v>207</v>
      </c>
      <c r="J565" s="18" t="s">
        <v>1098</v>
      </c>
      <c r="K565" s="18" t="s">
        <v>56</v>
      </c>
      <c r="L565" s="18" t="s">
        <v>36</v>
      </c>
      <c r="N565" s="18">
        <v>6</v>
      </c>
      <c r="O565" s="18" t="s">
        <v>57</v>
      </c>
      <c r="P565" s="18" t="s">
        <v>38</v>
      </c>
      <c r="Q565" s="18" t="s">
        <v>58</v>
      </c>
      <c r="R565" s="18" t="s">
        <v>59</v>
      </c>
      <c r="S565" s="18" t="s">
        <v>60</v>
      </c>
      <c r="T565" s="18" t="b">
        <v>0</v>
      </c>
      <c r="U565" s="18" t="s">
        <v>187</v>
      </c>
      <c r="V565" s="18" t="s">
        <v>40</v>
      </c>
      <c r="W565" s="18" t="s">
        <v>347</v>
      </c>
      <c r="X565" s="18" t="s">
        <v>348</v>
      </c>
      <c r="Y565" s="18">
        <v>1</v>
      </c>
      <c r="Z565" s="18">
        <v>50500</v>
      </c>
      <c r="AA565" s="18" t="s">
        <v>1601</v>
      </c>
      <c r="AB565" s="18" t="s">
        <v>1100</v>
      </c>
      <c r="AC565" s="18" t="s">
        <v>200</v>
      </c>
    </row>
    <row r="566" s="18" customFormat="1" ht="29" spans="1:29">
      <c r="A566" s="18" t="s">
        <v>1623</v>
      </c>
      <c r="B566" s="25" t="s">
        <v>1623</v>
      </c>
      <c r="C566" s="26">
        <v>45680</v>
      </c>
      <c r="D566" s="18" t="s">
        <v>1624</v>
      </c>
      <c r="E566" s="18" t="str">
        <f t="shared" si="8"/>
        <v>Kirti Kishor Lokhande</v>
      </c>
      <c r="F566" s="27" t="s">
        <v>1625</v>
      </c>
      <c r="G566" s="18" t="s">
        <v>182</v>
      </c>
      <c r="H566" s="18" t="s">
        <v>183</v>
      </c>
      <c r="I566" s="18" t="s">
        <v>184</v>
      </c>
      <c r="J566" s="18" t="s">
        <v>193</v>
      </c>
      <c r="K566" s="18" t="s">
        <v>56</v>
      </c>
      <c r="L566" s="18" t="s">
        <v>36</v>
      </c>
      <c r="N566" s="18">
        <v>6</v>
      </c>
      <c r="O566" s="18" t="s">
        <v>57</v>
      </c>
      <c r="P566" s="18" t="s">
        <v>38</v>
      </c>
      <c r="Q566" s="18" t="s">
        <v>194</v>
      </c>
      <c r="R566" s="18" t="s">
        <v>59</v>
      </c>
      <c r="S566" s="18" t="s">
        <v>195</v>
      </c>
      <c r="T566" s="18" t="b">
        <v>0</v>
      </c>
      <c r="U566" s="18" t="s">
        <v>187</v>
      </c>
      <c r="V566" s="18" t="s">
        <v>40</v>
      </c>
      <c r="W566" s="18" t="s">
        <v>292</v>
      </c>
      <c r="X566" s="18" t="s">
        <v>293</v>
      </c>
      <c r="Y566" s="18">
        <v>1</v>
      </c>
      <c r="Z566" s="18">
        <v>120000</v>
      </c>
      <c r="AA566" s="31" t="s">
        <v>569</v>
      </c>
      <c r="AB566" s="18" t="s">
        <v>570</v>
      </c>
      <c r="AC566" s="18" t="e">
        <v>#N/A</v>
      </c>
    </row>
    <row r="567" s="18" customFormat="1" ht="29" spans="1:29">
      <c r="A567" s="18" t="s">
        <v>1626</v>
      </c>
      <c r="B567" s="25" t="s">
        <v>1626</v>
      </c>
      <c r="C567" s="26">
        <v>45680</v>
      </c>
      <c r="D567" s="18" t="s">
        <v>1627</v>
      </c>
      <c r="E567" s="18" t="str">
        <f t="shared" si="8"/>
        <v>Blink Entertainment</v>
      </c>
      <c r="F567" s="27" t="s">
        <v>1628</v>
      </c>
      <c r="G567" s="18" t="s">
        <v>182</v>
      </c>
      <c r="H567" s="18" t="s">
        <v>183</v>
      </c>
      <c r="I567" s="18" t="s">
        <v>184</v>
      </c>
      <c r="J567" s="18" t="s">
        <v>193</v>
      </c>
      <c r="K567" s="18" t="s">
        <v>56</v>
      </c>
      <c r="L567" s="18" t="s">
        <v>36</v>
      </c>
      <c r="N567" s="18">
        <v>6</v>
      </c>
      <c r="O567" s="18" t="s">
        <v>57</v>
      </c>
      <c r="P567" s="18" t="s">
        <v>38</v>
      </c>
      <c r="Q567" s="18" t="s">
        <v>194</v>
      </c>
      <c r="R567" s="18" t="s">
        <v>59</v>
      </c>
      <c r="S567" s="18" t="s">
        <v>195</v>
      </c>
      <c r="T567" s="18" t="b">
        <v>0</v>
      </c>
      <c r="U567" s="18" t="s">
        <v>187</v>
      </c>
      <c r="V567" s="18" t="s">
        <v>40</v>
      </c>
      <c r="W567" s="18" t="s">
        <v>250</v>
      </c>
      <c r="X567" s="18" t="s">
        <v>251</v>
      </c>
      <c r="Y567" s="18">
        <v>1</v>
      </c>
      <c r="Z567" s="18">
        <v>50000</v>
      </c>
      <c r="AA567" s="31" t="s">
        <v>569</v>
      </c>
      <c r="AB567" s="18" t="s">
        <v>570</v>
      </c>
      <c r="AC567" s="18" t="s">
        <v>200</v>
      </c>
    </row>
    <row r="568" s="18" customFormat="1" spans="1:29">
      <c r="A568" s="18" t="s">
        <v>1629</v>
      </c>
      <c r="B568" s="25" t="s">
        <v>1629</v>
      </c>
      <c r="C568" s="26">
        <v>45680</v>
      </c>
      <c r="D568" s="18" t="s">
        <v>1630</v>
      </c>
      <c r="E568" s="18" t="str">
        <f t="shared" si="8"/>
        <v>Rutika Dhotre  </v>
      </c>
      <c r="F568" s="27" t="e">
        <v>#N/A</v>
      </c>
      <c r="G568" s="18" t="s">
        <v>182</v>
      </c>
      <c r="H568" s="18" t="s">
        <v>183</v>
      </c>
      <c r="I568" s="18" t="s">
        <v>481</v>
      </c>
      <c r="J568" s="18" t="s">
        <v>1346</v>
      </c>
      <c r="K568" s="18" t="s">
        <v>56</v>
      </c>
      <c r="L568" s="18" t="s">
        <v>36</v>
      </c>
      <c r="N568" s="18">
        <v>6</v>
      </c>
      <c r="O568" s="18" t="s">
        <v>93</v>
      </c>
      <c r="P568" s="18" t="s">
        <v>38</v>
      </c>
      <c r="Q568" s="18" t="s">
        <v>194</v>
      </c>
      <c r="R568" s="18" t="s">
        <v>59</v>
      </c>
      <c r="S568" s="18" t="s">
        <v>195</v>
      </c>
      <c r="T568" s="18" t="b">
        <v>0</v>
      </c>
      <c r="U568" s="18" t="s">
        <v>187</v>
      </c>
      <c r="V568" s="18" t="s">
        <v>40</v>
      </c>
      <c r="W568" s="18" t="s">
        <v>126</v>
      </c>
      <c r="X568" s="18" t="s">
        <v>127</v>
      </c>
      <c r="Y568" s="18">
        <v>1</v>
      </c>
      <c r="Z568" s="18">
        <v>317</v>
      </c>
      <c r="AC568" s="18" t="e">
        <v>#N/A</v>
      </c>
    </row>
    <row r="569" s="18" customFormat="1" spans="1:29">
      <c r="A569" s="18" t="s">
        <v>1631</v>
      </c>
      <c r="B569" s="25" t="s">
        <v>1631</v>
      </c>
      <c r="C569" s="26">
        <v>45680</v>
      </c>
      <c r="D569" s="18" t="s">
        <v>1404</v>
      </c>
      <c r="E569" s="18" t="str">
        <f t="shared" si="8"/>
        <v>Mohammad Danish  </v>
      </c>
      <c r="F569" s="27" t="s">
        <v>1405</v>
      </c>
      <c r="G569" s="18" t="s">
        <v>182</v>
      </c>
      <c r="H569" s="18" t="s">
        <v>183</v>
      </c>
      <c r="I569" s="18" t="s">
        <v>481</v>
      </c>
      <c r="J569" s="18" t="s">
        <v>1491</v>
      </c>
      <c r="K569" s="18" t="s">
        <v>56</v>
      </c>
      <c r="L569" s="18" t="s">
        <v>36</v>
      </c>
      <c r="N569" s="18">
        <v>6</v>
      </c>
      <c r="O569" s="18" t="s">
        <v>93</v>
      </c>
      <c r="P569" s="18" t="s">
        <v>38</v>
      </c>
      <c r="Q569" s="18" t="s">
        <v>194</v>
      </c>
      <c r="R569" s="18" t="s">
        <v>59</v>
      </c>
      <c r="S569" s="18" t="s">
        <v>195</v>
      </c>
      <c r="T569" s="18" t="b">
        <v>0</v>
      </c>
      <c r="U569" s="18" t="s">
        <v>187</v>
      </c>
      <c r="V569" s="18" t="s">
        <v>40</v>
      </c>
      <c r="W569" s="18" t="s">
        <v>126</v>
      </c>
      <c r="X569" s="18" t="s">
        <v>127</v>
      </c>
      <c r="Y569" s="18">
        <v>1</v>
      </c>
      <c r="Z569" s="18">
        <v>3400</v>
      </c>
      <c r="AC569" s="18" t="e">
        <v>#N/A</v>
      </c>
    </row>
    <row r="570" s="18" customFormat="1" spans="1:29">
      <c r="A570" s="18" t="s">
        <v>1632</v>
      </c>
      <c r="B570" s="25" t="s">
        <v>1632</v>
      </c>
      <c r="C570" s="26">
        <v>45680</v>
      </c>
      <c r="D570" s="18" t="s">
        <v>1052</v>
      </c>
      <c r="E570" s="18" t="str">
        <f t="shared" si="8"/>
        <v>Sachin Jadhav </v>
      </c>
      <c r="F570" s="27" t="e">
        <v>#N/A</v>
      </c>
      <c r="G570" s="18" t="s">
        <v>182</v>
      </c>
      <c r="H570" s="18" t="s">
        <v>183</v>
      </c>
      <c r="I570" s="18" t="s">
        <v>481</v>
      </c>
      <c r="J570" s="18" t="s">
        <v>1346</v>
      </c>
      <c r="K570" s="18" t="s">
        <v>56</v>
      </c>
      <c r="L570" s="18" t="s">
        <v>36</v>
      </c>
      <c r="N570" s="18">
        <v>6</v>
      </c>
      <c r="O570" s="18" t="s">
        <v>93</v>
      </c>
      <c r="P570" s="18" t="s">
        <v>38</v>
      </c>
      <c r="Q570" s="18" t="s">
        <v>194</v>
      </c>
      <c r="R570" s="18" t="s">
        <v>59</v>
      </c>
      <c r="S570" s="18" t="s">
        <v>195</v>
      </c>
      <c r="T570" s="18" t="b">
        <v>0</v>
      </c>
      <c r="U570" s="18" t="s">
        <v>187</v>
      </c>
      <c r="V570" s="18" t="s">
        <v>40</v>
      </c>
      <c r="W570" s="18" t="s">
        <v>317</v>
      </c>
      <c r="X570" s="18" t="s">
        <v>318</v>
      </c>
      <c r="Y570" s="18">
        <v>1</v>
      </c>
      <c r="Z570" s="18">
        <v>900</v>
      </c>
      <c r="AC570" s="18" t="e">
        <v>#N/A</v>
      </c>
    </row>
    <row r="571" s="18" customFormat="1" spans="1:29">
      <c r="A571" s="18" t="s">
        <v>1633</v>
      </c>
      <c r="B571" s="25" t="s">
        <v>1633</v>
      </c>
      <c r="C571" s="26">
        <v>45680</v>
      </c>
      <c r="D571" s="18" t="s">
        <v>1052</v>
      </c>
      <c r="E571" s="18" t="str">
        <f t="shared" si="8"/>
        <v>Sachin Jadhav </v>
      </c>
      <c r="F571" s="27" t="e">
        <v>#N/A</v>
      </c>
      <c r="G571" s="18" t="s">
        <v>182</v>
      </c>
      <c r="H571" s="18" t="s">
        <v>183</v>
      </c>
      <c r="I571" s="18" t="s">
        <v>481</v>
      </c>
      <c r="J571" s="18" t="s">
        <v>1346</v>
      </c>
      <c r="K571" s="18" t="s">
        <v>56</v>
      </c>
      <c r="L571" s="18" t="s">
        <v>36</v>
      </c>
      <c r="N571" s="18">
        <v>6</v>
      </c>
      <c r="O571" s="18" t="s">
        <v>93</v>
      </c>
      <c r="P571" s="18" t="s">
        <v>38</v>
      </c>
      <c r="Q571" s="18" t="s">
        <v>194</v>
      </c>
      <c r="R571" s="18" t="s">
        <v>59</v>
      </c>
      <c r="S571" s="18" t="s">
        <v>195</v>
      </c>
      <c r="T571" s="18" t="b">
        <v>0</v>
      </c>
      <c r="U571" s="18" t="s">
        <v>187</v>
      </c>
      <c r="V571" s="18" t="s">
        <v>40</v>
      </c>
      <c r="W571" s="18" t="s">
        <v>126</v>
      </c>
      <c r="X571" s="18" t="s">
        <v>127</v>
      </c>
      <c r="Y571" s="18">
        <v>1</v>
      </c>
      <c r="Z571" s="18">
        <v>378</v>
      </c>
      <c r="AC571" s="18" t="e">
        <v>#N/A</v>
      </c>
    </row>
    <row r="572" s="18" customFormat="1" spans="1:29">
      <c r="A572" s="18" t="s">
        <v>1634</v>
      </c>
      <c r="B572" s="25" t="s">
        <v>1634</v>
      </c>
      <c r="C572" s="26">
        <v>45680</v>
      </c>
      <c r="D572" s="18" t="s">
        <v>1411</v>
      </c>
      <c r="E572" s="18" t="str">
        <f t="shared" si="8"/>
        <v>Rushabh Vimlesh Upadhyay  </v>
      </c>
      <c r="F572" s="27" t="e">
        <v>#N/A</v>
      </c>
      <c r="G572" s="18" t="s">
        <v>182</v>
      </c>
      <c r="H572" s="18" t="s">
        <v>183</v>
      </c>
      <c r="I572" s="18" t="s">
        <v>481</v>
      </c>
      <c r="J572" s="18" t="s">
        <v>1346</v>
      </c>
      <c r="K572" s="18" t="s">
        <v>56</v>
      </c>
      <c r="L572" s="18" t="s">
        <v>36</v>
      </c>
      <c r="N572" s="18">
        <v>6</v>
      </c>
      <c r="O572" s="18" t="s">
        <v>93</v>
      </c>
      <c r="P572" s="18" t="s">
        <v>38</v>
      </c>
      <c r="Q572" s="18" t="s">
        <v>194</v>
      </c>
      <c r="R572" s="18" t="s">
        <v>59</v>
      </c>
      <c r="S572" s="18" t="s">
        <v>195</v>
      </c>
      <c r="T572" s="18" t="b">
        <v>0</v>
      </c>
      <c r="U572" s="18" t="s">
        <v>187</v>
      </c>
      <c r="V572" s="18" t="s">
        <v>40</v>
      </c>
      <c r="W572" s="18" t="s">
        <v>126</v>
      </c>
      <c r="X572" s="18" t="s">
        <v>127</v>
      </c>
      <c r="Y572" s="18">
        <v>1</v>
      </c>
      <c r="Z572" s="18">
        <v>2031</v>
      </c>
      <c r="AC572" s="18" t="e">
        <v>#N/A</v>
      </c>
    </row>
    <row r="573" s="18" customFormat="1" spans="1:29">
      <c r="A573" s="18" t="s">
        <v>1635</v>
      </c>
      <c r="B573" s="25" t="s">
        <v>1635</v>
      </c>
      <c r="C573" s="26">
        <v>45680</v>
      </c>
      <c r="D573" s="18" t="s">
        <v>1203</v>
      </c>
      <c r="E573" s="18" t="str">
        <f t="shared" si="8"/>
        <v>Padmakar Jadhav </v>
      </c>
      <c r="F573" s="27" t="e">
        <v>#N/A</v>
      </c>
      <c r="G573" s="18" t="s">
        <v>182</v>
      </c>
      <c r="H573" s="18" t="s">
        <v>183</v>
      </c>
      <c r="I573" s="18" t="s">
        <v>481</v>
      </c>
      <c r="J573" s="18" t="s">
        <v>1346</v>
      </c>
      <c r="K573" s="18" t="s">
        <v>56</v>
      </c>
      <c r="L573" s="18" t="s">
        <v>36</v>
      </c>
      <c r="N573" s="18">
        <v>6</v>
      </c>
      <c r="O573" s="18" t="s">
        <v>93</v>
      </c>
      <c r="P573" s="18" t="s">
        <v>38</v>
      </c>
      <c r="Q573" s="18" t="s">
        <v>194</v>
      </c>
      <c r="R573" s="18" t="s">
        <v>59</v>
      </c>
      <c r="S573" s="18" t="s">
        <v>195</v>
      </c>
      <c r="T573" s="18" t="b">
        <v>0</v>
      </c>
      <c r="U573" s="18" t="s">
        <v>187</v>
      </c>
      <c r="V573" s="18" t="s">
        <v>40</v>
      </c>
      <c r="W573" s="18" t="s">
        <v>126</v>
      </c>
      <c r="X573" s="18" t="s">
        <v>127</v>
      </c>
      <c r="Y573" s="18">
        <v>1</v>
      </c>
      <c r="Z573" s="18">
        <v>387</v>
      </c>
      <c r="AC573" s="18" t="e">
        <v>#N/A</v>
      </c>
    </row>
    <row r="574" s="18" customFormat="1" spans="1:29">
      <c r="A574" s="18" t="s">
        <v>1636</v>
      </c>
      <c r="B574" s="25" t="s">
        <v>1636</v>
      </c>
      <c r="C574" s="26">
        <v>45680</v>
      </c>
      <c r="D574" s="18" t="s">
        <v>1203</v>
      </c>
      <c r="E574" s="18" t="str">
        <f t="shared" si="8"/>
        <v>Padmakar Jadhav </v>
      </c>
      <c r="F574" s="27" t="e">
        <v>#N/A</v>
      </c>
      <c r="G574" s="18" t="s">
        <v>182</v>
      </c>
      <c r="H574" s="18" t="s">
        <v>183</v>
      </c>
      <c r="I574" s="18" t="s">
        <v>481</v>
      </c>
      <c r="J574" s="18" t="s">
        <v>1346</v>
      </c>
      <c r="K574" s="18" t="s">
        <v>56</v>
      </c>
      <c r="L574" s="18" t="s">
        <v>36</v>
      </c>
      <c r="N574" s="18">
        <v>6</v>
      </c>
      <c r="O574" s="18" t="s">
        <v>93</v>
      </c>
      <c r="P574" s="18" t="s">
        <v>38</v>
      </c>
      <c r="Q574" s="18" t="s">
        <v>194</v>
      </c>
      <c r="R574" s="18" t="s">
        <v>59</v>
      </c>
      <c r="S574" s="18" t="s">
        <v>195</v>
      </c>
      <c r="T574" s="18" t="b">
        <v>0</v>
      </c>
      <c r="U574" s="18" t="s">
        <v>187</v>
      </c>
      <c r="V574" s="18" t="s">
        <v>40</v>
      </c>
      <c r="W574" s="18" t="s">
        <v>126</v>
      </c>
      <c r="X574" s="18" t="s">
        <v>127</v>
      </c>
      <c r="Y574" s="18">
        <v>1</v>
      </c>
      <c r="Z574" s="18">
        <v>382</v>
      </c>
      <c r="AC574" s="18" t="e">
        <v>#N/A</v>
      </c>
    </row>
    <row r="575" s="18" customFormat="1" spans="1:29">
      <c r="A575" s="18" t="s">
        <v>1637</v>
      </c>
      <c r="B575" s="25" t="s">
        <v>1637</v>
      </c>
      <c r="C575" s="26">
        <v>45680</v>
      </c>
      <c r="D575" s="18" t="s">
        <v>1054</v>
      </c>
      <c r="E575" s="18" t="str">
        <f t="shared" si="8"/>
        <v>Suresh Pardhle  </v>
      </c>
      <c r="F575" s="27" t="e">
        <v>#N/A</v>
      </c>
      <c r="G575" s="18" t="s">
        <v>182</v>
      </c>
      <c r="H575" s="18" t="s">
        <v>183</v>
      </c>
      <c r="I575" s="18" t="s">
        <v>481</v>
      </c>
      <c r="J575" s="18" t="s">
        <v>989</v>
      </c>
      <c r="K575" s="18" t="s">
        <v>56</v>
      </c>
      <c r="L575" s="18" t="s">
        <v>36</v>
      </c>
      <c r="N575" s="18">
        <v>6</v>
      </c>
      <c r="O575" s="18" t="s">
        <v>93</v>
      </c>
      <c r="P575" s="18" t="s">
        <v>38</v>
      </c>
      <c r="Q575" s="18" t="s">
        <v>194</v>
      </c>
      <c r="R575" s="18" t="s">
        <v>59</v>
      </c>
      <c r="S575" s="18" t="s">
        <v>195</v>
      </c>
      <c r="T575" s="18" t="b">
        <v>0</v>
      </c>
      <c r="U575" s="18" t="s">
        <v>187</v>
      </c>
      <c r="V575" s="18" t="s">
        <v>40</v>
      </c>
      <c r="W575" s="18" t="s">
        <v>126</v>
      </c>
      <c r="X575" s="18" t="s">
        <v>127</v>
      </c>
      <c r="Y575" s="18">
        <v>1</v>
      </c>
      <c r="Z575" s="18">
        <v>344</v>
      </c>
      <c r="AC575" s="18" t="e">
        <v>#N/A</v>
      </c>
    </row>
    <row r="576" s="18" customFormat="1" spans="1:29">
      <c r="A576" s="18" t="s">
        <v>1638</v>
      </c>
      <c r="B576" s="25" t="s">
        <v>1638</v>
      </c>
      <c r="C576" s="26">
        <v>45680</v>
      </c>
      <c r="D576" s="18" t="s">
        <v>1639</v>
      </c>
      <c r="E576" s="18" t="str">
        <f t="shared" si="8"/>
        <v>Rajaram Shinde Cash </v>
      </c>
      <c r="F576" s="27" t="e">
        <v>#N/A</v>
      </c>
      <c r="G576" s="18" t="s">
        <v>182</v>
      </c>
      <c r="H576" s="18" t="s">
        <v>183</v>
      </c>
      <c r="I576" s="18" t="s">
        <v>481</v>
      </c>
      <c r="J576" s="18" t="s">
        <v>793</v>
      </c>
      <c r="K576" s="18" t="s">
        <v>56</v>
      </c>
      <c r="L576" s="18" t="s">
        <v>36</v>
      </c>
      <c r="N576" s="18">
        <v>6</v>
      </c>
      <c r="O576" s="18" t="s">
        <v>93</v>
      </c>
      <c r="P576" s="18" t="s">
        <v>38</v>
      </c>
      <c r="Q576" s="18" t="s">
        <v>194</v>
      </c>
      <c r="R576" s="18" t="s">
        <v>59</v>
      </c>
      <c r="S576" s="18" t="s">
        <v>195</v>
      </c>
      <c r="T576" s="18" t="b">
        <v>0</v>
      </c>
      <c r="U576" s="18" t="s">
        <v>187</v>
      </c>
      <c r="V576" s="18" t="s">
        <v>40</v>
      </c>
      <c r="W576" s="18" t="s">
        <v>126</v>
      </c>
      <c r="X576" s="18" t="s">
        <v>127</v>
      </c>
      <c r="Y576" s="18">
        <v>1</v>
      </c>
      <c r="Z576" s="18">
        <v>1051</v>
      </c>
      <c r="AC576" s="18" t="e">
        <v>#N/A</v>
      </c>
    </row>
    <row r="577" s="18" customFormat="1" spans="1:29">
      <c r="A577" s="18" t="s">
        <v>1640</v>
      </c>
      <c r="B577" s="25" t="s">
        <v>1640</v>
      </c>
      <c r="C577" s="26">
        <v>45680</v>
      </c>
      <c r="D577" s="18" t="s">
        <v>915</v>
      </c>
      <c r="E577" s="18" t="str">
        <f t="shared" si="8"/>
        <v>Santosh Bhogal Cash  </v>
      </c>
      <c r="F577" s="27" t="e">
        <v>#N/A</v>
      </c>
      <c r="G577" s="18" t="s">
        <v>182</v>
      </c>
      <c r="H577" s="18" t="s">
        <v>183</v>
      </c>
      <c r="I577" s="18" t="s">
        <v>481</v>
      </c>
      <c r="J577" s="18" t="s">
        <v>193</v>
      </c>
      <c r="K577" s="18" t="s">
        <v>56</v>
      </c>
      <c r="L577" s="18" t="s">
        <v>36</v>
      </c>
      <c r="N577" s="18">
        <v>6</v>
      </c>
      <c r="O577" s="18" t="s">
        <v>93</v>
      </c>
      <c r="P577" s="18" t="s">
        <v>38</v>
      </c>
      <c r="Q577" s="18" t="s">
        <v>194</v>
      </c>
      <c r="R577" s="18" t="s">
        <v>59</v>
      </c>
      <c r="S577" s="18" t="s">
        <v>195</v>
      </c>
      <c r="T577" s="18" t="b">
        <v>0</v>
      </c>
      <c r="U577" s="18" t="s">
        <v>187</v>
      </c>
      <c r="V577" s="18" t="s">
        <v>40</v>
      </c>
      <c r="W577" s="18" t="s">
        <v>126</v>
      </c>
      <c r="X577" s="18" t="s">
        <v>127</v>
      </c>
      <c r="Y577" s="18">
        <v>1</v>
      </c>
      <c r="Z577" s="18">
        <v>988</v>
      </c>
      <c r="AC577" s="18" t="e">
        <v>#N/A</v>
      </c>
    </row>
    <row r="578" s="18" customFormat="1" spans="1:29">
      <c r="A578" s="18" t="s">
        <v>1641</v>
      </c>
      <c r="B578" s="25" t="s">
        <v>1641</v>
      </c>
      <c r="C578" s="26">
        <v>45680</v>
      </c>
      <c r="D578" s="18" t="s">
        <v>860</v>
      </c>
      <c r="E578" s="18" t="str">
        <f t="shared" si="8"/>
        <v>Mahendra Mane </v>
      </c>
      <c r="F578" s="27" t="e">
        <v>#N/A</v>
      </c>
      <c r="G578" s="18" t="s">
        <v>182</v>
      </c>
      <c r="H578" s="18" t="s">
        <v>183</v>
      </c>
      <c r="I578" s="18" t="s">
        <v>481</v>
      </c>
      <c r="J578" s="18" t="s">
        <v>193</v>
      </c>
      <c r="K578" s="18" t="s">
        <v>56</v>
      </c>
      <c r="L578" s="18" t="s">
        <v>36</v>
      </c>
      <c r="N578" s="18">
        <v>6</v>
      </c>
      <c r="O578" s="18" t="s">
        <v>93</v>
      </c>
      <c r="P578" s="18" t="s">
        <v>38</v>
      </c>
      <c r="Q578" s="18" t="s">
        <v>194</v>
      </c>
      <c r="R578" s="18" t="s">
        <v>59</v>
      </c>
      <c r="S578" s="18" t="s">
        <v>195</v>
      </c>
      <c r="T578" s="18" t="b">
        <v>0</v>
      </c>
      <c r="U578" s="18" t="s">
        <v>187</v>
      </c>
      <c r="V578" s="18" t="s">
        <v>40</v>
      </c>
      <c r="W578" s="18" t="s">
        <v>126</v>
      </c>
      <c r="X578" s="18" t="s">
        <v>127</v>
      </c>
      <c r="Y578" s="18">
        <v>1</v>
      </c>
      <c r="Z578" s="18">
        <v>1265</v>
      </c>
      <c r="AC578" s="18" t="e">
        <v>#N/A</v>
      </c>
    </row>
    <row r="579" s="18" customFormat="1" spans="1:29">
      <c r="A579" s="18" t="s">
        <v>1642</v>
      </c>
      <c r="B579" s="25" t="s">
        <v>1642</v>
      </c>
      <c r="C579" s="26">
        <v>45680</v>
      </c>
      <c r="D579" s="18" t="s">
        <v>1643</v>
      </c>
      <c r="E579" s="18" t="str">
        <f t="shared" ref="E579:E642" si="9">_xlfn.TEXTBEFORE(D579,"-")</f>
        <v>Ashwin Mishra  </v>
      </c>
      <c r="F579" s="27" t="e">
        <v>#N/A</v>
      </c>
      <c r="G579" s="18" t="s">
        <v>182</v>
      </c>
      <c r="H579" s="18" t="s">
        <v>183</v>
      </c>
      <c r="I579" s="18" t="s">
        <v>481</v>
      </c>
      <c r="J579" s="18" t="s">
        <v>193</v>
      </c>
      <c r="K579" s="18" t="s">
        <v>56</v>
      </c>
      <c r="L579" s="18" t="s">
        <v>36</v>
      </c>
      <c r="N579" s="18">
        <v>6</v>
      </c>
      <c r="O579" s="18" t="s">
        <v>93</v>
      </c>
      <c r="P579" s="18" t="s">
        <v>38</v>
      </c>
      <c r="Q579" s="18" t="s">
        <v>194</v>
      </c>
      <c r="R579" s="18" t="s">
        <v>59</v>
      </c>
      <c r="S579" s="18" t="s">
        <v>195</v>
      </c>
      <c r="T579" s="18" t="b">
        <v>0</v>
      </c>
      <c r="U579" s="18" t="s">
        <v>187</v>
      </c>
      <c r="V579" s="18" t="s">
        <v>40</v>
      </c>
      <c r="W579" s="18" t="s">
        <v>126</v>
      </c>
      <c r="X579" s="18" t="s">
        <v>127</v>
      </c>
      <c r="Y579" s="18">
        <v>1</v>
      </c>
      <c r="Z579" s="18">
        <v>10845.08</v>
      </c>
      <c r="AC579" s="18" t="e">
        <v>#N/A</v>
      </c>
    </row>
    <row r="580" s="18" customFormat="1" spans="1:29">
      <c r="A580" s="18" t="s">
        <v>1644</v>
      </c>
      <c r="B580" s="25" t="s">
        <v>1644</v>
      </c>
      <c r="C580" s="26">
        <v>45680</v>
      </c>
      <c r="D580" s="18" t="s">
        <v>1645</v>
      </c>
      <c r="E580" s="18" t="str">
        <f t="shared" si="9"/>
        <v>Maitree Dang  </v>
      </c>
      <c r="F580" s="27" t="e">
        <v>#N/A</v>
      </c>
      <c r="G580" s="18" t="s">
        <v>182</v>
      </c>
      <c r="H580" s="18" t="s">
        <v>183</v>
      </c>
      <c r="I580" s="18" t="s">
        <v>481</v>
      </c>
      <c r="J580" s="18" t="s">
        <v>1491</v>
      </c>
      <c r="K580" s="18" t="s">
        <v>56</v>
      </c>
      <c r="L580" s="18" t="s">
        <v>36</v>
      </c>
      <c r="N580" s="18">
        <v>6</v>
      </c>
      <c r="O580" s="18" t="s">
        <v>93</v>
      </c>
      <c r="P580" s="18" t="s">
        <v>38</v>
      </c>
      <c r="Q580" s="18" t="s">
        <v>194</v>
      </c>
      <c r="R580" s="18" t="s">
        <v>59</v>
      </c>
      <c r="S580" s="18" t="s">
        <v>195</v>
      </c>
      <c r="T580" s="18" t="b">
        <v>0</v>
      </c>
      <c r="U580" s="18" t="s">
        <v>187</v>
      </c>
      <c r="V580" s="18" t="s">
        <v>40</v>
      </c>
      <c r="W580" s="18" t="s">
        <v>126</v>
      </c>
      <c r="X580" s="18" t="s">
        <v>127</v>
      </c>
      <c r="Y580" s="18">
        <v>1</v>
      </c>
      <c r="Z580" s="18">
        <v>3132</v>
      </c>
      <c r="AC580" s="18" t="e">
        <v>#N/A</v>
      </c>
    </row>
    <row r="581" s="18" customFormat="1" spans="1:29">
      <c r="A581" s="18" t="s">
        <v>1646</v>
      </c>
      <c r="B581" s="25" t="s">
        <v>1646</v>
      </c>
      <c r="C581" s="26">
        <v>45680</v>
      </c>
      <c r="D581" s="18" t="s">
        <v>1647</v>
      </c>
      <c r="E581" s="18" t="str">
        <f t="shared" si="9"/>
        <v>Aftab Shaikh  </v>
      </c>
      <c r="F581" s="27" t="e">
        <v>#N/A</v>
      </c>
      <c r="G581" s="18" t="s">
        <v>182</v>
      </c>
      <c r="H581" s="18" t="s">
        <v>183</v>
      </c>
      <c r="I581" s="18" t="s">
        <v>481</v>
      </c>
      <c r="J581" s="18" t="s">
        <v>1491</v>
      </c>
      <c r="K581" s="18" t="s">
        <v>56</v>
      </c>
      <c r="L581" s="18" t="s">
        <v>36</v>
      </c>
      <c r="N581" s="18">
        <v>6</v>
      </c>
      <c r="O581" s="18" t="s">
        <v>93</v>
      </c>
      <c r="P581" s="18" t="s">
        <v>38</v>
      </c>
      <c r="Q581" s="18" t="s">
        <v>194</v>
      </c>
      <c r="R581" s="18" t="s">
        <v>59</v>
      </c>
      <c r="S581" s="18" t="s">
        <v>195</v>
      </c>
      <c r="T581" s="18" t="b">
        <v>0</v>
      </c>
      <c r="U581" s="18" t="s">
        <v>187</v>
      </c>
      <c r="V581" s="18" t="s">
        <v>40</v>
      </c>
      <c r="W581" s="18" t="s">
        <v>61</v>
      </c>
      <c r="X581" s="18" t="s">
        <v>62</v>
      </c>
      <c r="Y581" s="18">
        <v>1</v>
      </c>
      <c r="Z581" s="18">
        <v>1800</v>
      </c>
      <c r="AC581" s="18" t="e">
        <v>#N/A</v>
      </c>
    </row>
    <row r="582" s="18" customFormat="1" ht="29" spans="1:29">
      <c r="A582" s="18" t="s">
        <v>1648</v>
      </c>
      <c r="B582" s="25" t="s">
        <v>1648</v>
      </c>
      <c r="C582" s="26">
        <v>45680</v>
      </c>
      <c r="D582" s="18" t="s">
        <v>567</v>
      </c>
      <c r="E582" s="18" t="str">
        <f t="shared" si="9"/>
        <v>Ameya Integrated Services</v>
      </c>
      <c r="F582" s="27" t="s">
        <v>568</v>
      </c>
      <c r="G582" s="18" t="s">
        <v>182</v>
      </c>
      <c r="H582" s="18" t="s">
        <v>183</v>
      </c>
      <c r="I582" s="18" t="s">
        <v>184</v>
      </c>
      <c r="J582" s="18" t="s">
        <v>193</v>
      </c>
      <c r="K582" s="18" t="s">
        <v>56</v>
      </c>
      <c r="L582" s="18" t="s">
        <v>36</v>
      </c>
      <c r="N582" s="18">
        <v>6</v>
      </c>
      <c r="O582" s="18" t="s">
        <v>88</v>
      </c>
      <c r="P582" s="18" t="s">
        <v>38</v>
      </c>
      <c r="Q582" s="18" t="s">
        <v>194</v>
      </c>
      <c r="R582" s="18" t="s">
        <v>59</v>
      </c>
      <c r="S582" s="18" t="s">
        <v>195</v>
      </c>
      <c r="T582" s="18" t="b">
        <v>0</v>
      </c>
      <c r="U582" s="18" t="s">
        <v>187</v>
      </c>
      <c r="V582" s="18" t="s">
        <v>40</v>
      </c>
      <c r="W582" s="18" t="s">
        <v>292</v>
      </c>
      <c r="X582" s="18" t="s">
        <v>293</v>
      </c>
      <c r="Y582" s="18">
        <v>1</v>
      </c>
      <c r="Z582" s="18">
        <v>196000</v>
      </c>
      <c r="AA582" s="31" t="s">
        <v>569</v>
      </c>
      <c r="AB582" s="18" t="s">
        <v>570</v>
      </c>
      <c r="AC582" s="18" t="s">
        <v>200</v>
      </c>
    </row>
    <row r="583" s="18" customFormat="1" ht="29" spans="1:29">
      <c r="A583" s="18" t="s">
        <v>1649</v>
      </c>
      <c r="B583" s="25" t="s">
        <v>1649</v>
      </c>
      <c r="C583" s="26">
        <v>45680</v>
      </c>
      <c r="D583" s="18" t="s">
        <v>1650</v>
      </c>
      <c r="E583" s="18" t="str">
        <f t="shared" si="9"/>
        <v>A A Fur1044835 Neetu Prakash Poojaryre(Abbas Abdul Hussain Ujjainwala)</v>
      </c>
      <c r="F583" s="27" t="s">
        <v>1651</v>
      </c>
      <c r="G583" s="18" t="s">
        <v>182</v>
      </c>
      <c r="H583" s="18" t="s">
        <v>183</v>
      </c>
      <c r="I583" s="18" t="s">
        <v>184</v>
      </c>
      <c r="J583" s="18" t="s">
        <v>1491</v>
      </c>
      <c r="K583" s="18" t="s">
        <v>56</v>
      </c>
      <c r="L583" s="18" t="s">
        <v>36</v>
      </c>
      <c r="N583" s="18">
        <v>6</v>
      </c>
      <c r="O583" s="18" t="s">
        <v>57</v>
      </c>
      <c r="P583" s="18" t="s">
        <v>38</v>
      </c>
      <c r="Q583" s="18" t="s">
        <v>194</v>
      </c>
      <c r="R583" s="18" t="s">
        <v>59</v>
      </c>
      <c r="S583" s="18" t="s">
        <v>195</v>
      </c>
      <c r="T583" s="18" t="b">
        <v>0</v>
      </c>
      <c r="U583" s="18" t="s">
        <v>187</v>
      </c>
      <c r="V583" s="18" t="s">
        <v>40</v>
      </c>
      <c r="W583" s="18" t="s">
        <v>151</v>
      </c>
      <c r="X583" s="18" t="s">
        <v>152</v>
      </c>
      <c r="Y583" s="18">
        <v>1</v>
      </c>
      <c r="Z583" s="18">
        <v>8000</v>
      </c>
      <c r="AA583" s="31" t="s">
        <v>198</v>
      </c>
      <c r="AB583" s="18" t="s">
        <v>199</v>
      </c>
      <c r="AC583" s="18" t="s">
        <v>200</v>
      </c>
    </row>
    <row r="584" s="18" customFormat="1" ht="29" spans="1:29">
      <c r="A584" s="18" t="s">
        <v>1652</v>
      </c>
      <c r="B584" s="25" t="s">
        <v>1652</v>
      </c>
      <c r="C584" s="26">
        <v>45680</v>
      </c>
      <c r="D584" s="18" t="s">
        <v>572</v>
      </c>
      <c r="E584" s="18" t="str">
        <f t="shared" si="9"/>
        <v>Emblaze Events (Sunita Harihar Sharma)</v>
      </c>
      <c r="F584" s="27" t="s">
        <v>573</v>
      </c>
      <c r="G584" s="18" t="s">
        <v>182</v>
      </c>
      <c r="H584" s="18" t="s">
        <v>183</v>
      </c>
      <c r="I584" s="18" t="s">
        <v>184</v>
      </c>
      <c r="J584" s="18" t="s">
        <v>1491</v>
      </c>
      <c r="K584" s="18" t="s">
        <v>56</v>
      </c>
      <c r="L584" s="18" t="s">
        <v>36</v>
      </c>
      <c r="N584" s="18">
        <v>6</v>
      </c>
      <c r="O584" s="18" t="s">
        <v>57</v>
      </c>
      <c r="P584" s="18" t="s">
        <v>38</v>
      </c>
      <c r="Q584" s="18" t="s">
        <v>194</v>
      </c>
      <c r="R584" s="18" t="s">
        <v>59</v>
      </c>
      <c r="S584" s="18" t="s">
        <v>195</v>
      </c>
      <c r="T584" s="18" t="b">
        <v>0</v>
      </c>
      <c r="U584" s="18" t="s">
        <v>187</v>
      </c>
      <c r="V584" s="18" t="s">
        <v>40</v>
      </c>
      <c r="W584" s="18" t="s">
        <v>292</v>
      </c>
      <c r="X584" s="18" t="s">
        <v>293</v>
      </c>
      <c r="Y584" s="18">
        <v>1</v>
      </c>
      <c r="Z584" s="18">
        <v>34600</v>
      </c>
      <c r="AA584" s="31" t="s">
        <v>198</v>
      </c>
      <c r="AB584" s="18" t="s">
        <v>199</v>
      </c>
      <c r="AC584" s="18" t="s">
        <v>200</v>
      </c>
    </row>
    <row r="585" s="18" customFormat="1" spans="1:29">
      <c r="A585" s="18" t="s">
        <v>1653</v>
      </c>
      <c r="B585" s="25" t="s">
        <v>1653</v>
      </c>
      <c r="C585" s="26">
        <v>45680</v>
      </c>
      <c r="D585" s="18" t="s">
        <v>1654</v>
      </c>
      <c r="E585" s="18" t="str">
        <f t="shared" si="9"/>
        <v>Tribal Monk Network LLP</v>
      </c>
      <c r="F585" s="27" t="s">
        <v>1655</v>
      </c>
      <c r="G585" s="18" t="s">
        <v>182</v>
      </c>
      <c r="H585" s="18" t="s">
        <v>183</v>
      </c>
      <c r="I585" s="18" t="s">
        <v>159</v>
      </c>
      <c r="J585" s="18" t="s">
        <v>149</v>
      </c>
      <c r="K585" s="18" t="s">
        <v>56</v>
      </c>
      <c r="L585" s="18" t="s">
        <v>36</v>
      </c>
      <c r="N585" s="18">
        <v>6</v>
      </c>
      <c r="O585" s="18" t="s">
        <v>88</v>
      </c>
      <c r="P585" s="18" t="s">
        <v>38</v>
      </c>
      <c r="Q585" s="18" t="s">
        <v>58</v>
      </c>
      <c r="R585" s="18" t="s">
        <v>59</v>
      </c>
      <c r="S585" s="18" t="s">
        <v>60</v>
      </c>
      <c r="T585" s="18" t="b">
        <v>0</v>
      </c>
      <c r="U585" s="18" t="s">
        <v>187</v>
      </c>
      <c r="V585" s="18" t="s">
        <v>40</v>
      </c>
      <c r="W585" s="18" t="s">
        <v>250</v>
      </c>
      <c r="X585" s="18" t="s">
        <v>251</v>
      </c>
      <c r="Y585" s="18">
        <v>1</v>
      </c>
      <c r="Z585" s="18">
        <v>460000</v>
      </c>
      <c r="AA585" s="18" t="s">
        <v>1471</v>
      </c>
      <c r="AB585" s="18" t="s">
        <v>406</v>
      </c>
      <c r="AC585" s="18" t="s">
        <v>200</v>
      </c>
    </row>
    <row r="586" s="18" customFormat="1" spans="1:29">
      <c r="A586" s="18" t="s">
        <v>1656</v>
      </c>
      <c r="B586" s="25" t="s">
        <v>1656</v>
      </c>
      <c r="C586" s="26">
        <v>45680</v>
      </c>
      <c r="D586" s="18" t="s">
        <v>1657</v>
      </c>
      <c r="E586" s="18" t="str">
        <f t="shared" si="9"/>
        <v>Hotel Ratna Mahal (Shree Swami Samarth Hospitality) (Happay)</v>
      </c>
      <c r="F586" s="27" t="s">
        <v>1658</v>
      </c>
      <c r="G586" s="18" t="s">
        <v>182</v>
      </c>
      <c r="H586" s="18" t="s">
        <v>183</v>
      </c>
      <c r="I586" s="18" t="s">
        <v>184</v>
      </c>
      <c r="J586" s="18" t="s">
        <v>1491</v>
      </c>
      <c r="K586" s="18" t="s">
        <v>56</v>
      </c>
      <c r="L586" s="18" t="s">
        <v>36</v>
      </c>
      <c r="N586" s="18">
        <v>6</v>
      </c>
      <c r="O586" s="18" t="s">
        <v>57</v>
      </c>
      <c r="P586" s="18" t="s">
        <v>38</v>
      </c>
      <c r="Q586" s="18" t="s">
        <v>194</v>
      </c>
      <c r="R586" s="18" t="s">
        <v>59</v>
      </c>
      <c r="S586" s="18" t="s">
        <v>195</v>
      </c>
      <c r="T586" s="18" t="b">
        <v>0</v>
      </c>
      <c r="U586" s="18" t="s">
        <v>187</v>
      </c>
      <c r="V586" s="18" t="s">
        <v>40</v>
      </c>
      <c r="W586" s="18" t="s">
        <v>61</v>
      </c>
      <c r="X586" s="18" t="s">
        <v>62</v>
      </c>
      <c r="Y586" s="18">
        <v>1</v>
      </c>
      <c r="Z586" s="18">
        <v>14320</v>
      </c>
      <c r="AA586" s="18" t="s">
        <v>1659</v>
      </c>
      <c r="AB586" s="18" t="s">
        <v>199</v>
      </c>
      <c r="AC586" s="18" t="s">
        <v>582</v>
      </c>
    </row>
    <row r="587" s="18" customFormat="1" spans="1:29">
      <c r="A587" s="18" t="s">
        <v>1660</v>
      </c>
      <c r="B587" s="25" t="s">
        <v>1660</v>
      </c>
      <c r="C587" s="26">
        <v>45680</v>
      </c>
      <c r="D587" s="18" t="s">
        <v>1657</v>
      </c>
      <c r="E587" s="18" t="str">
        <f t="shared" si="9"/>
        <v>Hotel Ratna Mahal (Shree Swami Samarth Hospitality) (Happay)</v>
      </c>
      <c r="F587" s="27" t="s">
        <v>1658</v>
      </c>
      <c r="G587" s="18" t="s">
        <v>182</v>
      </c>
      <c r="H587" s="18" t="s">
        <v>183</v>
      </c>
      <c r="I587" s="18" t="s">
        <v>184</v>
      </c>
      <c r="J587" s="18" t="s">
        <v>1491</v>
      </c>
      <c r="K587" s="18" t="s">
        <v>56</v>
      </c>
      <c r="L587" s="18" t="s">
        <v>36</v>
      </c>
      <c r="N587" s="18">
        <v>6</v>
      </c>
      <c r="O587" s="18" t="s">
        <v>57</v>
      </c>
      <c r="P587" s="18" t="s">
        <v>38</v>
      </c>
      <c r="Q587" s="18" t="s">
        <v>194</v>
      </c>
      <c r="R587" s="18" t="s">
        <v>59</v>
      </c>
      <c r="S587" s="18" t="s">
        <v>195</v>
      </c>
      <c r="T587" s="18" t="b">
        <v>0</v>
      </c>
      <c r="U587" s="18" t="s">
        <v>187</v>
      </c>
      <c r="V587" s="18" t="s">
        <v>40</v>
      </c>
      <c r="W587" s="18" t="s">
        <v>61</v>
      </c>
      <c r="X587" s="18" t="s">
        <v>62</v>
      </c>
      <c r="Y587" s="18">
        <v>1</v>
      </c>
      <c r="Z587" s="18">
        <v>14320</v>
      </c>
      <c r="AA587" s="18" t="s">
        <v>1659</v>
      </c>
      <c r="AB587" s="18" t="s">
        <v>199</v>
      </c>
      <c r="AC587" s="18" t="s">
        <v>582</v>
      </c>
    </row>
    <row r="588" s="18" customFormat="1" spans="1:29">
      <c r="A588" s="18" t="s">
        <v>1661</v>
      </c>
      <c r="B588" s="25" t="s">
        <v>1661</v>
      </c>
      <c r="C588" s="26">
        <v>45680</v>
      </c>
      <c r="D588" s="18" t="s">
        <v>1662</v>
      </c>
      <c r="E588" s="18" t="str">
        <f t="shared" si="9"/>
        <v>Smile Entertainment</v>
      </c>
      <c r="F588" s="27" t="s">
        <v>1663</v>
      </c>
      <c r="G588" s="18" t="s">
        <v>182</v>
      </c>
      <c r="H588" s="18" t="s">
        <v>183</v>
      </c>
      <c r="I588" s="18" t="s">
        <v>207</v>
      </c>
      <c r="J588" s="18" t="s">
        <v>486</v>
      </c>
      <c r="K588" s="18" t="s">
        <v>56</v>
      </c>
      <c r="L588" s="18" t="s">
        <v>36</v>
      </c>
      <c r="N588" s="18">
        <v>6</v>
      </c>
      <c r="O588" s="18" t="s">
        <v>88</v>
      </c>
      <c r="P588" s="18" t="s">
        <v>38</v>
      </c>
      <c r="Q588" s="18" t="s">
        <v>58</v>
      </c>
      <c r="R588" s="18" t="s">
        <v>59</v>
      </c>
      <c r="S588" s="18" t="s">
        <v>60</v>
      </c>
      <c r="T588" s="18" t="b">
        <v>0</v>
      </c>
      <c r="U588" s="18" t="s">
        <v>187</v>
      </c>
      <c r="V588" s="18" t="s">
        <v>40</v>
      </c>
      <c r="W588" s="18" t="s">
        <v>292</v>
      </c>
      <c r="X588" s="18" t="s">
        <v>293</v>
      </c>
      <c r="Y588" s="18">
        <v>1</v>
      </c>
      <c r="Z588" s="18">
        <v>1500</v>
      </c>
      <c r="AA588" s="18" t="s">
        <v>1664</v>
      </c>
      <c r="AB588" s="18" t="s">
        <v>1665</v>
      </c>
      <c r="AC588" s="18" t="s">
        <v>216</v>
      </c>
    </row>
    <row r="589" s="18" customFormat="1" spans="1:29">
      <c r="A589" s="18" t="s">
        <v>1666</v>
      </c>
      <c r="B589" s="25" t="s">
        <v>1666</v>
      </c>
      <c r="C589" s="26">
        <v>45680</v>
      </c>
      <c r="D589" s="18" t="s">
        <v>1667</v>
      </c>
      <c r="E589" s="18" t="str">
        <f t="shared" si="9"/>
        <v>Proelectro Ltd</v>
      </c>
      <c r="F589" s="27" t="s">
        <v>1668</v>
      </c>
      <c r="G589" s="18" t="s">
        <v>182</v>
      </c>
      <c r="H589" s="18" t="s">
        <v>183</v>
      </c>
      <c r="I589" s="18" t="s">
        <v>54</v>
      </c>
      <c r="J589" s="18" t="s">
        <v>139</v>
      </c>
      <c r="K589" s="18" t="s">
        <v>56</v>
      </c>
      <c r="L589" s="18" t="s">
        <v>36</v>
      </c>
      <c r="N589" s="18">
        <v>6</v>
      </c>
      <c r="O589" s="18" t="s">
        <v>57</v>
      </c>
      <c r="P589" s="18" t="s">
        <v>38</v>
      </c>
      <c r="Q589" s="18" t="s">
        <v>58</v>
      </c>
      <c r="R589" s="18" t="s">
        <v>59</v>
      </c>
      <c r="S589" s="18" t="s">
        <v>60</v>
      </c>
      <c r="T589" s="18" t="b">
        <v>0</v>
      </c>
      <c r="U589" s="18" t="s">
        <v>187</v>
      </c>
      <c r="V589" s="18" t="s">
        <v>40</v>
      </c>
      <c r="W589" s="18" t="s">
        <v>1221</v>
      </c>
      <c r="X589" s="18" t="s">
        <v>234</v>
      </c>
      <c r="Y589" s="18">
        <v>1</v>
      </c>
      <c r="Z589" s="18">
        <v>3831240</v>
      </c>
      <c r="AA589" s="18" t="s">
        <v>1015</v>
      </c>
      <c r="AB589" s="18" t="s">
        <v>1016</v>
      </c>
      <c r="AC589" s="18" t="e">
        <v>#N/A</v>
      </c>
    </row>
    <row r="590" s="18" customFormat="1" spans="1:29">
      <c r="A590" s="18" t="s">
        <v>1669</v>
      </c>
      <c r="B590" s="25" t="s">
        <v>1669</v>
      </c>
      <c r="C590" s="26">
        <v>45680</v>
      </c>
      <c r="D590" s="18" t="s">
        <v>1670</v>
      </c>
      <c r="E590" s="18" t="str">
        <f t="shared" si="9"/>
        <v>Grand Hyatt Athens (Sygroy 115 Hotel Enterprises Single Member S A)</v>
      </c>
      <c r="F590" s="27" t="s">
        <v>1671</v>
      </c>
      <c r="G590" s="18" t="s">
        <v>182</v>
      </c>
      <c r="H590" s="18" t="s">
        <v>183</v>
      </c>
      <c r="I590" s="18" t="s">
        <v>54</v>
      </c>
      <c r="J590" s="18" t="s">
        <v>139</v>
      </c>
      <c r="K590" s="18" t="s">
        <v>56</v>
      </c>
      <c r="L590" s="18" t="s">
        <v>36</v>
      </c>
      <c r="N590" s="18">
        <v>6</v>
      </c>
      <c r="O590" s="18" t="s">
        <v>57</v>
      </c>
      <c r="P590" s="18" t="s">
        <v>38</v>
      </c>
      <c r="Q590" s="18" t="s">
        <v>58</v>
      </c>
      <c r="R590" s="18" t="s">
        <v>59</v>
      </c>
      <c r="S590" s="18" t="s">
        <v>60</v>
      </c>
      <c r="T590" s="18" t="b">
        <v>0</v>
      </c>
      <c r="U590" s="18" t="s">
        <v>187</v>
      </c>
      <c r="V590" s="18" t="s">
        <v>40</v>
      </c>
      <c r="W590" s="18" t="s">
        <v>1672</v>
      </c>
      <c r="X590" s="18" t="s">
        <v>1177</v>
      </c>
      <c r="Y590" s="18">
        <v>1</v>
      </c>
      <c r="Z590" s="18">
        <v>7622982</v>
      </c>
      <c r="AA590" s="18" t="s">
        <v>322</v>
      </c>
      <c r="AB590" s="18" t="s">
        <v>323</v>
      </c>
      <c r="AC590" s="18" t="e">
        <v>#N/A</v>
      </c>
    </row>
    <row r="591" s="18" customFormat="1" spans="1:29">
      <c r="A591" s="18" t="s">
        <v>1673</v>
      </c>
      <c r="B591" s="25" t="s">
        <v>1673</v>
      </c>
      <c r="C591" s="26">
        <v>45681</v>
      </c>
      <c r="D591" s="18" t="s">
        <v>1674</v>
      </c>
      <c r="E591" s="18" t="str">
        <f t="shared" si="9"/>
        <v>Triangle Property Developers Pvt Ltd</v>
      </c>
      <c r="F591" s="27" t="s">
        <v>1675</v>
      </c>
      <c r="G591" s="18" t="s">
        <v>32</v>
      </c>
      <c r="H591" s="18" t="s">
        <v>33</v>
      </c>
      <c r="I591" s="18" t="s">
        <v>207</v>
      </c>
      <c r="J591" s="18" t="s">
        <v>310</v>
      </c>
      <c r="K591" s="18" t="s">
        <v>56</v>
      </c>
      <c r="L591" s="18" t="s">
        <v>36</v>
      </c>
      <c r="N591" s="18">
        <v>6</v>
      </c>
      <c r="O591" s="18" t="s">
        <v>57</v>
      </c>
      <c r="P591" s="18" t="s">
        <v>38</v>
      </c>
      <c r="Q591" s="18" t="s">
        <v>58</v>
      </c>
      <c r="R591" s="18" t="s">
        <v>59</v>
      </c>
      <c r="S591" s="18" t="s">
        <v>60</v>
      </c>
      <c r="T591" s="18" t="b">
        <v>1</v>
      </c>
      <c r="U591" s="18" t="s">
        <v>39</v>
      </c>
      <c r="V591" s="18" t="s">
        <v>40</v>
      </c>
      <c r="W591" s="18" t="s">
        <v>61</v>
      </c>
      <c r="X591" s="18" t="s">
        <v>62</v>
      </c>
      <c r="Y591" s="18">
        <v>1</v>
      </c>
      <c r="Z591" s="18">
        <v>30000</v>
      </c>
      <c r="AA591" s="18" t="s">
        <v>1676</v>
      </c>
      <c r="AB591" s="18" t="s">
        <v>600</v>
      </c>
      <c r="AC591" s="18" t="s">
        <v>43</v>
      </c>
    </row>
    <row r="592" s="18" customFormat="1" spans="1:29">
      <c r="A592" s="18" t="s">
        <v>1677</v>
      </c>
      <c r="B592" s="25" t="s">
        <v>1677</v>
      </c>
      <c r="C592" s="26">
        <v>45681</v>
      </c>
      <c r="D592" s="18" t="s">
        <v>628</v>
      </c>
      <c r="E592" s="18" t="str">
        <f t="shared" si="9"/>
        <v>New Print House</v>
      </c>
      <c r="F592" s="27" t="s">
        <v>629</v>
      </c>
      <c r="G592" s="18" t="s">
        <v>32</v>
      </c>
      <c r="H592" s="18" t="s">
        <v>33</v>
      </c>
      <c r="I592" s="18" t="s">
        <v>133</v>
      </c>
      <c r="J592" s="18" t="s">
        <v>125</v>
      </c>
      <c r="K592" s="18" t="s">
        <v>56</v>
      </c>
      <c r="L592" s="18" t="s">
        <v>36</v>
      </c>
      <c r="N592" s="18">
        <v>6</v>
      </c>
      <c r="O592" s="18" t="s">
        <v>88</v>
      </c>
      <c r="P592" s="18" t="s">
        <v>38</v>
      </c>
      <c r="Q592" s="18" t="s">
        <v>117</v>
      </c>
      <c r="R592" s="18" t="s">
        <v>59</v>
      </c>
      <c r="S592" s="18" t="s">
        <v>118</v>
      </c>
      <c r="T592" s="18" t="b">
        <v>1</v>
      </c>
      <c r="U592" s="18" t="s">
        <v>39</v>
      </c>
      <c r="V592" s="18" t="s">
        <v>40</v>
      </c>
      <c r="W592" s="18" t="s">
        <v>196</v>
      </c>
      <c r="X592" s="18" t="s">
        <v>197</v>
      </c>
      <c r="Y592" s="18">
        <v>1</v>
      </c>
      <c r="Z592" s="18">
        <v>3200</v>
      </c>
      <c r="AA592" s="18" t="s">
        <v>1678</v>
      </c>
      <c r="AB592" s="18" t="s">
        <v>1679</v>
      </c>
      <c r="AC592" s="18" t="s">
        <v>630</v>
      </c>
    </row>
    <row r="593" s="18" customFormat="1" spans="1:29">
      <c r="A593" s="18" t="s">
        <v>1680</v>
      </c>
      <c r="B593" s="25" t="s">
        <v>1680</v>
      </c>
      <c r="C593" s="26">
        <v>45681</v>
      </c>
      <c r="D593" s="18" t="s">
        <v>641</v>
      </c>
      <c r="E593" s="18" t="str">
        <f t="shared" si="9"/>
        <v>VSFE Events LLP</v>
      </c>
      <c r="F593" s="27" t="s">
        <v>642</v>
      </c>
      <c r="G593" s="18" t="s">
        <v>32</v>
      </c>
      <c r="H593" s="18" t="s">
        <v>33</v>
      </c>
      <c r="I593" s="18" t="s">
        <v>133</v>
      </c>
      <c r="J593" s="18" t="s">
        <v>1681</v>
      </c>
      <c r="K593" s="18" t="s">
        <v>56</v>
      </c>
      <c r="L593" s="18" t="s">
        <v>36</v>
      </c>
      <c r="N593" s="18">
        <v>6</v>
      </c>
      <c r="O593" s="18" t="s">
        <v>88</v>
      </c>
      <c r="P593" s="18" t="s">
        <v>38</v>
      </c>
      <c r="Q593" s="18" t="s">
        <v>117</v>
      </c>
      <c r="R593" s="18" t="s">
        <v>59</v>
      </c>
      <c r="S593" s="18" t="s">
        <v>118</v>
      </c>
      <c r="T593" s="18" t="b">
        <v>1</v>
      </c>
      <c r="U593" s="18" t="s">
        <v>39</v>
      </c>
      <c r="V593" s="18" t="s">
        <v>40</v>
      </c>
      <c r="W593" s="18" t="s">
        <v>401</v>
      </c>
      <c r="X593" s="18" t="s">
        <v>402</v>
      </c>
      <c r="Y593" s="18">
        <v>1</v>
      </c>
      <c r="Z593" s="18">
        <v>5000</v>
      </c>
      <c r="AA593" s="18" t="s">
        <v>622</v>
      </c>
      <c r="AB593" s="18" t="s">
        <v>623</v>
      </c>
      <c r="AC593" s="18" t="s">
        <v>43</v>
      </c>
    </row>
    <row r="594" s="18" customFormat="1" spans="1:29">
      <c r="A594" s="18" t="s">
        <v>1682</v>
      </c>
      <c r="B594" s="25" t="s">
        <v>1682</v>
      </c>
      <c r="C594" s="26">
        <v>45681</v>
      </c>
      <c r="D594" s="18" t="s">
        <v>827</v>
      </c>
      <c r="E594" s="18" t="str">
        <f t="shared" si="9"/>
        <v>Infutech Solutions</v>
      </c>
      <c r="F594" s="27" t="s">
        <v>828</v>
      </c>
      <c r="G594" s="18" t="s">
        <v>32</v>
      </c>
      <c r="H594" s="18" t="s">
        <v>33</v>
      </c>
      <c r="I594" s="18" t="s">
        <v>34</v>
      </c>
      <c r="K594" s="18" t="s">
        <v>35</v>
      </c>
      <c r="L594" s="18" t="s">
        <v>36</v>
      </c>
      <c r="N594" s="18">
        <v>6</v>
      </c>
      <c r="O594" s="18" t="s">
        <v>88</v>
      </c>
      <c r="P594" s="18" t="s">
        <v>38</v>
      </c>
      <c r="T594" s="18" t="b">
        <v>1</v>
      </c>
      <c r="U594" s="18" t="s">
        <v>39</v>
      </c>
      <c r="V594" s="18" t="s">
        <v>40</v>
      </c>
      <c r="W594" s="18" t="s">
        <v>526</v>
      </c>
      <c r="X594" s="18" t="s">
        <v>526</v>
      </c>
      <c r="Y594" s="18">
        <v>1</v>
      </c>
      <c r="Z594" s="18">
        <v>5400</v>
      </c>
      <c r="AA594" s="18" t="s">
        <v>89</v>
      </c>
      <c r="AB594" s="18" t="s">
        <v>90</v>
      </c>
      <c r="AC594" s="18" t="s">
        <v>43</v>
      </c>
    </row>
    <row r="595" s="18" customFormat="1" ht="29" spans="1:29">
      <c r="A595" s="18" t="s">
        <v>1683</v>
      </c>
      <c r="B595" s="25" t="s">
        <v>1683</v>
      </c>
      <c r="C595" s="26">
        <v>45681</v>
      </c>
      <c r="D595" s="18" t="s">
        <v>511</v>
      </c>
      <c r="E595" s="18" t="str">
        <f t="shared" si="9"/>
        <v>Pro Audio Solutions India Pvt Ltd</v>
      </c>
      <c r="F595" s="27" t="s">
        <v>512</v>
      </c>
      <c r="G595" s="18" t="s">
        <v>99</v>
      </c>
      <c r="H595" s="18" t="s">
        <v>100</v>
      </c>
      <c r="I595" s="18" t="s">
        <v>184</v>
      </c>
      <c r="J595" s="18" t="s">
        <v>499</v>
      </c>
      <c r="K595" s="18" t="s">
        <v>56</v>
      </c>
      <c r="L595" s="18" t="s">
        <v>36</v>
      </c>
      <c r="N595" s="18">
        <v>6</v>
      </c>
      <c r="O595" s="18" t="s">
        <v>88</v>
      </c>
      <c r="P595" s="18" t="s">
        <v>38</v>
      </c>
      <c r="Q595" s="18" t="s">
        <v>117</v>
      </c>
      <c r="R595" s="18" t="s">
        <v>59</v>
      </c>
      <c r="S595" s="18" t="s">
        <v>186</v>
      </c>
      <c r="T595" s="18" t="b">
        <v>1</v>
      </c>
      <c r="U595" s="18" t="s">
        <v>101</v>
      </c>
      <c r="V595" s="18" t="s">
        <v>40</v>
      </c>
      <c r="W595" s="18" t="s">
        <v>371</v>
      </c>
      <c r="X595" s="18" t="s">
        <v>372</v>
      </c>
      <c r="Y595" s="18">
        <v>1</v>
      </c>
      <c r="Z595" s="18">
        <v>110000</v>
      </c>
      <c r="AA595" s="31" t="s">
        <v>338</v>
      </c>
      <c r="AB595" s="18" t="s">
        <v>339</v>
      </c>
      <c r="AC595" s="18" t="s">
        <v>111</v>
      </c>
    </row>
    <row r="596" s="18" customFormat="1" ht="29" spans="1:29">
      <c r="A596" s="18" t="s">
        <v>1684</v>
      </c>
      <c r="B596" s="25" t="s">
        <v>1684</v>
      </c>
      <c r="C596" s="26">
        <v>45681</v>
      </c>
      <c r="D596" s="18" t="s">
        <v>1145</v>
      </c>
      <c r="E596" s="18" t="str">
        <f t="shared" si="9"/>
        <v>Neet (M) Fabricators</v>
      </c>
      <c r="F596" s="27" t="s">
        <v>1146</v>
      </c>
      <c r="G596" s="18" t="s">
        <v>99</v>
      </c>
      <c r="H596" s="18" t="s">
        <v>100</v>
      </c>
      <c r="I596" s="18" t="s">
        <v>184</v>
      </c>
      <c r="J596" s="18" t="s">
        <v>499</v>
      </c>
      <c r="K596" s="18" t="s">
        <v>56</v>
      </c>
      <c r="L596" s="18" t="s">
        <v>36</v>
      </c>
      <c r="N596" s="18">
        <v>6</v>
      </c>
      <c r="O596" s="18" t="s">
        <v>57</v>
      </c>
      <c r="P596" s="18" t="s">
        <v>38</v>
      </c>
      <c r="Q596" s="18" t="s">
        <v>117</v>
      </c>
      <c r="R596" s="18" t="s">
        <v>59</v>
      </c>
      <c r="S596" s="18" t="s">
        <v>186</v>
      </c>
      <c r="T596" s="18" t="b">
        <v>1</v>
      </c>
      <c r="U596" s="18" t="s">
        <v>101</v>
      </c>
      <c r="V596" s="18" t="s">
        <v>40</v>
      </c>
      <c r="W596" s="18" t="s">
        <v>151</v>
      </c>
      <c r="X596" s="18" t="s">
        <v>152</v>
      </c>
      <c r="Y596" s="18">
        <v>1</v>
      </c>
      <c r="Z596" s="18">
        <v>18810</v>
      </c>
      <c r="AA596" s="31" t="s">
        <v>338</v>
      </c>
      <c r="AB596" s="18" t="s">
        <v>339</v>
      </c>
      <c r="AC596" s="18" t="s">
        <v>111</v>
      </c>
    </row>
    <row r="597" s="18" customFormat="1" ht="29" spans="1:29">
      <c r="A597" s="18" t="s">
        <v>1685</v>
      </c>
      <c r="B597" s="25" t="s">
        <v>1685</v>
      </c>
      <c r="C597" s="26">
        <v>45681</v>
      </c>
      <c r="D597" s="18" t="s">
        <v>1141</v>
      </c>
      <c r="E597" s="18" t="str">
        <f t="shared" si="9"/>
        <v>Eco Prints</v>
      </c>
      <c r="F597" s="27" t="s">
        <v>1142</v>
      </c>
      <c r="G597" s="18" t="s">
        <v>99</v>
      </c>
      <c r="H597" s="18" t="s">
        <v>100</v>
      </c>
      <c r="I597" s="18" t="s">
        <v>184</v>
      </c>
      <c r="J597" s="18" t="s">
        <v>499</v>
      </c>
      <c r="K597" s="18" t="s">
        <v>56</v>
      </c>
      <c r="L597" s="18" t="s">
        <v>36</v>
      </c>
      <c r="N597" s="18">
        <v>6</v>
      </c>
      <c r="O597" s="18" t="s">
        <v>88</v>
      </c>
      <c r="P597" s="18" t="s">
        <v>38</v>
      </c>
      <c r="Q597" s="18" t="s">
        <v>117</v>
      </c>
      <c r="R597" s="18" t="s">
        <v>59</v>
      </c>
      <c r="S597" s="18" t="s">
        <v>186</v>
      </c>
      <c r="T597" s="18" t="b">
        <v>1</v>
      </c>
      <c r="U597" s="18" t="s">
        <v>101</v>
      </c>
      <c r="V597" s="18" t="s">
        <v>40</v>
      </c>
      <c r="W597" s="18" t="s">
        <v>196</v>
      </c>
      <c r="X597" s="18" t="s">
        <v>197</v>
      </c>
      <c r="Y597" s="18">
        <v>1</v>
      </c>
      <c r="Z597" s="18">
        <v>11500</v>
      </c>
      <c r="AA597" s="31" t="s">
        <v>338</v>
      </c>
      <c r="AB597" s="18" t="s">
        <v>339</v>
      </c>
      <c r="AC597" s="18" t="s">
        <v>111</v>
      </c>
    </row>
    <row r="598" s="18" customFormat="1" ht="29" spans="1:29">
      <c r="A598" s="18" t="s">
        <v>1686</v>
      </c>
      <c r="B598" s="25" t="s">
        <v>1686</v>
      </c>
      <c r="C598" s="26">
        <v>45681</v>
      </c>
      <c r="D598" s="18" t="s">
        <v>1510</v>
      </c>
      <c r="E598" s="18" t="str">
        <f t="shared" si="9"/>
        <v>Square Feet Productions</v>
      </c>
      <c r="F598" s="27" t="s">
        <v>1511</v>
      </c>
      <c r="G598" s="18" t="s">
        <v>99</v>
      </c>
      <c r="H598" s="18" t="s">
        <v>100</v>
      </c>
      <c r="I598" s="18" t="s">
        <v>184</v>
      </c>
      <c r="J598" s="18" t="s">
        <v>499</v>
      </c>
      <c r="K598" s="18" t="s">
        <v>56</v>
      </c>
      <c r="L598" s="18" t="s">
        <v>36</v>
      </c>
      <c r="N598" s="18">
        <v>6</v>
      </c>
      <c r="O598" s="18" t="s">
        <v>57</v>
      </c>
      <c r="P598" s="18" t="s">
        <v>38</v>
      </c>
      <c r="Q598" s="18" t="s">
        <v>117</v>
      </c>
      <c r="R598" s="18" t="s">
        <v>59</v>
      </c>
      <c r="S598" s="18" t="s">
        <v>186</v>
      </c>
      <c r="T598" s="18" t="b">
        <v>1</v>
      </c>
      <c r="U598" s="18" t="s">
        <v>101</v>
      </c>
      <c r="V598" s="18" t="s">
        <v>40</v>
      </c>
      <c r="W598" s="18" t="s">
        <v>151</v>
      </c>
      <c r="X598" s="18" t="s">
        <v>152</v>
      </c>
      <c r="Y598" s="18">
        <v>1</v>
      </c>
      <c r="Z598" s="18">
        <v>230000</v>
      </c>
      <c r="AA598" s="31" t="s">
        <v>338</v>
      </c>
      <c r="AB598" s="18" t="s">
        <v>339</v>
      </c>
      <c r="AC598" s="18" t="s">
        <v>111</v>
      </c>
    </row>
    <row r="599" s="18" customFormat="1" spans="1:29">
      <c r="A599" s="18" t="s">
        <v>1687</v>
      </c>
      <c r="B599" s="25" t="s">
        <v>1687</v>
      </c>
      <c r="C599" s="26">
        <v>45681</v>
      </c>
      <c r="D599" s="18" t="s">
        <v>1688</v>
      </c>
      <c r="E599" s="18" t="str">
        <f t="shared" si="9"/>
        <v>Paulraj S  </v>
      </c>
      <c r="F599" s="27" t="e">
        <v>#N/A</v>
      </c>
      <c r="G599" s="18" t="s">
        <v>99</v>
      </c>
      <c r="H599" s="18" t="s">
        <v>100</v>
      </c>
      <c r="I599" s="18" t="s">
        <v>34</v>
      </c>
      <c r="J599" s="18" t="s">
        <v>1006</v>
      </c>
      <c r="K599" s="18" t="s">
        <v>56</v>
      </c>
      <c r="L599" s="18" t="s">
        <v>36</v>
      </c>
      <c r="N599" s="18">
        <v>6</v>
      </c>
      <c r="O599" s="18" t="s">
        <v>93</v>
      </c>
      <c r="P599" s="18" t="s">
        <v>38</v>
      </c>
      <c r="Q599" s="18" t="s">
        <v>117</v>
      </c>
      <c r="R599" s="18" t="s">
        <v>59</v>
      </c>
      <c r="S599" s="18" t="s">
        <v>186</v>
      </c>
      <c r="T599" s="18" t="b">
        <v>1</v>
      </c>
      <c r="U599" s="18" t="s">
        <v>101</v>
      </c>
      <c r="V599" s="18" t="s">
        <v>40</v>
      </c>
      <c r="W599" s="18" t="s">
        <v>61</v>
      </c>
      <c r="X599" s="18" t="s">
        <v>62</v>
      </c>
      <c r="Y599" s="18">
        <v>1</v>
      </c>
      <c r="Z599" s="18">
        <v>36110</v>
      </c>
      <c r="AA599" s="18" t="s">
        <v>102</v>
      </c>
      <c r="AB599" s="18" t="s">
        <v>103</v>
      </c>
      <c r="AC599" s="18" t="e">
        <v>#N/A</v>
      </c>
    </row>
    <row r="600" s="18" customFormat="1" spans="1:29">
      <c r="A600" s="18" t="s">
        <v>1689</v>
      </c>
      <c r="B600" s="25" t="s">
        <v>1689</v>
      </c>
      <c r="C600" s="26">
        <v>45681</v>
      </c>
      <c r="D600" s="18" t="s">
        <v>507</v>
      </c>
      <c r="E600" s="18" t="str">
        <f t="shared" si="9"/>
        <v>R Anandan  </v>
      </c>
      <c r="F600" s="27" t="e">
        <v>#N/A</v>
      </c>
      <c r="G600" s="18" t="s">
        <v>99</v>
      </c>
      <c r="H600" s="18" t="s">
        <v>100</v>
      </c>
      <c r="I600" s="18" t="s">
        <v>34</v>
      </c>
      <c r="J600" s="18" t="s">
        <v>499</v>
      </c>
      <c r="K600" s="18" t="s">
        <v>56</v>
      </c>
      <c r="L600" s="18" t="s">
        <v>36</v>
      </c>
      <c r="N600" s="18">
        <v>6</v>
      </c>
      <c r="O600" s="18" t="s">
        <v>93</v>
      </c>
      <c r="P600" s="18" t="s">
        <v>38</v>
      </c>
      <c r="Q600" s="18" t="s">
        <v>117</v>
      </c>
      <c r="R600" s="18" t="s">
        <v>59</v>
      </c>
      <c r="S600" s="18" t="s">
        <v>186</v>
      </c>
      <c r="T600" s="18" t="b">
        <v>1</v>
      </c>
      <c r="U600" s="18" t="s">
        <v>101</v>
      </c>
      <c r="V600" s="18" t="s">
        <v>40</v>
      </c>
      <c r="W600" s="18" t="s">
        <v>61</v>
      </c>
      <c r="X600" s="18" t="s">
        <v>62</v>
      </c>
      <c r="Y600" s="18">
        <v>1</v>
      </c>
      <c r="Z600" s="18">
        <v>7655</v>
      </c>
      <c r="AA600" s="18" t="s">
        <v>102</v>
      </c>
      <c r="AB600" s="18" t="s">
        <v>103</v>
      </c>
      <c r="AC600" s="18" t="e">
        <v>#N/A</v>
      </c>
    </row>
    <row r="601" s="18" customFormat="1" spans="1:29">
      <c r="A601" s="18" t="s">
        <v>1690</v>
      </c>
      <c r="B601" s="25" t="s">
        <v>1690</v>
      </c>
      <c r="C601" s="26">
        <v>45681</v>
      </c>
      <c r="D601" s="18" t="s">
        <v>507</v>
      </c>
      <c r="E601" s="18" t="str">
        <f t="shared" si="9"/>
        <v>R Anandan  </v>
      </c>
      <c r="F601" s="27" t="e">
        <v>#N/A</v>
      </c>
      <c r="G601" s="18" t="s">
        <v>99</v>
      </c>
      <c r="H601" s="18" t="s">
        <v>100</v>
      </c>
      <c r="I601" s="18" t="s">
        <v>34</v>
      </c>
      <c r="J601" s="18" t="s">
        <v>499</v>
      </c>
      <c r="K601" s="18" t="s">
        <v>56</v>
      </c>
      <c r="L601" s="18" t="s">
        <v>36</v>
      </c>
      <c r="N601" s="18">
        <v>6</v>
      </c>
      <c r="O601" s="18" t="s">
        <v>93</v>
      </c>
      <c r="P601" s="18" t="s">
        <v>38</v>
      </c>
      <c r="Q601" s="18" t="s">
        <v>117</v>
      </c>
      <c r="R601" s="18" t="s">
        <v>59</v>
      </c>
      <c r="S601" s="18" t="s">
        <v>186</v>
      </c>
      <c r="T601" s="18" t="b">
        <v>1</v>
      </c>
      <c r="U601" s="18" t="s">
        <v>101</v>
      </c>
      <c r="V601" s="18" t="s">
        <v>40</v>
      </c>
      <c r="W601" s="18" t="s">
        <v>126</v>
      </c>
      <c r="X601" s="18" t="s">
        <v>127</v>
      </c>
      <c r="Y601" s="18">
        <v>1</v>
      </c>
      <c r="Z601" s="18">
        <v>4634</v>
      </c>
      <c r="AA601" s="18" t="s">
        <v>102</v>
      </c>
      <c r="AB601" s="18" t="s">
        <v>103</v>
      </c>
      <c r="AC601" s="18" t="e">
        <v>#N/A</v>
      </c>
    </row>
    <row r="602" s="18" customFormat="1" spans="1:29">
      <c r="A602" s="18" t="s">
        <v>1691</v>
      </c>
      <c r="B602" s="25" t="s">
        <v>1691</v>
      </c>
      <c r="C602" s="26">
        <v>45681</v>
      </c>
      <c r="D602" s="18" t="s">
        <v>1692</v>
      </c>
      <c r="E602" s="18" t="str">
        <f t="shared" si="9"/>
        <v>Subodh Kumar Singh  </v>
      </c>
      <c r="F602" s="27" t="e">
        <v>#N/A</v>
      </c>
      <c r="G602" s="18" t="s">
        <v>147</v>
      </c>
      <c r="H602" s="18" t="s">
        <v>148</v>
      </c>
      <c r="I602" s="18" t="s">
        <v>207</v>
      </c>
      <c r="J602" s="18" t="s">
        <v>466</v>
      </c>
      <c r="K602" s="18" t="s">
        <v>56</v>
      </c>
      <c r="L602" s="18" t="s">
        <v>36</v>
      </c>
      <c r="N602" s="18">
        <v>6</v>
      </c>
      <c r="O602" s="18" t="s">
        <v>93</v>
      </c>
      <c r="P602" s="18" t="s">
        <v>38</v>
      </c>
      <c r="Q602" s="18" t="s">
        <v>58</v>
      </c>
      <c r="R602" s="18" t="s">
        <v>59</v>
      </c>
      <c r="S602" s="18" t="s">
        <v>60</v>
      </c>
      <c r="T602" s="18" t="b">
        <v>1</v>
      </c>
      <c r="U602" s="18" t="s">
        <v>150</v>
      </c>
      <c r="V602" s="18" t="s">
        <v>40</v>
      </c>
      <c r="W602" s="18" t="s">
        <v>126</v>
      </c>
      <c r="X602" s="18" t="s">
        <v>127</v>
      </c>
      <c r="Y602" s="18">
        <v>1</v>
      </c>
      <c r="Z602" s="18">
        <v>500</v>
      </c>
      <c r="AA602" s="18" t="s">
        <v>1693</v>
      </c>
      <c r="AB602" s="18" t="s">
        <v>1694</v>
      </c>
      <c r="AC602" s="18" t="e">
        <v>#N/A</v>
      </c>
    </row>
    <row r="603" s="18" customFormat="1" spans="1:29">
      <c r="A603" s="18" t="s">
        <v>1695</v>
      </c>
      <c r="B603" s="25" t="s">
        <v>1695</v>
      </c>
      <c r="C603" s="26">
        <v>45681</v>
      </c>
      <c r="D603" s="18" t="s">
        <v>1596</v>
      </c>
      <c r="E603" s="18" t="str">
        <f t="shared" si="9"/>
        <v>Ground Zero Events Pvt Ltd</v>
      </c>
      <c r="F603" s="27" t="s">
        <v>1597</v>
      </c>
      <c r="G603" s="18" t="s">
        <v>147</v>
      </c>
      <c r="H603" s="18" t="s">
        <v>148</v>
      </c>
      <c r="I603" s="18" t="s">
        <v>54</v>
      </c>
      <c r="J603" s="18" t="s">
        <v>240</v>
      </c>
      <c r="K603" s="18" t="s">
        <v>56</v>
      </c>
      <c r="L603" s="18" t="s">
        <v>36</v>
      </c>
      <c r="N603" s="18">
        <v>6</v>
      </c>
      <c r="O603" s="18" t="s">
        <v>88</v>
      </c>
      <c r="P603" s="18" t="s">
        <v>38</v>
      </c>
      <c r="Q603" s="18" t="s">
        <v>58</v>
      </c>
      <c r="R603" s="18" t="s">
        <v>59</v>
      </c>
      <c r="S603" s="18" t="s">
        <v>60</v>
      </c>
      <c r="T603" s="18" t="b">
        <v>1</v>
      </c>
      <c r="U603" s="18" t="s">
        <v>150</v>
      </c>
      <c r="V603" s="18" t="s">
        <v>40</v>
      </c>
      <c r="W603" s="18" t="s">
        <v>317</v>
      </c>
      <c r="X603" s="18" t="s">
        <v>318</v>
      </c>
      <c r="Y603" s="18">
        <v>1</v>
      </c>
      <c r="Z603" s="18">
        <v>180000</v>
      </c>
      <c r="AA603" s="18" t="s">
        <v>1696</v>
      </c>
      <c r="AB603" s="18" t="s">
        <v>295</v>
      </c>
      <c r="AC603" s="18" t="s">
        <v>155</v>
      </c>
    </row>
    <row r="604" s="18" customFormat="1" spans="1:29">
      <c r="A604" s="18" t="s">
        <v>1697</v>
      </c>
      <c r="B604" s="25" t="s">
        <v>1697</v>
      </c>
      <c r="C604" s="26">
        <v>45681</v>
      </c>
      <c r="D604" s="18" t="s">
        <v>1698</v>
      </c>
      <c r="E604" s="18" t="str">
        <f t="shared" si="9"/>
        <v>Kritigya Yadav</v>
      </c>
      <c r="F604" s="27" t="s">
        <v>1699</v>
      </c>
      <c r="G604" s="18" t="s">
        <v>147</v>
      </c>
      <c r="H604" s="18" t="s">
        <v>148</v>
      </c>
      <c r="I604" s="18" t="s">
        <v>159</v>
      </c>
      <c r="J604" s="18" t="s">
        <v>1700</v>
      </c>
      <c r="K604" s="18" t="s">
        <v>56</v>
      </c>
      <c r="L604" s="18" t="s">
        <v>36</v>
      </c>
      <c r="N604" s="18">
        <v>6</v>
      </c>
      <c r="O604" s="18" t="s">
        <v>57</v>
      </c>
      <c r="P604" s="18" t="s">
        <v>38</v>
      </c>
      <c r="Q604" s="18" t="s">
        <v>58</v>
      </c>
      <c r="R604" s="18" t="s">
        <v>59</v>
      </c>
      <c r="S604" s="18" t="s">
        <v>60</v>
      </c>
      <c r="T604" s="18" t="b">
        <v>1</v>
      </c>
      <c r="U604" s="18" t="s">
        <v>150</v>
      </c>
      <c r="V604" s="18" t="s">
        <v>40</v>
      </c>
      <c r="W604" s="18" t="s">
        <v>347</v>
      </c>
      <c r="X604" s="18" t="s">
        <v>348</v>
      </c>
      <c r="Y604" s="18">
        <v>1</v>
      </c>
      <c r="Z604" s="18">
        <v>35000</v>
      </c>
      <c r="AA604" s="18" t="s">
        <v>1701</v>
      </c>
      <c r="AB604" s="18" t="s">
        <v>1702</v>
      </c>
      <c r="AC604" s="18" t="e">
        <v>#N/A</v>
      </c>
    </row>
    <row r="605" s="18" customFormat="1" spans="1:29">
      <c r="A605" s="18" t="s">
        <v>1703</v>
      </c>
      <c r="B605" s="25" t="s">
        <v>1703</v>
      </c>
      <c r="C605" s="26">
        <v>45681</v>
      </c>
      <c r="D605" s="18" t="s">
        <v>341</v>
      </c>
      <c r="E605" s="18" t="str">
        <f t="shared" si="9"/>
        <v>Benson Trophies And Awards</v>
      </c>
      <c r="F605" s="27" t="s">
        <v>342</v>
      </c>
      <c r="G605" s="18" t="s">
        <v>147</v>
      </c>
      <c r="H605" s="18" t="s">
        <v>148</v>
      </c>
      <c r="I605" s="18" t="s">
        <v>54</v>
      </c>
      <c r="J605" s="18" t="s">
        <v>139</v>
      </c>
      <c r="K605" s="18" t="s">
        <v>56</v>
      </c>
      <c r="L605" s="18" t="s">
        <v>36</v>
      </c>
      <c r="N605" s="18">
        <v>6</v>
      </c>
      <c r="O605" s="18" t="s">
        <v>88</v>
      </c>
      <c r="P605" s="18" t="s">
        <v>38</v>
      </c>
      <c r="Q605" s="18" t="s">
        <v>58</v>
      </c>
      <c r="R605" s="18" t="s">
        <v>59</v>
      </c>
      <c r="S605" s="18" t="s">
        <v>60</v>
      </c>
      <c r="T605" s="18" t="b">
        <v>1</v>
      </c>
      <c r="U605" s="18" t="s">
        <v>150</v>
      </c>
      <c r="V605" s="18" t="s">
        <v>40</v>
      </c>
      <c r="W605" s="18" t="s">
        <v>140</v>
      </c>
      <c r="X605" s="18" t="s">
        <v>141</v>
      </c>
      <c r="Y605" s="18">
        <v>1</v>
      </c>
      <c r="Z605" s="18">
        <v>162000</v>
      </c>
      <c r="AA605" s="18" t="s">
        <v>1104</v>
      </c>
      <c r="AB605" s="18" t="s">
        <v>464</v>
      </c>
      <c r="AC605" s="18" t="s">
        <v>163</v>
      </c>
    </row>
    <row r="606" s="18" customFormat="1" spans="1:29">
      <c r="A606" s="18" t="s">
        <v>1704</v>
      </c>
      <c r="B606" s="25" t="s">
        <v>1704</v>
      </c>
      <c r="C606" s="26">
        <v>45681</v>
      </c>
      <c r="D606" s="18" t="s">
        <v>1607</v>
      </c>
      <c r="E606" s="18" t="str">
        <f t="shared" si="9"/>
        <v>Amrik Singh (Mika Singh)</v>
      </c>
      <c r="F606" s="27" t="s">
        <v>1608</v>
      </c>
      <c r="G606" s="18" t="s">
        <v>147</v>
      </c>
      <c r="H606" s="18" t="s">
        <v>148</v>
      </c>
      <c r="I606" s="18" t="s">
        <v>207</v>
      </c>
      <c r="J606" s="18" t="s">
        <v>1609</v>
      </c>
      <c r="K606" s="18" t="s">
        <v>56</v>
      </c>
      <c r="L606" s="18" t="s">
        <v>36</v>
      </c>
      <c r="N606" s="18">
        <v>6</v>
      </c>
      <c r="O606" s="18" t="s">
        <v>88</v>
      </c>
      <c r="P606" s="18" t="s">
        <v>38</v>
      </c>
      <c r="Q606" s="18" t="s">
        <v>58</v>
      </c>
      <c r="R606" s="18" t="s">
        <v>59</v>
      </c>
      <c r="S606" s="18" t="s">
        <v>60</v>
      </c>
      <c r="T606" s="18" t="b">
        <v>1</v>
      </c>
      <c r="U606" s="18" t="s">
        <v>150</v>
      </c>
      <c r="V606" s="18" t="s">
        <v>40</v>
      </c>
      <c r="W606" s="18" t="s">
        <v>233</v>
      </c>
      <c r="X606" s="18" t="s">
        <v>234</v>
      </c>
      <c r="Y606" s="18">
        <v>1</v>
      </c>
      <c r="Z606" s="18">
        <v>850000</v>
      </c>
      <c r="AA606" s="18" t="s">
        <v>1471</v>
      </c>
      <c r="AB606" s="18" t="s">
        <v>406</v>
      </c>
      <c r="AC606" s="18" t="s">
        <v>163</v>
      </c>
    </row>
    <row r="607" s="18" customFormat="1" ht="29" spans="1:29">
      <c r="A607" s="18" t="s">
        <v>1705</v>
      </c>
      <c r="B607" s="25" t="s">
        <v>1705</v>
      </c>
      <c r="C607" s="26">
        <v>45681</v>
      </c>
      <c r="D607" s="18" t="s">
        <v>1014</v>
      </c>
      <c r="E607" s="18" t="str">
        <f t="shared" si="9"/>
        <v>Zpay Solutions Private Limited</v>
      </c>
      <c r="F607" s="27" t="e">
        <v>#N/A</v>
      </c>
      <c r="G607" s="18" t="s">
        <v>147</v>
      </c>
      <c r="H607" s="18" t="s">
        <v>148</v>
      </c>
      <c r="I607" s="18" t="s">
        <v>184</v>
      </c>
      <c r="J607" s="18" t="s">
        <v>1491</v>
      </c>
      <c r="K607" s="18" t="s">
        <v>56</v>
      </c>
      <c r="L607" s="18" t="s">
        <v>36</v>
      </c>
      <c r="N607" s="18">
        <v>6</v>
      </c>
      <c r="O607" s="18" t="s">
        <v>88</v>
      </c>
      <c r="P607" s="18" t="s">
        <v>38</v>
      </c>
      <c r="Q607" s="18" t="s">
        <v>194</v>
      </c>
      <c r="R607" s="18" t="s">
        <v>59</v>
      </c>
      <c r="S607" s="18" t="s">
        <v>195</v>
      </c>
      <c r="T607" s="18" t="b">
        <v>1</v>
      </c>
      <c r="U607" s="18" t="s">
        <v>150</v>
      </c>
      <c r="V607" s="18" t="s">
        <v>40</v>
      </c>
      <c r="W607" s="18" t="s">
        <v>140</v>
      </c>
      <c r="X607" s="18" t="s">
        <v>141</v>
      </c>
      <c r="Y607" s="18">
        <v>1</v>
      </c>
      <c r="Z607" s="18">
        <v>49000</v>
      </c>
      <c r="AA607" s="31" t="s">
        <v>962</v>
      </c>
      <c r="AB607" s="18" t="s">
        <v>963</v>
      </c>
      <c r="AC607" s="18" t="e">
        <v>#N/A</v>
      </c>
    </row>
    <row r="608" s="18" customFormat="1" spans="1:29">
      <c r="A608" s="18" t="s">
        <v>1706</v>
      </c>
      <c r="B608" s="25" t="s">
        <v>1706</v>
      </c>
      <c r="C608" s="26">
        <v>45681</v>
      </c>
      <c r="D608" s="18" t="s">
        <v>770</v>
      </c>
      <c r="E608" s="18" t="str">
        <f t="shared" si="9"/>
        <v>Kalu Halder............. </v>
      </c>
      <c r="F608" s="27" t="e">
        <v>#N/A</v>
      </c>
      <c r="G608" s="18" t="s">
        <v>147</v>
      </c>
      <c r="H608" s="18" t="s">
        <v>148</v>
      </c>
      <c r="I608" s="18" t="s">
        <v>54</v>
      </c>
      <c r="J608" s="18" t="s">
        <v>466</v>
      </c>
      <c r="K608" s="18" t="s">
        <v>56</v>
      </c>
      <c r="L608" s="18" t="s">
        <v>36</v>
      </c>
      <c r="N608" s="18">
        <v>6</v>
      </c>
      <c r="O608" s="18" t="s">
        <v>93</v>
      </c>
      <c r="P608" s="18" t="s">
        <v>38</v>
      </c>
      <c r="Q608" s="18" t="s">
        <v>58</v>
      </c>
      <c r="R608" s="18" t="s">
        <v>59</v>
      </c>
      <c r="S608" s="18" t="s">
        <v>60</v>
      </c>
      <c r="T608" s="18" t="b">
        <v>1</v>
      </c>
      <c r="U608" s="18" t="s">
        <v>150</v>
      </c>
      <c r="V608" s="18" t="s">
        <v>40</v>
      </c>
      <c r="W608" s="18" t="s">
        <v>412</v>
      </c>
      <c r="X608" s="18" t="s">
        <v>413</v>
      </c>
      <c r="Y608" s="18">
        <v>1</v>
      </c>
      <c r="Z608" s="18">
        <v>23854</v>
      </c>
      <c r="AA608" s="18" t="s">
        <v>227</v>
      </c>
      <c r="AB608" s="18" t="s">
        <v>228</v>
      </c>
      <c r="AC608" s="18" t="e">
        <v>#N/A</v>
      </c>
    </row>
    <row r="609" s="18" customFormat="1" spans="1:29">
      <c r="A609" s="18" t="s">
        <v>1707</v>
      </c>
      <c r="B609" s="25" t="s">
        <v>1707</v>
      </c>
      <c r="C609" s="26">
        <v>45681</v>
      </c>
      <c r="D609" s="18" t="s">
        <v>1708</v>
      </c>
      <c r="E609" s="18" t="str">
        <f t="shared" si="9"/>
        <v>Lal Jha</v>
      </c>
      <c r="F609" s="27" t="s">
        <v>1709</v>
      </c>
      <c r="G609" s="18" t="s">
        <v>147</v>
      </c>
      <c r="H609" s="18" t="s">
        <v>148</v>
      </c>
      <c r="I609" s="18" t="s">
        <v>207</v>
      </c>
      <c r="J609" s="18" t="s">
        <v>1609</v>
      </c>
      <c r="K609" s="18" t="s">
        <v>56</v>
      </c>
      <c r="L609" s="18" t="s">
        <v>36</v>
      </c>
      <c r="N609" s="18">
        <v>6</v>
      </c>
      <c r="O609" s="18" t="s">
        <v>88</v>
      </c>
      <c r="P609" s="18" t="s">
        <v>38</v>
      </c>
      <c r="Q609" s="18" t="s">
        <v>58</v>
      </c>
      <c r="R609" s="18" t="s">
        <v>59</v>
      </c>
      <c r="S609" s="18" t="s">
        <v>60</v>
      </c>
      <c r="T609" s="18" t="b">
        <v>1</v>
      </c>
      <c r="U609" s="18" t="s">
        <v>150</v>
      </c>
      <c r="V609" s="18" t="s">
        <v>40</v>
      </c>
      <c r="W609" s="18" t="s">
        <v>256</v>
      </c>
      <c r="X609" s="18" t="s">
        <v>257</v>
      </c>
      <c r="Y609" s="18">
        <v>1</v>
      </c>
      <c r="Z609" s="18">
        <v>365000</v>
      </c>
      <c r="AA609" s="18" t="s">
        <v>1710</v>
      </c>
      <c r="AB609" s="18" t="s">
        <v>1711</v>
      </c>
      <c r="AC609" s="18" t="s">
        <v>163</v>
      </c>
    </row>
    <row r="610" s="18" customFormat="1" spans="1:29">
      <c r="A610" s="18" t="s">
        <v>1712</v>
      </c>
      <c r="B610" s="25" t="s">
        <v>1712</v>
      </c>
      <c r="C610" s="26">
        <v>45681</v>
      </c>
      <c r="D610" s="18" t="s">
        <v>1529</v>
      </c>
      <c r="E610" s="18" t="str">
        <f t="shared" si="9"/>
        <v>R E Rogers India Pvt Ltd</v>
      </c>
      <c r="F610" s="27" t="s">
        <v>1530</v>
      </c>
      <c r="G610" s="18" t="s">
        <v>147</v>
      </c>
      <c r="H610" s="18" t="s">
        <v>148</v>
      </c>
      <c r="I610" s="18" t="s">
        <v>54</v>
      </c>
      <c r="J610" s="18" t="s">
        <v>149</v>
      </c>
      <c r="K610" s="18" t="s">
        <v>56</v>
      </c>
      <c r="L610" s="18" t="s">
        <v>36</v>
      </c>
      <c r="N610" s="18">
        <v>6</v>
      </c>
      <c r="O610" s="18" t="s">
        <v>88</v>
      </c>
      <c r="P610" s="18" t="s">
        <v>38</v>
      </c>
      <c r="Q610" s="18" t="s">
        <v>58</v>
      </c>
      <c r="R610" s="18" t="s">
        <v>59</v>
      </c>
      <c r="S610" s="18" t="s">
        <v>60</v>
      </c>
      <c r="T610" s="18" t="b">
        <v>1</v>
      </c>
      <c r="U610" s="18" t="s">
        <v>150</v>
      </c>
      <c r="V610" s="18" t="s">
        <v>40</v>
      </c>
      <c r="W610" s="18" t="s">
        <v>1055</v>
      </c>
      <c r="X610" s="18" t="s">
        <v>1056</v>
      </c>
      <c r="Y610" s="18">
        <v>1</v>
      </c>
      <c r="Z610" s="18">
        <v>35000</v>
      </c>
      <c r="AA610" s="18" t="s">
        <v>343</v>
      </c>
      <c r="AC610" s="18" t="s">
        <v>163</v>
      </c>
    </row>
    <row r="611" s="18" customFormat="1" spans="1:29">
      <c r="A611" s="18" t="s">
        <v>1713</v>
      </c>
      <c r="B611" s="25" t="s">
        <v>1713</v>
      </c>
      <c r="C611" s="26">
        <v>45681</v>
      </c>
      <c r="D611" s="18" t="s">
        <v>1529</v>
      </c>
      <c r="E611" s="18" t="str">
        <f t="shared" si="9"/>
        <v>R E Rogers India Pvt Ltd</v>
      </c>
      <c r="F611" s="27" t="s">
        <v>1530</v>
      </c>
      <c r="G611" s="18" t="s">
        <v>147</v>
      </c>
      <c r="H611" s="18" t="s">
        <v>148</v>
      </c>
      <c r="I611" s="18" t="s">
        <v>54</v>
      </c>
      <c r="J611" s="18" t="s">
        <v>149</v>
      </c>
      <c r="K611" s="18" t="s">
        <v>56</v>
      </c>
      <c r="L611" s="18" t="s">
        <v>36</v>
      </c>
      <c r="N611" s="18">
        <v>6</v>
      </c>
      <c r="O611" s="18" t="s">
        <v>88</v>
      </c>
      <c r="P611" s="18" t="s">
        <v>38</v>
      </c>
      <c r="Q611" s="18" t="s">
        <v>58</v>
      </c>
      <c r="R611" s="18" t="s">
        <v>59</v>
      </c>
      <c r="S611" s="18" t="s">
        <v>60</v>
      </c>
      <c r="T611" s="18" t="b">
        <v>1</v>
      </c>
      <c r="U611" s="18" t="s">
        <v>150</v>
      </c>
      <c r="V611" s="18" t="s">
        <v>40</v>
      </c>
      <c r="W611" s="18" t="s">
        <v>1055</v>
      </c>
      <c r="X611" s="18" t="s">
        <v>1056</v>
      </c>
      <c r="Y611" s="18">
        <v>1</v>
      </c>
      <c r="Z611" s="18">
        <v>50000</v>
      </c>
      <c r="AA611" s="18" t="s">
        <v>343</v>
      </c>
      <c r="AC611" s="18" t="s">
        <v>163</v>
      </c>
    </row>
    <row r="612" s="18" customFormat="1" spans="1:29">
      <c r="A612" s="18" t="s">
        <v>1714</v>
      </c>
      <c r="B612" s="25" t="s">
        <v>1714</v>
      </c>
      <c r="C612" s="26">
        <v>45681</v>
      </c>
      <c r="D612" s="18" t="s">
        <v>384</v>
      </c>
      <c r="E612" s="18" t="str">
        <f t="shared" si="9"/>
        <v>Anurag Jadli  </v>
      </c>
      <c r="F612" s="27" t="e">
        <v>#N/A</v>
      </c>
      <c r="G612" s="18" t="s">
        <v>147</v>
      </c>
      <c r="H612" s="18" t="s">
        <v>148</v>
      </c>
      <c r="I612" s="18" t="s">
        <v>54</v>
      </c>
      <c r="J612" s="18" t="s">
        <v>240</v>
      </c>
      <c r="K612" s="18" t="s">
        <v>56</v>
      </c>
      <c r="L612" s="18" t="s">
        <v>36</v>
      </c>
      <c r="N612" s="18">
        <v>6</v>
      </c>
      <c r="O612" s="18" t="s">
        <v>93</v>
      </c>
      <c r="P612" s="18" t="s">
        <v>38</v>
      </c>
      <c r="Q612" s="18" t="s">
        <v>58</v>
      </c>
      <c r="R612" s="18" t="s">
        <v>59</v>
      </c>
      <c r="S612" s="18" t="s">
        <v>60</v>
      </c>
      <c r="T612" s="18" t="b">
        <v>1</v>
      </c>
      <c r="U612" s="18" t="s">
        <v>150</v>
      </c>
      <c r="V612" s="18" t="s">
        <v>40</v>
      </c>
      <c r="W612" s="18" t="s">
        <v>126</v>
      </c>
      <c r="X612" s="18" t="s">
        <v>127</v>
      </c>
      <c r="Y612" s="18">
        <v>1</v>
      </c>
      <c r="Z612" s="18">
        <v>3994</v>
      </c>
      <c r="AA612" s="18" t="s">
        <v>1715</v>
      </c>
      <c r="AB612" s="18" t="s">
        <v>386</v>
      </c>
      <c r="AC612" s="18" t="e">
        <v>#N/A</v>
      </c>
    </row>
    <row r="613" s="18" customFormat="1" spans="1:29">
      <c r="A613" s="18" t="s">
        <v>1716</v>
      </c>
      <c r="B613" s="25" t="s">
        <v>1716</v>
      </c>
      <c r="C613" s="26">
        <v>45681</v>
      </c>
      <c r="D613" s="18" t="s">
        <v>1717</v>
      </c>
      <c r="E613" s="18" t="str">
        <f t="shared" si="9"/>
        <v>Varun Sondhi  </v>
      </c>
      <c r="F613" s="27" t="e">
        <v>#N/A</v>
      </c>
      <c r="G613" s="18" t="s">
        <v>147</v>
      </c>
      <c r="H613" s="18" t="s">
        <v>148</v>
      </c>
      <c r="I613" s="18" t="s">
        <v>54</v>
      </c>
      <c r="J613" s="18" t="s">
        <v>240</v>
      </c>
      <c r="K613" s="18" t="s">
        <v>56</v>
      </c>
      <c r="L613" s="18" t="s">
        <v>36</v>
      </c>
      <c r="N613" s="18">
        <v>6</v>
      </c>
      <c r="O613" s="18" t="s">
        <v>93</v>
      </c>
      <c r="P613" s="18" t="s">
        <v>38</v>
      </c>
      <c r="Q613" s="18" t="s">
        <v>58</v>
      </c>
      <c r="R613" s="18" t="s">
        <v>59</v>
      </c>
      <c r="S613" s="18" t="s">
        <v>60</v>
      </c>
      <c r="T613" s="18" t="b">
        <v>1</v>
      </c>
      <c r="U613" s="18" t="s">
        <v>150</v>
      </c>
      <c r="V613" s="18" t="s">
        <v>40</v>
      </c>
      <c r="W613" s="18" t="s">
        <v>126</v>
      </c>
      <c r="X613" s="18" t="s">
        <v>127</v>
      </c>
      <c r="Y613" s="18">
        <v>1</v>
      </c>
      <c r="Z613" s="18">
        <v>648</v>
      </c>
      <c r="AA613" s="18" t="s">
        <v>1718</v>
      </c>
      <c r="AB613" s="18" t="s">
        <v>242</v>
      </c>
      <c r="AC613" s="18" t="e">
        <v>#N/A</v>
      </c>
    </row>
    <row r="614" s="18" customFormat="1" spans="1:29">
      <c r="A614" s="18" t="s">
        <v>1719</v>
      </c>
      <c r="B614" s="25" t="s">
        <v>1719</v>
      </c>
      <c r="C614" s="26">
        <v>45681</v>
      </c>
      <c r="D614" s="18" t="s">
        <v>1720</v>
      </c>
      <c r="E614" s="18" t="str">
        <f t="shared" si="9"/>
        <v>Anil Kumar Singh..........</v>
      </c>
      <c r="F614" s="27" t="e">
        <v>#N/A</v>
      </c>
      <c r="G614" s="18" t="s">
        <v>147</v>
      </c>
      <c r="H614" s="18" t="s">
        <v>148</v>
      </c>
      <c r="I614" s="18" t="s">
        <v>54</v>
      </c>
      <c r="J614" s="18" t="s">
        <v>149</v>
      </c>
      <c r="K614" s="18" t="s">
        <v>56</v>
      </c>
      <c r="L614" s="18" t="s">
        <v>36</v>
      </c>
      <c r="N614" s="18">
        <v>6</v>
      </c>
      <c r="O614" s="18" t="s">
        <v>93</v>
      </c>
      <c r="P614" s="18" t="s">
        <v>38</v>
      </c>
      <c r="Q614" s="18" t="s">
        <v>58</v>
      </c>
      <c r="R614" s="18" t="s">
        <v>59</v>
      </c>
      <c r="S614" s="18" t="s">
        <v>60</v>
      </c>
      <c r="T614" s="18" t="b">
        <v>1</v>
      </c>
      <c r="U614" s="18" t="s">
        <v>150</v>
      </c>
      <c r="V614" s="18" t="s">
        <v>40</v>
      </c>
      <c r="W614" s="18" t="s">
        <v>126</v>
      </c>
      <c r="X614" s="18" t="s">
        <v>127</v>
      </c>
      <c r="Y614" s="18">
        <v>1</v>
      </c>
      <c r="Z614" s="18">
        <v>3399</v>
      </c>
      <c r="AA614" s="18" t="s">
        <v>1721</v>
      </c>
      <c r="AB614" s="18" t="s">
        <v>1722</v>
      </c>
      <c r="AC614" s="18" t="e">
        <v>#N/A</v>
      </c>
    </row>
    <row r="615" s="18" customFormat="1" spans="1:29">
      <c r="A615" s="18" t="s">
        <v>1723</v>
      </c>
      <c r="B615" s="25" t="s">
        <v>1723</v>
      </c>
      <c r="C615" s="26">
        <v>45681</v>
      </c>
      <c r="D615" s="18" t="s">
        <v>1024</v>
      </c>
      <c r="E615" s="18" t="str">
        <f t="shared" si="9"/>
        <v>Kanupriya Aggarwal  </v>
      </c>
      <c r="F615" s="27" t="e">
        <v>#N/A</v>
      </c>
      <c r="G615" s="18" t="s">
        <v>147</v>
      </c>
      <c r="H615" s="18" t="s">
        <v>148</v>
      </c>
      <c r="I615" s="18" t="s">
        <v>54</v>
      </c>
      <c r="J615" s="18" t="s">
        <v>149</v>
      </c>
      <c r="K615" s="18" t="s">
        <v>56</v>
      </c>
      <c r="L615" s="18" t="s">
        <v>36</v>
      </c>
      <c r="N615" s="18">
        <v>6</v>
      </c>
      <c r="O615" s="18" t="s">
        <v>93</v>
      </c>
      <c r="P615" s="18" t="s">
        <v>38</v>
      </c>
      <c r="Q615" s="18" t="s">
        <v>58</v>
      </c>
      <c r="R615" s="18" t="s">
        <v>59</v>
      </c>
      <c r="S615" s="18" t="s">
        <v>60</v>
      </c>
      <c r="T615" s="18" t="b">
        <v>1</v>
      </c>
      <c r="U615" s="18" t="s">
        <v>150</v>
      </c>
      <c r="V615" s="18" t="s">
        <v>40</v>
      </c>
      <c r="W615" s="18" t="s">
        <v>126</v>
      </c>
      <c r="X615" s="18" t="s">
        <v>127</v>
      </c>
      <c r="Y615" s="18">
        <v>1</v>
      </c>
      <c r="Z615" s="18">
        <v>1534.73</v>
      </c>
      <c r="AA615" s="18" t="s">
        <v>1025</v>
      </c>
      <c r="AB615" s="18" t="s">
        <v>1026</v>
      </c>
      <c r="AC615" s="18" t="e">
        <v>#N/A</v>
      </c>
    </row>
    <row r="616" s="18" customFormat="1" spans="1:29">
      <c r="A616" s="18" t="s">
        <v>1724</v>
      </c>
      <c r="B616" s="25" t="s">
        <v>1724</v>
      </c>
      <c r="C616" s="26">
        <v>45681</v>
      </c>
      <c r="D616" s="18" t="s">
        <v>1725</v>
      </c>
      <c r="E616" s="18" t="str">
        <f t="shared" si="9"/>
        <v>Rahul Luthra  </v>
      </c>
      <c r="F616" s="27" t="e">
        <v>#N/A</v>
      </c>
      <c r="G616" s="18" t="s">
        <v>147</v>
      </c>
      <c r="H616" s="18" t="s">
        <v>148</v>
      </c>
      <c r="I616" s="18" t="s">
        <v>54</v>
      </c>
      <c r="J616" s="18" t="s">
        <v>486</v>
      </c>
      <c r="K616" s="18" t="s">
        <v>56</v>
      </c>
      <c r="L616" s="18" t="s">
        <v>36</v>
      </c>
      <c r="N616" s="18">
        <v>6</v>
      </c>
      <c r="O616" s="18" t="s">
        <v>93</v>
      </c>
      <c r="P616" s="18" t="s">
        <v>38</v>
      </c>
      <c r="Q616" s="18" t="s">
        <v>58</v>
      </c>
      <c r="R616" s="18" t="s">
        <v>59</v>
      </c>
      <c r="S616" s="18" t="s">
        <v>60</v>
      </c>
      <c r="T616" s="18" t="b">
        <v>1</v>
      </c>
      <c r="U616" s="18" t="s">
        <v>150</v>
      </c>
      <c r="V616" s="18" t="s">
        <v>40</v>
      </c>
      <c r="W616" s="18" t="s">
        <v>126</v>
      </c>
      <c r="X616" s="18" t="s">
        <v>127</v>
      </c>
      <c r="Y616" s="18">
        <v>1</v>
      </c>
      <c r="Z616" s="18">
        <v>3351</v>
      </c>
      <c r="AA616" s="18" t="s">
        <v>1447</v>
      </c>
      <c r="AC616" s="18" t="e">
        <v>#N/A</v>
      </c>
    </row>
    <row r="617" s="18" customFormat="1" spans="1:29">
      <c r="A617" s="18" t="s">
        <v>1726</v>
      </c>
      <c r="B617" s="25" t="s">
        <v>1726</v>
      </c>
      <c r="C617" s="26">
        <v>45681</v>
      </c>
      <c r="D617" s="18" t="s">
        <v>365</v>
      </c>
      <c r="E617" s="18" t="str">
        <f t="shared" si="9"/>
        <v>Samarth Kapoor  </v>
      </c>
      <c r="F617" s="27" t="e">
        <v>#N/A</v>
      </c>
      <c r="G617" s="18" t="s">
        <v>147</v>
      </c>
      <c r="H617" s="18" t="s">
        <v>148</v>
      </c>
      <c r="I617" s="18" t="s">
        <v>54</v>
      </c>
      <c r="J617" s="18" t="s">
        <v>55</v>
      </c>
      <c r="K617" s="18" t="s">
        <v>56</v>
      </c>
      <c r="L617" s="18" t="s">
        <v>36</v>
      </c>
      <c r="N617" s="18">
        <v>6</v>
      </c>
      <c r="O617" s="18" t="s">
        <v>93</v>
      </c>
      <c r="P617" s="18" t="s">
        <v>38</v>
      </c>
      <c r="Q617" s="18" t="s">
        <v>58</v>
      </c>
      <c r="R617" s="18" t="s">
        <v>59</v>
      </c>
      <c r="S617" s="18" t="s">
        <v>60</v>
      </c>
      <c r="T617" s="18" t="b">
        <v>1</v>
      </c>
      <c r="U617" s="18" t="s">
        <v>150</v>
      </c>
      <c r="V617" s="18" t="s">
        <v>40</v>
      </c>
      <c r="W617" s="18" t="s">
        <v>126</v>
      </c>
      <c r="X617" s="18" t="s">
        <v>127</v>
      </c>
      <c r="Y617" s="18">
        <v>1</v>
      </c>
      <c r="Z617" s="18">
        <v>8259</v>
      </c>
      <c r="AA617" s="18" t="s">
        <v>1727</v>
      </c>
      <c r="AB617" s="18" t="s">
        <v>367</v>
      </c>
      <c r="AC617" s="18" t="e">
        <v>#N/A</v>
      </c>
    </row>
    <row r="618" s="20" customFormat="1" spans="1:29">
      <c r="A618" s="20" t="s">
        <v>1728</v>
      </c>
      <c r="B618" s="33" t="s">
        <v>1728</v>
      </c>
      <c r="C618" s="34">
        <v>45681</v>
      </c>
      <c r="D618" s="20" t="s">
        <v>1729</v>
      </c>
      <c r="E618" s="20" t="str">
        <f t="shared" si="9"/>
        <v>Bitu Kumar  </v>
      </c>
      <c r="F618" s="27" t="e">
        <v>#N/A</v>
      </c>
      <c r="G618" s="20" t="s">
        <v>147</v>
      </c>
      <c r="H618" s="20" t="s">
        <v>148</v>
      </c>
      <c r="I618" s="20" t="s">
        <v>54</v>
      </c>
      <c r="J618" s="20" t="s">
        <v>55</v>
      </c>
      <c r="K618" s="20" t="s">
        <v>56</v>
      </c>
      <c r="L618" s="20" t="s">
        <v>36</v>
      </c>
      <c r="N618" s="20">
        <v>6</v>
      </c>
      <c r="O618" s="20" t="s">
        <v>93</v>
      </c>
      <c r="P618" s="20" t="s">
        <v>38</v>
      </c>
      <c r="Q618" s="20" t="s">
        <v>58</v>
      </c>
      <c r="R618" s="20" t="s">
        <v>59</v>
      </c>
      <c r="S618" s="20" t="s">
        <v>60</v>
      </c>
      <c r="T618" s="20" t="b">
        <v>1</v>
      </c>
      <c r="U618" s="20" t="s">
        <v>150</v>
      </c>
      <c r="V618" s="20" t="s">
        <v>40</v>
      </c>
      <c r="W618" s="20" t="s">
        <v>140</v>
      </c>
      <c r="X618" s="20" t="s">
        <v>141</v>
      </c>
      <c r="Y618" s="20">
        <v>1</v>
      </c>
      <c r="Z618" s="20">
        <v>70223</v>
      </c>
      <c r="AA618" s="20" t="s">
        <v>1730</v>
      </c>
      <c r="AB618" s="20" t="e">
        <v>#N/A</v>
      </c>
      <c r="AC618" s="20" t="e">
        <v>#N/A</v>
      </c>
    </row>
    <row r="619" s="18" customFormat="1" spans="1:29">
      <c r="A619" s="18" t="s">
        <v>1731</v>
      </c>
      <c r="B619" s="25" t="s">
        <v>1731</v>
      </c>
      <c r="C619" s="26">
        <v>45681</v>
      </c>
      <c r="D619" s="18" t="s">
        <v>1725</v>
      </c>
      <c r="E619" s="18" t="str">
        <f t="shared" si="9"/>
        <v>Rahul Luthra  </v>
      </c>
      <c r="F619" s="27" t="e">
        <v>#N/A</v>
      </c>
      <c r="G619" s="18" t="s">
        <v>147</v>
      </c>
      <c r="H619" s="18" t="s">
        <v>148</v>
      </c>
      <c r="I619" s="18" t="s">
        <v>54</v>
      </c>
      <c r="J619" s="18" t="s">
        <v>139</v>
      </c>
      <c r="K619" s="18" t="s">
        <v>56</v>
      </c>
      <c r="L619" s="18" t="s">
        <v>36</v>
      </c>
      <c r="N619" s="18">
        <v>6</v>
      </c>
      <c r="O619" s="18" t="s">
        <v>93</v>
      </c>
      <c r="P619" s="18" t="s">
        <v>38</v>
      </c>
      <c r="Q619" s="18" t="s">
        <v>58</v>
      </c>
      <c r="R619" s="18" t="s">
        <v>59</v>
      </c>
      <c r="S619" s="18" t="s">
        <v>60</v>
      </c>
      <c r="T619" s="18" t="b">
        <v>1</v>
      </c>
      <c r="U619" s="18" t="s">
        <v>150</v>
      </c>
      <c r="V619" s="18" t="s">
        <v>40</v>
      </c>
      <c r="W619" s="18" t="s">
        <v>126</v>
      </c>
      <c r="X619" s="18" t="s">
        <v>127</v>
      </c>
      <c r="Y619" s="18">
        <v>1</v>
      </c>
      <c r="Z619" s="18">
        <v>12200</v>
      </c>
      <c r="AA619" s="18" t="s">
        <v>322</v>
      </c>
      <c r="AB619" s="18" t="s">
        <v>323</v>
      </c>
      <c r="AC619" s="18" t="e">
        <v>#N/A</v>
      </c>
    </row>
    <row r="620" s="18" customFormat="1" spans="1:29">
      <c r="A620" s="18" t="s">
        <v>1732</v>
      </c>
      <c r="B620" s="25" t="s">
        <v>1732</v>
      </c>
      <c r="C620" s="26">
        <v>45681</v>
      </c>
      <c r="D620" s="18" t="s">
        <v>1733</v>
      </c>
      <c r="E620" s="18" t="str">
        <f t="shared" si="9"/>
        <v>Sachin Vaid  </v>
      </c>
      <c r="F620" s="27" t="s">
        <v>1734</v>
      </c>
      <c r="G620" s="18" t="s">
        <v>147</v>
      </c>
      <c r="H620" s="18" t="s">
        <v>148</v>
      </c>
      <c r="I620" s="18" t="s">
        <v>54</v>
      </c>
      <c r="J620" s="18" t="s">
        <v>55</v>
      </c>
      <c r="K620" s="18" t="s">
        <v>56</v>
      </c>
      <c r="L620" s="18" t="s">
        <v>36</v>
      </c>
      <c r="N620" s="18">
        <v>6</v>
      </c>
      <c r="O620" s="18" t="s">
        <v>93</v>
      </c>
      <c r="P620" s="18" t="s">
        <v>38</v>
      </c>
      <c r="Q620" s="18" t="s">
        <v>58</v>
      </c>
      <c r="R620" s="18" t="s">
        <v>59</v>
      </c>
      <c r="S620" s="18" t="s">
        <v>60</v>
      </c>
      <c r="T620" s="18" t="b">
        <v>1</v>
      </c>
      <c r="U620" s="18" t="s">
        <v>150</v>
      </c>
      <c r="V620" s="18" t="s">
        <v>40</v>
      </c>
      <c r="W620" s="18" t="s">
        <v>126</v>
      </c>
      <c r="X620" s="18" t="s">
        <v>127</v>
      </c>
      <c r="Y620" s="18">
        <v>1</v>
      </c>
      <c r="Z620" s="18">
        <v>4656</v>
      </c>
      <c r="AA620" s="18" t="s">
        <v>523</v>
      </c>
      <c r="AB620" s="18" t="s">
        <v>521</v>
      </c>
      <c r="AC620" s="18" t="e">
        <v>#N/A</v>
      </c>
    </row>
    <row r="621" s="18" customFormat="1" spans="1:29">
      <c r="A621" s="18" t="s">
        <v>1735</v>
      </c>
      <c r="B621" s="25" t="s">
        <v>1735</v>
      </c>
      <c r="C621" s="26">
        <v>45681</v>
      </c>
      <c r="D621" s="18" t="s">
        <v>1736</v>
      </c>
      <c r="E621" s="18" t="str">
        <f t="shared" si="9"/>
        <v>Tribhuvan Kapoor.....</v>
      </c>
      <c r="F621" s="27" t="e">
        <v>#N/A</v>
      </c>
      <c r="G621" s="18" t="s">
        <v>147</v>
      </c>
      <c r="H621" s="18" t="s">
        <v>148</v>
      </c>
      <c r="I621" s="18" t="s">
        <v>54</v>
      </c>
      <c r="J621" s="18" t="s">
        <v>55</v>
      </c>
      <c r="K621" s="18" t="s">
        <v>56</v>
      </c>
      <c r="L621" s="18" t="s">
        <v>36</v>
      </c>
      <c r="N621" s="18">
        <v>6</v>
      </c>
      <c r="O621" s="18" t="s">
        <v>93</v>
      </c>
      <c r="P621" s="18" t="s">
        <v>38</v>
      </c>
      <c r="Q621" s="18" t="s">
        <v>58</v>
      </c>
      <c r="R621" s="18" t="s">
        <v>59</v>
      </c>
      <c r="S621" s="18" t="s">
        <v>60</v>
      </c>
      <c r="T621" s="18" t="b">
        <v>1</v>
      </c>
      <c r="U621" s="18" t="s">
        <v>150</v>
      </c>
      <c r="V621" s="18" t="s">
        <v>40</v>
      </c>
      <c r="W621" s="18" t="s">
        <v>126</v>
      </c>
      <c r="X621" s="18" t="s">
        <v>127</v>
      </c>
      <c r="Y621" s="18">
        <v>1</v>
      </c>
      <c r="Z621" s="18">
        <v>7887</v>
      </c>
      <c r="AA621" s="18" t="s">
        <v>1676</v>
      </c>
      <c r="AB621" s="18" t="s">
        <v>600</v>
      </c>
      <c r="AC621" s="18" t="e">
        <v>#N/A</v>
      </c>
    </row>
    <row r="622" s="18" customFormat="1" spans="1:29">
      <c r="A622" s="18" t="s">
        <v>1737</v>
      </c>
      <c r="B622" s="25" t="s">
        <v>1737</v>
      </c>
      <c r="C622" s="26">
        <v>45681</v>
      </c>
      <c r="D622" s="18" t="s">
        <v>451</v>
      </c>
      <c r="E622" s="18" t="str">
        <f t="shared" si="9"/>
        <v>Ajeet Singh  </v>
      </c>
      <c r="F622" s="27" t="s">
        <v>452</v>
      </c>
      <c r="G622" s="18" t="s">
        <v>147</v>
      </c>
      <c r="H622" s="18" t="s">
        <v>148</v>
      </c>
      <c r="I622" s="18" t="s">
        <v>54</v>
      </c>
      <c r="J622" s="18" t="s">
        <v>466</v>
      </c>
      <c r="K622" s="18" t="s">
        <v>56</v>
      </c>
      <c r="L622" s="18" t="s">
        <v>36</v>
      </c>
      <c r="N622" s="18">
        <v>6</v>
      </c>
      <c r="O622" s="18" t="s">
        <v>93</v>
      </c>
      <c r="P622" s="18" t="s">
        <v>38</v>
      </c>
      <c r="Q622" s="18" t="s">
        <v>58</v>
      </c>
      <c r="R622" s="18" t="s">
        <v>59</v>
      </c>
      <c r="S622" s="18" t="s">
        <v>60</v>
      </c>
      <c r="T622" s="18" t="b">
        <v>1</v>
      </c>
      <c r="U622" s="18" t="s">
        <v>150</v>
      </c>
      <c r="V622" s="18" t="s">
        <v>40</v>
      </c>
      <c r="W622" s="18" t="s">
        <v>126</v>
      </c>
      <c r="X622" s="18" t="s">
        <v>127</v>
      </c>
      <c r="Y622" s="18">
        <v>1</v>
      </c>
      <c r="Z622" s="18">
        <v>2394</v>
      </c>
      <c r="AA622" s="18" t="s">
        <v>1738</v>
      </c>
      <c r="AB622" s="18" t="s">
        <v>454</v>
      </c>
      <c r="AC622" s="18" t="e">
        <v>#N/A</v>
      </c>
    </row>
    <row r="623" s="18" customFormat="1" spans="1:29">
      <c r="A623" s="18" t="s">
        <v>1739</v>
      </c>
      <c r="B623" s="25" t="s">
        <v>1739</v>
      </c>
      <c r="C623" s="26">
        <v>45681</v>
      </c>
      <c r="D623" s="18" t="s">
        <v>1740</v>
      </c>
      <c r="E623" s="18" t="str">
        <f t="shared" si="9"/>
        <v>Harshit Jain...............  </v>
      </c>
      <c r="F623" s="27" t="e">
        <v>#N/A</v>
      </c>
      <c r="G623" s="18" t="s">
        <v>147</v>
      </c>
      <c r="H623" s="18" t="s">
        <v>148</v>
      </c>
      <c r="I623" s="18" t="s">
        <v>54</v>
      </c>
      <c r="J623" s="18" t="s">
        <v>466</v>
      </c>
      <c r="K623" s="18" t="s">
        <v>56</v>
      </c>
      <c r="L623" s="18" t="s">
        <v>36</v>
      </c>
      <c r="N623" s="18">
        <v>6</v>
      </c>
      <c r="O623" s="18" t="s">
        <v>93</v>
      </c>
      <c r="P623" s="18" t="s">
        <v>38</v>
      </c>
      <c r="Q623" s="18" t="s">
        <v>58</v>
      </c>
      <c r="R623" s="18" t="s">
        <v>59</v>
      </c>
      <c r="S623" s="18" t="s">
        <v>60</v>
      </c>
      <c r="T623" s="18" t="b">
        <v>1</v>
      </c>
      <c r="U623" s="18" t="s">
        <v>150</v>
      </c>
      <c r="V623" s="18" t="s">
        <v>40</v>
      </c>
      <c r="W623" s="18" t="s">
        <v>126</v>
      </c>
      <c r="X623" s="18" t="s">
        <v>127</v>
      </c>
      <c r="Y623" s="18">
        <v>1</v>
      </c>
      <c r="Z623" s="18">
        <v>1802</v>
      </c>
      <c r="AA623" s="18" t="s">
        <v>142</v>
      </c>
      <c r="AB623" s="18" t="s">
        <v>143</v>
      </c>
      <c r="AC623" s="18" t="e">
        <v>#N/A</v>
      </c>
    </row>
    <row r="624" s="18" customFormat="1" spans="1:29">
      <c r="A624" s="18" t="s">
        <v>1741</v>
      </c>
      <c r="B624" s="25" t="s">
        <v>1741</v>
      </c>
      <c r="C624" s="26">
        <v>45681</v>
      </c>
      <c r="D624" s="18" t="s">
        <v>1742</v>
      </c>
      <c r="E624" s="18" t="str">
        <f t="shared" si="9"/>
        <v>Puneet Kumar ........... </v>
      </c>
      <c r="F624" s="27" t="e">
        <v>#N/A</v>
      </c>
      <c r="G624" s="18" t="s">
        <v>147</v>
      </c>
      <c r="H624" s="18" t="s">
        <v>148</v>
      </c>
      <c r="I624" s="18" t="s">
        <v>54</v>
      </c>
      <c r="J624" s="18" t="s">
        <v>938</v>
      </c>
      <c r="K624" s="18" t="s">
        <v>56</v>
      </c>
      <c r="L624" s="18" t="s">
        <v>36</v>
      </c>
      <c r="N624" s="18">
        <v>6</v>
      </c>
      <c r="O624" s="18" t="s">
        <v>93</v>
      </c>
      <c r="P624" s="18" t="s">
        <v>38</v>
      </c>
      <c r="Q624" s="18" t="s">
        <v>194</v>
      </c>
      <c r="R624" s="18" t="s">
        <v>59</v>
      </c>
      <c r="S624" s="18" t="s">
        <v>195</v>
      </c>
      <c r="T624" s="18" t="b">
        <v>1</v>
      </c>
      <c r="U624" s="18" t="s">
        <v>150</v>
      </c>
      <c r="V624" s="18" t="s">
        <v>40</v>
      </c>
      <c r="W624" s="18" t="s">
        <v>126</v>
      </c>
      <c r="X624" s="18" t="s">
        <v>127</v>
      </c>
      <c r="Y624" s="18">
        <v>1</v>
      </c>
      <c r="Z624" s="18">
        <v>1080</v>
      </c>
      <c r="AA624" s="18" t="s">
        <v>1743</v>
      </c>
      <c r="AB624" s="18" t="s">
        <v>940</v>
      </c>
      <c r="AC624" s="18" t="e">
        <v>#N/A</v>
      </c>
    </row>
    <row r="625" s="18" customFormat="1" spans="1:29">
      <c r="A625" s="18" t="s">
        <v>1744</v>
      </c>
      <c r="B625" s="25" t="s">
        <v>1744</v>
      </c>
      <c r="C625" s="26">
        <v>45681</v>
      </c>
      <c r="D625" s="18" t="s">
        <v>1745</v>
      </c>
      <c r="E625" s="18" t="str">
        <f t="shared" si="9"/>
        <v>Blue Dart Express Limited</v>
      </c>
      <c r="F625" s="27" t="e">
        <v>#N/A</v>
      </c>
      <c r="G625" s="18" t="s">
        <v>147</v>
      </c>
      <c r="H625" s="18" t="s">
        <v>148</v>
      </c>
      <c r="I625" s="18" t="s">
        <v>159</v>
      </c>
      <c r="J625" s="18" t="s">
        <v>240</v>
      </c>
      <c r="K625" s="18" t="s">
        <v>56</v>
      </c>
      <c r="L625" s="18" t="s">
        <v>36</v>
      </c>
      <c r="N625" s="18">
        <v>6</v>
      </c>
      <c r="O625" s="18" t="s">
        <v>57</v>
      </c>
      <c r="P625" s="18" t="s">
        <v>38</v>
      </c>
      <c r="Q625" s="18" t="s">
        <v>58</v>
      </c>
      <c r="R625" s="18" t="s">
        <v>59</v>
      </c>
      <c r="S625" s="18" t="s">
        <v>60</v>
      </c>
      <c r="T625" s="18" t="b">
        <v>1</v>
      </c>
      <c r="U625" s="18" t="s">
        <v>150</v>
      </c>
      <c r="V625" s="18" t="s">
        <v>40</v>
      </c>
      <c r="W625" s="18" t="s">
        <v>837</v>
      </c>
      <c r="X625" s="18" t="s">
        <v>205</v>
      </c>
      <c r="Y625" s="18">
        <v>1</v>
      </c>
      <c r="Z625" s="18">
        <v>5000</v>
      </c>
      <c r="AA625" s="18" t="s">
        <v>227</v>
      </c>
      <c r="AB625" s="18" t="s">
        <v>228</v>
      </c>
      <c r="AC625" s="18" t="s">
        <v>163</v>
      </c>
    </row>
    <row r="626" s="18" customFormat="1" ht="29" spans="1:29">
      <c r="A626" s="18" t="s">
        <v>1746</v>
      </c>
      <c r="B626" s="25" t="s">
        <v>1746</v>
      </c>
      <c r="C626" s="26">
        <v>45681</v>
      </c>
      <c r="D626" s="18" t="s">
        <v>1267</v>
      </c>
      <c r="E626" s="18" t="str">
        <f t="shared" si="9"/>
        <v>Black Pearl Production Pvt Ltd</v>
      </c>
      <c r="F626" s="27" t="s">
        <v>1268</v>
      </c>
      <c r="G626" s="18" t="s">
        <v>147</v>
      </c>
      <c r="H626" s="18" t="s">
        <v>148</v>
      </c>
      <c r="I626" s="18" t="s">
        <v>184</v>
      </c>
      <c r="J626" s="18" t="s">
        <v>1747</v>
      </c>
      <c r="K626" s="18" t="s">
        <v>56</v>
      </c>
      <c r="L626" s="18" t="s">
        <v>36</v>
      </c>
      <c r="N626" s="18">
        <v>6</v>
      </c>
      <c r="O626" s="18" t="s">
        <v>88</v>
      </c>
      <c r="P626" s="18" t="s">
        <v>38</v>
      </c>
      <c r="Q626" s="18" t="s">
        <v>194</v>
      </c>
      <c r="R626" s="18" t="s">
        <v>59</v>
      </c>
      <c r="S626" s="18" t="s">
        <v>195</v>
      </c>
      <c r="T626" s="18" t="b">
        <v>1</v>
      </c>
      <c r="U626" s="18" t="s">
        <v>150</v>
      </c>
      <c r="V626" s="18" t="s">
        <v>40</v>
      </c>
      <c r="W626" s="18" t="s">
        <v>151</v>
      </c>
      <c r="X626" s="18" t="s">
        <v>152</v>
      </c>
      <c r="Y626" s="18">
        <v>1</v>
      </c>
      <c r="Z626" s="18">
        <v>55000</v>
      </c>
      <c r="AA626" s="31" t="s">
        <v>947</v>
      </c>
      <c r="AB626" s="18" t="s">
        <v>948</v>
      </c>
      <c r="AC626" s="18" t="s">
        <v>163</v>
      </c>
    </row>
    <row r="627" s="18" customFormat="1" ht="29" spans="1:29">
      <c r="A627" s="18" t="s">
        <v>1748</v>
      </c>
      <c r="B627" s="25" t="s">
        <v>1748</v>
      </c>
      <c r="C627" s="26">
        <v>45681</v>
      </c>
      <c r="D627" s="18" t="s">
        <v>1749</v>
      </c>
      <c r="E627" s="18" t="str">
        <f t="shared" si="9"/>
        <v>Show Supporters LLP</v>
      </c>
      <c r="F627" s="27" t="s">
        <v>1750</v>
      </c>
      <c r="G627" s="18" t="s">
        <v>147</v>
      </c>
      <c r="H627" s="18" t="s">
        <v>148</v>
      </c>
      <c r="I627" s="18" t="s">
        <v>184</v>
      </c>
      <c r="J627" s="18" t="s">
        <v>1747</v>
      </c>
      <c r="K627" s="18" t="s">
        <v>56</v>
      </c>
      <c r="L627" s="18" t="s">
        <v>36</v>
      </c>
      <c r="N627" s="18">
        <v>6</v>
      </c>
      <c r="O627" s="18" t="s">
        <v>88</v>
      </c>
      <c r="P627" s="18" t="s">
        <v>38</v>
      </c>
      <c r="Q627" s="18" t="s">
        <v>194</v>
      </c>
      <c r="R627" s="18" t="s">
        <v>59</v>
      </c>
      <c r="S627" s="18" t="s">
        <v>195</v>
      </c>
      <c r="T627" s="18" t="b">
        <v>1</v>
      </c>
      <c r="U627" s="18" t="s">
        <v>150</v>
      </c>
      <c r="V627" s="18" t="s">
        <v>40</v>
      </c>
      <c r="W627" s="18" t="s">
        <v>347</v>
      </c>
      <c r="X627" s="18" t="s">
        <v>348</v>
      </c>
      <c r="Y627" s="18">
        <v>1</v>
      </c>
      <c r="Z627" s="18">
        <v>6000</v>
      </c>
      <c r="AA627" s="31" t="s">
        <v>947</v>
      </c>
      <c r="AB627" s="18" t="s">
        <v>948</v>
      </c>
      <c r="AC627" s="18" t="s">
        <v>163</v>
      </c>
    </row>
    <row r="628" s="18" customFormat="1" spans="1:29">
      <c r="A628" s="18" t="s">
        <v>1751</v>
      </c>
      <c r="B628" s="25" t="s">
        <v>1751</v>
      </c>
      <c r="C628" s="26">
        <v>45681</v>
      </c>
      <c r="D628" s="18" t="s">
        <v>1742</v>
      </c>
      <c r="E628" s="18" t="str">
        <f t="shared" si="9"/>
        <v>Puneet Kumar ........... </v>
      </c>
      <c r="F628" s="27" t="e">
        <v>#N/A</v>
      </c>
      <c r="G628" s="18" t="s">
        <v>147</v>
      </c>
      <c r="H628" s="18" t="s">
        <v>148</v>
      </c>
      <c r="I628" s="18" t="s">
        <v>54</v>
      </c>
      <c r="J628" s="18" t="s">
        <v>55</v>
      </c>
      <c r="K628" s="18" t="s">
        <v>56</v>
      </c>
      <c r="L628" s="18" t="s">
        <v>36</v>
      </c>
      <c r="N628" s="18">
        <v>6</v>
      </c>
      <c r="O628" s="18" t="s">
        <v>93</v>
      </c>
      <c r="P628" s="18" t="s">
        <v>38</v>
      </c>
      <c r="Q628" s="18" t="s">
        <v>58</v>
      </c>
      <c r="R628" s="18" t="s">
        <v>59</v>
      </c>
      <c r="S628" s="18" t="s">
        <v>60</v>
      </c>
      <c r="T628" s="18" t="b">
        <v>1</v>
      </c>
      <c r="U628" s="18" t="s">
        <v>150</v>
      </c>
      <c r="V628" s="18" t="s">
        <v>40</v>
      </c>
      <c r="W628" s="18" t="s">
        <v>412</v>
      </c>
      <c r="X628" s="18" t="s">
        <v>413</v>
      </c>
      <c r="Y628" s="18">
        <v>1</v>
      </c>
      <c r="Z628" s="18">
        <v>2800</v>
      </c>
      <c r="AA628" s="18" t="s">
        <v>1743</v>
      </c>
      <c r="AB628" s="18" t="s">
        <v>940</v>
      </c>
      <c r="AC628" s="18" t="e">
        <v>#N/A</v>
      </c>
    </row>
    <row r="629" s="18" customFormat="1" spans="1:29">
      <c r="A629" s="18" t="s">
        <v>1752</v>
      </c>
      <c r="B629" s="25" t="s">
        <v>1752</v>
      </c>
      <c r="C629" s="26">
        <v>45681</v>
      </c>
      <c r="D629" s="18" t="s">
        <v>1474</v>
      </c>
      <c r="E629" s="18" t="str">
        <f t="shared" si="9"/>
        <v>Virender Singh  </v>
      </c>
      <c r="F629" s="27" t="e">
        <v>#N/A</v>
      </c>
      <c r="G629" s="18" t="s">
        <v>147</v>
      </c>
      <c r="H629" s="18" t="s">
        <v>148</v>
      </c>
      <c r="I629" s="18" t="s">
        <v>54</v>
      </c>
      <c r="J629" s="18" t="s">
        <v>249</v>
      </c>
      <c r="K629" s="18" t="s">
        <v>56</v>
      </c>
      <c r="L629" s="18" t="s">
        <v>36</v>
      </c>
      <c r="N629" s="18">
        <v>6</v>
      </c>
      <c r="O629" s="18" t="s">
        <v>93</v>
      </c>
      <c r="P629" s="18" t="s">
        <v>38</v>
      </c>
      <c r="Q629" s="18" t="s">
        <v>58</v>
      </c>
      <c r="R629" s="18" t="s">
        <v>59</v>
      </c>
      <c r="S629" s="18" t="s">
        <v>60</v>
      </c>
      <c r="T629" s="18" t="b">
        <v>1</v>
      </c>
      <c r="U629" s="18" t="s">
        <v>150</v>
      </c>
      <c r="V629" s="18" t="s">
        <v>40</v>
      </c>
      <c r="W629" s="18" t="s">
        <v>126</v>
      </c>
      <c r="X629" s="18" t="s">
        <v>127</v>
      </c>
      <c r="Y629" s="18">
        <v>1</v>
      </c>
      <c r="Z629" s="18">
        <v>1918</v>
      </c>
      <c r="AA629" s="18" t="s">
        <v>1113</v>
      </c>
      <c r="AB629" s="18" t="s">
        <v>1109</v>
      </c>
      <c r="AC629" s="18" t="e">
        <v>#N/A</v>
      </c>
    </row>
    <row r="630" s="18" customFormat="1" ht="29" spans="1:29">
      <c r="A630" s="18" t="s">
        <v>1753</v>
      </c>
      <c r="B630" s="25" t="s">
        <v>1753</v>
      </c>
      <c r="C630" s="26">
        <v>45681</v>
      </c>
      <c r="D630" s="18" t="s">
        <v>1754</v>
      </c>
      <c r="E630" s="18" t="str">
        <f t="shared" si="9"/>
        <v>Hindustan Computer &amp; Communication Services</v>
      </c>
      <c r="F630" s="27" t="s">
        <v>1755</v>
      </c>
      <c r="G630" s="18" t="s">
        <v>182</v>
      </c>
      <c r="H630" s="18" t="s">
        <v>473</v>
      </c>
      <c r="I630" s="18" t="s">
        <v>184</v>
      </c>
      <c r="K630" s="18" t="s">
        <v>35</v>
      </c>
      <c r="L630" s="18" t="s">
        <v>36</v>
      </c>
      <c r="N630" s="18">
        <v>6</v>
      </c>
      <c r="O630" s="18" t="s">
        <v>88</v>
      </c>
      <c r="P630" s="18" t="s">
        <v>38</v>
      </c>
      <c r="T630" s="18" t="b">
        <v>0</v>
      </c>
      <c r="U630" s="18" t="s">
        <v>187</v>
      </c>
      <c r="V630" s="18" t="s">
        <v>40</v>
      </c>
      <c r="W630" s="18" t="s">
        <v>84</v>
      </c>
      <c r="X630" s="18" t="s">
        <v>84</v>
      </c>
      <c r="Y630" s="18">
        <v>3</v>
      </c>
      <c r="Z630" s="18">
        <v>2000</v>
      </c>
      <c r="AA630" s="31" t="s">
        <v>992</v>
      </c>
      <c r="AB630" s="18" t="s">
        <v>993</v>
      </c>
      <c r="AC630" s="18" t="s">
        <v>200</v>
      </c>
    </row>
    <row r="631" s="18" customFormat="1" spans="1:29">
      <c r="A631" s="18" t="s">
        <v>1756</v>
      </c>
      <c r="B631" s="25" t="s">
        <v>1756</v>
      </c>
      <c r="C631" s="26">
        <v>45681</v>
      </c>
      <c r="D631" s="18" t="s">
        <v>1757</v>
      </c>
      <c r="E631" s="18" t="str">
        <f t="shared" si="9"/>
        <v>Tanoj Tandel  </v>
      </c>
      <c r="F631" s="27" t="e">
        <v>#N/A</v>
      </c>
      <c r="G631" s="18" t="s">
        <v>182</v>
      </c>
      <c r="H631" s="18" t="s">
        <v>183</v>
      </c>
      <c r="I631" s="18" t="s">
        <v>481</v>
      </c>
      <c r="J631" s="18" t="s">
        <v>1491</v>
      </c>
      <c r="K631" s="18" t="s">
        <v>56</v>
      </c>
      <c r="L631" s="18" t="s">
        <v>36</v>
      </c>
      <c r="N631" s="18">
        <v>6</v>
      </c>
      <c r="O631" s="18" t="s">
        <v>93</v>
      </c>
      <c r="P631" s="18" t="s">
        <v>38</v>
      </c>
      <c r="Q631" s="18" t="s">
        <v>194</v>
      </c>
      <c r="R631" s="18" t="s">
        <v>59</v>
      </c>
      <c r="S631" s="18" t="s">
        <v>195</v>
      </c>
      <c r="T631" s="18" t="b">
        <v>0</v>
      </c>
      <c r="U631" s="18" t="s">
        <v>187</v>
      </c>
      <c r="V631" s="18" t="s">
        <v>40</v>
      </c>
      <c r="W631" s="18" t="s">
        <v>126</v>
      </c>
      <c r="X631" s="18" t="s">
        <v>127</v>
      </c>
      <c r="Y631" s="18">
        <v>1</v>
      </c>
      <c r="Z631" s="18">
        <v>760</v>
      </c>
      <c r="AC631" s="18" t="e">
        <v>#N/A</v>
      </c>
    </row>
    <row r="632" s="18" customFormat="1" spans="1:29">
      <c r="A632" s="18" t="s">
        <v>1758</v>
      </c>
      <c r="B632" s="25" t="s">
        <v>1758</v>
      </c>
      <c r="C632" s="26">
        <v>45681</v>
      </c>
      <c r="D632" s="18" t="s">
        <v>1759</v>
      </c>
      <c r="E632" s="18" t="str">
        <f t="shared" si="9"/>
        <v>Sachin Daripkar </v>
      </c>
      <c r="F632" s="27" t="e">
        <v>#N/A</v>
      </c>
      <c r="G632" s="18" t="s">
        <v>182</v>
      </c>
      <c r="H632" s="18" t="s">
        <v>183</v>
      </c>
      <c r="I632" s="18" t="s">
        <v>481</v>
      </c>
      <c r="J632" s="18" t="s">
        <v>1491</v>
      </c>
      <c r="K632" s="18" t="s">
        <v>56</v>
      </c>
      <c r="L632" s="18" t="s">
        <v>36</v>
      </c>
      <c r="N632" s="18">
        <v>6</v>
      </c>
      <c r="O632" s="18" t="s">
        <v>93</v>
      </c>
      <c r="P632" s="18" t="s">
        <v>38</v>
      </c>
      <c r="Q632" s="18" t="s">
        <v>194</v>
      </c>
      <c r="R632" s="18" t="s">
        <v>59</v>
      </c>
      <c r="S632" s="18" t="s">
        <v>195</v>
      </c>
      <c r="T632" s="18" t="b">
        <v>0</v>
      </c>
      <c r="U632" s="18" t="s">
        <v>187</v>
      </c>
      <c r="V632" s="18" t="s">
        <v>40</v>
      </c>
      <c r="W632" s="18" t="s">
        <v>126</v>
      </c>
      <c r="X632" s="18" t="s">
        <v>127</v>
      </c>
      <c r="Y632" s="18">
        <v>1</v>
      </c>
      <c r="Z632" s="18">
        <v>1382</v>
      </c>
      <c r="AC632" s="18" t="e">
        <v>#N/A</v>
      </c>
    </row>
    <row r="633" s="18" customFormat="1" ht="29" spans="1:29">
      <c r="A633" s="18" t="s">
        <v>1760</v>
      </c>
      <c r="B633" s="25" t="s">
        <v>1760</v>
      </c>
      <c r="C633" s="26">
        <v>45681</v>
      </c>
      <c r="D633" s="18" t="s">
        <v>1761</v>
      </c>
      <c r="E633" s="18" t="str">
        <f t="shared" si="9"/>
        <v>Kissamago Transcriptions Pvt Ltd</v>
      </c>
      <c r="F633" s="27" t="s">
        <v>1762</v>
      </c>
      <c r="G633" s="18" t="s">
        <v>182</v>
      </c>
      <c r="H633" s="18" t="s">
        <v>183</v>
      </c>
      <c r="I633" s="18" t="s">
        <v>184</v>
      </c>
      <c r="J633" s="18" t="s">
        <v>1491</v>
      </c>
      <c r="K633" s="18" t="s">
        <v>56</v>
      </c>
      <c r="L633" s="18" t="s">
        <v>36</v>
      </c>
      <c r="N633" s="18">
        <v>6</v>
      </c>
      <c r="O633" s="18" t="s">
        <v>57</v>
      </c>
      <c r="P633" s="18" t="s">
        <v>38</v>
      </c>
      <c r="Q633" s="18" t="s">
        <v>194</v>
      </c>
      <c r="R633" s="18" t="s">
        <v>59</v>
      </c>
      <c r="S633" s="18" t="s">
        <v>195</v>
      </c>
      <c r="T633" s="18" t="b">
        <v>0</v>
      </c>
      <c r="U633" s="18" t="s">
        <v>187</v>
      </c>
      <c r="V633" s="18" t="s">
        <v>40</v>
      </c>
      <c r="W633" s="18" t="s">
        <v>317</v>
      </c>
      <c r="X633" s="18" t="s">
        <v>318</v>
      </c>
      <c r="Y633" s="18">
        <v>1</v>
      </c>
      <c r="Z633" s="18">
        <v>32500</v>
      </c>
      <c r="AA633" s="31" t="s">
        <v>1763</v>
      </c>
      <c r="AB633" s="18" t="s">
        <v>1764</v>
      </c>
      <c r="AC633" s="18" t="s">
        <v>200</v>
      </c>
    </row>
    <row r="634" s="18" customFormat="1" spans="1:29">
      <c r="A634" s="18" t="s">
        <v>1765</v>
      </c>
      <c r="B634" s="25" t="s">
        <v>1765</v>
      </c>
      <c r="C634" s="26">
        <v>45681</v>
      </c>
      <c r="D634" s="18" t="s">
        <v>1766</v>
      </c>
      <c r="E634" s="18" t="str">
        <f t="shared" si="9"/>
        <v>Ultimate Event Solutions</v>
      </c>
      <c r="F634" s="27" t="s">
        <v>1767</v>
      </c>
      <c r="G634" s="18" t="s">
        <v>182</v>
      </c>
      <c r="H634" s="18" t="s">
        <v>183</v>
      </c>
      <c r="I634" s="18" t="s">
        <v>54</v>
      </c>
      <c r="J634" s="18" t="s">
        <v>240</v>
      </c>
      <c r="K634" s="18" t="s">
        <v>56</v>
      </c>
      <c r="L634" s="18" t="s">
        <v>36</v>
      </c>
      <c r="N634" s="18">
        <v>6</v>
      </c>
      <c r="O634" s="18" t="s">
        <v>88</v>
      </c>
      <c r="P634" s="18" t="s">
        <v>38</v>
      </c>
      <c r="Q634" s="18" t="s">
        <v>58</v>
      </c>
      <c r="R634" s="18" t="s">
        <v>59</v>
      </c>
      <c r="S634" s="18" t="s">
        <v>60</v>
      </c>
      <c r="T634" s="18" t="b">
        <v>0</v>
      </c>
      <c r="U634" s="18" t="s">
        <v>187</v>
      </c>
      <c r="V634" s="18" t="s">
        <v>40</v>
      </c>
      <c r="W634" s="18" t="s">
        <v>317</v>
      </c>
      <c r="X634" s="18" t="s">
        <v>318</v>
      </c>
      <c r="Y634" s="18">
        <v>1</v>
      </c>
      <c r="Z634" s="18">
        <v>275000</v>
      </c>
      <c r="AA634" s="18" t="s">
        <v>1768</v>
      </c>
      <c r="AB634" s="18" t="s">
        <v>295</v>
      </c>
      <c r="AC634" s="18" t="s">
        <v>216</v>
      </c>
    </row>
    <row r="635" s="18" customFormat="1" ht="29" spans="1:29">
      <c r="A635" s="18" t="s">
        <v>1769</v>
      </c>
      <c r="B635" s="25" t="s">
        <v>1769</v>
      </c>
      <c r="C635" s="26">
        <v>45681</v>
      </c>
      <c r="D635" s="18" t="s">
        <v>572</v>
      </c>
      <c r="E635" s="18" t="str">
        <f t="shared" si="9"/>
        <v>Emblaze Events (Sunita Harihar Sharma)</v>
      </c>
      <c r="F635" s="27" t="s">
        <v>573</v>
      </c>
      <c r="G635" s="18" t="s">
        <v>182</v>
      </c>
      <c r="H635" s="18" t="s">
        <v>183</v>
      </c>
      <c r="I635" s="18" t="s">
        <v>184</v>
      </c>
      <c r="J635" s="18" t="s">
        <v>193</v>
      </c>
      <c r="K635" s="18" t="s">
        <v>56</v>
      </c>
      <c r="L635" s="18" t="s">
        <v>36</v>
      </c>
      <c r="N635" s="18">
        <v>6</v>
      </c>
      <c r="O635" s="18" t="s">
        <v>88</v>
      </c>
      <c r="P635" s="18" t="s">
        <v>38</v>
      </c>
      <c r="Q635" s="18" t="s">
        <v>194</v>
      </c>
      <c r="R635" s="18" t="s">
        <v>59</v>
      </c>
      <c r="S635" s="18" t="s">
        <v>195</v>
      </c>
      <c r="T635" s="18" t="b">
        <v>0</v>
      </c>
      <c r="U635" s="18" t="s">
        <v>187</v>
      </c>
      <c r="V635" s="18" t="s">
        <v>40</v>
      </c>
      <c r="W635" s="18" t="s">
        <v>292</v>
      </c>
      <c r="X635" s="18" t="s">
        <v>293</v>
      </c>
      <c r="Y635" s="18">
        <v>1</v>
      </c>
      <c r="Z635" s="18">
        <v>40000</v>
      </c>
      <c r="AA635" s="31" t="s">
        <v>569</v>
      </c>
      <c r="AB635" s="18" t="s">
        <v>570</v>
      </c>
      <c r="AC635" s="18" t="s">
        <v>200</v>
      </c>
    </row>
    <row r="636" s="18" customFormat="1" spans="1:29">
      <c r="A636" s="18" t="s">
        <v>1770</v>
      </c>
      <c r="B636" s="25" t="s">
        <v>1770</v>
      </c>
      <c r="C636" s="26">
        <v>45681</v>
      </c>
      <c r="D636" s="18" t="s">
        <v>1052</v>
      </c>
      <c r="E636" s="18" t="str">
        <f t="shared" si="9"/>
        <v>Sachin Jadhav </v>
      </c>
      <c r="F636" s="27" t="e">
        <v>#N/A</v>
      </c>
      <c r="G636" s="18" t="s">
        <v>182</v>
      </c>
      <c r="H636" s="18" t="s">
        <v>183</v>
      </c>
      <c r="I636" s="18" t="s">
        <v>481</v>
      </c>
      <c r="J636" s="18" t="s">
        <v>1346</v>
      </c>
      <c r="K636" s="18" t="s">
        <v>56</v>
      </c>
      <c r="L636" s="18" t="s">
        <v>36</v>
      </c>
      <c r="N636" s="18">
        <v>6</v>
      </c>
      <c r="O636" s="18" t="s">
        <v>93</v>
      </c>
      <c r="P636" s="18" t="s">
        <v>38</v>
      </c>
      <c r="Q636" s="18" t="s">
        <v>194</v>
      </c>
      <c r="R636" s="18" t="s">
        <v>59</v>
      </c>
      <c r="S636" s="18" t="s">
        <v>195</v>
      </c>
      <c r="T636" s="18" t="b">
        <v>0</v>
      </c>
      <c r="U636" s="18" t="s">
        <v>187</v>
      </c>
      <c r="V636" s="18" t="s">
        <v>40</v>
      </c>
      <c r="W636" s="18" t="s">
        <v>126</v>
      </c>
      <c r="X636" s="18" t="s">
        <v>127</v>
      </c>
      <c r="Y636" s="18">
        <v>1</v>
      </c>
      <c r="Z636" s="18">
        <v>2040</v>
      </c>
      <c r="AC636" s="18" t="e">
        <v>#N/A</v>
      </c>
    </row>
    <row r="637" s="18" customFormat="1" ht="29" spans="1:29">
      <c r="A637" s="18" t="s">
        <v>1771</v>
      </c>
      <c r="B637" s="25" t="s">
        <v>1771</v>
      </c>
      <c r="C637" s="26">
        <v>45681</v>
      </c>
      <c r="D637" s="18" t="s">
        <v>261</v>
      </c>
      <c r="E637" s="18" t="str">
        <f t="shared" si="9"/>
        <v>Novex Communications Pvt. Ltd.</v>
      </c>
      <c r="F637" s="27" t="e">
        <v>#N/A</v>
      </c>
      <c r="G637" s="18" t="s">
        <v>182</v>
      </c>
      <c r="H637" s="18" t="s">
        <v>183</v>
      </c>
      <c r="I637" s="18" t="s">
        <v>184</v>
      </c>
      <c r="J637" s="18" t="s">
        <v>1574</v>
      </c>
      <c r="K637" s="18" t="s">
        <v>56</v>
      </c>
      <c r="L637" s="18" t="s">
        <v>36</v>
      </c>
      <c r="N637" s="18">
        <v>6</v>
      </c>
      <c r="O637" s="18" t="s">
        <v>88</v>
      </c>
      <c r="P637" s="18" t="s">
        <v>38</v>
      </c>
      <c r="Q637" s="18" t="s">
        <v>117</v>
      </c>
      <c r="R637" s="18" t="s">
        <v>59</v>
      </c>
      <c r="S637" s="18" t="s">
        <v>186</v>
      </c>
      <c r="T637" s="18" t="b">
        <v>0</v>
      </c>
      <c r="U637" s="18" t="s">
        <v>187</v>
      </c>
      <c r="V637" s="18" t="s">
        <v>40</v>
      </c>
      <c r="W637" s="18" t="s">
        <v>256</v>
      </c>
      <c r="X637" s="18" t="s">
        <v>257</v>
      </c>
      <c r="Y637" s="18">
        <v>1</v>
      </c>
      <c r="Z637" s="18">
        <v>195000</v>
      </c>
      <c r="AA637" s="31" t="s">
        <v>262</v>
      </c>
      <c r="AB637" s="18" t="s">
        <v>259</v>
      </c>
      <c r="AC637" s="18" t="s">
        <v>200</v>
      </c>
    </row>
    <row r="638" s="18" customFormat="1" ht="29" spans="1:29">
      <c r="A638" s="18" t="s">
        <v>1772</v>
      </c>
      <c r="B638" s="25" t="s">
        <v>1772</v>
      </c>
      <c r="C638" s="26">
        <v>45681</v>
      </c>
      <c r="D638" s="18" t="s">
        <v>264</v>
      </c>
      <c r="E638" s="18" t="str">
        <f t="shared" si="9"/>
        <v>The Indian Performing Right Society Ltd.</v>
      </c>
      <c r="F638" s="27" t="e">
        <v>#N/A</v>
      </c>
      <c r="G638" s="18" t="s">
        <v>182</v>
      </c>
      <c r="H638" s="18" t="s">
        <v>183</v>
      </c>
      <c r="I638" s="18" t="s">
        <v>184</v>
      </c>
      <c r="J638" s="18" t="s">
        <v>1574</v>
      </c>
      <c r="K638" s="18" t="s">
        <v>56</v>
      </c>
      <c r="L638" s="18" t="s">
        <v>36</v>
      </c>
      <c r="N638" s="18">
        <v>6</v>
      </c>
      <c r="O638" s="18" t="s">
        <v>57</v>
      </c>
      <c r="P638" s="18" t="s">
        <v>38</v>
      </c>
      <c r="Q638" s="18" t="s">
        <v>117</v>
      </c>
      <c r="R638" s="18" t="s">
        <v>59</v>
      </c>
      <c r="S638" s="18" t="s">
        <v>186</v>
      </c>
      <c r="T638" s="18" t="b">
        <v>0</v>
      </c>
      <c r="U638" s="18" t="s">
        <v>187</v>
      </c>
      <c r="V638" s="18" t="s">
        <v>40</v>
      </c>
      <c r="W638" s="18" t="s">
        <v>256</v>
      </c>
      <c r="X638" s="18" t="s">
        <v>257</v>
      </c>
      <c r="Y638" s="18">
        <v>1</v>
      </c>
      <c r="Z638" s="18">
        <v>75000</v>
      </c>
      <c r="AA638" s="31" t="s">
        <v>262</v>
      </c>
      <c r="AB638" s="18" t="s">
        <v>259</v>
      </c>
      <c r="AC638" s="18" t="s">
        <v>200</v>
      </c>
    </row>
    <row r="639" s="18" customFormat="1" spans="1:29">
      <c r="A639" s="18" t="s">
        <v>1773</v>
      </c>
      <c r="B639" s="25" t="s">
        <v>1773</v>
      </c>
      <c r="C639" s="26">
        <v>45681</v>
      </c>
      <c r="D639" s="18" t="s">
        <v>860</v>
      </c>
      <c r="E639" s="18" t="str">
        <f t="shared" si="9"/>
        <v>Mahendra Mane </v>
      </c>
      <c r="F639" s="27" t="e">
        <v>#N/A</v>
      </c>
      <c r="G639" s="18" t="s">
        <v>182</v>
      </c>
      <c r="H639" s="18" t="s">
        <v>183</v>
      </c>
      <c r="I639" s="18" t="s">
        <v>481</v>
      </c>
      <c r="J639" s="18" t="s">
        <v>1491</v>
      </c>
      <c r="K639" s="18" t="s">
        <v>56</v>
      </c>
      <c r="L639" s="18" t="s">
        <v>36</v>
      </c>
      <c r="N639" s="18">
        <v>6</v>
      </c>
      <c r="O639" s="18" t="s">
        <v>93</v>
      </c>
      <c r="P639" s="18" t="s">
        <v>38</v>
      </c>
      <c r="Q639" s="18" t="s">
        <v>194</v>
      </c>
      <c r="R639" s="18" t="s">
        <v>59</v>
      </c>
      <c r="S639" s="18" t="s">
        <v>195</v>
      </c>
      <c r="T639" s="18" t="b">
        <v>0</v>
      </c>
      <c r="U639" s="18" t="s">
        <v>187</v>
      </c>
      <c r="V639" s="18" t="s">
        <v>40</v>
      </c>
      <c r="W639" s="18" t="s">
        <v>126</v>
      </c>
      <c r="X639" s="18" t="s">
        <v>127</v>
      </c>
      <c r="Y639" s="18">
        <v>1</v>
      </c>
      <c r="Z639" s="18">
        <v>932</v>
      </c>
      <c r="AC639" s="18" t="e">
        <v>#N/A</v>
      </c>
    </row>
    <row r="640" s="18" customFormat="1" spans="1:29">
      <c r="A640" s="18" t="s">
        <v>1774</v>
      </c>
      <c r="B640" s="25" t="s">
        <v>1774</v>
      </c>
      <c r="C640" s="26">
        <v>45681</v>
      </c>
      <c r="D640" s="18" t="s">
        <v>1404</v>
      </c>
      <c r="E640" s="18" t="str">
        <f t="shared" si="9"/>
        <v>Mohammad Danish  </v>
      </c>
      <c r="F640" s="27" t="s">
        <v>1405</v>
      </c>
      <c r="G640" s="18" t="s">
        <v>182</v>
      </c>
      <c r="H640" s="18" t="s">
        <v>183</v>
      </c>
      <c r="I640" s="18" t="s">
        <v>481</v>
      </c>
      <c r="J640" s="18" t="s">
        <v>1491</v>
      </c>
      <c r="K640" s="18" t="s">
        <v>56</v>
      </c>
      <c r="L640" s="18" t="s">
        <v>36</v>
      </c>
      <c r="N640" s="18">
        <v>6</v>
      </c>
      <c r="O640" s="18" t="s">
        <v>93</v>
      </c>
      <c r="P640" s="18" t="s">
        <v>38</v>
      </c>
      <c r="Q640" s="18" t="s">
        <v>194</v>
      </c>
      <c r="R640" s="18" t="s">
        <v>59</v>
      </c>
      <c r="S640" s="18" t="s">
        <v>195</v>
      </c>
      <c r="T640" s="18" t="b">
        <v>0</v>
      </c>
      <c r="U640" s="18" t="s">
        <v>187</v>
      </c>
      <c r="V640" s="18" t="s">
        <v>40</v>
      </c>
      <c r="W640" s="18" t="s">
        <v>126</v>
      </c>
      <c r="X640" s="18" t="s">
        <v>127</v>
      </c>
      <c r="Y640" s="18">
        <v>1</v>
      </c>
      <c r="Z640" s="18">
        <v>1831</v>
      </c>
      <c r="AC640" s="18" t="e">
        <v>#N/A</v>
      </c>
    </row>
    <row r="641" s="18" customFormat="1" spans="1:29">
      <c r="A641" s="18" t="s">
        <v>1775</v>
      </c>
      <c r="B641" s="25" t="s">
        <v>1775</v>
      </c>
      <c r="C641" s="26">
        <v>45681</v>
      </c>
      <c r="D641" s="18" t="s">
        <v>1054</v>
      </c>
      <c r="E641" s="18" t="str">
        <f t="shared" si="9"/>
        <v>Suresh Pardhle  </v>
      </c>
      <c r="F641" s="27" t="e">
        <v>#N/A</v>
      </c>
      <c r="G641" s="18" t="s">
        <v>182</v>
      </c>
      <c r="H641" s="18" t="s">
        <v>183</v>
      </c>
      <c r="I641" s="18" t="s">
        <v>481</v>
      </c>
      <c r="J641" s="18" t="s">
        <v>1491</v>
      </c>
      <c r="K641" s="18" t="s">
        <v>56</v>
      </c>
      <c r="L641" s="18" t="s">
        <v>36</v>
      </c>
      <c r="N641" s="18">
        <v>6</v>
      </c>
      <c r="O641" s="18" t="s">
        <v>93</v>
      </c>
      <c r="P641" s="18" t="s">
        <v>38</v>
      </c>
      <c r="Q641" s="18" t="s">
        <v>194</v>
      </c>
      <c r="R641" s="18" t="s">
        <v>59</v>
      </c>
      <c r="S641" s="18" t="s">
        <v>195</v>
      </c>
      <c r="T641" s="18" t="b">
        <v>0</v>
      </c>
      <c r="U641" s="18" t="s">
        <v>187</v>
      </c>
      <c r="V641" s="18" t="s">
        <v>40</v>
      </c>
      <c r="W641" s="18" t="s">
        <v>126</v>
      </c>
      <c r="X641" s="18" t="s">
        <v>127</v>
      </c>
      <c r="Y641" s="18">
        <v>1</v>
      </c>
      <c r="Z641" s="18">
        <v>3574</v>
      </c>
      <c r="AC641" s="18" t="e">
        <v>#N/A</v>
      </c>
    </row>
    <row r="642" s="18" customFormat="1" spans="1:29">
      <c r="A642" s="18" t="s">
        <v>1776</v>
      </c>
      <c r="B642" s="25" t="s">
        <v>1776</v>
      </c>
      <c r="C642" s="26">
        <v>45681</v>
      </c>
      <c r="D642" s="18" t="s">
        <v>1054</v>
      </c>
      <c r="E642" s="18" t="str">
        <f t="shared" si="9"/>
        <v>Suresh Pardhle  </v>
      </c>
      <c r="F642" s="27" t="e">
        <v>#N/A</v>
      </c>
      <c r="G642" s="18" t="s">
        <v>182</v>
      </c>
      <c r="H642" s="18" t="s">
        <v>183</v>
      </c>
      <c r="I642" s="18" t="s">
        <v>481</v>
      </c>
      <c r="J642" s="18" t="s">
        <v>1491</v>
      </c>
      <c r="K642" s="18" t="s">
        <v>56</v>
      </c>
      <c r="L642" s="18" t="s">
        <v>36</v>
      </c>
      <c r="N642" s="18">
        <v>6</v>
      </c>
      <c r="O642" s="18" t="s">
        <v>93</v>
      </c>
      <c r="P642" s="18" t="s">
        <v>38</v>
      </c>
      <c r="Q642" s="18" t="s">
        <v>194</v>
      </c>
      <c r="R642" s="18" t="s">
        <v>59</v>
      </c>
      <c r="S642" s="18" t="s">
        <v>195</v>
      </c>
      <c r="T642" s="18" t="b">
        <v>0</v>
      </c>
      <c r="U642" s="18" t="s">
        <v>187</v>
      </c>
      <c r="V642" s="18" t="s">
        <v>40</v>
      </c>
      <c r="W642" s="18" t="s">
        <v>126</v>
      </c>
      <c r="X642" s="18" t="s">
        <v>127</v>
      </c>
      <c r="Y642" s="18">
        <v>1</v>
      </c>
      <c r="Z642" s="18">
        <v>1857</v>
      </c>
      <c r="AC642" s="18" t="e">
        <v>#N/A</v>
      </c>
    </row>
    <row r="643" s="18" customFormat="1" spans="1:29">
      <c r="A643" s="18" t="s">
        <v>1777</v>
      </c>
      <c r="B643" s="25" t="s">
        <v>1777</v>
      </c>
      <c r="C643" s="26">
        <v>45681</v>
      </c>
      <c r="D643" s="18" t="s">
        <v>1206</v>
      </c>
      <c r="E643" s="18" t="str">
        <f t="shared" ref="E643:E706" si="10">_xlfn.TEXTBEFORE(D643,"-")</f>
        <v>PARESH SURVE ADV FOR EXPENCES</v>
      </c>
      <c r="F643" s="27" t="e">
        <v>#N/A</v>
      </c>
      <c r="G643" s="18" t="s">
        <v>182</v>
      </c>
      <c r="H643" s="18" t="s">
        <v>183</v>
      </c>
      <c r="I643" s="18" t="s">
        <v>481</v>
      </c>
      <c r="J643" s="18" t="s">
        <v>1006</v>
      </c>
      <c r="K643" s="18" t="s">
        <v>56</v>
      </c>
      <c r="L643" s="18" t="s">
        <v>36</v>
      </c>
      <c r="N643" s="18">
        <v>6</v>
      </c>
      <c r="O643" s="18" t="s">
        <v>93</v>
      </c>
      <c r="P643" s="18" t="s">
        <v>38</v>
      </c>
      <c r="Q643" s="18" t="s">
        <v>117</v>
      </c>
      <c r="R643" s="18" t="s">
        <v>59</v>
      </c>
      <c r="S643" s="18" t="s">
        <v>186</v>
      </c>
      <c r="T643" s="18" t="b">
        <v>0</v>
      </c>
      <c r="U643" s="18" t="s">
        <v>187</v>
      </c>
      <c r="V643" s="18" t="s">
        <v>40</v>
      </c>
      <c r="W643" s="18" t="s">
        <v>317</v>
      </c>
      <c r="X643" s="18" t="s">
        <v>318</v>
      </c>
      <c r="Y643" s="18">
        <v>1</v>
      </c>
      <c r="Z643" s="18">
        <v>4499</v>
      </c>
      <c r="AC643" s="18" t="e">
        <v>#N/A</v>
      </c>
    </row>
    <row r="644" s="18" customFormat="1" spans="1:29">
      <c r="A644" s="18" t="s">
        <v>1778</v>
      </c>
      <c r="B644" s="25" t="s">
        <v>1778</v>
      </c>
      <c r="C644" s="26">
        <v>45681</v>
      </c>
      <c r="D644" s="18" t="s">
        <v>1203</v>
      </c>
      <c r="E644" s="18" t="str">
        <f t="shared" si="10"/>
        <v>Padmakar Jadhav </v>
      </c>
      <c r="F644" s="27" t="e">
        <v>#N/A</v>
      </c>
      <c r="G644" s="18" t="s">
        <v>182</v>
      </c>
      <c r="H644" s="18" t="s">
        <v>183</v>
      </c>
      <c r="I644" s="18" t="s">
        <v>481</v>
      </c>
      <c r="J644" s="18" t="s">
        <v>864</v>
      </c>
      <c r="K644" s="18" t="s">
        <v>56</v>
      </c>
      <c r="L644" s="18" t="s">
        <v>36</v>
      </c>
      <c r="N644" s="18">
        <v>6</v>
      </c>
      <c r="O644" s="18" t="s">
        <v>93</v>
      </c>
      <c r="P644" s="18" t="s">
        <v>38</v>
      </c>
      <c r="Q644" s="18" t="s">
        <v>194</v>
      </c>
      <c r="R644" s="18" t="s">
        <v>59</v>
      </c>
      <c r="S644" s="18" t="s">
        <v>195</v>
      </c>
      <c r="T644" s="18" t="b">
        <v>0</v>
      </c>
      <c r="U644" s="18" t="s">
        <v>187</v>
      </c>
      <c r="V644" s="18" t="s">
        <v>40</v>
      </c>
      <c r="W644" s="18" t="s">
        <v>126</v>
      </c>
      <c r="X644" s="18" t="s">
        <v>127</v>
      </c>
      <c r="Y644" s="18">
        <v>1</v>
      </c>
      <c r="Z644" s="18">
        <v>231</v>
      </c>
      <c r="AC644" s="18" t="e">
        <v>#N/A</v>
      </c>
    </row>
    <row r="645" s="18" customFormat="1" spans="1:29">
      <c r="A645" s="18" t="s">
        <v>1779</v>
      </c>
      <c r="B645" s="25" t="s">
        <v>1779</v>
      </c>
      <c r="C645" s="26">
        <v>45681</v>
      </c>
      <c r="D645" s="18" t="s">
        <v>261</v>
      </c>
      <c r="E645" s="18" t="str">
        <f t="shared" si="10"/>
        <v>Novex Communications Pvt. Ltd.</v>
      </c>
      <c r="F645" s="27" t="e">
        <v>#N/A</v>
      </c>
      <c r="G645" s="18" t="s">
        <v>182</v>
      </c>
      <c r="H645" s="18" t="s">
        <v>183</v>
      </c>
      <c r="I645" s="18" t="s">
        <v>207</v>
      </c>
      <c r="J645" s="18" t="s">
        <v>1609</v>
      </c>
      <c r="K645" s="18" t="s">
        <v>56</v>
      </c>
      <c r="L645" s="18" t="s">
        <v>36</v>
      </c>
      <c r="N645" s="18">
        <v>6</v>
      </c>
      <c r="O645" s="18" t="s">
        <v>88</v>
      </c>
      <c r="P645" s="18" t="s">
        <v>38</v>
      </c>
      <c r="Q645" s="18" t="s">
        <v>58</v>
      </c>
      <c r="R645" s="18" t="s">
        <v>59</v>
      </c>
      <c r="S645" s="18" t="s">
        <v>60</v>
      </c>
      <c r="T645" s="18" t="b">
        <v>0</v>
      </c>
      <c r="U645" s="18" t="s">
        <v>187</v>
      </c>
      <c r="V645" s="18" t="s">
        <v>40</v>
      </c>
      <c r="W645" s="18" t="s">
        <v>256</v>
      </c>
      <c r="X645" s="18" t="s">
        <v>257</v>
      </c>
      <c r="Y645" s="18">
        <v>1</v>
      </c>
      <c r="Z645" s="18">
        <v>329242.8</v>
      </c>
      <c r="AA645" s="18" t="s">
        <v>1710</v>
      </c>
      <c r="AB645" s="18" t="s">
        <v>1711</v>
      </c>
      <c r="AC645" s="18" t="s">
        <v>200</v>
      </c>
    </row>
    <row r="646" s="18" customFormat="1" ht="29" spans="1:29">
      <c r="A646" s="18" t="s">
        <v>1780</v>
      </c>
      <c r="B646" s="25" t="s">
        <v>1780</v>
      </c>
      <c r="C646" s="26">
        <v>45681</v>
      </c>
      <c r="D646" s="18" t="s">
        <v>1781</v>
      </c>
      <c r="E646" s="18" t="str">
        <f t="shared" si="10"/>
        <v>Vansh Agrawal</v>
      </c>
      <c r="F646" s="27" t="s">
        <v>1782</v>
      </c>
      <c r="G646" s="18" t="s">
        <v>182</v>
      </c>
      <c r="H646" s="18" t="s">
        <v>183</v>
      </c>
      <c r="I646" s="18" t="s">
        <v>184</v>
      </c>
      <c r="J646" s="18" t="s">
        <v>1783</v>
      </c>
      <c r="K646" s="18" t="s">
        <v>56</v>
      </c>
      <c r="L646" s="18" t="s">
        <v>36</v>
      </c>
      <c r="N646" s="18">
        <v>6</v>
      </c>
      <c r="O646" s="18" t="s">
        <v>57</v>
      </c>
      <c r="P646" s="18" t="s">
        <v>38</v>
      </c>
      <c r="Q646" s="18" t="s">
        <v>194</v>
      </c>
      <c r="R646" s="18" t="s">
        <v>59</v>
      </c>
      <c r="S646" s="18" t="s">
        <v>195</v>
      </c>
      <c r="T646" s="18" t="b">
        <v>0</v>
      </c>
      <c r="U646" s="18" t="s">
        <v>187</v>
      </c>
      <c r="V646" s="18" t="s">
        <v>40</v>
      </c>
      <c r="W646" s="18" t="s">
        <v>683</v>
      </c>
      <c r="X646" s="18" t="s">
        <v>684</v>
      </c>
      <c r="Y646" s="18">
        <v>1</v>
      </c>
      <c r="Z646" s="18">
        <v>20000</v>
      </c>
      <c r="AA646" s="31" t="s">
        <v>1784</v>
      </c>
      <c r="AB646" s="18" t="s">
        <v>1785</v>
      </c>
      <c r="AC646" s="18" t="e">
        <v>#N/A</v>
      </c>
    </row>
    <row r="647" s="18" customFormat="1" spans="1:29">
      <c r="A647" s="18" t="s">
        <v>1786</v>
      </c>
      <c r="B647" s="25" t="s">
        <v>1786</v>
      </c>
      <c r="C647" s="26">
        <v>45681</v>
      </c>
      <c r="D647" s="18" t="s">
        <v>732</v>
      </c>
      <c r="E647" s="18" t="str">
        <f t="shared" si="10"/>
        <v>Musafir.Com India Pvt Ltd</v>
      </c>
      <c r="F647" s="27" t="s">
        <v>733</v>
      </c>
      <c r="G647" s="18" t="s">
        <v>182</v>
      </c>
      <c r="H647" s="18" t="s">
        <v>183</v>
      </c>
      <c r="I647" s="18" t="s">
        <v>184</v>
      </c>
      <c r="J647" s="18" t="s">
        <v>240</v>
      </c>
      <c r="K647" s="18" t="s">
        <v>56</v>
      </c>
      <c r="L647" s="18" t="s">
        <v>36</v>
      </c>
      <c r="N647" s="18">
        <v>6</v>
      </c>
      <c r="O647" s="18" t="s">
        <v>57</v>
      </c>
      <c r="P647" s="18" t="s">
        <v>38</v>
      </c>
      <c r="Q647" s="18" t="s">
        <v>58</v>
      </c>
      <c r="R647" s="18" t="s">
        <v>59</v>
      </c>
      <c r="S647" s="18" t="s">
        <v>60</v>
      </c>
      <c r="T647" s="18" t="b">
        <v>0</v>
      </c>
      <c r="U647" s="18" t="s">
        <v>187</v>
      </c>
      <c r="V647" s="18" t="s">
        <v>40</v>
      </c>
      <c r="W647" s="18" t="s">
        <v>734</v>
      </c>
      <c r="X647" s="18" t="s">
        <v>735</v>
      </c>
      <c r="Y647" s="18">
        <v>1</v>
      </c>
      <c r="Z647" s="18">
        <v>899484</v>
      </c>
      <c r="AA647" s="18" t="s">
        <v>736</v>
      </c>
      <c r="AB647" s="18" t="s">
        <v>737</v>
      </c>
      <c r="AC647" s="18" t="e">
        <v>#N/A</v>
      </c>
    </row>
    <row r="648" s="18" customFormat="1" ht="29" spans="1:29">
      <c r="A648" s="18" t="s">
        <v>1787</v>
      </c>
      <c r="B648" s="25" t="s">
        <v>1787</v>
      </c>
      <c r="C648" s="26">
        <v>45681</v>
      </c>
      <c r="D648" s="18" t="s">
        <v>264</v>
      </c>
      <c r="E648" s="18" t="str">
        <f t="shared" si="10"/>
        <v>The Indian Performing Right Society Ltd.</v>
      </c>
      <c r="F648" s="27" t="e">
        <v>#N/A</v>
      </c>
      <c r="G648" s="18" t="s">
        <v>182</v>
      </c>
      <c r="H648" s="18" t="s">
        <v>183</v>
      </c>
      <c r="I648" s="18" t="s">
        <v>184</v>
      </c>
      <c r="J648" s="18" t="s">
        <v>499</v>
      </c>
      <c r="K648" s="18" t="s">
        <v>56</v>
      </c>
      <c r="L648" s="18" t="s">
        <v>36</v>
      </c>
      <c r="N648" s="18">
        <v>6</v>
      </c>
      <c r="O648" s="18" t="s">
        <v>57</v>
      </c>
      <c r="P648" s="18" t="s">
        <v>38</v>
      </c>
      <c r="Q648" s="18" t="s">
        <v>117</v>
      </c>
      <c r="R648" s="18" t="s">
        <v>59</v>
      </c>
      <c r="S648" s="18" t="s">
        <v>186</v>
      </c>
      <c r="T648" s="18" t="b">
        <v>0</v>
      </c>
      <c r="U648" s="18" t="s">
        <v>187</v>
      </c>
      <c r="V648" s="18" t="s">
        <v>40</v>
      </c>
      <c r="W648" s="18" t="s">
        <v>256</v>
      </c>
      <c r="X648" s="18" t="s">
        <v>257</v>
      </c>
      <c r="Y648" s="18">
        <v>1</v>
      </c>
      <c r="Z648" s="18">
        <v>75000</v>
      </c>
      <c r="AA648" s="31" t="s">
        <v>262</v>
      </c>
      <c r="AB648" s="18" t="s">
        <v>259</v>
      </c>
      <c r="AC648" s="18" t="s">
        <v>200</v>
      </c>
    </row>
    <row r="649" s="18" customFormat="1" ht="29" spans="1:29">
      <c r="A649" s="18" t="s">
        <v>1788</v>
      </c>
      <c r="B649" s="25" t="s">
        <v>1788</v>
      </c>
      <c r="C649" s="26">
        <v>45681</v>
      </c>
      <c r="D649" s="18" t="s">
        <v>255</v>
      </c>
      <c r="E649" s="18" t="str">
        <f t="shared" si="10"/>
        <v>Phonographic Performance Limited</v>
      </c>
      <c r="F649" s="27" t="e">
        <v>#N/A</v>
      </c>
      <c r="G649" s="18" t="s">
        <v>182</v>
      </c>
      <c r="H649" s="18" t="s">
        <v>183</v>
      </c>
      <c r="I649" s="18" t="s">
        <v>184</v>
      </c>
      <c r="J649" s="18" t="s">
        <v>499</v>
      </c>
      <c r="K649" s="18" t="s">
        <v>56</v>
      </c>
      <c r="L649" s="18" t="s">
        <v>36</v>
      </c>
      <c r="N649" s="18">
        <v>6</v>
      </c>
      <c r="O649" s="18" t="s">
        <v>88</v>
      </c>
      <c r="P649" s="18" t="s">
        <v>38</v>
      </c>
      <c r="Q649" s="18" t="s">
        <v>117</v>
      </c>
      <c r="R649" s="18" t="s">
        <v>59</v>
      </c>
      <c r="S649" s="18" t="s">
        <v>186</v>
      </c>
      <c r="T649" s="18" t="b">
        <v>0</v>
      </c>
      <c r="U649" s="18" t="s">
        <v>187</v>
      </c>
      <c r="V649" s="18" t="s">
        <v>40</v>
      </c>
      <c r="W649" s="18" t="s">
        <v>256</v>
      </c>
      <c r="X649" s="18" t="s">
        <v>257</v>
      </c>
      <c r="Y649" s="18">
        <v>1</v>
      </c>
      <c r="Z649" s="18">
        <v>93600</v>
      </c>
      <c r="AA649" s="31" t="s">
        <v>262</v>
      </c>
      <c r="AB649" s="18" t="s">
        <v>259</v>
      </c>
      <c r="AC649" s="18" t="s">
        <v>200</v>
      </c>
    </row>
    <row r="650" s="18" customFormat="1" ht="29" spans="1:29">
      <c r="A650" s="18" t="s">
        <v>1789</v>
      </c>
      <c r="B650" s="25" t="s">
        <v>1789</v>
      </c>
      <c r="C650" s="26">
        <v>45681</v>
      </c>
      <c r="D650" s="18" t="s">
        <v>261</v>
      </c>
      <c r="E650" s="18" t="str">
        <f t="shared" si="10"/>
        <v>Novex Communications Pvt. Ltd.</v>
      </c>
      <c r="F650" s="27" t="e">
        <v>#N/A</v>
      </c>
      <c r="G650" s="18" t="s">
        <v>182</v>
      </c>
      <c r="H650" s="18" t="s">
        <v>183</v>
      </c>
      <c r="I650" s="18" t="s">
        <v>184</v>
      </c>
      <c r="J650" s="18" t="s">
        <v>499</v>
      </c>
      <c r="K650" s="18" t="s">
        <v>56</v>
      </c>
      <c r="L650" s="18" t="s">
        <v>36</v>
      </c>
      <c r="N650" s="18">
        <v>6</v>
      </c>
      <c r="O650" s="18" t="s">
        <v>88</v>
      </c>
      <c r="P650" s="18" t="s">
        <v>38</v>
      </c>
      <c r="Q650" s="18" t="s">
        <v>117</v>
      </c>
      <c r="R650" s="18" t="s">
        <v>59</v>
      </c>
      <c r="S650" s="18" t="s">
        <v>186</v>
      </c>
      <c r="T650" s="18" t="b">
        <v>0</v>
      </c>
      <c r="U650" s="18" t="s">
        <v>187</v>
      </c>
      <c r="V650" s="18" t="s">
        <v>40</v>
      </c>
      <c r="W650" s="18" t="s">
        <v>256</v>
      </c>
      <c r="X650" s="18" t="s">
        <v>257</v>
      </c>
      <c r="Y650" s="18">
        <v>1</v>
      </c>
      <c r="Z650" s="18">
        <v>95000</v>
      </c>
      <c r="AA650" s="31" t="s">
        <v>262</v>
      </c>
      <c r="AB650" s="18" t="s">
        <v>259</v>
      </c>
      <c r="AC650" s="18" t="s">
        <v>200</v>
      </c>
    </row>
    <row r="651" s="18" customFormat="1" spans="1:29">
      <c r="A651" s="18" t="s">
        <v>1790</v>
      </c>
      <c r="B651" s="25" t="s">
        <v>1790</v>
      </c>
      <c r="C651" s="26">
        <v>45681</v>
      </c>
      <c r="D651" s="18" t="s">
        <v>1791</v>
      </c>
      <c r="E651" s="18" t="str">
        <f t="shared" si="10"/>
        <v>SRA Carpets (Happay)</v>
      </c>
      <c r="F651" s="27" t="s">
        <v>1792</v>
      </c>
      <c r="G651" s="18" t="s">
        <v>182</v>
      </c>
      <c r="H651" s="18" t="s">
        <v>183</v>
      </c>
      <c r="I651" s="18" t="s">
        <v>184</v>
      </c>
      <c r="J651" s="18" t="s">
        <v>1491</v>
      </c>
      <c r="K651" s="18" t="s">
        <v>56</v>
      </c>
      <c r="L651" s="18" t="s">
        <v>36</v>
      </c>
      <c r="N651" s="18">
        <v>6</v>
      </c>
      <c r="O651" s="18" t="s">
        <v>57</v>
      </c>
      <c r="P651" s="18" t="s">
        <v>38</v>
      </c>
      <c r="Q651" s="18" t="s">
        <v>194</v>
      </c>
      <c r="R651" s="18" t="s">
        <v>59</v>
      </c>
      <c r="S651" s="18" t="s">
        <v>195</v>
      </c>
      <c r="T651" s="18" t="b">
        <v>0</v>
      </c>
      <c r="U651" s="18" t="s">
        <v>187</v>
      </c>
      <c r="V651" s="18" t="s">
        <v>40</v>
      </c>
      <c r="W651" s="18" t="s">
        <v>140</v>
      </c>
      <c r="X651" s="18" t="s">
        <v>141</v>
      </c>
      <c r="Y651" s="18">
        <v>1</v>
      </c>
      <c r="Z651" s="18">
        <v>7000</v>
      </c>
      <c r="AA651" s="18" t="s">
        <v>1793</v>
      </c>
      <c r="AB651" s="18" t="s">
        <v>199</v>
      </c>
      <c r="AC651" s="18" t="s">
        <v>582</v>
      </c>
    </row>
    <row r="652" s="18" customFormat="1" spans="1:29">
      <c r="A652" s="18" t="s">
        <v>1794</v>
      </c>
      <c r="B652" s="25" t="s">
        <v>1794</v>
      </c>
      <c r="C652" s="26">
        <v>45682</v>
      </c>
      <c r="D652" s="18" t="s">
        <v>541</v>
      </c>
      <c r="E652" s="18" t="str">
        <f t="shared" si="10"/>
        <v>Dream Factory Pvt. Ltd.</v>
      </c>
      <c r="F652" s="27" t="e">
        <v>#N/A</v>
      </c>
      <c r="G652" s="18" t="s">
        <v>32</v>
      </c>
      <c r="H652" s="18" t="s">
        <v>33</v>
      </c>
      <c r="I652" s="18" t="s">
        <v>54</v>
      </c>
      <c r="J652" s="18" t="s">
        <v>310</v>
      </c>
      <c r="K652" s="18" t="s">
        <v>56</v>
      </c>
      <c r="L652" s="18" t="s">
        <v>36</v>
      </c>
      <c r="N652" s="18">
        <v>6</v>
      </c>
      <c r="O652" s="18" t="s">
        <v>88</v>
      </c>
      <c r="P652" s="18" t="s">
        <v>38</v>
      </c>
      <c r="Q652" s="18" t="s">
        <v>58</v>
      </c>
      <c r="R652" s="18" t="s">
        <v>59</v>
      </c>
      <c r="S652" s="18" t="s">
        <v>60</v>
      </c>
      <c r="T652" s="18" t="b">
        <v>1</v>
      </c>
      <c r="U652" s="18" t="s">
        <v>39</v>
      </c>
      <c r="V652" s="18" t="s">
        <v>40</v>
      </c>
      <c r="W652" s="18" t="s">
        <v>151</v>
      </c>
      <c r="X652" s="18" t="s">
        <v>152</v>
      </c>
      <c r="Y652" s="18">
        <v>1</v>
      </c>
      <c r="Z652" s="18">
        <v>90000</v>
      </c>
      <c r="AA652" s="18" t="s">
        <v>781</v>
      </c>
      <c r="AB652" s="18" t="s">
        <v>428</v>
      </c>
      <c r="AC652" s="18" t="s">
        <v>43</v>
      </c>
    </row>
    <row r="653" s="18" customFormat="1" spans="1:29">
      <c r="A653" s="18" t="s">
        <v>1795</v>
      </c>
      <c r="B653" s="25" t="s">
        <v>1795</v>
      </c>
      <c r="C653" s="26">
        <v>45682</v>
      </c>
      <c r="D653" s="18" t="s">
        <v>1796</v>
      </c>
      <c r="E653" s="18" t="str">
        <f t="shared" si="10"/>
        <v>Avalon Inc</v>
      </c>
      <c r="F653" s="27" t="s">
        <v>1797</v>
      </c>
      <c r="G653" s="18" t="s">
        <v>32</v>
      </c>
      <c r="H653" s="18" t="s">
        <v>33</v>
      </c>
      <c r="I653" s="18" t="s">
        <v>54</v>
      </c>
      <c r="J653" s="18" t="s">
        <v>310</v>
      </c>
      <c r="K653" s="18" t="s">
        <v>56</v>
      </c>
      <c r="L653" s="18" t="s">
        <v>36</v>
      </c>
      <c r="N653" s="18">
        <v>6</v>
      </c>
      <c r="O653" s="18" t="s">
        <v>88</v>
      </c>
      <c r="P653" s="18" t="s">
        <v>38</v>
      </c>
      <c r="Q653" s="18" t="s">
        <v>58</v>
      </c>
      <c r="R653" s="18" t="s">
        <v>59</v>
      </c>
      <c r="S653" s="18" t="s">
        <v>60</v>
      </c>
      <c r="T653" s="18" t="b">
        <v>1</v>
      </c>
      <c r="U653" s="18" t="s">
        <v>39</v>
      </c>
      <c r="V653" s="18" t="s">
        <v>40</v>
      </c>
      <c r="W653" s="18" t="s">
        <v>233</v>
      </c>
      <c r="X653" s="18" t="s">
        <v>234</v>
      </c>
      <c r="Y653" s="18">
        <v>1</v>
      </c>
      <c r="Z653" s="18">
        <v>270000</v>
      </c>
      <c r="AA653" s="18" t="s">
        <v>781</v>
      </c>
      <c r="AB653" s="18" t="s">
        <v>428</v>
      </c>
      <c r="AC653" s="18" t="s">
        <v>43</v>
      </c>
    </row>
    <row r="654" s="18" customFormat="1" spans="1:29">
      <c r="A654" s="18" t="s">
        <v>1798</v>
      </c>
      <c r="B654" s="25" t="s">
        <v>1798</v>
      </c>
      <c r="C654" s="26">
        <v>45682</v>
      </c>
      <c r="D654" s="18" t="s">
        <v>1429</v>
      </c>
      <c r="E654" s="18" t="str">
        <f t="shared" si="10"/>
        <v>A V Links</v>
      </c>
      <c r="F654" s="27" t="s">
        <v>1430</v>
      </c>
      <c r="G654" s="18" t="s">
        <v>32</v>
      </c>
      <c r="H654" s="18" t="s">
        <v>33</v>
      </c>
      <c r="I654" s="18" t="s">
        <v>54</v>
      </c>
      <c r="J654" s="18" t="s">
        <v>310</v>
      </c>
      <c r="K654" s="18" t="s">
        <v>56</v>
      </c>
      <c r="L654" s="18" t="s">
        <v>36</v>
      </c>
      <c r="N654" s="18">
        <v>6</v>
      </c>
      <c r="O654" s="18" t="s">
        <v>57</v>
      </c>
      <c r="P654" s="18" t="s">
        <v>38</v>
      </c>
      <c r="Q654" s="18" t="s">
        <v>58</v>
      </c>
      <c r="R654" s="18" t="s">
        <v>59</v>
      </c>
      <c r="S654" s="18" t="s">
        <v>60</v>
      </c>
      <c r="T654" s="18" t="b">
        <v>1</v>
      </c>
      <c r="U654" s="18" t="s">
        <v>39</v>
      </c>
      <c r="V654" s="18" t="s">
        <v>40</v>
      </c>
      <c r="W654" s="18" t="s">
        <v>317</v>
      </c>
      <c r="X654" s="18" t="s">
        <v>318</v>
      </c>
      <c r="Y654" s="18">
        <v>1</v>
      </c>
      <c r="Z654" s="18">
        <v>218289</v>
      </c>
      <c r="AA654" s="18" t="s">
        <v>1799</v>
      </c>
      <c r="AB654" s="18" t="s">
        <v>428</v>
      </c>
      <c r="AC654" s="18" t="s">
        <v>43</v>
      </c>
    </row>
    <row r="655" s="19" customFormat="1" spans="1:29">
      <c r="A655" s="19" t="s">
        <v>1800</v>
      </c>
      <c r="B655" s="28" t="s">
        <v>1800</v>
      </c>
      <c r="C655" s="29">
        <v>45682</v>
      </c>
      <c r="D655" s="19" t="s">
        <v>1133</v>
      </c>
      <c r="E655" s="19" t="str">
        <f t="shared" si="10"/>
        <v>Anurama V  </v>
      </c>
      <c r="F655" s="30" t="e">
        <v>#N/A</v>
      </c>
      <c r="G655" s="19" t="s">
        <v>32</v>
      </c>
      <c r="H655" s="19" t="s">
        <v>33</v>
      </c>
      <c r="I655" s="19" t="s">
        <v>34</v>
      </c>
      <c r="K655" s="19" t="s">
        <v>35</v>
      </c>
      <c r="L655" s="19" t="s">
        <v>36</v>
      </c>
      <c r="N655" s="19">
        <v>6</v>
      </c>
      <c r="O655" s="19" t="s">
        <v>93</v>
      </c>
      <c r="P655" s="19" t="s">
        <v>38</v>
      </c>
      <c r="T655" s="19" t="b">
        <v>1</v>
      </c>
      <c r="U655" s="19" t="s">
        <v>39</v>
      </c>
      <c r="V655" s="19" t="s">
        <v>40</v>
      </c>
      <c r="W655" s="19" t="s">
        <v>107</v>
      </c>
      <c r="X655" s="19" t="e">
        <v>#N/A</v>
      </c>
      <c r="Y655" s="19">
        <v>1</v>
      </c>
      <c r="Z655" s="19">
        <v>2000</v>
      </c>
      <c r="AA655" s="19" t="s">
        <v>334</v>
      </c>
      <c r="AB655" s="19" t="s">
        <v>335</v>
      </c>
      <c r="AC655" s="19" t="e">
        <v>#N/A</v>
      </c>
    </row>
    <row r="656" s="18" customFormat="1" spans="1:29">
      <c r="A656" s="18" t="s">
        <v>1801</v>
      </c>
      <c r="B656" s="25" t="s">
        <v>1801</v>
      </c>
      <c r="C656" s="26">
        <v>45682</v>
      </c>
      <c r="D656" s="18" t="s">
        <v>1133</v>
      </c>
      <c r="E656" s="18" t="str">
        <f t="shared" si="10"/>
        <v>Anurama V  </v>
      </c>
      <c r="F656" s="27" t="e">
        <v>#N/A</v>
      </c>
      <c r="G656" s="18" t="s">
        <v>32</v>
      </c>
      <c r="H656" s="18" t="s">
        <v>33</v>
      </c>
      <c r="I656" s="18" t="s">
        <v>34</v>
      </c>
      <c r="K656" s="18" t="s">
        <v>35</v>
      </c>
      <c r="L656" s="18" t="s">
        <v>36</v>
      </c>
      <c r="N656" s="18">
        <v>6</v>
      </c>
      <c r="O656" s="18" t="s">
        <v>93</v>
      </c>
      <c r="P656" s="18" t="s">
        <v>38</v>
      </c>
      <c r="T656" s="18" t="b">
        <v>1</v>
      </c>
      <c r="U656" s="18" t="s">
        <v>39</v>
      </c>
      <c r="V656" s="18" t="s">
        <v>40</v>
      </c>
      <c r="W656" s="18" t="s">
        <v>134</v>
      </c>
      <c r="X656" s="18" t="s">
        <v>135</v>
      </c>
      <c r="Y656" s="18">
        <v>1</v>
      </c>
      <c r="Z656" s="18">
        <v>6466</v>
      </c>
      <c r="AA656" s="18" t="s">
        <v>334</v>
      </c>
      <c r="AB656" s="18" t="s">
        <v>335</v>
      </c>
      <c r="AC656" s="18" t="e">
        <v>#N/A</v>
      </c>
    </row>
    <row r="657" s="18" customFormat="1" spans="1:29">
      <c r="A657" s="18" t="s">
        <v>1802</v>
      </c>
      <c r="B657" s="25" t="s">
        <v>1802</v>
      </c>
      <c r="C657" s="26">
        <v>45682</v>
      </c>
      <c r="D657" s="18" t="s">
        <v>472</v>
      </c>
      <c r="E657" s="18" t="e">
        <f t="shared" si="10"/>
        <v>#N/A</v>
      </c>
      <c r="F657" s="27" t="e">
        <v>#N/A</v>
      </c>
      <c r="G657" s="18" t="s">
        <v>147</v>
      </c>
      <c r="H657" s="18" t="s">
        <v>148</v>
      </c>
      <c r="I657" s="18" t="s">
        <v>159</v>
      </c>
      <c r="K657" s="18" t="s">
        <v>35</v>
      </c>
      <c r="L657" s="18" t="s">
        <v>36</v>
      </c>
      <c r="N657" s="18">
        <v>6</v>
      </c>
      <c r="P657" s="18" t="s">
        <v>38</v>
      </c>
      <c r="T657" s="18" t="b">
        <v>1</v>
      </c>
      <c r="U657" s="18" t="s">
        <v>150</v>
      </c>
      <c r="V657" s="18" t="s">
        <v>40</v>
      </c>
      <c r="W657" s="18" t="e">
        <v>#N/A</v>
      </c>
      <c r="X657" s="18" t="e">
        <v>#N/A</v>
      </c>
      <c r="Y657" s="18" t="e">
        <v>#N/A</v>
      </c>
      <c r="Z657" s="18" t="e">
        <v>#N/A</v>
      </c>
      <c r="AC657" s="18" t="e">
        <v>#N/A</v>
      </c>
    </row>
    <row r="658" s="18" customFormat="1" spans="1:29">
      <c r="A658" s="18" t="s">
        <v>1803</v>
      </c>
      <c r="B658" s="25" t="s">
        <v>1803</v>
      </c>
      <c r="C658" s="26">
        <v>45682</v>
      </c>
      <c r="D658" s="18" t="s">
        <v>853</v>
      </c>
      <c r="E658" s="18" t="str">
        <f t="shared" si="10"/>
        <v>Ngenius Brand Interaction Pvt Ltd</v>
      </c>
      <c r="F658" s="27" t="s">
        <v>854</v>
      </c>
      <c r="G658" s="18" t="s">
        <v>147</v>
      </c>
      <c r="H658" s="18" t="s">
        <v>148</v>
      </c>
      <c r="I658" s="18" t="s">
        <v>159</v>
      </c>
      <c r="J658" s="18" t="s">
        <v>1804</v>
      </c>
      <c r="K658" s="18" t="s">
        <v>56</v>
      </c>
      <c r="L658" s="18" t="s">
        <v>36</v>
      </c>
      <c r="N658" s="18">
        <v>6</v>
      </c>
      <c r="O658" s="18" t="s">
        <v>88</v>
      </c>
      <c r="P658" s="18" t="s">
        <v>38</v>
      </c>
      <c r="T658" s="18" t="b">
        <v>1</v>
      </c>
      <c r="U658" s="18" t="s">
        <v>150</v>
      </c>
      <c r="V658" s="18" t="s">
        <v>40</v>
      </c>
      <c r="W658" s="18" t="s">
        <v>317</v>
      </c>
      <c r="X658" s="18" t="s">
        <v>318</v>
      </c>
      <c r="Y658" s="18">
        <v>1</v>
      </c>
      <c r="Z658" s="18">
        <v>550000</v>
      </c>
      <c r="AA658" s="18" t="s">
        <v>843</v>
      </c>
      <c r="AB658" s="18" t="s">
        <v>844</v>
      </c>
      <c r="AC658" s="18" t="s">
        <v>163</v>
      </c>
    </row>
    <row r="659" s="18" customFormat="1" spans="1:29">
      <c r="A659" s="18" t="s">
        <v>1805</v>
      </c>
      <c r="B659" s="25" t="s">
        <v>1805</v>
      </c>
      <c r="C659" s="26">
        <v>45682</v>
      </c>
      <c r="D659" s="18" t="s">
        <v>1462</v>
      </c>
      <c r="E659" s="18" t="str">
        <f t="shared" si="10"/>
        <v>99 Online</v>
      </c>
      <c r="F659" s="27" t="s">
        <v>1463</v>
      </c>
      <c r="G659" s="18" t="s">
        <v>147</v>
      </c>
      <c r="H659" s="18" t="s">
        <v>148</v>
      </c>
      <c r="I659" s="18" t="s">
        <v>54</v>
      </c>
      <c r="J659" s="18" t="s">
        <v>1180</v>
      </c>
      <c r="K659" s="18" t="s">
        <v>56</v>
      </c>
      <c r="L659" s="18" t="s">
        <v>36</v>
      </c>
      <c r="N659" s="18">
        <v>6</v>
      </c>
      <c r="O659" s="18" t="s">
        <v>88</v>
      </c>
      <c r="P659" s="18" t="s">
        <v>38</v>
      </c>
      <c r="Q659" s="18" t="s">
        <v>58</v>
      </c>
      <c r="R659" s="18" t="s">
        <v>59</v>
      </c>
      <c r="S659" s="18" t="s">
        <v>60</v>
      </c>
      <c r="T659" s="18" t="b">
        <v>1</v>
      </c>
      <c r="U659" s="18" t="s">
        <v>150</v>
      </c>
      <c r="V659" s="18" t="s">
        <v>40</v>
      </c>
      <c r="W659" s="18" t="s">
        <v>371</v>
      </c>
      <c r="X659" s="18" t="s">
        <v>372</v>
      </c>
      <c r="Y659" s="18">
        <v>1</v>
      </c>
      <c r="Z659" s="18">
        <v>100000</v>
      </c>
      <c r="AA659" s="18" t="s">
        <v>1181</v>
      </c>
      <c r="AB659" s="18" t="s">
        <v>1182</v>
      </c>
      <c r="AC659" s="18" t="s">
        <v>163</v>
      </c>
    </row>
    <row r="660" s="18" customFormat="1" spans="1:29">
      <c r="A660" s="18" t="s">
        <v>1806</v>
      </c>
      <c r="B660" s="25" t="s">
        <v>1806</v>
      </c>
      <c r="C660" s="26">
        <v>45682</v>
      </c>
      <c r="D660" s="18" t="s">
        <v>1807</v>
      </c>
      <c r="E660" s="18" t="str">
        <f t="shared" si="10"/>
        <v>Travelnama</v>
      </c>
      <c r="F660" s="27" t="e">
        <v>#N/A</v>
      </c>
      <c r="G660" s="18" t="s">
        <v>147</v>
      </c>
      <c r="H660" s="18" t="s">
        <v>148</v>
      </c>
      <c r="I660" s="18" t="s">
        <v>159</v>
      </c>
      <c r="J660" s="18" t="s">
        <v>249</v>
      </c>
      <c r="K660" s="18" t="s">
        <v>56</v>
      </c>
      <c r="L660" s="18" t="s">
        <v>36</v>
      </c>
      <c r="N660" s="18">
        <v>6</v>
      </c>
      <c r="O660" s="18" t="s">
        <v>88</v>
      </c>
      <c r="P660" s="18" t="s">
        <v>38</v>
      </c>
      <c r="Q660" s="18" t="s">
        <v>58</v>
      </c>
      <c r="R660" s="18" t="s">
        <v>59</v>
      </c>
      <c r="S660" s="18" t="s">
        <v>60</v>
      </c>
      <c r="T660" s="18" t="b">
        <v>1</v>
      </c>
      <c r="U660" s="18" t="s">
        <v>150</v>
      </c>
      <c r="V660" s="18" t="s">
        <v>40</v>
      </c>
      <c r="W660" s="18" t="s">
        <v>1808</v>
      </c>
      <c r="X660" s="18" t="s">
        <v>735</v>
      </c>
      <c r="Y660" s="18">
        <v>1</v>
      </c>
      <c r="Z660" s="18">
        <v>10400</v>
      </c>
      <c r="AA660" s="18" t="s">
        <v>1809</v>
      </c>
      <c r="AB660" s="18" t="s">
        <v>143</v>
      </c>
      <c r="AC660" s="18" t="s">
        <v>155</v>
      </c>
    </row>
    <row r="661" s="18" customFormat="1" ht="29" spans="1:29">
      <c r="A661" s="18" t="s">
        <v>1810</v>
      </c>
      <c r="B661" s="25" t="s">
        <v>1810</v>
      </c>
      <c r="C661" s="26">
        <v>45682</v>
      </c>
      <c r="D661" s="18" t="s">
        <v>1811</v>
      </c>
      <c r="E661" s="18" t="str">
        <f t="shared" si="10"/>
        <v>Fabrile Productions</v>
      </c>
      <c r="F661" s="27" t="s">
        <v>1812</v>
      </c>
      <c r="G661" s="18" t="s">
        <v>182</v>
      </c>
      <c r="H661" s="18" t="s">
        <v>183</v>
      </c>
      <c r="I661" s="18" t="s">
        <v>184</v>
      </c>
      <c r="J661" s="18" t="s">
        <v>1491</v>
      </c>
      <c r="K661" s="18" t="s">
        <v>56</v>
      </c>
      <c r="L661" s="18" t="s">
        <v>36</v>
      </c>
      <c r="N661" s="18">
        <v>6</v>
      </c>
      <c r="O661" s="18" t="s">
        <v>88</v>
      </c>
      <c r="P661" s="18" t="s">
        <v>38</v>
      </c>
      <c r="Q661" s="18" t="s">
        <v>194</v>
      </c>
      <c r="R661" s="18" t="s">
        <v>59</v>
      </c>
      <c r="S661" s="18" t="s">
        <v>195</v>
      </c>
      <c r="T661" s="18" t="b">
        <v>0</v>
      </c>
      <c r="U661" s="18" t="s">
        <v>187</v>
      </c>
      <c r="V661" s="18" t="s">
        <v>40</v>
      </c>
      <c r="W661" s="18" t="s">
        <v>151</v>
      </c>
      <c r="X661" s="18" t="s">
        <v>152</v>
      </c>
      <c r="Y661" s="18">
        <v>1</v>
      </c>
      <c r="Z661" s="18">
        <v>100000</v>
      </c>
      <c r="AA661" s="31" t="s">
        <v>1227</v>
      </c>
      <c r="AB661" s="18" t="s">
        <v>1228</v>
      </c>
      <c r="AC661" s="18" t="s">
        <v>200</v>
      </c>
    </row>
    <row r="662" s="18" customFormat="1" ht="29" spans="1:29">
      <c r="A662" s="18" t="s">
        <v>1813</v>
      </c>
      <c r="B662" s="25" t="s">
        <v>1813</v>
      </c>
      <c r="C662" s="26">
        <v>45682</v>
      </c>
      <c r="D662" s="18" t="s">
        <v>1225</v>
      </c>
      <c r="E662" s="18" t="str">
        <f t="shared" si="10"/>
        <v>Pyramid Production</v>
      </c>
      <c r="F662" s="27" t="s">
        <v>1226</v>
      </c>
      <c r="G662" s="18" t="s">
        <v>182</v>
      </c>
      <c r="H662" s="18" t="s">
        <v>183</v>
      </c>
      <c r="I662" s="18" t="s">
        <v>184</v>
      </c>
      <c r="J662" s="18" t="s">
        <v>1491</v>
      </c>
      <c r="K662" s="18" t="s">
        <v>56</v>
      </c>
      <c r="L662" s="18" t="s">
        <v>36</v>
      </c>
      <c r="N662" s="18">
        <v>6</v>
      </c>
      <c r="O662" s="18" t="s">
        <v>88</v>
      </c>
      <c r="P662" s="18" t="s">
        <v>38</v>
      </c>
      <c r="Q662" s="18" t="s">
        <v>194</v>
      </c>
      <c r="R662" s="18" t="s">
        <v>59</v>
      </c>
      <c r="S662" s="18" t="s">
        <v>195</v>
      </c>
      <c r="T662" s="18" t="b">
        <v>0</v>
      </c>
      <c r="U662" s="18" t="s">
        <v>187</v>
      </c>
      <c r="V662" s="18" t="s">
        <v>40</v>
      </c>
      <c r="W662" s="18" t="s">
        <v>151</v>
      </c>
      <c r="X662" s="18" t="s">
        <v>152</v>
      </c>
      <c r="Y662" s="18">
        <v>1</v>
      </c>
      <c r="Z662" s="18">
        <v>750000</v>
      </c>
      <c r="AA662" s="31" t="s">
        <v>1227</v>
      </c>
      <c r="AB662" s="18" t="s">
        <v>1228</v>
      </c>
      <c r="AC662" s="18" t="s">
        <v>200</v>
      </c>
    </row>
    <row r="663" s="18" customFormat="1" ht="29" spans="1:29">
      <c r="A663" s="18" t="s">
        <v>1814</v>
      </c>
      <c r="B663" s="25" t="s">
        <v>1814</v>
      </c>
      <c r="C663" s="26">
        <v>45682</v>
      </c>
      <c r="D663" s="18" t="s">
        <v>1230</v>
      </c>
      <c r="E663" s="18" t="str">
        <f t="shared" si="10"/>
        <v>Digicraft</v>
      </c>
      <c r="F663" s="27" t="e">
        <v>#N/A</v>
      </c>
      <c r="G663" s="18" t="s">
        <v>182</v>
      </c>
      <c r="H663" s="18" t="s">
        <v>183</v>
      </c>
      <c r="I663" s="18" t="s">
        <v>184</v>
      </c>
      <c r="J663" s="18" t="s">
        <v>1491</v>
      </c>
      <c r="K663" s="18" t="s">
        <v>56</v>
      </c>
      <c r="L663" s="18" t="s">
        <v>36</v>
      </c>
      <c r="N663" s="18">
        <v>6</v>
      </c>
      <c r="O663" s="18" t="s">
        <v>88</v>
      </c>
      <c r="P663" s="18" t="s">
        <v>38</v>
      </c>
      <c r="Q663" s="18" t="s">
        <v>194</v>
      </c>
      <c r="R663" s="18" t="s">
        <v>59</v>
      </c>
      <c r="S663" s="18" t="s">
        <v>195</v>
      </c>
      <c r="T663" s="18" t="b">
        <v>0</v>
      </c>
      <c r="U663" s="18" t="s">
        <v>187</v>
      </c>
      <c r="V663" s="18" t="s">
        <v>40</v>
      </c>
      <c r="W663" s="18" t="s">
        <v>196</v>
      </c>
      <c r="X663" s="18" t="s">
        <v>197</v>
      </c>
      <c r="Y663" s="18">
        <v>1</v>
      </c>
      <c r="Z663" s="18">
        <v>185311</v>
      </c>
      <c r="AA663" s="31" t="s">
        <v>1227</v>
      </c>
      <c r="AB663" s="18" t="s">
        <v>1228</v>
      </c>
      <c r="AC663" s="18" t="s">
        <v>200</v>
      </c>
    </row>
    <row r="664" s="18" customFormat="1" ht="29" spans="1:29">
      <c r="A664" s="18" t="s">
        <v>1815</v>
      </c>
      <c r="B664" s="25" t="s">
        <v>1815</v>
      </c>
      <c r="C664" s="26">
        <v>45682</v>
      </c>
      <c r="D664" s="18" t="s">
        <v>1816</v>
      </c>
      <c r="E664" s="18" t="str">
        <f t="shared" si="10"/>
        <v>Soni Enterprise</v>
      </c>
      <c r="F664" s="27" t="s">
        <v>1817</v>
      </c>
      <c r="G664" s="18" t="s">
        <v>182</v>
      </c>
      <c r="H664" s="18" t="s">
        <v>183</v>
      </c>
      <c r="I664" s="18" t="s">
        <v>184</v>
      </c>
      <c r="J664" s="18" t="s">
        <v>1491</v>
      </c>
      <c r="K664" s="18" t="s">
        <v>56</v>
      </c>
      <c r="L664" s="18" t="s">
        <v>36</v>
      </c>
      <c r="N664" s="18">
        <v>6</v>
      </c>
      <c r="O664" s="18" t="s">
        <v>88</v>
      </c>
      <c r="P664" s="18" t="s">
        <v>38</v>
      </c>
      <c r="Q664" s="18" t="s">
        <v>194</v>
      </c>
      <c r="R664" s="18" t="s">
        <v>59</v>
      </c>
      <c r="S664" s="18" t="s">
        <v>195</v>
      </c>
      <c r="T664" s="18" t="b">
        <v>0</v>
      </c>
      <c r="U664" s="18" t="s">
        <v>187</v>
      </c>
      <c r="V664" s="18" t="s">
        <v>40</v>
      </c>
      <c r="W664" s="18" t="s">
        <v>151</v>
      </c>
      <c r="X664" s="18" t="s">
        <v>152</v>
      </c>
      <c r="Y664" s="18">
        <v>1</v>
      </c>
      <c r="Z664" s="18">
        <v>42000</v>
      </c>
      <c r="AA664" s="31" t="s">
        <v>1227</v>
      </c>
      <c r="AB664" s="18" t="s">
        <v>1228</v>
      </c>
      <c r="AC664" s="18" t="s">
        <v>200</v>
      </c>
    </row>
    <row r="665" s="18" customFormat="1" spans="1:29">
      <c r="A665" s="18" t="s">
        <v>1818</v>
      </c>
      <c r="B665" s="25" t="s">
        <v>1818</v>
      </c>
      <c r="C665" s="26">
        <v>45682</v>
      </c>
      <c r="D665" s="18" t="s">
        <v>1050</v>
      </c>
      <c r="E665" s="18" t="str">
        <f t="shared" si="10"/>
        <v>Nitin Kamble  </v>
      </c>
      <c r="F665" s="27" t="e">
        <v>#N/A</v>
      </c>
      <c r="G665" s="18" t="s">
        <v>182</v>
      </c>
      <c r="H665" s="18" t="s">
        <v>183</v>
      </c>
      <c r="I665" s="18" t="s">
        <v>481</v>
      </c>
      <c r="J665" s="18" t="s">
        <v>115</v>
      </c>
      <c r="K665" s="18" t="s">
        <v>56</v>
      </c>
      <c r="L665" s="18" t="s">
        <v>36</v>
      </c>
      <c r="N665" s="18">
        <v>6</v>
      </c>
      <c r="O665" s="18" t="s">
        <v>93</v>
      </c>
      <c r="P665" s="18" t="s">
        <v>38</v>
      </c>
      <c r="Q665" s="18" t="s">
        <v>117</v>
      </c>
      <c r="R665" s="18" t="s">
        <v>59</v>
      </c>
      <c r="S665" s="18" t="s">
        <v>118</v>
      </c>
      <c r="T665" s="18" t="b">
        <v>0</v>
      </c>
      <c r="U665" s="18" t="s">
        <v>187</v>
      </c>
      <c r="V665" s="18" t="s">
        <v>40</v>
      </c>
      <c r="W665" s="18" t="s">
        <v>126</v>
      </c>
      <c r="X665" s="18" t="s">
        <v>127</v>
      </c>
      <c r="Y665" s="18">
        <v>1</v>
      </c>
      <c r="Z665" s="18">
        <v>1010</v>
      </c>
      <c r="AC665" s="18" t="e">
        <v>#N/A</v>
      </c>
    </row>
    <row r="666" s="18" customFormat="1" spans="1:29">
      <c r="A666" s="18" t="s">
        <v>1819</v>
      </c>
      <c r="B666" s="25" t="s">
        <v>1819</v>
      </c>
      <c r="C666" s="26">
        <v>45682</v>
      </c>
      <c r="D666" s="18" t="s">
        <v>860</v>
      </c>
      <c r="E666" s="18" t="str">
        <f t="shared" si="10"/>
        <v>Mahendra Mane </v>
      </c>
      <c r="F666" s="27" t="e">
        <v>#N/A</v>
      </c>
      <c r="G666" s="18" t="s">
        <v>182</v>
      </c>
      <c r="H666" s="18" t="s">
        <v>183</v>
      </c>
      <c r="I666" s="18" t="s">
        <v>481</v>
      </c>
      <c r="J666" s="18" t="s">
        <v>1491</v>
      </c>
      <c r="K666" s="18" t="s">
        <v>56</v>
      </c>
      <c r="L666" s="18" t="s">
        <v>36</v>
      </c>
      <c r="N666" s="18">
        <v>6</v>
      </c>
      <c r="O666" s="18" t="s">
        <v>93</v>
      </c>
      <c r="P666" s="18" t="s">
        <v>38</v>
      </c>
      <c r="Q666" s="18" t="s">
        <v>194</v>
      </c>
      <c r="R666" s="18" t="s">
        <v>59</v>
      </c>
      <c r="S666" s="18" t="s">
        <v>195</v>
      </c>
      <c r="T666" s="18" t="b">
        <v>0</v>
      </c>
      <c r="U666" s="18" t="s">
        <v>187</v>
      </c>
      <c r="V666" s="18" t="s">
        <v>40</v>
      </c>
      <c r="W666" s="18" t="s">
        <v>126</v>
      </c>
      <c r="X666" s="18" t="s">
        <v>127</v>
      </c>
      <c r="Y666" s="18">
        <v>1</v>
      </c>
      <c r="Z666" s="18">
        <v>1840</v>
      </c>
      <c r="AC666" s="18" t="e">
        <v>#N/A</v>
      </c>
    </row>
    <row r="667" s="18" customFormat="1" ht="29" spans="1:29">
      <c r="A667" s="18" t="s">
        <v>1820</v>
      </c>
      <c r="B667" s="25" t="s">
        <v>1820</v>
      </c>
      <c r="C667" s="26">
        <v>45682</v>
      </c>
      <c r="D667" s="18" t="s">
        <v>1821</v>
      </c>
      <c r="E667" s="18" t="str">
        <f t="shared" si="10"/>
        <v>The Infinite Impressions</v>
      </c>
      <c r="F667" s="27" t="s">
        <v>1822</v>
      </c>
      <c r="G667" s="18" t="s">
        <v>182</v>
      </c>
      <c r="H667" s="18" t="s">
        <v>183</v>
      </c>
      <c r="I667" s="18" t="s">
        <v>184</v>
      </c>
      <c r="J667" s="18" t="s">
        <v>1491</v>
      </c>
      <c r="K667" s="18" t="s">
        <v>56</v>
      </c>
      <c r="L667" s="18" t="s">
        <v>36</v>
      </c>
      <c r="N667" s="18">
        <v>6</v>
      </c>
      <c r="O667" s="18" t="s">
        <v>57</v>
      </c>
      <c r="P667" s="18" t="s">
        <v>38</v>
      </c>
      <c r="Q667" s="18" t="s">
        <v>194</v>
      </c>
      <c r="R667" s="18" t="s">
        <v>59</v>
      </c>
      <c r="S667" s="18" t="s">
        <v>195</v>
      </c>
      <c r="T667" s="18" t="b">
        <v>0</v>
      </c>
      <c r="U667" s="18" t="s">
        <v>187</v>
      </c>
      <c r="V667" s="18" t="s">
        <v>40</v>
      </c>
      <c r="W667" s="18" t="s">
        <v>317</v>
      </c>
      <c r="X667" s="18" t="s">
        <v>318</v>
      </c>
      <c r="Y667" s="18">
        <v>1</v>
      </c>
      <c r="Z667" s="18">
        <v>163200</v>
      </c>
      <c r="AA667" s="31" t="s">
        <v>1227</v>
      </c>
      <c r="AB667" s="18" t="s">
        <v>1228</v>
      </c>
      <c r="AC667" s="18" t="s">
        <v>200</v>
      </c>
    </row>
    <row r="668" s="18" customFormat="1" spans="1:29">
      <c r="A668" s="18" t="s">
        <v>1823</v>
      </c>
      <c r="B668" s="25" t="s">
        <v>1823</v>
      </c>
      <c r="C668" s="26">
        <v>45683</v>
      </c>
      <c r="D668" s="18" t="s">
        <v>1139</v>
      </c>
      <c r="E668" s="18" t="str">
        <f t="shared" si="10"/>
        <v>Farhan Shariff  </v>
      </c>
      <c r="F668" s="27" t="e">
        <v>#N/A</v>
      </c>
      <c r="G668" s="18" t="s">
        <v>32</v>
      </c>
      <c r="H668" s="18" t="s">
        <v>33</v>
      </c>
      <c r="I668" s="18" t="s">
        <v>34</v>
      </c>
      <c r="J668" s="18" t="s">
        <v>316</v>
      </c>
      <c r="K668" s="18" t="s">
        <v>56</v>
      </c>
      <c r="L668" s="18" t="s">
        <v>36</v>
      </c>
      <c r="N668" s="18">
        <v>6</v>
      </c>
      <c r="O668" s="18" t="s">
        <v>93</v>
      </c>
      <c r="P668" s="18" t="s">
        <v>38</v>
      </c>
      <c r="Q668" s="18" t="s">
        <v>117</v>
      </c>
      <c r="R668" s="18" t="s">
        <v>59</v>
      </c>
      <c r="S668" s="18" t="s">
        <v>118</v>
      </c>
      <c r="T668" s="18" t="b">
        <v>1</v>
      </c>
      <c r="U668" s="18" t="s">
        <v>39</v>
      </c>
      <c r="V668" s="18" t="s">
        <v>40</v>
      </c>
      <c r="W668" s="18" t="s">
        <v>508</v>
      </c>
      <c r="X668" s="18" t="s">
        <v>509</v>
      </c>
      <c r="Y668" s="18">
        <v>1</v>
      </c>
      <c r="Z668" s="18">
        <v>8656</v>
      </c>
      <c r="AA668" s="18" t="s">
        <v>128</v>
      </c>
      <c r="AB668" s="18" t="s">
        <v>129</v>
      </c>
      <c r="AC668" s="18" t="e">
        <v>#N/A</v>
      </c>
    </row>
    <row r="669" s="18" customFormat="1" spans="1:29">
      <c r="A669" s="18" t="s">
        <v>1824</v>
      </c>
      <c r="B669" s="25" t="s">
        <v>1824</v>
      </c>
      <c r="C669" s="26">
        <v>45683</v>
      </c>
      <c r="D669" s="18" t="s">
        <v>1825</v>
      </c>
      <c r="E669" s="18" t="str">
        <f t="shared" si="10"/>
        <v>Nandini Nair </v>
      </c>
      <c r="F669" s="27" t="e">
        <v>#N/A</v>
      </c>
      <c r="G669" s="18" t="s">
        <v>32</v>
      </c>
      <c r="H669" s="18" t="s">
        <v>33</v>
      </c>
      <c r="I669" s="18" t="s">
        <v>34</v>
      </c>
      <c r="J669" s="18" t="s">
        <v>831</v>
      </c>
      <c r="K669" s="18" t="s">
        <v>56</v>
      </c>
      <c r="L669" s="18" t="s">
        <v>36</v>
      </c>
      <c r="N669" s="18">
        <v>6</v>
      </c>
      <c r="O669" s="18" t="s">
        <v>93</v>
      </c>
      <c r="P669" s="18" t="s">
        <v>38</v>
      </c>
      <c r="Q669" s="18" t="s">
        <v>117</v>
      </c>
      <c r="R669" s="18" t="s">
        <v>59</v>
      </c>
      <c r="S669" s="18" t="s">
        <v>118</v>
      </c>
      <c r="T669" s="18" t="b">
        <v>1</v>
      </c>
      <c r="U669" s="18" t="s">
        <v>39</v>
      </c>
      <c r="V669" s="18" t="s">
        <v>40</v>
      </c>
      <c r="W669" s="18" t="s">
        <v>126</v>
      </c>
      <c r="X669" s="18" t="s">
        <v>127</v>
      </c>
      <c r="Y669" s="18">
        <v>1</v>
      </c>
      <c r="Z669" s="18">
        <v>2162</v>
      </c>
      <c r="AA669" s="18" t="s">
        <v>128</v>
      </c>
      <c r="AB669" s="18" t="s">
        <v>129</v>
      </c>
      <c r="AC669" s="18" t="e">
        <v>#N/A</v>
      </c>
    </row>
    <row r="670" s="18" customFormat="1" spans="1:29">
      <c r="A670" s="18" t="s">
        <v>1826</v>
      </c>
      <c r="B670" s="25" t="s">
        <v>1826</v>
      </c>
      <c r="C670" s="26">
        <v>45683</v>
      </c>
      <c r="D670" s="18" t="s">
        <v>498</v>
      </c>
      <c r="E670" s="18" t="str">
        <f t="shared" si="10"/>
        <v>Lyra Entertainment And Media</v>
      </c>
      <c r="F670" s="27" t="e">
        <v>#N/A</v>
      </c>
      <c r="G670" s="18" t="s">
        <v>32</v>
      </c>
      <c r="H670" s="18" t="s">
        <v>33</v>
      </c>
      <c r="I670" s="18" t="s">
        <v>34</v>
      </c>
      <c r="J670" s="18" t="s">
        <v>499</v>
      </c>
      <c r="K670" s="18" t="s">
        <v>56</v>
      </c>
      <c r="L670" s="18" t="s">
        <v>36</v>
      </c>
      <c r="N670" s="18">
        <v>6</v>
      </c>
      <c r="O670" s="18" t="s">
        <v>88</v>
      </c>
      <c r="P670" s="18" t="s">
        <v>38</v>
      </c>
      <c r="Q670" s="18" t="s">
        <v>117</v>
      </c>
      <c r="R670" s="18" t="s">
        <v>59</v>
      </c>
      <c r="S670" s="18" t="s">
        <v>186</v>
      </c>
      <c r="T670" s="18" t="b">
        <v>1</v>
      </c>
      <c r="U670" s="18" t="s">
        <v>39</v>
      </c>
      <c r="V670" s="18" t="s">
        <v>40</v>
      </c>
      <c r="W670" s="18" t="s">
        <v>317</v>
      </c>
      <c r="X670" s="18" t="s">
        <v>318</v>
      </c>
      <c r="Y670" s="18">
        <v>1</v>
      </c>
      <c r="Z670" s="18">
        <v>520000</v>
      </c>
      <c r="AA670" s="18" t="s">
        <v>1827</v>
      </c>
      <c r="AB670" s="18" t="s">
        <v>339</v>
      </c>
      <c r="AC670" s="18" t="s">
        <v>43</v>
      </c>
    </row>
    <row r="671" s="19" customFormat="1" spans="1:29">
      <c r="A671" s="19" t="s">
        <v>1828</v>
      </c>
      <c r="B671" s="28" t="s">
        <v>1828</v>
      </c>
      <c r="C671" s="29">
        <v>45683</v>
      </c>
      <c r="D671" s="19" t="s">
        <v>331</v>
      </c>
      <c r="E671" s="19" t="str">
        <f t="shared" si="10"/>
        <v>Clinton J  for Expense</v>
      </c>
      <c r="F671" s="30" t="e">
        <v>#N/A</v>
      </c>
      <c r="G671" s="19" t="s">
        <v>99</v>
      </c>
      <c r="H671" s="19" t="s">
        <v>100</v>
      </c>
      <c r="I671" s="19" t="s">
        <v>34</v>
      </c>
      <c r="K671" s="19" t="s">
        <v>35</v>
      </c>
      <c r="L671" s="19" t="s">
        <v>36</v>
      </c>
      <c r="N671" s="19">
        <v>6</v>
      </c>
      <c r="O671" s="19" t="s">
        <v>93</v>
      </c>
      <c r="P671" s="19" t="s">
        <v>38</v>
      </c>
      <c r="T671" s="19" t="b">
        <v>1</v>
      </c>
      <c r="U671" s="19" t="s">
        <v>101</v>
      </c>
      <c r="V671" s="19" t="s">
        <v>40</v>
      </c>
      <c r="W671" s="19" t="s">
        <v>107</v>
      </c>
      <c r="X671" s="19" t="e">
        <v>#N/A</v>
      </c>
      <c r="Y671" s="19">
        <v>1</v>
      </c>
      <c r="Z671" s="19">
        <v>1360</v>
      </c>
      <c r="AA671" s="19" t="s">
        <v>334</v>
      </c>
      <c r="AB671" s="19" t="s">
        <v>335</v>
      </c>
      <c r="AC671" s="19" t="e">
        <v>#N/A</v>
      </c>
    </row>
    <row r="672" s="18" customFormat="1" spans="1:29">
      <c r="A672" s="18" t="s">
        <v>1829</v>
      </c>
      <c r="B672" s="25" t="s">
        <v>1829</v>
      </c>
      <c r="C672" s="26">
        <v>45683</v>
      </c>
      <c r="D672" s="18" t="s">
        <v>331</v>
      </c>
      <c r="E672" s="18" t="str">
        <f t="shared" si="10"/>
        <v>Clinton J  for Expense</v>
      </c>
      <c r="F672" s="27" t="e">
        <v>#N/A</v>
      </c>
      <c r="G672" s="18" t="s">
        <v>99</v>
      </c>
      <c r="H672" s="18" t="s">
        <v>100</v>
      </c>
      <c r="I672" s="18" t="s">
        <v>34</v>
      </c>
      <c r="J672" s="18" t="s">
        <v>1006</v>
      </c>
      <c r="K672" s="18" t="s">
        <v>56</v>
      </c>
      <c r="L672" s="18" t="s">
        <v>36</v>
      </c>
      <c r="N672" s="18">
        <v>6</v>
      </c>
      <c r="O672" s="18" t="s">
        <v>93</v>
      </c>
      <c r="P672" s="18" t="s">
        <v>38</v>
      </c>
      <c r="Q672" s="18" t="s">
        <v>117</v>
      </c>
      <c r="R672" s="18" t="s">
        <v>59</v>
      </c>
      <c r="S672" s="18" t="s">
        <v>186</v>
      </c>
      <c r="T672" s="18" t="b">
        <v>1</v>
      </c>
      <c r="U672" s="18" t="s">
        <v>101</v>
      </c>
      <c r="V672" s="18" t="s">
        <v>40</v>
      </c>
      <c r="W672" s="18" t="s">
        <v>412</v>
      </c>
      <c r="X672" s="18" t="s">
        <v>413</v>
      </c>
      <c r="Y672" s="18">
        <v>1</v>
      </c>
      <c r="Z672" s="18">
        <v>14932</v>
      </c>
      <c r="AA672" s="18" t="s">
        <v>102</v>
      </c>
      <c r="AB672" s="18" t="s">
        <v>103</v>
      </c>
      <c r="AC672" s="18" t="e">
        <v>#N/A</v>
      </c>
    </row>
    <row r="673" s="18" customFormat="1" spans="1:29">
      <c r="A673" s="18" t="s">
        <v>1830</v>
      </c>
      <c r="B673" s="25" t="s">
        <v>1830</v>
      </c>
      <c r="C673" s="26">
        <v>45683</v>
      </c>
      <c r="D673" s="18" t="s">
        <v>1585</v>
      </c>
      <c r="E673" s="18" t="str">
        <f t="shared" si="10"/>
        <v>Praveen Raj Adv for Expenses</v>
      </c>
      <c r="F673" s="27" t="e">
        <v>#N/A</v>
      </c>
      <c r="G673" s="18" t="s">
        <v>99</v>
      </c>
      <c r="H673" s="18" t="s">
        <v>100</v>
      </c>
      <c r="I673" s="18" t="s">
        <v>34</v>
      </c>
      <c r="J673" s="18" t="s">
        <v>499</v>
      </c>
      <c r="K673" s="18" t="s">
        <v>56</v>
      </c>
      <c r="L673" s="18" t="s">
        <v>36</v>
      </c>
      <c r="N673" s="18">
        <v>6</v>
      </c>
      <c r="O673" s="18" t="s">
        <v>93</v>
      </c>
      <c r="P673" s="18" t="s">
        <v>38</v>
      </c>
      <c r="Q673" s="18" t="s">
        <v>117</v>
      </c>
      <c r="R673" s="18" t="s">
        <v>59</v>
      </c>
      <c r="S673" s="18" t="s">
        <v>186</v>
      </c>
      <c r="T673" s="18" t="b">
        <v>1</v>
      </c>
      <c r="U673" s="18" t="s">
        <v>101</v>
      </c>
      <c r="V673" s="18" t="s">
        <v>40</v>
      </c>
      <c r="W673" s="18" t="s">
        <v>508</v>
      </c>
      <c r="X673" s="18" t="s">
        <v>509</v>
      </c>
      <c r="Y673" s="18">
        <v>1</v>
      </c>
      <c r="Z673" s="18">
        <v>4375.47</v>
      </c>
      <c r="AA673" s="18" t="s">
        <v>102</v>
      </c>
      <c r="AB673" s="18" t="s">
        <v>103</v>
      </c>
      <c r="AC673" s="18" t="e">
        <v>#N/A</v>
      </c>
    </row>
    <row r="674" s="18" customFormat="1" spans="1:29">
      <c r="A674" s="18" t="s">
        <v>1831</v>
      </c>
      <c r="B674" s="25" t="s">
        <v>1831</v>
      </c>
      <c r="C674" s="26">
        <v>45683</v>
      </c>
      <c r="D674" s="18" t="s">
        <v>1832</v>
      </c>
      <c r="E674" s="18" t="str">
        <f t="shared" si="10"/>
        <v>Ashwath TV  for Expense</v>
      </c>
      <c r="F674" s="27" t="e">
        <v>#N/A</v>
      </c>
      <c r="G674" s="18" t="s">
        <v>99</v>
      </c>
      <c r="H674" s="18" t="s">
        <v>100</v>
      </c>
      <c r="I674" s="18" t="s">
        <v>34</v>
      </c>
      <c r="J674" s="18" t="s">
        <v>499</v>
      </c>
      <c r="K674" s="18" t="s">
        <v>56</v>
      </c>
      <c r="L674" s="18" t="s">
        <v>36</v>
      </c>
      <c r="N674" s="18">
        <v>6</v>
      </c>
      <c r="O674" s="18" t="s">
        <v>93</v>
      </c>
      <c r="P674" s="18" t="s">
        <v>38</v>
      </c>
      <c r="Q674" s="18" t="s">
        <v>117</v>
      </c>
      <c r="R674" s="18" t="s">
        <v>59</v>
      </c>
      <c r="S674" s="18" t="s">
        <v>186</v>
      </c>
      <c r="T674" s="18" t="b">
        <v>1</v>
      </c>
      <c r="U674" s="18" t="s">
        <v>101</v>
      </c>
      <c r="V674" s="18" t="s">
        <v>40</v>
      </c>
      <c r="W674" s="18" t="s">
        <v>412</v>
      </c>
      <c r="X674" s="18" t="s">
        <v>413</v>
      </c>
      <c r="Y674" s="18">
        <v>1</v>
      </c>
      <c r="Z674" s="18">
        <v>1290</v>
      </c>
      <c r="AA674" s="18" t="s">
        <v>102</v>
      </c>
      <c r="AB674" s="18" t="s">
        <v>103</v>
      </c>
      <c r="AC674" s="18" t="e">
        <v>#N/A</v>
      </c>
    </row>
    <row r="675" s="18" customFormat="1" spans="1:29">
      <c r="A675" s="18" t="s">
        <v>1833</v>
      </c>
      <c r="B675" s="25" t="s">
        <v>1833</v>
      </c>
      <c r="C675" s="26">
        <v>45683</v>
      </c>
      <c r="D675" s="18" t="s">
        <v>1834</v>
      </c>
      <c r="E675" s="18" t="str">
        <f t="shared" si="10"/>
        <v>Win Technologies</v>
      </c>
      <c r="F675" s="27" t="s">
        <v>1835</v>
      </c>
      <c r="G675" s="18" t="s">
        <v>99</v>
      </c>
      <c r="H675" s="18" t="s">
        <v>100</v>
      </c>
      <c r="I675" s="18" t="s">
        <v>133</v>
      </c>
      <c r="J675" s="18" t="s">
        <v>1581</v>
      </c>
      <c r="K675" s="18" t="s">
        <v>56</v>
      </c>
      <c r="L675" s="18" t="s">
        <v>36</v>
      </c>
      <c r="N675" s="18">
        <v>6</v>
      </c>
      <c r="O675" s="18" t="s">
        <v>88</v>
      </c>
      <c r="P675" s="18" t="s">
        <v>38</v>
      </c>
      <c r="Q675" s="18" t="s">
        <v>117</v>
      </c>
      <c r="R675" s="18" t="s">
        <v>59</v>
      </c>
      <c r="S675" s="18" t="s">
        <v>118</v>
      </c>
      <c r="T675" s="18" t="b">
        <v>1</v>
      </c>
      <c r="U675" s="18" t="s">
        <v>101</v>
      </c>
      <c r="V675" s="18" t="s">
        <v>40</v>
      </c>
      <c r="W675" s="18" t="s">
        <v>990</v>
      </c>
      <c r="X675" s="18" t="s">
        <v>991</v>
      </c>
      <c r="Y675" s="18">
        <v>1</v>
      </c>
      <c r="Z675" s="18">
        <v>500</v>
      </c>
      <c r="AA675" s="18" t="s">
        <v>1836</v>
      </c>
      <c r="AB675" s="18" t="s">
        <v>189</v>
      </c>
      <c r="AC675" s="18" t="s">
        <v>111</v>
      </c>
    </row>
    <row r="676" s="18" customFormat="1" spans="1:29">
      <c r="A676" s="18" t="s">
        <v>1837</v>
      </c>
      <c r="B676" s="25" t="s">
        <v>1837</v>
      </c>
      <c r="C676" s="26">
        <v>45683</v>
      </c>
      <c r="D676" s="18" t="s">
        <v>915</v>
      </c>
      <c r="E676" s="18" t="str">
        <f t="shared" si="10"/>
        <v>Santosh Bhogal Cash  </v>
      </c>
      <c r="F676" s="27" t="e">
        <v>#N/A</v>
      </c>
      <c r="G676" s="18" t="s">
        <v>182</v>
      </c>
      <c r="H676" s="18" t="s">
        <v>183</v>
      </c>
      <c r="I676" s="18" t="s">
        <v>481</v>
      </c>
      <c r="J676" s="18" t="s">
        <v>1502</v>
      </c>
      <c r="K676" s="18" t="s">
        <v>56</v>
      </c>
      <c r="L676" s="18" t="s">
        <v>36</v>
      </c>
      <c r="N676" s="18">
        <v>6</v>
      </c>
      <c r="O676" s="18" t="s">
        <v>93</v>
      </c>
      <c r="P676" s="18" t="s">
        <v>38</v>
      </c>
      <c r="Q676" s="18" t="s">
        <v>58</v>
      </c>
      <c r="R676" s="18" t="s">
        <v>59</v>
      </c>
      <c r="S676" s="18" t="s">
        <v>60</v>
      </c>
      <c r="T676" s="18" t="b">
        <v>0</v>
      </c>
      <c r="U676" s="18" t="s">
        <v>187</v>
      </c>
      <c r="V676" s="18" t="s">
        <v>40</v>
      </c>
      <c r="W676" s="18" t="s">
        <v>126</v>
      </c>
      <c r="X676" s="18" t="s">
        <v>127</v>
      </c>
      <c r="Y676" s="18">
        <v>1</v>
      </c>
      <c r="Z676" s="18">
        <v>166</v>
      </c>
      <c r="AC676" s="18" t="e">
        <v>#N/A</v>
      </c>
    </row>
    <row r="677" s="18" customFormat="1" spans="1:29">
      <c r="A677" s="18" t="s">
        <v>1838</v>
      </c>
      <c r="B677" s="25" t="s">
        <v>1838</v>
      </c>
      <c r="C677" s="26">
        <v>45683</v>
      </c>
      <c r="D677" s="18" t="s">
        <v>1203</v>
      </c>
      <c r="E677" s="18" t="str">
        <f t="shared" si="10"/>
        <v>Padmakar Jadhav </v>
      </c>
      <c r="F677" s="27" t="e">
        <v>#N/A</v>
      </c>
      <c r="G677" s="18" t="s">
        <v>182</v>
      </c>
      <c r="H677" s="18" t="s">
        <v>183</v>
      </c>
      <c r="I677" s="18" t="s">
        <v>481</v>
      </c>
      <c r="J677" s="18" t="s">
        <v>240</v>
      </c>
      <c r="K677" s="18" t="s">
        <v>56</v>
      </c>
      <c r="L677" s="18" t="s">
        <v>36</v>
      </c>
      <c r="N677" s="18">
        <v>6</v>
      </c>
      <c r="O677" s="18" t="s">
        <v>93</v>
      </c>
      <c r="P677" s="18" t="s">
        <v>38</v>
      </c>
      <c r="Q677" s="18" t="s">
        <v>58</v>
      </c>
      <c r="R677" s="18" t="s">
        <v>59</v>
      </c>
      <c r="S677" s="18" t="s">
        <v>60</v>
      </c>
      <c r="T677" s="18" t="b">
        <v>0</v>
      </c>
      <c r="U677" s="18" t="s">
        <v>187</v>
      </c>
      <c r="V677" s="18" t="s">
        <v>40</v>
      </c>
      <c r="W677" s="18" t="s">
        <v>126</v>
      </c>
      <c r="X677" s="18" t="s">
        <v>127</v>
      </c>
      <c r="Y677" s="18">
        <v>1</v>
      </c>
      <c r="Z677" s="18">
        <v>264</v>
      </c>
      <c r="AC677" s="18" t="e">
        <v>#N/A</v>
      </c>
    </row>
    <row r="678" s="18" customFormat="1" spans="1:29">
      <c r="A678" s="18" t="s">
        <v>1839</v>
      </c>
      <c r="B678" s="25" t="s">
        <v>1839</v>
      </c>
      <c r="C678" s="26">
        <v>45683</v>
      </c>
      <c r="D678" s="18" t="s">
        <v>1404</v>
      </c>
      <c r="E678" s="18" t="str">
        <f t="shared" si="10"/>
        <v>Mohammad Danish  </v>
      </c>
      <c r="F678" s="27" t="s">
        <v>1405</v>
      </c>
      <c r="G678" s="18" t="s">
        <v>182</v>
      </c>
      <c r="H678" s="18" t="s">
        <v>183</v>
      </c>
      <c r="I678" s="18" t="s">
        <v>481</v>
      </c>
      <c r="J678" s="18" t="s">
        <v>1491</v>
      </c>
      <c r="K678" s="18" t="s">
        <v>56</v>
      </c>
      <c r="L678" s="18" t="s">
        <v>36</v>
      </c>
      <c r="N678" s="18">
        <v>6</v>
      </c>
      <c r="O678" s="18" t="s">
        <v>93</v>
      </c>
      <c r="P678" s="18" t="s">
        <v>38</v>
      </c>
      <c r="Q678" s="18" t="s">
        <v>194</v>
      </c>
      <c r="R678" s="18" t="s">
        <v>59</v>
      </c>
      <c r="S678" s="18" t="s">
        <v>195</v>
      </c>
      <c r="T678" s="18" t="b">
        <v>0</v>
      </c>
      <c r="U678" s="18" t="s">
        <v>187</v>
      </c>
      <c r="V678" s="18" t="s">
        <v>40</v>
      </c>
      <c r="W678" s="18" t="s">
        <v>126</v>
      </c>
      <c r="X678" s="18" t="s">
        <v>127</v>
      </c>
      <c r="Y678" s="18">
        <v>1</v>
      </c>
      <c r="Z678" s="18">
        <v>3260</v>
      </c>
      <c r="AC678" s="18" t="e">
        <v>#N/A</v>
      </c>
    </row>
    <row r="679" s="18" customFormat="1" spans="1:29">
      <c r="A679" s="18" t="s">
        <v>1840</v>
      </c>
      <c r="B679" s="25" t="s">
        <v>1840</v>
      </c>
      <c r="C679" s="26">
        <v>45684</v>
      </c>
      <c r="D679" s="18" t="s">
        <v>92</v>
      </c>
      <c r="E679" s="18" t="str">
        <f t="shared" si="10"/>
        <v>Bharti Airtel Ltd.</v>
      </c>
      <c r="F679" s="27" t="e">
        <v>#N/A</v>
      </c>
      <c r="G679" s="18" t="s">
        <v>32</v>
      </c>
      <c r="H679" s="18" t="s">
        <v>33</v>
      </c>
      <c r="I679" s="18" t="s">
        <v>34</v>
      </c>
      <c r="K679" s="18" t="s">
        <v>35</v>
      </c>
      <c r="L679" s="18" t="s">
        <v>36</v>
      </c>
      <c r="N679" s="18">
        <v>6</v>
      </c>
      <c r="O679" s="18" t="s">
        <v>37</v>
      </c>
      <c r="P679" s="18" t="s">
        <v>38</v>
      </c>
      <c r="T679" s="18" t="b">
        <v>1</v>
      </c>
      <c r="U679" s="18" t="s">
        <v>39</v>
      </c>
      <c r="V679" s="18" t="s">
        <v>40</v>
      </c>
      <c r="W679" s="18" t="s">
        <v>94</v>
      </c>
      <c r="X679" s="18" t="s">
        <v>95</v>
      </c>
      <c r="Y679" s="18">
        <v>1</v>
      </c>
      <c r="Z679" s="18">
        <v>1256.39</v>
      </c>
      <c r="AA679" s="18" t="s">
        <v>89</v>
      </c>
      <c r="AB679" s="18" t="s">
        <v>90</v>
      </c>
      <c r="AC679" s="18" t="s">
        <v>43</v>
      </c>
    </row>
    <row r="680" s="18" customFormat="1" spans="1:29">
      <c r="A680" s="18" t="s">
        <v>1841</v>
      </c>
      <c r="B680" s="25" t="s">
        <v>1841</v>
      </c>
      <c r="C680" s="26">
        <v>45684</v>
      </c>
      <c r="D680" s="18" t="s">
        <v>1306</v>
      </c>
      <c r="E680" s="18" t="str">
        <f t="shared" si="10"/>
        <v>Tijo Joseph </v>
      </c>
      <c r="F680" s="27" t="e">
        <v>#N/A</v>
      </c>
      <c r="G680" s="18" t="s">
        <v>32</v>
      </c>
      <c r="H680" s="18" t="s">
        <v>33</v>
      </c>
      <c r="I680" s="18" t="s">
        <v>34</v>
      </c>
      <c r="K680" s="18" t="s">
        <v>35</v>
      </c>
      <c r="L680" s="18" t="s">
        <v>36</v>
      </c>
      <c r="N680" s="18">
        <v>6</v>
      </c>
      <c r="O680" s="18" t="s">
        <v>93</v>
      </c>
      <c r="P680" s="18" t="s">
        <v>38</v>
      </c>
      <c r="T680" s="18" t="b">
        <v>1</v>
      </c>
      <c r="U680" s="18" t="s">
        <v>39</v>
      </c>
      <c r="V680" s="18" t="s">
        <v>40</v>
      </c>
      <c r="W680" s="18" t="s">
        <v>127</v>
      </c>
      <c r="X680" s="18" t="s">
        <v>127</v>
      </c>
      <c r="Y680" s="18">
        <v>1</v>
      </c>
      <c r="Z680" s="18">
        <v>1714</v>
      </c>
      <c r="AA680" s="18" t="s">
        <v>1842</v>
      </c>
      <c r="AB680" s="18" t="s">
        <v>610</v>
      </c>
      <c r="AC680" s="18" t="e">
        <v>#N/A</v>
      </c>
    </row>
    <row r="681" s="18" customFormat="1" spans="1:29">
      <c r="A681" s="18" t="s">
        <v>1843</v>
      </c>
      <c r="B681" s="25" t="s">
        <v>1843</v>
      </c>
      <c r="C681" s="26">
        <v>45684</v>
      </c>
      <c r="D681" s="18" t="s">
        <v>1124</v>
      </c>
      <c r="E681" s="18" t="str">
        <f t="shared" si="10"/>
        <v>Gifting Plans</v>
      </c>
      <c r="F681" s="27" t="s">
        <v>1125</v>
      </c>
      <c r="G681" s="18" t="s">
        <v>32</v>
      </c>
      <c r="H681" s="18" t="s">
        <v>33</v>
      </c>
      <c r="I681" s="18" t="s">
        <v>34</v>
      </c>
      <c r="J681" s="18" t="s">
        <v>1126</v>
      </c>
      <c r="K681" s="18" t="s">
        <v>56</v>
      </c>
      <c r="L681" s="18" t="s">
        <v>36</v>
      </c>
      <c r="N681" s="18">
        <v>6</v>
      </c>
      <c r="O681" s="18" t="s">
        <v>88</v>
      </c>
      <c r="P681" s="18" t="s">
        <v>38</v>
      </c>
      <c r="Q681" s="18" t="s">
        <v>117</v>
      </c>
      <c r="R681" s="18" t="s">
        <v>59</v>
      </c>
      <c r="S681" s="18" t="s">
        <v>118</v>
      </c>
      <c r="T681" s="18" t="b">
        <v>1</v>
      </c>
      <c r="U681" s="18" t="s">
        <v>39</v>
      </c>
      <c r="V681" s="18" t="s">
        <v>40</v>
      </c>
      <c r="W681" s="18" t="s">
        <v>141</v>
      </c>
      <c r="X681" s="18" t="s">
        <v>141</v>
      </c>
      <c r="Y681" s="18" t="e">
        <v>#N/A</v>
      </c>
      <c r="Z681" s="18" t="e">
        <v>#N/A</v>
      </c>
      <c r="AA681" s="18" t="s">
        <v>1127</v>
      </c>
      <c r="AB681" s="18" t="s">
        <v>1128</v>
      </c>
      <c r="AC681" s="18" t="s">
        <v>43</v>
      </c>
    </row>
    <row r="682" s="18" customFormat="1" spans="1:29">
      <c r="A682" s="18" t="s">
        <v>1844</v>
      </c>
      <c r="B682" s="25" t="s">
        <v>1844</v>
      </c>
      <c r="C682" s="26">
        <v>45684</v>
      </c>
      <c r="D682" s="18" t="s">
        <v>1139</v>
      </c>
      <c r="E682" s="18" t="str">
        <f t="shared" si="10"/>
        <v>Farhan Shariff  </v>
      </c>
      <c r="F682" s="27" t="e">
        <v>#N/A</v>
      </c>
      <c r="G682" s="18" t="s">
        <v>32</v>
      </c>
      <c r="H682" s="18" t="s">
        <v>33</v>
      </c>
      <c r="I682" s="18" t="s">
        <v>34</v>
      </c>
      <c r="J682" s="18" t="s">
        <v>831</v>
      </c>
      <c r="K682" s="18" t="s">
        <v>56</v>
      </c>
      <c r="L682" s="18" t="s">
        <v>36</v>
      </c>
      <c r="N682" s="18">
        <v>6</v>
      </c>
      <c r="O682" s="18" t="s">
        <v>93</v>
      </c>
      <c r="P682" s="18" t="s">
        <v>38</v>
      </c>
      <c r="Q682" s="18" t="s">
        <v>117</v>
      </c>
      <c r="R682" s="18" t="s">
        <v>59</v>
      </c>
      <c r="S682" s="18" t="s">
        <v>118</v>
      </c>
      <c r="T682" s="18" t="b">
        <v>1</v>
      </c>
      <c r="U682" s="18" t="s">
        <v>39</v>
      </c>
      <c r="V682" s="18" t="s">
        <v>40</v>
      </c>
      <c r="W682" s="18" t="s">
        <v>126</v>
      </c>
      <c r="X682" s="18" t="s">
        <v>127</v>
      </c>
      <c r="Y682" s="18">
        <v>1</v>
      </c>
      <c r="Z682" s="18">
        <v>4103</v>
      </c>
      <c r="AA682" s="18" t="s">
        <v>501</v>
      </c>
      <c r="AB682" s="18" t="s">
        <v>502</v>
      </c>
      <c r="AC682" s="18" t="e">
        <v>#N/A</v>
      </c>
    </row>
    <row r="683" s="18" customFormat="1" spans="1:29">
      <c r="A683" s="18" t="s">
        <v>1845</v>
      </c>
      <c r="B683" s="25" t="s">
        <v>1845</v>
      </c>
      <c r="C683" s="26">
        <v>45684</v>
      </c>
      <c r="D683" s="18" t="s">
        <v>1314</v>
      </c>
      <c r="E683" s="18" t="str">
        <f t="shared" si="10"/>
        <v>Stepone Office Stationers</v>
      </c>
      <c r="F683" s="27" t="s">
        <v>1315</v>
      </c>
      <c r="G683" s="18" t="s">
        <v>32</v>
      </c>
      <c r="H683" s="18" t="s">
        <v>33</v>
      </c>
      <c r="I683" s="18" t="s">
        <v>34</v>
      </c>
      <c r="J683" s="18" t="s">
        <v>1116</v>
      </c>
      <c r="K683" s="18" t="s">
        <v>56</v>
      </c>
      <c r="L683" s="18" t="s">
        <v>36</v>
      </c>
      <c r="N683" s="18">
        <v>6</v>
      </c>
      <c r="O683" s="18" t="s">
        <v>88</v>
      </c>
      <c r="P683" s="18" t="s">
        <v>38</v>
      </c>
      <c r="Q683" s="18" t="s">
        <v>117</v>
      </c>
      <c r="R683" s="18" t="s">
        <v>59</v>
      </c>
      <c r="S683" s="18" t="s">
        <v>118</v>
      </c>
      <c r="T683" s="18" t="b">
        <v>1</v>
      </c>
      <c r="U683" s="18" t="s">
        <v>39</v>
      </c>
      <c r="V683" s="18" t="s">
        <v>40</v>
      </c>
      <c r="W683" s="18" t="s">
        <v>196</v>
      </c>
      <c r="X683" s="18" t="s">
        <v>197</v>
      </c>
      <c r="Y683" s="18">
        <v>1</v>
      </c>
      <c r="Z683" s="18">
        <v>23860</v>
      </c>
      <c r="AA683" s="18" t="s">
        <v>1846</v>
      </c>
      <c r="AB683" s="18" t="s">
        <v>1847</v>
      </c>
      <c r="AC683" s="18" t="s">
        <v>43</v>
      </c>
    </row>
    <row r="684" s="18" customFormat="1" ht="29" spans="1:29">
      <c r="A684" s="18" t="s">
        <v>1848</v>
      </c>
      <c r="B684" s="25" t="s">
        <v>1848</v>
      </c>
      <c r="C684" s="26">
        <v>45684</v>
      </c>
      <c r="D684" s="18" t="s">
        <v>1849</v>
      </c>
      <c r="E684" s="18" t="str">
        <f t="shared" si="10"/>
        <v>Jw Marriot Bengaluru</v>
      </c>
      <c r="F684" s="27" t="s">
        <v>1850</v>
      </c>
      <c r="G684" s="18" t="s">
        <v>32</v>
      </c>
      <c r="H684" s="18" t="s">
        <v>33</v>
      </c>
      <c r="I684" s="18" t="s">
        <v>184</v>
      </c>
      <c r="J684" s="18" t="s">
        <v>1851</v>
      </c>
      <c r="K684" s="18" t="s">
        <v>56</v>
      </c>
      <c r="L684" s="18" t="s">
        <v>36</v>
      </c>
      <c r="N684" s="18">
        <v>6</v>
      </c>
      <c r="O684" s="18" t="s">
        <v>57</v>
      </c>
      <c r="P684" s="18" t="s">
        <v>38</v>
      </c>
      <c r="Q684" s="18" t="s">
        <v>194</v>
      </c>
      <c r="R684" s="18" t="s">
        <v>59</v>
      </c>
      <c r="S684" s="18" t="s">
        <v>195</v>
      </c>
      <c r="T684" s="18" t="b">
        <v>1</v>
      </c>
      <c r="U684" s="18" t="s">
        <v>39</v>
      </c>
      <c r="V684" s="18" t="s">
        <v>40</v>
      </c>
      <c r="W684" s="18" t="s">
        <v>276</v>
      </c>
      <c r="X684" s="18" t="s">
        <v>276</v>
      </c>
      <c r="Y684" s="18">
        <v>1</v>
      </c>
      <c r="Z684" s="18">
        <v>454550</v>
      </c>
      <c r="AA684" s="31" t="s">
        <v>1423</v>
      </c>
      <c r="AB684" s="18" t="s">
        <v>1424</v>
      </c>
      <c r="AC684" s="18" t="s">
        <v>43</v>
      </c>
    </row>
    <row r="685" s="18" customFormat="1" spans="1:29">
      <c r="A685" s="18" t="s">
        <v>1852</v>
      </c>
      <c r="B685" s="25" t="s">
        <v>1852</v>
      </c>
      <c r="C685" s="26">
        <v>45684</v>
      </c>
      <c r="D685" s="18" t="s">
        <v>1139</v>
      </c>
      <c r="E685" s="18" t="str">
        <f t="shared" si="10"/>
        <v>Farhan Shariff  </v>
      </c>
      <c r="F685" s="27" t="e">
        <v>#N/A</v>
      </c>
      <c r="G685" s="18" t="s">
        <v>32</v>
      </c>
      <c r="H685" s="18" t="s">
        <v>33</v>
      </c>
      <c r="I685" s="18" t="s">
        <v>133</v>
      </c>
      <c r="J685" s="18" t="s">
        <v>831</v>
      </c>
      <c r="K685" s="18" t="s">
        <v>56</v>
      </c>
      <c r="L685" s="18" t="s">
        <v>36</v>
      </c>
      <c r="N685" s="18">
        <v>6</v>
      </c>
      <c r="O685" s="18" t="s">
        <v>93</v>
      </c>
      <c r="P685" s="18" t="s">
        <v>38</v>
      </c>
      <c r="Q685" s="18" t="s">
        <v>117</v>
      </c>
      <c r="R685" s="18" t="s">
        <v>59</v>
      </c>
      <c r="S685" s="18" t="s">
        <v>118</v>
      </c>
      <c r="T685" s="18" t="b">
        <v>1</v>
      </c>
      <c r="U685" s="18" t="s">
        <v>39</v>
      </c>
      <c r="V685" s="18" t="s">
        <v>40</v>
      </c>
      <c r="W685" s="18" t="s">
        <v>196</v>
      </c>
      <c r="X685" s="18" t="s">
        <v>197</v>
      </c>
      <c r="Y685" s="18">
        <v>1</v>
      </c>
      <c r="Z685" s="18">
        <v>6608</v>
      </c>
      <c r="AA685" s="18" t="s">
        <v>128</v>
      </c>
      <c r="AB685" s="18" t="s">
        <v>129</v>
      </c>
      <c r="AC685" s="18" t="e">
        <v>#N/A</v>
      </c>
    </row>
    <row r="686" s="18" customFormat="1" spans="1:29">
      <c r="A686" s="18" t="s">
        <v>1853</v>
      </c>
      <c r="B686" s="25" t="s">
        <v>1853</v>
      </c>
      <c r="C686" s="26">
        <v>45684</v>
      </c>
      <c r="D686" s="18" t="s">
        <v>1139</v>
      </c>
      <c r="E686" s="18" t="str">
        <f t="shared" si="10"/>
        <v>Farhan Shariff  </v>
      </c>
      <c r="F686" s="27" t="e">
        <v>#N/A</v>
      </c>
      <c r="G686" s="18" t="s">
        <v>32</v>
      </c>
      <c r="H686" s="18" t="s">
        <v>33</v>
      </c>
      <c r="I686" s="18" t="s">
        <v>34</v>
      </c>
      <c r="J686" s="18" t="s">
        <v>1581</v>
      </c>
      <c r="K686" s="18" t="s">
        <v>56</v>
      </c>
      <c r="L686" s="18" t="s">
        <v>36</v>
      </c>
      <c r="N686" s="18">
        <v>6</v>
      </c>
      <c r="O686" s="18" t="s">
        <v>93</v>
      </c>
      <c r="P686" s="18" t="s">
        <v>38</v>
      </c>
      <c r="Q686" s="18" t="s">
        <v>117</v>
      </c>
      <c r="R686" s="18" t="s">
        <v>59</v>
      </c>
      <c r="S686" s="18" t="s">
        <v>118</v>
      </c>
      <c r="T686" s="18" t="b">
        <v>1</v>
      </c>
      <c r="U686" s="18" t="s">
        <v>39</v>
      </c>
      <c r="V686" s="18" t="s">
        <v>40</v>
      </c>
      <c r="W686" s="18" t="s">
        <v>508</v>
      </c>
      <c r="X686" s="18" t="s">
        <v>509</v>
      </c>
      <c r="Y686" s="18">
        <v>1</v>
      </c>
      <c r="Z686" s="18">
        <v>6166</v>
      </c>
      <c r="AA686" s="18" t="s">
        <v>128</v>
      </c>
      <c r="AB686" s="18" t="s">
        <v>129</v>
      </c>
      <c r="AC686" s="18" t="e">
        <v>#N/A</v>
      </c>
    </row>
    <row r="687" s="18" customFormat="1" spans="1:29">
      <c r="A687" s="18" t="s">
        <v>1854</v>
      </c>
      <c r="B687" s="25" t="s">
        <v>1854</v>
      </c>
      <c r="C687" s="26">
        <v>45684</v>
      </c>
      <c r="D687" s="18" t="s">
        <v>472</v>
      </c>
      <c r="E687" s="18" t="e">
        <f t="shared" si="10"/>
        <v>#N/A</v>
      </c>
      <c r="F687" s="27" t="e">
        <v>#N/A</v>
      </c>
      <c r="G687" s="18" t="s">
        <v>32</v>
      </c>
      <c r="H687" s="18" t="s">
        <v>33</v>
      </c>
      <c r="I687" s="18" t="s">
        <v>54</v>
      </c>
      <c r="K687" s="18" t="s">
        <v>35</v>
      </c>
      <c r="L687" s="18" t="s">
        <v>36</v>
      </c>
      <c r="N687" s="18">
        <v>6</v>
      </c>
      <c r="P687" s="18" t="s">
        <v>38</v>
      </c>
      <c r="T687" s="18" t="b">
        <v>1</v>
      </c>
      <c r="U687" s="18" t="s">
        <v>39</v>
      </c>
      <c r="V687" s="18" t="s">
        <v>40</v>
      </c>
      <c r="W687" s="18" t="e">
        <v>#N/A</v>
      </c>
      <c r="X687" s="18" t="e">
        <v>#N/A</v>
      </c>
      <c r="Y687" s="18" t="e">
        <v>#N/A</v>
      </c>
      <c r="Z687" s="18" t="e">
        <v>#N/A</v>
      </c>
      <c r="AC687" s="18" t="e">
        <v>#N/A</v>
      </c>
    </row>
    <row r="688" s="18" customFormat="1" spans="1:29">
      <c r="A688" s="18" t="s">
        <v>1855</v>
      </c>
      <c r="B688" s="25" t="s">
        <v>1855</v>
      </c>
      <c r="C688" s="26">
        <v>45684</v>
      </c>
      <c r="D688" s="18" t="s">
        <v>472</v>
      </c>
      <c r="E688" s="18" t="e">
        <f t="shared" si="10"/>
        <v>#N/A</v>
      </c>
      <c r="F688" s="27" t="e">
        <v>#N/A</v>
      </c>
      <c r="G688" s="18" t="s">
        <v>32</v>
      </c>
      <c r="H688" s="18" t="s">
        <v>33</v>
      </c>
      <c r="I688" s="18" t="s">
        <v>54</v>
      </c>
      <c r="K688" s="18" t="s">
        <v>35</v>
      </c>
      <c r="L688" s="18" t="s">
        <v>36</v>
      </c>
      <c r="N688" s="18">
        <v>6</v>
      </c>
      <c r="P688" s="18" t="s">
        <v>38</v>
      </c>
      <c r="T688" s="18" t="b">
        <v>1</v>
      </c>
      <c r="U688" s="18" t="s">
        <v>39</v>
      </c>
      <c r="V688" s="18" t="s">
        <v>40</v>
      </c>
      <c r="W688" s="18" t="e">
        <v>#N/A</v>
      </c>
      <c r="X688" s="18" t="e">
        <v>#N/A</v>
      </c>
      <c r="Y688" s="18" t="e">
        <v>#N/A</v>
      </c>
      <c r="Z688" s="18" t="e">
        <v>#N/A</v>
      </c>
      <c r="AC688" s="18" t="e">
        <v>#N/A</v>
      </c>
    </row>
    <row r="689" s="18" customFormat="1" spans="1:29">
      <c r="A689" s="18" t="s">
        <v>1856</v>
      </c>
      <c r="B689" s="25" t="s">
        <v>1856</v>
      </c>
      <c r="C689" s="26">
        <v>45684</v>
      </c>
      <c r="D689" s="18" t="s">
        <v>1857</v>
      </c>
      <c r="E689" s="18" t="str">
        <f t="shared" si="10"/>
        <v>Gpm Xpress Logistics Pvt Ltd</v>
      </c>
      <c r="F689" s="27" t="s">
        <v>1858</v>
      </c>
      <c r="G689" s="18" t="s">
        <v>32</v>
      </c>
      <c r="H689" s="18" t="s">
        <v>33</v>
      </c>
      <c r="I689" s="18" t="s">
        <v>34</v>
      </c>
      <c r="J689" s="18" t="s">
        <v>115</v>
      </c>
      <c r="K689" s="18" t="s">
        <v>56</v>
      </c>
      <c r="L689" s="18" t="s">
        <v>36</v>
      </c>
      <c r="N689" s="18">
        <v>6</v>
      </c>
      <c r="O689" s="18" t="s">
        <v>88</v>
      </c>
      <c r="P689" s="18" t="s">
        <v>38</v>
      </c>
      <c r="Q689" s="18" t="s">
        <v>117</v>
      </c>
      <c r="R689" s="18" t="s">
        <v>59</v>
      </c>
      <c r="S689" s="18" t="s">
        <v>118</v>
      </c>
      <c r="T689" s="18" t="b">
        <v>1</v>
      </c>
      <c r="U689" s="18" t="s">
        <v>39</v>
      </c>
      <c r="V689" s="18" t="s">
        <v>40</v>
      </c>
      <c r="W689" s="18" t="s">
        <v>205</v>
      </c>
      <c r="X689" s="18" t="s">
        <v>205</v>
      </c>
      <c r="Y689" s="18">
        <v>1</v>
      </c>
      <c r="Z689" s="18">
        <v>275000</v>
      </c>
      <c r="AA689" s="18" t="s">
        <v>121</v>
      </c>
      <c r="AB689" s="18" t="s">
        <v>122</v>
      </c>
      <c r="AC689" s="18" t="s">
        <v>43</v>
      </c>
    </row>
    <row r="690" s="18" customFormat="1" spans="1:29">
      <c r="A690" s="18" t="s">
        <v>1859</v>
      </c>
      <c r="B690" s="25" t="s">
        <v>1859</v>
      </c>
      <c r="C690" s="26">
        <v>45684</v>
      </c>
      <c r="D690" s="18" t="s">
        <v>1286</v>
      </c>
      <c r="E690" s="18" t="str">
        <f t="shared" si="10"/>
        <v>Vinayaka Wooden Die Makers</v>
      </c>
      <c r="F690" s="27" t="s">
        <v>1287</v>
      </c>
      <c r="G690" s="18" t="s">
        <v>32</v>
      </c>
      <c r="H690" s="18" t="s">
        <v>33</v>
      </c>
      <c r="I690" s="18" t="s">
        <v>34</v>
      </c>
      <c r="J690" s="18" t="s">
        <v>115</v>
      </c>
      <c r="K690" s="18" t="s">
        <v>56</v>
      </c>
      <c r="L690" s="18" t="s">
        <v>36</v>
      </c>
      <c r="N690" s="18">
        <v>6</v>
      </c>
      <c r="O690" s="18" t="s">
        <v>57</v>
      </c>
      <c r="P690" s="18" t="s">
        <v>38</v>
      </c>
      <c r="Q690" s="18" t="s">
        <v>117</v>
      </c>
      <c r="R690" s="18" t="s">
        <v>59</v>
      </c>
      <c r="S690" s="18" t="s">
        <v>118</v>
      </c>
      <c r="T690" s="18" t="b">
        <v>1</v>
      </c>
      <c r="U690" s="18" t="s">
        <v>39</v>
      </c>
      <c r="V690" s="18" t="s">
        <v>40</v>
      </c>
      <c r="W690" s="18" t="s">
        <v>140</v>
      </c>
      <c r="X690" s="18" t="s">
        <v>141</v>
      </c>
      <c r="Y690" s="18">
        <v>1</v>
      </c>
      <c r="Z690" s="18">
        <v>14250</v>
      </c>
      <c r="AA690" s="18" t="s">
        <v>121</v>
      </c>
      <c r="AB690" s="18" t="s">
        <v>122</v>
      </c>
      <c r="AC690" s="18" t="s">
        <v>43</v>
      </c>
    </row>
    <row r="691" s="18" customFormat="1" ht="29" spans="1:29">
      <c r="A691" s="18" t="s">
        <v>1860</v>
      </c>
      <c r="B691" s="25" t="s">
        <v>1860</v>
      </c>
      <c r="C691" s="26">
        <v>45684</v>
      </c>
      <c r="D691" s="18" t="s">
        <v>1834</v>
      </c>
      <c r="E691" s="18" t="str">
        <f t="shared" si="10"/>
        <v>Win Technologies</v>
      </c>
      <c r="F691" s="27" t="s">
        <v>1835</v>
      </c>
      <c r="G691" s="18" t="s">
        <v>99</v>
      </c>
      <c r="H691" s="18" t="s">
        <v>100</v>
      </c>
      <c r="I691" s="18" t="s">
        <v>184</v>
      </c>
      <c r="J691" s="18" t="s">
        <v>499</v>
      </c>
      <c r="K691" s="18" t="s">
        <v>56</v>
      </c>
      <c r="L691" s="18" t="s">
        <v>36</v>
      </c>
      <c r="N691" s="18">
        <v>6</v>
      </c>
      <c r="O691" s="18" t="s">
        <v>88</v>
      </c>
      <c r="P691" s="18" t="s">
        <v>38</v>
      </c>
      <c r="Q691" s="18" t="s">
        <v>117</v>
      </c>
      <c r="R691" s="18" t="s">
        <v>59</v>
      </c>
      <c r="S691" s="18" t="s">
        <v>186</v>
      </c>
      <c r="T691" s="18" t="b">
        <v>1</v>
      </c>
      <c r="U691" s="18" t="s">
        <v>101</v>
      </c>
      <c r="V691" s="18" t="s">
        <v>40</v>
      </c>
      <c r="W691" s="18" t="s">
        <v>990</v>
      </c>
      <c r="X691" s="18" t="s">
        <v>991</v>
      </c>
      <c r="Y691" s="18">
        <v>1</v>
      </c>
      <c r="Z691" s="18">
        <v>10500</v>
      </c>
      <c r="AA691" s="31" t="s">
        <v>1861</v>
      </c>
      <c r="AB691" s="18" t="s">
        <v>189</v>
      </c>
      <c r="AC691" s="18" t="s">
        <v>111</v>
      </c>
    </row>
    <row r="692" s="18" customFormat="1" ht="29" spans="1:29">
      <c r="A692" s="18" t="s">
        <v>1862</v>
      </c>
      <c r="B692" s="25" t="s">
        <v>1862</v>
      </c>
      <c r="C692" s="26">
        <v>45684</v>
      </c>
      <c r="D692" s="18" t="s">
        <v>325</v>
      </c>
      <c r="E692" s="18" t="str">
        <f t="shared" si="10"/>
        <v>Gala Event Solutions</v>
      </c>
      <c r="F692" s="27" t="s">
        <v>326</v>
      </c>
      <c r="G692" s="18" t="s">
        <v>99</v>
      </c>
      <c r="H692" s="18" t="s">
        <v>100</v>
      </c>
      <c r="I692" s="18" t="s">
        <v>184</v>
      </c>
      <c r="J692" s="18" t="s">
        <v>1574</v>
      </c>
      <c r="K692" s="18" t="s">
        <v>56</v>
      </c>
      <c r="L692" s="18" t="s">
        <v>36</v>
      </c>
      <c r="N692" s="18">
        <v>6</v>
      </c>
      <c r="O692" s="18" t="s">
        <v>88</v>
      </c>
      <c r="P692" s="18" t="s">
        <v>38</v>
      </c>
      <c r="Q692" s="18" t="s">
        <v>117</v>
      </c>
      <c r="R692" s="18" t="s">
        <v>59</v>
      </c>
      <c r="S692" s="18" t="s">
        <v>186</v>
      </c>
      <c r="T692" s="18" t="b">
        <v>1</v>
      </c>
      <c r="U692" s="18" t="s">
        <v>101</v>
      </c>
      <c r="V692" s="18" t="s">
        <v>40</v>
      </c>
      <c r="W692" s="18" t="s">
        <v>317</v>
      </c>
      <c r="X692" s="18" t="s">
        <v>318</v>
      </c>
      <c r="Y692" s="18">
        <v>1</v>
      </c>
      <c r="Z692" s="18">
        <v>33000</v>
      </c>
      <c r="AA692" s="31" t="s">
        <v>1361</v>
      </c>
      <c r="AB692" s="18" t="s">
        <v>189</v>
      </c>
      <c r="AC692" s="18" t="s">
        <v>111</v>
      </c>
    </row>
    <row r="693" s="18" customFormat="1" spans="1:29">
      <c r="A693" s="18" t="s">
        <v>1863</v>
      </c>
      <c r="B693" s="25" t="s">
        <v>1863</v>
      </c>
      <c r="C693" s="26">
        <v>45684</v>
      </c>
      <c r="D693" s="18" t="s">
        <v>238</v>
      </c>
      <c r="E693" s="18" t="str">
        <f t="shared" si="10"/>
        <v>Studio Merchandise Pvt Ltd</v>
      </c>
      <c r="F693" s="27" t="s">
        <v>239</v>
      </c>
      <c r="G693" s="18" t="s">
        <v>147</v>
      </c>
      <c r="H693" s="18" t="s">
        <v>148</v>
      </c>
      <c r="I693" s="18" t="s">
        <v>54</v>
      </c>
      <c r="J693" s="18" t="s">
        <v>1238</v>
      </c>
      <c r="K693" s="18" t="s">
        <v>56</v>
      </c>
      <c r="L693" s="18" t="s">
        <v>36</v>
      </c>
      <c r="N693" s="18">
        <v>6</v>
      </c>
      <c r="O693" s="18" t="s">
        <v>88</v>
      </c>
      <c r="P693" s="18" t="s">
        <v>38</v>
      </c>
      <c r="Q693" s="18" t="s">
        <v>58</v>
      </c>
      <c r="R693" s="18" t="s">
        <v>59</v>
      </c>
      <c r="S693" s="18" t="s">
        <v>60</v>
      </c>
      <c r="T693" s="18" t="b">
        <v>1</v>
      </c>
      <c r="U693" s="18" t="s">
        <v>150</v>
      </c>
      <c r="V693" s="18" t="s">
        <v>40</v>
      </c>
      <c r="W693" s="18" t="s">
        <v>140</v>
      </c>
      <c r="X693" s="18" t="s">
        <v>141</v>
      </c>
      <c r="Y693" s="18">
        <v>1</v>
      </c>
      <c r="Z693" s="18">
        <v>110800</v>
      </c>
      <c r="AA693" s="18" t="s">
        <v>241</v>
      </c>
      <c r="AB693" s="18" t="s">
        <v>242</v>
      </c>
      <c r="AC693" s="18" t="s">
        <v>163</v>
      </c>
    </row>
    <row r="694" s="18" customFormat="1" ht="29" spans="1:29">
      <c r="A694" s="18" t="s">
        <v>1864</v>
      </c>
      <c r="B694" s="25" t="s">
        <v>1864</v>
      </c>
      <c r="C694" s="26">
        <v>45684</v>
      </c>
      <c r="D694" s="18" t="s">
        <v>1865</v>
      </c>
      <c r="E694" s="18" t="str">
        <f t="shared" si="10"/>
        <v>Jetking Technologies Pvt Ltd</v>
      </c>
      <c r="F694" s="27" t="s">
        <v>1866</v>
      </c>
      <c r="G694" s="18" t="s">
        <v>147</v>
      </c>
      <c r="H694" s="18" t="s">
        <v>148</v>
      </c>
      <c r="I694" s="18" t="s">
        <v>184</v>
      </c>
      <c r="J694" s="18" t="s">
        <v>193</v>
      </c>
      <c r="K694" s="18" t="s">
        <v>56</v>
      </c>
      <c r="L694" s="18" t="s">
        <v>36</v>
      </c>
      <c r="N694" s="18">
        <v>6</v>
      </c>
      <c r="O694" s="18" t="s">
        <v>88</v>
      </c>
      <c r="P694" s="18" t="s">
        <v>38</v>
      </c>
      <c r="Q694" s="18" t="s">
        <v>194</v>
      </c>
      <c r="R694" s="18" t="s">
        <v>59</v>
      </c>
      <c r="S694" s="18" t="s">
        <v>195</v>
      </c>
      <c r="T694" s="18" t="b">
        <v>1</v>
      </c>
      <c r="U694" s="18" t="s">
        <v>150</v>
      </c>
      <c r="V694" s="18" t="s">
        <v>40</v>
      </c>
      <c r="W694" s="18" t="s">
        <v>317</v>
      </c>
      <c r="X694" s="18" t="s">
        <v>318</v>
      </c>
      <c r="Y694" s="18">
        <v>1</v>
      </c>
      <c r="Z694" s="18">
        <v>300000</v>
      </c>
      <c r="AA694" s="31" t="s">
        <v>569</v>
      </c>
      <c r="AB694" s="18" t="s">
        <v>570</v>
      </c>
      <c r="AC694" s="18" t="s">
        <v>163</v>
      </c>
    </row>
    <row r="695" s="19" customFormat="1" ht="29" spans="1:29">
      <c r="A695" s="19" t="s">
        <v>1867</v>
      </c>
      <c r="B695" s="28" t="s">
        <v>1867</v>
      </c>
      <c r="C695" s="29">
        <v>45684</v>
      </c>
      <c r="D695" s="19" t="s">
        <v>1868</v>
      </c>
      <c r="E695" s="19" t="str">
        <f t="shared" si="10"/>
        <v>Pcss Solutions Pvt. Ltd.</v>
      </c>
      <c r="F695" s="30" t="e">
        <v>#N/A</v>
      </c>
      <c r="G695" s="19" t="s">
        <v>182</v>
      </c>
      <c r="H695" s="19" t="s">
        <v>473</v>
      </c>
      <c r="I695" s="19" t="s">
        <v>184</v>
      </c>
      <c r="J695" s="19" t="s">
        <v>1869</v>
      </c>
      <c r="K695" s="19" t="s">
        <v>56</v>
      </c>
      <c r="L695" s="19" t="s">
        <v>36</v>
      </c>
      <c r="N695" s="19">
        <v>6</v>
      </c>
      <c r="O695" s="19" t="s">
        <v>88</v>
      </c>
      <c r="P695" s="19" t="s">
        <v>38</v>
      </c>
      <c r="T695" s="19" t="b">
        <v>0</v>
      </c>
      <c r="U695" s="19" t="s">
        <v>187</v>
      </c>
      <c r="V695" s="19" t="s">
        <v>40</v>
      </c>
      <c r="W695" s="19" t="s">
        <v>1271</v>
      </c>
      <c r="X695" s="19" t="e">
        <v>#N/A</v>
      </c>
      <c r="Y695" s="19">
        <v>5</v>
      </c>
      <c r="Z695" s="19">
        <v>163650.84</v>
      </c>
      <c r="AA695" s="32" t="s">
        <v>992</v>
      </c>
      <c r="AB695" s="19" t="s">
        <v>993</v>
      </c>
      <c r="AC695" s="19" t="s">
        <v>200</v>
      </c>
    </row>
    <row r="696" s="18" customFormat="1" spans="1:29">
      <c r="A696" s="18" t="s">
        <v>1870</v>
      </c>
      <c r="B696" s="25" t="s">
        <v>1870</v>
      </c>
      <c r="C696" s="26">
        <v>45684</v>
      </c>
      <c r="D696" s="18" t="s">
        <v>860</v>
      </c>
      <c r="E696" s="18" t="str">
        <f t="shared" si="10"/>
        <v>Mahendra Mane </v>
      </c>
      <c r="F696" s="27" t="e">
        <v>#N/A</v>
      </c>
      <c r="G696" s="18" t="s">
        <v>182</v>
      </c>
      <c r="H696" s="18" t="s">
        <v>183</v>
      </c>
      <c r="I696" s="18" t="s">
        <v>481</v>
      </c>
      <c r="J696" s="18" t="s">
        <v>1871</v>
      </c>
      <c r="K696" s="18" t="s">
        <v>56</v>
      </c>
      <c r="L696" s="18" t="s">
        <v>36</v>
      </c>
      <c r="N696" s="18">
        <v>6</v>
      </c>
      <c r="O696" s="18" t="s">
        <v>93</v>
      </c>
      <c r="P696" s="18" t="s">
        <v>38</v>
      </c>
      <c r="Q696" s="18" t="s">
        <v>117</v>
      </c>
      <c r="R696" s="18" t="s">
        <v>59</v>
      </c>
      <c r="S696" s="18" t="s">
        <v>118</v>
      </c>
      <c r="T696" s="18" t="b">
        <v>0</v>
      </c>
      <c r="U696" s="18" t="s">
        <v>187</v>
      </c>
      <c r="V696" s="18" t="s">
        <v>40</v>
      </c>
      <c r="W696" s="18" t="s">
        <v>126</v>
      </c>
      <c r="X696" s="18" t="s">
        <v>127</v>
      </c>
      <c r="Y696" s="18">
        <v>1</v>
      </c>
      <c r="Z696" s="18">
        <v>1371</v>
      </c>
      <c r="AC696" s="18" t="e">
        <v>#N/A</v>
      </c>
    </row>
    <row r="697" s="18" customFormat="1" spans="1:29">
      <c r="A697" s="18" t="s">
        <v>1872</v>
      </c>
      <c r="B697" s="25" t="s">
        <v>1872</v>
      </c>
      <c r="C697" s="26">
        <v>45684</v>
      </c>
      <c r="D697" s="18" t="s">
        <v>1052</v>
      </c>
      <c r="E697" s="18" t="str">
        <f t="shared" si="10"/>
        <v>Sachin Jadhav </v>
      </c>
      <c r="F697" s="27" t="e">
        <v>#N/A</v>
      </c>
      <c r="G697" s="18" t="s">
        <v>182</v>
      </c>
      <c r="H697" s="18" t="s">
        <v>183</v>
      </c>
      <c r="I697" s="18" t="s">
        <v>481</v>
      </c>
      <c r="J697" s="18" t="s">
        <v>1491</v>
      </c>
      <c r="K697" s="18" t="s">
        <v>56</v>
      </c>
      <c r="L697" s="18" t="s">
        <v>36</v>
      </c>
      <c r="N697" s="18">
        <v>6</v>
      </c>
      <c r="O697" s="18" t="s">
        <v>93</v>
      </c>
      <c r="P697" s="18" t="s">
        <v>38</v>
      </c>
      <c r="Q697" s="18" t="s">
        <v>194</v>
      </c>
      <c r="R697" s="18" t="s">
        <v>59</v>
      </c>
      <c r="S697" s="18" t="s">
        <v>195</v>
      </c>
      <c r="T697" s="18" t="b">
        <v>0</v>
      </c>
      <c r="U697" s="18" t="s">
        <v>187</v>
      </c>
      <c r="V697" s="18" t="s">
        <v>40</v>
      </c>
      <c r="W697" s="18" t="s">
        <v>126</v>
      </c>
      <c r="X697" s="18" t="s">
        <v>127</v>
      </c>
      <c r="Y697" s="18">
        <v>1</v>
      </c>
      <c r="Z697" s="18">
        <v>704</v>
      </c>
      <c r="AC697" s="18" t="e">
        <v>#N/A</v>
      </c>
    </row>
    <row r="698" s="18" customFormat="1" spans="1:29">
      <c r="A698" s="18" t="s">
        <v>1873</v>
      </c>
      <c r="B698" s="25" t="s">
        <v>1873</v>
      </c>
      <c r="C698" s="26">
        <v>45684</v>
      </c>
      <c r="D698" s="18" t="s">
        <v>565</v>
      </c>
      <c r="E698" s="18" t="str">
        <f t="shared" si="10"/>
        <v>Abhimanyu Awate </v>
      </c>
      <c r="F698" s="27" t="e">
        <v>#N/A</v>
      </c>
      <c r="G698" s="18" t="s">
        <v>182</v>
      </c>
      <c r="H698" s="18" t="s">
        <v>183</v>
      </c>
      <c r="I698" s="18" t="s">
        <v>481</v>
      </c>
      <c r="J698" s="18" t="s">
        <v>1197</v>
      </c>
      <c r="K698" s="18" t="s">
        <v>56</v>
      </c>
      <c r="L698" s="18" t="s">
        <v>36</v>
      </c>
      <c r="N698" s="18">
        <v>6</v>
      </c>
      <c r="O698" s="18" t="s">
        <v>93</v>
      </c>
      <c r="P698" s="18" t="s">
        <v>38</v>
      </c>
      <c r="Q698" s="18" t="s">
        <v>194</v>
      </c>
      <c r="R698" s="18" t="s">
        <v>59</v>
      </c>
      <c r="S698" s="18" t="s">
        <v>195</v>
      </c>
      <c r="T698" s="18" t="b">
        <v>0</v>
      </c>
      <c r="U698" s="18" t="s">
        <v>187</v>
      </c>
      <c r="V698" s="18" t="s">
        <v>40</v>
      </c>
      <c r="W698" s="18" t="s">
        <v>126</v>
      </c>
      <c r="X698" s="18" t="s">
        <v>127</v>
      </c>
      <c r="Y698" s="18">
        <v>1</v>
      </c>
      <c r="Z698" s="18">
        <v>2466</v>
      </c>
      <c r="AC698" s="18" t="e">
        <v>#N/A</v>
      </c>
    </row>
    <row r="699" s="18" customFormat="1" spans="1:29">
      <c r="A699" s="18" t="s">
        <v>1874</v>
      </c>
      <c r="B699" s="25" t="s">
        <v>1874</v>
      </c>
      <c r="C699" s="26">
        <v>45684</v>
      </c>
      <c r="D699" s="18" t="s">
        <v>1052</v>
      </c>
      <c r="E699" s="18" t="str">
        <f t="shared" si="10"/>
        <v>Sachin Jadhav </v>
      </c>
      <c r="F699" s="27" t="e">
        <v>#N/A</v>
      </c>
      <c r="G699" s="18" t="s">
        <v>182</v>
      </c>
      <c r="H699" s="18" t="s">
        <v>183</v>
      </c>
      <c r="I699" s="18" t="s">
        <v>481</v>
      </c>
      <c r="J699" s="18" t="s">
        <v>1875</v>
      </c>
      <c r="K699" s="18" t="s">
        <v>56</v>
      </c>
      <c r="L699" s="18" t="s">
        <v>36</v>
      </c>
      <c r="N699" s="18">
        <v>6</v>
      </c>
      <c r="O699" s="18" t="s">
        <v>93</v>
      </c>
      <c r="P699" s="18" t="s">
        <v>38</v>
      </c>
      <c r="Q699" s="18" t="s">
        <v>194</v>
      </c>
      <c r="R699" s="18" t="s">
        <v>59</v>
      </c>
      <c r="S699" s="18" t="s">
        <v>195</v>
      </c>
      <c r="T699" s="18" t="b">
        <v>0</v>
      </c>
      <c r="U699" s="18" t="s">
        <v>187</v>
      </c>
      <c r="V699" s="18" t="s">
        <v>40</v>
      </c>
      <c r="W699" s="18" t="s">
        <v>126</v>
      </c>
      <c r="X699" s="18" t="s">
        <v>127</v>
      </c>
      <c r="Y699" s="18">
        <v>1</v>
      </c>
      <c r="Z699" s="18">
        <v>581</v>
      </c>
      <c r="AC699" s="18" t="e">
        <v>#N/A</v>
      </c>
    </row>
    <row r="700" s="18" customFormat="1" spans="1:29">
      <c r="A700" s="18" t="s">
        <v>1876</v>
      </c>
      <c r="B700" s="25" t="s">
        <v>1876</v>
      </c>
      <c r="C700" s="26">
        <v>45684</v>
      </c>
      <c r="D700" s="18" t="s">
        <v>261</v>
      </c>
      <c r="E700" s="18" t="str">
        <f t="shared" si="10"/>
        <v>Novex Communications Pvt. Ltd.</v>
      </c>
      <c r="F700" s="27" t="e">
        <v>#N/A</v>
      </c>
      <c r="G700" s="18" t="s">
        <v>182</v>
      </c>
      <c r="H700" s="18" t="s">
        <v>183</v>
      </c>
      <c r="I700" s="18" t="s">
        <v>159</v>
      </c>
      <c r="J700" s="18" t="s">
        <v>1609</v>
      </c>
      <c r="K700" s="18" t="s">
        <v>56</v>
      </c>
      <c r="L700" s="18" t="s">
        <v>36</v>
      </c>
      <c r="N700" s="18">
        <v>6</v>
      </c>
      <c r="O700" s="18" t="s">
        <v>88</v>
      </c>
      <c r="P700" s="18" t="s">
        <v>38</v>
      </c>
      <c r="Q700" s="18" t="s">
        <v>58</v>
      </c>
      <c r="R700" s="18" t="s">
        <v>59</v>
      </c>
      <c r="S700" s="18" t="s">
        <v>60</v>
      </c>
      <c r="T700" s="18" t="b">
        <v>0</v>
      </c>
      <c r="U700" s="18" t="s">
        <v>187</v>
      </c>
      <c r="V700" s="18" t="s">
        <v>40</v>
      </c>
      <c r="W700" s="18" t="s">
        <v>256</v>
      </c>
      <c r="X700" s="18" t="s">
        <v>257</v>
      </c>
      <c r="Y700" s="18">
        <v>1</v>
      </c>
      <c r="Z700" s="18">
        <v>18757.2</v>
      </c>
      <c r="AA700" s="18" t="s">
        <v>1877</v>
      </c>
      <c r="AB700" s="18" t="s">
        <v>1711</v>
      </c>
      <c r="AC700" s="18" t="s">
        <v>200</v>
      </c>
    </row>
    <row r="701" s="18" customFormat="1" ht="29" spans="1:29">
      <c r="A701" s="18" t="s">
        <v>1878</v>
      </c>
      <c r="B701" s="25" t="s">
        <v>1878</v>
      </c>
      <c r="C701" s="26">
        <v>45684</v>
      </c>
      <c r="D701" s="18" t="s">
        <v>1879</v>
      </c>
      <c r="E701" s="18" t="str">
        <f t="shared" si="10"/>
        <v>Skil Travel Pvt Ltd (CR)</v>
      </c>
      <c r="F701" s="27" t="e">
        <v>#N/A</v>
      </c>
      <c r="G701" s="18" t="s">
        <v>182</v>
      </c>
      <c r="H701" s="18" t="s">
        <v>183</v>
      </c>
      <c r="I701" s="18" t="s">
        <v>184</v>
      </c>
      <c r="J701" s="18" t="s">
        <v>1880</v>
      </c>
      <c r="K701" s="18" t="s">
        <v>56</v>
      </c>
      <c r="L701" s="18" t="s">
        <v>36</v>
      </c>
      <c r="N701" s="18">
        <v>6</v>
      </c>
      <c r="O701" s="18" t="s">
        <v>88</v>
      </c>
      <c r="P701" s="18" t="s">
        <v>38</v>
      </c>
      <c r="Q701" s="18" t="s">
        <v>194</v>
      </c>
      <c r="R701" s="18" t="s">
        <v>59</v>
      </c>
      <c r="S701" s="18" t="s">
        <v>195</v>
      </c>
      <c r="T701" s="18" t="b">
        <v>0</v>
      </c>
      <c r="U701" s="18" t="s">
        <v>187</v>
      </c>
      <c r="V701" s="18" t="s">
        <v>40</v>
      </c>
      <c r="W701" s="18" t="s">
        <v>250</v>
      </c>
      <c r="X701" s="18" t="s">
        <v>251</v>
      </c>
      <c r="Y701" s="18">
        <v>1</v>
      </c>
      <c r="Z701" s="18">
        <v>148500</v>
      </c>
      <c r="AA701" s="31" t="s">
        <v>962</v>
      </c>
      <c r="AB701" s="18" t="s">
        <v>963</v>
      </c>
      <c r="AC701" s="18" t="s">
        <v>200</v>
      </c>
    </row>
    <row r="702" s="18" customFormat="1" spans="1:29">
      <c r="A702" s="18" t="s">
        <v>1881</v>
      </c>
      <c r="B702" s="25" t="s">
        <v>1881</v>
      </c>
      <c r="C702" s="26">
        <v>45684</v>
      </c>
      <c r="D702" s="18" t="s">
        <v>1882</v>
      </c>
      <c r="E702" s="18" t="str">
        <f t="shared" si="10"/>
        <v>Mimo Retail Pvt Ltd (Amazon)</v>
      </c>
      <c r="F702" s="27" t="s">
        <v>1883</v>
      </c>
      <c r="G702" s="18" t="s">
        <v>182</v>
      </c>
      <c r="H702" s="18" t="s">
        <v>183</v>
      </c>
      <c r="I702" s="18" t="s">
        <v>184</v>
      </c>
      <c r="J702" s="18" t="s">
        <v>1884</v>
      </c>
      <c r="K702" s="18" t="s">
        <v>56</v>
      </c>
      <c r="L702" s="18" t="s">
        <v>36</v>
      </c>
      <c r="N702" s="18">
        <v>6</v>
      </c>
      <c r="O702" s="18" t="s">
        <v>57</v>
      </c>
      <c r="P702" s="18" t="s">
        <v>38</v>
      </c>
      <c r="Q702" s="18" t="s">
        <v>117</v>
      </c>
      <c r="R702" s="18" t="s">
        <v>59</v>
      </c>
      <c r="S702" s="18" t="s">
        <v>118</v>
      </c>
      <c r="T702" s="18" t="b">
        <v>0</v>
      </c>
      <c r="U702" s="18" t="s">
        <v>187</v>
      </c>
      <c r="V702" s="18" t="s">
        <v>40</v>
      </c>
      <c r="W702" s="18" t="s">
        <v>140</v>
      </c>
      <c r="X702" s="18" t="s">
        <v>141</v>
      </c>
      <c r="Y702" s="18">
        <v>1</v>
      </c>
      <c r="Z702" s="18">
        <v>3050</v>
      </c>
      <c r="AA702" s="18" t="s">
        <v>121</v>
      </c>
      <c r="AB702" s="18" t="s">
        <v>122</v>
      </c>
      <c r="AC702" s="18" t="s">
        <v>200</v>
      </c>
    </row>
    <row r="703" s="18" customFormat="1" spans="1:29">
      <c r="A703" s="18" t="s">
        <v>1885</v>
      </c>
      <c r="B703" s="25" t="s">
        <v>1885</v>
      </c>
      <c r="C703" s="26">
        <v>45684</v>
      </c>
      <c r="D703" s="18" t="s">
        <v>1886</v>
      </c>
      <c r="E703" s="18" t="str">
        <f t="shared" si="10"/>
        <v>Kalasiddha Creations</v>
      </c>
      <c r="F703" s="27" t="s">
        <v>1887</v>
      </c>
      <c r="G703" s="18" t="s">
        <v>182</v>
      </c>
      <c r="H703" s="18" t="s">
        <v>183</v>
      </c>
      <c r="I703" s="18" t="s">
        <v>133</v>
      </c>
      <c r="J703" s="18" t="s">
        <v>1884</v>
      </c>
      <c r="K703" s="18" t="s">
        <v>56</v>
      </c>
      <c r="L703" s="18" t="s">
        <v>36</v>
      </c>
      <c r="N703" s="18">
        <v>6</v>
      </c>
      <c r="O703" s="18" t="s">
        <v>88</v>
      </c>
      <c r="P703" s="18" t="s">
        <v>38</v>
      </c>
      <c r="Q703" s="18" t="s">
        <v>117</v>
      </c>
      <c r="R703" s="18" t="s">
        <v>59</v>
      </c>
      <c r="S703" s="18" t="s">
        <v>118</v>
      </c>
      <c r="T703" s="18" t="b">
        <v>0</v>
      </c>
      <c r="U703" s="18" t="s">
        <v>187</v>
      </c>
      <c r="V703" s="18" t="s">
        <v>40</v>
      </c>
      <c r="W703" s="18" t="s">
        <v>317</v>
      </c>
      <c r="X703" s="18" t="s">
        <v>318</v>
      </c>
      <c r="Y703" s="18">
        <v>1</v>
      </c>
      <c r="Z703" s="18">
        <v>347250</v>
      </c>
      <c r="AA703" s="18" t="s">
        <v>121</v>
      </c>
      <c r="AB703" s="18" t="s">
        <v>122</v>
      </c>
      <c r="AC703" s="18" t="s">
        <v>200</v>
      </c>
    </row>
    <row r="704" s="18" customFormat="1" ht="29" spans="1:29">
      <c r="A704" s="18" t="s">
        <v>1888</v>
      </c>
      <c r="B704" s="25" t="s">
        <v>1888</v>
      </c>
      <c r="C704" s="26">
        <v>45684</v>
      </c>
      <c r="D704" s="18" t="s">
        <v>247</v>
      </c>
      <c r="E704" s="18" t="str">
        <f t="shared" si="10"/>
        <v>Black Hat Talent Solutions &amp; Consulting Pvt Ltd</v>
      </c>
      <c r="F704" s="27" t="s">
        <v>248</v>
      </c>
      <c r="G704" s="18" t="s">
        <v>182</v>
      </c>
      <c r="H704" s="18" t="s">
        <v>183</v>
      </c>
      <c r="I704" s="18" t="s">
        <v>184</v>
      </c>
      <c r="J704" s="18" t="s">
        <v>1889</v>
      </c>
      <c r="K704" s="18" t="s">
        <v>56</v>
      </c>
      <c r="L704" s="18" t="s">
        <v>36</v>
      </c>
      <c r="N704" s="18">
        <v>6</v>
      </c>
      <c r="O704" s="18" t="s">
        <v>57</v>
      </c>
      <c r="P704" s="18" t="s">
        <v>38</v>
      </c>
      <c r="Q704" s="18" t="s">
        <v>194</v>
      </c>
      <c r="R704" s="18" t="s">
        <v>59</v>
      </c>
      <c r="S704" s="18" t="s">
        <v>195</v>
      </c>
      <c r="T704" s="18" t="b">
        <v>0</v>
      </c>
      <c r="U704" s="18" t="s">
        <v>187</v>
      </c>
      <c r="V704" s="18" t="s">
        <v>40</v>
      </c>
      <c r="W704" s="18" t="s">
        <v>250</v>
      </c>
      <c r="X704" s="18" t="s">
        <v>251</v>
      </c>
      <c r="Y704" s="18">
        <v>1</v>
      </c>
      <c r="Z704" s="18">
        <v>350000</v>
      </c>
      <c r="AA704" s="31" t="s">
        <v>800</v>
      </c>
      <c r="AB704" s="18" t="s">
        <v>798</v>
      </c>
      <c r="AC704" s="18" t="s">
        <v>200</v>
      </c>
    </row>
    <row r="705" s="18" customFormat="1" spans="1:29">
      <c r="A705" s="18" t="s">
        <v>1890</v>
      </c>
      <c r="B705" s="25" t="s">
        <v>1890</v>
      </c>
      <c r="C705" s="26">
        <v>45684</v>
      </c>
      <c r="D705" s="18" t="s">
        <v>472</v>
      </c>
      <c r="E705" s="18" t="e">
        <f t="shared" si="10"/>
        <v>#N/A</v>
      </c>
      <c r="F705" s="27" t="e">
        <v>#N/A</v>
      </c>
      <c r="G705" s="18" t="s">
        <v>182</v>
      </c>
      <c r="H705" s="18" t="s">
        <v>183</v>
      </c>
      <c r="I705" s="18" t="s">
        <v>54</v>
      </c>
      <c r="K705" s="18" t="s">
        <v>35</v>
      </c>
      <c r="L705" s="18" t="s">
        <v>36</v>
      </c>
      <c r="N705" s="18">
        <v>6</v>
      </c>
      <c r="P705" s="18" t="s">
        <v>38</v>
      </c>
      <c r="T705" s="18" t="b">
        <v>0</v>
      </c>
      <c r="U705" s="18" t="s">
        <v>187</v>
      </c>
      <c r="V705" s="18" t="s">
        <v>40</v>
      </c>
      <c r="W705" s="18" t="e">
        <v>#N/A</v>
      </c>
      <c r="X705" s="18" t="e">
        <v>#N/A</v>
      </c>
      <c r="Y705" s="18" t="e">
        <v>#N/A</v>
      </c>
      <c r="Z705" s="18" t="e">
        <v>#N/A</v>
      </c>
      <c r="AC705" s="18" t="e">
        <v>#N/A</v>
      </c>
    </row>
    <row r="706" s="18" customFormat="1" spans="1:29">
      <c r="A706" s="18" t="s">
        <v>1891</v>
      </c>
      <c r="B706" s="25" t="s">
        <v>1891</v>
      </c>
      <c r="C706" s="26">
        <v>45684</v>
      </c>
      <c r="D706" s="18" t="s">
        <v>1886</v>
      </c>
      <c r="E706" s="18" t="str">
        <f t="shared" si="10"/>
        <v>Kalasiddha Creations</v>
      </c>
      <c r="F706" s="27" t="s">
        <v>1887</v>
      </c>
      <c r="G706" s="18" t="s">
        <v>182</v>
      </c>
      <c r="H706" s="18" t="s">
        <v>183</v>
      </c>
      <c r="I706" s="18" t="s">
        <v>34</v>
      </c>
      <c r="J706" s="18" t="s">
        <v>115</v>
      </c>
      <c r="K706" s="18" t="s">
        <v>56</v>
      </c>
      <c r="L706" s="18" t="s">
        <v>36</v>
      </c>
      <c r="N706" s="18">
        <v>6</v>
      </c>
      <c r="O706" s="18" t="s">
        <v>88</v>
      </c>
      <c r="P706" s="18" t="s">
        <v>38</v>
      </c>
      <c r="Q706" s="18" t="s">
        <v>117</v>
      </c>
      <c r="R706" s="18" t="s">
        <v>59</v>
      </c>
      <c r="S706" s="18" t="s">
        <v>118</v>
      </c>
      <c r="T706" s="18" t="b">
        <v>0</v>
      </c>
      <c r="U706" s="18" t="s">
        <v>187</v>
      </c>
      <c r="V706" s="18" t="s">
        <v>40</v>
      </c>
      <c r="W706" s="18" t="s">
        <v>317</v>
      </c>
      <c r="X706" s="18" t="s">
        <v>318</v>
      </c>
      <c r="Y706" s="18">
        <v>1</v>
      </c>
      <c r="Z706" s="18">
        <v>1425000</v>
      </c>
      <c r="AA706" s="18" t="s">
        <v>121</v>
      </c>
      <c r="AB706" s="18" t="s">
        <v>122</v>
      </c>
      <c r="AC706" s="18" t="s">
        <v>200</v>
      </c>
    </row>
    <row r="707" s="18" customFormat="1" spans="1:29">
      <c r="A707" s="18" t="s">
        <v>1892</v>
      </c>
      <c r="B707" s="25" t="s">
        <v>1892</v>
      </c>
      <c r="C707" s="26">
        <v>45684</v>
      </c>
      <c r="D707" s="18" t="s">
        <v>1893</v>
      </c>
      <c r="E707" s="18" t="str">
        <f t="shared" ref="E707:E770" si="11">_xlfn.TEXTBEFORE(D707,"-")</f>
        <v>Right Angle Productions LLP</v>
      </c>
      <c r="F707" s="27" t="s">
        <v>1894</v>
      </c>
      <c r="G707" s="18" t="s">
        <v>182</v>
      </c>
      <c r="H707" s="18" t="s">
        <v>183</v>
      </c>
      <c r="I707" s="18" t="s">
        <v>34</v>
      </c>
      <c r="J707" s="18" t="s">
        <v>115</v>
      </c>
      <c r="K707" s="18" t="s">
        <v>56</v>
      </c>
      <c r="L707" s="18" t="s">
        <v>36</v>
      </c>
      <c r="N707" s="18">
        <v>6</v>
      </c>
      <c r="O707" s="18" t="s">
        <v>88</v>
      </c>
      <c r="P707" s="18" t="s">
        <v>38</v>
      </c>
      <c r="Q707" s="18" t="s">
        <v>117</v>
      </c>
      <c r="R707" s="18" t="s">
        <v>59</v>
      </c>
      <c r="S707" s="18" t="s">
        <v>118</v>
      </c>
      <c r="T707" s="18" t="b">
        <v>0</v>
      </c>
      <c r="U707" s="18" t="s">
        <v>187</v>
      </c>
      <c r="V707" s="18" t="s">
        <v>40</v>
      </c>
      <c r="W707" s="18" t="s">
        <v>151</v>
      </c>
      <c r="X707" s="18" t="s">
        <v>152</v>
      </c>
      <c r="Y707" s="18">
        <v>1</v>
      </c>
      <c r="Z707" s="18">
        <v>930000</v>
      </c>
      <c r="AA707" s="18" t="s">
        <v>121</v>
      </c>
      <c r="AB707" s="18" t="s">
        <v>122</v>
      </c>
      <c r="AC707" s="18" t="s">
        <v>200</v>
      </c>
    </row>
    <row r="708" s="18" customFormat="1" spans="1:29">
      <c r="A708" s="18" t="s">
        <v>1895</v>
      </c>
      <c r="B708" s="25" t="s">
        <v>1895</v>
      </c>
      <c r="C708" s="26">
        <v>45684</v>
      </c>
      <c r="D708" s="18" t="s">
        <v>1896</v>
      </c>
      <c r="E708" s="18" t="str">
        <f t="shared" si="11"/>
        <v>Sagar Services</v>
      </c>
      <c r="F708" s="27" t="s">
        <v>1897</v>
      </c>
      <c r="G708" s="18" t="s">
        <v>182</v>
      </c>
      <c r="H708" s="18" t="s">
        <v>183</v>
      </c>
      <c r="I708" s="18" t="s">
        <v>34</v>
      </c>
      <c r="J708" s="18" t="s">
        <v>115</v>
      </c>
      <c r="K708" s="18" t="s">
        <v>56</v>
      </c>
      <c r="L708" s="18" t="s">
        <v>36</v>
      </c>
      <c r="N708" s="18">
        <v>6</v>
      </c>
      <c r="O708" s="18" t="s">
        <v>57</v>
      </c>
      <c r="P708" s="18" t="s">
        <v>38</v>
      </c>
      <c r="Q708" s="18" t="s">
        <v>117</v>
      </c>
      <c r="R708" s="18" t="s">
        <v>59</v>
      </c>
      <c r="S708" s="18" t="s">
        <v>118</v>
      </c>
      <c r="T708" s="18" t="b">
        <v>0</v>
      </c>
      <c r="U708" s="18" t="s">
        <v>187</v>
      </c>
      <c r="V708" s="18" t="s">
        <v>40</v>
      </c>
      <c r="W708" s="18" t="s">
        <v>151</v>
      </c>
      <c r="X708" s="18" t="s">
        <v>152</v>
      </c>
      <c r="Y708" s="18">
        <v>1</v>
      </c>
      <c r="Z708" s="18">
        <v>104000</v>
      </c>
      <c r="AA708" s="18" t="s">
        <v>121</v>
      </c>
      <c r="AB708" s="18" t="s">
        <v>122</v>
      </c>
      <c r="AC708" s="18" t="s">
        <v>200</v>
      </c>
    </row>
    <row r="709" s="18" customFormat="1" spans="1:29">
      <c r="A709" s="18" t="s">
        <v>1898</v>
      </c>
      <c r="B709" s="25" t="s">
        <v>1898</v>
      </c>
      <c r="C709" s="26">
        <v>45684</v>
      </c>
      <c r="D709" s="18" t="s">
        <v>1899</v>
      </c>
      <c r="E709" s="18" t="str">
        <f t="shared" si="11"/>
        <v>Sai Leela Enterprises</v>
      </c>
      <c r="F709" s="27" t="s">
        <v>1900</v>
      </c>
      <c r="G709" s="18" t="s">
        <v>182</v>
      </c>
      <c r="H709" s="18" t="s">
        <v>183</v>
      </c>
      <c r="I709" s="18" t="s">
        <v>34</v>
      </c>
      <c r="J709" s="18" t="s">
        <v>115</v>
      </c>
      <c r="K709" s="18" t="s">
        <v>56</v>
      </c>
      <c r="L709" s="18" t="s">
        <v>36</v>
      </c>
      <c r="N709" s="18">
        <v>6</v>
      </c>
      <c r="O709" s="18" t="s">
        <v>57</v>
      </c>
      <c r="P709" s="18" t="s">
        <v>38</v>
      </c>
      <c r="Q709" s="18" t="s">
        <v>117</v>
      </c>
      <c r="R709" s="18" t="s">
        <v>59</v>
      </c>
      <c r="S709" s="18" t="s">
        <v>118</v>
      </c>
      <c r="T709" s="18" t="b">
        <v>0</v>
      </c>
      <c r="U709" s="18" t="s">
        <v>187</v>
      </c>
      <c r="V709" s="18" t="s">
        <v>40</v>
      </c>
      <c r="W709" s="18" t="s">
        <v>347</v>
      </c>
      <c r="X709" s="18" t="s">
        <v>348</v>
      </c>
      <c r="Y709" s="18">
        <v>1</v>
      </c>
      <c r="Z709" s="18">
        <v>58000</v>
      </c>
      <c r="AA709" s="18" t="s">
        <v>121</v>
      </c>
      <c r="AB709" s="18" t="s">
        <v>122</v>
      </c>
      <c r="AC709" s="18" t="s">
        <v>200</v>
      </c>
    </row>
    <row r="710" s="18" customFormat="1" spans="1:29">
      <c r="A710" s="18" t="s">
        <v>1901</v>
      </c>
      <c r="B710" s="25" t="s">
        <v>1901</v>
      </c>
      <c r="C710" s="26">
        <v>45684</v>
      </c>
      <c r="D710" s="18" t="s">
        <v>572</v>
      </c>
      <c r="E710" s="18" t="str">
        <f t="shared" si="11"/>
        <v>Emblaze Events (Sunita Harihar Sharma)</v>
      </c>
      <c r="F710" s="27" t="s">
        <v>573</v>
      </c>
      <c r="G710" s="18" t="s">
        <v>182</v>
      </c>
      <c r="H710" s="18" t="s">
        <v>183</v>
      </c>
      <c r="I710" s="18" t="s">
        <v>34</v>
      </c>
      <c r="J710" s="18" t="s">
        <v>115</v>
      </c>
      <c r="K710" s="18" t="s">
        <v>56</v>
      </c>
      <c r="L710" s="18" t="s">
        <v>36</v>
      </c>
      <c r="N710" s="18">
        <v>6</v>
      </c>
      <c r="O710" s="18" t="s">
        <v>88</v>
      </c>
      <c r="P710" s="18" t="s">
        <v>38</v>
      </c>
      <c r="Q710" s="18" t="s">
        <v>117</v>
      </c>
      <c r="R710" s="18" t="s">
        <v>59</v>
      </c>
      <c r="S710" s="18" t="s">
        <v>118</v>
      </c>
      <c r="T710" s="18" t="b">
        <v>0</v>
      </c>
      <c r="U710" s="18" t="s">
        <v>187</v>
      </c>
      <c r="V710" s="18" t="s">
        <v>40</v>
      </c>
      <c r="W710" s="18" t="s">
        <v>292</v>
      </c>
      <c r="X710" s="18" t="s">
        <v>293</v>
      </c>
      <c r="Y710" s="18">
        <v>1</v>
      </c>
      <c r="Z710" s="18">
        <v>26000</v>
      </c>
      <c r="AA710" s="18" t="s">
        <v>121</v>
      </c>
      <c r="AB710" s="18" t="s">
        <v>122</v>
      </c>
      <c r="AC710" s="18" t="s">
        <v>200</v>
      </c>
    </row>
    <row r="711" s="18" customFormat="1" ht="29" spans="1:29">
      <c r="A711" s="18" t="s">
        <v>1902</v>
      </c>
      <c r="B711" s="25" t="s">
        <v>1902</v>
      </c>
      <c r="C711" s="26">
        <v>45684</v>
      </c>
      <c r="D711" s="18" t="s">
        <v>1903</v>
      </c>
      <c r="E711" s="18" t="str">
        <f t="shared" si="11"/>
        <v>Hanja Express</v>
      </c>
      <c r="F711" s="27" t="s">
        <v>1904</v>
      </c>
      <c r="G711" s="18" t="s">
        <v>182</v>
      </c>
      <c r="H711" s="18" t="s">
        <v>183</v>
      </c>
      <c r="I711" s="18" t="s">
        <v>184</v>
      </c>
      <c r="J711" s="18" t="s">
        <v>1131</v>
      </c>
      <c r="K711" s="18" t="s">
        <v>56</v>
      </c>
      <c r="L711" s="18" t="s">
        <v>36</v>
      </c>
      <c r="N711" s="18">
        <v>6</v>
      </c>
      <c r="O711" s="18" t="s">
        <v>57</v>
      </c>
      <c r="P711" s="18" t="s">
        <v>38</v>
      </c>
      <c r="Q711" s="18" t="s">
        <v>194</v>
      </c>
      <c r="R711" s="18" t="s">
        <v>59</v>
      </c>
      <c r="S711" s="18" t="s">
        <v>195</v>
      </c>
      <c r="T711" s="18" t="b">
        <v>0</v>
      </c>
      <c r="U711" s="18" t="s">
        <v>187</v>
      </c>
      <c r="V711" s="18" t="s">
        <v>40</v>
      </c>
      <c r="W711" s="18" t="s">
        <v>205</v>
      </c>
      <c r="X711" s="18" t="s">
        <v>205</v>
      </c>
      <c r="Y711" s="18">
        <v>1</v>
      </c>
      <c r="Z711" s="18">
        <v>600</v>
      </c>
      <c r="AA711" s="31" t="s">
        <v>1905</v>
      </c>
      <c r="AB711" s="18" t="s">
        <v>779</v>
      </c>
      <c r="AC711" s="18" t="s">
        <v>200</v>
      </c>
    </row>
    <row r="712" s="18" customFormat="1" spans="1:29">
      <c r="A712" s="18" t="s">
        <v>1906</v>
      </c>
      <c r="B712" s="25" t="s">
        <v>1906</v>
      </c>
      <c r="C712" s="26">
        <v>45685</v>
      </c>
      <c r="D712" s="18" t="s">
        <v>1133</v>
      </c>
      <c r="E712" s="18" t="str">
        <f t="shared" si="11"/>
        <v>Anurama V  </v>
      </c>
      <c r="F712" s="27" t="e">
        <v>#N/A</v>
      </c>
      <c r="G712" s="18" t="s">
        <v>32</v>
      </c>
      <c r="H712" s="18" t="s">
        <v>33</v>
      </c>
      <c r="I712" s="18" t="s">
        <v>34</v>
      </c>
      <c r="K712" s="18" t="s">
        <v>35</v>
      </c>
      <c r="L712" s="18" t="s">
        <v>36</v>
      </c>
      <c r="N712" s="18">
        <v>6</v>
      </c>
      <c r="O712" s="18" t="s">
        <v>93</v>
      </c>
      <c r="P712" s="18" t="s">
        <v>38</v>
      </c>
      <c r="T712" s="18" t="b">
        <v>1</v>
      </c>
      <c r="U712" s="18" t="s">
        <v>39</v>
      </c>
      <c r="V712" s="18" t="s">
        <v>40</v>
      </c>
      <c r="W712" s="18" t="s">
        <v>134</v>
      </c>
      <c r="X712" s="18" t="s">
        <v>135</v>
      </c>
      <c r="Y712" s="18">
        <v>1</v>
      </c>
      <c r="Z712" s="18">
        <v>19000</v>
      </c>
      <c r="AA712" s="18" t="s">
        <v>334</v>
      </c>
      <c r="AB712" s="18" t="s">
        <v>335</v>
      </c>
      <c r="AC712" s="18" t="e">
        <v>#N/A</v>
      </c>
    </row>
    <row r="713" s="18" customFormat="1" spans="1:29">
      <c r="A713" s="18" t="s">
        <v>1907</v>
      </c>
      <c r="B713" s="25" t="s">
        <v>1907</v>
      </c>
      <c r="C713" s="26">
        <v>45685</v>
      </c>
      <c r="D713" s="18" t="s">
        <v>1133</v>
      </c>
      <c r="E713" s="18" t="str">
        <f t="shared" si="11"/>
        <v>Anurama V  </v>
      </c>
      <c r="F713" s="27" t="e">
        <v>#N/A</v>
      </c>
      <c r="G713" s="18" t="s">
        <v>32</v>
      </c>
      <c r="H713" s="18" t="s">
        <v>33</v>
      </c>
      <c r="I713" s="18" t="s">
        <v>34</v>
      </c>
      <c r="K713" s="18" t="s">
        <v>35</v>
      </c>
      <c r="L713" s="18" t="s">
        <v>36</v>
      </c>
      <c r="N713" s="18">
        <v>6</v>
      </c>
      <c r="O713" s="18" t="s">
        <v>93</v>
      </c>
      <c r="P713" s="18" t="s">
        <v>38</v>
      </c>
      <c r="T713" s="18" t="b">
        <v>1</v>
      </c>
      <c r="U713" s="18" t="s">
        <v>39</v>
      </c>
      <c r="V713" s="18" t="s">
        <v>40</v>
      </c>
      <c r="W713" s="18" t="s">
        <v>127</v>
      </c>
      <c r="X713" s="18" t="s">
        <v>127</v>
      </c>
      <c r="Y713" s="18">
        <v>1</v>
      </c>
      <c r="Z713" s="18">
        <v>475</v>
      </c>
      <c r="AA713" s="18" t="s">
        <v>334</v>
      </c>
      <c r="AB713" s="18" t="s">
        <v>335</v>
      </c>
      <c r="AC713" s="18" t="e">
        <v>#N/A</v>
      </c>
    </row>
    <row r="714" s="18" customFormat="1" spans="1:29">
      <c r="A714" s="18" t="s">
        <v>1908</v>
      </c>
      <c r="B714" s="25" t="s">
        <v>1908</v>
      </c>
      <c r="C714" s="26">
        <v>45685</v>
      </c>
      <c r="D714" s="18" t="s">
        <v>1133</v>
      </c>
      <c r="E714" s="18" t="str">
        <f t="shared" si="11"/>
        <v>Anurama V  </v>
      </c>
      <c r="F714" s="27" t="e">
        <v>#N/A</v>
      </c>
      <c r="G714" s="18" t="s">
        <v>32</v>
      </c>
      <c r="H714" s="18" t="s">
        <v>33</v>
      </c>
      <c r="I714" s="18" t="s">
        <v>34</v>
      </c>
      <c r="K714" s="18" t="s">
        <v>35</v>
      </c>
      <c r="L714" s="18" t="s">
        <v>36</v>
      </c>
      <c r="N714" s="18">
        <v>6</v>
      </c>
      <c r="O714" s="18" t="s">
        <v>93</v>
      </c>
      <c r="P714" s="18" t="s">
        <v>38</v>
      </c>
      <c r="T714" s="18" t="b">
        <v>1</v>
      </c>
      <c r="U714" s="18" t="s">
        <v>39</v>
      </c>
      <c r="V714" s="18" t="s">
        <v>40</v>
      </c>
      <c r="W714" s="18" t="s">
        <v>134</v>
      </c>
      <c r="X714" s="18" t="s">
        <v>135</v>
      </c>
      <c r="Y714" s="18">
        <v>1</v>
      </c>
      <c r="Z714" s="18">
        <v>3393</v>
      </c>
      <c r="AA714" s="18" t="s">
        <v>334</v>
      </c>
      <c r="AB714" s="18" t="s">
        <v>335</v>
      </c>
      <c r="AC714" s="18" t="e">
        <v>#N/A</v>
      </c>
    </row>
    <row r="715" s="18" customFormat="1" spans="1:29">
      <c r="A715" s="18" t="s">
        <v>1909</v>
      </c>
      <c r="B715" s="25" t="s">
        <v>1909</v>
      </c>
      <c r="C715" s="26">
        <v>45685</v>
      </c>
      <c r="D715" s="18" t="s">
        <v>278</v>
      </c>
      <c r="E715" s="18" t="str">
        <f t="shared" si="11"/>
        <v>Time Marketing</v>
      </c>
      <c r="F715" s="27" t="s">
        <v>279</v>
      </c>
      <c r="G715" s="18" t="s">
        <v>32</v>
      </c>
      <c r="H715" s="18" t="s">
        <v>33</v>
      </c>
      <c r="I715" s="18" t="s">
        <v>54</v>
      </c>
      <c r="J715" s="18" t="s">
        <v>139</v>
      </c>
      <c r="K715" s="18" t="s">
        <v>56</v>
      </c>
      <c r="L715" s="18" t="s">
        <v>36</v>
      </c>
      <c r="N715" s="18">
        <v>6</v>
      </c>
      <c r="O715" s="18" t="s">
        <v>88</v>
      </c>
      <c r="P715" s="18" t="s">
        <v>38</v>
      </c>
      <c r="Q715" s="18" t="s">
        <v>58</v>
      </c>
      <c r="R715" s="18" t="s">
        <v>59</v>
      </c>
      <c r="S715" s="18" t="s">
        <v>60</v>
      </c>
      <c r="T715" s="18" t="b">
        <v>1</v>
      </c>
      <c r="U715" s="18" t="s">
        <v>39</v>
      </c>
      <c r="V715" s="18" t="s">
        <v>40</v>
      </c>
      <c r="W715" s="18" t="s">
        <v>140</v>
      </c>
      <c r="X715" s="18" t="s">
        <v>141</v>
      </c>
      <c r="Y715" s="18">
        <v>1</v>
      </c>
      <c r="Z715" s="18">
        <v>18500</v>
      </c>
      <c r="AA715" s="18" t="s">
        <v>303</v>
      </c>
      <c r="AB715" s="18" t="s">
        <v>282</v>
      </c>
      <c r="AC715" s="18" t="s">
        <v>43</v>
      </c>
    </row>
    <row r="716" s="18" customFormat="1" spans="1:29">
      <c r="A716" s="18" t="s">
        <v>1910</v>
      </c>
      <c r="B716" s="25" t="s">
        <v>1910</v>
      </c>
      <c r="C716" s="26">
        <v>45685</v>
      </c>
      <c r="D716" s="18" t="s">
        <v>301</v>
      </c>
      <c r="E716" s="18" t="str">
        <f t="shared" si="11"/>
        <v>Yash Gifts</v>
      </c>
      <c r="F716" s="27" t="s">
        <v>302</v>
      </c>
      <c r="G716" s="18" t="s">
        <v>32</v>
      </c>
      <c r="H716" s="18" t="s">
        <v>33</v>
      </c>
      <c r="I716" s="18" t="s">
        <v>54</v>
      </c>
      <c r="J716" s="18" t="s">
        <v>139</v>
      </c>
      <c r="K716" s="18" t="s">
        <v>56</v>
      </c>
      <c r="L716" s="18" t="s">
        <v>36</v>
      </c>
      <c r="N716" s="18">
        <v>6</v>
      </c>
      <c r="O716" s="18" t="s">
        <v>88</v>
      </c>
      <c r="P716" s="18" t="s">
        <v>38</v>
      </c>
      <c r="Q716" s="18" t="s">
        <v>58</v>
      </c>
      <c r="R716" s="18" t="s">
        <v>59</v>
      </c>
      <c r="S716" s="18" t="s">
        <v>60</v>
      </c>
      <c r="T716" s="18" t="b">
        <v>1</v>
      </c>
      <c r="U716" s="18" t="s">
        <v>39</v>
      </c>
      <c r="V716" s="18" t="s">
        <v>40</v>
      </c>
      <c r="W716" s="18" t="s">
        <v>140</v>
      </c>
      <c r="X716" s="18" t="s">
        <v>141</v>
      </c>
      <c r="Y716" s="18">
        <v>1</v>
      </c>
      <c r="Z716" s="18">
        <v>17900</v>
      </c>
      <c r="AA716" s="18" t="s">
        <v>303</v>
      </c>
      <c r="AB716" s="18" t="s">
        <v>282</v>
      </c>
      <c r="AC716" s="18" t="s">
        <v>43</v>
      </c>
    </row>
    <row r="717" s="18" customFormat="1" spans="1:29">
      <c r="A717" s="18" t="s">
        <v>1911</v>
      </c>
      <c r="B717" s="25" t="s">
        <v>1911</v>
      </c>
      <c r="C717" s="26">
        <v>45685</v>
      </c>
      <c r="D717" s="18" t="s">
        <v>1912</v>
      </c>
      <c r="E717" s="18" t="str">
        <f t="shared" si="11"/>
        <v>Mervin  </v>
      </c>
      <c r="F717" s="27" t="e">
        <v>#N/A</v>
      </c>
      <c r="G717" s="18" t="s">
        <v>32</v>
      </c>
      <c r="H717" s="18" t="s">
        <v>33</v>
      </c>
      <c r="I717" s="18" t="s">
        <v>34</v>
      </c>
      <c r="J717" s="18" t="s">
        <v>1581</v>
      </c>
      <c r="K717" s="18" t="s">
        <v>56</v>
      </c>
      <c r="L717" s="18" t="s">
        <v>36</v>
      </c>
      <c r="N717" s="18">
        <v>6</v>
      </c>
      <c r="O717" s="18" t="s">
        <v>93</v>
      </c>
      <c r="P717" s="18" t="s">
        <v>38</v>
      </c>
      <c r="Q717" s="18" t="s">
        <v>117</v>
      </c>
      <c r="R717" s="18" t="s">
        <v>59</v>
      </c>
      <c r="S717" s="18" t="s">
        <v>118</v>
      </c>
      <c r="T717" s="18" t="b">
        <v>1</v>
      </c>
      <c r="U717" s="18" t="s">
        <v>39</v>
      </c>
      <c r="V717" s="18" t="s">
        <v>40</v>
      </c>
      <c r="W717" s="18" t="s">
        <v>126</v>
      </c>
      <c r="X717" s="18" t="s">
        <v>127</v>
      </c>
      <c r="Y717" s="18">
        <v>1</v>
      </c>
      <c r="Z717" s="18">
        <v>399</v>
      </c>
      <c r="AA717" s="18" t="s">
        <v>1913</v>
      </c>
      <c r="AB717" s="18" t="s">
        <v>790</v>
      </c>
      <c r="AC717" s="18" t="e">
        <v>#N/A</v>
      </c>
    </row>
    <row r="718" s="18" customFormat="1" spans="1:29">
      <c r="A718" s="18" t="s">
        <v>1914</v>
      </c>
      <c r="B718" s="25" t="s">
        <v>1914</v>
      </c>
      <c r="C718" s="26">
        <v>45685</v>
      </c>
      <c r="D718" s="18" t="s">
        <v>1133</v>
      </c>
      <c r="E718" s="18" t="str">
        <f t="shared" si="11"/>
        <v>Anurama V  </v>
      </c>
      <c r="F718" s="27" t="e">
        <v>#N/A</v>
      </c>
      <c r="G718" s="18" t="s">
        <v>32</v>
      </c>
      <c r="H718" s="18" t="s">
        <v>33</v>
      </c>
      <c r="I718" s="18" t="s">
        <v>34</v>
      </c>
      <c r="K718" s="18" t="s">
        <v>35</v>
      </c>
      <c r="L718" s="18" t="s">
        <v>36</v>
      </c>
      <c r="N718" s="18">
        <v>6</v>
      </c>
      <c r="O718" s="18" t="s">
        <v>93</v>
      </c>
      <c r="P718" s="18" t="s">
        <v>38</v>
      </c>
      <c r="T718" s="18" t="b">
        <v>1</v>
      </c>
      <c r="U718" s="18" t="s">
        <v>39</v>
      </c>
      <c r="V718" s="18" t="s">
        <v>40</v>
      </c>
      <c r="W718" s="18" t="s">
        <v>134</v>
      </c>
      <c r="X718" s="18" t="s">
        <v>135</v>
      </c>
      <c r="Y718" s="18">
        <v>1</v>
      </c>
      <c r="Z718" s="18">
        <v>2670</v>
      </c>
      <c r="AA718" s="18" t="s">
        <v>334</v>
      </c>
      <c r="AB718" s="18" t="s">
        <v>335</v>
      </c>
      <c r="AC718" s="18" t="e">
        <v>#N/A</v>
      </c>
    </row>
    <row r="719" s="19" customFormat="1" spans="1:29">
      <c r="A719" s="19" t="s">
        <v>1915</v>
      </c>
      <c r="B719" s="28" t="s">
        <v>1915</v>
      </c>
      <c r="C719" s="29">
        <v>45685</v>
      </c>
      <c r="D719" s="19" t="s">
        <v>1133</v>
      </c>
      <c r="E719" s="19" t="str">
        <f t="shared" si="11"/>
        <v>Anurama V  </v>
      </c>
      <c r="F719" s="30" t="e">
        <v>#N/A</v>
      </c>
      <c r="G719" s="19" t="s">
        <v>32</v>
      </c>
      <c r="H719" s="19" t="s">
        <v>33</v>
      </c>
      <c r="I719" s="19" t="s">
        <v>34</v>
      </c>
      <c r="K719" s="19" t="s">
        <v>35</v>
      </c>
      <c r="L719" s="19" t="s">
        <v>36</v>
      </c>
      <c r="N719" s="19">
        <v>6</v>
      </c>
      <c r="O719" s="19" t="s">
        <v>93</v>
      </c>
      <c r="P719" s="19" t="s">
        <v>38</v>
      </c>
      <c r="T719" s="19" t="b">
        <v>1</v>
      </c>
      <c r="U719" s="19" t="s">
        <v>39</v>
      </c>
      <c r="V719" s="19" t="s">
        <v>40</v>
      </c>
      <c r="W719" s="19" t="s">
        <v>107</v>
      </c>
      <c r="X719" s="19" t="e">
        <v>#N/A</v>
      </c>
      <c r="Y719" s="19">
        <v>1</v>
      </c>
      <c r="Z719" s="19">
        <v>8508</v>
      </c>
      <c r="AA719" s="19" t="s">
        <v>334</v>
      </c>
      <c r="AB719" s="19" t="s">
        <v>335</v>
      </c>
      <c r="AC719" s="19" t="e">
        <v>#N/A</v>
      </c>
    </row>
    <row r="720" s="18" customFormat="1" spans="1:29">
      <c r="A720" s="18" t="s">
        <v>1916</v>
      </c>
      <c r="B720" s="25" t="s">
        <v>1916</v>
      </c>
      <c r="C720" s="26">
        <v>45685</v>
      </c>
      <c r="D720" s="18" t="s">
        <v>1514</v>
      </c>
      <c r="E720" s="18" t="str">
        <f t="shared" si="11"/>
        <v>Aishwarya Anil Kumar</v>
      </c>
      <c r="F720" s="27" t="s">
        <v>1515</v>
      </c>
      <c r="G720" s="18" t="s">
        <v>99</v>
      </c>
      <c r="H720" s="18" t="s">
        <v>100</v>
      </c>
      <c r="I720" s="18" t="s">
        <v>34</v>
      </c>
      <c r="J720" s="18" t="s">
        <v>499</v>
      </c>
      <c r="K720" s="18" t="s">
        <v>56</v>
      </c>
      <c r="L720" s="18" t="s">
        <v>36</v>
      </c>
      <c r="N720" s="18">
        <v>6</v>
      </c>
      <c r="O720" s="18" t="s">
        <v>57</v>
      </c>
      <c r="P720" s="18" t="s">
        <v>38</v>
      </c>
      <c r="Q720" s="18" t="s">
        <v>117</v>
      </c>
      <c r="R720" s="18" t="s">
        <v>59</v>
      </c>
      <c r="S720" s="18" t="s">
        <v>186</v>
      </c>
      <c r="T720" s="18" t="b">
        <v>1</v>
      </c>
      <c r="U720" s="18" t="s">
        <v>101</v>
      </c>
      <c r="V720" s="18" t="s">
        <v>40</v>
      </c>
      <c r="W720" s="18" t="s">
        <v>317</v>
      </c>
      <c r="X720" s="18" t="s">
        <v>318</v>
      </c>
      <c r="Y720" s="18">
        <v>1</v>
      </c>
      <c r="Z720" s="18">
        <v>155000</v>
      </c>
      <c r="AA720" s="18" t="s">
        <v>328</v>
      </c>
      <c r="AB720" s="18" t="s">
        <v>329</v>
      </c>
      <c r="AC720" s="18" t="e">
        <v>#N/A</v>
      </c>
    </row>
    <row r="721" s="18" customFormat="1" ht="29" spans="1:29">
      <c r="A721" s="18" t="s">
        <v>1917</v>
      </c>
      <c r="B721" s="25" t="s">
        <v>1917</v>
      </c>
      <c r="C721" s="26">
        <v>45685</v>
      </c>
      <c r="D721" s="18" t="s">
        <v>1918</v>
      </c>
      <c r="E721" s="18" t="str">
        <f t="shared" si="11"/>
        <v>Sri Thanigaivel Electricals</v>
      </c>
      <c r="F721" s="27" t="s">
        <v>1919</v>
      </c>
      <c r="G721" s="18" t="s">
        <v>99</v>
      </c>
      <c r="H721" s="18" t="s">
        <v>100</v>
      </c>
      <c r="I721" s="18" t="s">
        <v>184</v>
      </c>
      <c r="J721" s="18" t="s">
        <v>1512</v>
      </c>
      <c r="K721" s="18" t="s">
        <v>56</v>
      </c>
      <c r="L721" s="18" t="s">
        <v>36</v>
      </c>
      <c r="N721" s="18">
        <v>6</v>
      </c>
      <c r="O721" s="18" t="s">
        <v>88</v>
      </c>
      <c r="P721" s="18" t="s">
        <v>38</v>
      </c>
      <c r="Q721" s="18" t="s">
        <v>117</v>
      </c>
      <c r="R721" s="18" t="s">
        <v>59</v>
      </c>
      <c r="S721" s="18" t="s">
        <v>118</v>
      </c>
      <c r="T721" s="18" t="b">
        <v>1</v>
      </c>
      <c r="U721" s="18" t="s">
        <v>101</v>
      </c>
      <c r="V721" s="18" t="s">
        <v>40</v>
      </c>
      <c r="W721" s="18" t="s">
        <v>371</v>
      </c>
      <c r="X721" s="18" t="s">
        <v>372</v>
      </c>
      <c r="Y721" s="18">
        <v>1</v>
      </c>
      <c r="Z721" s="18">
        <v>12300</v>
      </c>
      <c r="AA721" s="31" t="s">
        <v>1143</v>
      </c>
      <c r="AB721" s="18" t="s">
        <v>514</v>
      </c>
      <c r="AC721" s="18" t="s">
        <v>111</v>
      </c>
    </row>
    <row r="722" s="18" customFormat="1" ht="29" spans="1:29">
      <c r="A722" s="18" t="s">
        <v>1920</v>
      </c>
      <c r="B722" s="25" t="s">
        <v>1920</v>
      </c>
      <c r="C722" s="26">
        <v>45685</v>
      </c>
      <c r="D722" s="18" t="s">
        <v>1921</v>
      </c>
      <c r="E722" s="18" t="str">
        <f t="shared" si="11"/>
        <v>Expressions Enlivened</v>
      </c>
      <c r="F722" s="27" t="s">
        <v>1922</v>
      </c>
      <c r="G722" s="18" t="s">
        <v>99</v>
      </c>
      <c r="H722" s="18" t="s">
        <v>100</v>
      </c>
      <c r="I722" s="18" t="s">
        <v>184</v>
      </c>
      <c r="J722" s="18" t="s">
        <v>1512</v>
      </c>
      <c r="K722" s="18" t="s">
        <v>56</v>
      </c>
      <c r="L722" s="18" t="s">
        <v>36</v>
      </c>
      <c r="N722" s="18">
        <v>6</v>
      </c>
      <c r="O722" s="18" t="s">
        <v>57</v>
      </c>
      <c r="P722" s="18" t="s">
        <v>38</v>
      </c>
      <c r="Q722" s="18" t="s">
        <v>117</v>
      </c>
      <c r="R722" s="18" t="s">
        <v>59</v>
      </c>
      <c r="S722" s="18" t="s">
        <v>118</v>
      </c>
      <c r="T722" s="18" t="b">
        <v>1</v>
      </c>
      <c r="U722" s="18" t="s">
        <v>101</v>
      </c>
      <c r="V722" s="18" t="s">
        <v>40</v>
      </c>
      <c r="W722" s="18" t="s">
        <v>151</v>
      </c>
      <c r="X722" s="18" t="s">
        <v>152</v>
      </c>
      <c r="Y722" s="18">
        <v>1</v>
      </c>
      <c r="Z722" s="18">
        <v>9700</v>
      </c>
      <c r="AA722" s="31" t="s">
        <v>1143</v>
      </c>
      <c r="AB722" s="18" t="s">
        <v>514</v>
      </c>
      <c r="AC722" s="18" t="s">
        <v>111</v>
      </c>
    </row>
    <row r="723" s="18" customFormat="1" ht="29" spans="1:29">
      <c r="A723" s="18" t="s">
        <v>1923</v>
      </c>
      <c r="B723" s="25" t="s">
        <v>1923</v>
      </c>
      <c r="C723" s="26">
        <v>45685</v>
      </c>
      <c r="D723" s="18" t="s">
        <v>1924</v>
      </c>
      <c r="E723" s="18" t="str">
        <f t="shared" si="11"/>
        <v>Joshi prints</v>
      </c>
      <c r="F723" s="27" t="s">
        <v>1925</v>
      </c>
      <c r="G723" s="18" t="s">
        <v>99</v>
      </c>
      <c r="H723" s="18" t="s">
        <v>100</v>
      </c>
      <c r="I723" s="18" t="s">
        <v>184</v>
      </c>
      <c r="J723" s="18" t="s">
        <v>1512</v>
      </c>
      <c r="K723" s="18" t="s">
        <v>56</v>
      </c>
      <c r="L723" s="18" t="s">
        <v>36</v>
      </c>
      <c r="N723" s="18">
        <v>6</v>
      </c>
      <c r="O723" s="18" t="s">
        <v>57</v>
      </c>
      <c r="P723" s="18" t="s">
        <v>38</v>
      </c>
      <c r="Q723" s="18" t="s">
        <v>117</v>
      </c>
      <c r="R723" s="18" t="s">
        <v>59</v>
      </c>
      <c r="S723" s="18" t="s">
        <v>118</v>
      </c>
      <c r="T723" s="18" t="b">
        <v>1</v>
      </c>
      <c r="U723" s="18" t="s">
        <v>101</v>
      </c>
      <c r="V723" s="18" t="s">
        <v>40</v>
      </c>
      <c r="W723" s="18" t="s">
        <v>196</v>
      </c>
      <c r="X723" s="18" t="s">
        <v>197</v>
      </c>
      <c r="Y723" s="18">
        <v>1</v>
      </c>
      <c r="Z723" s="18">
        <v>1250</v>
      </c>
      <c r="AA723" s="31" t="s">
        <v>1143</v>
      </c>
      <c r="AB723" s="18" t="s">
        <v>514</v>
      </c>
      <c r="AC723" s="18" t="s">
        <v>111</v>
      </c>
    </row>
    <row r="724" s="18" customFormat="1" ht="29" spans="1:29">
      <c r="A724" s="18" t="s">
        <v>1926</v>
      </c>
      <c r="B724" s="25" t="s">
        <v>1926</v>
      </c>
      <c r="C724" s="26">
        <v>45685</v>
      </c>
      <c r="D724" s="18" t="s">
        <v>1927</v>
      </c>
      <c r="E724" s="18" t="str">
        <f t="shared" si="11"/>
        <v>Rekha Stills</v>
      </c>
      <c r="F724" s="27" t="s">
        <v>1928</v>
      </c>
      <c r="G724" s="18" t="s">
        <v>99</v>
      </c>
      <c r="H724" s="18" t="s">
        <v>100</v>
      </c>
      <c r="I724" s="18" t="s">
        <v>184</v>
      </c>
      <c r="J724" s="18" t="s">
        <v>1512</v>
      </c>
      <c r="K724" s="18" t="s">
        <v>56</v>
      </c>
      <c r="L724" s="18" t="s">
        <v>36</v>
      </c>
      <c r="N724" s="18">
        <v>6</v>
      </c>
      <c r="O724" s="18" t="s">
        <v>88</v>
      </c>
      <c r="P724" s="18" t="s">
        <v>38</v>
      </c>
      <c r="Q724" s="18" t="s">
        <v>117</v>
      </c>
      <c r="R724" s="18" t="s">
        <v>59</v>
      </c>
      <c r="S724" s="18" t="s">
        <v>118</v>
      </c>
      <c r="T724" s="18" t="b">
        <v>1</v>
      </c>
      <c r="U724" s="18" t="s">
        <v>101</v>
      </c>
      <c r="V724" s="18" t="s">
        <v>40</v>
      </c>
      <c r="W724" s="18" t="s">
        <v>401</v>
      </c>
      <c r="X724" s="18" t="s">
        <v>402</v>
      </c>
      <c r="Y724" s="18">
        <v>1</v>
      </c>
      <c r="Z724" s="18">
        <v>4000</v>
      </c>
      <c r="AA724" s="31" t="s">
        <v>1143</v>
      </c>
      <c r="AB724" s="18" t="s">
        <v>514</v>
      </c>
      <c r="AC724" s="18" t="e">
        <v>#N/A</v>
      </c>
    </row>
    <row r="725" s="18" customFormat="1" ht="29" spans="1:29">
      <c r="A725" s="18" t="s">
        <v>1929</v>
      </c>
      <c r="B725" s="25" t="s">
        <v>1929</v>
      </c>
      <c r="C725" s="26">
        <v>45685</v>
      </c>
      <c r="D725" s="18" t="s">
        <v>1373</v>
      </c>
      <c r="E725" s="18" t="str">
        <f t="shared" si="11"/>
        <v>Crystal Event &amp; Service</v>
      </c>
      <c r="F725" s="27" t="s">
        <v>1374</v>
      </c>
      <c r="G725" s="18" t="s">
        <v>99</v>
      </c>
      <c r="H725" s="18" t="s">
        <v>100</v>
      </c>
      <c r="I725" s="18" t="s">
        <v>184</v>
      </c>
      <c r="J725" s="18" t="s">
        <v>499</v>
      </c>
      <c r="K725" s="18" t="s">
        <v>56</v>
      </c>
      <c r="L725" s="18" t="s">
        <v>36</v>
      </c>
      <c r="N725" s="18">
        <v>6</v>
      </c>
      <c r="O725" s="18" t="s">
        <v>88</v>
      </c>
      <c r="P725" s="18" t="s">
        <v>38</v>
      </c>
      <c r="Q725" s="18" t="s">
        <v>117</v>
      </c>
      <c r="R725" s="18" t="s">
        <v>59</v>
      </c>
      <c r="S725" s="18" t="s">
        <v>186</v>
      </c>
      <c r="T725" s="18" t="b">
        <v>1</v>
      </c>
      <c r="U725" s="18" t="s">
        <v>101</v>
      </c>
      <c r="V725" s="18" t="s">
        <v>40</v>
      </c>
      <c r="W725" s="18" t="s">
        <v>317</v>
      </c>
      <c r="X725" s="18" t="s">
        <v>318</v>
      </c>
      <c r="Y725" s="18">
        <v>1</v>
      </c>
      <c r="Z725" s="18">
        <v>1010000</v>
      </c>
      <c r="AA725" s="31" t="s">
        <v>338</v>
      </c>
      <c r="AB725" s="18" t="s">
        <v>339</v>
      </c>
      <c r="AC725" s="18" t="s">
        <v>111</v>
      </c>
    </row>
    <row r="726" s="18" customFormat="1" ht="29" spans="1:29">
      <c r="A726" s="18" t="s">
        <v>1930</v>
      </c>
      <c r="B726" s="25" t="s">
        <v>1930</v>
      </c>
      <c r="C726" s="26">
        <v>45685</v>
      </c>
      <c r="D726" s="18" t="s">
        <v>1373</v>
      </c>
      <c r="E726" s="18" t="str">
        <f t="shared" si="11"/>
        <v>Crystal Event &amp; Service</v>
      </c>
      <c r="F726" s="27" t="s">
        <v>1374</v>
      </c>
      <c r="G726" s="18" t="s">
        <v>99</v>
      </c>
      <c r="H726" s="18" t="s">
        <v>100</v>
      </c>
      <c r="I726" s="18" t="s">
        <v>184</v>
      </c>
      <c r="J726" s="18" t="s">
        <v>499</v>
      </c>
      <c r="K726" s="18" t="s">
        <v>56</v>
      </c>
      <c r="L726" s="18" t="s">
        <v>36</v>
      </c>
      <c r="N726" s="18">
        <v>6</v>
      </c>
      <c r="O726" s="18" t="s">
        <v>88</v>
      </c>
      <c r="P726" s="18" t="s">
        <v>38</v>
      </c>
      <c r="Q726" s="18" t="s">
        <v>117</v>
      </c>
      <c r="R726" s="18" t="s">
        <v>59</v>
      </c>
      <c r="S726" s="18" t="s">
        <v>186</v>
      </c>
      <c r="T726" s="18" t="b">
        <v>1</v>
      </c>
      <c r="U726" s="18" t="s">
        <v>101</v>
      </c>
      <c r="V726" s="18" t="s">
        <v>40</v>
      </c>
      <c r="W726" s="18" t="s">
        <v>317</v>
      </c>
      <c r="X726" s="18" t="s">
        <v>318</v>
      </c>
      <c r="Y726" s="18">
        <v>1</v>
      </c>
      <c r="Z726" s="18">
        <v>101000</v>
      </c>
      <c r="AA726" s="31" t="s">
        <v>338</v>
      </c>
      <c r="AB726" s="18" t="s">
        <v>339</v>
      </c>
      <c r="AC726" s="18" t="s">
        <v>111</v>
      </c>
    </row>
    <row r="727" s="18" customFormat="1" spans="1:29">
      <c r="A727" s="18" t="s">
        <v>1931</v>
      </c>
      <c r="B727" s="25" t="s">
        <v>1931</v>
      </c>
      <c r="C727" s="26">
        <v>45685</v>
      </c>
      <c r="D727" s="18" t="s">
        <v>331</v>
      </c>
      <c r="E727" s="18" t="str">
        <f t="shared" si="11"/>
        <v>Clinton J  for Expense</v>
      </c>
      <c r="F727" s="27" t="e">
        <v>#N/A</v>
      </c>
      <c r="G727" s="18" t="s">
        <v>99</v>
      </c>
      <c r="H727" s="18" t="s">
        <v>100</v>
      </c>
      <c r="I727" s="18" t="s">
        <v>34</v>
      </c>
      <c r="J727" s="18" t="s">
        <v>1574</v>
      </c>
      <c r="K727" s="18" t="s">
        <v>56</v>
      </c>
      <c r="L727" s="18" t="s">
        <v>36</v>
      </c>
      <c r="N727" s="18">
        <v>6</v>
      </c>
      <c r="O727" s="18" t="s">
        <v>93</v>
      </c>
      <c r="P727" s="18" t="s">
        <v>38</v>
      </c>
      <c r="Q727" s="18" t="s">
        <v>117</v>
      </c>
      <c r="R727" s="18" t="s">
        <v>59</v>
      </c>
      <c r="S727" s="18" t="s">
        <v>186</v>
      </c>
      <c r="T727" s="18" t="b">
        <v>1</v>
      </c>
      <c r="U727" s="18" t="s">
        <v>101</v>
      </c>
      <c r="V727" s="18" t="s">
        <v>40</v>
      </c>
      <c r="W727" s="18" t="s">
        <v>196</v>
      </c>
      <c r="X727" s="18" t="s">
        <v>197</v>
      </c>
      <c r="Y727" s="18">
        <v>1</v>
      </c>
      <c r="Z727" s="18">
        <v>7493</v>
      </c>
      <c r="AA727" s="18" t="s">
        <v>102</v>
      </c>
      <c r="AB727" s="18" t="s">
        <v>103</v>
      </c>
      <c r="AC727" s="18" t="e">
        <v>#N/A</v>
      </c>
    </row>
    <row r="728" s="18" customFormat="1" spans="1:29">
      <c r="A728" s="18" t="s">
        <v>1932</v>
      </c>
      <c r="B728" s="25" t="s">
        <v>1932</v>
      </c>
      <c r="C728" s="26">
        <v>45685</v>
      </c>
      <c r="D728" s="18" t="s">
        <v>1577</v>
      </c>
      <c r="E728" s="18" t="str">
        <f t="shared" si="11"/>
        <v>Evangelin Dominiic  </v>
      </c>
      <c r="F728" s="27" t="e">
        <v>#N/A</v>
      </c>
      <c r="G728" s="18" t="s">
        <v>99</v>
      </c>
      <c r="H728" s="18" t="s">
        <v>100</v>
      </c>
      <c r="I728" s="18" t="s">
        <v>1246</v>
      </c>
      <c r="J728" s="18" t="s">
        <v>1574</v>
      </c>
      <c r="K728" s="18" t="s">
        <v>56</v>
      </c>
      <c r="L728" s="18" t="s">
        <v>36</v>
      </c>
      <c r="N728" s="18">
        <v>6</v>
      </c>
      <c r="O728" s="18" t="s">
        <v>93</v>
      </c>
      <c r="P728" s="18" t="s">
        <v>38</v>
      </c>
      <c r="Q728" s="18" t="s">
        <v>117</v>
      </c>
      <c r="R728" s="18" t="s">
        <v>59</v>
      </c>
      <c r="S728" s="18" t="s">
        <v>186</v>
      </c>
      <c r="T728" s="18" t="b">
        <v>1</v>
      </c>
      <c r="U728" s="18" t="s">
        <v>101</v>
      </c>
      <c r="V728" s="18" t="s">
        <v>40</v>
      </c>
      <c r="W728" s="18" t="s">
        <v>126</v>
      </c>
      <c r="X728" s="18" t="s">
        <v>127</v>
      </c>
      <c r="Y728" s="18">
        <v>1</v>
      </c>
      <c r="Z728" s="18">
        <v>2182</v>
      </c>
      <c r="AA728" s="18" t="s">
        <v>1933</v>
      </c>
      <c r="AB728" s="18" t="s">
        <v>103</v>
      </c>
      <c r="AC728" s="18" t="e">
        <v>#N/A</v>
      </c>
    </row>
    <row r="729" s="18" customFormat="1" spans="1:29">
      <c r="A729" s="18" t="s">
        <v>1934</v>
      </c>
      <c r="B729" s="25" t="s">
        <v>1934</v>
      </c>
      <c r="C729" s="26">
        <v>45685</v>
      </c>
      <c r="D729" s="18" t="s">
        <v>331</v>
      </c>
      <c r="E729" s="18" t="str">
        <f t="shared" si="11"/>
        <v>Clinton J  for Expense</v>
      </c>
      <c r="F729" s="27" t="e">
        <v>#N/A</v>
      </c>
      <c r="G729" s="18" t="s">
        <v>99</v>
      </c>
      <c r="H729" s="18" t="s">
        <v>100</v>
      </c>
      <c r="I729" s="18" t="s">
        <v>1246</v>
      </c>
      <c r="J729" s="18" t="s">
        <v>1006</v>
      </c>
      <c r="K729" s="18" t="s">
        <v>56</v>
      </c>
      <c r="L729" s="18" t="s">
        <v>36</v>
      </c>
      <c r="N729" s="18">
        <v>6</v>
      </c>
      <c r="O729" s="18" t="s">
        <v>93</v>
      </c>
      <c r="P729" s="18" t="s">
        <v>38</v>
      </c>
      <c r="Q729" s="18" t="s">
        <v>117</v>
      </c>
      <c r="R729" s="18" t="s">
        <v>59</v>
      </c>
      <c r="S729" s="18" t="s">
        <v>186</v>
      </c>
      <c r="T729" s="18" t="b">
        <v>1</v>
      </c>
      <c r="U729" s="18" t="s">
        <v>101</v>
      </c>
      <c r="V729" s="18" t="s">
        <v>40</v>
      </c>
      <c r="W729" s="18" t="s">
        <v>412</v>
      </c>
      <c r="X729" s="18" t="s">
        <v>413</v>
      </c>
      <c r="Y729" s="18">
        <v>1</v>
      </c>
      <c r="Z729" s="18">
        <v>4786</v>
      </c>
      <c r="AA729" s="18" t="s">
        <v>102</v>
      </c>
      <c r="AB729" s="18" t="s">
        <v>103</v>
      </c>
      <c r="AC729" s="18" t="e">
        <v>#N/A</v>
      </c>
    </row>
    <row r="730" s="18" customFormat="1" spans="1:29">
      <c r="A730" s="18" t="s">
        <v>1935</v>
      </c>
      <c r="B730" s="25" t="s">
        <v>1935</v>
      </c>
      <c r="C730" s="26">
        <v>45685</v>
      </c>
      <c r="D730" s="18" t="s">
        <v>1688</v>
      </c>
      <c r="E730" s="18" t="str">
        <f t="shared" si="11"/>
        <v>Paulraj S  </v>
      </c>
      <c r="F730" s="27" t="e">
        <v>#N/A</v>
      </c>
      <c r="G730" s="18" t="s">
        <v>99</v>
      </c>
      <c r="H730" s="18" t="s">
        <v>100</v>
      </c>
      <c r="I730" s="18" t="s">
        <v>1246</v>
      </c>
      <c r="J730" s="18" t="s">
        <v>1006</v>
      </c>
      <c r="K730" s="18" t="s">
        <v>56</v>
      </c>
      <c r="L730" s="18" t="s">
        <v>36</v>
      </c>
      <c r="N730" s="18">
        <v>6</v>
      </c>
      <c r="O730" s="18" t="s">
        <v>93</v>
      </c>
      <c r="P730" s="18" t="s">
        <v>38</v>
      </c>
      <c r="Q730" s="18" t="s">
        <v>117</v>
      </c>
      <c r="R730" s="18" t="s">
        <v>59</v>
      </c>
      <c r="S730" s="18" t="s">
        <v>186</v>
      </c>
      <c r="T730" s="18" t="b">
        <v>1</v>
      </c>
      <c r="U730" s="18" t="s">
        <v>101</v>
      </c>
      <c r="V730" s="18" t="s">
        <v>40</v>
      </c>
      <c r="W730" s="18" t="s">
        <v>61</v>
      </c>
      <c r="X730" s="18" t="s">
        <v>62</v>
      </c>
      <c r="Y730" s="18">
        <v>1</v>
      </c>
      <c r="Z730" s="18">
        <v>11760</v>
      </c>
      <c r="AA730" s="18" t="s">
        <v>102</v>
      </c>
      <c r="AB730" s="18" t="s">
        <v>103</v>
      </c>
      <c r="AC730" s="18" t="e">
        <v>#N/A</v>
      </c>
    </row>
    <row r="731" s="18" customFormat="1" ht="29" spans="1:29">
      <c r="A731" s="18" t="s">
        <v>1936</v>
      </c>
      <c r="B731" s="25" t="s">
        <v>1936</v>
      </c>
      <c r="C731" s="26">
        <v>45685</v>
      </c>
      <c r="D731" s="18" t="s">
        <v>1005</v>
      </c>
      <c r="E731" s="18" t="str">
        <f t="shared" si="11"/>
        <v>Cockpitmarx </v>
      </c>
      <c r="F731" s="27" t="e">
        <v>#N/A</v>
      </c>
      <c r="G731" s="18" t="s">
        <v>147</v>
      </c>
      <c r="H731" s="18" t="s">
        <v>148</v>
      </c>
      <c r="I731" s="18" t="s">
        <v>184</v>
      </c>
      <c r="J731" s="18" t="s">
        <v>499</v>
      </c>
      <c r="K731" s="18" t="s">
        <v>56</v>
      </c>
      <c r="L731" s="18" t="s">
        <v>36</v>
      </c>
      <c r="N731" s="18">
        <v>6</v>
      </c>
      <c r="O731" s="18" t="s">
        <v>88</v>
      </c>
      <c r="P731" s="18" t="s">
        <v>38</v>
      </c>
      <c r="Q731" s="18" t="s">
        <v>117</v>
      </c>
      <c r="R731" s="18" t="s">
        <v>59</v>
      </c>
      <c r="S731" s="18" t="s">
        <v>186</v>
      </c>
      <c r="T731" s="18" t="b">
        <v>1</v>
      </c>
      <c r="U731" s="18" t="s">
        <v>150</v>
      </c>
      <c r="V731" s="18" t="s">
        <v>40</v>
      </c>
      <c r="W731" s="18" t="s">
        <v>317</v>
      </c>
      <c r="X731" s="18" t="s">
        <v>318</v>
      </c>
      <c r="Y731" s="18">
        <v>1</v>
      </c>
      <c r="Z731" s="18">
        <v>750000</v>
      </c>
      <c r="AA731" s="31" t="s">
        <v>338</v>
      </c>
      <c r="AB731" s="18" t="s">
        <v>339</v>
      </c>
      <c r="AC731" s="18" t="s">
        <v>163</v>
      </c>
    </row>
    <row r="732" s="18" customFormat="1" spans="1:29">
      <c r="A732" s="18" t="s">
        <v>1937</v>
      </c>
      <c r="B732" s="25" t="s">
        <v>1937</v>
      </c>
      <c r="C732" s="26">
        <v>45685</v>
      </c>
      <c r="D732" s="18" t="s">
        <v>1938</v>
      </c>
      <c r="E732" s="18" t="str">
        <f t="shared" si="11"/>
        <v>Sudhakar Sawant   </v>
      </c>
      <c r="F732" s="27" t="e">
        <v>#N/A</v>
      </c>
      <c r="G732" s="18" t="s">
        <v>182</v>
      </c>
      <c r="H732" s="18" t="s">
        <v>183</v>
      </c>
      <c r="I732" s="18" t="s">
        <v>481</v>
      </c>
      <c r="J732" s="18" t="s">
        <v>1491</v>
      </c>
      <c r="K732" s="18" t="s">
        <v>56</v>
      </c>
      <c r="L732" s="18" t="s">
        <v>36</v>
      </c>
      <c r="N732" s="18">
        <v>6</v>
      </c>
      <c r="O732" s="18" t="s">
        <v>93</v>
      </c>
      <c r="P732" s="18" t="s">
        <v>38</v>
      </c>
      <c r="Q732" s="18" t="s">
        <v>194</v>
      </c>
      <c r="R732" s="18" t="s">
        <v>59</v>
      </c>
      <c r="S732" s="18" t="s">
        <v>195</v>
      </c>
      <c r="T732" s="18" t="b">
        <v>0</v>
      </c>
      <c r="U732" s="18" t="s">
        <v>187</v>
      </c>
      <c r="V732" s="18" t="s">
        <v>40</v>
      </c>
      <c r="W732" s="18" t="s">
        <v>126</v>
      </c>
      <c r="X732" s="18" t="s">
        <v>127</v>
      </c>
      <c r="Y732" s="18">
        <v>1</v>
      </c>
      <c r="Z732" s="18">
        <v>443</v>
      </c>
      <c r="AC732" s="18" t="e">
        <v>#N/A</v>
      </c>
    </row>
    <row r="733" s="18" customFormat="1" spans="1:29">
      <c r="A733" s="18" t="s">
        <v>1939</v>
      </c>
      <c r="B733" s="25" t="s">
        <v>1939</v>
      </c>
      <c r="C733" s="26">
        <v>45685</v>
      </c>
      <c r="D733" s="18" t="s">
        <v>1052</v>
      </c>
      <c r="E733" s="18" t="str">
        <f t="shared" si="11"/>
        <v>Sachin Jadhav </v>
      </c>
      <c r="F733" s="27" t="e">
        <v>#N/A</v>
      </c>
      <c r="G733" s="18" t="s">
        <v>182</v>
      </c>
      <c r="H733" s="18" t="s">
        <v>183</v>
      </c>
      <c r="I733" s="18" t="s">
        <v>481</v>
      </c>
      <c r="J733" s="18" t="s">
        <v>486</v>
      </c>
      <c r="K733" s="18" t="s">
        <v>56</v>
      </c>
      <c r="L733" s="18" t="s">
        <v>36</v>
      </c>
      <c r="N733" s="18">
        <v>6</v>
      </c>
      <c r="O733" s="18" t="s">
        <v>93</v>
      </c>
      <c r="P733" s="18" t="s">
        <v>38</v>
      </c>
      <c r="Q733" s="18" t="s">
        <v>58</v>
      </c>
      <c r="R733" s="18" t="s">
        <v>59</v>
      </c>
      <c r="S733" s="18" t="s">
        <v>60</v>
      </c>
      <c r="T733" s="18" t="b">
        <v>0</v>
      </c>
      <c r="U733" s="18" t="s">
        <v>187</v>
      </c>
      <c r="V733" s="18" t="s">
        <v>40</v>
      </c>
      <c r="W733" s="18" t="s">
        <v>1055</v>
      </c>
      <c r="X733" s="18" t="s">
        <v>1056</v>
      </c>
      <c r="Y733" s="18">
        <v>1</v>
      </c>
      <c r="Z733" s="18">
        <v>1800</v>
      </c>
      <c r="AC733" s="18" t="e">
        <v>#N/A</v>
      </c>
    </row>
    <row r="734" s="18" customFormat="1" ht="29" spans="1:29">
      <c r="A734" s="18" t="s">
        <v>1940</v>
      </c>
      <c r="B734" s="25" t="s">
        <v>1940</v>
      </c>
      <c r="C734" s="26">
        <v>45685</v>
      </c>
      <c r="D734" s="18" t="s">
        <v>1941</v>
      </c>
      <c r="E734" s="18" t="str">
        <f t="shared" si="11"/>
        <v>Woodcraft Production</v>
      </c>
      <c r="F734" s="27" t="s">
        <v>1942</v>
      </c>
      <c r="G734" s="18" t="s">
        <v>182</v>
      </c>
      <c r="H734" s="18" t="s">
        <v>183</v>
      </c>
      <c r="I734" s="18" t="s">
        <v>184</v>
      </c>
      <c r="J734" s="18" t="s">
        <v>193</v>
      </c>
      <c r="K734" s="18" t="s">
        <v>56</v>
      </c>
      <c r="L734" s="18" t="s">
        <v>36</v>
      </c>
      <c r="N734" s="18">
        <v>6</v>
      </c>
      <c r="O734" s="18" t="s">
        <v>88</v>
      </c>
      <c r="P734" s="18" t="s">
        <v>38</v>
      </c>
      <c r="Q734" s="18" t="s">
        <v>194</v>
      </c>
      <c r="R734" s="18" t="s">
        <v>59</v>
      </c>
      <c r="S734" s="18" t="s">
        <v>195</v>
      </c>
      <c r="T734" s="18" t="b">
        <v>0</v>
      </c>
      <c r="U734" s="18" t="s">
        <v>187</v>
      </c>
      <c r="V734" s="18" t="s">
        <v>40</v>
      </c>
      <c r="W734" s="18" t="s">
        <v>151</v>
      </c>
      <c r="X734" s="18" t="s">
        <v>152</v>
      </c>
      <c r="Y734" s="18">
        <v>1</v>
      </c>
      <c r="Z734" s="18">
        <v>28000</v>
      </c>
      <c r="AA734" s="31" t="s">
        <v>1943</v>
      </c>
      <c r="AB734" s="18" t="s">
        <v>1944</v>
      </c>
      <c r="AC734" s="18" t="s">
        <v>200</v>
      </c>
    </row>
    <row r="735" s="18" customFormat="1" ht="29" spans="1:29">
      <c r="A735" s="18" t="s">
        <v>1945</v>
      </c>
      <c r="B735" s="25" t="s">
        <v>1945</v>
      </c>
      <c r="C735" s="26">
        <v>45685</v>
      </c>
      <c r="D735" s="18" t="s">
        <v>971</v>
      </c>
      <c r="E735" s="18" t="str">
        <f t="shared" si="11"/>
        <v>S T Sound System</v>
      </c>
      <c r="F735" s="27" t="s">
        <v>972</v>
      </c>
      <c r="G735" s="18" t="s">
        <v>182</v>
      </c>
      <c r="H735" s="18" t="s">
        <v>183</v>
      </c>
      <c r="I735" s="18" t="s">
        <v>184</v>
      </c>
      <c r="J735" s="18" t="s">
        <v>193</v>
      </c>
      <c r="K735" s="18" t="s">
        <v>56</v>
      </c>
      <c r="L735" s="18" t="s">
        <v>36</v>
      </c>
      <c r="N735" s="18">
        <v>6</v>
      </c>
      <c r="O735" s="18" t="s">
        <v>57</v>
      </c>
      <c r="P735" s="18" t="s">
        <v>38</v>
      </c>
      <c r="Q735" s="18" t="s">
        <v>194</v>
      </c>
      <c r="R735" s="18" t="s">
        <v>59</v>
      </c>
      <c r="S735" s="18" t="s">
        <v>195</v>
      </c>
      <c r="T735" s="18" t="b">
        <v>0</v>
      </c>
      <c r="U735" s="18" t="s">
        <v>187</v>
      </c>
      <c r="V735" s="18" t="s">
        <v>40</v>
      </c>
      <c r="W735" s="18" t="s">
        <v>371</v>
      </c>
      <c r="X735" s="18" t="s">
        <v>372</v>
      </c>
      <c r="Y735" s="18">
        <v>1</v>
      </c>
      <c r="Z735" s="18">
        <v>40000</v>
      </c>
      <c r="AA735" s="31" t="s">
        <v>1943</v>
      </c>
      <c r="AB735" s="18" t="s">
        <v>1944</v>
      </c>
      <c r="AC735" s="18" t="e">
        <v>#N/A</v>
      </c>
    </row>
    <row r="736" s="18" customFormat="1" ht="29" spans="1:29">
      <c r="A736" s="18" t="s">
        <v>1946</v>
      </c>
      <c r="B736" s="25" t="s">
        <v>1946</v>
      </c>
      <c r="C736" s="26">
        <v>45685</v>
      </c>
      <c r="D736" s="18" t="s">
        <v>192</v>
      </c>
      <c r="E736" s="18" t="str">
        <f t="shared" si="11"/>
        <v>Noaman Digital Partnership Firm</v>
      </c>
      <c r="F736" s="27" t="e">
        <v>#N/A</v>
      </c>
      <c r="G736" s="18" t="s">
        <v>182</v>
      </c>
      <c r="H736" s="18" t="s">
        <v>183</v>
      </c>
      <c r="I736" s="18" t="s">
        <v>184</v>
      </c>
      <c r="J736" s="18" t="s">
        <v>193</v>
      </c>
      <c r="K736" s="18" t="s">
        <v>56</v>
      </c>
      <c r="L736" s="18" t="s">
        <v>36</v>
      </c>
      <c r="N736" s="18">
        <v>6</v>
      </c>
      <c r="O736" s="18" t="s">
        <v>88</v>
      </c>
      <c r="P736" s="18" t="s">
        <v>38</v>
      </c>
      <c r="Q736" s="18" t="s">
        <v>194</v>
      </c>
      <c r="R736" s="18" t="s">
        <v>59</v>
      </c>
      <c r="S736" s="18" t="s">
        <v>195</v>
      </c>
      <c r="T736" s="18" t="b">
        <v>0</v>
      </c>
      <c r="U736" s="18" t="s">
        <v>187</v>
      </c>
      <c r="V736" s="18" t="s">
        <v>40</v>
      </c>
      <c r="W736" s="18" t="s">
        <v>196</v>
      </c>
      <c r="X736" s="18" t="s">
        <v>197</v>
      </c>
      <c r="Y736" s="18">
        <v>1</v>
      </c>
      <c r="Z736" s="18">
        <v>5100</v>
      </c>
      <c r="AA736" s="31" t="s">
        <v>1943</v>
      </c>
      <c r="AB736" s="18" t="s">
        <v>1944</v>
      </c>
      <c r="AC736" s="18" t="s">
        <v>200</v>
      </c>
    </row>
    <row r="737" s="18" customFormat="1" ht="29" spans="1:29">
      <c r="A737" s="18" t="s">
        <v>1947</v>
      </c>
      <c r="B737" s="25" t="s">
        <v>1947</v>
      </c>
      <c r="C737" s="26">
        <v>45685</v>
      </c>
      <c r="D737" s="18" t="s">
        <v>1948</v>
      </c>
      <c r="E737" s="18" t="str">
        <f t="shared" si="11"/>
        <v>Vivify Productions</v>
      </c>
      <c r="F737" s="27" t="s">
        <v>1949</v>
      </c>
      <c r="G737" s="18" t="s">
        <v>182</v>
      </c>
      <c r="H737" s="18" t="s">
        <v>183</v>
      </c>
      <c r="I737" s="18" t="s">
        <v>184</v>
      </c>
      <c r="J737" s="18" t="s">
        <v>1491</v>
      </c>
      <c r="K737" s="18" t="s">
        <v>56</v>
      </c>
      <c r="L737" s="18" t="s">
        <v>36</v>
      </c>
      <c r="N737" s="18">
        <v>6</v>
      </c>
      <c r="O737" s="18" t="s">
        <v>88</v>
      </c>
      <c r="P737" s="18" t="s">
        <v>38</v>
      </c>
      <c r="Q737" s="18" t="s">
        <v>194</v>
      </c>
      <c r="R737" s="18" t="s">
        <v>59</v>
      </c>
      <c r="S737" s="18" t="s">
        <v>195</v>
      </c>
      <c r="T737" s="18" t="b">
        <v>0</v>
      </c>
      <c r="U737" s="18" t="s">
        <v>187</v>
      </c>
      <c r="V737" s="18" t="s">
        <v>40</v>
      </c>
      <c r="W737" s="18" t="s">
        <v>151</v>
      </c>
      <c r="X737" s="18" t="s">
        <v>152</v>
      </c>
      <c r="Y737" s="18">
        <v>1</v>
      </c>
      <c r="Z737" s="18">
        <v>2900000</v>
      </c>
      <c r="AA737" s="31" t="s">
        <v>1950</v>
      </c>
      <c r="AB737" s="18" t="s">
        <v>1951</v>
      </c>
      <c r="AC737" s="18" t="s">
        <v>200</v>
      </c>
    </row>
    <row r="738" s="18" customFormat="1" ht="29" spans="1:29">
      <c r="A738" s="18" t="s">
        <v>1952</v>
      </c>
      <c r="B738" s="25" t="s">
        <v>1952</v>
      </c>
      <c r="C738" s="26">
        <v>45685</v>
      </c>
      <c r="D738" s="18" t="s">
        <v>1953</v>
      </c>
      <c r="E738" s="18" t="str">
        <f t="shared" si="11"/>
        <v>Stage D閏or</v>
      </c>
      <c r="F738" s="27" t="e">
        <v>#N/A</v>
      </c>
      <c r="G738" s="18" t="s">
        <v>182</v>
      </c>
      <c r="H738" s="18" t="s">
        <v>183</v>
      </c>
      <c r="I738" s="18" t="s">
        <v>184</v>
      </c>
      <c r="J738" s="18" t="s">
        <v>1491</v>
      </c>
      <c r="K738" s="18" t="s">
        <v>56</v>
      </c>
      <c r="L738" s="18" t="s">
        <v>36</v>
      </c>
      <c r="N738" s="18">
        <v>6</v>
      </c>
      <c r="O738" s="18" t="s">
        <v>88</v>
      </c>
      <c r="P738" s="18" t="s">
        <v>38</v>
      </c>
      <c r="Q738" s="18" t="s">
        <v>194</v>
      </c>
      <c r="R738" s="18" t="s">
        <v>59</v>
      </c>
      <c r="S738" s="18" t="s">
        <v>195</v>
      </c>
      <c r="T738" s="18" t="b">
        <v>0</v>
      </c>
      <c r="U738" s="18" t="s">
        <v>187</v>
      </c>
      <c r="V738" s="18" t="s">
        <v>40</v>
      </c>
      <c r="W738" s="18" t="s">
        <v>151</v>
      </c>
      <c r="X738" s="18" t="s">
        <v>152</v>
      </c>
      <c r="Y738" s="18">
        <v>1</v>
      </c>
      <c r="Z738" s="18">
        <v>200000</v>
      </c>
      <c r="AA738" s="31" t="s">
        <v>1950</v>
      </c>
      <c r="AB738" s="18" t="s">
        <v>1951</v>
      </c>
      <c r="AC738" s="18" t="s">
        <v>200</v>
      </c>
    </row>
    <row r="739" s="18" customFormat="1" ht="29" spans="1:29">
      <c r="A739" s="18" t="s">
        <v>1954</v>
      </c>
      <c r="B739" s="25" t="s">
        <v>1954</v>
      </c>
      <c r="C739" s="26">
        <v>45685</v>
      </c>
      <c r="D739" s="18" t="s">
        <v>1066</v>
      </c>
      <c r="E739" s="18" t="str">
        <f t="shared" si="11"/>
        <v>Events Power</v>
      </c>
      <c r="F739" s="27" t="s">
        <v>1067</v>
      </c>
      <c r="G739" s="18" t="s">
        <v>182</v>
      </c>
      <c r="H739" s="18" t="s">
        <v>183</v>
      </c>
      <c r="I739" s="18" t="s">
        <v>184</v>
      </c>
      <c r="J739" s="18" t="s">
        <v>1491</v>
      </c>
      <c r="K739" s="18" t="s">
        <v>56</v>
      </c>
      <c r="L739" s="18" t="s">
        <v>36</v>
      </c>
      <c r="N739" s="18">
        <v>6</v>
      </c>
      <c r="O739" s="18" t="s">
        <v>88</v>
      </c>
      <c r="P739" s="18" t="s">
        <v>38</v>
      </c>
      <c r="Q739" s="18" t="s">
        <v>194</v>
      </c>
      <c r="R739" s="18" t="s">
        <v>59</v>
      </c>
      <c r="S739" s="18" t="s">
        <v>195</v>
      </c>
      <c r="T739" s="18" t="b">
        <v>0</v>
      </c>
      <c r="U739" s="18" t="s">
        <v>187</v>
      </c>
      <c r="V739" s="18" t="s">
        <v>40</v>
      </c>
      <c r="W739" s="18" t="s">
        <v>371</v>
      </c>
      <c r="X739" s="18" t="s">
        <v>372</v>
      </c>
      <c r="Y739" s="18">
        <v>1</v>
      </c>
      <c r="Z739" s="18">
        <v>27000</v>
      </c>
      <c r="AA739" s="31" t="s">
        <v>1950</v>
      </c>
      <c r="AB739" s="18" t="s">
        <v>1951</v>
      </c>
      <c r="AC739" s="18" t="s">
        <v>200</v>
      </c>
    </row>
    <row r="740" s="18" customFormat="1" ht="29" spans="1:29">
      <c r="A740" s="18" t="s">
        <v>1955</v>
      </c>
      <c r="B740" s="25" t="s">
        <v>1955</v>
      </c>
      <c r="C740" s="26">
        <v>45685</v>
      </c>
      <c r="D740" s="18" t="s">
        <v>974</v>
      </c>
      <c r="E740" s="18" t="str">
        <f t="shared" si="11"/>
        <v>Shiv Shakti Enterprises</v>
      </c>
      <c r="F740" s="27" t="s">
        <v>975</v>
      </c>
      <c r="G740" s="18" t="s">
        <v>182</v>
      </c>
      <c r="H740" s="18" t="s">
        <v>183</v>
      </c>
      <c r="I740" s="18" t="s">
        <v>184</v>
      </c>
      <c r="J740" s="18" t="s">
        <v>1491</v>
      </c>
      <c r="K740" s="18" t="s">
        <v>56</v>
      </c>
      <c r="L740" s="18" t="s">
        <v>36</v>
      </c>
      <c r="N740" s="18">
        <v>6</v>
      </c>
      <c r="O740" s="18" t="s">
        <v>57</v>
      </c>
      <c r="P740" s="18" t="s">
        <v>38</v>
      </c>
      <c r="Q740" s="18" t="s">
        <v>194</v>
      </c>
      <c r="R740" s="18" t="s">
        <v>59</v>
      </c>
      <c r="S740" s="18" t="s">
        <v>195</v>
      </c>
      <c r="T740" s="18" t="b">
        <v>0</v>
      </c>
      <c r="U740" s="18" t="s">
        <v>187</v>
      </c>
      <c r="V740" s="18" t="s">
        <v>40</v>
      </c>
      <c r="W740" s="18" t="s">
        <v>371</v>
      </c>
      <c r="X740" s="18" t="s">
        <v>372</v>
      </c>
      <c r="Y740" s="18">
        <v>1</v>
      </c>
      <c r="Z740" s="18">
        <v>65000</v>
      </c>
      <c r="AA740" s="31" t="s">
        <v>1950</v>
      </c>
      <c r="AB740" s="18" t="s">
        <v>1951</v>
      </c>
      <c r="AC740" s="18" t="s">
        <v>200</v>
      </c>
    </row>
    <row r="741" s="18" customFormat="1" ht="29" spans="1:29">
      <c r="A741" s="18" t="s">
        <v>1956</v>
      </c>
      <c r="B741" s="25" t="s">
        <v>1956</v>
      </c>
      <c r="C741" s="26">
        <v>45685</v>
      </c>
      <c r="D741" s="18" t="s">
        <v>1957</v>
      </c>
      <c r="E741" s="18" t="str">
        <f t="shared" si="11"/>
        <v>Bizzaro Event</v>
      </c>
      <c r="F741" s="27" t="s">
        <v>1958</v>
      </c>
      <c r="G741" s="18" t="s">
        <v>182</v>
      </c>
      <c r="H741" s="18" t="s">
        <v>183</v>
      </c>
      <c r="I741" s="18" t="s">
        <v>184</v>
      </c>
      <c r="J741" s="18" t="s">
        <v>1491</v>
      </c>
      <c r="K741" s="18" t="s">
        <v>56</v>
      </c>
      <c r="L741" s="18" t="s">
        <v>36</v>
      </c>
      <c r="N741" s="18">
        <v>6</v>
      </c>
      <c r="O741" s="18" t="s">
        <v>88</v>
      </c>
      <c r="P741" s="18" t="s">
        <v>38</v>
      </c>
      <c r="Q741" s="18" t="s">
        <v>194</v>
      </c>
      <c r="R741" s="18" t="s">
        <v>59</v>
      </c>
      <c r="S741" s="18" t="s">
        <v>195</v>
      </c>
      <c r="T741" s="18" t="b">
        <v>0</v>
      </c>
      <c r="U741" s="18" t="s">
        <v>187</v>
      </c>
      <c r="V741" s="18" t="s">
        <v>40</v>
      </c>
      <c r="W741" s="18" t="s">
        <v>371</v>
      </c>
      <c r="X741" s="18" t="s">
        <v>372</v>
      </c>
      <c r="Y741" s="18">
        <v>1</v>
      </c>
      <c r="Z741" s="18">
        <v>235000</v>
      </c>
      <c r="AA741" s="31" t="s">
        <v>1950</v>
      </c>
      <c r="AB741" s="18" t="s">
        <v>1951</v>
      </c>
      <c r="AC741" s="18" t="s">
        <v>200</v>
      </c>
    </row>
    <row r="742" s="18" customFormat="1" ht="29" spans="1:29">
      <c r="A742" s="18" t="s">
        <v>1959</v>
      </c>
      <c r="B742" s="25" t="s">
        <v>1959</v>
      </c>
      <c r="C742" s="26">
        <v>45685</v>
      </c>
      <c r="D742" s="18" t="s">
        <v>1960</v>
      </c>
      <c r="E742" s="18" t="str">
        <f t="shared" si="11"/>
        <v>Shree Vision</v>
      </c>
      <c r="F742" s="27" t="s">
        <v>1961</v>
      </c>
      <c r="G742" s="18" t="s">
        <v>182</v>
      </c>
      <c r="H742" s="18" t="s">
        <v>183</v>
      </c>
      <c r="I742" s="18" t="s">
        <v>184</v>
      </c>
      <c r="J742" s="18" t="s">
        <v>1491</v>
      </c>
      <c r="K742" s="18" t="s">
        <v>56</v>
      </c>
      <c r="L742" s="18" t="s">
        <v>36</v>
      </c>
      <c r="N742" s="18">
        <v>6</v>
      </c>
      <c r="O742" s="18" t="s">
        <v>88</v>
      </c>
      <c r="P742" s="18" t="s">
        <v>38</v>
      </c>
      <c r="Q742" s="18" t="s">
        <v>194</v>
      </c>
      <c r="R742" s="18" t="s">
        <v>59</v>
      </c>
      <c r="S742" s="18" t="s">
        <v>195</v>
      </c>
      <c r="T742" s="18" t="b">
        <v>0</v>
      </c>
      <c r="U742" s="18" t="s">
        <v>187</v>
      </c>
      <c r="V742" s="18" t="s">
        <v>40</v>
      </c>
      <c r="W742" s="18" t="s">
        <v>990</v>
      </c>
      <c r="X742" s="18" t="s">
        <v>991</v>
      </c>
      <c r="Y742" s="18">
        <v>1</v>
      </c>
      <c r="Z742" s="18">
        <v>10000</v>
      </c>
      <c r="AA742" s="31" t="s">
        <v>1950</v>
      </c>
      <c r="AB742" s="18" t="s">
        <v>1951</v>
      </c>
      <c r="AC742" s="18" t="s">
        <v>200</v>
      </c>
    </row>
    <row r="743" s="18" customFormat="1" ht="29" spans="1:29">
      <c r="A743" s="18" t="s">
        <v>1962</v>
      </c>
      <c r="B743" s="25" t="s">
        <v>1962</v>
      </c>
      <c r="C743" s="26">
        <v>45685</v>
      </c>
      <c r="D743" s="18" t="s">
        <v>1963</v>
      </c>
      <c r="E743" s="18" t="str">
        <f t="shared" si="11"/>
        <v>Sayyed Mohd Rafiq</v>
      </c>
      <c r="F743" s="27" t="s">
        <v>1964</v>
      </c>
      <c r="G743" s="18" t="s">
        <v>182</v>
      </c>
      <c r="H743" s="18" t="s">
        <v>183</v>
      </c>
      <c r="I743" s="18" t="s">
        <v>184</v>
      </c>
      <c r="J743" s="18" t="s">
        <v>1491</v>
      </c>
      <c r="K743" s="18" t="s">
        <v>56</v>
      </c>
      <c r="L743" s="18" t="s">
        <v>36</v>
      </c>
      <c r="N743" s="18">
        <v>6</v>
      </c>
      <c r="O743" s="18" t="s">
        <v>57</v>
      </c>
      <c r="P743" s="18" t="s">
        <v>38</v>
      </c>
      <c r="Q743" s="18" t="s">
        <v>194</v>
      </c>
      <c r="R743" s="18" t="s">
        <v>59</v>
      </c>
      <c r="S743" s="18" t="s">
        <v>195</v>
      </c>
      <c r="T743" s="18" t="b">
        <v>0</v>
      </c>
      <c r="U743" s="18" t="s">
        <v>187</v>
      </c>
      <c r="V743" s="18" t="s">
        <v>40</v>
      </c>
      <c r="W743" s="18" t="s">
        <v>347</v>
      </c>
      <c r="X743" s="18" t="s">
        <v>348</v>
      </c>
      <c r="Y743" s="18">
        <v>1</v>
      </c>
      <c r="Z743" s="18">
        <v>22000</v>
      </c>
      <c r="AA743" s="31" t="s">
        <v>1950</v>
      </c>
      <c r="AB743" s="18" t="s">
        <v>1951</v>
      </c>
      <c r="AC743" s="18" t="e">
        <v>#N/A</v>
      </c>
    </row>
    <row r="744" s="18" customFormat="1" ht="29" spans="1:29">
      <c r="A744" s="18" t="s">
        <v>1965</v>
      </c>
      <c r="B744" s="25" t="s">
        <v>1965</v>
      </c>
      <c r="C744" s="26">
        <v>45685</v>
      </c>
      <c r="D744" s="18" t="s">
        <v>1966</v>
      </c>
      <c r="E744" s="18" t="str">
        <f t="shared" si="11"/>
        <v>Executant Media House Pvt Ltd </v>
      </c>
      <c r="F744" s="27" t="s">
        <v>1967</v>
      </c>
      <c r="G744" s="18" t="s">
        <v>182</v>
      </c>
      <c r="H744" s="18" t="s">
        <v>183</v>
      </c>
      <c r="I744" s="18" t="s">
        <v>184</v>
      </c>
      <c r="J744" s="18" t="s">
        <v>1968</v>
      </c>
      <c r="K744" s="18" t="s">
        <v>56</v>
      </c>
      <c r="L744" s="18" t="s">
        <v>36</v>
      </c>
      <c r="N744" s="18">
        <v>6</v>
      </c>
      <c r="O744" s="18" t="s">
        <v>88</v>
      </c>
      <c r="P744" s="18" t="s">
        <v>38</v>
      </c>
      <c r="Q744" s="18" t="s">
        <v>194</v>
      </c>
      <c r="R744" s="18" t="s">
        <v>59</v>
      </c>
      <c r="S744" s="18" t="s">
        <v>195</v>
      </c>
      <c r="T744" s="18" t="b">
        <v>0</v>
      </c>
      <c r="U744" s="18" t="s">
        <v>187</v>
      </c>
      <c r="V744" s="18" t="s">
        <v>40</v>
      </c>
      <c r="W744" s="18" t="s">
        <v>250</v>
      </c>
      <c r="X744" s="18" t="s">
        <v>251</v>
      </c>
      <c r="Y744" s="18">
        <v>1</v>
      </c>
      <c r="Z744" s="18">
        <v>75000</v>
      </c>
      <c r="AA744" s="31" t="s">
        <v>1969</v>
      </c>
      <c r="AB744" s="18" t="s">
        <v>1970</v>
      </c>
      <c r="AC744" s="18" t="s">
        <v>216</v>
      </c>
    </row>
    <row r="745" s="18" customFormat="1" ht="29" spans="1:29">
      <c r="A745" s="18" t="s">
        <v>1971</v>
      </c>
      <c r="B745" s="25" t="s">
        <v>1971</v>
      </c>
      <c r="C745" s="26">
        <v>45685</v>
      </c>
      <c r="D745" s="18" t="s">
        <v>86</v>
      </c>
      <c r="E745" s="18" t="str">
        <f t="shared" si="11"/>
        <v>Aaa Rental Llp</v>
      </c>
      <c r="F745" s="27" t="s">
        <v>87</v>
      </c>
      <c r="G745" s="18" t="s">
        <v>182</v>
      </c>
      <c r="H745" s="18" t="s">
        <v>183</v>
      </c>
      <c r="I745" s="18" t="s">
        <v>184</v>
      </c>
      <c r="J745" s="18" t="s">
        <v>1491</v>
      </c>
      <c r="K745" s="18" t="s">
        <v>56</v>
      </c>
      <c r="L745" s="18" t="s">
        <v>36</v>
      </c>
      <c r="N745" s="18">
        <v>6</v>
      </c>
      <c r="O745" s="18" t="s">
        <v>88</v>
      </c>
      <c r="P745" s="18" t="s">
        <v>38</v>
      </c>
      <c r="Q745" s="18" t="s">
        <v>194</v>
      </c>
      <c r="R745" s="18" t="s">
        <v>59</v>
      </c>
      <c r="S745" s="18" t="s">
        <v>195</v>
      </c>
      <c r="T745" s="18" t="b">
        <v>0</v>
      </c>
      <c r="U745" s="18" t="s">
        <v>187</v>
      </c>
      <c r="V745" s="18" t="s">
        <v>40</v>
      </c>
      <c r="W745" s="18" t="s">
        <v>990</v>
      </c>
      <c r="X745" s="18" t="s">
        <v>991</v>
      </c>
      <c r="Y745" s="18">
        <v>1</v>
      </c>
      <c r="Z745" s="18">
        <v>1500</v>
      </c>
      <c r="AA745" s="31" t="s">
        <v>1972</v>
      </c>
      <c r="AB745" s="18" t="s">
        <v>1973</v>
      </c>
      <c r="AC745" s="18" t="s">
        <v>200</v>
      </c>
    </row>
    <row r="746" s="18" customFormat="1" ht="29" spans="1:29">
      <c r="A746" s="18" t="s">
        <v>1974</v>
      </c>
      <c r="B746" s="25" t="s">
        <v>1974</v>
      </c>
      <c r="C746" s="26">
        <v>45685</v>
      </c>
      <c r="D746" s="18" t="s">
        <v>1975</v>
      </c>
      <c r="E746" s="18" t="str">
        <f t="shared" si="11"/>
        <v>Start Edge</v>
      </c>
      <c r="F746" s="27" t="s">
        <v>1976</v>
      </c>
      <c r="G746" s="18" t="s">
        <v>182</v>
      </c>
      <c r="H746" s="18" t="s">
        <v>183</v>
      </c>
      <c r="I746" s="18" t="s">
        <v>184</v>
      </c>
      <c r="J746" s="18" t="s">
        <v>793</v>
      </c>
      <c r="K746" s="18" t="s">
        <v>56</v>
      </c>
      <c r="L746" s="18" t="s">
        <v>36</v>
      </c>
      <c r="N746" s="18">
        <v>6</v>
      </c>
      <c r="O746" s="18" t="s">
        <v>88</v>
      </c>
      <c r="P746" s="18" t="s">
        <v>38</v>
      </c>
      <c r="Q746" s="18" t="s">
        <v>194</v>
      </c>
      <c r="R746" s="18" t="s">
        <v>59</v>
      </c>
      <c r="S746" s="18" t="s">
        <v>195</v>
      </c>
      <c r="T746" s="18" t="b">
        <v>0</v>
      </c>
      <c r="U746" s="18" t="s">
        <v>187</v>
      </c>
      <c r="V746" s="18" t="s">
        <v>40</v>
      </c>
      <c r="W746" s="18" t="s">
        <v>151</v>
      </c>
      <c r="X746" s="18" t="s">
        <v>152</v>
      </c>
      <c r="Y746" s="18">
        <v>1</v>
      </c>
      <c r="Z746" s="18">
        <v>140000</v>
      </c>
      <c r="AA746" s="31" t="s">
        <v>1977</v>
      </c>
      <c r="AB746" s="18" t="s">
        <v>1978</v>
      </c>
      <c r="AC746" s="18" t="s">
        <v>200</v>
      </c>
    </row>
    <row r="747" s="18" customFormat="1" ht="29" spans="1:29">
      <c r="A747" s="18" t="s">
        <v>1979</v>
      </c>
      <c r="B747" s="25" t="s">
        <v>1979</v>
      </c>
      <c r="C747" s="26">
        <v>45685</v>
      </c>
      <c r="D747" s="18" t="s">
        <v>1886</v>
      </c>
      <c r="E747" s="18" t="str">
        <f t="shared" si="11"/>
        <v>Kalasiddha Creations</v>
      </c>
      <c r="F747" s="27" t="s">
        <v>1887</v>
      </c>
      <c r="G747" s="18" t="s">
        <v>182</v>
      </c>
      <c r="H747" s="18" t="s">
        <v>183</v>
      </c>
      <c r="I747" s="18" t="s">
        <v>184</v>
      </c>
      <c r="J747" s="18" t="s">
        <v>793</v>
      </c>
      <c r="K747" s="18" t="s">
        <v>56</v>
      </c>
      <c r="L747" s="18" t="s">
        <v>36</v>
      </c>
      <c r="N747" s="18">
        <v>6</v>
      </c>
      <c r="O747" s="18" t="s">
        <v>88</v>
      </c>
      <c r="P747" s="18" t="s">
        <v>38</v>
      </c>
      <c r="Q747" s="18" t="s">
        <v>194</v>
      </c>
      <c r="R747" s="18" t="s">
        <v>59</v>
      </c>
      <c r="S747" s="18" t="s">
        <v>195</v>
      </c>
      <c r="T747" s="18" t="b">
        <v>0</v>
      </c>
      <c r="U747" s="18" t="s">
        <v>187</v>
      </c>
      <c r="V747" s="18" t="s">
        <v>40</v>
      </c>
      <c r="W747" s="18" t="s">
        <v>317</v>
      </c>
      <c r="X747" s="18" t="s">
        <v>318</v>
      </c>
      <c r="Y747" s="18">
        <v>1</v>
      </c>
      <c r="Z747" s="18">
        <v>275500</v>
      </c>
      <c r="AA747" s="31" t="s">
        <v>1977</v>
      </c>
      <c r="AB747" s="18" t="s">
        <v>1978</v>
      </c>
      <c r="AC747" s="18" t="s">
        <v>200</v>
      </c>
    </row>
    <row r="748" s="18" customFormat="1" ht="29" spans="1:29">
      <c r="A748" s="18" t="s">
        <v>1980</v>
      </c>
      <c r="B748" s="25" t="s">
        <v>1980</v>
      </c>
      <c r="C748" s="26">
        <v>45685</v>
      </c>
      <c r="D748" s="18" t="s">
        <v>1981</v>
      </c>
      <c r="E748" s="18" t="str">
        <f t="shared" si="11"/>
        <v>Oriana Communications</v>
      </c>
      <c r="F748" s="27" t="s">
        <v>1982</v>
      </c>
      <c r="G748" s="18" t="s">
        <v>182</v>
      </c>
      <c r="H748" s="18" t="s">
        <v>183</v>
      </c>
      <c r="I748" s="18" t="s">
        <v>184</v>
      </c>
      <c r="J748" s="18" t="s">
        <v>793</v>
      </c>
      <c r="K748" s="18" t="s">
        <v>56</v>
      </c>
      <c r="L748" s="18" t="s">
        <v>36</v>
      </c>
      <c r="N748" s="18">
        <v>6</v>
      </c>
      <c r="O748" s="18" t="s">
        <v>57</v>
      </c>
      <c r="P748" s="18" t="s">
        <v>38</v>
      </c>
      <c r="Q748" s="18" t="s">
        <v>194</v>
      </c>
      <c r="R748" s="18" t="s">
        <v>59</v>
      </c>
      <c r="S748" s="18" t="s">
        <v>195</v>
      </c>
      <c r="T748" s="18" t="b">
        <v>0</v>
      </c>
      <c r="U748" s="18" t="s">
        <v>187</v>
      </c>
      <c r="V748" s="18" t="s">
        <v>40</v>
      </c>
      <c r="W748" s="18" t="s">
        <v>371</v>
      </c>
      <c r="X748" s="18" t="s">
        <v>372</v>
      </c>
      <c r="Y748" s="18">
        <v>1</v>
      </c>
      <c r="Z748" s="18">
        <v>6800</v>
      </c>
      <c r="AA748" s="31" t="s">
        <v>1977</v>
      </c>
      <c r="AB748" s="18" t="s">
        <v>1978</v>
      </c>
      <c r="AC748" s="18" t="s">
        <v>200</v>
      </c>
    </row>
    <row r="749" s="18" customFormat="1" ht="29" spans="1:29">
      <c r="A749" s="18" t="s">
        <v>1983</v>
      </c>
      <c r="B749" s="25" t="s">
        <v>1983</v>
      </c>
      <c r="C749" s="26">
        <v>45685</v>
      </c>
      <c r="D749" s="18" t="s">
        <v>1984</v>
      </c>
      <c r="E749" s="18" t="str">
        <f t="shared" si="11"/>
        <v>Razzmatazz Ventures Pvt Ltd</v>
      </c>
      <c r="F749" s="27" t="s">
        <v>1985</v>
      </c>
      <c r="G749" s="18" t="s">
        <v>182</v>
      </c>
      <c r="H749" s="18" t="s">
        <v>183</v>
      </c>
      <c r="I749" s="18" t="s">
        <v>184</v>
      </c>
      <c r="J749" s="18" t="s">
        <v>499</v>
      </c>
      <c r="K749" s="18" t="s">
        <v>56</v>
      </c>
      <c r="L749" s="18" t="s">
        <v>36</v>
      </c>
      <c r="N749" s="18">
        <v>6</v>
      </c>
      <c r="O749" s="18" t="s">
        <v>88</v>
      </c>
      <c r="P749" s="18" t="s">
        <v>38</v>
      </c>
      <c r="Q749" s="18" t="s">
        <v>117</v>
      </c>
      <c r="R749" s="18" t="s">
        <v>59</v>
      </c>
      <c r="S749" s="18" t="s">
        <v>186</v>
      </c>
      <c r="T749" s="18" t="b">
        <v>0</v>
      </c>
      <c r="U749" s="18" t="s">
        <v>187</v>
      </c>
      <c r="V749" s="18" t="s">
        <v>40</v>
      </c>
      <c r="W749" s="18" t="s">
        <v>317</v>
      </c>
      <c r="X749" s="18" t="s">
        <v>318</v>
      </c>
      <c r="Y749" s="18">
        <v>1</v>
      </c>
      <c r="Z749" s="18">
        <v>650000</v>
      </c>
      <c r="AA749" s="31" t="s">
        <v>338</v>
      </c>
      <c r="AB749" s="18" t="s">
        <v>339</v>
      </c>
      <c r="AC749" s="18" t="s">
        <v>216</v>
      </c>
    </row>
    <row r="750" s="18" customFormat="1" spans="1:29">
      <c r="A750" s="18" t="s">
        <v>1986</v>
      </c>
      <c r="B750" s="25" t="s">
        <v>1986</v>
      </c>
      <c r="C750" s="26">
        <v>45685</v>
      </c>
      <c r="D750" s="18" t="s">
        <v>1987</v>
      </c>
      <c r="E750" s="18" t="str">
        <f t="shared" si="11"/>
        <v>Tm Ventures Pvt Ltd</v>
      </c>
      <c r="F750" s="27" t="s">
        <v>1988</v>
      </c>
      <c r="G750" s="18" t="s">
        <v>182</v>
      </c>
      <c r="H750" s="18" t="s">
        <v>183</v>
      </c>
      <c r="I750" s="18" t="s">
        <v>207</v>
      </c>
      <c r="J750" s="18" t="s">
        <v>1700</v>
      </c>
      <c r="K750" s="18" t="s">
        <v>56</v>
      </c>
      <c r="L750" s="18" t="s">
        <v>36</v>
      </c>
      <c r="N750" s="18">
        <v>6</v>
      </c>
      <c r="O750" s="18" t="s">
        <v>88</v>
      </c>
      <c r="P750" s="18" t="s">
        <v>38</v>
      </c>
      <c r="Q750" s="18" t="s">
        <v>58</v>
      </c>
      <c r="R750" s="18" t="s">
        <v>59</v>
      </c>
      <c r="S750" s="18" t="s">
        <v>60</v>
      </c>
      <c r="T750" s="18" t="b">
        <v>0</v>
      </c>
      <c r="U750" s="18" t="s">
        <v>187</v>
      </c>
      <c r="V750" s="18" t="s">
        <v>40</v>
      </c>
      <c r="W750" s="18" t="s">
        <v>250</v>
      </c>
      <c r="X750" s="18" t="s">
        <v>251</v>
      </c>
      <c r="Y750" s="18">
        <v>1</v>
      </c>
      <c r="Z750" s="18">
        <v>550000</v>
      </c>
      <c r="AA750" s="18" t="s">
        <v>1989</v>
      </c>
      <c r="AB750" s="18" t="s">
        <v>1990</v>
      </c>
      <c r="AC750" s="18" t="s">
        <v>200</v>
      </c>
    </row>
    <row r="751" s="18" customFormat="1" ht="29" spans="1:29">
      <c r="A751" s="18" t="s">
        <v>1991</v>
      </c>
      <c r="B751" s="25" t="s">
        <v>1991</v>
      </c>
      <c r="C751" s="26">
        <v>45685</v>
      </c>
      <c r="D751" s="18" t="s">
        <v>1992</v>
      </c>
      <c r="E751" s="18" t="str">
        <f t="shared" si="11"/>
        <v>Host Vision Technologies</v>
      </c>
      <c r="F751" s="27" t="s">
        <v>1993</v>
      </c>
      <c r="G751" s="18" t="s">
        <v>182</v>
      </c>
      <c r="H751" s="18" t="s">
        <v>183</v>
      </c>
      <c r="I751" s="18" t="s">
        <v>184</v>
      </c>
      <c r="J751" s="18" t="s">
        <v>1491</v>
      </c>
      <c r="K751" s="18" t="s">
        <v>56</v>
      </c>
      <c r="L751" s="18" t="s">
        <v>36</v>
      </c>
      <c r="N751" s="18">
        <v>6</v>
      </c>
      <c r="O751" s="18" t="s">
        <v>57</v>
      </c>
      <c r="P751" s="18" t="s">
        <v>38</v>
      </c>
      <c r="Q751" s="18" t="s">
        <v>194</v>
      </c>
      <c r="R751" s="18" t="s">
        <v>59</v>
      </c>
      <c r="S751" s="18" t="s">
        <v>195</v>
      </c>
      <c r="T751" s="18" t="b">
        <v>0</v>
      </c>
      <c r="U751" s="18" t="s">
        <v>187</v>
      </c>
      <c r="V751" s="18" t="s">
        <v>40</v>
      </c>
      <c r="W751" s="18" t="s">
        <v>371</v>
      </c>
      <c r="X751" s="18" t="s">
        <v>372</v>
      </c>
      <c r="Y751" s="18">
        <v>1</v>
      </c>
      <c r="Z751" s="18">
        <v>32450</v>
      </c>
      <c r="AA751" s="31" t="s">
        <v>1972</v>
      </c>
      <c r="AB751" s="18" t="s">
        <v>1973</v>
      </c>
      <c r="AC751" s="18" t="s">
        <v>200</v>
      </c>
    </row>
    <row r="752" s="18" customFormat="1" ht="29" spans="1:29">
      <c r="A752" s="18" t="s">
        <v>1994</v>
      </c>
      <c r="B752" s="25" t="s">
        <v>1994</v>
      </c>
      <c r="C752" s="26">
        <v>45685</v>
      </c>
      <c r="D752" s="18" t="s">
        <v>264</v>
      </c>
      <c r="E752" s="18" t="str">
        <f t="shared" si="11"/>
        <v>The Indian Performing Right Society Ltd.</v>
      </c>
      <c r="F752" s="27" t="e">
        <v>#N/A</v>
      </c>
      <c r="G752" s="18" t="s">
        <v>182</v>
      </c>
      <c r="H752" s="18" t="s">
        <v>183</v>
      </c>
      <c r="I752" s="18" t="s">
        <v>184</v>
      </c>
      <c r="J752" s="18" t="s">
        <v>1995</v>
      </c>
      <c r="K752" s="18" t="s">
        <v>56</v>
      </c>
      <c r="L752" s="18" t="s">
        <v>36</v>
      </c>
      <c r="N752" s="18">
        <v>6</v>
      </c>
      <c r="O752" s="18" t="s">
        <v>57</v>
      </c>
      <c r="P752" s="18" t="s">
        <v>38</v>
      </c>
      <c r="Q752" s="18" t="s">
        <v>194</v>
      </c>
      <c r="R752" s="18" t="s">
        <v>59</v>
      </c>
      <c r="S752" s="18" t="s">
        <v>195</v>
      </c>
      <c r="T752" s="18" t="b">
        <v>0</v>
      </c>
      <c r="U752" s="18" t="s">
        <v>187</v>
      </c>
      <c r="V752" s="18" t="s">
        <v>40</v>
      </c>
      <c r="W752" s="18" t="s">
        <v>256</v>
      </c>
      <c r="X752" s="18" t="s">
        <v>257</v>
      </c>
      <c r="Y752" s="18">
        <v>1</v>
      </c>
      <c r="Z752" s="18">
        <v>30000</v>
      </c>
      <c r="AA752" s="31" t="s">
        <v>262</v>
      </c>
      <c r="AB752" s="18" t="s">
        <v>259</v>
      </c>
      <c r="AC752" s="18" t="s">
        <v>200</v>
      </c>
    </row>
    <row r="753" s="18" customFormat="1" ht="29" spans="1:29">
      <c r="A753" s="18" t="s">
        <v>1996</v>
      </c>
      <c r="B753" s="25" t="s">
        <v>1996</v>
      </c>
      <c r="C753" s="26">
        <v>45685</v>
      </c>
      <c r="D753" s="18" t="s">
        <v>255</v>
      </c>
      <c r="E753" s="18" t="str">
        <f t="shared" si="11"/>
        <v>Phonographic Performance Limited</v>
      </c>
      <c r="F753" s="27" t="e">
        <v>#N/A</v>
      </c>
      <c r="G753" s="18" t="s">
        <v>182</v>
      </c>
      <c r="H753" s="18" t="s">
        <v>183</v>
      </c>
      <c r="I753" s="18" t="s">
        <v>184</v>
      </c>
      <c r="J753" s="18" t="s">
        <v>1995</v>
      </c>
      <c r="K753" s="18" t="s">
        <v>56</v>
      </c>
      <c r="L753" s="18" t="s">
        <v>36</v>
      </c>
      <c r="N753" s="18">
        <v>6</v>
      </c>
      <c r="O753" s="18" t="s">
        <v>88</v>
      </c>
      <c r="P753" s="18" t="s">
        <v>38</v>
      </c>
      <c r="Q753" s="18" t="s">
        <v>194</v>
      </c>
      <c r="R753" s="18" t="s">
        <v>59</v>
      </c>
      <c r="S753" s="18" t="s">
        <v>195</v>
      </c>
      <c r="T753" s="18" t="b">
        <v>0</v>
      </c>
      <c r="U753" s="18" t="s">
        <v>187</v>
      </c>
      <c r="V753" s="18" t="s">
        <v>40</v>
      </c>
      <c r="W753" s="18" t="s">
        <v>256</v>
      </c>
      <c r="X753" s="18" t="s">
        <v>257</v>
      </c>
      <c r="Y753" s="18">
        <v>1</v>
      </c>
      <c r="Z753" s="18">
        <v>69375</v>
      </c>
      <c r="AA753" s="31" t="s">
        <v>262</v>
      </c>
      <c r="AB753" s="18" t="s">
        <v>259</v>
      </c>
      <c r="AC753" s="18" t="s">
        <v>200</v>
      </c>
    </row>
    <row r="754" s="18" customFormat="1" ht="29" spans="1:29">
      <c r="A754" s="18" t="s">
        <v>1997</v>
      </c>
      <c r="B754" s="25" t="s">
        <v>1997</v>
      </c>
      <c r="C754" s="26">
        <v>45685</v>
      </c>
      <c r="D754" s="18" t="s">
        <v>261</v>
      </c>
      <c r="E754" s="18" t="str">
        <f t="shared" si="11"/>
        <v>Novex Communications Pvt. Ltd.</v>
      </c>
      <c r="F754" s="27" t="e">
        <v>#N/A</v>
      </c>
      <c r="G754" s="18" t="s">
        <v>182</v>
      </c>
      <c r="H754" s="18" t="s">
        <v>183</v>
      </c>
      <c r="I754" s="18" t="s">
        <v>184</v>
      </c>
      <c r="J754" s="18" t="s">
        <v>1995</v>
      </c>
      <c r="K754" s="18" t="s">
        <v>56</v>
      </c>
      <c r="L754" s="18" t="s">
        <v>36</v>
      </c>
      <c r="N754" s="18">
        <v>6</v>
      </c>
      <c r="O754" s="18" t="s">
        <v>88</v>
      </c>
      <c r="P754" s="18" t="s">
        <v>38</v>
      </c>
      <c r="Q754" s="18" t="s">
        <v>194</v>
      </c>
      <c r="R754" s="18" t="s">
        <v>59</v>
      </c>
      <c r="S754" s="18" t="s">
        <v>195</v>
      </c>
      <c r="T754" s="18" t="b">
        <v>0</v>
      </c>
      <c r="U754" s="18" t="s">
        <v>187</v>
      </c>
      <c r="V754" s="18" t="s">
        <v>40</v>
      </c>
      <c r="W754" s="18" t="s">
        <v>256</v>
      </c>
      <c r="X754" s="18" t="s">
        <v>257</v>
      </c>
      <c r="Y754" s="18">
        <v>1</v>
      </c>
      <c r="Z754" s="18">
        <v>80000</v>
      </c>
      <c r="AA754" s="31" t="s">
        <v>262</v>
      </c>
      <c r="AB754" s="18" t="s">
        <v>259</v>
      </c>
      <c r="AC754" s="18" t="s">
        <v>200</v>
      </c>
    </row>
    <row r="755" s="18" customFormat="1" ht="29" spans="1:29">
      <c r="A755" s="18" t="s">
        <v>1998</v>
      </c>
      <c r="B755" s="25" t="s">
        <v>1998</v>
      </c>
      <c r="C755" s="26">
        <v>45685</v>
      </c>
      <c r="D755" s="18" t="s">
        <v>918</v>
      </c>
      <c r="E755" s="18" t="str">
        <f t="shared" si="11"/>
        <v>Recorded Music Performance Ltd</v>
      </c>
      <c r="F755" s="27" t="s">
        <v>919</v>
      </c>
      <c r="G755" s="18" t="s">
        <v>182</v>
      </c>
      <c r="H755" s="18" t="s">
        <v>183</v>
      </c>
      <c r="I755" s="18" t="s">
        <v>184</v>
      </c>
      <c r="J755" s="18" t="s">
        <v>1995</v>
      </c>
      <c r="K755" s="18" t="s">
        <v>56</v>
      </c>
      <c r="L755" s="18" t="s">
        <v>36</v>
      </c>
      <c r="N755" s="18">
        <v>6</v>
      </c>
      <c r="O755" s="18" t="s">
        <v>57</v>
      </c>
      <c r="P755" s="18" t="s">
        <v>38</v>
      </c>
      <c r="Q755" s="18" t="s">
        <v>194</v>
      </c>
      <c r="R755" s="18" t="s">
        <v>59</v>
      </c>
      <c r="S755" s="18" t="s">
        <v>195</v>
      </c>
      <c r="T755" s="18" t="b">
        <v>0</v>
      </c>
      <c r="U755" s="18" t="s">
        <v>187</v>
      </c>
      <c r="V755" s="18" t="s">
        <v>40</v>
      </c>
      <c r="W755" s="18" t="s">
        <v>256</v>
      </c>
      <c r="X755" s="18" t="s">
        <v>257</v>
      </c>
      <c r="Y755" s="18">
        <v>1</v>
      </c>
      <c r="Z755" s="18">
        <v>35000</v>
      </c>
      <c r="AA755" s="31" t="s">
        <v>262</v>
      </c>
      <c r="AB755" s="18" t="s">
        <v>259</v>
      </c>
      <c r="AC755" s="18" t="s">
        <v>200</v>
      </c>
    </row>
    <row r="756" s="18" customFormat="1" ht="29" spans="1:29">
      <c r="A756" s="18" t="s">
        <v>1999</v>
      </c>
      <c r="B756" s="25" t="s">
        <v>1999</v>
      </c>
      <c r="C756" s="26">
        <v>45685</v>
      </c>
      <c r="D756" s="18" t="s">
        <v>264</v>
      </c>
      <c r="E756" s="18" t="str">
        <f t="shared" si="11"/>
        <v>The Indian Performing Right Society Ltd.</v>
      </c>
      <c r="F756" s="27" t="e">
        <v>#N/A</v>
      </c>
      <c r="G756" s="18" t="s">
        <v>182</v>
      </c>
      <c r="H756" s="18" t="s">
        <v>183</v>
      </c>
      <c r="I756" s="18" t="s">
        <v>184</v>
      </c>
      <c r="J756" s="18" t="s">
        <v>1889</v>
      </c>
      <c r="K756" s="18" t="s">
        <v>56</v>
      </c>
      <c r="L756" s="18" t="s">
        <v>36</v>
      </c>
      <c r="N756" s="18">
        <v>6</v>
      </c>
      <c r="O756" s="18" t="s">
        <v>57</v>
      </c>
      <c r="P756" s="18" t="s">
        <v>38</v>
      </c>
      <c r="Q756" s="18" t="s">
        <v>194</v>
      </c>
      <c r="R756" s="18" t="s">
        <v>59</v>
      </c>
      <c r="S756" s="18" t="s">
        <v>195</v>
      </c>
      <c r="T756" s="18" t="b">
        <v>0</v>
      </c>
      <c r="U756" s="18" t="s">
        <v>187</v>
      </c>
      <c r="V756" s="18" t="s">
        <v>40</v>
      </c>
      <c r="W756" s="18" t="s">
        <v>256</v>
      </c>
      <c r="X756" s="18" t="s">
        <v>257</v>
      </c>
      <c r="Y756" s="18">
        <v>1</v>
      </c>
      <c r="Z756" s="18">
        <v>75000</v>
      </c>
      <c r="AA756" s="31" t="s">
        <v>262</v>
      </c>
      <c r="AB756" s="18" t="s">
        <v>259</v>
      </c>
      <c r="AC756" s="18" t="s">
        <v>200</v>
      </c>
    </row>
    <row r="757" s="18" customFormat="1" ht="29" spans="1:29">
      <c r="A757" s="18" t="s">
        <v>2000</v>
      </c>
      <c r="B757" s="25" t="s">
        <v>2000</v>
      </c>
      <c r="C757" s="26">
        <v>45685</v>
      </c>
      <c r="D757" s="18" t="s">
        <v>255</v>
      </c>
      <c r="E757" s="18" t="str">
        <f t="shared" si="11"/>
        <v>Phonographic Performance Limited</v>
      </c>
      <c r="F757" s="27" t="e">
        <v>#N/A</v>
      </c>
      <c r="G757" s="18" t="s">
        <v>182</v>
      </c>
      <c r="H757" s="18" t="s">
        <v>183</v>
      </c>
      <c r="I757" s="18" t="s">
        <v>184</v>
      </c>
      <c r="J757" s="18" t="s">
        <v>1889</v>
      </c>
      <c r="K757" s="18" t="s">
        <v>56</v>
      </c>
      <c r="L757" s="18" t="s">
        <v>36</v>
      </c>
      <c r="N757" s="18">
        <v>6</v>
      </c>
      <c r="O757" s="18" t="s">
        <v>88</v>
      </c>
      <c r="P757" s="18" t="s">
        <v>38</v>
      </c>
      <c r="Q757" s="18" t="s">
        <v>194</v>
      </c>
      <c r="R757" s="18" t="s">
        <v>59</v>
      </c>
      <c r="S757" s="18" t="s">
        <v>195</v>
      </c>
      <c r="T757" s="18" t="b">
        <v>0</v>
      </c>
      <c r="U757" s="18" t="s">
        <v>187</v>
      </c>
      <c r="V757" s="18" t="s">
        <v>40</v>
      </c>
      <c r="W757" s="18" t="s">
        <v>256</v>
      </c>
      <c r="X757" s="18" t="s">
        <v>257</v>
      </c>
      <c r="Y757" s="18">
        <v>1</v>
      </c>
      <c r="Z757" s="18">
        <v>69375</v>
      </c>
      <c r="AA757" s="31" t="s">
        <v>262</v>
      </c>
      <c r="AB757" s="18" t="s">
        <v>259</v>
      </c>
      <c r="AC757" s="18" t="s">
        <v>200</v>
      </c>
    </row>
    <row r="758" s="18" customFormat="1" ht="29" spans="1:29">
      <c r="A758" s="18" t="s">
        <v>2001</v>
      </c>
      <c r="B758" s="25" t="s">
        <v>2001</v>
      </c>
      <c r="C758" s="26">
        <v>45685</v>
      </c>
      <c r="D758" s="18" t="s">
        <v>261</v>
      </c>
      <c r="E758" s="18" t="str">
        <f t="shared" si="11"/>
        <v>Novex Communications Pvt. Ltd.</v>
      </c>
      <c r="F758" s="27" t="e">
        <v>#N/A</v>
      </c>
      <c r="G758" s="18" t="s">
        <v>182</v>
      </c>
      <c r="H758" s="18" t="s">
        <v>183</v>
      </c>
      <c r="I758" s="18" t="s">
        <v>184</v>
      </c>
      <c r="J758" s="18" t="s">
        <v>1889</v>
      </c>
      <c r="K758" s="18" t="s">
        <v>56</v>
      </c>
      <c r="L758" s="18" t="s">
        <v>36</v>
      </c>
      <c r="N758" s="18">
        <v>6</v>
      </c>
      <c r="O758" s="18" t="s">
        <v>88</v>
      </c>
      <c r="P758" s="18" t="s">
        <v>38</v>
      </c>
      <c r="Q758" s="18" t="s">
        <v>194</v>
      </c>
      <c r="R758" s="18" t="s">
        <v>59</v>
      </c>
      <c r="S758" s="18" t="s">
        <v>195</v>
      </c>
      <c r="T758" s="18" t="b">
        <v>0</v>
      </c>
      <c r="U758" s="18" t="s">
        <v>187</v>
      </c>
      <c r="V758" s="18" t="s">
        <v>40</v>
      </c>
      <c r="W758" s="18" t="s">
        <v>256</v>
      </c>
      <c r="X758" s="18" t="s">
        <v>257</v>
      </c>
      <c r="Y758" s="18">
        <v>1</v>
      </c>
      <c r="Z758" s="18">
        <v>80000</v>
      </c>
      <c r="AA758" s="31" t="s">
        <v>262</v>
      </c>
      <c r="AB758" s="18" t="s">
        <v>259</v>
      </c>
      <c r="AC758" s="18" t="s">
        <v>200</v>
      </c>
    </row>
    <row r="759" s="18" customFormat="1" ht="29" spans="1:29">
      <c r="A759" s="18" t="s">
        <v>2002</v>
      </c>
      <c r="B759" s="25" t="s">
        <v>2002</v>
      </c>
      <c r="C759" s="26">
        <v>45685</v>
      </c>
      <c r="D759" s="18" t="s">
        <v>2003</v>
      </c>
      <c r="E759" s="18" t="str">
        <f t="shared" si="11"/>
        <v>Vista Services (Sainath Govind Shirke)</v>
      </c>
      <c r="F759" s="27" t="s">
        <v>2004</v>
      </c>
      <c r="G759" s="18" t="s">
        <v>182</v>
      </c>
      <c r="H759" s="18" t="s">
        <v>183</v>
      </c>
      <c r="I759" s="18" t="s">
        <v>184</v>
      </c>
      <c r="J759" s="18" t="s">
        <v>1889</v>
      </c>
      <c r="K759" s="18" t="s">
        <v>56</v>
      </c>
      <c r="L759" s="18" t="s">
        <v>36</v>
      </c>
      <c r="N759" s="18">
        <v>6</v>
      </c>
      <c r="O759" s="18" t="s">
        <v>57</v>
      </c>
      <c r="P759" s="18" t="s">
        <v>38</v>
      </c>
      <c r="Q759" s="18" t="s">
        <v>194</v>
      </c>
      <c r="R759" s="18" t="s">
        <v>59</v>
      </c>
      <c r="S759" s="18" t="s">
        <v>195</v>
      </c>
      <c r="T759" s="18" t="b">
        <v>0</v>
      </c>
      <c r="U759" s="18" t="s">
        <v>187</v>
      </c>
      <c r="V759" s="18" t="s">
        <v>40</v>
      </c>
      <c r="W759" s="18" t="s">
        <v>256</v>
      </c>
      <c r="X759" s="18" t="s">
        <v>257</v>
      </c>
      <c r="Y759" s="18">
        <v>1</v>
      </c>
      <c r="Z759" s="18">
        <v>57500</v>
      </c>
      <c r="AA759" s="31" t="s">
        <v>262</v>
      </c>
      <c r="AB759" s="18" t="s">
        <v>259</v>
      </c>
      <c r="AC759" s="18" t="s">
        <v>200</v>
      </c>
    </row>
    <row r="760" s="18" customFormat="1" spans="1:29">
      <c r="A760" s="18" t="s">
        <v>2005</v>
      </c>
      <c r="B760" s="25" t="s">
        <v>2005</v>
      </c>
      <c r="C760" s="26">
        <v>45685</v>
      </c>
      <c r="D760" s="18" t="s">
        <v>2006</v>
      </c>
      <c r="E760" s="18" t="str">
        <f t="shared" si="11"/>
        <v>Fairmont Mumbai (Shrem Airport Hotels Pvt Ltd)</v>
      </c>
      <c r="F760" s="27" t="s">
        <v>2007</v>
      </c>
      <c r="G760" s="18" t="s">
        <v>182</v>
      </c>
      <c r="H760" s="18" t="s">
        <v>183</v>
      </c>
      <c r="I760" s="18" t="s">
        <v>54</v>
      </c>
      <c r="J760" s="18" t="s">
        <v>1238</v>
      </c>
      <c r="K760" s="18" t="s">
        <v>56</v>
      </c>
      <c r="L760" s="18" t="s">
        <v>36</v>
      </c>
      <c r="N760" s="18">
        <v>6</v>
      </c>
      <c r="O760" s="18" t="s">
        <v>93</v>
      </c>
      <c r="P760" s="18" t="s">
        <v>38</v>
      </c>
      <c r="Q760" s="18" t="s">
        <v>58</v>
      </c>
      <c r="R760" s="18" t="s">
        <v>59</v>
      </c>
      <c r="S760" s="18" t="s">
        <v>60</v>
      </c>
      <c r="T760" s="18" t="b">
        <v>0</v>
      </c>
      <c r="U760" s="18" t="s">
        <v>187</v>
      </c>
      <c r="V760" s="18" t="s">
        <v>40</v>
      </c>
      <c r="W760" s="18" t="s">
        <v>1176</v>
      </c>
      <c r="X760" s="18" t="s">
        <v>1177</v>
      </c>
      <c r="Y760" s="18">
        <v>1</v>
      </c>
      <c r="Z760" s="18">
        <v>161619.64</v>
      </c>
      <c r="AA760" s="18" t="s">
        <v>63</v>
      </c>
      <c r="AB760" s="18" t="s">
        <v>64</v>
      </c>
      <c r="AC760" s="18" t="s">
        <v>200</v>
      </c>
    </row>
    <row r="761" s="18" customFormat="1" spans="1:29">
      <c r="A761" s="18" t="s">
        <v>2008</v>
      </c>
      <c r="B761" s="25" t="s">
        <v>2008</v>
      </c>
      <c r="C761" s="26">
        <v>45685</v>
      </c>
      <c r="D761" s="18" t="s">
        <v>1421</v>
      </c>
      <c r="E761" s="18" t="str">
        <f t="shared" si="11"/>
        <v>ITC Narmada Ahmedabad (ITC Hotels Ltd)</v>
      </c>
      <c r="F761" s="27" t="s">
        <v>1422</v>
      </c>
      <c r="G761" s="18" t="s">
        <v>182</v>
      </c>
      <c r="H761" s="18" t="s">
        <v>183</v>
      </c>
      <c r="I761" s="18" t="s">
        <v>54</v>
      </c>
      <c r="J761" s="18" t="s">
        <v>1238</v>
      </c>
      <c r="K761" s="18" t="s">
        <v>56</v>
      </c>
      <c r="L761" s="18" t="s">
        <v>36</v>
      </c>
      <c r="N761" s="18">
        <v>6</v>
      </c>
      <c r="O761" s="18" t="s">
        <v>93</v>
      </c>
      <c r="P761" s="18" t="s">
        <v>38</v>
      </c>
      <c r="Q761" s="18" t="s">
        <v>58</v>
      </c>
      <c r="R761" s="18" t="s">
        <v>59</v>
      </c>
      <c r="S761" s="18" t="s">
        <v>60</v>
      </c>
      <c r="T761" s="18" t="b">
        <v>0</v>
      </c>
      <c r="U761" s="18" t="s">
        <v>187</v>
      </c>
      <c r="V761" s="18" t="s">
        <v>40</v>
      </c>
      <c r="W761" s="18" t="s">
        <v>1176</v>
      </c>
      <c r="X761" s="18" t="s">
        <v>1177</v>
      </c>
      <c r="Y761" s="18">
        <v>1</v>
      </c>
      <c r="Z761" s="18">
        <v>650000</v>
      </c>
      <c r="AA761" s="18" t="s">
        <v>63</v>
      </c>
      <c r="AB761" s="18" t="s">
        <v>64</v>
      </c>
      <c r="AC761" s="18" t="s">
        <v>216</v>
      </c>
    </row>
    <row r="762" s="18" customFormat="1" ht="29" spans="1:29">
      <c r="A762" s="18" t="s">
        <v>2009</v>
      </c>
      <c r="B762" s="25" t="s">
        <v>2009</v>
      </c>
      <c r="C762" s="26">
        <v>45685</v>
      </c>
      <c r="D762" s="18" t="s">
        <v>928</v>
      </c>
      <c r="E762" s="18" t="str">
        <f t="shared" si="11"/>
        <v>Metro Enterprises (Viral Hirabhai Patel)</v>
      </c>
      <c r="F762" s="27" t="s">
        <v>929</v>
      </c>
      <c r="G762" s="18" t="s">
        <v>182</v>
      </c>
      <c r="H762" s="18" t="s">
        <v>183</v>
      </c>
      <c r="I762" s="18" t="s">
        <v>184</v>
      </c>
      <c r="J762" s="18" t="s">
        <v>193</v>
      </c>
      <c r="K762" s="18" t="s">
        <v>56</v>
      </c>
      <c r="L762" s="18" t="s">
        <v>36</v>
      </c>
      <c r="N762" s="18">
        <v>6</v>
      </c>
      <c r="O762" s="18" t="s">
        <v>88</v>
      </c>
      <c r="P762" s="18" t="s">
        <v>38</v>
      </c>
      <c r="Q762" s="18" t="s">
        <v>194</v>
      </c>
      <c r="R762" s="18" t="s">
        <v>59</v>
      </c>
      <c r="S762" s="18" t="s">
        <v>195</v>
      </c>
      <c r="T762" s="18" t="b">
        <v>0</v>
      </c>
      <c r="U762" s="18" t="s">
        <v>187</v>
      </c>
      <c r="V762" s="18" t="s">
        <v>40</v>
      </c>
      <c r="W762" s="18" t="s">
        <v>196</v>
      </c>
      <c r="X762" s="18" t="s">
        <v>197</v>
      </c>
      <c r="Y762" s="18">
        <v>1</v>
      </c>
      <c r="Z762" s="18">
        <v>15000</v>
      </c>
      <c r="AA762" s="31" t="s">
        <v>569</v>
      </c>
      <c r="AB762" s="18" t="s">
        <v>570</v>
      </c>
      <c r="AC762" s="18" t="s">
        <v>200</v>
      </c>
    </row>
    <row r="763" s="18" customFormat="1" ht="29" spans="1:29">
      <c r="A763" s="18" t="s">
        <v>2010</v>
      </c>
      <c r="B763" s="25" t="s">
        <v>2010</v>
      </c>
      <c r="C763" s="26">
        <v>45685</v>
      </c>
      <c r="D763" s="18" t="s">
        <v>2011</v>
      </c>
      <c r="E763" s="18" t="str">
        <f t="shared" si="11"/>
        <v>Atrika Majumdar</v>
      </c>
      <c r="F763" s="27" t="s">
        <v>2012</v>
      </c>
      <c r="G763" s="18" t="s">
        <v>182</v>
      </c>
      <c r="H763" s="18" t="s">
        <v>183</v>
      </c>
      <c r="I763" s="18" t="s">
        <v>184</v>
      </c>
      <c r="J763" s="18" t="s">
        <v>889</v>
      </c>
      <c r="K763" s="18" t="s">
        <v>56</v>
      </c>
      <c r="L763" s="18" t="s">
        <v>36</v>
      </c>
      <c r="N763" s="18">
        <v>6</v>
      </c>
      <c r="O763" s="18" t="s">
        <v>57</v>
      </c>
      <c r="P763" s="18" t="s">
        <v>38</v>
      </c>
      <c r="Q763" s="18" t="s">
        <v>194</v>
      </c>
      <c r="R763" s="18" t="s">
        <v>59</v>
      </c>
      <c r="S763" s="18" t="s">
        <v>195</v>
      </c>
      <c r="T763" s="18" t="b">
        <v>0</v>
      </c>
      <c r="U763" s="18" t="s">
        <v>187</v>
      </c>
      <c r="V763" s="18" t="s">
        <v>40</v>
      </c>
      <c r="W763" s="18" t="s">
        <v>347</v>
      </c>
      <c r="X763" s="18" t="s">
        <v>348</v>
      </c>
      <c r="Y763" s="18">
        <v>1</v>
      </c>
      <c r="Z763" s="18">
        <v>9000</v>
      </c>
      <c r="AA763" s="31" t="s">
        <v>729</v>
      </c>
      <c r="AB763" s="18" t="s">
        <v>730</v>
      </c>
      <c r="AC763" s="18" t="e">
        <v>#N/A</v>
      </c>
    </row>
    <row r="764" s="18" customFormat="1" spans="1:29">
      <c r="A764" s="18" t="s">
        <v>2013</v>
      </c>
      <c r="B764" s="25" t="s">
        <v>2013</v>
      </c>
      <c r="C764" s="26">
        <v>45685</v>
      </c>
      <c r="D764" s="18" t="s">
        <v>2014</v>
      </c>
      <c r="E764" s="18" t="str">
        <f t="shared" si="11"/>
        <v>Fastspring</v>
      </c>
      <c r="F764" s="27" t="e">
        <v>#N/A</v>
      </c>
      <c r="G764" s="18" t="s">
        <v>182</v>
      </c>
      <c r="H764" s="18" t="s">
        <v>183</v>
      </c>
      <c r="I764" s="18" t="s">
        <v>207</v>
      </c>
      <c r="J764" s="18" t="s">
        <v>139</v>
      </c>
      <c r="K764" s="18" t="s">
        <v>56</v>
      </c>
      <c r="L764" s="18" t="s">
        <v>36</v>
      </c>
      <c r="N764" s="18">
        <v>6</v>
      </c>
      <c r="O764" s="18" t="s">
        <v>57</v>
      </c>
      <c r="P764" s="18" t="s">
        <v>38</v>
      </c>
      <c r="Q764" s="18" t="s">
        <v>58</v>
      </c>
      <c r="R764" s="18" t="s">
        <v>59</v>
      </c>
      <c r="S764" s="18" t="s">
        <v>60</v>
      </c>
      <c r="T764" s="18" t="b">
        <v>0</v>
      </c>
      <c r="U764" s="18" t="s">
        <v>187</v>
      </c>
      <c r="V764" s="18" t="s">
        <v>40</v>
      </c>
      <c r="W764" s="18" t="s">
        <v>803</v>
      </c>
      <c r="X764" s="18" t="s">
        <v>804</v>
      </c>
      <c r="Y764" s="18">
        <v>1</v>
      </c>
      <c r="Z764" s="18">
        <v>21395</v>
      </c>
      <c r="AA764" s="18" t="s">
        <v>161</v>
      </c>
      <c r="AB764" s="18" t="s">
        <v>162</v>
      </c>
      <c r="AC764" s="18" t="e">
        <v>#N/A</v>
      </c>
    </row>
    <row r="765" s="20" customFormat="1" spans="1:29">
      <c r="A765" s="20" t="s">
        <v>2015</v>
      </c>
      <c r="B765" s="33" t="s">
        <v>2015</v>
      </c>
      <c r="C765" s="34">
        <v>45685</v>
      </c>
      <c r="D765" s="20" t="s">
        <v>1903</v>
      </c>
      <c r="E765" s="20" t="str">
        <f t="shared" si="11"/>
        <v>Hanja Express</v>
      </c>
      <c r="F765" s="27" t="s">
        <v>1904</v>
      </c>
      <c r="G765" s="20" t="s">
        <v>182</v>
      </c>
      <c r="H765" s="20" t="s">
        <v>183</v>
      </c>
      <c r="I765" s="20" t="s">
        <v>184</v>
      </c>
      <c r="J765" s="20" t="s">
        <v>1875</v>
      </c>
      <c r="K765" s="20" t="s">
        <v>56</v>
      </c>
      <c r="L765" s="20" t="s">
        <v>36</v>
      </c>
      <c r="N765" s="20">
        <v>6</v>
      </c>
      <c r="O765" s="20" t="s">
        <v>57</v>
      </c>
      <c r="P765" s="20" t="s">
        <v>38</v>
      </c>
      <c r="Q765" s="20" t="s">
        <v>194</v>
      </c>
      <c r="R765" s="20" t="s">
        <v>59</v>
      </c>
      <c r="S765" s="20" t="s">
        <v>195</v>
      </c>
      <c r="T765" s="20" t="b">
        <v>0</v>
      </c>
      <c r="U765" s="20" t="s">
        <v>187</v>
      </c>
      <c r="V765" s="20" t="s">
        <v>40</v>
      </c>
      <c r="W765" s="20" t="s">
        <v>205</v>
      </c>
      <c r="X765" s="20" t="s">
        <v>205</v>
      </c>
      <c r="Y765" s="20">
        <v>1</v>
      </c>
      <c r="Z765" s="20">
        <v>1200</v>
      </c>
      <c r="AA765" s="20" t="s">
        <v>2016</v>
      </c>
      <c r="AB765" s="20" t="e">
        <v>#N/A</v>
      </c>
      <c r="AC765" s="20" t="s">
        <v>200</v>
      </c>
    </row>
    <row r="766" s="18" customFormat="1" ht="29" spans="1:29">
      <c r="A766" s="18" t="s">
        <v>2017</v>
      </c>
      <c r="B766" s="25" t="s">
        <v>2017</v>
      </c>
      <c r="C766" s="26">
        <v>45685</v>
      </c>
      <c r="D766" s="18" t="s">
        <v>1903</v>
      </c>
      <c r="E766" s="18" t="str">
        <f t="shared" si="11"/>
        <v>Hanja Express</v>
      </c>
      <c r="F766" s="27" t="s">
        <v>1904</v>
      </c>
      <c r="G766" s="18" t="s">
        <v>182</v>
      </c>
      <c r="H766" s="18" t="s">
        <v>183</v>
      </c>
      <c r="I766" s="18" t="s">
        <v>184</v>
      </c>
      <c r="J766" s="18" t="s">
        <v>1875</v>
      </c>
      <c r="K766" s="18" t="s">
        <v>56</v>
      </c>
      <c r="L766" s="18" t="s">
        <v>36</v>
      </c>
      <c r="N766" s="18">
        <v>6</v>
      </c>
      <c r="O766" s="18" t="s">
        <v>57</v>
      </c>
      <c r="P766" s="18" t="s">
        <v>38</v>
      </c>
      <c r="Q766" s="18" t="s">
        <v>194</v>
      </c>
      <c r="R766" s="18" t="s">
        <v>59</v>
      </c>
      <c r="S766" s="18" t="s">
        <v>195</v>
      </c>
      <c r="T766" s="18" t="b">
        <v>0</v>
      </c>
      <c r="U766" s="18" t="s">
        <v>187</v>
      </c>
      <c r="V766" s="18" t="s">
        <v>40</v>
      </c>
      <c r="W766" s="18" t="s">
        <v>205</v>
      </c>
      <c r="X766" s="18" t="s">
        <v>205</v>
      </c>
      <c r="Y766" s="18">
        <v>1</v>
      </c>
      <c r="Z766" s="18">
        <v>16000</v>
      </c>
      <c r="AA766" s="31" t="s">
        <v>800</v>
      </c>
      <c r="AB766" s="18" t="s">
        <v>798</v>
      </c>
      <c r="AC766" s="18" t="s">
        <v>200</v>
      </c>
    </row>
    <row r="767" s="18" customFormat="1" spans="1:29">
      <c r="A767" s="18" t="s">
        <v>2018</v>
      </c>
      <c r="B767" s="25" t="s">
        <v>2018</v>
      </c>
      <c r="C767" s="26">
        <v>45686</v>
      </c>
      <c r="D767" s="18" t="s">
        <v>2019</v>
      </c>
      <c r="E767" s="18" t="str">
        <f t="shared" si="11"/>
        <v>Ramesh C</v>
      </c>
      <c r="F767" s="27" t="s">
        <v>2020</v>
      </c>
      <c r="G767" s="18" t="s">
        <v>32</v>
      </c>
      <c r="H767" s="18" t="s">
        <v>33</v>
      </c>
      <c r="I767" s="18" t="s">
        <v>184</v>
      </c>
      <c r="J767" s="18" t="s">
        <v>894</v>
      </c>
      <c r="K767" s="18" t="s">
        <v>56</v>
      </c>
      <c r="L767" s="18" t="s">
        <v>36</v>
      </c>
      <c r="N767" s="18">
        <v>6</v>
      </c>
      <c r="O767" s="18" t="s">
        <v>57</v>
      </c>
      <c r="P767" s="18" t="s">
        <v>38</v>
      </c>
      <c r="Q767" s="18" t="s">
        <v>194</v>
      </c>
      <c r="R767" s="18" t="s">
        <v>895</v>
      </c>
      <c r="S767" s="18" t="s">
        <v>195</v>
      </c>
      <c r="T767" s="18" t="b">
        <v>1</v>
      </c>
      <c r="U767" s="18" t="s">
        <v>39</v>
      </c>
      <c r="V767" s="18" t="s">
        <v>40</v>
      </c>
      <c r="W767" s="18" t="s">
        <v>347</v>
      </c>
      <c r="X767" s="18" t="s">
        <v>348</v>
      </c>
      <c r="Y767" s="18">
        <v>1</v>
      </c>
      <c r="Z767" s="18">
        <v>60000</v>
      </c>
      <c r="AA767" s="18" t="s">
        <v>2021</v>
      </c>
      <c r="AB767" s="18" t="s">
        <v>2022</v>
      </c>
      <c r="AC767" s="18" t="e">
        <v>#N/A</v>
      </c>
    </row>
    <row r="768" s="18" customFormat="1" spans="1:29">
      <c r="A768" s="18" t="s">
        <v>2023</v>
      </c>
      <c r="B768" s="25" t="s">
        <v>2023</v>
      </c>
      <c r="C768" s="26">
        <v>45686</v>
      </c>
      <c r="D768" s="18" t="s">
        <v>273</v>
      </c>
      <c r="E768" s="18" t="str">
        <f t="shared" si="11"/>
        <v>The Oberoi Bengaluru</v>
      </c>
      <c r="F768" s="27" t="s">
        <v>274</v>
      </c>
      <c r="G768" s="18" t="s">
        <v>32</v>
      </c>
      <c r="H768" s="18" t="s">
        <v>33</v>
      </c>
      <c r="I768" s="18" t="s">
        <v>184</v>
      </c>
      <c r="J768" s="18" t="s">
        <v>1238</v>
      </c>
      <c r="K768" s="18" t="s">
        <v>56</v>
      </c>
      <c r="L768" s="18" t="s">
        <v>36</v>
      </c>
      <c r="N768" s="18">
        <v>6</v>
      </c>
      <c r="O768" s="18" t="s">
        <v>57</v>
      </c>
      <c r="P768" s="18" t="s">
        <v>38</v>
      </c>
      <c r="Q768" s="18" t="s">
        <v>58</v>
      </c>
      <c r="R768" s="18" t="s">
        <v>59</v>
      </c>
      <c r="S768" s="18" t="s">
        <v>60</v>
      </c>
      <c r="T768" s="18" t="b">
        <v>1</v>
      </c>
      <c r="U768" s="18" t="s">
        <v>39</v>
      </c>
      <c r="V768" s="18" t="s">
        <v>40</v>
      </c>
      <c r="W768" s="18" t="s">
        <v>61</v>
      </c>
      <c r="X768" s="18" t="s">
        <v>62</v>
      </c>
      <c r="Y768" s="18">
        <v>1</v>
      </c>
      <c r="Z768" s="18">
        <v>107820</v>
      </c>
      <c r="AA768" s="18" t="s">
        <v>2024</v>
      </c>
      <c r="AB768" s="18" t="s">
        <v>1488</v>
      </c>
      <c r="AC768" s="18" t="s">
        <v>43</v>
      </c>
    </row>
    <row r="769" s="18" customFormat="1" spans="1:29">
      <c r="A769" s="18" t="s">
        <v>2025</v>
      </c>
      <c r="B769" s="25" t="s">
        <v>2025</v>
      </c>
      <c r="C769" s="26">
        <v>45686</v>
      </c>
      <c r="D769" s="18" t="s">
        <v>1688</v>
      </c>
      <c r="E769" s="18" t="str">
        <f t="shared" si="11"/>
        <v>Paulraj S  </v>
      </c>
      <c r="F769" s="27" t="e">
        <v>#N/A</v>
      </c>
      <c r="G769" s="18" t="s">
        <v>99</v>
      </c>
      <c r="H769" s="18" t="s">
        <v>100</v>
      </c>
      <c r="I769" s="18" t="s">
        <v>34</v>
      </c>
      <c r="J769" s="18" t="s">
        <v>1006</v>
      </c>
      <c r="K769" s="18" t="s">
        <v>56</v>
      </c>
      <c r="L769" s="18" t="s">
        <v>36</v>
      </c>
      <c r="N769" s="18">
        <v>6</v>
      </c>
      <c r="O769" s="18" t="s">
        <v>93</v>
      </c>
      <c r="P769" s="18" t="s">
        <v>38</v>
      </c>
      <c r="Q769" s="18" t="s">
        <v>117</v>
      </c>
      <c r="R769" s="18" t="s">
        <v>59</v>
      </c>
      <c r="S769" s="18" t="s">
        <v>186</v>
      </c>
      <c r="T769" s="18" t="b">
        <v>1</v>
      </c>
      <c r="U769" s="18" t="s">
        <v>101</v>
      </c>
      <c r="V769" s="18" t="s">
        <v>40</v>
      </c>
      <c r="W769" s="18" t="s">
        <v>126</v>
      </c>
      <c r="X769" s="18" t="s">
        <v>127</v>
      </c>
      <c r="Y769" s="18">
        <v>1</v>
      </c>
      <c r="Z769" s="18">
        <v>3497</v>
      </c>
      <c r="AA769" s="18" t="s">
        <v>102</v>
      </c>
      <c r="AB769" s="18" t="s">
        <v>103</v>
      </c>
      <c r="AC769" s="18" t="e">
        <v>#N/A</v>
      </c>
    </row>
    <row r="770" s="18" customFormat="1" spans="1:29">
      <c r="A770" s="18" t="s">
        <v>2026</v>
      </c>
      <c r="B770" s="25" t="s">
        <v>2026</v>
      </c>
      <c r="C770" s="26">
        <v>45686</v>
      </c>
      <c r="D770" s="18" t="s">
        <v>331</v>
      </c>
      <c r="E770" s="18" t="str">
        <f t="shared" si="11"/>
        <v>Clinton J  for Expense</v>
      </c>
      <c r="F770" s="27" t="e">
        <v>#N/A</v>
      </c>
      <c r="G770" s="18" t="s">
        <v>99</v>
      </c>
      <c r="H770" s="18" t="s">
        <v>100</v>
      </c>
      <c r="I770" s="18" t="s">
        <v>34</v>
      </c>
      <c r="J770" s="18" t="s">
        <v>1006</v>
      </c>
      <c r="K770" s="18" t="s">
        <v>56</v>
      </c>
      <c r="L770" s="18" t="s">
        <v>36</v>
      </c>
      <c r="N770" s="18">
        <v>6</v>
      </c>
      <c r="O770" s="18" t="s">
        <v>93</v>
      </c>
      <c r="P770" s="18" t="s">
        <v>38</v>
      </c>
      <c r="Q770" s="18" t="s">
        <v>117</v>
      </c>
      <c r="R770" s="18" t="s">
        <v>59</v>
      </c>
      <c r="S770" s="18" t="s">
        <v>186</v>
      </c>
      <c r="T770" s="18" t="b">
        <v>1</v>
      </c>
      <c r="U770" s="18" t="s">
        <v>101</v>
      </c>
      <c r="V770" s="18" t="s">
        <v>40</v>
      </c>
      <c r="W770" s="18" t="s">
        <v>412</v>
      </c>
      <c r="X770" s="18" t="s">
        <v>413</v>
      </c>
      <c r="Y770" s="18">
        <v>1</v>
      </c>
      <c r="Z770" s="18">
        <v>1299</v>
      </c>
      <c r="AA770" s="18" t="s">
        <v>102</v>
      </c>
      <c r="AB770" s="18" t="s">
        <v>103</v>
      </c>
      <c r="AC770" s="18" t="e">
        <v>#N/A</v>
      </c>
    </row>
    <row r="771" s="18" customFormat="1" spans="1:29">
      <c r="A771" s="18" t="s">
        <v>2027</v>
      </c>
      <c r="B771" s="25" t="s">
        <v>2027</v>
      </c>
      <c r="C771" s="26">
        <v>45686</v>
      </c>
      <c r="D771" s="18" t="s">
        <v>915</v>
      </c>
      <c r="E771" s="18" t="str">
        <f t="shared" ref="E771:E834" si="12">_xlfn.TEXTBEFORE(D771,"-")</f>
        <v>Santosh Bhogal Cash  </v>
      </c>
      <c r="F771" s="27" t="e">
        <v>#N/A</v>
      </c>
      <c r="G771" s="18" t="s">
        <v>182</v>
      </c>
      <c r="H771" s="18" t="s">
        <v>183</v>
      </c>
      <c r="I771" s="18" t="s">
        <v>481</v>
      </c>
      <c r="J771" s="18" t="s">
        <v>193</v>
      </c>
      <c r="K771" s="18" t="s">
        <v>56</v>
      </c>
      <c r="L771" s="18" t="s">
        <v>36</v>
      </c>
      <c r="N771" s="18">
        <v>6</v>
      </c>
      <c r="O771" s="18" t="s">
        <v>93</v>
      </c>
      <c r="P771" s="18" t="s">
        <v>38</v>
      </c>
      <c r="Q771" s="18" t="s">
        <v>194</v>
      </c>
      <c r="R771" s="18" t="s">
        <v>59</v>
      </c>
      <c r="S771" s="18" t="s">
        <v>195</v>
      </c>
      <c r="T771" s="18" t="b">
        <v>0</v>
      </c>
      <c r="U771" s="18" t="s">
        <v>187</v>
      </c>
      <c r="V771" s="18" t="s">
        <v>40</v>
      </c>
      <c r="W771" s="18" t="s">
        <v>126</v>
      </c>
      <c r="X771" s="18" t="s">
        <v>127</v>
      </c>
      <c r="Y771" s="18">
        <v>1</v>
      </c>
      <c r="Z771" s="18">
        <v>800</v>
      </c>
      <c r="AC771" s="18" t="e">
        <v>#N/A</v>
      </c>
    </row>
    <row r="772" s="18" customFormat="1" spans="1:29">
      <c r="A772" s="18" t="s">
        <v>2028</v>
      </c>
      <c r="B772" s="25" t="s">
        <v>2028</v>
      </c>
      <c r="C772" s="26">
        <v>45686</v>
      </c>
      <c r="D772" s="18" t="s">
        <v>1052</v>
      </c>
      <c r="E772" s="18" t="str">
        <f t="shared" si="12"/>
        <v>Sachin Jadhav </v>
      </c>
      <c r="F772" s="27" t="e">
        <v>#N/A</v>
      </c>
      <c r="G772" s="18" t="s">
        <v>182</v>
      </c>
      <c r="H772" s="18" t="s">
        <v>183</v>
      </c>
      <c r="I772" s="18" t="s">
        <v>481</v>
      </c>
      <c r="J772" s="18" t="s">
        <v>793</v>
      </c>
      <c r="K772" s="18" t="s">
        <v>56</v>
      </c>
      <c r="L772" s="18" t="s">
        <v>36</v>
      </c>
      <c r="N772" s="18">
        <v>6</v>
      </c>
      <c r="O772" s="18" t="s">
        <v>93</v>
      </c>
      <c r="P772" s="18" t="s">
        <v>38</v>
      </c>
      <c r="Q772" s="18" t="s">
        <v>194</v>
      </c>
      <c r="R772" s="18" t="s">
        <v>59</v>
      </c>
      <c r="S772" s="18" t="s">
        <v>195</v>
      </c>
      <c r="T772" s="18" t="b">
        <v>0</v>
      </c>
      <c r="U772" s="18" t="s">
        <v>187</v>
      </c>
      <c r="V772" s="18" t="s">
        <v>40</v>
      </c>
      <c r="W772" s="18" t="s">
        <v>140</v>
      </c>
      <c r="X772" s="18" t="s">
        <v>141</v>
      </c>
      <c r="Y772" s="18">
        <v>1</v>
      </c>
      <c r="Z772" s="18">
        <v>3600</v>
      </c>
      <c r="AC772" s="18" t="e">
        <v>#N/A</v>
      </c>
    </row>
    <row r="773" s="18" customFormat="1" spans="1:29">
      <c r="A773" s="18" t="s">
        <v>2029</v>
      </c>
      <c r="B773" s="25" t="s">
        <v>2029</v>
      </c>
      <c r="C773" s="26">
        <v>45686</v>
      </c>
      <c r="D773" s="18" t="s">
        <v>2030</v>
      </c>
      <c r="E773" s="18" t="str">
        <f t="shared" si="12"/>
        <v>Sanil Thombare </v>
      </c>
      <c r="F773" s="27" t="e">
        <v>#N/A</v>
      </c>
      <c r="G773" s="18" t="s">
        <v>182</v>
      </c>
      <c r="H773" s="18" t="s">
        <v>183</v>
      </c>
      <c r="I773" s="18" t="s">
        <v>481</v>
      </c>
      <c r="J773" s="18" t="s">
        <v>793</v>
      </c>
      <c r="K773" s="18" t="s">
        <v>56</v>
      </c>
      <c r="L773" s="18" t="s">
        <v>36</v>
      </c>
      <c r="N773" s="18">
        <v>6</v>
      </c>
      <c r="O773" s="18" t="s">
        <v>93</v>
      </c>
      <c r="P773" s="18" t="s">
        <v>38</v>
      </c>
      <c r="Q773" s="18" t="s">
        <v>194</v>
      </c>
      <c r="R773" s="18" t="s">
        <v>59</v>
      </c>
      <c r="S773" s="18" t="s">
        <v>195</v>
      </c>
      <c r="T773" s="18" t="b">
        <v>0</v>
      </c>
      <c r="U773" s="18" t="s">
        <v>187</v>
      </c>
      <c r="V773" s="18" t="s">
        <v>40</v>
      </c>
      <c r="W773" s="18" t="s">
        <v>317</v>
      </c>
      <c r="X773" s="18" t="s">
        <v>318</v>
      </c>
      <c r="Y773" s="18">
        <v>1</v>
      </c>
      <c r="Z773" s="18">
        <v>975</v>
      </c>
      <c r="AC773" s="18" t="e">
        <v>#N/A</v>
      </c>
    </row>
    <row r="774" s="18" customFormat="1" spans="1:29">
      <c r="A774" s="18" t="s">
        <v>2031</v>
      </c>
      <c r="B774" s="25" t="s">
        <v>2031</v>
      </c>
      <c r="C774" s="26">
        <v>45686</v>
      </c>
      <c r="D774" s="18" t="s">
        <v>1052</v>
      </c>
      <c r="E774" s="18" t="str">
        <f t="shared" si="12"/>
        <v>Sachin Jadhav </v>
      </c>
      <c r="F774" s="27" t="e">
        <v>#N/A</v>
      </c>
      <c r="G774" s="18" t="s">
        <v>182</v>
      </c>
      <c r="H774" s="18" t="s">
        <v>183</v>
      </c>
      <c r="I774" s="18" t="s">
        <v>481</v>
      </c>
      <c r="J774" s="18" t="s">
        <v>793</v>
      </c>
      <c r="K774" s="18" t="s">
        <v>56</v>
      </c>
      <c r="L774" s="18" t="s">
        <v>36</v>
      </c>
      <c r="N774" s="18">
        <v>6</v>
      </c>
      <c r="O774" s="18" t="s">
        <v>93</v>
      </c>
      <c r="P774" s="18" t="s">
        <v>38</v>
      </c>
      <c r="Q774" s="18" t="s">
        <v>194</v>
      </c>
      <c r="R774" s="18" t="s">
        <v>59</v>
      </c>
      <c r="S774" s="18" t="s">
        <v>195</v>
      </c>
      <c r="T774" s="18" t="b">
        <v>0</v>
      </c>
      <c r="U774" s="18" t="s">
        <v>187</v>
      </c>
      <c r="V774" s="18" t="s">
        <v>40</v>
      </c>
      <c r="W774" s="18" t="s">
        <v>126</v>
      </c>
      <c r="X774" s="18" t="s">
        <v>127</v>
      </c>
      <c r="Y774" s="18">
        <v>1</v>
      </c>
      <c r="Z774" s="18">
        <v>2076</v>
      </c>
      <c r="AC774" s="18" t="e">
        <v>#N/A</v>
      </c>
    </row>
    <row r="775" s="18" customFormat="1" spans="1:29">
      <c r="A775" s="18" t="s">
        <v>2032</v>
      </c>
      <c r="B775" s="25" t="s">
        <v>2032</v>
      </c>
      <c r="C775" s="26">
        <v>45686</v>
      </c>
      <c r="D775" s="18" t="s">
        <v>2033</v>
      </c>
      <c r="E775" s="18" t="str">
        <f t="shared" si="12"/>
        <v>Pinky Sharma  </v>
      </c>
      <c r="F775" s="27" t="e">
        <v>#N/A</v>
      </c>
      <c r="G775" s="18" t="s">
        <v>182</v>
      </c>
      <c r="H775" s="18" t="s">
        <v>183</v>
      </c>
      <c r="I775" s="18" t="s">
        <v>481</v>
      </c>
      <c r="J775" s="18" t="s">
        <v>1491</v>
      </c>
      <c r="K775" s="18" t="s">
        <v>56</v>
      </c>
      <c r="L775" s="18" t="s">
        <v>36</v>
      </c>
      <c r="N775" s="18">
        <v>6</v>
      </c>
      <c r="O775" s="18" t="s">
        <v>93</v>
      </c>
      <c r="P775" s="18" t="s">
        <v>38</v>
      </c>
      <c r="Q775" s="18" t="s">
        <v>194</v>
      </c>
      <c r="R775" s="18" t="s">
        <v>59</v>
      </c>
      <c r="S775" s="18" t="s">
        <v>195</v>
      </c>
      <c r="T775" s="18" t="b">
        <v>0</v>
      </c>
      <c r="U775" s="18" t="s">
        <v>187</v>
      </c>
      <c r="V775" s="18" t="s">
        <v>40</v>
      </c>
      <c r="W775" s="18" t="s">
        <v>317</v>
      </c>
      <c r="X775" s="18" t="s">
        <v>318</v>
      </c>
      <c r="Y775" s="18">
        <v>1</v>
      </c>
      <c r="Z775" s="18">
        <v>4154</v>
      </c>
      <c r="AC775" s="18" t="e">
        <v>#N/A</v>
      </c>
    </row>
    <row r="776" s="18" customFormat="1" spans="1:29">
      <c r="A776" s="18" t="s">
        <v>2034</v>
      </c>
      <c r="B776" s="25" t="s">
        <v>2034</v>
      </c>
      <c r="C776" s="26">
        <v>45686</v>
      </c>
      <c r="D776" s="18" t="s">
        <v>1209</v>
      </c>
      <c r="E776" s="18" t="str">
        <f t="shared" si="12"/>
        <v>Hemanshu Sawant  </v>
      </c>
      <c r="F776" s="27" t="e">
        <v>#N/A</v>
      </c>
      <c r="G776" s="18" t="s">
        <v>182</v>
      </c>
      <c r="H776" s="18" t="s">
        <v>183</v>
      </c>
      <c r="I776" s="18" t="s">
        <v>481</v>
      </c>
      <c r="J776" s="18" t="s">
        <v>793</v>
      </c>
      <c r="K776" s="18" t="s">
        <v>56</v>
      </c>
      <c r="L776" s="18" t="s">
        <v>36</v>
      </c>
      <c r="N776" s="18">
        <v>6</v>
      </c>
      <c r="O776" s="18" t="s">
        <v>93</v>
      </c>
      <c r="P776" s="18" t="s">
        <v>38</v>
      </c>
      <c r="Q776" s="18" t="s">
        <v>194</v>
      </c>
      <c r="R776" s="18" t="s">
        <v>59</v>
      </c>
      <c r="S776" s="18" t="s">
        <v>195</v>
      </c>
      <c r="T776" s="18" t="b">
        <v>0</v>
      </c>
      <c r="U776" s="18" t="s">
        <v>187</v>
      </c>
      <c r="V776" s="18" t="s">
        <v>40</v>
      </c>
      <c r="W776" s="18" t="s">
        <v>126</v>
      </c>
      <c r="X776" s="18" t="s">
        <v>127</v>
      </c>
      <c r="Y776" s="18">
        <v>1</v>
      </c>
      <c r="Z776" s="18">
        <v>3959.13</v>
      </c>
      <c r="AC776" s="18" t="e">
        <v>#N/A</v>
      </c>
    </row>
    <row r="777" s="18" customFormat="1" spans="1:29">
      <c r="A777" s="18" t="s">
        <v>2035</v>
      </c>
      <c r="B777" s="25" t="s">
        <v>2035</v>
      </c>
      <c r="C777" s="26">
        <v>45686</v>
      </c>
      <c r="D777" s="18" t="s">
        <v>1209</v>
      </c>
      <c r="E777" s="18" t="str">
        <f t="shared" si="12"/>
        <v>Hemanshu Sawant  </v>
      </c>
      <c r="F777" s="27" t="e">
        <v>#N/A</v>
      </c>
      <c r="G777" s="18" t="s">
        <v>182</v>
      </c>
      <c r="H777" s="18" t="s">
        <v>183</v>
      </c>
      <c r="I777" s="18" t="s">
        <v>481</v>
      </c>
      <c r="J777" s="18" t="s">
        <v>793</v>
      </c>
      <c r="K777" s="18" t="s">
        <v>56</v>
      </c>
      <c r="L777" s="18" t="s">
        <v>36</v>
      </c>
      <c r="N777" s="18">
        <v>6</v>
      </c>
      <c r="O777" s="18" t="s">
        <v>93</v>
      </c>
      <c r="P777" s="18" t="s">
        <v>38</v>
      </c>
      <c r="Q777" s="18" t="s">
        <v>194</v>
      </c>
      <c r="R777" s="18" t="s">
        <v>59</v>
      </c>
      <c r="S777" s="18" t="s">
        <v>195</v>
      </c>
      <c r="T777" s="18" t="b">
        <v>0</v>
      </c>
      <c r="U777" s="18" t="s">
        <v>187</v>
      </c>
      <c r="V777" s="18" t="s">
        <v>40</v>
      </c>
      <c r="W777" s="18" t="s">
        <v>126</v>
      </c>
      <c r="X777" s="18" t="s">
        <v>127</v>
      </c>
      <c r="Y777" s="18">
        <v>1</v>
      </c>
      <c r="Z777" s="18">
        <v>1072</v>
      </c>
      <c r="AC777" s="18" t="e">
        <v>#N/A</v>
      </c>
    </row>
    <row r="778" s="18" customFormat="1" spans="1:29">
      <c r="A778" s="18" t="s">
        <v>2036</v>
      </c>
      <c r="B778" s="25" t="s">
        <v>2036</v>
      </c>
      <c r="C778" s="26">
        <v>45686</v>
      </c>
      <c r="D778" s="18" t="s">
        <v>1052</v>
      </c>
      <c r="E778" s="18" t="str">
        <f t="shared" si="12"/>
        <v>Sachin Jadhav </v>
      </c>
      <c r="F778" s="27" t="e">
        <v>#N/A</v>
      </c>
      <c r="G778" s="18" t="s">
        <v>182</v>
      </c>
      <c r="H778" s="18" t="s">
        <v>183</v>
      </c>
      <c r="I778" s="18" t="s">
        <v>481</v>
      </c>
      <c r="J778" s="18" t="s">
        <v>793</v>
      </c>
      <c r="K778" s="18" t="s">
        <v>56</v>
      </c>
      <c r="L778" s="18" t="s">
        <v>36</v>
      </c>
      <c r="N778" s="18">
        <v>6</v>
      </c>
      <c r="O778" s="18" t="s">
        <v>93</v>
      </c>
      <c r="P778" s="18" t="s">
        <v>38</v>
      </c>
      <c r="Q778" s="18" t="s">
        <v>194</v>
      </c>
      <c r="R778" s="18" t="s">
        <v>59</v>
      </c>
      <c r="S778" s="18" t="s">
        <v>195</v>
      </c>
      <c r="T778" s="18" t="b">
        <v>0</v>
      </c>
      <c r="U778" s="18" t="s">
        <v>187</v>
      </c>
      <c r="V778" s="18" t="s">
        <v>40</v>
      </c>
      <c r="W778" s="18" t="s">
        <v>1055</v>
      </c>
      <c r="X778" s="18" t="s">
        <v>1056</v>
      </c>
      <c r="Y778" s="18">
        <v>1</v>
      </c>
      <c r="Z778" s="18">
        <v>10500</v>
      </c>
      <c r="AC778" s="18" t="e">
        <v>#N/A</v>
      </c>
    </row>
    <row r="779" s="18" customFormat="1" spans="1:29">
      <c r="A779" s="18" t="s">
        <v>2037</v>
      </c>
      <c r="B779" s="25" t="s">
        <v>2037</v>
      </c>
      <c r="C779" s="26">
        <v>45686</v>
      </c>
      <c r="D779" s="18" t="s">
        <v>1054</v>
      </c>
      <c r="E779" s="18" t="str">
        <f t="shared" si="12"/>
        <v>Suresh Pardhle  </v>
      </c>
      <c r="F779" s="27" t="e">
        <v>#N/A</v>
      </c>
      <c r="G779" s="18" t="s">
        <v>182</v>
      </c>
      <c r="H779" s="18" t="s">
        <v>183</v>
      </c>
      <c r="I779" s="18" t="s">
        <v>481</v>
      </c>
      <c r="J779" s="18" t="s">
        <v>793</v>
      </c>
      <c r="K779" s="18" t="s">
        <v>56</v>
      </c>
      <c r="L779" s="18" t="s">
        <v>36</v>
      </c>
      <c r="N779" s="18">
        <v>6</v>
      </c>
      <c r="O779" s="18" t="s">
        <v>93</v>
      </c>
      <c r="P779" s="18" t="s">
        <v>38</v>
      </c>
      <c r="Q779" s="18" t="s">
        <v>194</v>
      </c>
      <c r="R779" s="18" t="s">
        <v>59</v>
      </c>
      <c r="S779" s="18" t="s">
        <v>195</v>
      </c>
      <c r="T779" s="18" t="b">
        <v>0</v>
      </c>
      <c r="U779" s="18" t="s">
        <v>187</v>
      </c>
      <c r="V779" s="18" t="s">
        <v>40</v>
      </c>
      <c r="W779" s="18" t="s">
        <v>126</v>
      </c>
      <c r="X779" s="18" t="s">
        <v>127</v>
      </c>
      <c r="Y779" s="18">
        <v>1</v>
      </c>
      <c r="Z779" s="18">
        <v>953</v>
      </c>
      <c r="AC779" s="18" t="e">
        <v>#N/A</v>
      </c>
    </row>
    <row r="780" s="18" customFormat="1" spans="1:29">
      <c r="A780" s="18" t="s">
        <v>2038</v>
      </c>
      <c r="B780" s="25" t="s">
        <v>2038</v>
      </c>
      <c r="C780" s="26">
        <v>45686</v>
      </c>
      <c r="D780" s="18" t="s">
        <v>2039</v>
      </c>
      <c r="E780" s="18" t="str">
        <f t="shared" si="12"/>
        <v>Chahek Poddar  </v>
      </c>
      <c r="F780" s="27" t="e">
        <v>#N/A</v>
      </c>
      <c r="G780" s="18" t="s">
        <v>182</v>
      </c>
      <c r="H780" s="18" t="s">
        <v>183</v>
      </c>
      <c r="I780" s="18" t="s">
        <v>481</v>
      </c>
      <c r="J780" s="18" t="s">
        <v>938</v>
      </c>
      <c r="K780" s="18" t="s">
        <v>56</v>
      </c>
      <c r="L780" s="18" t="s">
        <v>36</v>
      </c>
      <c r="N780" s="18">
        <v>6</v>
      </c>
      <c r="O780" s="18" t="s">
        <v>93</v>
      </c>
      <c r="P780" s="18" t="s">
        <v>38</v>
      </c>
      <c r="Q780" s="18" t="s">
        <v>194</v>
      </c>
      <c r="R780" s="18" t="s">
        <v>59</v>
      </c>
      <c r="S780" s="18" t="s">
        <v>195</v>
      </c>
      <c r="T780" s="18" t="b">
        <v>0</v>
      </c>
      <c r="U780" s="18" t="s">
        <v>187</v>
      </c>
      <c r="V780" s="18" t="s">
        <v>40</v>
      </c>
      <c r="W780" s="18" t="s">
        <v>61</v>
      </c>
      <c r="X780" s="18" t="s">
        <v>62</v>
      </c>
      <c r="Y780" s="18">
        <v>1</v>
      </c>
      <c r="Z780" s="18">
        <v>4635.5</v>
      </c>
      <c r="AC780" s="18" t="e">
        <v>#N/A</v>
      </c>
    </row>
    <row r="781" s="18" customFormat="1" spans="1:29">
      <c r="A781" s="18" t="s">
        <v>2040</v>
      </c>
      <c r="B781" s="25" t="s">
        <v>2040</v>
      </c>
      <c r="C781" s="26">
        <v>45686</v>
      </c>
      <c r="D781" s="18" t="s">
        <v>860</v>
      </c>
      <c r="E781" s="18" t="str">
        <f t="shared" si="12"/>
        <v>Mahendra Mane </v>
      </c>
      <c r="F781" s="27" t="e">
        <v>#N/A</v>
      </c>
      <c r="G781" s="18" t="s">
        <v>182</v>
      </c>
      <c r="H781" s="18" t="s">
        <v>183</v>
      </c>
      <c r="I781" s="18" t="s">
        <v>481</v>
      </c>
      <c r="J781" s="18" t="s">
        <v>1968</v>
      </c>
      <c r="K781" s="18" t="s">
        <v>56</v>
      </c>
      <c r="L781" s="18" t="s">
        <v>36</v>
      </c>
      <c r="N781" s="18">
        <v>6</v>
      </c>
      <c r="O781" s="18" t="s">
        <v>93</v>
      </c>
      <c r="P781" s="18" t="s">
        <v>38</v>
      </c>
      <c r="Q781" s="18" t="s">
        <v>194</v>
      </c>
      <c r="R781" s="18" t="s">
        <v>59</v>
      </c>
      <c r="S781" s="18" t="s">
        <v>195</v>
      </c>
      <c r="T781" s="18" t="b">
        <v>0</v>
      </c>
      <c r="U781" s="18" t="s">
        <v>187</v>
      </c>
      <c r="V781" s="18" t="s">
        <v>40</v>
      </c>
      <c r="W781" s="18" t="s">
        <v>126</v>
      </c>
      <c r="X781" s="18" t="s">
        <v>127</v>
      </c>
      <c r="Y781" s="18">
        <v>1</v>
      </c>
      <c r="Z781" s="18">
        <v>1086</v>
      </c>
      <c r="AC781" s="18" t="e">
        <v>#N/A</v>
      </c>
    </row>
    <row r="782" s="18" customFormat="1" spans="1:29">
      <c r="A782" s="18" t="s">
        <v>2041</v>
      </c>
      <c r="B782" s="25" t="s">
        <v>2041</v>
      </c>
      <c r="C782" s="26">
        <v>45686</v>
      </c>
      <c r="D782" s="18" t="s">
        <v>860</v>
      </c>
      <c r="E782" s="18" t="str">
        <f t="shared" si="12"/>
        <v>Mahendra Mane </v>
      </c>
      <c r="F782" s="27" t="e">
        <v>#N/A</v>
      </c>
      <c r="G782" s="18" t="s">
        <v>182</v>
      </c>
      <c r="H782" s="18" t="s">
        <v>183</v>
      </c>
      <c r="I782" s="18" t="s">
        <v>481</v>
      </c>
      <c r="J782" s="18" t="s">
        <v>1968</v>
      </c>
      <c r="K782" s="18" t="s">
        <v>56</v>
      </c>
      <c r="L782" s="18" t="s">
        <v>36</v>
      </c>
      <c r="N782" s="18">
        <v>6</v>
      </c>
      <c r="O782" s="18" t="s">
        <v>93</v>
      </c>
      <c r="P782" s="18" t="s">
        <v>38</v>
      </c>
      <c r="Q782" s="18" t="s">
        <v>194</v>
      </c>
      <c r="R782" s="18" t="s">
        <v>59</v>
      </c>
      <c r="S782" s="18" t="s">
        <v>195</v>
      </c>
      <c r="T782" s="18" t="b">
        <v>0</v>
      </c>
      <c r="U782" s="18" t="s">
        <v>187</v>
      </c>
      <c r="V782" s="18" t="s">
        <v>40</v>
      </c>
      <c r="W782" s="18" t="s">
        <v>140</v>
      </c>
      <c r="X782" s="18" t="s">
        <v>141</v>
      </c>
      <c r="Y782" s="18">
        <v>1</v>
      </c>
      <c r="Z782" s="18">
        <v>50900</v>
      </c>
      <c r="AC782" s="18" t="e">
        <v>#N/A</v>
      </c>
    </row>
    <row r="783" s="18" customFormat="1" spans="1:29">
      <c r="A783" s="18" t="s">
        <v>2042</v>
      </c>
      <c r="B783" s="25" t="s">
        <v>2042</v>
      </c>
      <c r="C783" s="26">
        <v>45686</v>
      </c>
      <c r="D783" s="18" t="s">
        <v>1052</v>
      </c>
      <c r="E783" s="18" t="str">
        <f t="shared" si="12"/>
        <v>Sachin Jadhav </v>
      </c>
      <c r="F783" s="27" t="e">
        <v>#N/A</v>
      </c>
      <c r="G783" s="18" t="s">
        <v>182</v>
      </c>
      <c r="H783" s="18" t="s">
        <v>183</v>
      </c>
      <c r="I783" s="18" t="s">
        <v>481</v>
      </c>
      <c r="J783" s="18" t="s">
        <v>862</v>
      </c>
      <c r="K783" s="18" t="s">
        <v>56</v>
      </c>
      <c r="L783" s="18" t="s">
        <v>36</v>
      </c>
      <c r="N783" s="18">
        <v>6</v>
      </c>
      <c r="O783" s="18" t="s">
        <v>93</v>
      </c>
      <c r="P783" s="18" t="s">
        <v>38</v>
      </c>
      <c r="Q783" s="18" t="s">
        <v>194</v>
      </c>
      <c r="R783" s="18" t="s">
        <v>59</v>
      </c>
      <c r="S783" s="18" t="s">
        <v>195</v>
      </c>
      <c r="T783" s="18" t="b">
        <v>0</v>
      </c>
      <c r="U783" s="18" t="s">
        <v>187</v>
      </c>
      <c r="V783" s="18" t="s">
        <v>40</v>
      </c>
      <c r="W783" s="18" t="s">
        <v>317</v>
      </c>
      <c r="X783" s="18" t="s">
        <v>318</v>
      </c>
      <c r="Y783" s="18">
        <v>1</v>
      </c>
      <c r="Z783" s="18">
        <v>7500</v>
      </c>
      <c r="AC783" s="18" t="e">
        <v>#N/A</v>
      </c>
    </row>
    <row r="784" s="18" customFormat="1" spans="1:29">
      <c r="A784" s="18" t="s">
        <v>2043</v>
      </c>
      <c r="B784" s="25" t="s">
        <v>2043</v>
      </c>
      <c r="C784" s="26">
        <v>45686</v>
      </c>
      <c r="D784" s="18" t="s">
        <v>2039</v>
      </c>
      <c r="E784" s="18" t="str">
        <f t="shared" si="12"/>
        <v>Chahek Poddar  </v>
      </c>
      <c r="F784" s="27" t="e">
        <v>#N/A</v>
      </c>
      <c r="G784" s="18" t="s">
        <v>182</v>
      </c>
      <c r="H784" s="18" t="s">
        <v>183</v>
      </c>
      <c r="I784" s="18" t="s">
        <v>481</v>
      </c>
      <c r="J784" s="18" t="s">
        <v>728</v>
      </c>
      <c r="K784" s="18" t="s">
        <v>56</v>
      </c>
      <c r="L784" s="18" t="s">
        <v>36</v>
      </c>
      <c r="N784" s="18">
        <v>6</v>
      </c>
      <c r="O784" s="18" t="s">
        <v>93</v>
      </c>
      <c r="P784" s="18" t="s">
        <v>38</v>
      </c>
      <c r="Q784" s="18" t="s">
        <v>194</v>
      </c>
      <c r="R784" s="18" t="s">
        <v>59</v>
      </c>
      <c r="S784" s="18" t="s">
        <v>195</v>
      </c>
      <c r="T784" s="18" t="b">
        <v>0</v>
      </c>
      <c r="U784" s="18" t="s">
        <v>187</v>
      </c>
      <c r="V784" s="18" t="s">
        <v>40</v>
      </c>
      <c r="W784" s="18" t="s">
        <v>412</v>
      </c>
      <c r="X784" s="18" t="s">
        <v>413</v>
      </c>
      <c r="Y784" s="18">
        <v>1</v>
      </c>
      <c r="Z784" s="18">
        <v>57070.52</v>
      </c>
      <c r="AC784" s="18" t="e">
        <v>#N/A</v>
      </c>
    </row>
    <row r="785" s="18" customFormat="1" spans="1:29">
      <c r="A785" s="18" t="s">
        <v>2044</v>
      </c>
      <c r="B785" s="25" t="s">
        <v>2044</v>
      </c>
      <c r="C785" s="26">
        <v>45686</v>
      </c>
      <c r="D785" s="18" t="s">
        <v>860</v>
      </c>
      <c r="E785" s="18" t="str">
        <f t="shared" si="12"/>
        <v>Mahendra Mane </v>
      </c>
      <c r="F785" s="27" t="e">
        <v>#N/A</v>
      </c>
      <c r="G785" s="18" t="s">
        <v>182</v>
      </c>
      <c r="H785" s="18" t="s">
        <v>183</v>
      </c>
      <c r="I785" s="18" t="s">
        <v>481</v>
      </c>
      <c r="J785" s="18" t="s">
        <v>193</v>
      </c>
      <c r="K785" s="18" t="s">
        <v>56</v>
      </c>
      <c r="L785" s="18" t="s">
        <v>36</v>
      </c>
      <c r="N785" s="18">
        <v>6</v>
      </c>
      <c r="O785" s="18" t="s">
        <v>93</v>
      </c>
      <c r="P785" s="18" t="s">
        <v>38</v>
      </c>
      <c r="Q785" s="18" t="s">
        <v>194</v>
      </c>
      <c r="R785" s="18" t="s">
        <v>59</v>
      </c>
      <c r="S785" s="18" t="s">
        <v>195</v>
      </c>
      <c r="T785" s="18" t="b">
        <v>0</v>
      </c>
      <c r="U785" s="18" t="s">
        <v>187</v>
      </c>
      <c r="V785" s="18" t="s">
        <v>40</v>
      </c>
      <c r="W785" s="18" t="s">
        <v>317</v>
      </c>
      <c r="X785" s="18" t="s">
        <v>318</v>
      </c>
      <c r="Y785" s="18">
        <v>1</v>
      </c>
      <c r="Z785" s="18">
        <v>1645</v>
      </c>
      <c r="AC785" s="18" t="e">
        <v>#N/A</v>
      </c>
    </row>
    <row r="786" s="18" customFormat="1" spans="1:29">
      <c r="A786" s="18" t="s">
        <v>2045</v>
      </c>
      <c r="B786" s="25" t="s">
        <v>2045</v>
      </c>
      <c r="C786" s="26">
        <v>45686</v>
      </c>
      <c r="D786" s="18" t="s">
        <v>1643</v>
      </c>
      <c r="E786" s="18" t="str">
        <f t="shared" si="12"/>
        <v>Ashwin Mishra  </v>
      </c>
      <c r="F786" s="27" t="e">
        <v>#N/A</v>
      </c>
      <c r="G786" s="18" t="s">
        <v>182</v>
      </c>
      <c r="H786" s="18" t="s">
        <v>183</v>
      </c>
      <c r="I786" s="18" t="s">
        <v>481</v>
      </c>
      <c r="J786" s="18" t="s">
        <v>193</v>
      </c>
      <c r="K786" s="18" t="s">
        <v>56</v>
      </c>
      <c r="L786" s="18" t="s">
        <v>36</v>
      </c>
      <c r="N786" s="18">
        <v>6</v>
      </c>
      <c r="O786" s="18" t="s">
        <v>93</v>
      </c>
      <c r="P786" s="18" t="s">
        <v>38</v>
      </c>
      <c r="Q786" s="18" t="s">
        <v>194</v>
      </c>
      <c r="R786" s="18" t="s">
        <v>59</v>
      </c>
      <c r="S786" s="18" t="s">
        <v>195</v>
      </c>
      <c r="T786" s="18" t="b">
        <v>0</v>
      </c>
      <c r="U786" s="18" t="s">
        <v>187</v>
      </c>
      <c r="V786" s="18" t="s">
        <v>40</v>
      </c>
      <c r="W786" s="18" t="s">
        <v>126</v>
      </c>
      <c r="X786" s="18" t="s">
        <v>127</v>
      </c>
      <c r="Y786" s="18">
        <v>1</v>
      </c>
      <c r="Z786" s="18">
        <v>4185</v>
      </c>
      <c r="AC786" s="18" t="e">
        <v>#N/A</v>
      </c>
    </row>
    <row r="787" s="18" customFormat="1" spans="1:29">
      <c r="A787" s="18" t="s">
        <v>2046</v>
      </c>
      <c r="B787" s="25" t="s">
        <v>2046</v>
      </c>
      <c r="C787" s="26">
        <v>45686</v>
      </c>
      <c r="D787" s="18" t="s">
        <v>2047</v>
      </c>
      <c r="E787" s="18" t="str">
        <f t="shared" si="12"/>
        <v>Pritam Amberkar  </v>
      </c>
      <c r="F787" s="27" t="e">
        <v>#N/A</v>
      </c>
      <c r="G787" s="18" t="s">
        <v>182</v>
      </c>
      <c r="H787" s="18" t="s">
        <v>183</v>
      </c>
      <c r="I787" s="18" t="s">
        <v>481</v>
      </c>
      <c r="J787" s="18" t="s">
        <v>728</v>
      </c>
      <c r="K787" s="18" t="s">
        <v>56</v>
      </c>
      <c r="L787" s="18" t="s">
        <v>36</v>
      </c>
      <c r="N787" s="18">
        <v>6</v>
      </c>
      <c r="O787" s="18" t="s">
        <v>93</v>
      </c>
      <c r="P787" s="18" t="s">
        <v>38</v>
      </c>
      <c r="Q787" s="18" t="s">
        <v>194</v>
      </c>
      <c r="R787" s="18" t="s">
        <v>59</v>
      </c>
      <c r="S787" s="18" t="s">
        <v>195</v>
      </c>
      <c r="T787" s="18" t="b">
        <v>0</v>
      </c>
      <c r="U787" s="18" t="s">
        <v>187</v>
      </c>
      <c r="V787" s="18" t="s">
        <v>40</v>
      </c>
      <c r="W787" s="18" t="s">
        <v>126</v>
      </c>
      <c r="X787" s="18" t="s">
        <v>127</v>
      </c>
      <c r="Y787" s="18">
        <v>1</v>
      </c>
      <c r="Z787" s="18">
        <v>3157</v>
      </c>
      <c r="AC787" s="18" t="e">
        <v>#N/A</v>
      </c>
    </row>
    <row r="788" s="18" customFormat="1" spans="1:29">
      <c r="A788" s="18" t="s">
        <v>2048</v>
      </c>
      <c r="B788" s="25" t="s">
        <v>2048</v>
      </c>
      <c r="C788" s="26">
        <v>45686</v>
      </c>
      <c r="D788" s="18" t="s">
        <v>2049</v>
      </c>
      <c r="E788" s="18" t="str">
        <f t="shared" si="12"/>
        <v>Sameer Tobaccowala </v>
      </c>
      <c r="F788" s="27" t="e">
        <v>#N/A</v>
      </c>
      <c r="G788" s="18" t="s">
        <v>182</v>
      </c>
      <c r="H788" s="18" t="s">
        <v>183</v>
      </c>
      <c r="I788" s="18" t="s">
        <v>481</v>
      </c>
      <c r="J788" s="18" t="s">
        <v>499</v>
      </c>
      <c r="K788" s="18" t="s">
        <v>56</v>
      </c>
      <c r="L788" s="18" t="s">
        <v>36</v>
      </c>
      <c r="N788" s="18">
        <v>6</v>
      </c>
      <c r="O788" s="18" t="s">
        <v>93</v>
      </c>
      <c r="P788" s="18" t="s">
        <v>38</v>
      </c>
      <c r="Q788" s="18" t="s">
        <v>117</v>
      </c>
      <c r="R788" s="18" t="s">
        <v>59</v>
      </c>
      <c r="S788" s="18" t="s">
        <v>186</v>
      </c>
      <c r="T788" s="18" t="b">
        <v>0</v>
      </c>
      <c r="U788" s="18" t="s">
        <v>187</v>
      </c>
      <c r="V788" s="18" t="s">
        <v>40</v>
      </c>
      <c r="W788" s="18" t="s">
        <v>412</v>
      </c>
      <c r="X788" s="18" t="s">
        <v>413</v>
      </c>
      <c r="Y788" s="18">
        <v>1</v>
      </c>
      <c r="Z788" s="18">
        <v>28923</v>
      </c>
      <c r="AC788" s="18" t="e">
        <v>#N/A</v>
      </c>
    </row>
    <row r="789" s="18" customFormat="1" spans="1:29">
      <c r="A789" s="18" t="s">
        <v>2050</v>
      </c>
      <c r="B789" s="25" t="s">
        <v>2050</v>
      </c>
      <c r="C789" s="26">
        <v>45686</v>
      </c>
      <c r="D789" s="18" t="s">
        <v>1052</v>
      </c>
      <c r="E789" s="18" t="str">
        <f t="shared" si="12"/>
        <v>Sachin Jadhav </v>
      </c>
      <c r="F789" s="27" t="e">
        <v>#N/A</v>
      </c>
      <c r="G789" s="18" t="s">
        <v>182</v>
      </c>
      <c r="H789" s="18" t="s">
        <v>183</v>
      </c>
      <c r="I789" s="18" t="s">
        <v>481</v>
      </c>
      <c r="J789" s="18" t="s">
        <v>1889</v>
      </c>
      <c r="K789" s="18" t="s">
        <v>56</v>
      </c>
      <c r="L789" s="18" t="s">
        <v>36</v>
      </c>
      <c r="N789" s="18">
        <v>6</v>
      </c>
      <c r="O789" s="18" t="s">
        <v>93</v>
      </c>
      <c r="P789" s="18" t="s">
        <v>38</v>
      </c>
      <c r="Q789" s="18" t="s">
        <v>194</v>
      </c>
      <c r="R789" s="18" t="s">
        <v>59</v>
      </c>
      <c r="S789" s="18" t="s">
        <v>195</v>
      </c>
      <c r="T789" s="18" t="b">
        <v>0</v>
      </c>
      <c r="U789" s="18" t="s">
        <v>187</v>
      </c>
      <c r="V789" s="18" t="s">
        <v>40</v>
      </c>
      <c r="W789" s="18" t="s">
        <v>126</v>
      </c>
      <c r="X789" s="18" t="s">
        <v>127</v>
      </c>
      <c r="Y789" s="18">
        <v>1</v>
      </c>
      <c r="Z789" s="18">
        <v>311</v>
      </c>
      <c r="AC789" s="18" t="e">
        <v>#N/A</v>
      </c>
    </row>
    <row r="790" s="18" customFormat="1" spans="1:29">
      <c r="A790" s="18" t="s">
        <v>2051</v>
      </c>
      <c r="B790" s="25" t="s">
        <v>2051</v>
      </c>
      <c r="C790" s="26">
        <v>45686</v>
      </c>
      <c r="D790" s="18" t="s">
        <v>732</v>
      </c>
      <c r="E790" s="18" t="str">
        <f t="shared" si="12"/>
        <v>Musafir.Com India Pvt Ltd</v>
      </c>
      <c r="F790" s="27" t="s">
        <v>733</v>
      </c>
      <c r="G790" s="18" t="s">
        <v>182</v>
      </c>
      <c r="H790" s="18" t="s">
        <v>183</v>
      </c>
      <c r="I790" s="18" t="s">
        <v>184</v>
      </c>
      <c r="J790" s="18" t="s">
        <v>1889</v>
      </c>
      <c r="K790" s="18" t="s">
        <v>56</v>
      </c>
      <c r="L790" s="18" t="s">
        <v>36</v>
      </c>
      <c r="N790" s="18">
        <v>6</v>
      </c>
      <c r="O790" s="18" t="s">
        <v>57</v>
      </c>
      <c r="P790" s="18" t="s">
        <v>38</v>
      </c>
      <c r="Q790" s="18" t="s">
        <v>194</v>
      </c>
      <c r="R790" s="18" t="s">
        <v>59</v>
      </c>
      <c r="S790" s="18" t="s">
        <v>195</v>
      </c>
      <c r="T790" s="18" t="b">
        <v>0</v>
      </c>
      <c r="U790" s="18" t="s">
        <v>187</v>
      </c>
      <c r="V790" s="18" t="s">
        <v>40</v>
      </c>
      <c r="W790" s="18" t="s">
        <v>347</v>
      </c>
      <c r="X790" s="18" t="s">
        <v>348</v>
      </c>
      <c r="Y790" s="18">
        <v>1</v>
      </c>
      <c r="Z790" s="18">
        <v>50000</v>
      </c>
      <c r="AA790" s="18" t="s">
        <v>736</v>
      </c>
      <c r="AB790" s="18" t="s">
        <v>737</v>
      </c>
      <c r="AC790" s="18" t="s">
        <v>200</v>
      </c>
    </row>
    <row r="791" s="18" customFormat="1" ht="29" spans="1:29">
      <c r="A791" s="18" t="s">
        <v>2052</v>
      </c>
      <c r="B791" s="25" t="s">
        <v>2052</v>
      </c>
      <c r="C791" s="26">
        <v>45686</v>
      </c>
      <c r="D791" s="18" t="s">
        <v>2053</v>
      </c>
      <c r="E791" s="18" t="str">
        <f t="shared" si="12"/>
        <v>Sound.Com Pvt Ltd</v>
      </c>
      <c r="F791" s="27" t="s">
        <v>2054</v>
      </c>
      <c r="G791" s="18" t="s">
        <v>182</v>
      </c>
      <c r="H791" s="18" t="s">
        <v>183</v>
      </c>
      <c r="I791" s="18" t="s">
        <v>184</v>
      </c>
      <c r="J791" s="18" t="s">
        <v>1889</v>
      </c>
      <c r="K791" s="18" t="s">
        <v>56</v>
      </c>
      <c r="L791" s="18" t="s">
        <v>36</v>
      </c>
      <c r="N791" s="18">
        <v>6</v>
      </c>
      <c r="O791" s="18" t="s">
        <v>88</v>
      </c>
      <c r="P791" s="18" t="s">
        <v>38</v>
      </c>
      <c r="Q791" s="18" t="s">
        <v>194</v>
      </c>
      <c r="R791" s="18" t="s">
        <v>59</v>
      </c>
      <c r="S791" s="18" t="s">
        <v>195</v>
      </c>
      <c r="T791" s="18" t="b">
        <v>0</v>
      </c>
      <c r="U791" s="18" t="s">
        <v>187</v>
      </c>
      <c r="V791" s="18" t="s">
        <v>40</v>
      </c>
      <c r="W791" s="18" t="s">
        <v>371</v>
      </c>
      <c r="X791" s="18" t="s">
        <v>372</v>
      </c>
      <c r="Y791" s="18">
        <v>1</v>
      </c>
      <c r="Z791" s="18">
        <v>75000</v>
      </c>
      <c r="AA791" s="31" t="s">
        <v>2055</v>
      </c>
      <c r="AB791" s="18" t="s">
        <v>2056</v>
      </c>
      <c r="AC791" s="18" t="s">
        <v>200</v>
      </c>
    </row>
    <row r="792" s="18" customFormat="1" ht="29" spans="1:29">
      <c r="A792" s="18" t="s">
        <v>2057</v>
      </c>
      <c r="B792" s="25" t="s">
        <v>2057</v>
      </c>
      <c r="C792" s="26">
        <v>45686</v>
      </c>
      <c r="D792" s="18" t="s">
        <v>974</v>
      </c>
      <c r="E792" s="18" t="str">
        <f t="shared" si="12"/>
        <v>Shiv Shakti Enterprises</v>
      </c>
      <c r="F792" s="27" t="s">
        <v>975</v>
      </c>
      <c r="G792" s="18" t="s">
        <v>182</v>
      </c>
      <c r="H792" s="18" t="s">
        <v>183</v>
      </c>
      <c r="I792" s="18" t="s">
        <v>184</v>
      </c>
      <c r="J792" s="18" t="s">
        <v>1889</v>
      </c>
      <c r="K792" s="18" t="s">
        <v>56</v>
      </c>
      <c r="L792" s="18" t="s">
        <v>36</v>
      </c>
      <c r="N792" s="18">
        <v>6</v>
      </c>
      <c r="O792" s="18" t="s">
        <v>57</v>
      </c>
      <c r="P792" s="18" t="s">
        <v>38</v>
      </c>
      <c r="Q792" s="18" t="s">
        <v>194</v>
      </c>
      <c r="R792" s="18" t="s">
        <v>59</v>
      </c>
      <c r="S792" s="18" t="s">
        <v>195</v>
      </c>
      <c r="T792" s="18" t="b">
        <v>0</v>
      </c>
      <c r="U792" s="18" t="s">
        <v>187</v>
      </c>
      <c r="V792" s="18" t="s">
        <v>40</v>
      </c>
      <c r="W792" s="18" t="s">
        <v>371</v>
      </c>
      <c r="X792" s="18" t="s">
        <v>372</v>
      </c>
      <c r="Y792" s="18">
        <v>1</v>
      </c>
      <c r="Z792" s="18">
        <v>225000</v>
      </c>
      <c r="AA792" s="31" t="s">
        <v>2055</v>
      </c>
      <c r="AB792" s="18" t="s">
        <v>2056</v>
      </c>
      <c r="AC792" s="18" t="s">
        <v>200</v>
      </c>
    </row>
    <row r="793" s="18" customFormat="1" spans="1:29">
      <c r="A793" s="18" t="s">
        <v>2058</v>
      </c>
      <c r="B793" s="25" t="s">
        <v>2058</v>
      </c>
      <c r="C793" s="26">
        <v>45686</v>
      </c>
      <c r="D793" s="18" t="s">
        <v>1213</v>
      </c>
      <c r="E793" s="18" t="str">
        <f t="shared" si="12"/>
        <v>Sanjay Kathale Cash </v>
      </c>
      <c r="F793" s="27" t="e">
        <v>#N/A</v>
      </c>
      <c r="G793" s="18" t="s">
        <v>182</v>
      </c>
      <c r="H793" s="18" t="s">
        <v>183</v>
      </c>
      <c r="I793" s="18" t="s">
        <v>481</v>
      </c>
      <c r="J793" s="18" t="s">
        <v>1889</v>
      </c>
      <c r="K793" s="18" t="s">
        <v>56</v>
      </c>
      <c r="L793" s="18" t="s">
        <v>36</v>
      </c>
      <c r="N793" s="18">
        <v>6</v>
      </c>
      <c r="O793" s="18" t="s">
        <v>93</v>
      </c>
      <c r="P793" s="18" t="s">
        <v>38</v>
      </c>
      <c r="Q793" s="18" t="s">
        <v>194</v>
      </c>
      <c r="R793" s="18" t="s">
        <v>59</v>
      </c>
      <c r="S793" s="18" t="s">
        <v>195</v>
      </c>
      <c r="T793" s="18" t="b">
        <v>0</v>
      </c>
      <c r="U793" s="18" t="s">
        <v>187</v>
      </c>
      <c r="V793" s="18" t="s">
        <v>40</v>
      </c>
      <c r="W793" s="18" t="s">
        <v>317</v>
      </c>
      <c r="X793" s="18" t="s">
        <v>318</v>
      </c>
      <c r="Y793" s="18">
        <v>1</v>
      </c>
      <c r="Z793" s="18">
        <v>4375</v>
      </c>
      <c r="AC793" s="18" t="e">
        <v>#N/A</v>
      </c>
    </row>
    <row r="794" s="18" customFormat="1" ht="29" spans="1:29">
      <c r="A794" s="18" t="s">
        <v>2059</v>
      </c>
      <c r="B794" s="25" t="s">
        <v>2059</v>
      </c>
      <c r="C794" s="26">
        <v>45686</v>
      </c>
      <c r="D794" s="18" t="s">
        <v>977</v>
      </c>
      <c r="E794" s="18" t="str">
        <f t="shared" si="12"/>
        <v>Videowaves</v>
      </c>
      <c r="F794" s="27" t="e">
        <v>#N/A</v>
      </c>
      <c r="G794" s="18" t="s">
        <v>182</v>
      </c>
      <c r="H794" s="18" t="s">
        <v>183</v>
      </c>
      <c r="I794" s="18" t="s">
        <v>184</v>
      </c>
      <c r="J794" s="18" t="s">
        <v>1889</v>
      </c>
      <c r="K794" s="18" t="s">
        <v>56</v>
      </c>
      <c r="L794" s="18" t="s">
        <v>36</v>
      </c>
      <c r="N794" s="18">
        <v>6</v>
      </c>
      <c r="O794" s="18" t="s">
        <v>88</v>
      </c>
      <c r="P794" s="18" t="s">
        <v>38</v>
      </c>
      <c r="Q794" s="18" t="s">
        <v>194</v>
      </c>
      <c r="R794" s="18" t="s">
        <v>59</v>
      </c>
      <c r="S794" s="18" t="s">
        <v>195</v>
      </c>
      <c r="T794" s="18" t="b">
        <v>0</v>
      </c>
      <c r="U794" s="18" t="s">
        <v>187</v>
      </c>
      <c r="V794" s="18" t="s">
        <v>40</v>
      </c>
      <c r="W794" s="18" t="s">
        <v>371</v>
      </c>
      <c r="X794" s="18" t="s">
        <v>372</v>
      </c>
      <c r="Y794" s="18">
        <v>1</v>
      </c>
      <c r="Z794" s="18">
        <v>180000</v>
      </c>
      <c r="AA794" s="31" t="s">
        <v>2055</v>
      </c>
      <c r="AB794" s="18" t="s">
        <v>2056</v>
      </c>
      <c r="AC794" s="18" t="s">
        <v>200</v>
      </c>
    </row>
    <row r="795" s="18" customFormat="1" ht="29" spans="1:29">
      <c r="A795" s="18" t="s">
        <v>2060</v>
      </c>
      <c r="B795" s="25" t="s">
        <v>2060</v>
      </c>
      <c r="C795" s="26">
        <v>45686</v>
      </c>
      <c r="D795" s="18" t="s">
        <v>2061</v>
      </c>
      <c r="E795" s="18" t="str">
        <f t="shared" si="12"/>
        <v>Jayant K Shetty</v>
      </c>
      <c r="F795" s="27" t="s">
        <v>2062</v>
      </c>
      <c r="G795" s="18" t="s">
        <v>182</v>
      </c>
      <c r="H795" s="18" t="s">
        <v>183</v>
      </c>
      <c r="I795" s="18" t="s">
        <v>184</v>
      </c>
      <c r="J795" s="18" t="s">
        <v>1889</v>
      </c>
      <c r="K795" s="18" t="s">
        <v>56</v>
      </c>
      <c r="L795" s="18" t="s">
        <v>36</v>
      </c>
      <c r="N795" s="18">
        <v>6</v>
      </c>
      <c r="O795" s="18" t="s">
        <v>88</v>
      </c>
      <c r="P795" s="18" t="s">
        <v>38</v>
      </c>
      <c r="Q795" s="18" t="s">
        <v>194</v>
      </c>
      <c r="R795" s="18" t="s">
        <v>59</v>
      </c>
      <c r="S795" s="18" t="s">
        <v>195</v>
      </c>
      <c r="T795" s="18" t="b">
        <v>0</v>
      </c>
      <c r="U795" s="18" t="s">
        <v>187</v>
      </c>
      <c r="V795" s="18" t="s">
        <v>40</v>
      </c>
      <c r="W795" s="18" t="s">
        <v>371</v>
      </c>
      <c r="X795" s="18" t="s">
        <v>372</v>
      </c>
      <c r="Y795" s="18">
        <v>1</v>
      </c>
      <c r="Z795" s="18">
        <v>45000</v>
      </c>
      <c r="AA795" s="31" t="s">
        <v>2055</v>
      </c>
      <c r="AB795" s="18" t="s">
        <v>2056</v>
      </c>
      <c r="AC795" s="18" t="s">
        <v>200</v>
      </c>
    </row>
    <row r="796" s="18" customFormat="1" ht="29" spans="1:29">
      <c r="A796" s="18" t="s">
        <v>2063</v>
      </c>
      <c r="B796" s="25" t="s">
        <v>2063</v>
      </c>
      <c r="C796" s="26">
        <v>45686</v>
      </c>
      <c r="D796" s="18" t="s">
        <v>1066</v>
      </c>
      <c r="E796" s="18" t="str">
        <f t="shared" si="12"/>
        <v>Events Power</v>
      </c>
      <c r="F796" s="27" t="s">
        <v>1067</v>
      </c>
      <c r="G796" s="18" t="s">
        <v>182</v>
      </c>
      <c r="H796" s="18" t="s">
        <v>183</v>
      </c>
      <c r="I796" s="18" t="s">
        <v>184</v>
      </c>
      <c r="J796" s="18" t="s">
        <v>1889</v>
      </c>
      <c r="K796" s="18" t="s">
        <v>56</v>
      </c>
      <c r="L796" s="18" t="s">
        <v>36</v>
      </c>
      <c r="N796" s="18">
        <v>6</v>
      </c>
      <c r="O796" s="18" t="s">
        <v>88</v>
      </c>
      <c r="P796" s="18" t="s">
        <v>38</v>
      </c>
      <c r="Q796" s="18" t="s">
        <v>194</v>
      </c>
      <c r="R796" s="18" t="s">
        <v>59</v>
      </c>
      <c r="S796" s="18" t="s">
        <v>195</v>
      </c>
      <c r="T796" s="18" t="b">
        <v>0</v>
      </c>
      <c r="U796" s="18" t="s">
        <v>187</v>
      </c>
      <c r="V796" s="18" t="s">
        <v>40</v>
      </c>
      <c r="W796" s="18" t="s">
        <v>371</v>
      </c>
      <c r="X796" s="18" t="s">
        <v>372</v>
      </c>
      <c r="Y796" s="18">
        <v>1</v>
      </c>
      <c r="Z796" s="18">
        <v>85000</v>
      </c>
      <c r="AA796" s="31" t="s">
        <v>2055</v>
      </c>
      <c r="AB796" s="18" t="s">
        <v>2056</v>
      </c>
      <c r="AC796" s="18" t="s">
        <v>200</v>
      </c>
    </row>
    <row r="797" s="18" customFormat="1" ht="29" spans="1:29">
      <c r="A797" s="18" t="s">
        <v>2064</v>
      </c>
      <c r="B797" s="25" t="s">
        <v>2064</v>
      </c>
      <c r="C797" s="26">
        <v>45686</v>
      </c>
      <c r="D797" s="18" t="s">
        <v>1981</v>
      </c>
      <c r="E797" s="18" t="str">
        <f t="shared" si="12"/>
        <v>Oriana Communications</v>
      </c>
      <c r="F797" s="27" t="s">
        <v>1982</v>
      </c>
      <c r="G797" s="18" t="s">
        <v>182</v>
      </c>
      <c r="H797" s="18" t="s">
        <v>183</v>
      </c>
      <c r="I797" s="18" t="s">
        <v>184</v>
      </c>
      <c r="J797" s="18" t="s">
        <v>1889</v>
      </c>
      <c r="K797" s="18" t="s">
        <v>56</v>
      </c>
      <c r="L797" s="18" t="s">
        <v>36</v>
      </c>
      <c r="N797" s="18">
        <v>6</v>
      </c>
      <c r="O797" s="18" t="s">
        <v>57</v>
      </c>
      <c r="P797" s="18" t="s">
        <v>38</v>
      </c>
      <c r="Q797" s="18" t="s">
        <v>194</v>
      </c>
      <c r="R797" s="18" t="s">
        <v>59</v>
      </c>
      <c r="S797" s="18" t="s">
        <v>195</v>
      </c>
      <c r="T797" s="18" t="b">
        <v>0</v>
      </c>
      <c r="U797" s="18" t="s">
        <v>187</v>
      </c>
      <c r="V797" s="18" t="s">
        <v>40</v>
      </c>
      <c r="W797" s="18" t="s">
        <v>371</v>
      </c>
      <c r="X797" s="18" t="s">
        <v>372</v>
      </c>
      <c r="Y797" s="18">
        <v>1</v>
      </c>
      <c r="Z797" s="18">
        <v>7000</v>
      </c>
      <c r="AA797" s="31" t="s">
        <v>2055</v>
      </c>
      <c r="AB797" s="18" t="s">
        <v>2056</v>
      </c>
      <c r="AC797" s="18" t="s">
        <v>200</v>
      </c>
    </row>
    <row r="798" s="18" customFormat="1" ht="29" spans="1:29">
      <c r="A798" s="18" t="s">
        <v>2065</v>
      </c>
      <c r="B798" s="25" t="s">
        <v>2065</v>
      </c>
      <c r="C798" s="26">
        <v>45686</v>
      </c>
      <c r="D798" s="18" t="s">
        <v>1960</v>
      </c>
      <c r="E798" s="18" t="str">
        <f t="shared" si="12"/>
        <v>Shree Vision</v>
      </c>
      <c r="F798" s="27" t="s">
        <v>1961</v>
      </c>
      <c r="G798" s="18" t="s">
        <v>182</v>
      </c>
      <c r="H798" s="18" t="s">
        <v>183</v>
      </c>
      <c r="I798" s="18" t="s">
        <v>184</v>
      </c>
      <c r="J798" s="18" t="s">
        <v>1889</v>
      </c>
      <c r="K798" s="18" t="s">
        <v>56</v>
      </c>
      <c r="L798" s="18" t="s">
        <v>36</v>
      </c>
      <c r="N798" s="18">
        <v>6</v>
      </c>
      <c r="O798" s="18" t="s">
        <v>88</v>
      </c>
      <c r="P798" s="18" t="s">
        <v>38</v>
      </c>
      <c r="Q798" s="18" t="s">
        <v>194</v>
      </c>
      <c r="R798" s="18" t="s">
        <v>59</v>
      </c>
      <c r="S798" s="18" t="s">
        <v>195</v>
      </c>
      <c r="T798" s="18" t="b">
        <v>0</v>
      </c>
      <c r="U798" s="18" t="s">
        <v>187</v>
      </c>
      <c r="V798" s="18" t="s">
        <v>40</v>
      </c>
      <c r="W798" s="18" t="s">
        <v>990</v>
      </c>
      <c r="X798" s="18" t="s">
        <v>991</v>
      </c>
      <c r="Y798" s="18">
        <v>1</v>
      </c>
      <c r="Z798" s="18">
        <v>3000</v>
      </c>
      <c r="AA798" s="31" t="s">
        <v>2055</v>
      </c>
      <c r="AB798" s="18" t="s">
        <v>2056</v>
      </c>
      <c r="AC798" s="18" t="s">
        <v>200</v>
      </c>
    </row>
    <row r="799" s="18" customFormat="1" ht="29" spans="1:29">
      <c r="A799" s="18" t="s">
        <v>2066</v>
      </c>
      <c r="B799" s="25" t="s">
        <v>2066</v>
      </c>
      <c r="C799" s="26">
        <v>45686</v>
      </c>
      <c r="D799" s="18" t="s">
        <v>2067</v>
      </c>
      <c r="E799" s="18" t="str">
        <f t="shared" si="12"/>
        <v>Prem Enterprise</v>
      </c>
      <c r="F799" s="27" t="s">
        <v>2068</v>
      </c>
      <c r="G799" s="18" t="s">
        <v>182</v>
      </c>
      <c r="H799" s="18" t="s">
        <v>183</v>
      </c>
      <c r="I799" s="18" t="s">
        <v>184</v>
      </c>
      <c r="J799" s="18" t="s">
        <v>1889</v>
      </c>
      <c r="K799" s="18" t="s">
        <v>56</v>
      </c>
      <c r="L799" s="18" t="s">
        <v>36</v>
      </c>
      <c r="N799" s="18">
        <v>6</v>
      </c>
      <c r="O799" s="18" t="s">
        <v>57</v>
      </c>
      <c r="P799" s="18" t="s">
        <v>38</v>
      </c>
      <c r="Q799" s="18" t="s">
        <v>194</v>
      </c>
      <c r="R799" s="18" t="s">
        <v>59</v>
      </c>
      <c r="S799" s="18" t="s">
        <v>195</v>
      </c>
      <c r="T799" s="18" t="b">
        <v>0</v>
      </c>
      <c r="U799" s="18" t="s">
        <v>187</v>
      </c>
      <c r="V799" s="18" t="s">
        <v>40</v>
      </c>
      <c r="W799" s="18" t="s">
        <v>371</v>
      </c>
      <c r="X799" s="18" t="s">
        <v>372</v>
      </c>
      <c r="Y799" s="18">
        <v>1</v>
      </c>
      <c r="Z799" s="18">
        <v>90000</v>
      </c>
      <c r="AA799" s="31" t="s">
        <v>2055</v>
      </c>
      <c r="AB799" s="18" t="s">
        <v>2056</v>
      </c>
      <c r="AC799" s="18" t="s">
        <v>216</v>
      </c>
    </row>
    <row r="800" s="18" customFormat="1" ht="29" spans="1:29">
      <c r="A800" s="18" t="s">
        <v>2069</v>
      </c>
      <c r="B800" s="25" t="s">
        <v>2069</v>
      </c>
      <c r="C800" s="26">
        <v>45686</v>
      </c>
      <c r="D800" s="18" t="s">
        <v>2070</v>
      </c>
      <c r="E800" s="18" t="str">
        <f t="shared" si="12"/>
        <v>IKEA India Pvt Ltd (CR)</v>
      </c>
      <c r="F800" s="27" t="e">
        <v>#N/A</v>
      </c>
      <c r="G800" s="18" t="s">
        <v>182</v>
      </c>
      <c r="H800" s="18" t="s">
        <v>183</v>
      </c>
      <c r="I800" s="18" t="s">
        <v>184</v>
      </c>
      <c r="J800" s="18" t="s">
        <v>1968</v>
      </c>
      <c r="K800" s="18" t="s">
        <v>56</v>
      </c>
      <c r="L800" s="18" t="s">
        <v>36</v>
      </c>
      <c r="N800" s="18">
        <v>6</v>
      </c>
      <c r="O800" s="18" t="s">
        <v>88</v>
      </c>
      <c r="P800" s="18" t="s">
        <v>38</v>
      </c>
      <c r="Q800" s="18" t="s">
        <v>194</v>
      </c>
      <c r="R800" s="18" t="s">
        <v>59</v>
      </c>
      <c r="S800" s="18" t="s">
        <v>195</v>
      </c>
      <c r="T800" s="18" t="b">
        <v>0</v>
      </c>
      <c r="U800" s="18" t="s">
        <v>187</v>
      </c>
      <c r="V800" s="18" t="s">
        <v>40</v>
      </c>
      <c r="W800" s="18" t="s">
        <v>140</v>
      </c>
      <c r="X800" s="18" t="s">
        <v>141</v>
      </c>
      <c r="Y800" s="18">
        <v>1</v>
      </c>
      <c r="Z800" s="18">
        <v>10151.69</v>
      </c>
      <c r="AA800" s="31" t="s">
        <v>2071</v>
      </c>
      <c r="AB800" s="18" t="s">
        <v>1228</v>
      </c>
      <c r="AC800" s="18" t="s">
        <v>200</v>
      </c>
    </row>
    <row r="801" s="18" customFormat="1" spans="1:29">
      <c r="A801" s="18" t="s">
        <v>2072</v>
      </c>
      <c r="B801" s="25" t="s">
        <v>2072</v>
      </c>
      <c r="C801" s="26">
        <v>45686</v>
      </c>
      <c r="D801" s="18" t="s">
        <v>732</v>
      </c>
      <c r="E801" s="18" t="str">
        <f t="shared" si="12"/>
        <v>Musafir.Com India Pvt Ltd</v>
      </c>
      <c r="F801" s="27" t="s">
        <v>733</v>
      </c>
      <c r="G801" s="18" t="s">
        <v>182</v>
      </c>
      <c r="H801" s="18" t="s">
        <v>183</v>
      </c>
      <c r="I801" s="18" t="s">
        <v>184</v>
      </c>
      <c r="J801" s="18" t="s">
        <v>728</v>
      </c>
      <c r="K801" s="18" t="s">
        <v>56</v>
      </c>
      <c r="L801" s="18" t="s">
        <v>36</v>
      </c>
      <c r="N801" s="18">
        <v>6</v>
      </c>
      <c r="O801" s="18" t="s">
        <v>57</v>
      </c>
      <c r="P801" s="18" t="s">
        <v>38</v>
      </c>
      <c r="Q801" s="18" t="s">
        <v>194</v>
      </c>
      <c r="R801" s="18" t="s">
        <v>59</v>
      </c>
      <c r="S801" s="18" t="s">
        <v>195</v>
      </c>
      <c r="T801" s="18" t="b">
        <v>0</v>
      </c>
      <c r="U801" s="18" t="s">
        <v>187</v>
      </c>
      <c r="V801" s="18" t="s">
        <v>40</v>
      </c>
      <c r="W801" s="18" t="s">
        <v>347</v>
      </c>
      <c r="X801" s="18" t="s">
        <v>348</v>
      </c>
      <c r="Y801" s="18">
        <v>1</v>
      </c>
      <c r="Z801" s="18">
        <v>50000</v>
      </c>
      <c r="AA801" s="18" t="s">
        <v>736</v>
      </c>
      <c r="AB801" s="18" t="s">
        <v>737</v>
      </c>
      <c r="AC801" s="18" t="s">
        <v>200</v>
      </c>
    </row>
    <row r="802" s="18" customFormat="1" spans="1:29">
      <c r="A802" s="18" t="s">
        <v>2073</v>
      </c>
      <c r="B802" s="25" t="s">
        <v>2073</v>
      </c>
      <c r="C802" s="26">
        <v>45686</v>
      </c>
      <c r="D802" s="18" t="s">
        <v>785</v>
      </c>
      <c r="E802" s="18" t="str">
        <f t="shared" si="12"/>
        <v>Ushta Te Consultancy Services LLP</v>
      </c>
      <c r="F802" s="27" t="s">
        <v>786</v>
      </c>
      <c r="G802" s="18" t="s">
        <v>182</v>
      </c>
      <c r="H802" s="18" t="s">
        <v>183</v>
      </c>
      <c r="I802" s="18" t="s">
        <v>184</v>
      </c>
      <c r="J802" s="18" t="s">
        <v>2074</v>
      </c>
      <c r="K802" s="18" t="s">
        <v>56</v>
      </c>
      <c r="L802" s="18" t="s">
        <v>36</v>
      </c>
      <c r="N802" s="18">
        <v>6</v>
      </c>
      <c r="O802" s="18" t="s">
        <v>88</v>
      </c>
      <c r="P802" s="18" t="s">
        <v>38</v>
      </c>
      <c r="Q802" s="18" t="s">
        <v>58</v>
      </c>
      <c r="R802" s="18" t="s">
        <v>59</v>
      </c>
      <c r="S802" s="18" t="s">
        <v>60</v>
      </c>
      <c r="T802" s="18" t="b">
        <v>0</v>
      </c>
      <c r="U802" s="18" t="s">
        <v>187</v>
      </c>
      <c r="V802" s="18" t="s">
        <v>40</v>
      </c>
      <c r="W802" s="18" t="s">
        <v>787</v>
      </c>
      <c r="X802" s="18" t="s">
        <v>788</v>
      </c>
      <c r="Y802" s="18">
        <v>1</v>
      </c>
      <c r="Z802" s="18">
        <v>810161</v>
      </c>
      <c r="AA802" s="18" t="s">
        <v>789</v>
      </c>
      <c r="AB802" s="18" t="s">
        <v>790</v>
      </c>
      <c r="AC802" s="18" t="s">
        <v>200</v>
      </c>
    </row>
    <row r="803" s="18" customFormat="1" ht="29" spans="1:29">
      <c r="A803" s="18" t="s">
        <v>2075</v>
      </c>
      <c r="B803" s="25" t="s">
        <v>2075</v>
      </c>
      <c r="C803" s="26">
        <v>45686</v>
      </c>
      <c r="D803" s="18" t="s">
        <v>2076</v>
      </c>
      <c r="E803" s="18" t="str">
        <f t="shared" si="12"/>
        <v>Sterling Book House</v>
      </c>
      <c r="F803" s="27" t="s">
        <v>2077</v>
      </c>
      <c r="G803" s="18" t="s">
        <v>182</v>
      </c>
      <c r="H803" s="18" t="s">
        <v>183</v>
      </c>
      <c r="I803" s="18" t="s">
        <v>184</v>
      </c>
      <c r="J803" s="18" t="s">
        <v>2078</v>
      </c>
      <c r="K803" s="18" t="s">
        <v>56</v>
      </c>
      <c r="L803" s="18" t="s">
        <v>36</v>
      </c>
      <c r="N803" s="18">
        <v>6</v>
      </c>
      <c r="O803" s="18" t="s">
        <v>88</v>
      </c>
      <c r="P803" s="18" t="s">
        <v>38</v>
      </c>
      <c r="Q803" s="18" t="s">
        <v>194</v>
      </c>
      <c r="R803" s="18" t="s">
        <v>59</v>
      </c>
      <c r="S803" s="18" t="s">
        <v>195</v>
      </c>
      <c r="T803" s="18" t="b">
        <v>0</v>
      </c>
      <c r="U803" s="18" t="s">
        <v>187</v>
      </c>
      <c r="V803" s="18" t="s">
        <v>40</v>
      </c>
      <c r="W803" s="18" t="s">
        <v>140</v>
      </c>
      <c r="X803" s="18" t="s">
        <v>141</v>
      </c>
      <c r="Y803" s="18">
        <v>1</v>
      </c>
      <c r="Z803" s="18">
        <v>7956</v>
      </c>
      <c r="AA803" s="31" t="s">
        <v>1784</v>
      </c>
      <c r="AB803" s="18" t="s">
        <v>1785</v>
      </c>
      <c r="AC803" s="18" t="e">
        <v>#N/A</v>
      </c>
    </row>
    <row r="804" s="18" customFormat="1" ht="29" spans="1:29">
      <c r="A804" s="18" t="s">
        <v>2079</v>
      </c>
      <c r="B804" s="25" t="s">
        <v>2079</v>
      </c>
      <c r="C804" s="26">
        <v>45686</v>
      </c>
      <c r="D804" s="18" t="s">
        <v>2076</v>
      </c>
      <c r="E804" s="18" t="str">
        <f t="shared" si="12"/>
        <v>Sterling Book House</v>
      </c>
      <c r="F804" s="27" t="s">
        <v>2077</v>
      </c>
      <c r="G804" s="18" t="s">
        <v>182</v>
      </c>
      <c r="H804" s="18" t="s">
        <v>183</v>
      </c>
      <c r="I804" s="18" t="s">
        <v>184</v>
      </c>
      <c r="J804" s="18" t="s">
        <v>2078</v>
      </c>
      <c r="K804" s="18" t="s">
        <v>56</v>
      </c>
      <c r="L804" s="18" t="s">
        <v>36</v>
      </c>
      <c r="N804" s="18">
        <v>6</v>
      </c>
      <c r="O804" s="18" t="s">
        <v>88</v>
      </c>
      <c r="P804" s="18" t="s">
        <v>38</v>
      </c>
      <c r="Q804" s="18" t="s">
        <v>194</v>
      </c>
      <c r="R804" s="18" t="s">
        <v>59</v>
      </c>
      <c r="S804" s="18" t="s">
        <v>195</v>
      </c>
      <c r="T804" s="18" t="b">
        <v>0</v>
      </c>
      <c r="U804" s="18" t="s">
        <v>187</v>
      </c>
      <c r="V804" s="18" t="s">
        <v>40</v>
      </c>
      <c r="W804" s="18" t="s">
        <v>140</v>
      </c>
      <c r="X804" s="18" t="s">
        <v>141</v>
      </c>
      <c r="Y804" s="18">
        <v>1</v>
      </c>
      <c r="Z804" s="18">
        <v>52463</v>
      </c>
      <c r="AA804" s="31" t="s">
        <v>1784</v>
      </c>
      <c r="AB804" s="18" t="s">
        <v>1785</v>
      </c>
      <c r="AC804" s="18" t="e">
        <v>#N/A</v>
      </c>
    </row>
    <row r="805" s="18" customFormat="1" spans="1:29">
      <c r="A805" s="18" t="s">
        <v>2080</v>
      </c>
      <c r="B805" s="25" t="s">
        <v>2080</v>
      </c>
      <c r="C805" s="26">
        <v>45686</v>
      </c>
      <c r="D805" s="18" t="s">
        <v>247</v>
      </c>
      <c r="E805" s="18" t="str">
        <f t="shared" si="12"/>
        <v>Black Hat Talent Solutions &amp; Consulting Pvt Ltd</v>
      </c>
      <c r="F805" s="27" t="s">
        <v>248</v>
      </c>
      <c r="G805" s="18" t="s">
        <v>182</v>
      </c>
      <c r="H805" s="18" t="s">
        <v>183</v>
      </c>
      <c r="I805" s="18" t="s">
        <v>207</v>
      </c>
      <c r="J805" s="18" t="s">
        <v>139</v>
      </c>
      <c r="K805" s="18" t="s">
        <v>56</v>
      </c>
      <c r="L805" s="18" t="s">
        <v>36</v>
      </c>
      <c r="N805" s="18">
        <v>6</v>
      </c>
      <c r="O805" s="18" t="s">
        <v>57</v>
      </c>
      <c r="P805" s="18" t="s">
        <v>38</v>
      </c>
      <c r="Q805" s="18" t="s">
        <v>58</v>
      </c>
      <c r="R805" s="18" t="s">
        <v>59</v>
      </c>
      <c r="S805" s="18" t="s">
        <v>60</v>
      </c>
      <c r="T805" s="18" t="b">
        <v>0</v>
      </c>
      <c r="U805" s="18" t="s">
        <v>187</v>
      </c>
      <c r="V805" s="18" t="s">
        <v>40</v>
      </c>
      <c r="W805" s="18" t="s">
        <v>250</v>
      </c>
      <c r="X805" s="18" t="s">
        <v>251</v>
      </c>
      <c r="Y805" s="18">
        <v>1</v>
      </c>
      <c r="Z805" s="18">
        <v>850000</v>
      </c>
      <c r="AA805" s="18" t="s">
        <v>2081</v>
      </c>
      <c r="AB805" s="18" t="s">
        <v>1016</v>
      </c>
      <c r="AC805" s="18" t="s">
        <v>200</v>
      </c>
    </row>
    <row r="806" s="18" customFormat="1" spans="1:29">
      <c r="A806" s="18" t="s">
        <v>2082</v>
      </c>
      <c r="B806" s="25" t="s">
        <v>2082</v>
      </c>
      <c r="C806" s="26">
        <v>45686</v>
      </c>
      <c r="D806" s="18" t="s">
        <v>2083</v>
      </c>
      <c r="E806" s="18" t="str">
        <f t="shared" si="12"/>
        <v>Jw Marriot Sahar Mumbai</v>
      </c>
      <c r="F806" s="27" t="s">
        <v>2084</v>
      </c>
      <c r="G806" s="18" t="s">
        <v>182</v>
      </c>
      <c r="H806" s="18" t="s">
        <v>183</v>
      </c>
      <c r="I806" s="18" t="s">
        <v>54</v>
      </c>
      <c r="J806" s="18" t="s">
        <v>139</v>
      </c>
      <c r="K806" s="18" t="s">
        <v>56</v>
      </c>
      <c r="L806" s="18" t="s">
        <v>36</v>
      </c>
      <c r="N806" s="18">
        <v>6</v>
      </c>
      <c r="O806" s="18" t="s">
        <v>93</v>
      </c>
      <c r="P806" s="18" t="s">
        <v>38</v>
      </c>
      <c r="Q806" s="18" t="s">
        <v>58</v>
      </c>
      <c r="R806" s="18" t="s">
        <v>59</v>
      </c>
      <c r="S806" s="18" t="s">
        <v>60</v>
      </c>
      <c r="T806" s="18" t="b">
        <v>0</v>
      </c>
      <c r="U806" s="18" t="s">
        <v>187</v>
      </c>
      <c r="V806" s="18" t="s">
        <v>40</v>
      </c>
      <c r="W806" s="18" t="s">
        <v>61</v>
      </c>
      <c r="X806" s="18" t="s">
        <v>62</v>
      </c>
      <c r="Y806" s="18">
        <v>1</v>
      </c>
      <c r="Z806" s="18">
        <v>15000</v>
      </c>
      <c r="AA806" s="18" t="s">
        <v>142</v>
      </c>
      <c r="AB806" s="18" t="s">
        <v>143</v>
      </c>
      <c r="AC806" s="18" t="s">
        <v>200</v>
      </c>
    </row>
    <row r="807" s="18" customFormat="1" ht="29" spans="1:29">
      <c r="A807" s="18" t="s">
        <v>2085</v>
      </c>
      <c r="B807" s="25" t="s">
        <v>2085</v>
      </c>
      <c r="C807" s="26">
        <v>45686</v>
      </c>
      <c r="D807" s="18" t="s">
        <v>2086</v>
      </c>
      <c r="E807" s="18" t="str">
        <f t="shared" si="12"/>
        <v>Impact KORE Learning Llp</v>
      </c>
      <c r="F807" s="27" t="s">
        <v>2087</v>
      </c>
      <c r="G807" s="18" t="s">
        <v>182</v>
      </c>
      <c r="H807" s="18" t="s">
        <v>183</v>
      </c>
      <c r="I807" s="18" t="s">
        <v>184</v>
      </c>
      <c r="J807" s="18" t="s">
        <v>1995</v>
      </c>
      <c r="K807" s="18" t="s">
        <v>56</v>
      </c>
      <c r="L807" s="18" t="s">
        <v>36</v>
      </c>
      <c r="N807" s="18">
        <v>6</v>
      </c>
      <c r="O807" s="18" t="s">
        <v>88</v>
      </c>
      <c r="P807" s="18" t="s">
        <v>38</v>
      </c>
      <c r="Q807" s="18" t="s">
        <v>194</v>
      </c>
      <c r="R807" s="18" t="s">
        <v>59</v>
      </c>
      <c r="S807" s="18" t="s">
        <v>195</v>
      </c>
      <c r="T807" s="18" t="b">
        <v>0</v>
      </c>
      <c r="U807" s="18" t="s">
        <v>187</v>
      </c>
      <c r="V807" s="18" t="s">
        <v>40</v>
      </c>
      <c r="W807" s="18" t="s">
        <v>317</v>
      </c>
      <c r="X807" s="18" t="s">
        <v>318</v>
      </c>
      <c r="Y807" s="18">
        <v>1</v>
      </c>
      <c r="Z807" s="18">
        <v>345000</v>
      </c>
      <c r="AA807" s="31" t="s">
        <v>962</v>
      </c>
      <c r="AB807" s="18" t="s">
        <v>963</v>
      </c>
      <c r="AC807" s="18" t="s">
        <v>200</v>
      </c>
    </row>
    <row r="808" s="18" customFormat="1" ht="29" spans="1:29">
      <c r="A808" s="18" t="s">
        <v>2088</v>
      </c>
      <c r="B808" s="25" t="s">
        <v>2088</v>
      </c>
      <c r="C808" s="26">
        <v>45686</v>
      </c>
      <c r="D808" s="18" t="s">
        <v>2089</v>
      </c>
      <c r="E808" s="18" t="str">
        <f t="shared" si="12"/>
        <v>Twintech Entertainment LLP</v>
      </c>
      <c r="F808" s="27" t="s">
        <v>2090</v>
      </c>
      <c r="G808" s="18" t="s">
        <v>182</v>
      </c>
      <c r="H808" s="18" t="s">
        <v>183</v>
      </c>
      <c r="I808" s="18" t="s">
        <v>184</v>
      </c>
      <c r="J808" s="18" t="s">
        <v>1995</v>
      </c>
      <c r="K808" s="18" t="s">
        <v>56</v>
      </c>
      <c r="L808" s="18" t="s">
        <v>36</v>
      </c>
      <c r="N808" s="18">
        <v>6</v>
      </c>
      <c r="O808" s="18" t="s">
        <v>57</v>
      </c>
      <c r="P808" s="18" t="s">
        <v>38</v>
      </c>
      <c r="Q808" s="18" t="s">
        <v>194</v>
      </c>
      <c r="R808" s="18" t="s">
        <v>59</v>
      </c>
      <c r="S808" s="18" t="s">
        <v>195</v>
      </c>
      <c r="T808" s="18" t="b">
        <v>0</v>
      </c>
      <c r="U808" s="18" t="s">
        <v>187</v>
      </c>
      <c r="V808" s="18" t="s">
        <v>40</v>
      </c>
      <c r="W808" s="18" t="s">
        <v>250</v>
      </c>
      <c r="X808" s="18" t="s">
        <v>251</v>
      </c>
      <c r="Y808" s="18">
        <v>1</v>
      </c>
      <c r="Z808" s="18">
        <v>25000</v>
      </c>
      <c r="AA808" s="31" t="s">
        <v>962</v>
      </c>
      <c r="AB808" s="18" t="s">
        <v>963</v>
      </c>
      <c r="AC808" s="18" t="e">
        <v>#N/A</v>
      </c>
    </row>
    <row r="809" s="18" customFormat="1" spans="1:29">
      <c r="A809" s="18" t="s">
        <v>2091</v>
      </c>
      <c r="B809" s="25" t="s">
        <v>2091</v>
      </c>
      <c r="C809" s="26">
        <v>45686</v>
      </c>
      <c r="D809" s="18" t="s">
        <v>2092</v>
      </c>
      <c r="E809" s="18" t="str">
        <f t="shared" si="12"/>
        <v>Shree Padmavati Plastics (Happay)</v>
      </c>
      <c r="F809" s="27" t="s">
        <v>2093</v>
      </c>
      <c r="G809" s="18" t="s">
        <v>182</v>
      </c>
      <c r="H809" s="18" t="s">
        <v>183</v>
      </c>
      <c r="I809" s="18" t="s">
        <v>184</v>
      </c>
      <c r="J809" s="18" t="s">
        <v>793</v>
      </c>
      <c r="K809" s="18" t="s">
        <v>56</v>
      </c>
      <c r="L809" s="18" t="s">
        <v>36</v>
      </c>
      <c r="N809" s="18">
        <v>6</v>
      </c>
      <c r="O809" s="18" t="s">
        <v>57</v>
      </c>
      <c r="P809" s="18" t="s">
        <v>38</v>
      </c>
      <c r="Q809" s="18" t="s">
        <v>194</v>
      </c>
      <c r="R809" s="18" t="s">
        <v>59</v>
      </c>
      <c r="S809" s="18" t="s">
        <v>195</v>
      </c>
      <c r="T809" s="18" t="b">
        <v>0</v>
      </c>
      <c r="U809" s="18" t="s">
        <v>187</v>
      </c>
      <c r="V809" s="18" t="s">
        <v>40</v>
      </c>
      <c r="W809" s="18" t="s">
        <v>140</v>
      </c>
      <c r="X809" s="18" t="s">
        <v>141</v>
      </c>
      <c r="Y809" s="18">
        <v>1</v>
      </c>
      <c r="Z809" s="18">
        <v>3920</v>
      </c>
      <c r="AA809" s="18" t="s">
        <v>2094</v>
      </c>
      <c r="AB809" s="18" t="s">
        <v>2095</v>
      </c>
      <c r="AC809" s="18" t="s">
        <v>200</v>
      </c>
    </row>
    <row r="810" s="18" customFormat="1" spans="1:29">
      <c r="A810" s="18" t="s">
        <v>2096</v>
      </c>
      <c r="B810" s="25" t="s">
        <v>2096</v>
      </c>
      <c r="C810" s="26">
        <v>45686</v>
      </c>
      <c r="D810" s="18" t="s">
        <v>2097</v>
      </c>
      <c r="E810" s="18" t="str">
        <f t="shared" si="12"/>
        <v>Four Points by Sheraton (Duet India Hotels Pune Pvt Ltd)</v>
      </c>
      <c r="F810" s="27" t="s">
        <v>2098</v>
      </c>
      <c r="G810" s="18" t="s">
        <v>182</v>
      </c>
      <c r="H810" s="18" t="s">
        <v>183</v>
      </c>
      <c r="I810" s="18" t="s">
        <v>54</v>
      </c>
      <c r="J810" s="18" t="s">
        <v>1253</v>
      </c>
      <c r="K810" s="18" t="s">
        <v>56</v>
      </c>
      <c r="L810" s="18" t="s">
        <v>36</v>
      </c>
      <c r="N810" s="18">
        <v>6</v>
      </c>
      <c r="O810" s="18" t="s">
        <v>93</v>
      </c>
      <c r="P810" s="18" t="s">
        <v>38</v>
      </c>
      <c r="Q810" s="18" t="s">
        <v>58</v>
      </c>
      <c r="R810" s="18" t="s">
        <v>59</v>
      </c>
      <c r="S810" s="18" t="s">
        <v>60</v>
      </c>
      <c r="T810" s="18" t="b">
        <v>0</v>
      </c>
      <c r="U810" s="18" t="s">
        <v>187</v>
      </c>
      <c r="V810" s="18" t="s">
        <v>40</v>
      </c>
      <c r="W810" s="18" t="s">
        <v>276</v>
      </c>
      <c r="X810" s="18" t="s">
        <v>276</v>
      </c>
      <c r="Y810" s="18">
        <v>1</v>
      </c>
      <c r="Z810" s="18">
        <v>273255.5</v>
      </c>
      <c r="AA810" s="18" t="s">
        <v>63</v>
      </c>
      <c r="AB810" s="18" t="s">
        <v>64</v>
      </c>
      <c r="AC810" s="18" t="s">
        <v>200</v>
      </c>
    </row>
    <row r="811" s="18" customFormat="1" spans="1:29">
      <c r="A811" s="18" t="s">
        <v>2099</v>
      </c>
      <c r="B811" s="25" t="s">
        <v>2099</v>
      </c>
      <c r="C811" s="26">
        <v>45687</v>
      </c>
      <c r="D811" s="18" t="s">
        <v>278</v>
      </c>
      <c r="E811" s="18" t="str">
        <f t="shared" si="12"/>
        <v>Time Marketing</v>
      </c>
      <c r="F811" s="27" t="s">
        <v>279</v>
      </c>
      <c r="G811" s="18" t="s">
        <v>32</v>
      </c>
      <c r="H811" s="18" t="s">
        <v>33</v>
      </c>
      <c r="I811" s="18" t="s">
        <v>54</v>
      </c>
      <c r="J811" s="18" t="s">
        <v>1446</v>
      </c>
      <c r="K811" s="18" t="s">
        <v>56</v>
      </c>
      <c r="L811" s="18" t="s">
        <v>36</v>
      </c>
      <c r="N811" s="18">
        <v>6</v>
      </c>
      <c r="O811" s="18" t="s">
        <v>88</v>
      </c>
      <c r="P811" s="18" t="s">
        <v>38</v>
      </c>
      <c r="Q811" s="18" t="s">
        <v>58</v>
      </c>
      <c r="R811" s="18" t="s">
        <v>59</v>
      </c>
      <c r="S811" s="18" t="s">
        <v>60</v>
      </c>
      <c r="T811" s="18" t="b">
        <v>1</v>
      </c>
      <c r="U811" s="18" t="s">
        <v>39</v>
      </c>
      <c r="V811" s="18" t="s">
        <v>40</v>
      </c>
      <c r="W811" s="18" t="s">
        <v>140</v>
      </c>
      <c r="X811" s="18" t="s">
        <v>141</v>
      </c>
      <c r="Y811" s="18">
        <v>1</v>
      </c>
      <c r="Z811" s="18">
        <v>75000</v>
      </c>
      <c r="AA811" s="18" t="s">
        <v>303</v>
      </c>
      <c r="AB811" s="18" t="s">
        <v>282</v>
      </c>
      <c r="AC811" s="18" t="s">
        <v>43</v>
      </c>
    </row>
    <row r="812" s="18" customFormat="1" spans="1:29">
      <c r="A812" s="18" t="s">
        <v>2100</v>
      </c>
      <c r="B812" s="25" t="s">
        <v>2100</v>
      </c>
      <c r="C812" s="26">
        <v>45687</v>
      </c>
      <c r="D812" s="18" t="s">
        <v>1514</v>
      </c>
      <c r="E812" s="18" t="str">
        <f t="shared" si="12"/>
        <v>Aishwarya Anil Kumar</v>
      </c>
      <c r="F812" s="27" t="s">
        <v>1515</v>
      </c>
      <c r="G812" s="18" t="s">
        <v>99</v>
      </c>
      <c r="H812" s="18" t="s">
        <v>100</v>
      </c>
      <c r="I812" s="18" t="s">
        <v>34</v>
      </c>
      <c r="J812" s="18" t="s">
        <v>499</v>
      </c>
      <c r="K812" s="18" t="s">
        <v>56</v>
      </c>
      <c r="L812" s="18" t="s">
        <v>36</v>
      </c>
      <c r="N812" s="18">
        <v>6</v>
      </c>
      <c r="O812" s="18" t="s">
        <v>57</v>
      </c>
      <c r="P812" s="18" t="s">
        <v>38</v>
      </c>
      <c r="Q812" s="18" t="s">
        <v>117</v>
      </c>
      <c r="R812" s="18" t="s">
        <v>59</v>
      </c>
      <c r="S812" s="18" t="s">
        <v>186</v>
      </c>
      <c r="T812" s="18" t="b">
        <v>1</v>
      </c>
      <c r="U812" s="18" t="s">
        <v>101</v>
      </c>
      <c r="V812" s="18" t="s">
        <v>40</v>
      </c>
      <c r="W812" s="18" t="s">
        <v>317</v>
      </c>
      <c r="X812" s="18" t="s">
        <v>318</v>
      </c>
      <c r="Y812" s="18">
        <v>1</v>
      </c>
      <c r="Z812" s="18">
        <v>330000</v>
      </c>
      <c r="AA812" s="18" t="s">
        <v>328</v>
      </c>
      <c r="AB812" s="18" t="s">
        <v>329</v>
      </c>
      <c r="AC812" s="18" t="e">
        <v>#N/A</v>
      </c>
    </row>
    <row r="813" s="18" customFormat="1" spans="1:29">
      <c r="A813" s="18" t="s">
        <v>2101</v>
      </c>
      <c r="B813" s="25" t="s">
        <v>2101</v>
      </c>
      <c r="C813" s="26">
        <v>45687</v>
      </c>
      <c r="D813" s="18" t="s">
        <v>2006</v>
      </c>
      <c r="E813" s="18" t="str">
        <f t="shared" si="12"/>
        <v>Fairmont Mumbai (Shrem Airport Hotels Pvt Ltd)</v>
      </c>
      <c r="F813" s="27" t="s">
        <v>2007</v>
      </c>
      <c r="G813" s="18" t="s">
        <v>182</v>
      </c>
      <c r="H813" s="18" t="s">
        <v>183</v>
      </c>
      <c r="I813" s="18" t="s">
        <v>54</v>
      </c>
      <c r="J813" s="18" t="s">
        <v>1370</v>
      </c>
      <c r="K813" s="18" t="s">
        <v>56</v>
      </c>
      <c r="L813" s="18" t="s">
        <v>36</v>
      </c>
      <c r="N813" s="18">
        <v>6</v>
      </c>
      <c r="O813" s="18" t="s">
        <v>93</v>
      </c>
      <c r="P813" s="18" t="s">
        <v>38</v>
      </c>
      <c r="Q813" s="18" t="s">
        <v>58</v>
      </c>
      <c r="R813" s="18" t="s">
        <v>59</v>
      </c>
      <c r="S813" s="18" t="s">
        <v>60</v>
      </c>
      <c r="T813" s="18" t="b">
        <v>0</v>
      </c>
      <c r="U813" s="18" t="s">
        <v>187</v>
      </c>
      <c r="V813" s="18" t="s">
        <v>40</v>
      </c>
      <c r="W813" s="18" t="s">
        <v>276</v>
      </c>
      <c r="X813" s="18" t="s">
        <v>276</v>
      </c>
      <c r="Y813" s="18">
        <v>1</v>
      </c>
      <c r="Z813" s="18">
        <v>2755700</v>
      </c>
      <c r="AA813" s="18" t="s">
        <v>1108</v>
      </c>
      <c r="AB813" s="18" t="s">
        <v>1109</v>
      </c>
      <c r="AC813" s="18" t="s">
        <v>200</v>
      </c>
    </row>
    <row r="814" s="18" customFormat="1" spans="1:29">
      <c r="A814" s="18" t="s">
        <v>2102</v>
      </c>
      <c r="B814" s="25" t="s">
        <v>2102</v>
      </c>
      <c r="C814" s="26">
        <v>45688</v>
      </c>
      <c r="D814" s="18" t="s">
        <v>2103</v>
      </c>
      <c r="E814" s="18" t="str">
        <f t="shared" si="12"/>
        <v>Aloft Aerocity,U/o Central Park Infrastructure Development Pvt Ltd</v>
      </c>
      <c r="F814" s="27" t="e">
        <v>#N/A</v>
      </c>
      <c r="G814" s="18" t="s">
        <v>147</v>
      </c>
      <c r="H814" s="18" t="s">
        <v>148</v>
      </c>
      <c r="I814" s="18" t="s">
        <v>54</v>
      </c>
      <c r="J814" s="18" t="s">
        <v>1238</v>
      </c>
      <c r="K814" s="18" t="s">
        <v>56</v>
      </c>
      <c r="L814" s="18" t="s">
        <v>36</v>
      </c>
      <c r="N814" s="18">
        <v>6</v>
      </c>
      <c r="O814" s="18" t="s">
        <v>93</v>
      </c>
      <c r="P814" s="18" t="s">
        <v>38</v>
      </c>
      <c r="Q814" s="18" t="s">
        <v>58</v>
      </c>
      <c r="R814" s="18" t="s">
        <v>59</v>
      </c>
      <c r="S814" s="18" t="s">
        <v>60</v>
      </c>
      <c r="T814" s="18" t="b">
        <v>1</v>
      </c>
      <c r="U814" s="18" t="s">
        <v>150</v>
      </c>
      <c r="V814" s="18" t="s">
        <v>40</v>
      </c>
      <c r="W814" s="18" t="s">
        <v>276</v>
      </c>
      <c r="X814" s="18" t="s">
        <v>276</v>
      </c>
      <c r="Y814" s="18">
        <v>1</v>
      </c>
      <c r="Z814" s="18">
        <v>313500</v>
      </c>
      <c r="AA814" s="18" t="s">
        <v>63</v>
      </c>
      <c r="AB814" s="18" t="s">
        <v>64</v>
      </c>
      <c r="AC814" s="18" t="s">
        <v>163</v>
      </c>
    </row>
    <row r="815" s="20" customFormat="1" spans="1:29">
      <c r="A815" s="20" t="s">
        <v>2104</v>
      </c>
      <c r="B815" s="33" t="s">
        <v>2104</v>
      </c>
      <c r="C815" s="34">
        <v>45688</v>
      </c>
      <c r="D815" s="20" t="s">
        <v>942</v>
      </c>
      <c r="E815" s="20" t="str">
        <f t="shared" si="12"/>
        <v>Pandey Print Services</v>
      </c>
      <c r="F815" s="27" t="s">
        <v>943</v>
      </c>
      <c r="G815" s="20" t="s">
        <v>147</v>
      </c>
      <c r="H815" s="20" t="s">
        <v>148</v>
      </c>
      <c r="I815" s="20" t="s">
        <v>54</v>
      </c>
      <c r="J815" s="20" t="s">
        <v>466</v>
      </c>
      <c r="K815" s="20" t="s">
        <v>56</v>
      </c>
      <c r="L815" s="20" t="s">
        <v>36</v>
      </c>
      <c r="N815" s="20">
        <v>6</v>
      </c>
      <c r="O815" s="20" t="s">
        <v>88</v>
      </c>
      <c r="P815" s="20" t="s">
        <v>38</v>
      </c>
      <c r="Q815" s="20" t="s">
        <v>58</v>
      </c>
      <c r="R815" s="20" t="s">
        <v>59</v>
      </c>
      <c r="S815" s="20" t="s">
        <v>60</v>
      </c>
      <c r="T815" s="20" t="b">
        <v>1</v>
      </c>
      <c r="U815" s="20" t="s">
        <v>150</v>
      </c>
      <c r="V815" s="20" t="s">
        <v>40</v>
      </c>
      <c r="W815" s="20" t="s">
        <v>196</v>
      </c>
      <c r="X815" s="20" t="s">
        <v>197</v>
      </c>
      <c r="Y815" s="20">
        <v>1</v>
      </c>
      <c r="Z815" s="20">
        <v>1524</v>
      </c>
      <c r="AA815" s="20" t="s">
        <v>1730</v>
      </c>
      <c r="AB815" s="20" t="e">
        <v>#N/A</v>
      </c>
      <c r="AC815" s="20" t="s">
        <v>163</v>
      </c>
    </row>
    <row r="816" s="18" customFormat="1" spans="1:29">
      <c r="A816" s="18" t="s">
        <v>2105</v>
      </c>
      <c r="B816" s="25" t="s">
        <v>2105</v>
      </c>
      <c r="C816" s="26">
        <v>45688</v>
      </c>
      <c r="D816" s="18" t="s">
        <v>2106</v>
      </c>
      <c r="E816" s="18" t="str">
        <f t="shared" si="12"/>
        <v>Holiday Inn New Delhi (Eros Grand Resorts And Hotels Pvt Ltd)</v>
      </c>
      <c r="F816" s="27" t="s">
        <v>2107</v>
      </c>
      <c r="G816" s="18" t="s">
        <v>147</v>
      </c>
      <c r="H816" s="18" t="s">
        <v>148</v>
      </c>
      <c r="I816" s="18" t="s">
        <v>54</v>
      </c>
      <c r="J816" s="18" t="s">
        <v>1238</v>
      </c>
      <c r="K816" s="18" t="s">
        <v>56</v>
      </c>
      <c r="L816" s="18" t="s">
        <v>36</v>
      </c>
      <c r="N816" s="18">
        <v>6</v>
      </c>
      <c r="O816" s="18" t="s">
        <v>93</v>
      </c>
      <c r="P816" s="18" t="s">
        <v>38</v>
      </c>
      <c r="Q816" s="18" t="s">
        <v>58</v>
      </c>
      <c r="R816" s="18" t="s">
        <v>59</v>
      </c>
      <c r="S816" s="18" t="s">
        <v>60</v>
      </c>
      <c r="T816" s="18" t="b">
        <v>1</v>
      </c>
      <c r="U816" s="18" t="s">
        <v>150</v>
      </c>
      <c r="V816" s="18" t="s">
        <v>40</v>
      </c>
      <c r="W816" s="18" t="s">
        <v>61</v>
      </c>
      <c r="X816" s="18" t="s">
        <v>62</v>
      </c>
      <c r="Y816" s="18">
        <v>1</v>
      </c>
      <c r="Z816" s="18">
        <v>14000</v>
      </c>
      <c r="AA816" s="18" t="s">
        <v>63</v>
      </c>
      <c r="AB816" s="18" t="s">
        <v>64</v>
      </c>
      <c r="AC816" s="18" t="s">
        <v>163</v>
      </c>
    </row>
    <row r="817" s="18" customFormat="1" spans="1:29">
      <c r="A817" s="18" t="s">
        <v>2108</v>
      </c>
      <c r="B817" s="25" t="s">
        <v>2108</v>
      </c>
      <c r="C817" s="26">
        <v>45688</v>
      </c>
      <c r="D817" s="18" t="s">
        <v>244</v>
      </c>
      <c r="E817" s="18" t="str">
        <f t="shared" si="12"/>
        <v>Fairfield By Marriott Mumbai (Associated Hospitality Pvt Ltd)</v>
      </c>
      <c r="F817" s="27" t="s">
        <v>245</v>
      </c>
      <c r="G817" s="18" t="s">
        <v>182</v>
      </c>
      <c r="H817" s="18" t="s">
        <v>183</v>
      </c>
      <c r="I817" s="18" t="s">
        <v>54</v>
      </c>
      <c r="J817" s="18" t="s">
        <v>1238</v>
      </c>
      <c r="K817" s="18" t="s">
        <v>56</v>
      </c>
      <c r="L817" s="18" t="s">
        <v>36</v>
      </c>
      <c r="N817" s="18">
        <v>6</v>
      </c>
      <c r="O817" s="18" t="s">
        <v>93</v>
      </c>
      <c r="P817" s="18" t="s">
        <v>38</v>
      </c>
      <c r="Q817" s="18" t="s">
        <v>58</v>
      </c>
      <c r="R817" s="18" t="s">
        <v>59</v>
      </c>
      <c r="S817" s="18" t="s">
        <v>60</v>
      </c>
      <c r="T817" s="18" t="b">
        <v>0</v>
      </c>
      <c r="U817" s="18" t="s">
        <v>187</v>
      </c>
      <c r="V817" s="18" t="s">
        <v>40</v>
      </c>
      <c r="W817" s="18" t="s">
        <v>61</v>
      </c>
      <c r="X817" s="18" t="s">
        <v>62</v>
      </c>
      <c r="Y817" s="18">
        <v>1</v>
      </c>
      <c r="Z817" s="18">
        <v>45220</v>
      </c>
      <c r="AA817" s="18" t="s">
        <v>63</v>
      </c>
      <c r="AB817" s="18" t="s">
        <v>64</v>
      </c>
      <c r="AC817" s="18" t="s">
        <v>200</v>
      </c>
    </row>
    <row r="818" s="18" customFormat="1" ht="29" spans="1:29">
      <c r="A818" s="18" t="s">
        <v>2109</v>
      </c>
      <c r="B818" s="25" t="s">
        <v>2109</v>
      </c>
      <c r="C818" s="26">
        <v>45689</v>
      </c>
      <c r="D818" s="18" t="s">
        <v>1233</v>
      </c>
      <c r="E818" s="18" t="str">
        <f t="shared" si="12"/>
        <v>Megascule</v>
      </c>
      <c r="F818" s="27" t="e">
        <v>#N/A</v>
      </c>
      <c r="G818" s="18" t="s">
        <v>32</v>
      </c>
      <c r="H818" s="18" t="s">
        <v>33</v>
      </c>
      <c r="I818" s="18" t="s">
        <v>184</v>
      </c>
      <c r="J818" s="18" t="s">
        <v>728</v>
      </c>
      <c r="K818" s="18" t="s">
        <v>56</v>
      </c>
      <c r="L818" s="18" t="s">
        <v>36</v>
      </c>
      <c r="N818" s="18">
        <v>6</v>
      </c>
      <c r="O818" s="18" t="s">
        <v>88</v>
      </c>
      <c r="P818" s="18" t="s">
        <v>38</v>
      </c>
      <c r="Q818" s="18" t="s">
        <v>194</v>
      </c>
      <c r="R818" s="18" t="s">
        <v>59</v>
      </c>
      <c r="S818" s="18" t="s">
        <v>195</v>
      </c>
      <c r="T818" s="18" t="b">
        <v>1</v>
      </c>
      <c r="U818" s="18" t="s">
        <v>39</v>
      </c>
      <c r="V818" s="18" t="s">
        <v>40</v>
      </c>
      <c r="W818" s="18" t="s">
        <v>140</v>
      </c>
      <c r="X818" s="18" t="s">
        <v>141</v>
      </c>
      <c r="Y818" s="18">
        <v>1</v>
      </c>
      <c r="Z818" s="18">
        <v>61000</v>
      </c>
      <c r="AA818" s="31" t="s">
        <v>729</v>
      </c>
      <c r="AB818" s="18" t="s">
        <v>730</v>
      </c>
      <c r="AC818" s="18" t="s">
        <v>43</v>
      </c>
    </row>
    <row r="819" s="18" customFormat="1" ht="29" spans="1:29">
      <c r="A819" s="18" t="s">
        <v>2110</v>
      </c>
      <c r="B819" s="25" t="s">
        <v>2110</v>
      </c>
      <c r="C819" s="26">
        <v>45689</v>
      </c>
      <c r="D819" s="18" t="s">
        <v>632</v>
      </c>
      <c r="E819" s="18" t="str">
        <f t="shared" si="12"/>
        <v>Event Life</v>
      </c>
      <c r="F819" s="27" t="s">
        <v>633</v>
      </c>
      <c r="G819" s="18" t="s">
        <v>32</v>
      </c>
      <c r="H819" s="18" t="s">
        <v>33</v>
      </c>
      <c r="I819" s="18" t="s">
        <v>184</v>
      </c>
      <c r="J819" s="18" t="s">
        <v>1131</v>
      </c>
      <c r="K819" s="18" t="s">
        <v>56</v>
      </c>
      <c r="L819" s="18" t="s">
        <v>36</v>
      </c>
      <c r="N819" s="18">
        <v>6</v>
      </c>
      <c r="O819" s="18" t="s">
        <v>88</v>
      </c>
      <c r="P819" s="18" t="s">
        <v>38</v>
      </c>
      <c r="Q819" s="18" t="s">
        <v>194</v>
      </c>
      <c r="R819" s="18" t="s">
        <v>59</v>
      </c>
      <c r="S819" s="18" t="s">
        <v>195</v>
      </c>
      <c r="T819" s="18" t="b">
        <v>1</v>
      </c>
      <c r="U819" s="18" t="s">
        <v>39</v>
      </c>
      <c r="V819" s="18" t="s">
        <v>40</v>
      </c>
      <c r="W819" s="18" t="s">
        <v>371</v>
      </c>
      <c r="X819" s="18" t="s">
        <v>372</v>
      </c>
      <c r="Y819" s="18">
        <v>1</v>
      </c>
      <c r="Z819" s="18">
        <v>350000</v>
      </c>
      <c r="AA819" s="31" t="s">
        <v>2111</v>
      </c>
      <c r="AB819" s="18" t="s">
        <v>2112</v>
      </c>
      <c r="AC819" s="18" t="s">
        <v>43</v>
      </c>
    </row>
    <row r="820" s="18" customFormat="1" spans="1:29">
      <c r="A820" s="18" t="s">
        <v>2113</v>
      </c>
      <c r="B820" s="25" t="s">
        <v>2113</v>
      </c>
      <c r="C820" s="26">
        <v>45689</v>
      </c>
      <c r="D820" s="18" t="s">
        <v>78</v>
      </c>
      <c r="E820" s="18" t="str">
        <f t="shared" si="12"/>
        <v>K Vishwanath Gouda Rent</v>
      </c>
      <c r="F820" s="27" t="s">
        <v>79</v>
      </c>
      <c r="G820" s="18" t="s">
        <v>32</v>
      </c>
      <c r="H820" s="18" t="s">
        <v>33</v>
      </c>
      <c r="I820" s="18" t="s">
        <v>34</v>
      </c>
      <c r="K820" s="18" t="s">
        <v>35</v>
      </c>
      <c r="L820" s="18" t="s">
        <v>36</v>
      </c>
      <c r="N820" s="18">
        <v>6</v>
      </c>
      <c r="O820" s="18" t="s">
        <v>37</v>
      </c>
      <c r="P820" s="18" t="s">
        <v>38</v>
      </c>
      <c r="T820" s="18" t="b">
        <v>1</v>
      </c>
      <c r="U820" s="18" t="s">
        <v>39</v>
      </c>
      <c r="V820" s="18" t="s">
        <v>40</v>
      </c>
      <c r="W820" s="18" t="s">
        <v>80</v>
      </c>
      <c r="X820" s="18" t="s">
        <v>81</v>
      </c>
      <c r="Y820" s="18">
        <v>1</v>
      </c>
      <c r="Z820" s="18">
        <v>27500</v>
      </c>
      <c r="AC820" s="18" t="e">
        <v>#N/A</v>
      </c>
    </row>
    <row r="821" s="18" customFormat="1" spans="1:29">
      <c r="A821" s="18" t="s">
        <v>2114</v>
      </c>
      <c r="B821" s="25" t="s">
        <v>2114</v>
      </c>
      <c r="C821" s="26">
        <v>45689</v>
      </c>
      <c r="D821" s="18" t="s">
        <v>68</v>
      </c>
      <c r="E821" s="18" t="str">
        <f t="shared" si="12"/>
        <v>Lynx Security &amp; Detectives Services (P) Ltd</v>
      </c>
      <c r="F821" s="27" t="s">
        <v>69</v>
      </c>
      <c r="G821" s="18" t="s">
        <v>32</v>
      </c>
      <c r="H821" s="18" t="s">
        <v>33</v>
      </c>
      <c r="I821" s="18" t="s">
        <v>34</v>
      </c>
      <c r="K821" s="18" t="s">
        <v>35</v>
      </c>
      <c r="L821" s="18" t="s">
        <v>36</v>
      </c>
      <c r="N821" s="18">
        <v>6</v>
      </c>
      <c r="O821" s="18" t="s">
        <v>37</v>
      </c>
      <c r="P821" s="18" t="s">
        <v>38</v>
      </c>
      <c r="T821" s="18" t="b">
        <v>1</v>
      </c>
      <c r="U821" s="18" t="s">
        <v>39</v>
      </c>
      <c r="V821" s="18" t="s">
        <v>40</v>
      </c>
      <c r="W821" s="18" t="s">
        <v>70</v>
      </c>
      <c r="X821" s="18" t="s">
        <v>70</v>
      </c>
      <c r="Y821" s="18">
        <v>1</v>
      </c>
      <c r="Z821" s="18">
        <v>48991</v>
      </c>
      <c r="AA821" s="18" t="s">
        <v>71</v>
      </c>
      <c r="AB821" s="18" t="s">
        <v>72</v>
      </c>
      <c r="AC821" s="18" t="s">
        <v>43</v>
      </c>
    </row>
    <row r="822" s="18" customFormat="1" spans="1:29">
      <c r="A822" s="18" t="s">
        <v>2115</v>
      </c>
      <c r="B822" s="25" t="s">
        <v>2115</v>
      </c>
      <c r="C822" s="26">
        <v>45689</v>
      </c>
      <c r="D822" s="18" t="s">
        <v>74</v>
      </c>
      <c r="E822" s="18" t="str">
        <f t="shared" si="12"/>
        <v>Mayur Enterprises</v>
      </c>
      <c r="F822" s="27" t="s">
        <v>75</v>
      </c>
      <c r="G822" s="18" t="s">
        <v>32</v>
      </c>
      <c r="H822" s="18" t="s">
        <v>33</v>
      </c>
      <c r="I822" s="18" t="s">
        <v>34</v>
      </c>
      <c r="K822" s="18" t="s">
        <v>35</v>
      </c>
      <c r="L822" s="18" t="s">
        <v>36</v>
      </c>
      <c r="N822" s="18">
        <v>6</v>
      </c>
      <c r="O822" s="18" t="s">
        <v>37</v>
      </c>
      <c r="P822" s="18" t="s">
        <v>38</v>
      </c>
      <c r="T822" s="18" t="b">
        <v>1</v>
      </c>
      <c r="U822" s="18" t="s">
        <v>39</v>
      </c>
      <c r="V822" s="18" t="s">
        <v>40</v>
      </c>
      <c r="W822" s="18" t="s">
        <v>76</v>
      </c>
      <c r="X822" s="18" t="s">
        <v>676</v>
      </c>
      <c r="Y822" s="18">
        <v>1</v>
      </c>
      <c r="Z822" s="18">
        <v>70</v>
      </c>
      <c r="AC822" s="18" t="s">
        <v>76</v>
      </c>
    </row>
    <row r="823" s="18" customFormat="1" spans="1:29">
      <c r="A823" s="18" t="s">
        <v>2116</v>
      </c>
      <c r="B823" s="25" t="s">
        <v>2116</v>
      </c>
      <c r="C823" s="26">
        <v>45689</v>
      </c>
      <c r="D823" s="18" t="s">
        <v>83</v>
      </c>
      <c r="E823" s="18" t="str">
        <f t="shared" si="12"/>
        <v>K</v>
      </c>
      <c r="F823" s="27" t="e">
        <v>#N/A</v>
      </c>
      <c r="G823" s="18" t="s">
        <v>32</v>
      </c>
      <c r="H823" s="18" t="s">
        <v>33</v>
      </c>
      <c r="I823" s="18" t="s">
        <v>34</v>
      </c>
      <c r="K823" s="18" t="s">
        <v>35</v>
      </c>
      <c r="L823" s="18" t="s">
        <v>36</v>
      </c>
      <c r="N823" s="18">
        <v>6</v>
      </c>
      <c r="O823" s="18" t="s">
        <v>57</v>
      </c>
      <c r="P823" s="18" t="s">
        <v>38</v>
      </c>
      <c r="T823" s="18" t="b">
        <v>1</v>
      </c>
      <c r="U823" s="18" t="s">
        <v>39</v>
      </c>
      <c r="V823" s="18" t="s">
        <v>40</v>
      </c>
      <c r="W823" s="18" t="s">
        <v>84</v>
      </c>
      <c r="X823" s="18" t="s">
        <v>84</v>
      </c>
      <c r="Y823" s="18">
        <v>1</v>
      </c>
      <c r="Z823" s="18">
        <v>3500</v>
      </c>
      <c r="AC823" s="18" t="s">
        <v>43</v>
      </c>
    </row>
    <row r="824" s="18" customFormat="1" spans="1:29">
      <c r="A824" s="18" t="s">
        <v>2117</v>
      </c>
      <c r="B824" s="25" t="s">
        <v>2117</v>
      </c>
      <c r="C824" s="26">
        <v>45689</v>
      </c>
      <c r="D824" s="18" t="s">
        <v>48</v>
      </c>
      <c r="E824" s="18" t="str">
        <f t="shared" si="12"/>
        <v>H P Ramareddy Utility</v>
      </c>
      <c r="F824" s="27" t="s">
        <v>49</v>
      </c>
      <c r="G824" s="18" t="s">
        <v>32</v>
      </c>
      <c r="H824" s="18" t="s">
        <v>33</v>
      </c>
      <c r="I824" s="18" t="s">
        <v>34</v>
      </c>
      <c r="K824" s="18" t="s">
        <v>35</v>
      </c>
      <c r="L824" s="18" t="s">
        <v>36</v>
      </c>
      <c r="N824" s="18">
        <v>6</v>
      </c>
      <c r="O824" s="18" t="s">
        <v>37</v>
      </c>
      <c r="P824" s="18" t="s">
        <v>38</v>
      </c>
      <c r="T824" s="18" t="b">
        <v>1</v>
      </c>
      <c r="U824" s="18" t="s">
        <v>39</v>
      </c>
      <c r="V824" s="18" t="s">
        <v>40</v>
      </c>
      <c r="W824" s="18" t="s">
        <v>50</v>
      </c>
      <c r="X824" s="18" t="s">
        <v>50</v>
      </c>
      <c r="Y824" s="18">
        <v>1</v>
      </c>
      <c r="Z824" s="18">
        <v>4000</v>
      </c>
      <c r="AC824" s="18" t="e">
        <v>#N/A</v>
      </c>
    </row>
    <row r="825" s="19" customFormat="1" spans="1:29">
      <c r="A825" s="19" t="s">
        <v>2118</v>
      </c>
      <c r="B825" s="28" t="s">
        <v>2118</v>
      </c>
      <c r="C825" s="29">
        <v>45689</v>
      </c>
      <c r="D825" s="19" t="s">
        <v>48</v>
      </c>
      <c r="E825" s="19" t="str">
        <f t="shared" si="12"/>
        <v>H P Ramareddy Utility</v>
      </c>
      <c r="F825" s="30" t="s">
        <v>49</v>
      </c>
      <c r="G825" s="19" t="s">
        <v>32</v>
      </c>
      <c r="H825" s="19" t="s">
        <v>33</v>
      </c>
      <c r="I825" s="19" t="s">
        <v>34</v>
      </c>
      <c r="K825" s="19" t="s">
        <v>35</v>
      </c>
      <c r="L825" s="19" t="s">
        <v>36</v>
      </c>
      <c r="N825" s="19">
        <v>6</v>
      </c>
      <c r="O825" s="19" t="s">
        <v>37</v>
      </c>
      <c r="P825" s="19" t="s">
        <v>38</v>
      </c>
      <c r="T825" s="19" t="b">
        <v>1</v>
      </c>
      <c r="U825" s="19" t="s">
        <v>39</v>
      </c>
      <c r="V825" s="19" t="s">
        <v>40</v>
      </c>
      <c r="W825" s="19" t="s">
        <v>66</v>
      </c>
      <c r="X825" s="19" t="e">
        <v>#N/A</v>
      </c>
      <c r="Y825" s="19">
        <v>1</v>
      </c>
      <c r="Z825" s="19">
        <v>17901</v>
      </c>
      <c r="AC825" s="19" t="e">
        <v>#N/A</v>
      </c>
    </row>
    <row r="826" s="18" customFormat="1" spans="1:29">
      <c r="A826" s="18" t="s">
        <v>2119</v>
      </c>
      <c r="B826" s="25" t="s">
        <v>2119</v>
      </c>
      <c r="C826" s="26">
        <v>45689</v>
      </c>
      <c r="D826" s="18" t="s">
        <v>1857</v>
      </c>
      <c r="E826" s="18" t="str">
        <f t="shared" si="12"/>
        <v>Gpm Xpress Logistics Pvt Ltd</v>
      </c>
      <c r="F826" s="27" t="s">
        <v>1858</v>
      </c>
      <c r="G826" s="18" t="s">
        <v>32</v>
      </c>
      <c r="H826" s="18" t="s">
        <v>33</v>
      </c>
      <c r="I826" s="18" t="s">
        <v>34</v>
      </c>
      <c r="J826" s="18" t="s">
        <v>1512</v>
      </c>
      <c r="K826" s="18" t="s">
        <v>56</v>
      </c>
      <c r="L826" s="18" t="s">
        <v>36</v>
      </c>
      <c r="N826" s="18">
        <v>6</v>
      </c>
      <c r="O826" s="18" t="s">
        <v>88</v>
      </c>
      <c r="P826" s="18" t="s">
        <v>38</v>
      </c>
      <c r="Q826" s="18" t="s">
        <v>117</v>
      </c>
      <c r="R826" s="18" t="s">
        <v>59</v>
      </c>
      <c r="S826" s="18" t="s">
        <v>118</v>
      </c>
      <c r="T826" s="18" t="b">
        <v>1</v>
      </c>
      <c r="U826" s="18" t="s">
        <v>39</v>
      </c>
      <c r="V826" s="18" t="s">
        <v>40</v>
      </c>
      <c r="W826" s="18" t="s">
        <v>205</v>
      </c>
      <c r="X826" s="18" t="s">
        <v>205</v>
      </c>
      <c r="Y826" s="18">
        <v>1</v>
      </c>
      <c r="Z826" s="18">
        <v>10000</v>
      </c>
      <c r="AA826" s="18" t="s">
        <v>121</v>
      </c>
      <c r="AB826" s="18" t="s">
        <v>122</v>
      </c>
      <c r="AC826" s="18" t="s">
        <v>43</v>
      </c>
    </row>
    <row r="827" s="18" customFormat="1" spans="1:29">
      <c r="A827" s="18" t="s">
        <v>2120</v>
      </c>
      <c r="B827" s="25" t="s">
        <v>2120</v>
      </c>
      <c r="C827" s="26">
        <v>45689</v>
      </c>
      <c r="D827" s="18" t="s">
        <v>113</v>
      </c>
      <c r="E827" s="18" t="str">
        <f t="shared" si="12"/>
        <v>Siva Sankar Cabs</v>
      </c>
      <c r="F827" s="27" t="s">
        <v>114</v>
      </c>
      <c r="G827" s="18" t="s">
        <v>32</v>
      </c>
      <c r="H827" s="18" t="s">
        <v>33</v>
      </c>
      <c r="I827" s="18" t="s">
        <v>34</v>
      </c>
      <c r="J827" s="18" t="s">
        <v>1512</v>
      </c>
      <c r="K827" s="18" t="s">
        <v>56</v>
      </c>
      <c r="L827" s="18" t="s">
        <v>36</v>
      </c>
      <c r="N827" s="18">
        <v>6</v>
      </c>
      <c r="O827" s="18" t="s">
        <v>57</v>
      </c>
      <c r="P827" s="18" t="s">
        <v>38</v>
      </c>
      <c r="Q827" s="18" t="s">
        <v>117</v>
      </c>
      <c r="R827" s="18" t="s">
        <v>59</v>
      </c>
      <c r="S827" s="18" t="s">
        <v>118</v>
      </c>
      <c r="T827" s="18" t="b">
        <v>1</v>
      </c>
      <c r="U827" s="18" t="s">
        <v>39</v>
      </c>
      <c r="V827" s="18" t="s">
        <v>40</v>
      </c>
      <c r="W827" s="18" t="s">
        <v>119</v>
      </c>
      <c r="X827" s="18" t="s">
        <v>120</v>
      </c>
      <c r="Y827" s="18">
        <v>1</v>
      </c>
      <c r="Z827" s="18">
        <v>2000</v>
      </c>
      <c r="AA827" s="18" t="s">
        <v>121</v>
      </c>
      <c r="AB827" s="18" t="s">
        <v>122</v>
      </c>
      <c r="AC827" s="18" t="e">
        <v>#N/A</v>
      </c>
    </row>
    <row r="828" s="18" customFormat="1" spans="1:29">
      <c r="A828" s="18" t="s">
        <v>2121</v>
      </c>
      <c r="B828" s="25" t="s">
        <v>2121</v>
      </c>
      <c r="C828" s="26">
        <v>45689</v>
      </c>
      <c r="D828" s="18" t="s">
        <v>628</v>
      </c>
      <c r="E828" s="18" t="str">
        <f t="shared" si="12"/>
        <v>New Print House</v>
      </c>
      <c r="F828" s="27" t="s">
        <v>629</v>
      </c>
      <c r="G828" s="18" t="s">
        <v>32</v>
      </c>
      <c r="H828" s="18" t="s">
        <v>33</v>
      </c>
      <c r="I828" s="18" t="s">
        <v>34</v>
      </c>
      <c r="J828" s="18" t="s">
        <v>2122</v>
      </c>
      <c r="K828" s="18" t="s">
        <v>56</v>
      </c>
      <c r="L828" s="18" t="s">
        <v>36</v>
      </c>
      <c r="N828" s="18">
        <v>6</v>
      </c>
      <c r="O828" s="18" t="s">
        <v>88</v>
      </c>
      <c r="P828" s="18" t="s">
        <v>38</v>
      </c>
      <c r="Q828" s="18" t="s">
        <v>194</v>
      </c>
      <c r="R828" s="18" t="s">
        <v>59</v>
      </c>
      <c r="S828" s="18" t="s">
        <v>195</v>
      </c>
      <c r="T828" s="18" t="b">
        <v>1</v>
      </c>
      <c r="U828" s="18" t="s">
        <v>39</v>
      </c>
      <c r="V828" s="18" t="s">
        <v>40</v>
      </c>
      <c r="W828" s="18" t="s">
        <v>196</v>
      </c>
      <c r="X828" s="18" t="s">
        <v>197</v>
      </c>
      <c r="Y828" s="18">
        <v>1</v>
      </c>
      <c r="Z828" s="18">
        <v>45000</v>
      </c>
      <c r="AA828" s="18" t="s">
        <v>622</v>
      </c>
      <c r="AB828" s="18" t="s">
        <v>623</v>
      </c>
      <c r="AC828" s="18" t="s">
        <v>43</v>
      </c>
    </row>
    <row r="829" s="18" customFormat="1" spans="1:29">
      <c r="A829" s="18" t="s">
        <v>2123</v>
      </c>
      <c r="B829" s="25" t="s">
        <v>2123</v>
      </c>
      <c r="C829" s="26">
        <v>45689</v>
      </c>
      <c r="D829" s="18" t="s">
        <v>2124</v>
      </c>
      <c r="E829" s="18" t="str">
        <f t="shared" si="12"/>
        <v>Print With Me Pvt Ltd</v>
      </c>
      <c r="F829" s="27" t="s">
        <v>2125</v>
      </c>
      <c r="G829" s="18" t="s">
        <v>32</v>
      </c>
      <c r="H829" s="18" t="s">
        <v>33</v>
      </c>
      <c r="I829" s="18" t="s">
        <v>34</v>
      </c>
      <c r="J829" s="18" t="s">
        <v>2122</v>
      </c>
      <c r="K829" s="18" t="s">
        <v>56</v>
      </c>
      <c r="L829" s="18" t="s">
        <v>36</v>
      </c>
      <c r="N829" s="18">
        <v>6</v>
      </c>
      <c r="O829" s="18" t="s">
        <v>88</v>
      </c>
      <c r="P829" s="18" t="s">
        <v>38</v>
      </c>
      <c r="Q829" s="18" t="s">
        <v>194</v>
      </c>
      <c r="R829" s="18" t="s">
        <v>59</v>
      </c>
      <c r="S829" s="18" t="s">
        <v>195</v>
      </c>
      <c r="T829" s="18" t="b">
        <v>1</v>
      </c>
      <c r="U829" s="18" t="s">
        <v>39</v>
      </c>
      <c r="V829" s="18" t="s">
        <v>40</v>
      </c>
      <c r="W829" s="18" t="s">
        <v>196</v>
      </c>
      <c r="X829" s="18" t="s">
        <v>197</v>
      </c>
      <c r="Y829" s="18">
        <v>1</v>
      </c>
      <c r="Z829" s="18">
        <v>270000</v>
      </c>
      <c r="AA829" s="18" t="s">
        <v>622</v>
      </c>
      <c r="AB829" s="18" t="s">
        <v>623</v>
      </c>
      <c r="AC829" s="18" t="s">
        <v>43</v>
      </c>
    </row>
    <row r="830" s="18" customFormat="1" spans="1:29">
      <c r="A830" s="18" t="s">
        <v>2126</v>
      </c>
      <c r="B830" s="25" t="s">
        <v>2126</v>
      </c>
      <c r="C830" s="26">
        <v>45689</v>
      </c>
      <c r="D830" s="18" t="s">
        <v>644</v>
      </c>
      <c r="E830" s="18" t="str">
        <f t="shared" si="12"/>
        <v>Blue Gem Entertainment and Events</v>
      </c>
      <c r="F830" s="27" t="s">
        <v>645</v>
      </c>
      <c r="G830" s="18" t="s">
        <v>32</v>
      </c>
      <c r="H830" s="18" t="s">
        <v>33</v>
      </c>
      <c r="I830" s="18" t="s">
        <v>34</v>
      </c>
      <c r="J830" s="18" t="s">
        <v>2122</v>
      </c>
      <c r="K830" s="18" t="s">
        <v>56</v>
      </c>
      <c r="L830" s="18" t="s">
        <v>36</v>
      </c>
      <c r="N830" s="18">
        <v>6</v>
      </c>
      <c r="O830" s="18" t="s">
        <v>88</v>
      </c>
      <c r="P830" s="18" t="s">
        <v>38</v>
      </c>
      <c r="Q830" s="18" t="s">
        <v>194</v>
      </c>
      <c r="R830" s="18" t="s">
        <v>59</v>
      </c>
      <c r="S830" s="18" t="s">
        <v>195</v>
      </c>
      <c r="T830" s="18" t="b">
        <v>1</v>
      </c>
      <c r="U830" s="18" t="s">
        <v>39</v>
      </c>
      <c r="V830" s="18" t="s">
        <v>40</v>
      </c>
      <c r="W830" s="18" t="s">
        <v>292</v>
      </c>
      <c r="X830" s="18" t="s">
        <v>293</v>
      </c>
      <c r="Y830" s="18">
        <v>1</v>
      </c>
      <c r="Z830" s="18">
        <v>50000</v>
      </c>
      <c r="AA830" s="18" t="s">
        <v>622</v>
      </c>
      <c r="AB830" s="18" t="s">
        <v>623</v>
      </c>
      <c r="AC830" s="18" t="s">
        <v>43</v>
      </c>
    </row>
    <row r="831" s="18" customFormat="1" spans="1:29">
      <c r="A831" s="18" t="s">
        <v>2127</v>
      </c>
      <c r="B831" s="25" t="s">
        <v>2127</v>
      </c>
      <c r="C831" s="26">
        <v>45689</v>
      </c>
      <c r="D831" s="18" t="s">
        <v>218</v>
      </c>
      <c r="E831" s="18" t="str">
        <f t="shared" si="12"/>
        <v>Tata Teleservices Ltd</v>
      </c>
      <c r="F831" s="27" t="s">
        <v>219</v>
      </c>
      <c r="G831" s="18" t="s">
        <v>32</v>
      </c>
      <c r="H831" s="18" t="s">
        <v>33</v>
      </c>
      <c r="I831" s="18" t="s">
        <v>34</v>
      </c>
      <c r="K831" s="18" t="s">
        <v>35</v>
      </c>
      <c r="L831" s="18" t="s">
        <v>36</v>
      </c>
      <c r="N831" s="18">
        <v>6</v>
      </c>
      <c r="O831" s="18" t="s">
        <v>93</v>
      </c>
      <c r="P831" s="18" t="s">
        <v>38</v>
      </c>
      <c r="T831" s="18" t="b">
        <v>1</v>
      </c>
      <c r="U831" s="18" t="s">
        <v>39</v>
      </c>
      <c r="V831" s="18" t="s">
        <v>40</v>
      </c>
      <c r="W831" s="18" t="s">
        <v>94</v>
      </c>
      <c r="X831" s="18" t="s">
        <v>95</v>
      </c>
      <c r="Y831" s="18">
        <v>1</v>
      </c>
      <c r="Z831" s="18">
        <v>93750</v>
      </c>
      <c r="AA831" s="18" t="s">
        <v>89</v>
      </c>
      <c r="AB831" s="18" t="s">
        <v>90</v>
      </c>
      <c r="AC831" s="18" t="s">
        <v>43</v>
      </c>
    </row>
    <row r="832" s="18" customFormat="1" ht="29" spans="1:29">
      <c r="A832" s="18" t="s">
        <v>2128</v>
      </c>
      <c r="B832" s="25" t="s">
        <v>2128</v>
      </c>
      <c r="C832" s="26">
        <v>45689</v>
      </c>
      <c r="D832" s="18" t="s">
        <v>1141</v>
      </c>
      <c r="E832" s="18" t="str">
        <f t="shared" si="12"/>
        <v>Eco Prints</v>
      </c>
      <c r="F832" s="27" t="s">
        <v>1142</v>
      </c>
      <c r="G832" s="18" t="s">
        <v>99</v>
      </c>
      <c r="H832" s="18" t="s">
        <v>100</v>
      </c>
      <c r="I832" s="18" t="s">
        <v>184</v>
      </c>
      <c r="J832" s="18" t="s">
        <v>1512</v>
      </c>
      <c r="K832" s="18" t="s">
        <v>56</v>
      </c>
      <c r="L832" s="18" t="s">
        <v>36</v>
      </c>
      <c r="N832" s="18">
        <v>6</v>
      </c>
      <c r="O832" s="18" t="s">
        <v>88</v>
      </c>
      <c r="P832" s="18" t="s">
        <v>38</v>
      </c>
      <c r="Q832" s="18" t="s">
        <v>117</v>
      </c>
      <c r="R832" s="18" t="s">
        <v>59</v>
      </c>
      <c r="S832" s="18" t="s">
        <v>118</v>
      </c>
      <c r="T832" s="18" t="b">
        <v>1</v>
      </c>
      <c r="U832" s="18" t="s">
        <v>101</v>
      </c>
      <c r="V832" s="18" t="s">
        <v>40</v>
      </c>
      <c r="W832" s="18" t="s">
        <v>196</v>
      </c>
      <c r="X832" s="18" t="s">
        <v>197</v>
      </c>
      <c r="Y832" s="18">
        <v>1</v>
      </c>
      <c r="Z832" s="18">
        <v>12974</v>
      </c>
      <c r="AA832" s="31" t="s">
        <v>1143</v>
      </c>
      <c r="AB832" s="18" t="s">
        <v>514</v>
      </c>
      <c r="AC832" s="18" t="s">
        <v>111</v>
      </c>
    </row>
    <row r="833" s="18" customFormat="1" spans="1:29">
      <c r="A833" s="18" t="s">
        <v>2129</v>
      </c>
      <c r="B833" s="25" t="s">
        <v>2129</v>
      </c>
      <c r="C833" s="26">
        <v>45689</v>
      </c>
      <c r="D833" s="18" t="s">
        <v>2130</v>
      </c>
      <c r="E833" s="18" t="str">
        <f t="shared" si="12"/>
        <v>Live Productions</v>
      </c>
      <c r="F833" s="27" t="s">
        <v>2131</v>
      </c>
      <c r="G833" s="18" t="s">
        <v>99</v>
      </c>
      <c r="H833" s="18" t="s">
        <v>100</v>
      </c>
      <c r="I833" s="18" t="s">
        <v>34</v>
      </c>
      <c r="J833" s="18" t="s">
        <v>1512</v>
      </c>
      <c r="K833" s="18" t="s">
        <v>56</v>
      </c>
      <c r="L833" s="18" t="s">
        <v>36</v>
      </c>
      <c r="N833" s="18">
        <v>6</v>
      </c>
      <c r="O833" s="18" t="s">
        <v>57</v>
      </c>
      <c r="P833" s="18" t="s">
        <v>38</v>
      </c>
      <c r="Q833" s="18" t="s">
        <v>117</v>
      </c>
      <c r="R833" s="18" t="s">
        <v>59</v>
      </c>
      <c r="S833" s="18" t="s">
        <v>118</v>
      </c>
      <c r="T833" s="18" t="b">
        <v>1</v>
      </c>
      <c r="U833" s="18" t="s">
        <v>101</v>
      </c>
      <c r="V833" s="18" t="s">
        <v>40</v>
      </c>
      <c r="W833" s="18" t="s">
        <v>371</v>
      </c>
      <c r="X833" s="18" t="s">
        <v>372</v>
      </c>
      <c r="Y833" s="18">
        <v>1</v>
      </c>
      <c r="Z833" s="18">
        <v>90000</v>
      </c>
      <c r="AA833" s="18" t="s">
        <v>121</v>
      </c>
      <c r="AB833" s="18" t="s">
        <v>122</v>
      </c>
      <c r="AC833" s="18" t="s">
        <v>111</v>
      </c>
    </row>
    <row r="834" s="18" customFormat="1" spans="1:29">
      <c r="A834" s="18" t="s">
        <v>2132</v>
      </c>
      <c r="B834" s="25" t="s">
        <v>2132</v>
      </c>
      <c r="C834" s="26">
        <v>45689</v>
      </c>
      <c r="D834" s="18" t="s">
        <v>109</v>
      </c>
      <c r="E834" s="18" t="str">
        <f t="shared" si="12"/>
        <v>Unicare Hospitality Services Pvt Ltd</v>
      </c>
      <c r="F834" s="27" t="s">
        <v>110</v>
      </c>
      <c r="G834" s="18" t="s">
        <v>99</v>
      </c>
      <c r="H834" s="18" t="s">
        <v>100</v>
      </c>
      <c r="I834" s="18" t="s">
        <v>34</v>
      </c>
      <c r="K834" s="18" t="s">
        <v>35</v>
      </c>
      <c r="L834" s="18" t="s">
        <v>36</v>
      </c>
      <c r="N834" s="18">
        <v>6</v>
      </c>
      <c r="O834" s="18" t="s">
        <v>88</v>
      </c>
      <c r="P834" s="18" t="s">
        <v>38</v>
      </c>
      <c r="T834" s="18" t="b">
        <v>1</v>
      </c>
      <c r="U834" s="18" t="s">
        <v>101</v>
      </c>
      <c r="V834" s="18" t="s">
        <v>40</v>
      </c>
      <c r="W834" s="18" t="s">
        <v>70</v>
      </c>
      <c r="X834" s="18" t="s">
        <v>70</v>
      </c>
      <c r="Y834" s="18">
        <v>1</v>
      </c>
      <c r="Z834" s="18">
        <v>22800.81</v>
      </c>
      <c r="AA834" s="18" t="s">
        <v>102</v>
      </c>
      <c r="AB834" s="18" t="s">
        <v>103</v>
      </c>
      <c r="AC834" s="18" t="s">
        <v>111</v>
      </c>
    </row>
    <row r="835" s="18" customFormat="1" spans="1:29">
      <c r="A835" s="18" t="s">
        <v>2133</v>
      </c>
      <c r="B835" s="25" t="s">
        <v>2133</v>
      </c>
      <c r="C835" s="26">
        <v>45689</v>
      </c>
      <c r="D835" s="18" t="s">
        <v>97</v>
      </c>
      <c r="E835" s="18" t="str">
        <f t="shared" ref="E835:E898" si="13">_xlfn.TEXTBEFORE(D835,"-")</f>
        <v>Elsie Mathew</v>
      </c>
      <c r="F835" s="27" t="s">
        <v>98</v>
      </c>
      <c r="G835" s="18" t="s">
        <v>99</v>
      </c>
      <c r="H835" s="18" t="s">
        <v>100</v>
      </c>
      <c r="I835" s="18" t="s">
        <v>34</v>
      </c>
      <c r="K835" s="18" t="s">
        <v>35</v>
      </c>
      <c r="L835" s="18" t="s">
        <v>36</v>
      </c>
      <c r="N835" s="18">
        <v>6</v>
      </c>
      <c r="O835" s="18" t="s">
        <v>37</v>
      </c>
      <c r="P835" s="18" t="s">
        <v>38</v>
      </c>
      <c r="T835" s="18" t="b">
        <v>1</v>
      </c>
      <c r="U835" s="18" t="s">
        <v>101</v>
      </c>
      <c r="V835" s="18" t="s">
        <v>40</v>
      </c>
      <c r="W835" s="18" t="s">
        <v>41</v>
      </c>
      <c r="X835" s="18" t="s">
        <v>42</v>
      </c>
      <c r="Y835" s="18">
        <v>1</v>
      </c>
      <c r="Z835" s="18">
        <v>73500</v>
      </c>
      <c r="AA835" s="18" t="s">
        <v>102</v>
      </c>
      <c r="AB835" s="18" t="s">
        <v>103</v>
      </c>
      <c r="AC835" s="18" t="e">
        <v>#N/A</v>
      </c>
    </row>
    <row r="836" s="19" customFormat="1" spans="1:29">
      <c r="A836" s="19" t="s">
        <v>2134</v>
      </c>
      <c r="B836" s="28" t="s">
        <v>2134</v>
      </c>
      <c r="C836" s="29">
        <v>45689</v>
      </c>
      <c r="D836" s="19" t="s">
        <v>105</v>
      </c>
      <c r="E836" s="19" t="str">
        <f t="shared" si="13"/>
        <v>Race View Tower Association</v>
      </c>
      <c r="F836" s="30" t="s">
        <v>106</v>
      </c>
      <c r="G836" s="19" t="s">
        <v>99</v>
      </c>
      <c r="H836" s="19" t="s">
        <v>100</v>
      </c>
      <c r="I836" s="19" t="s">
        <v>34</v>
      </c>
      <c r="K836" s="19" t="s">
        <v>35</v>
      </c>
      <c r="L836" s="19" t="s">
        <v>36</v>
      </c>
      <c r="N836" s="19">
        <v>6</v>
      </c>
      <c r="O836" s="19" t="s">
        <v>57</v>
      </c>
      <c r="P836" s="19" t="s">
        <v>38</v>
      </c>
      <c r="T836" s="19" t="b">
        <v>1</v>
      </c>
      <c r="U836" s="19" t="s">
        <v>101</v>
      </c>
      <c r="V836" s="19" t="s">
        <v>40</v>
      </c>
      <c r="W836" s="19" t="s">
        <v>107</v>
      </c>
      <c r="X836" s="19" t="e">
        <v>#N/A</v>
      </c>
      <c r="Y836" s="19">
        <v>1</v>
      </c>
      <c r="Z836" s="19">
        <v>4000</v>
      </c>
      <c r="AA836" s="19" t="s">
        <v>102</v>
      </c>
      <c r="AB836" s="19" t="s">
        <v>103</v>
      </c>
      <c r="AC836" s="19" t="e">
        <v>#N/A</v>
      </c>
    </row>
    <row r="837" s="18" customFormat="1" spans="1:29">
      <c r="A837" s="18" t="s">
        <v>2135</v>
      </c>
      <c r="B837" s="25" t="s">
        <v>2135</v>
      </c>
      <c r="C837" s="26">
        <v>45689</v>
      </c>
      <c r="D837" s="18" t="s">
        <v>1029</v>
      </c>
      <c r="E837" s="18" t="str">
        <f t="shared" si="13"/>
        <v>Pankaj Kumar Mishra  </v>
      </c>
      <c r="F837" s="27" t="e">
        <v>#N/A</v>
      </c>
      <c r="G837" s="18" t="s">
        <v>147</v>
      </c>
      <c r="H837" s="18" t="s">
        <v>148</v>
      </c>
      <c r="I837" s="18" t="s">
        <v>207</v>
      </c>
      <c r="J837" s="18" t="s">
        <v>466</v>
      </c>
      <c r="K837" s="18" t="s">
        <v>56</v>
      </c>
      <c r="L837" s="18" t="s">
        <v>36</v>
      </c>
      <c r="N837" s="18">
        <v>6</v>
      </c>
      <c r="O837" s="18" t="s">
        <v>93</v>
      </c>
      <c r="P837" s="18" t="s">
        <v>38</v>
      </c>
      <c r="Q837" s="18" t="s">
        <v>58</v>
      </c>
      <c r="R837" s="18" t="s">
        <v>59</v>
      </c>
      <c r="S837" s="18" t="s">
        <v>60</v>
      </c>
      <c r="T837" s="18" t="b">
        <v>1</v>
      </c>
      <c r="U837" s="18" t="s">
        <v>150</v>
      </c>
      <c r="V837" s="18" t="s">
        <v>40</v>
      </c>
      <c r="W837" s="18" t="s">
        <v>1055</v>
      </c>
      <c r="X837" s="18" t="s">
        <v>1056</v>
      </c>
      <c r="Y837" s="18">
        <v>1</v>
      </c>
      <c r="Z837" s="18">
        <v>17600</v>
      </c>
      <c r="AA837" s="18" t="s">
        <v>1524</v>
      </c>
      <c r="AB837" s="18" t="s">
        <v>228</v>
      </c>
      <c r="AC837" s="18" t="e">
        <v>#N/A</v>
      </c>
    </row>
    <row r="838" s="18" customFormat="1" spans="1:29">
      <c r="A838" s="18" t="s">
        <v>2136</v>
      </c>
      <c r="B838" s="25" t="s">
        <v>2136</v>
      </c>
      <c r="C838" s="26">
        <v>45689</v>
      </c>
      <c r="D838" s="18" t="s">
        <v>1029</v>
      </c>
      <c r="E838" s="18" t="str">
        <f t="shared" si="13"/>
        <v>Pankaj Kumar Mishra  </v>
      </c>
      <c r="F838" s="27" t="e">
        <v>#N/A</v>
      </c>
      <c r="G838" s="18" t="s">
        <v>147</v>
      </c>
      <c r="H838" s="18" t="s">
        <v>148</v>
      </c>
      <c r="I838" s="18" t="s">
        <v>207</v>
      </c>
      <c r="J838" s="18" t="s">
        <v>149</v>
      </c>
      <c r="K838" s="18" t="s">
        <v>56</v>
      </c>
      <c r="L838" s="18" t="s">
        <v>36</v>
      </c>
      <c r="N838" s="18">
        <v>6</v>
      </c>
      <c r="O838" s="18" t="s">
        <v>93</v>
      </c>
      <c r="P838" s="18" t="s">
        <v>38</v>
      </c>
      <c r="Q838" s="18" t="s">
        <v>58</v>
      </c>
      <c r="R838" s="18" t="s">
        <v>59</v>
      </c>
      <c r="S838" s="18" t="s">
        <v>60</v>
      </c>
      <c r="T838" s="18" t="b">
        <v>1</v>
      </c>
      <c r="U838" s="18" t="s">
        <v>150</v>
      </c>
      <c r="V838" s="18" t="s">
        <v>40</v>
      </c>
      <c r="W838" s="18" t="s">
        <v>1055</v>
      </c>
      <c r="X838" s="18" t="s">
        <v>1056</v>
      </c>
      <c r="Y838" s="18">
        <v>1</v>
      </c>
      <c r="Z838" s="18">
        <v>16200</v>
      </c>
      <c r="AA838" s="18" t="s">
        <v>1524</v>
      </c>
      <c r="AB838" s="18" t="s">
        <v>228</v>
      </c>
      <c r="AC838" s="18" t="e">
        <v>#N/A</v>
      </c>
    </row>
    <row r="839" s="18" customFormat="1" spans="1:29">
      <c r="A839" s="18" t="s">
        <v>2137</v>
      </c>
      <c r="B839" s="25" t="s">
        <v>2137</v>
      </c>
      <c r="C839" s="26">
        <v>45689</v>
      </c>
      <c r="D839" s="18" t="s">
        <v>1029</v>
      </c>
      <c r="E839" s="18" t="str">
        <f t="shared" si="13"/>
        <v>Pankaj Kumar Mishra  </v>
      </c>
      <c r="F839" s="27" t="e">
        <v>#N/A</v>
      </c>
      <c r="G839" s="18" t="s">
        <v>147</v>
      </c>
      <c r="H839" s="18" t="s">
        <v>148</v>
      </c>
      <c r="I839" s="18" t="s">
        <v>207</v>
      </c>
      <c r="J839" s="18" t="s">
        <v>149</v>
      </c>
      <c r="K839" s="18" t="s">
        <v>56</v>
      </c>
      <c r="L839" s="18" t="s">
        <v>36</v>
      </c>
      <c r="N839" s="18">
        <v>6</v>
      </c>
      <c r="O839" s="18" t="s">
        <v>93</v>
      </c>
      <c r="P839" s="18" t="s">
        <v>38</v>
      </c>
      <c r="Q839" s="18" t="s">
        <v>58</v>
      </c>
      <c r="R839" s="18" t="s">
        <v>59</v>
      </c>
      <c r="S839" s="18" t="s">
        <v>60</v>
      </c>
      <c r="T839" s="18" t="b">
        <v>1</v>
      </c>
      <c r="U839" s="18" t="s">
        <v>150</v>
      </c>
      <c r="V839" s="18" t="s">
        <v>40</v>
      </c>
      <c r="W839" s="18" t="s">
        <v>1055</v>
      </c>
      <c r="X839" s="18" t="s">
        <v>1056</v>
      </c>
      <c r="Y839" s="18">
        <v>1</v>
      </c>
      <c r="Z839" s="18">
        <v>4500</v>
      </c>
      <c r="AA839" s="18" t="s">
        <v>1524</v>
      </c>
      <c r="AB839" s="18" t="s">
        <v>228</v>
      </c>
      <c r="AC839" s="18" t="e">
        <v>#N/A</v>
      </c>
    </row>
    <row r="840" s="18" customFormat="1" spans="1:29">
      <c r="A840" s="18" t="s">
        <v>2138</v>
      </c>
      <c r="B840" s="25" t="s">
        <v>2138</v>
      </c>
      <c r="C840" s="26">
        <v>45689</v>
      </c>
      <c r="D840" s="18" t="s">
        <v>1029</v>
      </c>
      <c r="E840" s="18" t="str">
        <f t="shared" si="13"/>
        <v>Pankaj Kumar Mishra  </v>
      </c>
      <c r="F840" s="27" t="e">
        <v>#N/A</v>
      </c>
      <c r="G840" s="18" t="s">
        <v>147</v>
      </c>
      <c r="H840" s="18" t="s">
        <v>148</v>
      </c>
      <c r="I840" s="18" t="s">
        <v>207</v>
      </c>
      <c r="J840" s="18" t="s">
        <v>240</v>
      </c>
      <c r="K840" s="18" t="s">
        <v>56</v>
      </c>
      <c r="L840" s="18" t="s">
        <v>36</v>
      </c>
      <c r="N840" s="18">
        <v>6</v>
      </c>
      <c r="O840" s="18" t="s">
        <v>93</v>
      </c>
      <c r="P840" s="18" t="s">
        <v>38</v>
      </c>
      <c r="Q840" s="18" t="s">
        <v>58</v>
      </c>
      <c r="R840" s="18" t="s">
        <v>59</v>
      </c>
      <c r="S840" s="18" t="s">
        <v>60</v>
      </c>
      <c r="T840" s="18" t="b">
        <v>1</v>
      </c>
      <c r="U840" s="18" t="s">
        <v>150</v>
      </c>
      <c r="V840" s="18" t="s">
        <v>40</v>
      </c>
      <c r="W840" s="18" t="s">
        <v>1055</v>
      </c>
      <c r="X840" s="18" t="s">
        <v>1056</v>
      </c>
      <c r="Y840" s="18">
        <v>1</v>
      </c>
      <c r="Z840" s="18">
        <v>3400</v>
      </c>
      <c r="AA840" s="18" t="s">
        <v>1524</v>
      </c>
      <c r="AB840" s="18" t="s">
        <v>228</v>
      </c>
      <c r="AC840" s="18" t="e">
        <v>#N/A</v>
      </c>
    </row>
    <row r="841" s="20" customFormat="1" spans="1:29">
      <c r="A841" s="20" t="s">
        <v>2139</v>
      </c>
      <c r="B841" s="33" t="s">
        <v>2139</v>
      </c>
      <c r="C841" s="34">
        <v>45689</v>
      </c>
      <c r="D841" s="20" t="s">
        <v>1459</v>
      </c>
      <c r="E841" s="20" t="str">
        <f t="shared" si="13"/>
        <v>Mohd.Waris.....</v>
      </c>
      <c r="F841" s="27" t="e">
        <v>#N/A</v>
      </c>
      <c r="G841" s="20" t="s">
        <v>147</v>
      </c>
      <c r="H841" s="20" t="s">
        <v>148</v>
      </c>
      <c r="I841" s="20" t="s">
        <v>207</v>
      </c>
      <c r="J841" s="20" t="s">
        <v>139</v>
      </c>
      <c r="K841" s="20" t="s">
        <v>56</v>
      </c>
      <c r="L841" s="20" t="s">
        <v>36</v>
      </c>
      <c r="N841" s="20">
        <v>6</v>
      </c>
      <c r="O841" s="20" t="s">
        <v>93</v>
      </c>
      <c r="P841" s="20" t="s">
        <v>38</v>
      </c>
      <c r="Q841" s="20" t="s">
        <v>58</v>
      </c>
      <c r="R841" s="20" t="s">
        <v>59</v>
      </c>
      <c r="S841" s="20" t="s">
        <v>60</v>
      </c>
      <c r="T841" s="20" t="b">
        <v>1</v>
      </c>
      <c r="U841" s="20" t="s">
        <v>150</v>
      </c>
      <c r="V841" s="20" t="s">
        <v>40</v>
      </c>
      <c r="W841" s="20" t="s">
        <v>126</v>
      </c>
      <c r="X841" s="20" t="s">
        <v>127</v>
      </c>
      <c r="Y841" s="20">
        <v>1</v>
      </c>
      <c r="Z841" s="20">
        <v>1200</v>
      </c>
      <c r="AA841" s="20" t="s">
        <v>2140</v>
      </c>
      <c r="AB841" s="20" t="e">
        <v>#N/A</v>
      </c>
      <c r="AC841" s="20" t="e">
        <v>#N/A</v>
      </c>
    </row>
    <row r="842" s="18" customFormat="1" ht="29" spans="1:29">
      <c r="A842" s="18" t="s">
        <v>2141</v>
      </c>
      <c r="B842" s="25" t="s">
        <v>2141</v>
      </c>
      <c r="C842" s="26">
        <v>45689</v>
      </c>
      <c r="D842" s="18" t="s">
        <v>541</v>
      </c>
      <c r="E842" s="18" t="str">
        <f t="shared" si="13"/>
        <v>Dream Factory Pvt. Ltd.</v>
      </c>
      <c r="F842" s="27" t="e">
        <v>#N/A</v>
      </c>
      <c r="G842" s="18" t="s">
        <v>147</v>
      </c>
      <c r="H842" s="18" t="s">
        <v>148</v>
      </c>
      <c r="I842" s="18" t="s">
        <v>184</v>
      </c>
      <c r="J842" s="18" t="s">
        <v>1968</v>
      </c>
      <c r="K842" s="18" t="s">
        <v>56</v>
      </c>
      <c r="L842" s="18" t="s">
        <v>36</v>
      </c>
      <c r="N842" s="18">
        <v>6</v>
      </c>
      <c r="O842" s="18" t="s">
        <v>88</v>
      </c>
      <c r="P842" s="18" t="s">
        <v>38</v>
      </c>
      <c r="Q842" s="18" t="s">
        <v>194</v>
      </c>
      <c r="R842" s="18" t="s">
        <v>59</v>
      </c>
      <c r="S842" s="18" t="s">
        <v>195</v>
      </c>
      <c r="T842" s="18" t="b">
        <v>1</v>
      </c>
      <c r="U842" s="18" t="s">
        <v>150</v>
      </c>
      <c r="V842" s="18" t="s">
        <v>40</v>
      </c>
      <c r="W842" s="18" t="s">
        <v>151</v>
      </c>
      <c r="X842" s="18" t="s">
        <v>152</v>
      </c>
      <c r="Y842" s="18">
        <v>1</v>
      </c>
      <c r="Z842" s="18">
        <v>2400000</v>
      </c>
      <c r="AA842" s="31" t="s">
        <v>1353</v>
      </c>
      <c r="AB842" s="18" t="s">
        <v>1354</v>
      </c>
      <c r="AC842" s="18" t="s">
        <v>155</v>
      </c>
    </row>
    <row r="843" s="18" customFormat="1" spans="1:29">
      <c r="A843" s="18" t="s">
        <v>2142</v>
      </c>
      <c r="B843" s="25" t="s">
        <v>2142</v>
      </c>
      <c r="C843" s="26">
        <v>45689</v>
      </c>
      <c r="D843" s="18" t="s">
        <v>1029</v>
      </c>
      <c r="E843" s="18" t="str">
        <f t="shared" si="13"/>
        <v>Pankaj Kumar Mishra  </v>
      </c>
      <c r="F843" s="27" t="e">
        <v>#N/A</v>
      </c>
      <c r="G843" s="18" t="s">
        <v>147</v>
      </c>
      <c r="H843" s="18" t="s">
        <v>148</v>
      </c>
      <c r="I843" s="18" t="s">
        <v>207</v>
      </c>
      <c r="J843" s="18" t="s">
        <v>1491</v>
      </c>
      <c r="K843" s="18" t="s">
        <v>56</v>
      </c>
      <c r="L843" s="18" t="s">
        <v>36</v>
      </c>
      <c r="N843" s="18">
        <v>6</v>
      </c>
      <c r="O843" s="18" t="s">
        <v>93</v>
      </c>
      <c r="P843" s="18" t="s">
        <v>38</v>
      </c>
      <c r="Q843" s="18" t="s">
        <v>194</v>
      </c>
      <c r="R843" s="18" t="s">
        <v>59</v>
      </c>
      <c r="S843" s="18" t="s">
        <v>195</v>
      </c>
      <c r="T843" s="18" t="b">
        <v>1</v>
      </c>
      <c r="U843" s="18" t="s">
        <v>150</v>
      </c>
      <c r="V843" s="18" t="s">
        <v>40</v>
      </c>
      <c r="W843" s="18" t="s">
        <v>412</v>
      </c>
      <c r="X843" s="18" t="s">
        <v>413</v>
      </c>
      <c r="Y843" s="18">
        <v>1</v>
      </c>
      <c r="Z843" s="18">
        <v>2364</v>
      </c>
      <c r="AA843" s="18" t="s">
        <v>1524</v>
      </c>
      <c r="AB843" s="18" t="s">
        <v>228</v>
      </c>
      <c r="AC843" s="18" t="e">
        <v>#N/A</v>
      </c>
    </row>
    <row r="844" s="18" customFormat="1" ht="29" spans="1:29">
      <c r="A844" s="18" t="s">
        <v>2143</v>
      </c>
      <c r="B844" s="25" t="s">
        <v>2143</v>
      </c>
      <c r="C844" s="26">
        <v>45689</v>
      </c>
      <c r="D844" s="18" t="s">
        <v>2144</v>
      </c>
      <c r="E844" s="18" t="str">
        <f t="shared" si="13"/>
        <v>Lokjat Slv Solutions</v>
      </c>
      <c r="F844" s="27" t="s">
        <v>2145</v>
      </c>
      <c r="G844" s="18" t="s">
        <v>147</v>
      </c>
      <c r="H844" s="18" t="s">
        <v>148</v>
      </c>
      <c r="I844" s="18" t="s">
        <v>184</v>
      </c>
      <c r="J844" s="18" t="s">
        <v>1968</v>
      </c>
      <c r="K844" s="18" t="s">
        <v>56</v>
      </c>
      <c r="L844" s="18" t="s">
        <v>36</v>
      </c>
      <c r="N844" s="18">
        <v>6</v>
      </c>
      <c r="O844" s="18" t="s">
        <v>2146</v>
      </c>
      <c r="P844" s="18" t="s">
        <v>38</v>
      </c>
      <c r="Q844" s="18" t="s">
        <v>194</v>
      </c>
      <c r="R844" s="18" t="s">
        <v>59</v>
      </c>
      <c r="S844" s="18" t="s">
        <v>195</v>
      </c>
      <c r="T844" s="18" t="b">
        <v>1</v>
      </c>
      <c r="U844" s="18" t="s">
        <v>150</v>
      </c>
      <c r="V844" s="18" t="s">
        <v>40</v>
      </c>
      <c r="W844" s="18" t="s">
        <v>371</v>
      </c>
      <c r="X844" s="18" t="s">
        <v>372</v>
      </c>
      <c r="Y844" s="18">
        <v>1</v>
      </c>
      <c r="Z844" s="18">
        <v>275000</v>
      </c>
      <c r="AA844" s="31" t="s">
        <v>1353</v>
      </c>
      <c r="AB844" s="18" t="s">
        <v>1354</v>
      </c>
      <c r="AC844" s="18" t="s">
        <v>163</v>
      </c>
    </row>
    <row r="845" s="18" customFormat="1" spans="1:29">
      <c r="A845" s="18" t="s">
        <v>2147</v>
      </c>
      <c r="B845" s="25" t="s">
        <v>2147</v>
      </c>
      <c r="C845" s="26">
        <v>45689</v>
      </c>
      <c r="D845" s="18" t="s">
        <v>2148</v>
      </c>
      <c r="E845" s="18" t="str">
        <f t="shared" si="13"/>
        <v>The Adityaraj Production</v>
      </c>
      <c r="F845" s="27" t="s">
        <v>2149</v>
      </c>
      <c r="G845" s="18" t="s">
        <v>147</v>
      </c>
      <c r="H845" s="18" t="s">
        <v>148</v>
      </c>
      <c r="I845" s="18" t="s">
        <v>184</v>
      </c>
      <c r="J845" s="18" t="s">
        <v>1609</v>
      </c>
      <c r="K845" s="18" t="s">
        <v>56</v>
      </c>
      <c r="L845" s="18" t="s">
        <v>36</v>
      </c>
      <c r="N845" s="18">
        <v>6</v>
      </c>
      <c r="O845" s="18" t="s">
        <v>88</v>
      </c>
      <c r="P845" s="18" t="s">
        <v>38</v>
      </c>
      <c r="Q845" s="18" t="s">
        <v>58</v>
      </c>
      <c r="R845" s="18" t="s">
        <v>59</v>
      </c>
      <c r="S845" s="18" t="s">
        <v>60</v>
      </c>
      <c r="T845" s="18" t="b">
        <v>1</v>
      </c>
      <c r="U845" s="18" t="s">
        <v>150</v>
      </c>
      <c r="V845" s="18" t="s">
        <v>40</v>
      </c>
      <c r="W845" s="18" t="s">
        <v>401</v>
      </c>
      <c r="X845" s="18" t="s">
        <v>402</v>
      </c>
      <c r="Y845" s="18">
        <v>1</v>
      </c>
      <c r="Z845" s="18">
        <v>163000</v>
      </c>
      <c r="AA845" s="18" t="s">
        <v>2150</v>
      </c>
      <c r="AB845" s="18" t="s">
        <v>339</v>
      </c>
      <c r="AC845" s="18" t="s">
        <v>163</v>
      </c>
    </row>
    <row r="846" s="18" customFormat="1" spans="1:29">
      <c r="A846" s="18" t="s">
        <v>2151</v>
      </c>
      <c r="B846" s="25" t="s">
        <v>2151</v>
      </c>
      <c r="C846" s="26">
        <v>45689</v>
      </c>
      <c r="D846" s="18" t="s">
        <v>2152</v>
      </c>
      <c r="E846" s="18" t="str">
        <f t="shared" si="13"/>
        <v>Harsh Mudliyar  </v>
      </c>
      <c r="F846" s="27" t="e">
        <v>#N/A</v>
      </c>
      <c r="G846" s="18" t="s">
        <v>182</v>
      </c>
      <c r="H846" s="18" t="s">
        <v>183</v>
      </c>
      <c r="I846" s="18" t="s">
        <v>481</v>
      </c>
      <c r="J846" s="18" t="s">
        <v>989</v>
      </c>
      <c r="K846" s="18" t="s">
        <v>56</v>
      </c>
      <c r="L846" s="18" t="s">
        <v>36</v>
      </c>
      <c r="N846" s="18">
        <v>6</v>
      </c>
      <c r="O846" s="18" t="s">
        <v>93</v>
      </c>
      <c r="P846" s="18" t="s">
        <v>38</v>
      </c>
      <c r="Q846" s="18" t="s">
        <v>194</v>
      </c>
      <c r="R846" s="18" t="s">
        <v>59</v>
      </c>
      <c r="S846" s="18" t="s">
        <v>195</v>
      </c>
      <c r="T846" s="18" t="b">
        <v>0</v>
      </c>
      <c r="U846" s="18" t="s">
        <v>187</v>
      </c>
      <c r="V846" s="18" t="s">
        <v>40</v>
      </c>
      <c r="W846" s="18" t="s">
        <v>317</v>
      </c>
      <c r="X846" s="18" t="s">
        <v>318</v>
      </c>
      <c r="Y846" s="18">
        <v>1</v>
      </c>
      <c r="Z846" s="18">
        <v>2121.64</v>
      </c>
      <c r="AC846" s="18" t="e">
        <v>#N/A</v>
      </c>
    </row>
    <row r="847" s="18" customFormat="1" spans="1:29">
      <c r="A847" s="18" t="s">
        <v>2153</v>
      </c>
      <c r="B847" s="25" t="s">
        <v>2153</v>
      </c>
      <c r="C847" s="26">
        <v>45689</v>
      </c>
      <c r="D847" s="18" t="s">
        <v>2154</v>
      </c>
      <c r="E847" s="18" t="str">
        <f t="shared" si="13"/>
        <v>Asif Khan  </v>
      </c>
      <c r="F847" s="27" t="e">
        <v>#N/A</v>
      </c>
      <c r="G847" s="18" t="s">
        <v>182</v>
      </c>
      <c r="H847" s="18" t="s">
        <v>183</v>
      </c>
      <c r="I847" s="18" t="s">
        <v>481</v>
      </c>
      <c r="J847" s="18" t="s">
        <v>1006</v>
      </c>
      <c r="K847" s="18" t="s">
        <v>56</v>
      </c>
      <c r="L847" s="18" t="s">
        <v>36</v>
      </c>
      <c r="N847" s="18">
        <v>6</v>
      </c>
      <c r="O847" s="18" t="s">
        <v>93</v>
      </c>
      <c r="P847" s="18" t="s">
        <v>38</v>
      </c>
      <c r="Q847" s="18" t="s">
        <v>117</v>
      </c>
      <c r="R847" s="18" t="s">
        <v>59</v>
      </c>
      <c r="S847" s="18" t="s">
        <v>186</v>
      </c>
      <c r="T847" s="18" t="b">
        <v>0</v>
      </c>
      <c r="U847" s="18" t="s">
        <v>187</v>
      </c>
      <c r="V847" s="18" t="s">
        <v>40</v>
      </c>
      <c r="W847" s="18" t="s">
        <v>61</v>
      </c>
      <c r="X847" s="18" t="s">
        <v>62</v>
      </c>
      <c r="Y847" s="18">
        <v>1</v>
      </c>
      <c r="Z847" s="18">
        <v>5824</v>
      </c>
      <c r="AC847" s="18" t="e">
        <v>#N/A</v>
      </c>
    </row>
    <row r="848" s="18" customFormat="1" spans="1:29">
      <c r="A848" s="18" t="s">
        <v>2155</v>
      </c>
      <c r="B848" s="25" t="s">
        <v>2155</v>
      </c>
      <c r="C848" s="26">
        <v>45689</v>
      </c>
      <c r="D848" s="18" t="s">
        <v>2156</v>
      </c>
      <c r="E848" s="18" t="str">
        <f t="shared" si="13"/>
        <v>Sunil Sawant </v>
      </c>
      <c r="F848" s="27" t="e">
        <v>#N/A</v>
      </c>
      <c r="G848" s="18" t="s">
        <v>182</v>
      </c>
      <c r="H848" s="18" t="s">
        <v>183</v>
      </c>
      <c r="I848" s="18" t="s">
        <v>481</v>
      </c>
      <c r="J848" s="18" t="s">
        <v>728</v>
      </c>
      <c r="K848" s="18" t="s">
        <v>56</v>
      </c>
      <c r="L848" s="18" t="s">
        <v>36</v>
      </c>
      <c r="N848" s="18">
        <v>6</v>
      </c>
      <c r="O848" s="18" t="s">
        <v>93</v>
      </c>
      <c r="P848" s="18" t="s">
        <v>38</v>
      </c>
      <c r="Q848" s="18" t="s">
        <v>194</v>
      </c>
      <c r="R848" s="18" t="s">
        <v>59</v>
      </c>
      <c r="S848" s="18" t="s">
        <v>195</v>
      </c>
      <c r="T848" s="18" t="b">
        <v>0</v>
      </c>
      <c r="U848" s="18" t="s">
        <v>187</v>
      </c>
      <c r="V848" s="18" t="s">
        <v>40</v>
      </c>
      <c r="W848" s="18" t="s">
        <v>126</v>
      </c>
      <c r="X848" s="18" t="s">
        <v>127</v>
      </c>
      <c r="Y848" s="18">
        <v>1</v>
      </c>
      <c r="Z848" s="18">
        <v>11203.91</v>
      </c>
      <c r="AC848" s="18" t="e">
        <v>#N/A</v>
      </c>
    </row>
    <row r="849" s="18" customFormat="1" spans="1:29">
      <c r="A849" s="18" t="s">
        <v>2157</v>
      </c>
      <c r="B849" s="25" t="s">
        <v>2157</v>
      </c>
      <c r="C849" s="26">
        <v>45689</v>
      </c>
      <c r="D849" s="18" t="s">
        <v>2158</v>
      </c>
      <c r="E849" s="18" t="str">
        <f t="shared" si="13"/>
        <v>Fabworth Promoters Pvt Ltd</v>
      </c>
      <c r="F849" s="27" t="s">
        <v>2159</v>
      </c>
      <c r="G849" s="18" t="s">
        <v>182</v>
      </c>
      <c r="H849" s="18" t="s">
        <v>183</v>
      </c>
      <c r="I849" s="18" t="s">
        <v>184</v>
      </c>
      <c r="J849" s="18" t="s">
        <v>2160</v>
      </c>
      <c r="K849" s="18" t="s">
        <v>56</v>
      </c>
      <c r="L849" s="18" t="s">
        <v>36</v>
      </c>
      <c r="N849" s="18">
        <v>6</v>
      </c>
      <c r="O849" s="18" t="s">
        <v>57</v>
      </c>
      <c r="P849" s="18" t="s">
        <v>38</v>
      </c>
      <c r="Q849" s="18" t="s">
        <v>194</v>
      </c>
      <c r="R849" s="18" t="s">
        <v>59</v>
      </c>
      <c r="S849" s="18" t="s">
        <v>195</v>
      </c>
      <c r="T849" s="18" t="b">
        <v>0</v>
      </c>
      <c r="U849" s="18" t="s">
        <v>187</v>
      </c>
      <c r="V849" s="18" t="s">
        <v>40</v>
      </c>
      <c r="W849" s="18" t="s">
        <v>276</v>
      </c>
      <c r="X849" s="18" t="s">
        <v>276</v>
      </c>
      <c r="Y849" s="18">
        <v>1</v>
      </c>
      <c r="Z849" s="18">
        <v>82400</v>
      </c>
      <c r="AA849" s="18" t="s">
        <v>2161</v>
      </c>
      <c r="AB849" s="18" t="s">
        <v>1457</v>
      </c>
      <c r="AC849" s="18" t="s">
        <v>764</v>
      </c>
    </row>
    <row r="850" s="18" customFormat="1" ht="29" spans="1:29">
      <c r="A850" s="18" t="s">
        <v>2162</v>
      </c>
      <c r="B850" s="25" t="s">
        <v>2162</v>
      </c>
      <c r="C850" s="26">
        <v>45689</v>
      </c>
      <c r="D850" s="18" t="s">
        <v>2163</v>
      </c>
      <c r="E850" s="18" t="str">
        <f t="shared" si="13"/>
        <v>360 Bright Media</v>
      </c>
      <c r="F850" s="27" t="s">
        <v>2164</v>
      </c>
      <c r="G850" s="18" t="s">
        <v>182</v>
      </c>
      <c r="H850" s="18" t="s">
        <v>183</v>
      </c>
      <c r="I850" s="18" t="s">
        <v>184</v>
      </c>
      <c r="J850" s="18" t="s">
        <v>1995</v>
      </c>
      <c r="K850" s="18" t="s">
        <v>56</v>
      </c>
      <c r="L850" s="18" t="s">
        <v>36</v>
      </c>
      <c r="N850" s="18">
        <v>6</v>
      </c>
      <c r="O850" s="18" t="s">
        <v>57</v>
      </c>
      <c r="P850" s="18" t="s">
        <v>38</v>
      </c>
      <c r="Q850" s="18" t="s">
        <v>194</v>
      </c>
      <c r="R850" s="18" t="s">
        <v>59</v>
      </c>
      <c r="S850" s="18" t="s">
        <v>195</v>
      </c>
      <c r="T850" s="18" t="b">
        <v>0</v>
      </c>
      <c r="U850" s="18" t="s">
        <v>187</v>
      </c>
      <c r="V850" s="18" t="s">
        <v>40</v>
      </c>
      <c r="W850" s="18" t="s">
        <v>317</v>
      </c>
      <c r="X850" s="18" t="s">
        <v>318</v>
      </c>
      <c r="Y850" s="18">
        <v>1</v>
      </c>
      <c r="Z850" s="18">
        <v>18000</v>
      </c>
      <c r="AA850" s="31" t="s">
        <v>962</v>
      </c>
      <c r="AB850" s="18" t="s">
        <v>963</v>
      </c>
      <c r="AC850" s="18" t="s">
        <v>200</v>
      </c>
    </row>
    <row r="851" s="18" customFormat="1" ht="29" spans="1:29">
      <c r="A851" s="18" t="s">
        <v>2165</v>
      </c>
      <c r="B851" s="25" t="s">
        <v>2165</v>
      </c>
      <c r="C851" s="26">
        <v>45689</v>
      </c>
      <c r="D851" s="18" t="s">
        <v>2166</v>
      </c>
      <c r="E851" s="18" t="str">
        <f t="shared" si="13"/>
        <v>Prince Graphics Pvt Ltd</v>
      </c>
      <c r="F851" s="27" t="s">
        <v>2167</v>
      </c>
      <c r="G851" s="18" t="s">
        <v>182</v>
      </c>
      <c r="H851" s="18" t="s">
        <v>183</v>
      </c>
      <c r="I851" s="18" t="s">
        <v>184</v>
      </c>
      <c r="J851" s="18" t="s">
        <v>1491</v>
      </c>
      <c r="K851" s="18" t="s">
        <v>56</v>
      </c>
      <c r="L851" s="18" t="s">
        <v>36</v>
      </c>
      <c r="N851" s="18">
        <v>6</v>
      </c>
      <c r="O851" s="18" t="s">
        <v>88</v>
      </c>
      <c r="P851" s="18" t="s">
        <v>38</v>
      </c>
      <c r="Q851" s="18" t="s">
        <v>194</v>
      </c>
      <c r="R851" s="18" t="s">
        <v>59</v>
      </c>
      <c r="S851" s="18" t="s">
        <v>195</v>
      </c>
      <c r="T851" s="18" t="b">
        <v>0</v>
      </c>
      <c r="U851" s="18" t="s">
        <v>187</v>
      </c>
      <c r="V851" s="18" t="s">
        <v>40</v>
      </c>
      <c r="W851" s="18" t="s">
        <v>196</v>
      </c>
      <c r="X851" s="18" t="s">
        <v>197</v>
      </c>
      <c r="Y851" s="18">
        <v>1</v>
      </c>
      <c r="Z851" s="18">
        <v>27400</v>
      </c>
      <c r="AA851" s="31" t="s">
        <v>2168</v>
      </c>
      <c r="AB851" s="18" t="s">
        <v>2169</v>
      </c>
      <c r="AC851" s="18" t="s">
        <v>200</v>
      </c>
    </row>
    <row r="852" s="18" customFormat="1" spans="1:29">
      <c r="A852" s="18" t="s">
        <v>2170</v>
      </c>
      <c r="B852" s="25" t="s">
        <v>2170</v>
      </c>
      <c r="C852" s="26">
        <v>45689</v>
      </c>
      <c r="D852" s="18" t="s">
        <v>1035</v>
      </c>
      <c r="E852" s="18" t="str">
        <f t="shared" si="13"/>
        <v>Nikhita Vora  </v>
      </c>
      <c r="F852" s="27" t="e">
        <v>#N/A</v>
      </c>
      <c r="G852" s="18" t="s">
        <v>182</v>
      </c>
      <c r="H852" s="18" t="s">
        <v>183</v>
      </c>
      <c r="I852" s="18" t="s">
        <v>481</v>
      </c>
      <c r="J852" s="18" t="s">
        <v>2171</v>
      </c>
      <c r="K852" s="18" t="s">
        <v>56</v>
      </c>
      <c r="L852" s="18" t="s">
        <v>36</v>
      </c>
      <c r="N852" s="18">
        <v>6</v>
      </c>
      <c r="O852" s="18" t="s">
        <v>93</v>
      </c>
      <c r="P852" s="18" t="s">
        <v>38</v>
      </c>
      <c r="Q852" s="18" t="s">
        <v>194</v>
      </c>
      <c r="R852" s="18" t="s">
        <v>59</v>
      </c>
      <c r="S852" s="18" t="s">
        <v>195</v>
      </c>
      <c r="T852" s="18" t="b">
        <v>0</v>
      </c>
      <c r="U852" s="18" t="s">
        <v>187</v>
      </c>
      <c r="V852" s="18" t="s">
        <v>40</v>
      </c>
      <c r="W852" s="18" t="s">
        <v>126</v>
      </c>
      <c r="X852" s="18" t="s">
        <v>127</v>
      </c>
      <c r="Y852" s="18">
        <v>1</v>
      </c>
      <c r="Z852" s="18">
        <v>497</v>
      </c>
      <c r="AC852" s="18" t="e">
        <v>#N/A</v>
      </c>
    </row>
    <row r="853" s="18" customFormat="1" ht="29" spans="1:29">
      <c r="A853" s="18" t="s">
        <v>2172</v>
      </c>
      <c r="B853" s="25" t="s">
        <v>2172</v>
      </c>
      <c r="C853" s="26">
        <v>45689</v>
      </c>
      <c r="D853" s="18" t="s">
        <v>86</v>
      </c>
      <c r="E853" s="18" t="str">
        <f t="shared" si="13"/>
        <v>Aaa Rental Llp</v>
      </c>
      <c r="F853" s="27" t="s">
        <v>87</v>
      </c>
      <c r="G853" s="18" t="s">
        <v>182</v>
      </c>
      <c r="H853" s="18" t="s">
        <v>183</v>
      </c>
      <c r="I853" s="18" t="s">
        <v>184</v>
      </c>
      <c r="J853" s="18" t="s">
        <v>1968</v>
      </c>
      <c r="K853" s="18" t="s">
        <v>56</v>
      </c>
      <c r="L853" s="18" t="s">
        <v>36</v>
      </c>
      <c r="N853" s="18">
        <v>6</v>
      </c>
      <c r="O853" s="18" t="s">
        <v>88</v>
      </c>
      <c r="P853" s="18" t="s">
        <v>38</v>
      </c>
      <c r="Q853" s="18" t="s">
        <v>194</v>
      </c>
      <c r="R853" s="18" t="s">
        <v>59</v>
      </c>
      <c r="S853" s="18" t="s">
        <v>195</v>
      </c>
      <c r="T853" s="18" t="b">
        <v>0</v>
      </c>
      <c r="U853" s="18" t="s">
        <v>187</v>
      </c>
      <c r="V853" s="18" t="s">
        <v>40</v>
      </c>
      <c r="W853" s="18" t="s">
        <v>990</v>
      </c>
      <c r="X853" s="18" t="s">
        <v>991</v>
      </c>
      <c r="Y853" s="18">
        <v>1</v>
      </c>
      <c r="Z853" s="18">
        <v>30000</v>
      </c>
      <c r="AA853" s="31" t="s">
        <v>1972</v>
      </c>
      <c r="AB853" s="18" t="s">
        <v>1973</v>
      </c>
      <c r="AC853" s="18" t="s">
        <v>200</v>
      </c>
    </row>
    <row r="854" s="18" customFormat="1" ht="29" spans="1:29">
      <c r="A854" s="18" t="s">
        <v>2173</v>
      </c>
      <c r="B854" s="25" t="s">
        <v>2173</v>
      </c>
      <c r="C854" s="26">
        <v>45689</v>
      </c>
      <c r="D854" s="18" t="s">
        <v>2174</v>
      </c>
      <c r="E854" s="18" t="str">
        <f t="shared" si="13"/>
        <v>Mumbai Shree Garjana (Ajay Adsule)</v>
      </c>
      <c r="F854" s="27" t="s">
        <v>2175</v>
      </c>
      <c r="G854" s="18" t="s">
        <v>182</v>
      </c>
      <c r="H854" s="18" t="s">
        <v>183</v>
      </c>
      <c r="I854" s="18" t="s">
        <v>184</v>
      </c>
      <c r="J854" s="18" t="s">
        <v>793</v>
      </c>
      <c r="K854" s="18" t="s">
        <v>56</v>
      </c>
      <c r="L854" s="18" t="s">
        <v>36</v>
      </c>
      <c r="N854" s="18">
        <v>6</v>
      </c>
      <c r="O854" s="18" t="s">
        <v>57</v>
      </c>
      <c r="P854" s="18" t="s">
        <v>38</v>
      </c>
      <c r="Q854" s="18" t="s">
        <v>194</v>
      </c>
      <c r="R854" s="18" t="s">
        <v>59</v>
      </c>
      <c r="S854" s="18" t="s">
        <v>195</v>
      </c>
      <c r="T854" s="18" t="b">
        <v>0</v>
      </c>
      <c r="U854" s="18" t="s">
        <v>187</v>
      </c>
      <c r="V854" s="18" t="s">
        <v>40</v>
      </c>
      <c r="W854" s="18" t="s">
        <v>250</v>
      </c>
      <c r="X854" s="18" t="s">
        <v>251</v>
      </c>
      <c r="Y854" s="18">
        <v>1</v>
      </c>
      <c r="Z854" s="18">
        <v>17000</v>
      </c>
      <c r="AA854" s="31" t="s">
        <v>262</v>
      </c>
      <c r="AB854" s="18" t="s">
        <v>259</v>
      </c>
      <c r="AC854" s="18" t="e">
        <v>#N/A</v>
      </c>
    </row>
    <row r="855" s="18" customFormat="1" ht="29" spans="1:29">
      <c r="A855" s="18" t="s">
        <v>2176</v>
      </c>
      <c r="B855" s="25" t="s">
        <v>2176</v>
      </c>
      <c r="C855" s="26">
        <v>45689</v>
      </c>
      <c r="D855" s="18" t="s">
        <v>572</v>
      </c>
      <c r="E855" s="18" t="str">
        <f t="shared" si="13"/>
        <v>Emblaze Events (Sunita Harihar Sharma)</v>
      </c>
      <c r="F855" s="27" t="s">
        <v>573</v>
      </c>
      <c r="G855" s="18" t="s">
        <v>182</v>
      </c>
      <c r="H855" s="18" t="s">
        <v>183</v>
      </c>
      <c r="I855" s="18" t="s">
        <v>184</v>
      </c>
      <c r="J855" s="18" t="s">
        <v>793</v>
      </c>
      <c r="K855" s="18" t="s">
        <v>56</v>
      </c>
      <c r="L855" s="18" t="s">
        <v>36</v>
      </c>
      <c r="N855" s="18">
        <v>6</v>
      </c>
      <c r="O855" s="18" t="s">
        <v>88</v>
      </c>
      <c r="P855" s="18" t="s">
        <v>38</v>
      </c>
      <c r="Q855" s="18" t="s">
        <v>194</v>
      </c>
      <c r="R855" s="18" t="s">
        <v>59</v>
      </c>
      <c r="S855" s="18" t="s">
        <v>195</v>
      </c>
      <c r="T855" s="18" t="b">
        <v>0</v>
      </c>
      <c r="U855" s="18" t="s">
        <v>187</v>
      </c>
      <c r="V855" s="18" t="s">
        <v>40</v>
      </c>
      <c r="W855" s="18" t="s">
        <v>292</v>
      </c>
      <c r="X855" s="18" t="s">
        <v>293</v>
      </c>
      <c r="Y855" s="18">
        <v>1</v>
      </c>
      <c r="Z855" s="18">
        <v>27300</v>
      </c>
      <c r="AA855" s="31" t="s">
        <v>262</v>
      </c>
      <c r="AB855" s="18" t="s">
        <v>259</v>
      </c>
      <c r="AC855" s="18" t="s">
        <v>200</v>
      </c>
    </row>
    <row r="856" s="18" customFormat="1" ht="29" spans="1:29">
      <c r="A856" s="18" t="s">
        <v>2177</v>
      </c>
      <c r="B856" s="25" t="s">
        <v>2177</v>
      </c>
      <c r="C856" s="26">
        <v>45689</v>
      </c>
      <c r="D856" s="18" t="s">
        <v>2178</v>
      </c>
      <c r="E856" s="18" t="str">
        <f t="shared" si="13"/>
        <v>Sagar Traders</v>
      </c>
      <c r="F856" s="27" t="s">
        <v>2179</v>
      </c>
      <c r="G856" s="18" t="s">
        <v>182</v>
      </c>
      <c r="H856" s="18" t="s">
        <v>183</v>
      </c>
      <c r="I856" s="18" t="s">
        <v>184</v>
      </c>
      <c r="J856" s="18" t="s">
        <v>793</v>
      </c>
      <c r="K856" s="18" t="s">
        <v>56</v>
      </c>
      <c r="L856" s="18" t="s">
        <v>36</v>
      </c>
      <c r="N856" s="18">
        <v>6</v>
      </c>
      <c r="O856" s="18" t="s">
        <v>57</v>
      </c>
      <c r="P856" s="18" t="s">
        <v>38</v>
      </c>
      <c r="Q856" s="18" t="s">
        <v>194</v>
      </c>
      <c r="R856" s="18" t="s">
        <v>59</v>
      </c>
      <c r="S856" s="18" t="s">
        <v>195</v>
      </c>
      <c r="T856" s="18" t="b">
        <v>0</v>
      </c>
      <c r="U856" s="18" t="s">
        <v>187</v>
      </c>
      <c r="V856" s="18" t="s">
        <v>40</v>
      </c>
      <c r="W856" s="18" t="s">
        <v>140</v>
      </c>
      <c r="X856" s="18" t="s">
        <v>141</v>
      </c>
      <c r="Y856" s="18">
        <v>1</v>
      </c>
      <c r="Z856" s="18">
        <v>1400</v>
      </c>
      <c r="AA856" s="31" t="s">
        <v>262</v>
      </c>
      <c r="AB856" s="18" t="s">
        <v>259</v>
      </c>
      <c r="AC856" s="18" t="s">
        <v>582</v>
      </c>
    </row>
    <row r="857" s="18" customFormat="1" ht="29" spans="1:29">
      <c r="A857" s="18" t="s">
        <v>2180</v>
      </c>
      <c r="B857" s="25" t="s">
        <v>2180</v>
      </c>
      <c r="C857" s="26">
        <v>45689</v>
      </c>
      <c r="D857" s="18" t="s">
        <v>2181</v>
      </c>
      <c r="E857" s="18" t="str">
        <f t="shared" si="13"/>
        <v>Shakti Digital</v>
      </c>
      <c r="F857" s="27" t="s">
        <v>2182</v>
      </c>
      <c r="G857" s="18" t="s">
        <v>182</v>
      </c>
      <c r="H857" s="18" t="s">
        <v>183</v>
      </c>
      <c r="I857" s="18" t="s">
        <v>184</v>
      </c>
      <c r="J857" s="18" t="s">
        <v>793</v>
      </c>
      <c r="K857" s="18" t="s">
        <v>56</v>
      </c>
      <c r="L857" s="18" t="s">
        <v>36</v>
      </c>
      <c r="N857" s="18">
        <v>6</v>
      </c>
      <c r="O857" s="18" t="s">
        <v>88</v>
      </c>
      <c r="P857" s="18" t="s">
        <v>38</v>
      </c>
      <c r="Q857" s="18" t="s">
        <v>194</v>
      </c>
      <c r="R857" s="18" t="s">
        <v>59</v>
      </c>
      <c r="S857" s="18" t="s">
        <v>195</v>
      </c>
      <c r="T857" s="18" t="b">
        <v>0</v>
      </c>
      <c r="U857" s="18" t="s">
        <v>187</v>
      </c>
      <c r="V857" s="18" t="s">
        <v>40</v>
      </c>
      <c r="W857" s="18" t="s">
        <v>140</v>
      </c>
      <c r="X857" s="18" t="s">
        <v>141</v>
      </c>
      <c r="Y857" s="18">
        <v>1</v>
      </c>
      <c r="Z857" s="18">
        <v>12600</v>
      </c>
      <c r="AA857" s="31" t="s">
        <v>262</v>
      </c>
      <c r="AB857" s="18" t="s">
        <v>259</v>
      </c>
      <c r="AC857" s="18" t="s">
        <v>200</v>
      </c>
    </row>
    <row r="858" s="18" customFormat="1" ht="29" spans="1:29">
      <c r="A858" s="18" t="s">
        <v>2183</v>
      </c>
      <c r="B858" s="25" t="s">
        <v>2183</v>
      </c>
      <c r="C858" s="26">
        <v>45689</v>
      </c>
      <c r="D858" s="18" t="s">
        <v>2184</v>
      </c>
      <c r="E858" s="18" t="str">
        <f t="shared" si="13"/>
        <v>Ambika Print Solutions</v>
      </c>
      <c r="F858" s="27" t="s">
        <v>2185</v>
      </c>
      <c r="G858" s="18" t="s">
        <v>182</v>
      </c>
      <c r="H858" s="18" t="s">
        <v>183</v>
      </c>
      <c r="I858" s="18" t="s">
        <v>184</v>
      </c>
      <c r="J858" s="18" t="s">
        <v>793</v>
      </c>
      <c r="K858" s="18" t="s">
        <v>56</v>
      </c>
      <c r="L858" s="18" t="s">
        <v>36</v>
      </c>
      <c r="N858" s="18">
        <v>6</v>
      </c>
      <c r="O858" s="18" t="s">
        <v>57</v>
      </c>
      <c r="P858" s="18" t="s">
        <v>38</v>
      </c>
      <c r="Q858" s="18" t="s">
        <v>194</v>
      </c>
      <c r="R858" s="18" t="s">
        <v>59</v>
      </c>
      <c r="S858" s="18" t="s">
        <v>195</v>
      </c>
      <c r="T858" s="18" t="b">
        <v>0</v>
      </c>
      <c r="U858" s="18" t="s">
        <v>187</v>
      </c>
      <c r="V858" s="18" t="s">
        <v>40</v>
      </c>
      <c r="W858" s="18" t="s">
        <v>196</v>
      </c>
      <c r="X858" s="18" t="s">
        <v>197</v>
      </c>
      <c r="Y858" s="18">
        <v>1</v>
      </c>
      <c r="Z858" s="18">
        <v>19224</v>
      </c>
      <c r="AA858" s="31" t="s">
        <v>262</v>
      </c>
      <c r="AB858" s="18" t="s">
        <v>259</v>
      </c>
      <c r="AC858" s="18" t="s">
        <v>200</v>
      </c>
    </row>
    <row r="859" s="18" customFormat="1" ht="29" spans="1:29">
      <c r="A859" s="18" t="s">
        <v>2186</v>
      </c>
      <c r="B859" s="25" t="s">
        <v>2186</v>
      </c>
      <c r="C859" s="26">
        <v>45689</v>
      </c>
      <c r="D859" s="18" t="s">
        <v>2181</v>
      </c>
      <c r="E859" s="18" t="str">
        <f t="shared" si="13"/>
        <v>Shakti Digital</v>
      </c>
      <c r="F859" s="27" t="s">
        <v>2182</v>
      </c>
      <c r="G859" s="18" t="s">
        <v>182</v>
      </c>
      <c r="H859" s="18" t="s">
        <v>183</v>
      </c>
      <c r="I859" s="18" t="s">
        <v>184</v>
      </c>
      <c r="J859" s="18" t="s">
        <v>989</v>
      </c>
      <c r="K859" s="18" t="s">
        <v>56</v>
      </c>
      <c r="L859" s="18" t="s">
        <v>36</v>
      </c>
      <c r="N859" s="18">
        <v>6</v>
      </c>
      <c r="O859" s="18" t="s">
        <v>88</v>
      </c>
      <c r="P859" s="18" t="s">
        <v>38</v>
      </c>
      <c r="Q859" s="18" t="s">
        <v>194</v>
      </c>
      <c r="R859" s="18" t="s">
        <v>59</v>
      </c>
      <c r="S859" s="18" t="s">
        <v>195</v>
      </c>
      <c r="T859" s="18" t="b">
        <v>0</v>
      </c>
      <c r="U859" s="18" t="s">
        <v>187</v>
      </c>
      <c r="V859" s="18" t="s">
        <v>40</v>
      </c>
      <c r="W859" s="18" t="s">
        <v>140</v>
      </c>
      <c r="X859" s="18" t="s">
        <v>141</v>
      </c>
      <c r="Y859" s="18">
        <v>1</v>
      </c>
      <c r="Z859" s="18">
        <v>3600</v>
      </c>
      <c r="AA859" s="31" t="s">
        <v>262</v>
      </c>
      <c r="AB859" s="18" t="s">
        <v>259</v>
      </c>
      <c r="AC859" s="18" t="s">
        <v>200</v>
      </c>
    </row>
    <row r="860" s="18" customFormat="1" ht="29" spans="1:29">
      <c r="A860" s="18" t="s">
        <v>2187</v>
      </c>
      <c r="B860" s="25" t="s">
        <v>2187</v>
      </c>
      <c r="C860" s="26">
        <v>45689</v>
      </c>
      <c r="D860" s="18" t="s">
        <v>1506</v>
      </c>
      <c r="E860" s="18" t="str">
        <f t="shared" si="13"/>
        <v>Shivam Logistics</v>
      </c>
      <c r="F860" s="27" t="s">
        <v>1507</v>
      </c>
      <c r="G860" s="18" t="s">
        <v>182</v>
      </c>
      <c r="H860" s="18" t="s">
        <v>183</v>
      </c>
      <c r="I860" s="18" t="s">
        <v>184</v>
      </c>
      <c r="J860" s="18" t="s">
        <v>989</v>
      </c>
      <c r="K860" s="18" t="s">
        <v>56</v>
      </c>
      <c r="L860" s="18" t="s">
        <v>36</v>
      </c>
      <c r="N860" s="18">
        <v>6</v>
      </c>
      <c r="O860" s="18" t="s">
        <v>88</v>
      </c>
      <c r="P860" s="18" t="s">
        <v>38</v>
      </c>
      <c r="Q860" s="18" t="s">
        <v>194</v>
      </c>
      <c r="R860" s="18" t="s">
        <v>59</v>
      </c>
      <c r="S860" s="18" t="s">
        <v>195</v>
      </c>
      <c r="T860" s="18" t="b">
        <v>0</v>
      </c>
      <c r="U860" s="18" t="s">
        <v>187</v>
      </c>
      <c r="V860" s="18" t="s">
        <v>40</v>
      </c>
      <c r="W860" s="18" t="s">
        <v>205</v>
      </c>
      <c r="X860" s="18" t="s">
        <v>205</v>
      </c>
      <c r="Y860" s="18">
        <v>1</v>
      </c>
      <c r="Z860" s="18">
        <v>6740</v>
      </c>
      <c r="AA860" s="31" t="s">
        <v>262</v>
      </c>
      <c r="AB860" s="18" t="s">
        <v>259</v>
      </c>
      <c r="AC860" s="18" t="s">
        <v>200</v>
      </c>
    </row>
    <row r="861" s="18" customFormat="1" ht="29" spans="1:29">
      <c r="A861" s="18" t="s">
        <v>2188</v>
      </c>
      <c r="B861" s="25" t="s">
        <v>2188</v>
      </c>
      <c r="C861" s="26">
        <v>45689</v>
      </c>
      <c r="D861" s="18" t="s">
        <v>977</v>
      </c>
      <c r="E861" s="18" t="str">
        <f t="shared" si="13"/>
        <v>Videowaves</v>
      </c>
      <c r="F861" s="27" t="e">
        <v>#N/A</v>
      </c>
      <c r="G861" s="18" t="s">
        <v>182</v>
      </c>
      <c r="H861" s="18" t="s">
        <v>183</v>
      </c>
      <c r="I861" s="18" t="s">
        <v>184</v>
      </c>
      <c r="J861" s="18" t="s">
        <v>2160</v>
      </c>
      <c r="K861" s="18" t="s">
        <v>56</v>
      </c>
      <c r="L861" s="18" t="s">
        <v>36</v>
      </c>
      <c r="N861" s="18">
        <v>6</v>
      </c>
      <c r="O861" s="18" t="s">
        <v>88</v>
      </c>
      <c r="P861" s="18" t="s">
        <v>38</v>
      </c>
      <c r="Q861" s="18" t="s">
        <v>194</v>
      </c>
      <c r="R861" s="18" t="s">
        <v>59</v>
      </c>
      <c r="S861" s="18" t="s">
        <v>195</v>
      </c>
      <c r="T861" s="18" t="b">
        <v>0</v>
      </c>
      <c r="U861" s="18" t="s">
        <v>187</v>
      </c>
      <c r="V861" s="18" t="s">
        <v>40</v>
      </c>
      <c r="W861" s="18" t="s">
        <v>371</v>
      </c>
      <c r="X861" s="18" t="s">
        <v>372</v>
      </c>
      <c r="Y861" s="18">
        <v>1</v>
      </c>
      <c r="Z861" s="18">
        <v>60000</v>
      </c>
      <c r="AA861" s="31" t="s">
        <v>1456</v>
      </c>
      <c r="AB861" s="18" t="s">
        <v>1457</v>
      </c>
      <c r="AC861" s="18" t="s">
        <v>200</v>
      </c>
    </row>
    <row r="862" s="18" customFormat="1" ht="29" spans="1:29">
      <c r="A862" s="18" t="s">
        <v>2189</v>
      </c>
      <c r="B862" s="25" t="s">
        <v>2189</v>
      </c>
      <c r="C862" s="26">
        <v>45689</v>
      </c>
      <c r="D862" s="18" t="s">
        <v>966</v>
      </c>
      <c r="E862" s="18" t="str">
        <f t="shared" si="13"/>
        <v>Om Screen Art Events</v>
      </c>
      <c r="F862" s="27" t="s">
        <v>967</v>
      </c>
      <c r="G862" s="18" t="s">
        <v>182</v>
      </c>
      <c r="H862" s="18" t="s">
        <v>183</v>
      </c>
      <c r="I862" s="18" t="s">
        <v>184</v>
      </c>
      <c r="J862" s="18" t="s">
        <v>2160</v>
      </c>
      <c r="K862" s="18" t="s">
        <v>56</v>
      </c>
      <c r="L862" s="18" t="s">
        <v>36</v>
      </c>
      <c r="N862" s="18">
        <v>6</v>
      </c>
      <c r="O862" s="18" t="s">
        <v>88</v>
      </c>
      <c r="P862" s="18" t="s">
        <v>38</v>
      </c>
      <c r="Q862" s="18" t="s">
        <v>194</v>
      </c>
      <c r="R862" s="18" t="s">
        <v>59</v>
      </c>
      <c r="S862" s="18" t="s">
        <v>195</v>
      </c>
      <c r="T862" s="18" t="b">
        <v>0</v>
      </c>
      <c r="U862" s="18" t="s">
        <v>187</v>
      </c>
      <c r="V862" s="18" t="s">
        <v>40</v>
      </c>
      <c r="W862" s="18" t="s">
        <v>151</v>
      </c>
      <c r="X862" s="18" t="s">
        <v>152</v>
      </c>
      <c r="Y862" s="18">
        <v>1</v>
      </c>
      <c r="Z862" s="18">
        <v>13000</v>
      </c>
      <c r="AA862" s="31" t="s">
        <v>1456</v>
      </c>
      <c r="AB862" s="18" t="s">
        <v>1457</v>
      </c>
      <c r="AC862" s="18" t="s">
        <v>200</v>
      </c>
    </row>
    <row r="863" s="18" customFormat="1" spans="1:29">
      <c r="A863" s="18" t="s">
        <v>2190</v>
      </c>
      <c r="B863" s="25" t="s">
        <v>2190</v>
      </c>
      <c r="C863" s="26">
        <v>45691</v>
      </c>
      <c r="D863" s="18" t="s">
        <v>2191</v>
      </c>
      <c r="E863" s="18" t="str">
        <f t="shared" si="13"/>
        <v>Lalit Arts India</v>
      </c>
      <c r="F863" s="27" t="s">
        <v>2192</v>
      </c>
      <c r="G863" s="18" t="s">
        <v>32</v>
      </c>
      <c r="H863" s="18" t="s">
        <v>33</v>
      </c>
      <c r="I863" s="18" t="s">
        <v>184</v>
      </c>
      <c r="J863" s="18" t="s">
        <v>1968</v>
      </c>
      <c r="K863" s="18" t="s">
        <v>56</v>
      </c>
      <c r="L863" s="18" t="s">
        <v>36</v>
      </c>
      <c r="N863" s="18">
        <v>6</v>
      </c>
      <c r="O863" s="18" t="s">
        <v>88</v>
      </c>
      <c r="P863" s="18" t="s">
        <v>38</v>
      </c>
      <c r="Q863" s="18" t="s">
        <v>194</v>
      </c>
      <c r="R863" s="18" t="s">
        <v>59</v>
      </c>
      <c r="S863" s="18" t="s">
        <v>195</v>
      </c>
      <c r="T863" s="18" t="b">
        <v>1</v>
      </c>
      <c r="U863" s="18" t="s">
        <v>39</v>
      </c>
      <c r="V863" s="18" t="s">
        <v>40</v>
      </c>
      <c r="W863" s="18" t="s">
        <v>151</v>
      </c>
      <c r="X863" s="18" t="s">
        <v>152</v>
      </c>
      <c r="Y863" s="18">
        <v>1</v>
      </c>
      <c r="Z863" s="18">
        <v>200000</v>
      </c>
      <c r="AA863" s="18" t="s">
        <v>2193</v>
      </c>
      <c r="AB863" s="18" t="s">
        <v>1354</v>
      </c>
      <c r="AC863" s="18" t="s">
        <v>43</v>
      </c>
    </row>
    <row r="864" s="18" customFormat="1" ht="29" spans="1:29">
      <c r="A864" s="18" t="s">
        <v>2194</v>
      </c>
      <c r="B864" s="25" t="s">
        <v>2194</v>
      </c>
      <c r="C864" s="26">
        <v>45691</v>
      </c>
      <c r="D864" s="18" t="s">
        <v>1085</v>
      </c>
      <c r="E864" s="18" t="str">
        <f t="shared" si="13"/>
        <v>Thinking Brahma</v>
      </c>
      <c r="F864" s="27" t="s">
        <v>1086</v>
      </c>
      <c r="G864" s="18" t="s">
        <v>32</v>
      </c>
      <c r="H864" s="18" t="s">
        <v>33</v>
      </c>
      <c r="I864" s="18" t="s">
        <v>184</v>
      </c>
      <c r="J864" s="18" t="s">
        <v>1131</v>
      </c>
      <c r="K864" s="18" t="s">
        <v>56</v>
      </c>
      <c r="L864" s="18" t="s">
        <v>36</v>
      </c>
      <c r="N864" s="18">
        <v>6</v>
      </c>
      <c r="O864" s="18" t="s">
        <v>88</v>
      </c>
      <c r="P864" s="18" t="s">
        <v>38</v>
      </c>
      <c r="Q864" s="18" t="s">
        <v>194</v>
      </c>
      <c r="R864" s="18" t="s">
        <v>59</v>
      </c>
      <c r="S864" s="18" t="s">
        <v>195</v>
      </c>
      <c r="T864" s="18" t="b">
        <v>1</v>
      </c>
      <c r="U864" s="18" t="s">
        <v>39</v>
      </c>
      <c r="V864" s="18" t="s">
        <v>40</v>
      </c>
      <c r="W864" s="18" t="s">
        <v>401</v>
      </c>
      <c r="X864" s="18" t="s">
        <v>402</v>
      </c>
      <c r="Y864" s="18">
        <v>1</v>
      </c>
      <c r="Z864" s="18">
        <v>12500</v>
      </c>
      <c r="AA864" s="31" t="s">
        <v>1298</v>
      </c>
      <c r="AB864" s="18" t="s">
        <v>282</v>
      </c>
      <c r="AC864" s="18" t="s">
        <v>43</v>
      </c>
    </row>
    <row r="865" s="18" customFormat="1" ht="29" spans="1:29">
      <c r="A865" s="18" t="s">
        <v>2195</v>
      </c>
      <c r="B865" s="25" t="s">
        <v>2195</v>
      </c>
      <c r="C865" s="26">
        <v>45691</v>
      </c>
      <c r="D865" s="18" t="s">
        <v>827</v>
      </c>
      <c r="E865" s="18" t="str">
        <f t="shared" si="13"/>
        <v>Infutech Solutions</v>
      </c>
      <c r="F865" s="27" t="s">
        <v>828</v>
      </c>
      <c r="G865" s="18" t="s">
        <v>32</v>
      </c>
      <c r="H865" s="18" t="s">
        <v>33</v>
      </c>
      <c r="I865" s="18" t="s">
        <v>184</v>
      </c>
      <c r="J865" s="18" t="s">
        <v>1131</v>
      </c>
      <c r="K865" s="18" t="s">
        <v>56</v>
      </c>
      <c r="L865" s="18" t="s">
        <v>36</v>
      </c>
      <c r="N865" s="18">
        <v>6</v>
      </c>
      <c r="O865" s="18" t="s">
        <v>88</v>
      </c>
      <c r="P865" s="18" t="s">
        <v>38</v>
      </c>
      <c r="Q865" s="18" t="s">
        <v>194</v>
      </c>
      <c r="R865" s="18" t="s">
        <v>59</v>
      </c>
      <c r="S865" s="18" t="s">
        <v>195</v>
      </c>
      <c r="T865" s="18" t="b">
        <v>1</v>
      </c>
      <c r="U865" s="18" t="s">
        <v>39</v>
      </c>
      <c r="V865" s="18" t="s">
        <v>40</v>
      </c>
      <c r="W865" s="18" t="s">
        <v>990</v>
      </c>
      <c r="X865" s="18" t="s">
        <v>991</v>
      </c>
      <c r="Y865" s="18">
        <v>1</v>
      </c>
      <c r="Z865" s="18">
        <v>11000</v>
      </c>
      <c r="AA865" s="31" t="s">
        <v>1298</v>
      </c>
      <c r="AB865" s="18" t="s">
        <v>282</v>
      </c>
      <c r="AC865" s="18" t="s">
        <v>43</v>
      </c>
    </row>
    <row r="866" s="18" customFormat="1" ht="29" spans="1:29">
      <c r="A866" s="18" t="s">
        <v>2196</v>
      </c>
      <c r="B866" s="25" t="s">
        <v>2196</v>
      </c>
      <c r="C866" s="26">
        <v>45691</v>
      </c>
      <c r="D866" s="18" t="s">
        <v>1089</v>
      </c>
      <c r="E866" s="18" t="str">
        <f t="shared" si="13"/>
        <v>Kolorkode</v>
      </c>
      <c r="F866" s="27" t="e">
        <v>#N/A</v>
      </c>
      <c r="G866" s="18" t="s">
        <v>32</v>
      </c>
      <c r="H866" s="18" t="s">
        <v>33</v>
      </c>
      <c r="I866" s="18" t="s">
        <v>184</v>
      </c>
      <c r="J866" s="18" t="s">
        <v>1131</v>
      </c>
      <c r="K866" s="18" t="s">
        <v>56</v>
      </c>
      <c r="L866" s="18" t="s">
        <v>36</v>
      </c>
      <c r="N866" s="18">
        <v>6</v>
      </c>
      <c r="O866" s="18" t="s">
        <v>57</v>
      </c>
      <c r="P866" s="18" t="s">
        <v>38</v>
      </c>
      <c r="Q866" s="18" t="s">
        <v>194</v>
      </c>
      <c r="R866" s="18" t="s">
        <v>59</v>
      </c>
      <c r="S866" s="18" t="s">
        <v>195</v>
      </c>
      <c r="T866" s="18" t="b">
        <v>1</v>
      </c>
      <c r="U866" s="18" t="s">
        <v>39</v>
      </c>
      <c r="V866" s="18" t="s">
        <v>40</v>
      </c>
      <c r="W866" s="18" t="s">
        <v>196</v>
      </c>
      <c r="X866" s="18" t="s">
        <v>197</v>
      </c>
      <c r="Y866" s="18">
        <v>1</v>
      </c>
      <c r="Z866" s="18">
        <v>1390</v>
      </c>
      <c r="AA866" s="31" t="s">
        <v>1298</v>
      </c>
      <c r="AB866" s="18" t="s">
        <v>282</v>
      </c>
      <c r="AC866" s="18" t="s">
        <v>43</v>
      </c>
    </row>
    <row r="867" s="18" customFormat="1" ht="29" spans="1:29">
      <c r="A867" s="18" t="s">
        <v>2197</v>
      </c>
      <c r="B867" s="25" t="s">
        <v>2197</v>
      </c>
      <c r="C867" s="26">
        <v>45691</v>
      </c>
      <c r="D867" s="18" t="s">
        <v>2198</v>
      </c>
      <c r="E867" s="18" t="str">
        <f t="shared" si="13"/>
        <v>Akshar Trading Company</v>
      </c>
      <c r="F867" s="27" t="s">
        <v>2199</v>
      </c>
      <c r="G867" s="18" t="s">
        <v>32</v>
      </c>
      <c r="H867" s="18" t="s">
        <v>33</v>
      </c>
      <c r="I867" s="18" t="s">
        <v>184</v>
      </c>
      <c r="J867" s="18" t="s">
        <v>2200</v>
      </c>
      <c r="K867" s="18" t="s">
        <v>56</v>
      </c>
      <c r="L867" s="18" t="s">
        <v>36</v>
      </c>
      <c r="N867" s="18">
        <v>6</v>
      </c>
      <c r="O867" s="18" t="s">
        <v>88</v>
      </c>
      <c r="P867" s="18" t="s">
        <v>38</v>
      </c>
      <c r="Q867" s="18" t="s">
        <v>194</v>
      </c>
      <c r="R867" s="18" t="s">
        <v>59</v>
      </c>
      <c r="S867" s="18" t="s">
        <v>195</v>
      </c>
      <c r="T867" s="18" t="b">
        <v>1</v>
      </c>
      <c r="U867" s="18" t="s">
        <v>39</v>
      </c>
      <c r="V867" s="18" t="s">
        <v>40</v>
      </c>
      <c r="W867" s="18" t="s">
        <v>196</v>
      </c>
      <c r="X867" s="18" t="s">
        <v>197</v>
      </c>
      <c r="Y867" s="18">
        <v>1</v>
      </c>
      <c r="Z867" s="18">
        <v>4900</v>
      </c>
      <c r="AA867" s="31" t="s">
        <v>1298</v>
      </c>
      <c r="AB867" s="18" t="s">
        <v>282</v>
      </c>
      <c r="AC867" s="18" t="s">
        <v>43</v>
      </c>
    </row>
    <row r="868" s="18" customFormat="1" spans="1:29">
      <c r="A868" s="18" t="s">
        <v>2201</v>
      </c>
      <c r="B868" s="25" t="s">
        <v>2201</v>
      </c>
      <c r="C868" s="26">
        <v>45691</v>
      </c>
      <c r="D868" s="18" t="s">
        <v>2202</v>
      </c>
      <c r="E868" s="18" t="str">
        <f t="shared" si="13"/>
        <v>Global Info Solution</v>
      </c>
      <c r="F868" s="27" t="s">
        <v>2203</v>
      </c>
      <c r="G868" s="18" t="s">
        <v>32</v>
      </c>
      <c r="H868" s="18" t="s">
        <v>33</v>
      </c>
      <c r="I868" s="18" t="s">
        <v>34</v>
      </c>
      <c r="J868" s="18" t="s">
        <v>2204</v>
      </c>
      <c r="K868" s="18" t="s">
        <v>56</v>
      </c>
      <c r="L868" s="18" t="s">
        <v>36</v>
      </c>
      <c r="N868" s="18">
        <v>6</v>
      </c>
      <c r="O868" s="18" t="s">
        <v>57</v>
      </c>
      <c r="P868" s="18" t="s">
        <v>38</v>
      </c>
      <c r="Q868" s="18" t="s">
        <v>117</v>
      </c>
      <c r="R868" s="18" t="s">
        <v>59</v>
      </c>
      <c r="S868" s="18" t="s">
        <v>118</v>
      </c>
      <c r="T868" s="18" t="b">
        <v>1</v>
      </c>
      <c r="U868" s="18" t="s">
        <v>39</v>
      </c>
      <c r="V868" s="18" t="s">
        <v>40</v>
      </c>
      <c r="W868" s="18" t="s">
        <v>787</v>
      </c>
      <c r="X868" s="18" t="s">
        <v>788</v>
      </c>
      <c r="Y868" s="18">
        <v>1</v>
      </c>
      <c r="Z868" s="18">
        <v>266675</v>
      </c>
      <c r="AA868" s="18" t="s">
        <v>1913</v>
      </c>
      <c r="AB868" s="18" t="s">
        <v>790</v>
      </c>
      <c r="AC868" s="18" t="s">
        <v>111</v>
      </c>
    </row>
    <row r="869" s="18" customFormat="1" spans="1:29">
      <c r="A869" s="18" t="s">
        <v>2205</v>
      </c>
      <c r="B869" s="25" t="s">
        <v>2205</v>
      </c>
      <c r="C869" s="26">
        <v>45691</v>
      </c>
      <c r="D869" s="18" t="s">
        <v>2206</v>
      </c>
      <c r="E869" s="18" t="str">
        <f t="shared" si="13"/>
        <v>Comfort Grid Technologies Pvt Ltd (OTV)</v>
      </c>
      <c r="F869" s="27" t="e">
        <v>#N/A</v>
      </c>
      <c r="G869" s="18" t="s">
        <v>32</v>
      </c>
      <c r="H869" s="18" t="s">
        <v>33</v>
      </c>
      <c r="I869" s="18" t="s">
        <v>133</v>
      </c>
      <c r="J869" s="18" t="s">
        <v>2207</v>
      </c>
      <c r="K869" s="18" t="s">
        <v>56</v>
      </c>
      <c r="L869" s="18" t="s">
        <v>36</v>
      </c>
      <c r="N869" s="18">
        <v>6</v>
      </c>
      <c r="O869" s="18" t="s">
        <v>57</v>
      </c>
      <c r="P869" s="18" t="s">
        <v>38</v>
      </c>
      <c r="Q869" s="18" t="s">
        <v>117</v>
      </c>
      <c r="R869" s="18" t="s">
        <v>59</v>
      </c>
      <c r="S869" s="18" t="s">
        <v>118</v>
      </c>
      <c r="T869" s="18" t="b">
        <v>1</v>
      </c>
      <c r="U869" s="18" t="s">
        <v>39</v>
      </c>
      <c r="V869" s="18" t="s">
        <v>40</v>
      </c>
      <c r="W869" s="18" t="s">
        <v>140</v>
      </c>
      <c r="X869" s="18" t="s">
        <v>141</v>
      </c>
      <c r="Y869" s="18">
        <v>1</v>
      </c>
      <c r="Z869" s="18">
        <v>5082.2</v>
      </c>
      <c r="AA869" s="18" t="s">
        <v>2208</v>
      </c>
      <c r="AB869" s="18" t="s">
        <v>2209</v>
      </c>
      <c r="AC869" s="18" t="s">
        <v>43</v>
      </c>
    </row>
    <row r="870" s="18" customFormat="1" spans="1:29">
      <c r="A870" s="18" t="s">
        <v>2210</v>
      </c>
      <c r="B870" s="25" t="s">
        <v>2210</v>
      </c>
      <c r="C870" s="26">
        <v>45691</v>
      </c>
      <c r="D870" s="18" t="s">
        <v>113</v>
      </c>
      <c r="E870" s="18" t="str">
        <f t="shared" si="13"/>
        <v>Siva Sankar Cabs</v>
      </c>
      <c r="F870" s="27" t="s">
        <v>114</v>
      </c>
      <c r="G870" s="18" t="s">
        <v>32</v>
      </c>
      <c r="H870" s="18" t="s">
        <v>33</v>
      </c>
      <c r="I870" s="18" t="s">
        <v>34</v>
      </c>
      <c r="J870" s="18" t="s">
        <v>1116</v>
      </c>
      <c r="K870" s="18" t="s">
        <v>56</v>
      </c>
      <c r="L870" s="18" t="s">
        <v>36</v>
      </c>
      <c r="N870" s="18">
        <v>6</v>
      </c>
      <c r="O870" s="18" t="s">
        <v>57</v>
      </c>
      <c r="P870" s="18" t="s">
        <v>38</v>
      </c>
      <c r="Q870" s="18" t="s">
        <v>117</v>
      </c>
      <c r="R870" s="18" t="s">
        <v>59</v>
      </c>
      <c r="S870" s="18" t="s">
        <v>118</v>
      </c>
      <c r="T870" s="18" t="b">
        <v>1</v>
      </c>
      <c r="U870" s="18" t="s">
        <v>39</v>
      </c>
      <c r="V870" s="18" t="s">
        <v>40</v>
      </c>
      <c r="W870" s="18" t="s">
        <v>119</v>
      </c>
      <c r="X870" s="18" t="s">
        <v>120</v>
      </c>
      <c r="Y870" s="18">
        <v>1</v>
      </c>
      <c r="Z870" s="18">
        <v>6200</v>
      </c>
      <c r="AA870" s="18" t="s">
        <v>121</v>
      </c>
      <c r="AB870" s="18" t="s">
        <v>122</v>
      </c>
      <c r="AC870" s="18" t="e">
        <v>#N/A</v>
      </c>
    </row>
    <row r="871" s="18" customFormat="1" spans="1:29">
      <c r="A871" s="18" t="s">
        <v>2211</v>
      </c>
      <c r="B871" s="25" t="s">
        <v>2211</v>
      </c>
      <c r="C871" s="26">
        <v>45691</v>
      </c>
      <c r="D871" s="18" t="s">
        <v>628</v>
      </c>
      <c r="E871" s="18" t="str">
        <f t="shared" si="13"/>
        <v>New Print House</v>
      </c>
      <c r="F871" s="27" t="s">
        <v>629</v>
      </c>
      <c r="G871" s="18" t="s">
        <v>32</v>
      </c>
      <c r="H871" s="18" t="s">
        <v>33</v>
      </c>
      <c r="I871" s="18" t="s">
        <v>34</v>
      </c>
      <c r="J871" s="18" t="s">
        <v>1116</v>
      </c>
      <c r="K871" s="18" t="s">
        <v>56</v>
      </c>
      <c r="L871" s="18" t="s">
        <v>36</v>
      </c>
      <c r="N871" s="18">
        <v>6</v>
      </c>
      <c r="O871" s="18" t="s">
        <v>88</v>
      </c>
      <c r="P871" s="18" t="s">
        <v>38</v>
      </c>
      <c r="Q871" s="18" t="s">
        <v>117</v>
      </c>
      <c r="R871" s="18" t="s">
        <v>59</v>
      </c>
      <c r="S871" s="18" t="s">
        <v>118</v>
      </c>
      <c r="T871" s="18" t="b">
        <v>1</v>
      </c>
      <c r="U871" s="18" t="s">
        <v>39</v>
      </c>
      <c r="V871" s="18" t="s">
        <v>40</v>
      </c>
      <c r="W871" s="18" t="s">
        <v>196</v>
      </c>
      <c r="X871" s="18" t="s">
        <v>197</v>
      </c>
      <c r="Y871" s="18">
        <v>1</v>
      </c>
      <c r="Z871" s="18">
        <v>6600</v>
      </c>
      <c r="AA871" s="18" t="s">
        <v>121</v>
      </c>
      <c r="AB871" s="18" t="s">
        <v>122</v>
      </c>
      <c r="AC871" s="18" t="s">
        <v>43</v>
      </c>
    </row>
    <row r="872" s="18" customFormat="1" spans="1:29">
      <c r="A872" s="18" t="s">
        <v>2212</v>
      </c>
      <c r="B872" s="25" t="s">
        <v>2212</v>
      </c>
      <c r="C872" s="26">
        <v>45691</v>
      </c>
      <c r="D872" s="18" t="s">
        <v>628</v>
      </c>
      <c r="E872" s="18" t="str">
        <f t="shared" si="13"/>
        <v>New Print House</v>
      </c>
      <c r="F872" s="27" t="s">
        <v>629</v>
      </c>
      <c r="G872" s="18" t="s">
        <v>32</v>
      </c>
      <c r="H872" s="18" t="s">
        <v>33</v>
      </c>
      <c r="I872" s="18" t="s">
        <v>133</v>
      </c>
      <c r="J872" s="18" t="s">
        <v>115</v>
      </c>
      <c r="K872" s="18" t="s">
        <v>56</v>
      </c>
      <c r="L872" s="18" t="s">
        <v>36</v>
      </c>
      <c r="N872" s="18">
        <v>6</v>
      </c>
      <c r="O872" s="18" t="s">
        <v>88</v>
      </c>
      <c r="P872" s="18" t="s">
        <v>38</v>
      </c>
      <c r="Q872" s="18" t="s">
        <v>117</v>
      </c>
      <c r="R872" s="18" t="s">
        <v>59</v>
      </c>
      <c r="S872" s="18" t="s">
        <v>118</v>
      </c>
      <c r="T872" s="18" t="b">
        <v>1</v>
      </c>
      <c r="U872" s="18" t="s">
        <v>39</v>
      </c>
      <c r="V872" s="18" t="s">
        <v>40</v>
      </c>
      <c r="W872" s="18" t="s">
        <v>196</v>
      </c>
      <c r="X872" s="18" t="s">
        <v>197</v>
      </c>
      <c r="Y872" s="18">
        <v>1</v>
      </c>
      <c r="Z872" s="18">
        <v>2600</v>
      </c>
      <c r="AA872" s="18" t="s">
        <v>121</v>
      </c>
      <c r="AB872" s="18" t="s">
        <v>122</v>
      </c>
      <c r="AC872" s="18" t="s">
        <v>630</v>
      </c>
    </row>
    <row r="873" s="18" customFormat="1" ht="29" spans="1:29">
      <c r="A873" s="18" t="s">
        <v>2213</v>
      </c>
      <c r="B873" s="25" t="s">
        <v>2213</v>
      </c>
      <c r="C873" s="26">
        <v>45691</v>
      </c>
      <c r="D873" s="18" t="s">
        <v>2214</v>
      </c>
      <c r="E873" s="18" t="str">
        <f t="shared" si="13"/>
        <v>Mj Digital</v>
      </c>
      <c r="F873" s="27" t="s">
        <v>2215</v>
      </c>
      <c r="G873" s="18" t="s">
        <v>99</v>
      </c>
      <c r="H873" s="18" t="s">
        <v>100</v>
      </c>
      <c r="I873" s="18" t="s">
        <v>184</v>
      </c>
      <c r="J873" s="18" t="s">
        <v>499</v>
      </c>
      <c r="K873" s="18" t="s">
        <v>56</v>
      </c>
      <c r="L873" s="18" t="s">
        <v>36</v>
      </c>
      <c r="N873" s="18">
        <v>6</v>
      </c>
      <c r="O873" s="18" t="s">
        <v>88</v>
      </c>
      <c r="P873" s="18" t="s">
        <v>38</v>
      </c>
      <c r="Q873" s="18" t="s">
        <v>117</v>
      </c>
      <c r="R873" s="18" t="s">
        <v>59</v>
      </c>
      <c r="S873" s="18" t="s">
        <v>186</v>
      </c>
      <c r="T873" s="18" t="b">
        <v>1</v>
      </c>
      <c r="U873" s="18" t="s">
        <v>101</v>
      </c>
      <c r="V873" s="18" t="s">
        <v>40</v>
      </c>
      <c r="W873" s="18" t="s">
        <v>401</v>
      </c>
      <c r="X873" s="18" t="s">
        <v>402</v>
      </c>
      <c r="Y873" s="18">
        <v>1</v>
      </c>
      <c r="Z873" s="18">
        <v>52000</v>
      </c>
      <c r="AA873" s="31" t="s">
        <v>338</v>
      </c>
      <c r="AB873" s="18" t="s">
        <v>339</v>
      </c>
      <c r="AC873" s="18" t="s">
        <v>111</v>
      </c>
    </row>
    <row r="874" s="18" customFormat="1" ht="29" spans="1:29">
      <c r="A874" s="18" t="s">
        <v>2216</v>
      </c>
      <c r="B874" s="25" t="s">
        <v>2216</v>
      </c>
      <c r="C874" s="26">
        <v>45691</v>
      </c>
      <c r="D874" s="18" t="s">
        <v>2217</v>
      </c>
      <c r="E874" s="18" t="str">
        <f t="shared" si="13"/>
        <v>Shanmugam J</v>
      </c>
      <c r="F874" s="27" t="s">
        <v>2218</v>
      </c>
      <c r="G874" s="18" t="s">
        <v>99</v>
      </c>
      <c r="H874" s="18" t="s">
        <v>100</v>
      </c>
      <c r="I874" s="18" t="s">
        <v>184</v>
      </c>
      <c r="J874" s="18" t="s">
        <v>499</v>
      </c>
      <c r="K874" s="18" t="s">
        <v>56</v>
      </c>
      <c r="L874" s="18" t="s">
        <v>36</v>
      </c>
      <c r="N874" s="18">
        <v>6</v>
      </c>
      <c r="O874" s="18" t="s">
        <v>57</v>
      </c>
      <c r="P874" s="18" t="s">
        <v>38</v>
      </c>
      <c r="Q874" s="18" t="s">
        <v>117</v>
      </c>
      <c r="R874" s="18" t="s">
        <v>59</v>
      </c>
      <c r="S874" s="18" t="s">
        <v>186</v>
      </c>
      <c r="T874" s="18" t="b">
        <v>1</v>
      </c>
      <c r="U874" s="18" t="s">
        <v>101</v>
      </c>
      <c r="V874" s="18" t="s">
        <v>40</v>
      </c>
      <c r="W874" s="18" t="s">
        <v>292</v>
      </c>
      <c r="X874" s="18" t="s">
        <v>293</v>
      </c>
      <c r="Y874" s="18">
        <v>1</v>
      </c>
      <c r="Z874" s="18">
        <v>35600</v>
      </c>
      <c r="AA874" s="31" t="s">
        <v>338</v>
      </c>
      <c r="AB874" s="18" t="s">
        <v>339</v>
      </c>
      <c r="AC874" s="18" t="e">
        <v>#N/A</v>
      </c>
    </row>
    <row r="875" s="18" customFormat="1" spans="1:29">
      <c r="A875" s="18" t="s">
        <v>2219</v>
      </c>
      <c r="B875" s="25" t="s">
        <v>2219</v>
      </c>
      <c r="C875" s="26">
        <v>45691</v>
      </c>
      <c r="D875" s="18" t="s">
        <v>2220</v>
      </c>
      <c r="E875" s="18" t="str">
        <f t="shared" si="13"/>
        <v>Bhavika Vig? </v>
      </c>
      <c r="F875" s="27" t="e">
        <v>#N/A</v>
      </c>
      <c r="G875" s="18" t="s">
        <v>147</v>
      </c>
      <c r="H875" s="18" t="s">
        <v>148</v>
      </c>
      <c r="I875" s="18" t="s">
        <v>207</v>
      </c>
      <c r="J875" s="18" t="s">
        <v>395</v>
      </c>
      <c r="K875" s="18" t="s">
        <v>56</v>
      </c>
      <c r="L875" s="18" t="s">
        <v>36</v>
      </c>
      <c r="N875" s="18">
        <v>6</v>
      </c>
      <c r="O875" s="18" t="s">
        <v>93</v>
      </c>
      <c r="P875" s="18" t="s">
        <v>38</v>
      </c>
      <c r="Q875" s="18" t="s">
        <v>58</v>
      </c>
      <c r="R875" s="18" t="s">
        <v>59</v>
      </c>
      <c r="S875" s="18" t="s">
        <v>60</v>
      </c>
      <c r="T875" s="18" t="b">
        <v>1</v>
      </c>
      <c r="U875" s="18" t="s">
        <v>150</v>
      </c>
      <c r="V875" s="18" t="s">
        <v>40</v>
      </c>
      <c r="W875" s="18" t="s">
        <v>126</v>
      </c>
      <c r="X875" s="18" t="s">
        <v>127</v>
      </c>
      <c r="Y875" s="18">
        <v>1</v>
      </c>
      <c r="Z875" s="18">
        <v>6269</v>
      </c>
      <c r="AA875" s="18" t="s">
        <v>2221</v>
      </c>
      <c r="AB875" s="18" t="s">
        <v>2222</v>
      </c>
      <c r="AC875" s="18" t="e">
        <v>#N/A</v>
      </c>
    </row>
    <row r="876" s="18" customFormat="1" spans="1:29">
      <c r="A876" s="18" t="s">
        <v>2223</v>
      </c>
      <c r="B876" s="25" t="s">
        <v>2223</v>
      </c>
      <c r="C876" s="26">
        <v>45691</v>
      </c>
      <c r="D876" s="18" t="s">
        <v>2224</v>
      </c>
      <c r="E876" s="18" t="str">
        <f t="shared" si="13"/>
        <v>Khushi Khare  </v>
      </c>
      <c r="F876" s="27" t="e">
        <v>#N/A</v>
      </c>
      <c r="G876" s="18" t="s">
        <v>147</v>
      </c>
      <c r="H876" s="18" t="s">
        <v>148</v>
      </c>
      <c r="I876" s="18" t="s">
        <v>207</v>
      </c>
      <c r="J876" s="18" t="s">
        <v>149</v>
      </c>
      <c r="K876" s="18" t="s">
        <v>56</v>
      </c>
      <c r="L876" s="18" t="s">
        <v>36</v>
      </c>
      <c r="N876" s="18">
        <v>6</v>
      </c>
      <c r="O876" s="18" t="s">
        <v>93</v>
      </c>
      <c r="P876" s="18" t="s">
        <v>38</v>
      </c>
      <c r="Q876" s="18" t="s">
        <v>58</v>
      </c>
      <c r="R876" s="18" t="s">
        <v>59</v>
      </c>
      <c r="S876" s="18" t="s">
        <v>60</v>
      </c>
      <c r="T876" s="18" t="b">
        <v>1</v>
      </c>
      <c r="U876" s="18" t="s">
        <v>150</v>
      </c>
      <c r="V876" s="18" t="s">
        <v>40</v>
      </c>
      <c r="W876" s="18" t="s">
        <v>126</v>
      </c>
      <c r="X876" s="18" t="s">
        <v>127</v>
      </c>
      <c r="Y876" s="18">
        <v>1</v>
      </c>
      <c r="Z876" s="18">
        <v>3340</v>
      </c>
      <c r="AA876" s="18" t="s">
        <v>2225</v>
      </c>
      <c r="AB876" s="18" t="s">
        <v>2226</v>
      </c>
      <c r="AC876" s="18" t="e">
        <v>#N/A</v>
      </c>
    </row>
    <row r="877" s="18" customFormat="1" spans="1:29">
      <c r="A877" s="18" t="s">
        <v>2227</v>
      </c>
      <c r="B877" s="25" t="s">
        <v>2227</v>
      </c>
      <c r="C877" s="26">
        <v>45691</v>
      </c>
      <c r="D877" s="18" t="s">
        <v>2228</v>
      </c>
      <c r="E877" s="18" t="str">
        <f t="shared" si="13"/>
        <v>Shruti Gupta  </v>
      </c>
      <c r="F877" s="27" t="e">
        <v>#N/A</v>
      </c>
      <c r="G877" s="18" t="s">
        <v>147</v>
      </c>
      <c r="H877" s="18" t="s">
        <v>148</v>
      </c>
      <c r="I877" s="18" t="s">
        <v>207</v>
      </c>
      <c r="J877" s="18" t="s">
        <v>149</v>
      </c>
      <c r="K877" s="18" t="s">
        <v>56</v>
      </c>
      <c r="L877" s="18" t="s">
        <v>36</v>
      </c>
      <c r="N877" s="18">
        <v>6</v>
      </c>
      <c r="O877" s="18" t="s">
        <v>93</v>
      </c>
      <c r="P877" s="18" t="s">
        <v>38</v>
      </c>
      <c r="Q877" s="18" t="s">
        <v>58</v>
      </c>
      <c r="R877" s="18" t="s">
        <v>59</v>
      </c>
      <c r="S877" s="18" t="s">
        <v>60</v>
      </c>
      <c r="T877" s="18" t="b">
        <v>1</v>
      </c>
      <c r="U877" s="18" t="s">
        <v>150</v>
      </c>
      <c r="V877" s="18" t="s">
        <v>40</v>
      </c>
      <c r="W877" s="18" t="s">
        <v>126</v>
      </c>
      <c r="X877" s="18" t="s">
        <v>127</v>
      </c>
      <c r="Y877" s="18">
        <v>1</v>
      </c>
      <c r="Z877" s="18">
        <v>5500</v>
      </c>
      <c r="AA877" s="18" t="s">
        <v>252</v>
      </c>
      <c r="AB877" s="18" t="s">
        <v>253</v>
      </c>
      <c r="AC877" s="18" t="e">
        <v>#N/A</v>
      </c>
    </row>
    <row r="878" s="18" customFormat="1" spans="1:29">
      <c r="A878" s="18" t="s">
        <v>2229</v>
      </c>
      <c r="B878" s="25" t="s">
        <v>2229</v>
      </c>
      <c r="C878" s="26">
        <v>45691</v>
      </c>
      <c r="D878" s="18" t="s">
        <v>2230</v>
      </c>
      <c r="E878" s="18" t="str">
        <f t="shared" si="13"/>
        <v>Sonia Thakur............ </v>
      </c>
      <c r="F878" s="27" t="e">
        <v>#N/A</v>
      </c>
      <c r="G878" s="18" t="s">
        <v>147</v>
      </c>
      <c r="H878" s="18" t="s">
        <v>148</v>
      </c>
      <c r="I878" s="18" t="s">
        <v>207</v>
      </c>
      <c r="J878" s="18" t="s">
        <v>149</v>
      </c>
      <c r="K878" s="18" t="s">
        <v>56</v>
      </c>
      <c r="L878" s="18" t="s">
        <v>36</v>
      </c>
      <c r="N878" s="18">
        <v>6</v>
      </c>
      <c r="O878" s="18" t="s">
        <v>93</v>
      </c>
      <c r="P878" s="18" t="s">
        <v>38</v>
      </c>
      <c r="Q878" s="18" t="s">
        <v>58</v>
      </c>
      <c r="R878" s="18" t="s">
        <v>59</v>
      </c>
      <c r="S878" s="18" t="s">
        <v>60</v>
      </c>
      <c r="T878" s="18" t="b">
        <v>1</v>
      </c>
      <c r="U878" s="18" t="s">
        <v>150</v>
      </c>
      <c r="V878" s="18" t="s">
        <v>40</v>
      </c>
      <c r="W878" s="18" t="s">
        <v>126</v>
      </c>
      <c r="X878" s="18" t="s">
        <v>127</v>
      </c>
      <c r="Y878" s="18">
        <v>1</v>
      </c>
      <c r="Z878" s="18">
        <v>5024</v>
      </c>
      <c r="AA878" s="18" t="s">
        <v>805</v>
      </c>
      <c r="AB878" s="18" t="s">
        <v>236</v>
      </c>
      <c r="AC878" s="18" t="e">
        <v>#N/A</v>
      </c>
    </row>
    <row r="879" s="18" customFormat="1" spans="1:29">
      <c r="A879" s="18" t="s">
        <v>2231</v>
      </c>
      <c r="B879" s="25" t="s">
        <v>2231</v>
      </c>
      <c r="C879" s="26">
        <v>45691</v>
      </c>
      <c r="D879" s="18" t="s">
        <v>1692</v>
      </c>
      <c r="E879" s="18" t="str">
        <f t="shared" si="13"/>
        <v>Subodh Kumar Singh  </v>
      </c>
      <c r="F879" s="27" t="e">
        <v>#N/A</v>
      </c>
      <c r="G879" s="18" t="s">
        <v>147</v>
      </c>
      <c r="H879" s="18" t="s">
        <v>148</v>
      </c>
      <c r="I879" s="18" t="s">
        <v>207</v>
      </c>
      <c r="J879" s="18" t="s">
        <v>466</v>
      </c>
      <c r="K879" s="18" t="s">
        <v>56</v>
      </c>
      <c r="L879" s="18" t="s">
        <v>36</v>
      </c>
      <c r="N879" s="18">
        <v>6</v>
      </c>
      <c r="O879" s="18" t="s">
        <v>93</v>
      </c>
      <c r="P879" s="18" t="s">
        <v>38</v>
      </c>
      <c r="Q879" s="18" t="s">
        <v>58</v>
      </c>
      <c r="R879" s="18" t="s">
        <v>59</v>
      </c>
      <c r="S879" s="18" t="s">
        <v>60</v>
      </c>
      <c r="T879" s="18" t="b">
        <v>1</v>
      </c>
      <c r="U879" s="18" t="s">
        <v>150</v>
      </c>
      <c r="V879" s="18" t="s">
        <v>40</v>
      </c>
      <c r="W879" s="18" t="s">
        <v>126</v>
      </c>
      <c r="X879" s="18" t="s">
        <v>127</v>
      </c>
      <c r="Y879" s="18">
        <v>1</v>
      </c>
      <c r="Z879" s="18">
        <v>500</v>
      </c>
      <c r="AA879" s="18" t="s">
        <v>1693</v>
      </c>
      <c r="AB879" s="18" t="s">
        <v>1694</v>
      </c>
      <c r="AC879" s="18" t="e">
        <v>#N/A</v>
      </c>
    </row>
    <row r="880" s="18" customFormat="1" spans="1:29">
      <c r="A880" s="18" t="s">
        <v>2232</v>
      </c>
      <c r="B880" s="25" t="s">
        <v>2232</v>
      </c>
      <c r="C880" s="26">
        <v>45691</v>
      </c>
      <c r="D880" s="18" t="s">
        <v>2233</v>
      </c>
      <c r="E880" s="18" t="str">
        <f t="shared" si="13"/>
        <v>Rahul Mehta  </v>
      </c>
      <c r="F880" s="27" t="e">
        <v>#N/A</v>
      </c>
      <c r="G880" s="18" t="s">
        <v>147</v>
      </c>
      <c r="H880" s="18" t="s">
        <v>148</v>
      </c>
      <c r="I880" s="18" t="s">
        <v>207</v>
      </c>
      <c r="J880" s="18" t="s">
        <v>395</v>
      </c>
      <c r="K880" s="18" t="s">
        <v>56</v>
      </c>
      <c r="L880" s="18" t="s">
        <v>36</v>
      </c>
      <c r="N880" s="18">
        <v>6</v>
      </c>
      <c r="O880" s="18" t="s">
        <v>93</v>
      </c>
      <c r="P880" s="18" t="s">
        <v>38</v>
      </c>
      <c r="Q880" s="18" t="s">
        <v>58</v>
      </c>
      <c r="R880" s="18" t="s">
        <v>59</v>
      </c>
      <c r="S880" s="18" t="s">
        <v>60</v>
      </c>
      <c r="T880" s="18" t="b">
        <v>1</v>
      </c>
      <c r="U880" s="18" t="s">
        <v>150</v>
      </c>
      <c r="V880" s="18" t="s">
        <v>40</v>
      </c>
      <c r="W880" s="18" t="s">
        <v>126</v>
      </c>
      <c r="X880" s="18" t="s">
        <v>127</v>
      </c>
      <c r="Y880" s="18">
        <v>1</v>
      </c>
      <c r="Z880" s="18">
        <v>8885</v>
      </c>
      <c r="AA880" s="18" t="s">
        <v>2234</v>
      </c>
      <c r="AB880" s="18" t="s">
        <v>2235</v>
      </c>
      <c r="AC880" s="18" t="e">
        <v>#N/A</v>
      </c>
    </row>
    <row r="881" s="18" customFormat="1" spans="1:29">
      <c r="A881" s="18" t="s">
        <v>2236</v>
      </c>
      <c r="B881" s="25" t="s">
        <v>2236</v>
      </c>
      <c r="C881" s="26">
        <v>45691</v>
      </c>
      <c r="D881" s="18" t="s">
        <v>2237</v>
      </c>
      <c r="E881" s="18" t="str">
        <f t="shared" si="13"/>
        <v>Arunima Sharma  </v>
      </c>
      <c r="F881" s="27" t="e">
        <v>#N/A</v>
      </c>
      <c r="G881" s="18" t="s">
        <v>147</v>
      </c>
      <c r="H881" s="18" t="s">
        <v>148</v>
      </c>
      <c r="I881" s="18" t="s">
        <v>207</v>
      </c>
      <c r="J881" s="18" t="s">
        <v>149</v>
      </c>
      <c r="K881" s="18" t="s">
        <v>56</v>
      </c>
      <c r="L881" s="18" t="s">
        <v>36</v>
      </c>
      <c r="N881" s="18">
        <v>6</v>
      </c>
      <c r="O881" s="18" t="s">
        <v>93</v>
      </c>
      <c r="P881" s="18" t="s">
        <v>38</v>
      </c>
      <c r="Q881" s="18" t="s">
        <v>58</v>
      </c>
      <c r="R881" s="18" t="s">
        <v>59</v>
      </c>
      <c r="S881" s="18" t="s">
        <v>60</v>
      </c>
      <c r="T881" s="18" t="b">
        <v>1</v>
      </c>
      <c r="U881" s="18" t="s">
        <v>150</v>
      </c>
      <c r="V881" s="18" t="s">
        <v>40</v>
      </c>
      <c r="W881" s="18" t="s">
        <v>126</v>
      </c>
      <c r="X881" s="18" t="s">
        <v>127</v>
      </c>
      <c r="Y881" s="18">
        <v>1</v>
      </c>
      <c r="Z881" s="18">
        <v>2601</v>
      </c>
      <c r="AA881" s="18" t="s">
        <v>2238</v>
      </c>
      <c r="AB881" s="18" t="s">
        <v>2239</v>
      </c>
      <c r="AC881" s="18" t="e">
        <v>#N/A</v>
      </c>
    </row>
    <row r="882" s="18" customFormat="1" spans="1:29">
      <c r="A882" s="18" t="s">
        <v>2240</v>
      </c>
      <c r="B882" s="25" t="s">
        <v>2240</v>
      </c>
      <c r="C882" s="26">
        <v>45691</v>
      </c>
      <c r="D882" s="18" t="s">
        <v>2241</v>
      </c>
      <c r="E882" s="18" t="str">
        <f t="shared" si="13"/>
        <v>Aishwarya Sakshi  </v>
      </c>
      <c r="F882" s="27" t="e">
        <v>#N/A</v>
      </c>
      <c r="G882" s="18" t="s">
        <v>147</v>
      </c>
      <c r="H882" s="18" t="s">
        <v>148</v>
      </c>
      <c r="I882" s="18" t="s">
        <v>207</v>
      </c>
      <c r="J882" s="18" t="s">
        <v>249</v>
      </c>
      <c r="K882" s="18" t="s">
        <v>56</v>
      </c>
      <c r="L882" s="18" t="s">
        <v>36</v>
      </c>
      <c r="N882" s="18">
        <v>6</v>
      </c>
      <c r="O882" s="18" t="s">
        <v>93</v>
      </c>
      <c r="P882" s="18" t="s">
        <v>38</v>
      </c>
      <c r="Q882" s="18" t="s">
        <v>58</v>
      </c>
      <c r="R882" s="18" t="s">
        <v>59</v>
      </c>
      <c r="S882" s="18" t="s">
        <v>60</v>
      </c>
      <c r="T882" s="18" t="b">
        <v>1</v>
      </c>
      <c r="U882" s="18" t="s">
        <v>150</v>
      </c>
      <c r="V882" s="18" t="s">
        <v>40</v>
      </c>
      <c r="W882" s="18" t="s">
        <v>126</v>
      </c>
      <c r="X882" s="18" t="s">
        <v>127</v>
      </c>
      <c r="Y882" s="18">
        <v>1</v>
      </c>
      <c r="Z882" s="18">
        <v>1612</v>
      </c>
      <c r="AA882" s="18" t="s">
        <v>2242</v>
      </c>
      <c r="AB882" s="18" t="s">
        <v>2243</v>
      </c>
      <c r="AC882" s="18" t="e">
        <v>#N/A</v>
      </c>
    </row>
    <row r="883" s="18" customFormat="1" spans="1:29">
      <c r="A883" s="18" t="s">
        <v>2244</v>
      </c>
      <c r="B883" s="25" t="s">
        <v>2244</v>
      </c>
      <c r="C883" s="26">
        <v>45691</v>
      </c>
      <c r="D883" s="18" t="s">
        <v>2245</v>
      </c>
      <c r="E883" s="18" t="str">
        <f t="shared" si="13"/>
        <v>Skeleton Dance Crew</v>
      </c>
      <c r="F883" s="27" t="s">
        <v>2246</v>
      </c>
      <c r="G883" s="18" t="s">
        <v>147</v>
      </c>
      <c r="H883" s="18" t="s">
        <v>148</v>
      </c>
      <c r="I883" s="18" t="s">
        <v>207</v>
      </c>
      <c r="J883" s="18" t="s">
        <v>1467</v>
      </c>
      <c r="K883" s="18" t="s">
        <v>56</v>
      </c>
      <c r="L883" s="18" t="s">
        <v>36</v>
      </c>
      <c r="N883" s="18">
        <v>6</v>
      </c>
      <c r="O883" s="18" t="s">
        <v>57</v>
      </c>
      <c r="P883" s="18" t="s">
        <v>38</v>
      </c>
      <c r="Q883" s="18" t="s">
        <v>58</v>
      </c>
      <c r="R883" s="18" t="s">
        <v>59</v>
      </c>
      <c r="S883" s="18" t="s">
        <v>60</v>
      </c>
      <c r="T883" s="18" t="b">
        <v>1</v>
      </c>
      <c r="U883" s="18" t="s">
        <v>150</v>
      </c>
      <c r="V883" s="18" t="s">
        <v>40</v>
      </c>
      <c r="W883" s="18" t="s">
        <v>250</v>
      </c>
      <c r="X883" s="18" t="s">
        <v>251</v>
      </c>
      <c r="Y883" s="18">
        <v>1</v>
      </c>
      <c r="Z883" s="18">
        <v>125000</v>
      </c>
      <c r="AA883" s="18" t="s">
        <v>1012</v>
      </c>
      <c r="AB883" s="18" t="s">
        <v>295</v>
      </c>
      <c r="AC883" s="18" t="s">
        <v>163</v>
      </c>
    </row>
    <row r="884" s="18" customFormat="1" spans="1:29">
      <c r="A884" s="18" t="s">
        <v>2247</v>
      </c>
      <c r="B884" s="25" t="s">
        <v>2247</v>
      </c>
      <c r="C884" s="26">
        <v>45691</v>
      </c>
      <c r="D884" s="18" t="s">
        <v>702</v>
      </c>
      <c r="E884" s="18" t="str">
        <f t="shared" si="13"/>
        <v>Shree Ram Computers</v>
      </c>
      <c r="F884" s="27" t="s">
        <v>703</v>
      </c>
      <c r="G884" s="18" t="s">
        <v>147</v>
      </c>
      <c r="H884" s="18" t="s">
        <v>148</v>
      </c>
      <c r="I884" s="18" t="s">
        <v>207</v>
      </c>
      <c r="J884" s="18" t="s">
        <v>1426</v>
      </c>
      <c r="K884" s="18" t="s">
        <v>56</v>
      </c>
      <c r="L884" s="18" t="s">
        <v>36</v>
      </c>
      <c r="N884" s="18">
        <v>6</v>
      </c>
      <c r="O884" s="18" t="s">
        <v>57</v>
      </c>
      <c r="P884" s="18" t="s">
        <v>38</v>
      </c>
      <c r="Q884" s="18" t="s">
        <v>58</v>
      </c>
      <c r="R884" s="18" t="s">
        <v>59</v>
      </c>
      <c r="S884" s="18" t="s">
        <v>60</v>
      </c>
      <c r="T884" s="18" t="b">
        <v>1</v>
      </c>
      <c r="U884" s="18" t="s">
        <v>150</v>
      </c>
      <c r="V884" s="18" t="s">
        <v>40</v>
      </c>
      <c r="W884" s="18" t="s">
        <v>704</v>
      </c>
      <c r="X884" s="18" t="s">
        <v>704</v>
      </c>
      <c r="Y884" s="18">
        <v>1</v>
      </c>
      <c r="Z884" s="18">
        <v>2320</v>
      </c>
      <c r="AA884" s="18" t="s">
        <v>516</v>
      </c>
      <c r="AB884" s="18" t="s">
        <v>173</v>
      </c>
      <c r="AC884" s="18" t="s">
        <v>163</v>
      </c>
    </row>
    <row r="885" s="18" customFormat="1" spans="1:29">
      <c r="A885" s="18" t="s">
        <v>2248</v>
      </c>
      <c r="B885" s="25" t="s">
        <v>2248</v>
      </c>
      <c r="C885" s="26">
        <v>45691</v>
      </c>
      <c r="D885" s="18" t="s">
        <v>472</v>
      </c>
      <c r="E885" s="18" t="e">
        <f t="shared" si="13"/>
        <v>#N/A</v>
      </c>
      <c r="F885" s="27" t="e">
        <v>#N/A</v>
      </c>
      <c r="G885" s="18" t="s">
        <v>147</v>
      </c>
      <c r="H885" s="18" t="s">
        <v>148</v>
      </c>
      <c r="I885" s="18" t="s">
        <v>207</v>
      </c>
      <c r="K885" s="18" t="s">
        <v>35</v>
      </c>
      <c r="L885" s="18" t="s">
        <v>36</v>
      </c>
      <c r="N885" s="18">
        <v>6</v>
      </c>
      <c r="P885" s="18" t="s">
        <v>38</v>
      </c>
      <c r="T885" s="18" t="b">
        <v>1</v>
      </c>
      <c r="U885" s="18" t="s">
        <v>150</v>
      </c>
      <c r="V885" s="18" t="s">
        <v>40</v>
      </c>
      <c r="W885" s="18" t="e">
        <v>#N/A</v>
      </c>
      <c r="X885" s="18" t="e">
        <v>#N/A</v>
      </c>
      <c r="Y885" s="18" t="e">
        <v>#N/A</v>
      </c>
      <c r="Z885" s="18" t="e">
        <v>#N/A</v>
      </c>
      <c r="AC885" s="18" t="e">
        <v>#N/A</v>
      </c>
    </row>
    <row r="886" s="18" customFormat="1" spans="1:29">
      <c r="A886" s="18" t="s">
        <v>2249</v>
      </c>
      <c r="B886" s="25" t="s">
        <v>2249</v>
      </c>
      <c r="C886" s="26">
        <v>45691</v>
      </c>
      <c r="D886" s="18" t="s">
        <v>2250</v>
      </c>
      <c r="E886" s="18" t="str">
        <f t="shared" si="13"/>
        <v>Zing Creations</v>
      </c>
      <c r="F886" s="27" t="s">
        <v>2251</v>
      </c>
      <c r="G886" s="18" t="s">
        <v>147</v>
      </c>
      <c r="H886" s="18" t="s">
        <v>148</v>
      </c>
      <c r="I886" s="18" t="s">
        <v>133</v>
      </c>
      <c r="J886" s="18" t="s">
        <v>1116</v>
      </c>
      <c r="K886" s="18" t="s">
        <v>56</v>
      </c>
      <c r="L886" s="18" t="s">
        <v>36</v>
      </c>
      <c r="N886" s="18">
        <v>6</v>
      </c>
      <c r="O886" s="18" t="s">
        <v>88</v>
      </c>
      <c r="P886" s="18" t="s">
        <v>38</v>
      </c>
      <c r="Q886" s="18" t="s">
        <v>117</v>
      </c>
      <c r="R886" s="18" t="s">
        <v>59</v>
      </c>
      <c r="S886" s="18" t="s">
        <v>118</v>
      </c>
      <c r="T886" s="18" t="b">
        <v>1</v>
      </c>
      <c r="U886" s="18" t="s">
        <v>150</v>
      </c>
      <c r="V886" s="18" t="s">
        <v>40</v>
      </c>
      <c r="W886" s="18" t="s">
        <v>151</v>
      </c>
      <c r="X886" s="18" t="s">
        <v>152</v>
      </c>
      <c r="Y886" s="18">
        <v>1</v>
      </c>
      <c r="Z886" s="18">
        <v>291200</v>
      </c>
      <c r="AA886" s="18" t="s">
        <v>121</v>
      </c>
      <c r="AB886" s="18" t="s">
        <v>122</v>
      </c>
      <c r="AC886" s="18" t="s">
        <v>163</v>
      </c>
    </row>
    <row r="887" s="18" customFormat="1" spans="1:29">
      <c r="A887" s="18" t="s">
        <v>2252</v>
      </c>
      <c r="B887" s="25" t="s">
        <v>2252</v>
      </c>
      <c r="C887" s="26">
        <v>45691</v>
      </c>
      <c r="D887" s="18" t="s">
        <v>2253</v>
      </c>
      <c r="E887" s="18" t="str">
        <f t="shared" si="13"/>
        <v>Abhinava Ghosh</v>
      </c>
      <c r="F887" s="27" t="s">
        <v>2254</v>
      </c>
      <c r="G887" s="18" t="s">
        <v>147</v>
      </c>
      <c r="H887" s="18" t="s">
        <v>148</v>
      </c>
      <c r="I887" s="18" t="s">
        <v>207</v>
      </c>
      <c r="J887" s="18" t="s">
        <v>395</v>
      </c>
      <c r="K887" s="18" t="s">
        <v>56</v>
      </c>
      <c r="L887" s="18" t="s">
        <v>36</v>
      </c>
      <c r="N887" s="18">
        <v>6</v>
      </c>
      <c r="O887" s="18" t="s">
        <v>57</v>
      </c>
      <c r="P887" s="18" t="s">
        <v>38</v>
      </c>
      <c r="Q887" s="18" t="s">
        <v>58</v>
      </c>
      <c r="R887" s="18" t="s">
        <v>59</v>
      </c>
      <c r="S887" s="18" t="s">
        <v>60</v>
      </c>
      <c r="T887" s="18" t="b">
        <v>1</v>
      </c>
      <c r="U887" s="18" t="s">
        <v>150</v>
      </c>
      <c r="V887" s="18" t="s">
        <v>40</v>
      </c>
      <c r="W887" s="18" t="s">
        <v>347</v>
      </c>
      <c r="X887" s="18" t="s">
        <v>348</v>
      </c>
      <c r="Y887" s="18">
        <v>1</v>
      </c>
      <c r="Z887" s="18">
        <v>45833</v>
      </c>
      <c r="AA887" s="18" t="s">
        <v>2255</v>
      </c>
      <c r="AB887" s="18" t="s">
        <v>844</v>
      </c>
      <c r="AC887" s="18" t="e">
        <v>#N/A</v>
      </c>
    </row>
    <row r="888" s="18" customFormat="1" spans="1:29">
      <c r="A888" s="18" t="s">
        <v>2256</v>
      </c>
      <c r="B888" s="25" t="s">
        <v>2256</v>
      </c>
      <c r="C888" s="26">
        <v>45691</v>
      </c>
      <c r="D888" s="18" t="s">
        <v>1519</v>
      </c>
      <c r="E888" s="18" t="str">
        <f t="shared" si="13"/>
        <v>Shardul Singh</v>
      </c>
      <c r="F888" s="27" t="s">
        <v>1520</v>
      </c>
      <c r="G888" s="18" t="s">
        <v>147</v>
      </c>
      <c r="H888" s="18" t="s">
        <v>148</v>
      </c>
      <c r="I888" s="18" t="s">
        <v>207</v>
      </c>
      <c r="J888" s="18" t="s">
        <v>149</v>
      </c>
      <c r="K888" s="18" t="s">
        <v>56</v>
      </c>
      <c r="L888" s="18" t="s">
        <v>36</v>
      </c>
      <c r="N888" s="18">
        <v>6</v>
      </c>
      <c r="O888" s="18" t="s">
        <v>57</v>
      </c>
      <c r="P888" s="18" t="s">
        <v>38</v>
      </c>
      <c r="Q888" s="18" t="s">
        <v>58</v>
      </c>
      <c r="R888" s="18" t="s">
        <v>59</v>
      </c>
      <c r="S888" s="18" t="s">
        <v>60</v>
      </c>
      <c r="T888" s="18" t="b">
        <v>1</v>
      </c>
      <c r="U888" s="18" t="s">
        <v>150</v>
      </c>
      <c r="V888" s="18" t="s">
        <v>40</v>
      </c>
      <c r="W888" s="18" t="s">
        <v>347</v>
      </c>
      <c r="X888" s="18" t="s">
        <v>348</v>
      </c>
      <c r="Y888" s="18">
        <v>1</v>
      </c>
      <c r="Z888" s="18">
        <v>45833</v>
      </c>
      <c r="AA888" s="18" t="s">
        <v>2255</v>
      </c>
      <c r="AB888" s="18" t="s">
        <v>844</v>
      </c>
      <c r="AC888" s="18" t="e">
        <v>#N/A</v>
      </c>
    </row>
    <row r="889" s="18" customFormat="1" spans="1:29">
      <c r="A889" s="18" t="s">
        <v>2257</v>
      </c>
      <c r="B889" s="25" t="s">
        <v>2257</v>
      </c>
      <c r="C889" s="26">
        <v>45691</v>
      </c>
      <c r="D889" s="18" t="s">
        <v>1020</v>
      </c>
      <c r="E889" s="18" t="str">
        <f t="shared" si="13"/>
        <v>Pankaj Lohini</v>
      </c>
      <c r="F889" s="27" t="s">
        <v>1021</v>
      </c>
      <c r="G889" s="18" t="s">
        <v>147</v>
      </c>
      <c r="H889" s="18" t="s">
        <v>148</v>
      </c>
      <c r="I889" s="18" t="s">
        <v>207</v>
      </c>
      <c r="J889" s="18" t="s">
        <v>466</v>
      </c>
      <c r="K889" s="18" t="s">
        <v>56</v>
      </c>
      <c r="L889" s="18" t="s">
        <v>36</v>
      </c>
      <c r="N889" s="18">
        <v>6</v>
      </c>
      <c r="O889" s="18" t="s">
        <v>57</v>
      </c>
      <c r="P889" s="18" t="s">
        <v>38</v>
      </c>
      <c r="Q889" s="18" t="s">
        <v>58</v>
      </c>
      <c r="R889" s="18" t="s">
        <v>59</v>
      </c>
      <c r="S889" s="18" t="s">
        <v>60</v>
      </c>
      <c r="T889" s="18" t="b">
        <v>1</v>
      </c>
      <c r="U889" s="18" t="s">
        <v>150</v>
      </c>
      <c r="V889" s="18" t="s">
        <v>40</v>
      </c>
      <c r="W889" s="18" t="s">
        <v>347</v>
      </c>
      <c r="X889" s="18" t="s">
        <v>348</v>
      </c>
      <c r="Y889" s="18">
        <v>1</v>
      </c>
      <c r="Z889" s="18">
        <v>23000</v>
      </c>
      <c r="AA889" s="18" t="s">
        <v>2255</v>
      </c>
      <c r="AB889" s="18" t="s">
        <v>844</v>
      </c>
      <c r="AC889" s="18" t="e">
        <v>#N/A</v>
      </c>
    </row>
    <row r="890" s="18" customFormat="1" spans="1:29">
      <c r="A890" s="18" t="s">
        <v>2258</v>
      </c>
      <c r="B890" s="25" t="s">
        <v>2258</v>
      </c>
      <c r="C890" s="26">
        <v>45691</v>
      </c>
      <c r="D890" s="18" t="s">
        <v>2259</v>
      </c>
      <c r="E890" s="18" t="str">
        <f t="shared" si="13"/>
        <v>Harjinder Singh</v>
      </c>
      <c r="F890" s="27" t="s">
        <v>2260</v>
      </c>
      <c r="G890" s="18" t="s">
        <v>147</v>
      </c>
      <c r="H890" s="18" t="s">
        <v>148</v>
      </c>
      <c r="I890" s="18" t="s">
        <v>207</v>
      </c>
      <c r="J890" s="18" t="s">
        <v>149</v>
      </c>
      <c r="K890" s="18" t="s">
        <v>56</v>
      </c>
      <c r="L890" s="18" t="s">
        <v>36</v>
      </c>
      <c r="N890" s="18">
        <v>6</v>
      </c>
      <c r="O890" s="18" t="s">
        <v>57</v>
      </c>
      <c r="P890" s="18" t="s">
        <v>38</v>
      </c>
      <c r="Q890" s="18" t="s">
        <v>58</v>
      </c>
      <c r="R890" s="18" t="s">
        <v>59</v>
      </c>
      <c r="S890" s="18" t="s">
        <v>60</v>
      </c>
      <c r="T890" s="18" t="b">
        <v>1</v>
      </c>
      <c r="U890" s="18" t="s">
        <v>150</v>
      </c>
      <c r="V890" s="18" t="s">
        <v>40</v>
      </c>
      <c r="W890" s="18" t="s">
        <v>347</v>
      </c>
      <c r="X890" s="18" t="s">
        <v>348</v>
      </c>
      <c r="Y890" s="18">
        <v>1</v>
      </c>
      <c r="Z890" s="18">
        <v>23000</v>
      </c>
      <c r="AA890" s="18" t="s">
        <v>2255</v>
      </c>
      <c r="AB890" s="18" t="s">
        <v>844</v>
      </c>
      <c r="AC890" s="18" t="e">
        <v>#N/A</v>
      </c>
    </row>
    <row r="891" s="18" customFormat="1" spans="1:29">
      <c r="A891" s="18" t="s">
        <v>2261</v>
      </c>
      <c r="B891" s="25" t="s">
        <v>2261</v>
      </c>
      <c r="C891" s="26">
        <v>45691</v>
      </c>
      <c r="D891" s="18" t="s">
        <v>2262</v>
      </c>
      <c r="E891" s="18" t="str">
        <f t="shared" si="13"/>
        <v>Ajay Sharma</v>
      </c>
      <c r="F891" s="27" t="s">
        <v>2263</v>
      </c>
      <c r="G891" s="18" t="s">
        <v>147</v>
      </c>
      <c r="H891" s="18" t="s">
        <v>148</v>
      </c>
      <c r="I891" s="18" t="s">
        <v>207</v>
      </c>
      <c r="J891" s="18" t="s">
        <v>2264</v>
      </c>
      <c r="K891" s="18" t="s">
        <v>56</v>
      </c>
      <c r="L891" s="18" t="s">
        <v>36</v>
      </c>
      <c r="N891" s="18">
        <v>6</v>
      </c>
      <c r="O891" s="18" t="s">
        <v>57</v>
      </c>
      <c r="P891" s="18" t="s">
        <v>38</v>
      </c>
      <c r="Q891" s="18" t="s">
        <v>58</v>
      </c>
      <c r="R891" s="18" t="s">
        <v>59</v>
      </c>
      <c r="S891" s="18" t="s">
        <v>60</v>
      </c>
      <c r="T891" s="18" t="b">
        <v>1</v>
      </c>
      <c r="U891" s="18" t="s">
        <v>150</v>
      </c>
      <c r="V891" s="18" t="s">
        <v>40</v>
      </c>
      <c r="W891" s="18" t="s">
        <v>347</v>
      </c>
      <c r="X891" s="18" t="s">
        <v>348</v>
      </c>
      <c r="Y891" s="18">
        <v>1</v>
      </c>
      <c r="Z891" s="18">
        <v>45000</v>
      </c>
      <c r="AA891" s="18" t="s">
        <v>843</v>
      </c>
      <c r="AB891" s="18" t="s">
        <v>844</v>
      </c>
      <c r="AC891" s="18" t="e">
        <v>#N/A</v>
      </c>
    </row>
    <row r="892" s="18" customFormat="1" spans="1:29">
      <c r="A892" s="18" t="s">
        <v>2265</v>
      </c>
      <c r="B892" s="25" t="s">
        <v>2265</v>
      </c>
      <c r="C892" s="26">
        <v>45691</v>
      </c>
      <c r="D892" s="18" t="s">
        <v>2266</v>
      </c>
      <c r="E892" s="18" t="str">
        <f t="shared" si="13"/>
        <v>Arudhi Sharma</v>
      </c>
      <c r="F892" s="27" t="s">
        <v>2267</v>
      </c>
      <c r="G892" s="18" t="s">
        <v>147</v>
      </c>
      <c r="H892" s="18" t="s">
        <v>148</v>
      </c>
      <c r="I892" s="18" t="s">
        <v>159</v>
      </c>
      <c r="J892" s="18" t="s">
        <v>1098</v>
      </c>
      <c r="K892" s="18" t="s">
        <v>56</v>
      </c>
      <c r="L892" s="18" t="s">
        <v>36</v>
      </c>
      <c r="N892" s="18">
        <v>6</v>
      </c>
      <c r="O892" s="18" t="s">
        <v>57</v>
      </c>
      <c r="P892" s="18" t="s">
        <v>38</v>
      </c>
      <c r="Q892" s="18" t="s">
        <v>58</v>
      </c>
      <c r="R892" s="18" t="s">
        <v>59</v>
      </c>
      <c r="S892" s="18" t="s">
        <v>60</v>
      </c>
      <c r="T892" s="18" t="b">
        <v>1</v>
      </c>
      <c r="U892" s="18" t="s">
        <v>150</v>
      </c>
      <c r="V892" s="18" t="s">
        <v>40</v>
      </c>
      <c r="W892" s="18" t="s">
        <v>347</v>
      </c>
      <c r="X892" s="18" t="s">
        <v>348</v>
      </c>
      <c r="Y892" s="18">
        <v>1</v>
      </c>
      <c r="Z892" s="18">
        <v>30000</v>
      </c>
      <c r="AA892" s="18" t="s">
        <v>2268</v>
      </c>
      <c r="AB892" s="18" t="s">
        <v>2269</v>
      </c>
      <c r="AC892" s="18" t="e">
        <v>#N/A</v>
      </c>
    </row>
    <row r="893" s="18" customFormat="1" spans="1:29">
      <c r="A893" s="18" t="s">
        <v>2270</v>
      </c>
      <c r="B893" s="25" t="s">
        <v>2270</v>
      </c>
      <c r="C893" s="26">
        <v>45691</v>
      </c>
      <c r="D893" s="18" t="s">
        <v>841</v>
      </c>
      <c r="E893" s="18" t="str">
        <f t="shared" si="13"/>
        <v>Vijayant Singh</v>
      </c>
      <c r="F893" s="27" t="s">
        <v>842</v>
      </c>
      <c r="G893" s="18" t="s">
        <v>147</v>
      </c>
      <c r="H893" s="18" t="s">
        <v>148</v>
      </c>
      <c r="I893" s="18" t="s">
        <v>207</v>
      </c>
      <c r="J893" s="18" t="s">
        <v>249</v>
      </c>
      <c r="K893" s="18" t="s">
        <v>56</v>
      </c>
      <c r="L893" s="18" t="s">
        <v>36</v>
      </c>
      <c r="N893" s="18">
        <v>6</v>
      </c>
      <c r="O893" s="18" t="s">
        <v>57</v>
      </c>
      <c r="P893" s="18" t="s">
        <v>38</v>
      </c>
      <c r="Q893" s="18" t="s">
        <v>58</v>
      </c>
      <c r="R893" s="18" t="s">
        <v>59</v>
      </c>
      <c r="S893" s="18" t="s">
        <v>60</v>
      </c>
      <c r="T893" s="18" t="b">
        <v>1</v>
      </c>
      <c r="U893" s="18" t="s">
        <v>150</v>
      </c>
      <c r="V893" s="18" t="s">
        <v>40</v>
      </c>
      <c r="W893" s="18" t="s">
        <v>347</v>
      </c>
      <c r="X893" s="18" t="s">
        <v>348</v>
      </c>
      <c r="Y893" s="18">
        <v>1</v>
      </c>
      <c r="Z893" s="18">
        <v>43333</v>
      </c>
      <c r="AA893" s="18" t="s">
        <v>843</v>
      </c>
      <c r="AB893" s="18" t="s">
        <v>844</v>
      </c>
      <c r="AC893" s="18" t="e">
        <v>#N/A</v>
      </c>
    </row>
    <row r="894" s="18" customFormat="1" spans="1:29">
      <c r="A894" s="18" t="s">
        <v>2271</v>
      </c>
      <c r="B894" s="25" t="s">
        <v>2271</v>
      </c>
      <c r="C894" s="26">
        <v>45691</v>
      </c>
      <c r="D894" s="18" t="s">
        <v>2272</v>
      </c>
      <c r="E894" s="18" t="str">
        <f t="shared" si="13"/>
        <v>Kailash Chander Pant</v>
      </c>
      <c r="F894" s="27" t="s">
        <v>2273</v>
      </c>
      <c r="G894" s="18" t="s">
        <v>147</v>
      </c>
      <c r="H894" s="18" t="s">
        <v>148</v>
      </c>
      <c r="I894" s="18" t="s">
        <v>207</v>
      </c>
      <c r="J894" s="18" t="s">
        <v>149</v>
      </c>
      <c r="K894" s="18" t="s">
        <v>56</v>
      </c>
      <c r="L894" s="18" t="s">
        <v>36</v>
      </c>
      <c r="N894" s="18">
        <v>6</v>
      </c>
      <c r="O894" s="18" t="s">
        <v>57</v>
      </c>
      <c r="P894" s="18" t="s">
        <v>38</v>
      </c>
      <c r="Q894" s="18" t="s">
        <v>58</v>
      </c>
      <c r="R894" s="18" t="s">
        <v>59</v>
      </c>
      <c r="S894" s="18" t="s">
        <v>60</v>
      </c>
      <c r="T894" s="18" t="b">
        <v>1</v>
      </c>
      <c r="U894" s="18" t="s">
        <v>150</v>
      </c>
      <c r="V894" s="18" t="s">
        <v>40</v>
      </c>
      <c r="W894" s="18" t="s">
        <v>347</v>
      </c>
      <c r="X894" s="18" t="s">
        <v>348</v>
      </c>
      <c r="Y894" s="18">
        <v>1</v>
      </c>
      <c r="Z894" s="18">
        <v>22000</v>
      </c>
      <c r="AA894" s="18" t="s">
        <v>843</v>
      </c>
      <c r="AB894" s="18" t="s">
        <v>844</v>
      </c>
      <c r="AC894" s="18" t="e">
        <v>#N/A</v>
      </c>
    </row>
    <row r="895" s="18" customFormat="1" ht="29" spans="1:29">
      <c r="A895" s="18" t="s">
        <v>2274</v>
      </c>
      <c r="B895" s="25" t="s">
        <v>2274</v>
      </c>
      <c r="C895" s="26">
        <v>45691</v>
      </c>
      <c r="D895" s="18" t="s">
        <v>2275</v>
      </c>
      <c r="E895" s="18" t="str">
        <f t="shared" si="13"/>
        <v>Atharva Shinde</v>
      </c>
      <c r="F895" s="27" t="s">
        <v>2276</v>
      </c>
      <c r="G895" s="18" t="s">
        <v>182</v>
      </c>
      <c r="H895" s="18" t="s">
        <v>183</v>
      </c>
      <c r="I895" s="18" t="s">
        <v>184</v>
      </c>
      <c r="J895" s="18" t="s">
        <v>2277</v>
      </c>
      <c r="K895" s="18" t="s">
        <v>56</v>
      </c>
      <c r="L895" s="18" t="s">
        <v>36</v>
      </c>
      <c r="N895" s="18">
        <v>6</v>
      </c>
      <c r="O895" s="18" t="s">
        <v>57</v>
      </c>
      <c r="P895" s="18" t="s">
        <v>38</v>
      </c>
      <c r="Q895" s="18" t="s">
        <v>194</v>
      </c>
      <c r="R895" s="18" t="s">
        <v>59</v>
      </c>
      <c r="S895" s="18" t="s">
        <v>195</v>
      </c>
      <c r="T895" s="18" t="b">
        <v>0</v>
      </c>
      <c r="U895" s="18" t="s">
        <v>187</v>
      </c>
      <c r="V895" s="18" t="s">
        <v>40</v>
      </c>
      <c r="W895" s="18" t="s">
        <v>347</v>
      </c>
      <c r="X895" s="18" t="s">
        <v>348</v>
      </c>
      <c r="Y895" s="18">
        <v>1</v>
      </c>
      <c r="Z895" s="18">
        <v>41250</v>
      </c>
      <c r="AA895" s="31" t="s">
        <v>2278</v>
      </c>
      <c r="AB895" s="18" t="s">
        <v>2279</v>
      </c>
      <c r="AC895" s="18" t="e">
        <v>#N/A</v>
      </c>
    </row>
    <row r="896" s="18" customFormat="1" ht="29" spans="1:29">
      <c r="A896" s="18" t="s">
        <v>2280</v>
      </c>
      <c r="B896" s="25" t="s">
        <v>2280</v>
      </c>
      <c r="C896" s="26">
        <v>45691</v>
      </c>
      <c r="D896" s="18" t="s">
        <v>572</v>
      </c>
      <c r="E896" s="18" t="str">
        <f t="shared" si="13"/>
        <v>Emblaze Events (Sunita Harihar Sharma)</v>
      </c>
      <c r="F896" s="27" t="s">
        <v>573</v>
      </c>
      <c r="G896" s="18" t="s">
        <v>182</v>
      </c>
      <c r="H896" s="18" t="s">
        <v>183</v>
      </c>
      <c r="I896" s="18" t="s">
        <v>184</v>
      </c>
      <c r="J896" s="18" t="s">
        <v>2171</v>
      </c>
      <c r="K896" s="18" t="s">
        <v>56</v>
      </c>
      <c r="L896" s="18" t="s">
        <v>36</v>
      </c>
      <c r="N896" s="18">
        <v>6</v>
      </c>
      <c r="O896" s="18" t="s">
        <v>88</v>
      </c>
      <c r="P896" s="18" t="s">
        <v>38</v>
      </c>
      <c r="Q896" s="18" t="s">
        <v>194</v>
      </c>
      <c r="R896" s="18" t="s">
        <v>59</v>
      </c>
      <c r="S896" s="18" t="s">
        <v>195</v>
      </c>
      <c r="T896" s="18" t="b">
        <v>0</v>
      </c>
      <c r="U896" s="18" t="s">
        <v>187</v>
      </c>
      <c r="V896" s="18" t="s">
        <v>40</v>
      </c>
      <c r="W896" s="18" t="s">
        <v>292</v>
      </c>
      <c r="X896" s="18" t="s">
        <v>293</v>
      </c>
      <c r="Y896" s="18">
        <v>1</v>
      </c>
      <c r="Z896" s="18">
        <v>29600</v>
      </c>
      <c r="AA896" s="31" t="s">
        <v>198</v>
      </c>
      <c r="AB896" s="18" t="s">
        <v>199</v>
      </c>
      <c r="AC896" s="18" t="s">
        <v>200</v>
      </c>
    </row>
    <row r="897" s="18" customFormat="1" ht="29" spans="1:29">
      <c r="A897" s="18" t="s">
        <v>2281</v>
      </c>
      <c r="B897" s="25" t="s">
        <v>2281</v>
      </c>
      <c r="C897" s="26">
        <v>45691</v>
      </c>
      <c r="D897" s="18" t="s">
        <v>2282</v>
      </c>
      <c r="E897" s="18" t="str">
        <f t="shared" si="13"/>
        <v>Balaji Enterprises (Vinod Dalvi)</v>
      </c>
      <c r="F897" s="27" t="s">
        <v>2283</v>
      </c>
      <c r="G897" s="18" t="s">
        <v>182</v>
      </c>
      <c r="H897" s="18" t="s">
        <v>183</v>
      </c>
      <c r="I897" s="18" t="s">
        <v>184</v>
      </c>
      <c r="J897" s="18" t="s">
        <v>2171</v>
      </c>
      <c r="K897" s="18" t="s">
        <v>56</v>
      </c>
      <c r="L897" s="18" t="s">
        <v>36</v>
      </c>
      <c r="N897" s="18">
        <v>6</v>
      </c>
      <c r="O897" s="18" t="s">
        <v>88</v>
      </c>
      <c r="P897" s="18" t="s">
        <v>38</v>
      </c>
      <c r="Q897" s="18" t="s">
        <v>194</v>
      </c>
      <c r="R897" s="18" t="s">
        <v>59</v>
      </c>
      <c r="S897" s="18" t="s">
        <v>195</v>
      </c>
      <c r="T897" s="18" t="b">
        <v>0</v>
      </c>
      <c r="U897" s="18" t="s">
        <v>187</v>
      </c>
      <c r="V897" s="18" t="s">
        <v>40</v>
      </c>
      <c r="W897" s="18" t="s">
        <v>196</v>
      </c>
      <c r="X897" s="18" t="s">
        <v>197</v>
      </c>
      <c r="Y897" s="18">
        <v>1</v>
      </c>
      <c r="Z897" s="18">
        <v>6321</v>
      </c>
      <c r="AA897" s="31" t="s">
        <v>198</v>
      </c>
      <c r="AB897" s="18" t="s">
        <v>199</v>
      </c>
      <c r="AC897" s="18" t="s">
        <v>200</v>
      </c>
    </row>
    <row r="898" s="18" customFormat="1" ht="29" spans="1:29">
      <c r="A898" s="18" t="s">
        <v>2284</v>
      </c>
      <c r="B898" s="25" t="s">
        <v>2284</v>
      </c>
      <c r="C898" s="26">
        <v>45691</v>
      </c>
      <c r="D898" s="18" t="s">
        <v>192</v>
      </c>
      <c r="E898" s="18" t="str">
        <f t="shared" si="13"/>
        <v>Noaman Digital Partnership Firm</v>
      </c>
      <c r="F898" s="27" t="e">
        <v>#N/A</v>
      </c>
      <c r="G898" s="18" t="s">
        <v>182</v>
      </c>
      <c r="H898" s="18" t="s">
        <v>183</v>
      </c>
      <c r="I898" s="18" t="s">
        <v>184</v>
      </c>
      <c r="J898" s="18" t="s">
        <v>2171</v>
      </c>
      <c r="K898" s="18" t="s">
        <v>56</v>
      </c>
      <c r="L898" s="18" t="s">
        <v>36</v>
      </c>
      <c r="N898" s="18">
        <v>6</v>
      </c>
      <c r="O898" s="18" t="s">
        <v>88</v>
      </c>
      <c r="P898" s="18" t="s">
        <v>38</v>
      </c>
      <c r="Q898" s="18" t="s">
        <v>194</v>
      </c>
      <c r="R898" s="18" t="s">
        <v>59</v>
      </c>
      <c r="S898" s="18" t="s">
        <v>195</v>
      </c>
      <c r="T898" s="18" t="b">
        <v>0</v>
      </c>
      <c r="U898" s="18" t="s">
        <v>187</v>
      </c>
      <c r="V898" s="18" t="s">
        <v>40</v>
      </c>
      <c r="W898" s="18" t="s">
        <v>196</v>
      </c>
      <c r="X898" s="18" t="s">
        <v>197</v>
      </c>
      <c r="Y898" s="18">
        <v>1</v>
      </c>
      <c r="Z898" s="18">
        <v>80020</v>
      </c>
      <c r="AA898" s="31" t="s">
        <v>198</v>
      </c>
      <c r="AB898" s="18" t="s">
        <v>199</v>
      </c>
      <c r="AC898" s="18" t="s">
        <v>200</v>
      </c>
    </row>
    <row r="899" s="18" customFormat="1" ht="29" spans="1:29">
      <c r="A899" s="18" t="s">
        <v>2285</v>
      </c>
      <c r="B899" s="25" t="s">
        <v>2285</v>
      </c>
      <c r="C899" s="26">
        <v>45691</v>
      </c>
      <c r="D899" s="18" t="s">
        <v>1225</v>
      </c>
      <c r="E899" s="18" t="str">
        <f t="shared" ref="E899:E962" si="14">_xlfn.TEXTBEFORE(D899,"-")</f>
        <v>Pyramid Production</v>
      </c>
      <c r="F899" s="27" t="s">
        <v>1226</v>
      </c>
      <c r="G899" s="18" t="s">
        <v>182</v>
      </c>
      <c r="H899" s="18" t="s">
        <v>183</v>
      </c>
      <c r="I899" s="18" t="s">
        <v>184</v>
      </c>
      <c r="J899" s="18" t="s">
        <v>2286</v>
      </c>
      <c r="K899" s="18" t="s">
        <v>56</v>
      </c>
      <c r="L899" s="18" t="s">
        <v>36</v>
      </c>
      <c r="N899" s="18">
        <v>6</v>
      </c>
      <c r="O899" s="18" t="s">
        <v>88</v>
      </c>
      <c r="P899" s="18" t="s">
        <v>38</v>
      </c>
      <c r="Q899" s="18" t="s">
        <v>194</v>
      </c>
      <c r="R899" s="18" t="s">
        <v>59</v>
      </c>
      <c r="S899" s="18" t="s">
        <v>195</v>
      </c>
      <c r="T899" s="18" t="b">
        <v>0</v>
      </c>
      <c r="U899" s="18" t="s">
        <v>187</v>
      </c>
      <c r="V899" s="18" t="s">
        <v>40</v>
      </c>
      <c r="W899" s="18" t="s">
        <v>151</v>
      </c>
      <c r="X899" s="18" t="s">
        <v>152</v>
      </c>
      <c r="Y899" s="18">
        <v>1</v>
      </c>
      <c r="Z899" s="18">
        <v>260000</v>
      </c>
      <c r="AA899" s="31" t="s">
        <v>198</v>
      </c>
      <c r="AB899" s="18" t="s">
        <v>199</v>
      </c>
      <c r="AC899" s="18" t="s">
        <v>200</v>
      </c>
    </row>
    <row r="900" s="18" customFormat="1" ht="29" spans="1:29">
      <c r="A900" s="18" t="s">
        <v>2287</v>
      </c>
      <c r="B900" s="25" t="s">
        <v>2287</v>
      </c>
      <c r="C900" s="26">
        <v>45691</v>
      </c>
      <c r="D900" s="18" t="s">
        <v>2053</v>
      </c>
      <c r="E900" s="18" t="str">
        <f t="shared" si="14"/>
        <v>Sound.Com Pvt Ltd</v>
      </c>
      <c r="F900" s="27" t="s">
        <v>2054</v>
      </c>
      <c r="G900" s="18" t="s">
        <v>182</v>
      </c>
      <c r="H900" s="18" t="s">
        <v>183</v>
      </c>
      <c r="I900" s="18" t="s">
        <v>184</v>
      </c>
      <c r="J900" s="18" t="s">
        <v>2171</v>
      </c>
      <c r="K900" s="18" t="s">
        <v>56</v>
      </c>
      <c r="L900" s="18" t="s">
        <v>36</v>
      </c>
      <c r="N900" s="18">
        <v>6</v>
      </c>
      <c r="O900" s="18" t="s">
        <v>88</v>
      </c>
      <c r="P900" s="18" t="s">
        <v>38</v>
      </c>
      <c r="Q900" s="18" t="s">
        <v>194</v>
      </c>
      <c r="R900" s="18" t="s">
        <v>59</v>
      </c>
      <c r="S900" s="18" t="s">
        <v>195</v>
      </c>
      <c r="T900" s="18" t="b">
        <v>0</v>
      </c>
      <c r="U900" s="18" t="s">
        <v>187</v>
      </c>
      <c r="V900" s="18" t="s">
        <v>40</v>
      </c>
      <c r="W900" s="18" t="s">
        <v>371</v>
      </c>
      <c r="X900" s="18" t="s">
        <v>372</v>
      </c>
      <c r="Y900" s="18">
        <v>1</v>
      </c>
      <c r="Z900" s="18">
        <v>55000</v>
      </c>
      <c r="AA900" s="31" t="s">
        <v>968</v>
      </c>
      <c r="AB900" s="18" t="s">
        <v>969</v>
      </c>
      <c r="AC900" s="18" t="s">
        <v>200</v>
      </c>
    </row>
    <row r="901" s="18" customFormat="1" ht="29" spans="1:29">
      <c r="A901" s="18" t="s">
        <v>2288</v>
      </c>
      <c r="B901" s="25" t="s">
        <v>2288</v>
      </c>
      <c r="C901" s="26">
        <v>45691</v>
      </c>
      <c r="D901" s="18" t="s">
        <v>1981</v>
      </c>
      <c r="E901" s="18" t="str">
        <f t="shared" si="14"/>
        <v>Oriana Communications</v>
      </c>
      <c r="F901" s="27" t="s">
        <v>1982</v>
      </c>
      <c r="G901" s="18" t="s">
        <v>182</v>
      </c>
      <c r="H901" s="18" t="s">
        <v>183</v>
      </c>
      <c r="I901" s="18" t="s">
        <v>184</v>
      </c>
      <c r="J901" s="18" t="s">
        <v>2171</v>
      </c>
      <c r="K901" s="18" t="s">
        <v>56</v>
      </c>
      <c r="L901" s="18" t="s">
        <v>36</v>
      </c>
      <c r="N901" s="18">
        <v>6</v>
      </c>
      <c r="O901" s="18" t="s">
        <v>57</v>
      </c>
      <c r="P901" s="18" t="s">
        <v>38</v>
      </c>
      <c r="Q901" s="18" t="s">
        <v>194</v>
      </c>
      <c r="R901" s="18" t="s">
        <v>59</v>
      </c>
      <c r="S901" s="18" t="s">
        <v>195</v>
      </c>
      <c r="T901" s="18" t="b">
        <v>0</v>
      </c>
      <c r="U901" s="18" t="s">
        <v>187</v>
      </c>
      <c r="V901" s="18" t="s">
        <v>40</v>
      </c>
      <c r="W901" s="18" t="s">
        <v>371</v>
      </c>
      <c r="X901" s="18" t="s">
        <v>372</v>
      </c>
      <c r="Y901" s="18">
        <v>1</v>
      </c>
      <c r="Z901" s="18">
        <v>6500</v>
      </c>
      <c r="AA901" s="31" t="s">
        <v>968</v>
      </c>
      <c r="AB901" s="18" t="s">
        <v>969</v>
      </c>
      <c r="AC901" s="18" t="s">
        <v>200</v>
      </c>
    </row>
    <row r="902" s="18" customFormat="1" ht="29" spans="1:29">
      <c r="A902" s="18" t="s">
        <v>2289</v>
      </c>
      <c r="B902" s="25" t="s">
        <v>2289</v>
      </c>
      <c r="C902" s="26">
        <v>45691</v>
      </c>
      <c r="D902" s="18" t="s">
        <v>977</v>
      </c>
      <c r="E902" s="18" t="str">
        <f t="shared" si="14"/>
        <v>Videowaves</v>
      </c>
      <c r="F902" s="27" t="e">
        <v>#N/A</v>
      </c>
      <c r="G902" s="18" t="s">
        <v>182</v>
      </c>
      <c r="H902" s="18" t="s">
        <v>183</v>
      </c>
      <c r="I902" s="18" t="s">
        <v>184</v>
      </c>
      <c r="J902" s="18" t="s">
        <v>2171</v>
      </c>
      <c r="K902" s="18" t="s">
        <v>56</v>
      </c>
      <c r="L902" s="18" t="s">
        <v>36</v>
      </c>
      <c r="N902" s="18">
        <v>6</v>
      </c>
      <c r="O902" s="18" t="s">
        <v>88</v>
      </c>
      <c r="P902" s="18" t="s">
        <v>38</v>
      </c>
      <c r="Q902" s="18" t="s">
        <v>194</v>
      </c>
      <c r="R902" s="18" t="s">
        <v>59</v>
      </c>
      <c r="S902" s="18" t="s">
        <v>195</v>
      </c>
      <c r="T902" s="18" t="b">
        <v>0</v>
      </c>
      <c r="U902" s="18" t="s">
        <v>187</v>
      </c>
      <c r="V902" s="18" t="s">
        <v>40</v>
      </c>
      <c r="W902" s="18" t="s">
        <v>371</v>
      </c>
      <c r="X902" s="18" t="s">
        <v>372</v>
      </c>
      <c r="Y902" s="18">
        <v>1</v>
      </c>
      <c r="Z902" s="18">
        <v>125000</v>
      </c>
      <c r="AA902" s="31" t="s">
        <v>968</v>
      </c>
      <c r="AB902" s="18" t="s">
        <v>969</v>
      </c>
      <c r="AC902" s="18" t="s">
        <v>200</v>
      </c>
    </row>
    <row r="903" s="18" customFormat="1" ht="29" spans="1:29">
      <c r="A903" s="18" t="s">
        <v>2290</v>
      </c>
      <c r="B903" s="25" t="s">
        <v>2290</v>
      </c>
      <c r="C903" s="26">
        <v>45691</v>
      </c>
      <c r="D903" s="18" t="s">
        <v>974</v>
      </c>
      <c r="E903" s="18" t="str">
        <f t="shared" si="14"/>
        <v>Shiv Shakti Enterprises</v>
      </c>
      <c r="F903" s="27" t="s">
        <v>975</v>
      </c>
      <c r="G903" s="18" t="s">
        <v>182</v>
      </c>
      <c r="H903" s="18" t="s">
        <v>183</v>
      </c>
      <c r="I903" s="18" t="s">
        <v>184</v>
      </c>
      <c r="J903" s="18" t="s">
        <v>2171</v>
      </c>
      <c r="K903" s="18" t="s">
        <v>56</v>
      </c>
      <c r="L903" s="18" t="s">
        <v>36</v>
      </c>
      <c r="N903" s="18">
        <v>6</v>
      </c>
      <c r="O903" s="18" t="s">
        <v>57</v>
      </c>
      <c r="P903" s="18" t="s">
        <v>38</v>
      </c>
      <c r="Q903" s="18" t="s">
        <v>194</v>
      </c>
      <c r="R903" s="18" t="s">
        <v>59</v>
      </c>
      <c r="S903" s="18" t="s">
        <v>195</v>
      </c>
      <c r="T903" s="18" t="b">
        <v>0</v>
      </c>
      <c r="U903" s="18" t="s">
        <v>187</v>
      </c>
      <c r="V903" s="18" t="s">
        <v>40</v>
      </c>
      <c r="W903" s="18" t="s">
        <v>371</v>
      </c>
      <c r="X903" s="18" t="s">
        <v>372</v>
      </c>
      <c r="Y903" s="18">
        <v>1</v>
      </c>
      <c r="Z903" s="18">
        <v>45000</v>
      </c>
      <c r="AA903" s="31" t="s">
        <v>968</v>
      </c>
      <c r="AB903" s="18" t="s">
        <v>969</v>
      </c>
      <c r="AC903" s="18" t="s">
        <v>200</v>
      </c>
    </row>
    <row r="904" s="18" customFormat="1" ht="29" spans="1:29">
      <c r="A904" s="18" t="s">
        <v>2291</v>
      </c>
      <c r="B904" s="25" t="s">
        <v>2291</v>
      </c>
      <c r="C904" s="26">
        <v>45691</v>
      </c>
      <c r="D904" s="18" t="s">
        <v>1547</v>
      </c>
      <c r="E904" s="18" t="str">
        <f t="shared" si="14"/>
        <v>Shree Samarth Krupa Creation</v>
      </c>
      <c r="F904" s="27" t="s">
        <v>1548</v>
      </c>
      <c r="G904" s="18" t="s">
        <v>182</v>
      </c>
      <c r="H904" s="18" t="s">
        <v>183</v>
      </c>
      <c r="I904" s="18" t="s">
        <v>184</v>
      </c>
      <c r="J904" s="18" t="s">
        <v>2171</v>
      </c>
      <c r="K904" s="18" t="s">
        <v>56</v>
      </c>
      <c r="L904" s="18" t="s">
        <v>36</v>
      </c>
      <c r="N904" s="18">
        <v>6</v>
      </c>
      <c r="O904" s="18" t="s">
        <v>57</v>
      </c>
      <c r="P904" s="18" t="s">
        <v>38</v>
      </c>
      <c r="Q904" s="18" t="s">
        <v>194</v>
      </c>
      <c r="R904" s="18" t="s">
        <v>59</v>
      </c>
      <c r="S904" s="18" t="s">
        <v>195</v>
      </c>
      <c r="T904" s="18" t="b">
        <v>0</v>
      </c>
      <c r="U904" s="18" t="s">
        <v>187</v>
      </c>
      <c r="V904" s="18" t="s">
        <v>40</v>
      </c>
      <c r="W904" s="18" t="s">
        <v>401</v>
      </c>
      <c r="X904" s="18" t="s">
        <v>402</v>
      </c>
      <c r="Y904" s="18">
        <v>1</v>
      </c>
      <c r="Z904" s="18">
        <v>7500</v>
      </c>
      <c r="AA904" s="31" t="s">
        <v>968</v>
      </c>
      <c r="AB904" s="18" t="s">
        <v>969</v>
      </c>
      <c r="AC904" s="18" t="s">
        <v>200</v>
      </c>
    </row>
    <row r="905" s="18" customFormat="1" ht="29" spans="1:29">
      <c r="A905" s="18" t="s">
        <v>2292</v>
      </c>
      <c r="B905" s="25" t="s">
        <v>2292</v>
      </c>
      <c r="C905" s="26">
        <v>45691</v>
      </c>
      <c r="D905" s="18" t="s">
        <v>1957</v>
      </c>
      <c r="E905" s="18" t="str">
        <f t="shared" si="14"/>
        <v>Bizzaro Event</v>
      </c>
      <c r="F905" s="27" t="s">
        <v>1958</v>
      </c>
      <c r="G905" s="18" t="s">
        <v>182</v>
      </c>
      <c r="H905" s="18" t="s">
        <v>183</v>
      </c>
      <c r="I905" s="18" t="s">
        <v>184</v>
      </c>
      <c r="J905" s="18" t="s">
        <v>2171</v>
      </c>
      <c r="K905" s="18" t="s">
        <v>56</v>
      </c>
      <c r="L905" s="18" t="s">
        <v>36</v>
      </c>
      <c r="N905" s="18">
        <v>6</v>
      </c>
      <c r="O905" s="18" t="s">
        <v>88</v>
      </c>
      <c r="P905" s="18" t="s">
        <v>38</v>
      </c>
      <c r="Q905" s="18" t="s">
        <v>194</v>
      </c>
      <c r="R905" s="18" t="s">
        <v>59</v>
      </c>
      <c r="S905" s="18" t="s">
        <v>195</v>
      </c>
      <c r="T905" s="18" t="b">
        <v>0</v>
      </c>
      <c r="U905" s="18" t="s">
        <v>187</v>
      </c>
      <c r="V905" s="18" t="s">
        <v>40</v>
      </c>
      <c r="W905" s="18" t="s">
        <v>371</v>
      </c>
      <c r="X905" s="18" t="s">
        <v>372</v>
      </c>
      <c r="Y905" s="18">
        <v>1</v>
      </c>
      <c r="Z905" s="18">
        <v>7000</v>
      </c>
      <c r="AA905" s="31" t="s">
        <v>968</v>
      </c>
      <c r="AB905" s="18" t="s">
        <v>969</v>
      </c>
      <c r="AC905" s="18" t="s">
        <v>200</v>
      </c>
    </row>
    <row r="906" s="18" customFormat="1" ht="29" spans="1:29">
      <c r="A906" s="18" t="s">
        <v>2293</v>
      </c>
      <c r="B906" s="25" t="s">
        <v>2293</v>
      </c>
      <c r="C906" s="26">
        <v>45691</v>
      </c>
      <c r="D906" s="18" t="s">
        <v>1960</v>
      </c>
      <c r="E906" s="18" t="str">
        <f t="shared" si="14"/>
        <v>Shree Vision</v>
      </c>
      <c r="F906" s="27" t="s">
        <v>1961</v>
      </c>
      <c r="G906" s="18" t="s">
        <v>182</v>
      </c>
      <c r="H906" s="18" t="s">
        <v>183</v>
      </c>
      <c r="I906" s="18" t="s">
        <v>184</v>
      </c>
      <c r="J906" s="18" t="s">
        <v>2171</v>
      </c>
      <c r="K906" s="18" t="s">
        <v>56</v>
      </c>
      <c r="L906" s="18" t="s">
        <v>36</v>
      </c>
      <c r="N906" s="18">
        <v>6</v>
      </c>
      <c r="O906" s="18" t="s">
        <v>88</v>
      </c>
      <c r="P906" s="18" t="s">
        <v>38</v>
      </c>
      <c r="Q906" s="18" t="s">
        <v>194</v>
      </c>
      <c r="R906" s="18" t="s">
        <v>59</v>
      </c>
      <c r="S906" s="18" t="s">
        <v>195</v>
      </c>
      <c r="T906" s="18" t="b">
        <v>0</v>
      </c>
      <c r="U906" s="18" t="s">
        <v>187</v>
      </c>
      <c r="V906" s="18" t="s">
        <v>40</v>
      </c>
      <c r="W906" s="18" t="s">
        <v>990</v>
      </c>
      <c r="X906" s="18" t="s">
        <v>991</v>
      </c>
      <c r="Y906" s="18">
        <v>1</v>
      </c>
      <c r="Z906" s="18">
        <v>2400</v>
      </c>
      <c r="AA906" s="31" t="s">
        <v>968</v>
      </c>
      <c r="AB906" s="18" t="s">
        <v>969</v>
      </c>
      <c r="AC906" s="18" t="s">
        <v>200</v>
      </c>
    </row>
    <row r="907" s="18" customFormat="1" ht="29" spans="1:29">
      <c r="A907" s="18" t="s">
        <v>2294</v>
      </c>
      <c r="B907" s="25" t="s">
        <v>2294</v>
      </c>
      <c r="C907" s="26">
        <v>45691</v>
      </c>
      <c r="D907" s="18" t="s">
        <v>572</v>
      </c>
      <c r="E907" s="18" t="str">
        <f t="shared" si="14"/>
        <v>Emblaze Events (Sunita Harihar Sharma)</v>
      </c>
      <c r="F907" s="27" t="s">
        <v>573</v>
      </c>
      <c r="G907" s="18" t="s">
        <v>182</v>
      </c>
      <c r="H907" s="18" t="s">
        <v>183</v>
      </c>
      <c r="I907" s="18" t="s">
        <v>184</v>
      </c>
      <c r="J907" s="18" t="s">
        <v>1889</v>
      </c>
      <c r="K907" s="18" t="s">
        <v>56</v>
      </c>
      <c r="L907" s="18" t="s">
        <v>36</v>
      </c>
      <c r="N907" s="18">
        <v>6</v>
      </c>
      <c r="O907" s="18" t="s">
        <v>88</v>
      </c>
      <c r="P907" s="18" t="s">
        <v>38</v>
      </c>
      <c r="Q907" s="18" t="s">
        <v>194</v>
      </c>
      <c r="R907" s="18" t="s">
        <v>59</v>
      </c>
      <c r="S907" s="18" t="s">
        <v>195</v>
      </c>
      <c r="T907" s="18" t="b">
        <v>0</v>
      </c>
      <c r="U907" s="18" t="s">
        <v>187</v>
      </c>
      <c r="V907" s="18" t="s">
        <v>40</v>
      </c>
      <c r="W907" s="18" t="s">
        <v>292</v>
      </c>
      <c r="X907" s="18" t="s">
        <v>293</v>
      </c>
      <c r="Y907" s="18">
        <v>1</v>
      </c>
      <c r="Z907" s="18">
        <v>22500</v>
      </c>
      <c r="AA907" s="31" t="s">
        <v>2295</v>
      </c>
      <c r="AB907" s="18" t="s">
        <v>2296</v>
      </c>
      <c r="AC907" s="18" t="s">
        <v>200</v>
      </c>
    </row>
    <row r="908" s="18" customFormat="1" ht="29" spans="1:29">
      <c r="A908" s="18" t="s">
        <v>2297</v>
      </c>
      <c r="B908" s="25" t="s">
        <v>2297</v>
      </c>
      <c r="C908" s="26">
        <v>45691</v>
      </c>
      <c r="D908" s="18" t="s">
        <v>1893</v>
      </c>
      <c r="E908" s="18" t="str">
        <f t="shared" si="14"/>
        <v>Right Angle Productions LLP</v>
      </c>
      <c r="F908" s="27" t="s">
        <v>1894</v>
      </c>
      <c r="G908" s="18" t="s">
        <v>182</v>
      </c>
      <c r="H908" s="18" t="s">
        <v>183</v>
      </c>
      <c r="I908" s="18" t="s">
        <v>184</v>
      </c>
      <c r="J908" s="18" t="s">
        <v>1889</v>
      </c>
      <c r="K908" s="18" t="s">
        <v>56</v>
      </c>
      <c r="L908" s="18" t="s">
        <v>36</v>
      </c>
      <c r="N908" s="18">
        <v>6</v>
      </c>
      <c r="O908" s="18" t="s">
        <v>88</v>
      </c>
      <c r="P908" s="18" t="s">
        <v>38</v>
      </c>
      <c r="Q908" s="18" t="s">
        <v>194</v>
      </c>
      <c r="R908" s="18" t="s">
        <v>59</v>
      </c>
      <c r="S908" s="18" t="s">
        <v>195</v>
      </c>
      <c r="T908" s="18" t="b">
        <v>0</v>
      </c>
      <c r="U908" s="18" t="s">
        <v>187</v>
      </c>
      <c r="V908" s="18" t="s">
        <v>40</v>
      </c>
      <c r="W908" s="18" t="s">
        <v>151</v>
      </c>
      <c r="X908" s="18" t="s">
        <v>152</v>
      </c>
      <c r="Y908" s="18">
        <v>1</v>
      </c>
      <c r="Z908" s="18">
        <v>525000</v>
      </c>
      <c r="AA908" s="31" t="s">
        <v>2298</v>
      </c>
      <c r="AB908" s="18" t="s">
        <v>2299</v>
      </c>
      <c r="AC908" s="18" t="s">
        <v>200</v>
      </c>
    </row>
    <row r="909" s="18" customFormat="1" ht="29" spans="1:29">
      <c r="A909" s="18" t="s">
        <v>2300</v>
      </c>
      <c r="B909" s="25" t="s">
        <v>2300</v>
      </c>
      <c r="C909" s="26">
        <v>45691</v>
      </c>
      <c r="D909" s="18" t="s">
        <v>2301</v>
      </c>
      <c r="E909" s="18" t="str">
        <f t="shared" si="14"/>
        <v>M K Interior</v>
      </c>
      <c r="F909" s="27" t="s">
        <v>2302</v>
      </c>
      <c r="G909" s="18" t="s">
        <v>182</v>
      </c>
      <c r="H909" s="18" t="s">
        <v>183</v>
      </c>
      <c r="I909" s="18" t="s">
        <v>184</v>
      </c>
      <c r="J909" s="18" t="s">
        <v>1889</v>
      </c>
      <c r="K909" s="18" t="s">
        <v>56</v>
      </c>
      <c r="L909" s="18" t="s">
        <v>36</v>
      </c>
      <c r="N909" s="18">
        <v>6</v>
      </c>
      <c r="O909" s="18" t="s">
        <v>57</v>
      </c>
      <c r="P909" s="18" t="s">
        <v>38</v>
      </c>
      <c r="Q909" s="18" t="s">
        <v>194</v>
      </c>
      <c r="R909" s="18" t="s">
        <v>59</v>
      </c>
      <c r="S909" s="18" t="s">
        <v>195</v>
      </c>
      <c r="T909" s="18" t="b">
        <v>0</v>
      </c>
      <c r="U909" s="18" t="s">
        <v>187</v>
      </c>
      <c r="V909" s="18" t="s">
        <v>40</v>
      </c>
      <c r="W909" s="18" t="s">
        <v>151</v>
      </c>
      <c r="X909" s="18" t="s">
        <v>152</v>
      </c>
      <c r="Y909" s="18">
        <v>1</v>
      </c>
      <c r="Z909" s="18">
        <v>32000</v>
      </c>
      <c r="AA909" s="31" t="s">
        <v>2298</v>
      </c>
      <c r="AB909" s="18" t="s">
        <v>2299</v>
      </c>
      <c r="AC909" s="18" t="s">
        <v>200</v>
      </c>
    </row>
    <row r="910" s="18" customFormat="1" ht="29" spans="1:29">
      <c r="A910" s="18" t="s">
        <v>2303</v>
      </c>
      <c r="B910" s="25" t="s">
        <v>2303</v>
      </c>
      <c r="C910" s="26">
        <v>45691</v>
      </c>
      <c r="D910" s="18" t="s">
        <v>2304</v>
      </c>
      <c r="E910" s="18" t="str">
        <f t="shared" si="14"/>
        <v>KVS Rostam Hires</v>
      </c>
      <c r="F910" s="27" t="s">
        <v>2305</v>
      </c>
      <c r="G910" s="18" t="s">
        <v>182</v>
      </c>
      <c r="H910" s="18" t="s">
        <v>183</v>
      </c>
      <c r="I910" s="18" t="s">
        <v>184</v>
      </c>
      <c r="J910" s="18" t="s">
        <v>1889</v>
      </c>
      <c r="K910" s="18" t="s">
        <v>56</v>
      </c>
      <c r="L910" s="18" t="s">
        <v>36</v>
      </c>
      <c r="N910" s="18">
        <v>6</v>
      </c>
      <c r="O910" s="18" t="s">
        <v>88</v>
      </c>
      <c r="P910" s="18" t="s">
        <v>38</v>
      </c>
      <c r="Q910" s="18" t="s">
        <v>194</v>
      </c>
      <c r="R910" s="18" t="s">
        <v>59</v>
      </c>
      <c r="S910" s="18" t="s">
        <v>195</v>
      </c>
      <c r="T910" s="18" t="b">
        <v>0</v>
      </c>
      <c r="U910" s="18" t="s">
        <v>187</v>
      </c>
      <c r="V910" s="18" t="s">
        <v>40</v>
      </c>
      <c r="W910" s="18" t="s">
        <v>151</v>
      </c>
      <c r="X910" s="18" t="s">
        <v>152</v>
      </c>
      <c r="Y910" s="18">
        <v>1</v>
      </c>
      <c r="Z910" s="18">
        <v>25000</v>
      </c>
      <c r="AA910" s="31" t="s">
        <v>2298</v>
      </c>
      <c r="AB910" s="18" t="s">
        <v>2299</v>
      </c>
      <c r="AC910" s="18" t="s">
        <v>200</v>
      </c>
    </row>
    <row r="911" s="18" customFormat="1" ht="29" spans="1:29">
      <c r="A911" s="18" t="s">
        <v>2306</v>
      </c>
      <c r="B911" s="25" t="s">
        <v>2306</v>
      </c>
      <c r="C911" s="26">
        <v>45691</v>
      </c>
      <c r="D911" s="18" t="s">
        <v>2307</v>
      </c>
      <c r="E911" s="18" t="str">
        <f t="shared" si="14"/>
        <v>Sharad More</v>
      </c>
      <c r="F911" s="27" t="s">
        <v>2308</v>
      </c>
      <c r="G911" s="18" t="s">
        <v>182</v>
      </c>
      <c r="H911" s="18" t="s">
        <v>183</v>
      </c>
      <c r="I911" s="18" t="s">
        <v>184</v>
      </c>
      <c r="J911" s="18" t="s">
        <v>1889</v>
      </c>
      <c r="K911" s="18" t="s">
        <v>56</v>
      </c>
      <c r="L911" s="18" t="s">
        <v>36</v>
      </c>
      <c r="N911" s="18">
        <v>6</v>
      </c>
      <c r="O911" s="18" t="s">
        <v>57</v>
      </c>
      <c r="P911" s="18" t="s">
        <v>38</v>
      </c>
      <c r="Q911" s="18" t="s">
        <v>194</v>
      </c>
      <c r="R911" s="18" t="s">
        <v>59</v>
      </c>
      <c r="S911" s="18" t="s">
        <v>195</v>
      </c>
      <c r="T911" s="18" t="b">
        <v>0</v>
      </c>
      <c r="U911" s="18" t="s">
        <v>187</v>
      </c>
      <c r="V911" s="18" t="s">
        <v>40</v>
      </c>
      <c r="W911" s="18" t="s">
        <v>683</v>
      </c>
      <c r="X911" s="18" t="s">
        <v>684</v>
      </c>
      <c r="Y911" s="18">
        <v>1</v>
      </c>
      <c r="Z911" s="18">
        <v>6000</v>
      </c>
      <c r="AA911" s="31" t="s">
        <v>2055</v>
      </c>
      <c r="AB911" s="18" t="s">
        <v>2056</v>
      </c>
      <c r="AC911" s="18" t="e">
        <v>#N/A</v>
      </c>
    </row>
    <row r="912" s="18" customFormat="1" spans="1:29">
      <c r="A912" s="18" t="s">
        <v>2309</v>
      </c>
      <c r="B912" s="25" t="s">
        <v>2309</v>
      </c>
      <c r="C912" s="26">
        <v>45691</v>
      </c>
      <c r="D912" s="18" t="s">
        <v>2310</v>
      </c>
      <c r="E912" s="18" t="str">
        <f t="shared" si="14"/>
        <v>PT Iplanner Bali Jaya</v>
      </c>
      <c r="F912" s="27" t="s">
        <v>2311</v>
      </c>
      <c r="G912" s="18" t="s">
        <v>182</v>
      </c>
      <c r="H912" s="18" t="s">
        <v>183</v>
      </c>
      <c r="I912" s="18" t="s">
        <v>54</v>
      </c>
      <c r="J912" s="18" t="s">
        <v>1426</v>
      </c>
      <c r="K912" s="18" t="s">
        <v>56</v>
      </c>
      <c r="L912" s="18" t="s">
        <v>36</v>
      </c>
      <c r="N912" s="18">
        <v>6</v>
      </c>
      <c r="O912" s="18" t="s">
        <v>57</v>
      </c>
      <c r="P912" s="18" t="s">
        <v>38</v>
      </c>
      <c r="Q912" s="18" t="s">
        <v>58</v>
      </c>
      <c r="R912" s="18" t="s">
        <v>59</v>
      </c>
      <c r="S912" s="18" t="s">
        <v>60</v>
      </c>
      <c r="T912" s="18" t="b">
        <v>0</v>
      </c>
      <c r="U912" s="18" t="s">
        <v>187</v>
      </c>
      <c r="V912" s="18" t="s">
        <v>40</v>
      </c>
      <c r="W912" s="18" t="s">
        <v>1221</v>
      </c>
      <c r="X912" s="18" t="s">
        <v>234</v>
      </c>
      <c r="Y912" s="18">
        <v>1</v>
      </c>
      <c r="Z912" s="18">
        <v>1386886</v>
      </c>
      <c r="AA912" s="18" t="s">
        <v>1181</v>
      </c>
      <c r="AB912" s="18" t="s">
        <v>1182</v>
      </c>
      <c r="AC912" s="18" t="e">
        <v>#N/A</v>
      </c>
    </row>
    <row r="913" s="18" customFormat="1" ht="29" spans="1:29">
      <c r="A913" s="18" t="s">
        <v>2312</v>
      </c>
      <c r="B913" s="25" t="s">
        <v>2312</v>
      </c>
      <c r="C913" s="26">
        <v>45691</v>
      </c>
      <c r="D913" s="18" t="s">
        <v>192</v>
      </c>
      <c r="E913" s="18" t="str">
        <f t="shared" si="14"/>
        <v>Noaman Digital Partnership Firm</v>
      </c>
      <c r="F913" s="27" t="e">
        <v>#N/A</v>
      </c>
      <c r="G913" s="18" t="s">
        <v>182</v>
      </c>
      <c r="H913" s="18" t="s">
        <v>183</v>
      </c>
      <c r="I913" s="18" t="s">
        <v>184</v>
      </c>
      <c r="J913" s="18" t="s">
        <v>1889</v>
      </c>
      <c r="K913" s="18" t="s">
        <v>56</v>
      </c>
      <c r="L913" s="18" t="s">
        <v>36</v>
      </c>
      <c r="N913" s="18">
        <v>6</v>
      </c>
      <c r="O913" s="18" t="s">
        <v>88</v>
      </c>
      <c r="P913" s="18" t="s">
        <v>38</v>
      </c>
      <c r="Q913" s="18" t="s">
        <v>194</v>
      </c>
      <c r="R913" s="18" t="s">
        <v>59</v>
      </c>
      <c r="S913" s="18" t="s">
        <v>195</v>
      </c>
      <c r="T913" s="18" t="b">
        <v>0</v>
      </c>
      <c r="U913" s="18" t="s">
        <v>187</v>
      </c>
      <c r="V913" s="18" t="s">
        <v>40</v>
      </c>
      <c r="W913" s="18" t="s">
        <v>196</v>
      </c>
      <c r="X913" s="18" t="s">
        <v>197</v>
      </c>
      <c r="Y913" s="18">
        <v>1</v>
      </c>
      <c r="Z913" s="18">
        <v>165476.75</v>
      </c>
      <c r="AA913" s="31" t="s">
        <v>2295</v>
      </c>
      <c r="AB913" s="18" t="s">
        <v>2296</v>
      </c>
      <c r="AC913" s="18" t="s">
        <v>200</v>
      </c>
    </row>
    <row r="914" s="18" customFormat="1" ht="29" spans="1:29">
      <c r="A914" s="18" t="s">
        <v>2313</v>
      </c>
      <c r="B914" s="25" t="s">
        <v>2313</v>
      </c>
      <c r="C914" s="26">
        <v>45691</v>
      </c>
      <c r="D914" s="18" t="s">
        <v>1395</v>
      </c>
      <c r="E914" s="18" t="str">
        <f t="shared" si="14"/>
        <v>KG Movie</v>
      </c>
      <c r="F914" s="27" t="s">
        <v>1396</v>
      </c>
      <c r="G914" s="18" t="s">
        <v>182</v>
      </c>
      <c r="H914" s="18" t="s">
        <v>183</v>
      </c>
      <c r="I914" s="18" t="s">
        <v>184</v>
      </c>
      <c r="J914" s="18" t="s">
        <v>499</v>
      </c>
      <c r="K914" s="18" t="s">
        <v>56</v>
      </c>
      <c r="L914" s="18" t="s">
        <v>36</v>
      </c>
      <c r="N914" s="18">
        <v>6</v>
      </c>
      <c r="O914" s="18" t="s">
        <v>88</v>
      </c>
      <c r="P914" s="18" t="s">
        <v>38</v>
      </c>
      <c r="Q914" s="18" t="s">
        <v>117</v>
      </c>
      <c r="R914" s="18" t="s">
        <v>59</v>
      </c>
      <c r="S914" s="18" t="s">
        <v>186</v>
      </c>
      <c r="T914" s="18" t="b">
        <v>0</v>
      </c>
      <c r="U914" s="18" t="s">
        <v>187</v>
      </c>
      <c r="V914" s="18" t="s">
        <v>40</v>
      </c>
      <c r="W914" s="18" t="s">
        <v>317</v>
      </c>
      <c r="X914" s="18" t="s">
        <v>318</v>
      </c>
      <c r="Y914" s="18">
        <v>1</v>
      </c>
      <c r="Z914" s="18">
        <v>1085000</v>
      </c>
      <c r="AA914" s="31" t="s">
        <v>338</v>
      </c>
      <c r="AB914" s="18" t="s">
        <v>339</v>
      </c>
      <c r="AC914" s="18" t="s">
        <v>216</v>
      </c>
    </row>
    <row r="915" s="18" customFormat="1" ht="29" spans="1:29">
      <c r="A915" s="18" t="s">
        <v>2314</v>
      </c>
      <c r="B915" s="25" t="s">
        <v>2314</v>
      </c>
      <c r="C915" s="26">
        <v>45691</v>
      </c>
      <c r="D915" s="18" t="s">
        <v>593</v>
      </c>
      <c r="E915" s="18" t="str">
        <f t="shared" si="14"/>
        <v>Sportocraft Enterprises</v>
      </c>
      <c r="F915" s="27" t="s">
        <v>594</v>
      </c>
      <c r="G915" s="18" t="s">
        <v>182</v>
      </c>
      <c r="H915" s="18" t="s">
        <v>183</v>
      </c>
      <c r="I915" s="18" t="s">
        <v>184</v>
      </c>
      <c r="J915" s="18" t="s">
        <v>499</v>
      </c>
      <c r="K915" s="18" t="s">
        <v>56</v>
      </c>
      <c r="L915" s="18" t="s">
        <v>36</v>
      </c>
      <c r="N915" s="18">
        <v>6</v>
      </c>
      <c r="O915" s="18" t="s">
        <v>88</v>
      </c>
      <c r="P915" s="18" t="s">
        <v>38</v>
      </c>
      <c r="Q915" s="18" t="s">
        <v>117</v>
      </c>
      <c r="R915" s="18" t="s">
        <v>59</v>
      </c>
      <c r="S915" s="18" t="s">
        <v>186</v>
      </c>
      <c r="T915" s="18" t="b">
        <v>0</v>
      </c>
      <c r="U915" s="18" t="s">
        <v>187</v>
      </c>
      <c r="V915" s="18" t="s">
        <v>40</v>
      </c>
      <c r="W915" s="18" t="s">
        <v>317</v>
      </c>
      <c r="X915" s="18" t="s">
        <v>318</v>
      </c>
      <c r="Y915" s="18">
        <v>1</v>
      </c>
      <c r="Z915" s="18">
        <v>889000</v>
      </c>
      <c r="AA915" s="31" t="s">
        <v>338</v>
      </c>
      <c r="AB915" s="18" t="s">
        <v>339</v>
      </c>
      <c r="AC915" s="18" t="s">
        <v>200</v>
      </c>
    </row>
    <row r="916" s="18" customFormat="1" ht="29" spans="1:29">
      <c r="A916" s="18" t="s">
        <v>2315</v>
      </c>
      <c r="B916" s="25" t="s">
        <v>2315</v>
      </c>
      <c r="C916" s="26">
        <v>45691</v>
      </c>
      <c r="D916" s="18" t="s">
        <v>192</v>
      </c>
      <c r="E916" s="18" t="str">
        <f t="shared" si="14"/>
        <v>Noaman Digital Partnership Firm</v>
      </c>
      <c r="F916" s="27" t="e">
        <v>#N/A</v>
      </c>
      <c r="G916" s="18" t="s">
        <v>182</v>
      </c>
      <c r="H916" s="18" t="s">
        <v>183</v>
      </c>
      <c r="I916" s="18" t="s">
        <v>184</v>
      </c>
      <c r="J916" s="18" t="s">
        <v>1995</v>
      </c>
      <c r="K916" s="18" t="s">
        <v>56</v>
      </c>
      <c r="L916" s="18" t="s">
        <v>36</v>
      </c>
      <c r="N916" s="18">
        <v>6</v>
      </c>
      <c r="O916" s="18" t="s">
        <v>88</v>
      </c>
      <c r="P916" s="18" t="s">
        <v>38</v>
      </c>
      <c r="Q916" s="18" t="s">
        <v>194</v>
      </c>
      <c r="R916" s="18" t="s">
        <v>59</v>
      </c>
      <c r="S916" s="18" t="s">
        <v>195</v>
      </c>
      <c r="T916" s="18" t="b">
        <v>0</v>
      </c>
      <c r="U916" s="18" t="s">
        <v>187</v>
      </c>
      <c r="V916" s="18" t="s">
        <v>40</v>
      </c>
      <c r="W916" s="18" t="s">
        <v>196</v>
      </c>
      <c r="X916" s="18" t="s">
        <v>197</v>
      </c>
      <c r="Y916" s="18">
        <v>1</v>
      </c>
      <c r="Z916" s="18">
        <v>27614.5</v>
      </c>
      <c r="AA916" s="31" t="s">
        <v>962</v>
      </c>
      <c r="AB916" s="18" t="s">
        <v>963</v>
      </c>
      <c r="AC916" s="18" t="s">
        <v>200</v>
      </c>
    </row>
    <row r="917" s="18" customFormat="1" ht="29" spans="1:29">
      <c r="A917" s="18" t="s">
        <v>2316</v>
      </c>
      <c r="B917" s="25" t="s">
        <v>2316</v>
      </c>
      <c r="C917" s="26">
        <v>45691</v>
      </c>
      <c r="D917" s="18" t="s">
        <v>2317</v>
      </c>
      <c r="E917" s="18" t="str">
        <f t="shared" si="14"/>
        <v>RJ Anmol (Anmol Sood)</v>
      </c>
      <c r="F917" s="27" t="s">
        <v>2318</v>
      </c>
      <c r="G917" s="18" t="s">
        <v>182</v>
      </c>
      <c r="H917" s="18" t="s">
        <v>183</v>
      </c>
      <c r="I917" s="18" t="s">
        <v>184</v>
      </c>
      <c r="J917" s="18" t="s">
        <v>2319</v>
      </c>
      <c r="K917" s="18" t="s">
        <v>56</v>
      </c>
      <c r="L917" s="18" t="s">
        <v>36</v>
      </c>
      <c r="N917" s="18">
        <v>6</v>
      </c>
      <c r="O917" s="18" t="s">
        <v>57</v>
      </c>
      <c r="P917" s="18" t="s">
        <v>38</v>
      </c>
      <c r="Q917" s="18" t="s">
        <v>194</v>
      </c>
      <c r="R917" s="18" t="s">
        <v>59</v>
      </c>
      <c r="S917" s="18" t="s">
        <v>195</v>
      </c>
      <c r="T917" s="18" t="b">
        <v>0</v>
      </c>
      <c r="U917" s="18" t="s">
        <v>187</v>
      </c>
      <c r="V917" s="18" t="s">
        <v>40</v>
      </c>
      <c r="W917" s="18" t="s">
        <v>250</v>
      </c>
      <c r="X917" s="18" t="s">
        <v>251</v>
      </c>
      <c r="Y917" s="18">
        <v>1</v>
      </c>
      <c r="Z917" s="18">
        <v>300000</v>
      </c>
      <c r="AA917" s="31" t="s">
        <v>1969</v>
      </c>
      <c r="AB917" s="18" t="s">
        <v>1970</v>
      </c>
      <c r="AC917" s="18" t="s">
        <v>200</v>
      </c>
    </row>
    <row r="918" s="18" customFormat="1" spans="1:29">
      <c r="A918" s="18" t="s">
        <v>2320</v>
      </c>
      <c r="B918" s="25" t="s">
        <v>2320</v>
      </c>
      <c r="C918" s="26">
        <v>45691</v>
      </c>
      <c r="D918" s="18" t="s">
        <v>2321</v>
      </c>
      <c r="E918" s="18" t="str">
        <f t="shared" si="14"/>
        <v>Krisha Chheda  </v>
      </c>
      <c r="F918" s="27" t="e">
        <v>#N/A</v>
      </c>
      <c r="G918" s="18" t="s">
        <v>182</v>
      </c>
      <c r="H918" s="18" t="s">
        <v>183</v>
      </c>
      <c r="I918" s="18" t="s">
        <v>481</v>
      </c>
      <c r="J918" s="18" t="s">
        <v>1491</v>
      </c>
      <c r="K918" s="18" t="s">
        <v>56</v>
      </c>
      <c r="L918" s="18" t="s">
        <v>36</v>
      </c>
      <c r="N918" s="18">
        <v>6</v>
      </c>
      <c r="O918" s="18" t="s">
        <v>93</v>
      </c>
      <c r="P918" s="18" t="s">
        <v>38</v>
      </c>
      <c r="Q918" s="18" t="s">
        <v>194</v>
      </c>
      <c r="R918" s="18" t="s">
        <v>59</v>
      </c>
      <c r="S918" s="18" t="s">
        <v>195</v>
      </c>
      <c r="T918" s="18" t="b">
        <v>0</v>
      </c>
      <c r="U918" s="18" t="s">
        <v>187</v>
      </c>
      <c r="V918" s="18" t="s">
        <v>40</v>
      </c>
      <c r="W918" s="18" t="s">
        <v>126</v>
      </c>
      <c r="X918" s="18" t="s">
        <v>127</v>
      </c>
      <c r="Y918" s="18">
        <v>1</v>
      </c>
      <c r="Z918" s="18">
        <v>860</v>
      </c>
      <c r="AC918" s="18" t="e">
        <v>#N/A</v>
      </c>
    </row>
    <row r="919" s="18" customFormat="1" spans="1:29">
      <c r="A919" s="18" t="s">
        <v>2322</v>
      </c>
      <c r="B919" s="25" t="s">
        <v>2322</v>
      </c>
      <c r="C919" s="26">
        <v>45691</v>
      </c>
      <c r="D919" s="18" t="s">
        <v>2323</v>
      </c>
      <c r="E919" s="18" t="str">
        <f t="shared" si="14"/>
        <v>Third Wave Services Pvt Ltd</v>
      </c>
      <c r="F919" s="27" t="s">
        <v>2324</v>
      </c>
      <c r="G919" s="18" t="s">
        <v>182</v>
      </c>
      <c r="H919" s="18" t="s">
        <v>183</v>
      </c>
      <c r="I919" s="18" t="s">
        <v>133</v>
      </c>
      <c r="J919" s="18" t="s">
        <v>1116</v>
      </c>
      <c r="K919" s="18" t="s">
        <v>56</v>
      </c>
      <c r="L919" s="18" t="s">
        <v>36</v>
      </c>
      <c r="N919" s="18">
        <v>6</v>
      </c>
      <c r="O919" s="18" t="s">
        <v>88</v>
      </c>
      <c r="P919" s="18" t="s">
        <v>38</v>
      </c>
      <c r="Q919" s="18" t="s">
        <v>117</v>
      </c>
      <c r="R919" s="18" t="s">
        <v>59</v>
      </c>
      <c r="S919" s="18" t="s">
        <v>118</v>
      </c>
      <c r="T919" s="18" t="b">
        <v>0</v>
      </c>
      <c r="U919" s="18" t="s">
        <v>187</v>
      </c>
      <c r="V919" s="18" t="s">
        <v>40</v>
      </c>
      <c r="W919" s="18" t="s">
        <v>371</v>
      </c>
      <c r="X919" s="18" t="s">
        <v>372</v>
      </c>
      <c r="Y919" s="18">
        <v>1</v>
      </c>
      <c r="Z919" s="18">
        <v>122300</v>
      </c>
      <c r="AA919" s="18" t="s">
        <v>121</v>
      </c>
      <c r="AB919" s="18" t="s">
        <v>122</v>
      </c>
      <c r="AC919" s="18" t="s">
        <v>200</v>
      </c>
    </row>
    <row r="920" s="18" customFormat="1" spans="1:29">
      <c r="A920" s="18" t="s">
        <v>2325</v>
      </c>
      <c r="B920" s="25" t="s">
        <v>2325</v>
      </c>
      <c r="C920" s="26">
        <v>45691</v>
      </c>
      <c r="D920" s="18" t="s">
        <v>1206</v>
      </c>
      <c r="E920" s="18" t="str">
        <f t="shared" si="14"/>
        <v>PARESH SURVE ADV FOR EXPENCES</v>
      </c>
      <c r="F920" s="27" t="e">
        <v>#N/A</v>
      </c>
      <c r="G920" s="18" t="s">
        <v>182</v>
      </c>
      <c r="H920" s="18" t="s">
        <v>183</v>
      </c>
      <c r="I920" s="18" t="s">
        <v>481</v>
      </c>
      <c r="J920" s="18" t="s">
        <v>1006</v>
      </c>
      <c r="K920" s="18" t="s">
        <v>56</v>
      </c>
      <c r="L920" s="18" t="s">
        <v>36</v>
      </c>
      <c r="N920" s="18">
        <v>6</v>
      </c>
      <c r="O920" s="18" t="s">
        <v>93</v>
      </c>
      <c r="P920" s="18" t="s">
        <v>38</v>
      </c>
      <c r="Q920" s="18" t="s">
        <v>117</v>
      </c>
      <c r="R920" s="18" t="s">
        <v>59</v>
      </c>
      <c r="S920" s="18" t="s">
        <v>186</v>
      </c>
      <c r="T920" s="18" t="b">
        <v>0</v>
      </c>
      <c r="U920" s="18" t="s">
        <v>187</v>
      </c>
      <c r="V920" s="18" t="s">
        <v>40</v>
      </c>
      <c r="W920" s="18" t="s">
        <v>126</v>
      </c>
      <c r="X920" s="18" t="s">
        <v>127</v>
      </c>
      <c r="Y920" s="18">
        <v>1</v>
      </c>
      <c r="Z920" s="18">
        <v>5456</v>
      </c>
      <c r="AC920" s="18" t="e">
        <v>#N/A</v>
      </c>
    </row>
    <row r="921" s="18" customFormat="1" spans="1:29">
      <c r="A921" s="18" t="s">
        <v>2326</v>
      </c>
      <c r="B921" s="25" t="s">
        <v>2326</v>
      </c>
      <c r="C921" s="26">
        <v>45691</v>
      </c>
      <c r="D921" s="18" t="s">
        <v>1404</v>
      </c>
      <c r="E921" s="18" t="str">
        <f t="shared" si="14"/>
        <v>Mohammad Danish  </v>
      </c>
      <c r="F921" s="27" t="s">
        <v>1405</v>
      </c>
      <c r="G921" s="18" t="s">
        <v>182</v>
      </c>
      <c r="H921" s="18" t="s">
        <v>183</v>
      </c>
      <c r="I921" s="18" t="s">
        <v>481</v>
      </c>
      <c r="J921" s="18" t="s">
        <v>2171</v>
      </c>
      <c r="K921" s="18" t="s">
        <v>56</v>
      </c>
      <c r="L921" s="18" t="s">
        <v>36</v>
      </c>
      <c r="N921" s="18">
        <v>6</v>
      </c>
      <c r="O921" s="18" t="s">
        <v>93</v>
      </c>
      <c r="P921" s="18" t="s">
        <v>38</v>
      </c>
      <c r="Q921" s="18" t="s">
        <v>194</v>
      </c>
      <c r="R921" s="18" t="s">
        <v>59</v>
      </c>
      <c r="S921" s="18" t="s">
        <v>195</v>
      </c>
      <c r="T921" s="18" t="b">
        <v>0</v>
      </c>
      <c r="U921" s="18" t="s">
        <v>187</v>
      </c>
      <c r="V921" s="18" t="s">
        <v>40</v>
      </c>
      <c r="W921" s="18" t="s">
        <v>126</v>
      </c>
      <c r="X921" s="18" t="s">
        <v>127</v>
      </c>
      <c r="Y921" s="18">
        <v>1</v>
      </c>
      <c r="Z921" s="18">
        <v>1110</v>
      </c>
      <c r="AC921" s="18" t="e">
        <v>#N/A</v>
      </c>
    </row>
    <row r="922" s="18" customFormat="1" spans="1:29">
      <c r="A922" s="18" t="s">
        <v>2327</v>
      </c>
      <c r="B922" s="25" t="s">
        <v>2327</v>
      </c>
      <c r="C922" s="26">
        <v>45691</v>
      </c>
      <c r="D922" s="18" t="s">
        <v>1490</v>
      </c>
      <c r="E922" s="18" t="str">
        <f t="shared" si="14"/>
        <v>Chetan Handa  </v>
      </c>
      <c r="F922" s="27" t="e">
        <v>#N/A</v>
      </c>
      <c r="G922" s="18" t="s">
        <v>182</v>
      </c>
      <c r="H922" s="18" t="s">
        <v>183</v>
      </c>
      <c r="I922" s="18" t="s">
        <v>481</v>
      </c>
      <c r="J922" s="18" t="s">
        <v>1889</v>
      </c>
      <c r="K922" s="18" t="s">
        <v>56</v>
      </c>
      <c r="L922" s="18" t="s">
        <v>36</v>
      </c>
      <c r="N922" s="18">
        <v>6</v>
      </c>
      <c r="O922" s="18" t="s">
        <v>93</v>
      </c>
      <c r="P922" s="18" t="s">
        <v>38</v>
      </c>
      <c r="Q922" s="18" t="s">
        <v>194</v>
      </c>
      <c r="R922" s="18" t="s">
        <v>59</v>
      </c>
      <c r="S922" s="18" t="s">
        <v>195</v>
      </c>
      <c r="T922" s="18" t="b">
        <v>0</v>
      </c>
      <c r="U922" s="18" t="s">
        <v>187</v>
      </c>
      <c r="V922" s="18" t="s">
        <v>40</v>
      </c>
      <c r="W922" s="18" t="s">
        <v>126</v>
      </c>
      <c r="X922" s="18" t="s">
        <v>127</v>
      </c>
      <c r="Y922" s="18">
        <v>1</v>
      </c>
      <c r="Z922" s="18">
        <v>472</v>
      </c>
      <c r="AC922" s="18" t="e">
        <v>#N/A</v>
      </c>
    </row>
    <row r="923" s="18" customFormat="1" spans="1:29">
      <c r="A923" s="18" t="s">
        <v>2328</v>
      </c>
      <c r="B923" s="25" t="s">
        <v>2328</v>
      </c>
      <c r="C923" s="26">
        <v>45691</v>
      </c>
      <c r="D923" s="18" t="s">
        <v>2329</v>
      </c>
      <c r="E923" s="18" t="str">
        <f t="shared" si="14"/>
        <v>Aalhad Bavkar  </v>
      </c>
      <c r="F923" s="27" t="e">
        <v>#N/A</v>
      </c>
      <c r="G923" s="18" t="s">
        <v>182</v>
      </c>
      <c r="H923" s="18" t="s">
        <v>183</v>
      </c>
      <c r="I923" s="18" t="s">
        <v>481</v>
      </c>
      <c r="J923" s="18" t="s">
        <v>2171</v>
      </c>
      <c r="K923" s="18" t="s">
        <v>56</v>
      </c>
      <c r="L923" s="18" t="s">
        <v>36</v>
      </c>
      <c r="N923" s="18">
        <v>6</v>
      </c>
      <c r="O923" s="18" t="s">
        <v>93</v>
      </c>
      <c r="P923" s="18" t="s">
        <v>38</v>
      </c>
      <c r="Q923" s="18" t="s">
        <v>194</v>
      </c>
      <c r="R923" s="18" t="s">
        <v>59</v>
      </c>
      <c r="S923" s="18" t="s">
        <v>195</v>
      </c>
      <c r="T923" s="18" t="b">
        <v>0</v>
      </c>
      <c r="U923" s="18" t="s">
        <v>187</v>
      </c>
      <c r="V923" s="18" t="s">
        <v>40</v>
      </c>
      <c r="W923" s="18" t="s">
        <v>126</v>
      </c>
      <c r="X923" s="18" t="s">
        <v>127</v>
      </c>
      <c r="Y923" s="18">
        <v>1</v>
      </c>
      <c r="Z923" s="18">
        <v>1593</v>
      </c>
      <c r="AC923" s="18" t="e">
        <v>#N/A</v>
      </c>
    </row>
    <row r="924" s="18" customFormat="1" spans="1:29">
      <c r="A924" s="18" t="s">
        <v>2330</v>
      </c>
      <c r="B924" s="25" t="s">
        <v>2330</v>
      </c>
      <c r="C924" s="26">
        <v>45691</v>
      </c>
      <c r="D924" s="18" t="s">
        <v>2331</v>
      </c>
      <c r="E924" s="18" t="str">
        <f t="shared" si="14"/>
        <v>Foodies Hospitality LLP</v>
      </c>
      <c r="F924" s="27" t="s">
        <v>2332</v>
      </c>
      <c r="G924" s="18" t="s">
        <v>182</v>
      </c>
      <c r="H924" s="18" t="s">
        <v>183</v>
      </c>
      <c r="I924" s="18" t="s">
        <v>34</v>
      </c>
      <c r="J924" s="18" t="s">
        <v>115</v>
      </c>
      <c r="K924" s="18" t="s">
        <v>56</v>
      </c>
      <c r="L924" s="18" t="s">
        <v>36</v>
      </c>
      <c r="N924" s="18">
        <v>6</v>
      </c>
      <c r="O924" s="18" t="s">
        <v>88</v>
      </c>
      <c r="P924" s="18" t="s">
        <v>38</v>
      </c>
      <c r="Q924" s="18" t="s">
        <v>117</v>
      </c>
      <c r="R924" s="18" t="s">
        <v>59</v>
      </c>
      <c r="S924" s="18" t="s">
        <v>118</v>
      </c>
      <c r="T924" s="18" t="b">
        <v>0</v>
      </c>
      <c r="U924" s="18" t="s">
        <v>187</v>
      </c>
      <c r="V924" s="18" t="s">
        <v>40</v>
      </c>
      <c r="W924" s="18" t="s">
        <v>276</v>
      </c>
      <c r="X924" s="18" t="s">
        <v>276</v>
      </c>
      <c r="Y924" s="18">
        <v>1</v>
      </c>
      <c r="Z924" s="18">
        <v>1084500</v>
      </c>
      <c r="AA924" s="18" t="s">
        <v>121</v>
      </c>
      <c r="AB924" s="18" t="s">
        <v>122</v>
      </c>
      <c r="AC924" s="18" t="s">
        <v>676</v>
      </c>
    </row>
    <row r="925" s="18" customFormat="1" spans="1:29">
      <c r="A925" s="18" t="s">
        <v>2333</v>
      </c>
      <c r="B925" s="25" t="s">
        <v>2333</v>
      </c>
      <c r="C925" s="26">
        <v>45691</v>
      </c>
      <c r="D925" s="18" t="s">
        <v>2334</v>
      </c>
      <c r="E925" s="18" t="str">
        <f t="shared" si="14"/>
        <v>Rajhans Retail Services (Amazon)</v>
      </c>
      <c r="F925" s="27" t="s">
        <v>2335</v>
      </c>
      <c r="G925" s="18" t="s">
        <v>182</v>
      </c>
      <c r="H925" s="18" t="s">
        <v>183</v>
      </c>
      <c r="I925" s="18" t="s">
        <v>184</v>
      </c>
      <c r="J925" s="18" t="s">
        <v>2078</v>
      </c>
      <c r="K925" s="18" t="s">
        <v>56</v>
      </c>
      <c r="L925" s="18" t="s">
        <v>36</v>
      </c>
      <c r="N925" s="18">
        <v>6</v>
      </c>
      <c r="O925" s="18" t="s">
        <v>57</v>
      </c>
      <c r="P925" s="18" t="s">
        <v>38</v>
      </c>
      <c r="Q925" s="18" t="s">
        <v>194</v>
      </c>
      <c r="R925" s="18" t="s">
        <v>59</v>
      </c>
      <c r="S925" s="18" t="s">
        <v>195</v>
      </c>
      <c r="T925" s="18" t="b">
        <v>0</v>
      </c>
      <c r="U925" s="18" t="s">
        <v>187</v>
      </c>
      <c r="V925" s="18" t="s">
        <v>40</v>
      </c>
      <c r="W925" s="18" t="s">
        <v>140</v>
      </c>
      <c r="X925" s="18" t="s">
        <v>141</v>
      </c>
      <c r="Y925" s="18">
        <v>1</v>
      </c>
      <c r="Z925" s="18">
        <v>1899.81</v>
      </c>
      <c r="AA925" s="18" t="s">
        <v>2336</v>
      </c>
      <c r="AB925" s="18" t="s">
        <v>1785</v>
      </c>
      <c r="AC925" s="18" t="e">
        <v>#N/A</v>
      </c>
    </row>
    <row r="926" s="18" customFormat="1" spans="1:29">
      <c r="A926" s="18" t="s">
        <v>2337</v>
      </c>
      <c r="B926" s="25" t="s">
        <v>2337</v>
      </c>
      <c r="C926" s="26">
        <v>45692</v>
      </c>
      <c r="D926" s="18" t="s">
        <v>644</v>
      </c>
      <c r="E926" s="18" t="str">
        <f t="shared" si="14"/>
        <v>Blue Gem Entertainment and Events</v>
      </c>
      <c r="F926" s="27" t="s">
        <v>645</v>
      </c>
      <c r="G926" s="18" t="s">
        <v>32</v>
      </c>
      <c r="H926" s="18" t="s">
        <v>33</v>
      </c>
      <c r="I926" s="18" t="s">
        <v>34</v>
      </c>
      <c r="J926" s="18" t="s">
        <v>2338</v>
      </c>
      <c r="K926" s="18" t="s">
        <v>56</v>
      </c>
      <c r="L926" s="18" t="s">
        <v>36</v>
      </c>
      <c r="N926" s="18">
        <v>6</v>
      </c>
      <c r="O926" s="18" t="s">
        <v>88</v>
      </c>
      <c r="P926" s="18" t="s">
        <v>38</v>
      </c>
      <c r="Q926" s="18" t="s">
        <v>117</v>
      </c>
      <c r="R926" s="18" t="s">
        <v>59</v>
      </c>
      <c r="S926" s="18" t="s">
        <v>118</v>
      </c>
      <c r="T926" s="18" t="b">
        <v>1</v>
      </c>
      <c r="U926" s="18" t="s">
        <v>39</v>
      </c>
      <c r="V926" s="18" t="s">
        <v>40</v>
      </c>
      <c r="W926" s="18" t="s">
        <v>317</v>
      </c>
      <c r="X926" s="18" t="s">
        <v>318</v>
      </c>
      <c r="Y926" s="18">
        <v>1</v>
      </c>
      <c r="Z926" s="18">
        <v>150000</v>
      </c>
      <c r="AA926" s="18" t="s">
        <v>622</v>
      </c>
      <c r="AB926" s="18" t="s">
        <v>623</v>
      </c>
      <c r="AC926" s="18" t="s">
        <v>43</v>
      </c>
    </row>
    <row r="927" s="18" customFormat="1" ht="29" spans="1:29">
      <c r="A927" s="18" t="s">
        <v>2339</v>
      </c>
      <c r="B927" s="25" t="s">
        <v>2339</v>
      </c>
      <c r="C927" s="26">
        <v>45692</v>
      </c>
      <c r="D927" s="18" t="s">
        <v>2340</v>
      </c>
      <c r="E927" s="18" t="str">
        <f t="shared" si="14"/>
        <v>Taj Yeshwantpur,Bengaluru (The Indian Hotels Co Ltd)</v>
      </c>
      <c r="F927" s="27" t="s">
        <v>2341</v>
      </c>
      <c r="G927" s="18" t="s">
        <v>32</v>
      </c>
      <c r="H927" s="18" t="s">
        <v>33</v>
      </c>
      <c r="I927" s="18" t="s">
        <v>184</v>
      </c>
      <c r="J927" s="18" t="s">
        <v>728</v>
      </c>
      <c r="K927" s="18" t="s">
        <v>56</v>
      </c>
      <c r="L927" s="18" t="s">
        <v>36</v>
      </c>
      <c r="N927" s="18">
        <v>6</v>
      </c>
      <c r="O927" s="18" t="s">
        <v>57</v>
      </c>
      <c r="P927" s="18" t="s">
        <v>38</v>
      </c>
      <c r="Q927" s="18" t="s">
        <v>194</v>
      </c>
      <c r="R927" s="18" t="s">
        <v>59</v>
      </c>
      <c r="S927" s="18" t="s">
        <v>195</v>
      </c>
      <c r="T927" s="18" t="b">
        <v>1</v>
      </c>
      <c r="U927" s="18" t="s">
        <v>39</v>
      </c>
      <c r="V927" s="18" t="s">
        <v>40</v>
      </c>
      <c r="W927" s="18" t="s">
        <v>61</v>
      </c>
      <c r="X927" s="18" t="s">
        <v>62</v>
      </c>
      <c r="Y927" s="18">
        <v>1</v>
      </c>
      <c r="Z927" s="18">
        <v>10000</v>
      </c>
      <c r="AA927" s="31" t="s">
        <v>2342</v>
      </c>
      <c r="AB927" s="18" t="s">
        <v>2343</v>
      </c>
      <c r="AC927" s="18" t="s">
        <v>43</v>
      </c>
    </row>
    <row r="928" s="18" customFormat="1" ht="29" spans="1:29">
      <c r="A928" s="18" t="s">
        <v>2344</v>
      </c>
      <c r="B928" s="25" t="s">
        <v>2344</v>
      </c>
      <c r="C928" s="26">
        <v>45692</v>
      </c>
      <c r="D928" s="18" t="s">
        <v>1510</v>
      </c>
      <c r="E928" s="18" t="str">
        <f t="shared" si="14"/>
        <v>Square Feet Productions</v>
      </c>
      <c r="F928" s="27" t="s">
        <v>1511</v>
      </c>
      <c r="G928" s="18" t="s">
        <v>99</v>
      </c>
      <c r="H928" s="18" t="s">
        <v>100</v>
      </c>
      <c r="I928" s="18" t="s">
        <v>184</v>
      </c>
      <c r="J928" s="18" t="s">
        <v>2345</v>
      </c>
      <c r="K928" s="18" t="s">
        <v>56</v>
      </c>
      <c r="L928" s="18" t="s">
        <v>36</v>
      </c>
      <c r="N928" s="18">
        <v>6</v>
      </c>
      <c r="O928" s="18" t="s">
        <v>57</v>
      </c>
      <c r="P928" s="18" t="s">
        <v>38</v>
      </c>
      <c r="Q928" s="18" t="s">
        <v>117</v>
      </c>
      <c r="R928" s="18" t="s">
        <v>59</v>
      </c>
      <c r="S928" s="18" t="s">
        <v>186</v>
      </c>
      <c r="T928" s="18" t="b">
        <v>1</v>
      </c>
      <c r="U928" s="18" t="s">
        <v>101</v>
      </c>
      <c r="V928" s="18" t="s">
        <v>40</v>
      </c>
      <c r="W928" s="18" t="s">
        <v>151</v>
      </c>
      <c r="X928" s="18" t="s">
        <v>152</v>
      </c>
      <c r="Y928" s="18">
        <v>1</v>
      </c>
      <c r="Z928" s="18">
        <v>253420</v>
      </c>
      <c r="AA928" s="31" t="s">
        <v>1143</v>
      </c>
      <c r="AB928" s="18" t="s">
        <v>514</v>
      </c>
      <c r="AC928" s="18" t="s">
        <v>111</v>
      </c>
    </row>
    <row r="929" s="18" customFormat="1" ht="29" spans="1:29">
      <c r="A929" s="18" t="s">
        <v>2346</v>
      </c>
      <c r="B929" s="25" t="s">
        <v>2346</v>
      </c>
      <c r="C929" s="26">
        <v>45692</v>
      </c>
      <c r="D929" s="18" t="s">
        <v>2347</v>
      </c>
      <c r="E929" s="18" t="str">
        <f t="shared" si="14"/>
        <v>DJ Raj (Rajkumar S)</v>
      </c>
      <c r="F929" s="27" t="s">
        <v>2348</v>
      </c>
      <c r="G929" s="18" t="s">
        <v>99</v>
      </c>
      <c r="H929" s="18" t="s">
        <v>100</v>
      </c>
      <c r="I929" s="18" t="s">
        <v>184</v>
      </c>
      <c r="J929" s="18" t="s">
        <v>499</v>
      </c>
      <c r="K929" s="18" t="s">
        <v>56</v>
      </c>
      <c r="L929" s="18" t="s">
        <v>36</v>
      </c>
      <c r="N929" s="18">
        <v>6</v>
      </c>
      <c r="O929" s="18" t="s">
        <v>88</v>
      </c>
      <c r="P929" s="18" t="s">
        <v>38</v>
      </c>
      <c r="Q929" s="18" t="s">
        <v>117</v>
      </c>
      <c r="R929" s="18" t="s">
        <v>59</v>
      </c>
      <c r="S929" s="18" t="s">
        <v>186</v>
      </c>
      <c r="T929" s="18" t="b">
        <v>1</v>
      </c>
      <c r="U929" s="18" t="s">
        <v>101</v>
      </c>
      <c r="V929" s="18" t="s">
        <v>40</v>
      </c>
      <c r="W929" s="18" t="s">
        <v>250</v>
      </c>
      <c r="X929" s="18" t="s">
        <v>251</v>
      </c>
      <c r="Y929" s="18">
        <v>1</v>
      </c>
      <c r="Z929" s="18">
        <v>15000</v>
      </c>
      <c r="AA929" s="31" t="s">
        <v>810</v>
      </c>
      <c r="AB929" s="18" t="s">
        <v>811</v>
      </c>
      <c r="AC929" s="18" t="e">
        <v>#N/A</v>
      </c>
    </row>
    <row r="930" s="18" customFormat="1" ht="29" spans="1:29">
      <c r="A930" s="18" t="s">
        <v>2349</v>
      </c>
      <c r="B930" s="25" t="s">
        <v>2349</v>
      </c>
      <c r="C930" s="26">
        <v>45692</v>
      </c>
      <c r="D930" s="18" t="s">
        <v>1921</v>
      </c>
      <c r="E930" s="18" t="str">
        <f t="shared" si="14"/>
        <v>Expressions Enlivened</v>
      </c>
      <c r="F930" s="27" t="s">
        <v>1922</v>
      </c>
      <c r="G930" s="18" t="s">
        <v>99</v>
      </c>
      <c r="H930" s="18" t="s">
        <v>100</v>
      </c>
      <c r="I930" s="18" t="s">
        <v>184</v>
      </c>
      <c r="J930" s="18" t="s">
        <v>499</v>
      </c>
      <c r="K930" s="18" t="s">
        <v>56</v>
      </c>
      <c r="L930" s="18" t="s">
        <v>36</v>
      </c>
      <c r="N930" s="18">
        <v>6</v>
      </c>
      <c r="O930" s="18" t="s">
        <v>57</v>
      </c>
      <c r="P930" s="18" t="s">
        <v>38</v>
      </c>
      <c r="Q930" s="18" t="s">
        <v>117</v>
      </c>
      <c r="R930" s="18" t="s">
        <v>59</v>
      </c>
      <c r="S930" s="18" t="s">
        <v>186</v>
      </c>
      <c r="T930" s="18" t="b">
        <v>1</v>
      </c>
      <c r="U930" s="18" t="s">
        <v>101</v>
      </c>
      <c r="V930" s="18" t="s">
        <v>40</v>
      </c>
      <c r="W930" s="18" t="s">
        <v>151</v>
      </c>
      <c r="X930" s="18" t="s">
        <v>152</v>
      </c>
      <c r="Y930" s="18">
        <v>1</v>
      </c>
      <c r="Z930" s="18">
        <v>4700</v>
      </c>
      <c r="AA930" s="31" t="s">
        <v>810</v>
      </c>
      <c r="AB930" s="18" t="s">
        <v>811</v>
      </c>
      <c r="AC930" s="18" t="s">
        <v>111</v>
      </c>
    </row>
    <row r="931" s="18" customFormat="1" ht="29" spans="1:29">
      <c r="A931" s="18" t="s">
        <v>2350</v>
      </c>
      <c r="B931" s="25" t="s">
        <v>2350</v>
      </c>
      <c r="C931" s="26">
        <v>45692</v>
      </c>
      <c r="D931" s="18" t="s">
        <v>1141</v>
      </c>
      <c r="E931" s="18" t="str">
        <f t="shared" si="14"/>
        <v>Eco Prints</v>
      </c>
      <c r="F931" s="27" t="s">
        <v>1142</v>
      </c>
      <c r="G931" s="18" t="s">
        <v>99</v>
      </c>
      <c r="H931" s="18" t="s">
        <v>100</v>
      </c>
      <c r="I931" s="18" t="s">
        <v>184</v>
      </c>
      <c r="J931" s="18" t="s">
        <v>499</v>
      </c>
      <c r="K931" s="18" t="s">
        <v>56</v>
      </c>
      <c r="L931" s="18" t="s">
        <v>36</v>
      </c>
      <c r="N931" s="18">
        <v>6</v>
      </c>
      <c r="O931" s="18" t="s">
        <v>88</v>
      </c>
      <c r="P931" s="18" t="s">
        <v>38</v>
      </c>
      <c r="Q931" s="18" t="s">
        <v>117</v>
      </c>
      <c r="R931" s="18" t="s">
        <v>59</v>
      </c>
      <c r="S931" s="18" t="s">
        <v>186</v>
      </c>
      <c r="T931" s="18" t="b">
        <v>1</v>
      </c>
      <c r="U931" s="18" t="s">
        <v>101</v>
      </c>
      <c r="V931" s="18" t="s">
        <v>40</v>
      </c>
      <c r="W931" s="18" t="s">
        <v>196</v>
      </c>
      <c r="X931" s="18" t="s">
        <v>197</v>
      </c>
      <c r="Y931" s="18">
        <v>1</v>
      </c>
      <c r="Z931" s="18">
        <v>51630</v>
      </c>
      <c r="AA931" s="31" t="s">
        <v>810</v>
      </c>
      <c r="AB931" s="18" t="s">
        <v>811</v>
      </c>
      <c r="AC931" s="18" t="s">
        <v>111</v>
      </c>
    </row>
    <row r="932" s="18" customFormat="1" ht="29" spans="1:29">
      <c r="A932" s="18" t="s">
        <v>2351</v>
      </c>
      <c r="B932" s="25" t="s">
        <v>2351</v>
      </c>
      <c r="C932" s="26">
        <v>45692</v>
      </c>
      <c r="D932" s="18" t="s">
        <v>1924</v>
      </c>
      <c r="E932" s="18" t="str">
        <f t="shared" si="14"/>
        <v>Joshi prints</v>
      </c>
      <c r="F932" s="27" t="s">
        <v>1925</v>
      </c>
      <c r="G932" s="18" t="s">
        <v>99</v>
      </c>
      <c r="H932" s="18" t="s">
        <v>100</v>
      </c>
      <c r="I932" s="18" t="s">
        <v>184</v>
      </c>
      <c r="J932" s="18" t="s">
        <v>499</v>
      </c>
      <c r="K932" s="18" t="s">
        <v>56</v>
      </c>
      <c r="L932" s="18" t="s">
        <v>36</v>
      </c>
      <c r="N932" s="18">
        <v>6</v>
      </c>
      <c r="O932" s="18" t="s">
        <v>57</v>
      </c>
      <c r="P932" s="18" t="s">
        <v>38</v>
      </c>
      <c r="Q932" s="18" t="s">
        <v>117</v>
      </c>
      <c r="R932" s="18" t="s">
        <v>59</v>
      </c>
      <c r="S932" s="18" t="s">
        <v>186</v>
      </c>
      <c r="T932" s="18" t="b">
        <v>1</v>
      </c>
      <c r="U932" s="18" t="s">
        <v>101</v>
      </c>
      <c r="V932" s="18" t="s">
        <v>40</v>
      </c>
      <c r="W932" s="18" t="s">
        <v>196</v>
      </c>
      <c r="X932" s="18" t="s">
        <v>197</v>
      </c>
      <c r="Y932" s="18">
        <v>1</v>
      </c>
      <c r="Z932" s="18">
        <v>10200</v>
      </c>
      <c r="AA932" s="31" t="s">
        <v>810</v>
      </c>
      <c r="AB932" s="18" t="s">
        <v>811</v>
      </c>
      <c r="AC932" s="18" t="s">
        <v>111</v>
      </c>
    </row>
    <row r="933" s="18" customFormat="1" spans="1:29">
      <c r="A933" s="18" t="s">
        <v>2352</v>
      </c>
      <c r="B933" s="25" t="s">
        <v>2352</v>
      </c>
      <c r="C933" s="26">
        <v>45692</v>
      </c>
      <c r="D933" s="18" t="s">
        <v>1514</v>
      </c>
      <c r="E933" s="18" t="str">
        <f t="shared" si="14"/>
        <v>Aishwarya Anil Kumar</v>
      </c>
      <c r="F933" s="27" t="s">
        <v>1515</v>
      </c>
      <c r="G933" s="18" t="s">
        <v>99</v>
      </c>
      <c r="H933" s="18" t="s">
        <v>100</v>
      </c>
      <c r="I933" s="18" t="s">
        <v>34</v>
      </c>
      <c r="J933" s="18" t="s">
        <v>499</v>
      </c>
      <c r="K933" s="18" t="s">
        <v>56</v>
      </c>
      <c r="L933" s="18" t="s">
        <v>36</v>
      </c>
      <c r="N933" s="18">
        <v>6</v>
      </c>
      <c r="O933" s="18" t="s">
        <v>57</v>
      </c>
      <c r="P933" s="18" t="s">
        <v>38</v>
      </c>
      <c r="Q933" s="18" t="s">
        <v>117</v>
      </c>
      <c r="R933" s="18" t="s">
        <v>59</v>
      </c>
      <c r="S933" s="18" t="s">
        <v>186</v>
      </c>
      <c r="T933" s="18" t="b">
        <v>1</v>
      </c>
      <c r="U933" s="18" t="s">
        <v>101</v>
      </c>
      <c r="V933" s="18" t="s">
        <v>40</v>
      </c>
      <c r="W933" s="18" t="s">
        <v>317</v>
      </c>
      <c r="X933" s="18" t="s">
        <v>318</v>
      </c>
      <c r="Y933" s="18">
        <v>1</v>
      </c>
      <c r="Z933" s="18">
        <v>175000</v>
      </c>
      <c r="AA933" s="18" t="s">
        <v>1516</v>
      </c>
      <c r="AB933" s="18" t="s">
        <v>1517</v>
      </c>
      <c r="AC933" s="18" t="e">
        <v>#N/A</v>
      </c>
    </row>
    <row r="934" s="18" customFormat="1" spans="1:29">
      <c r="A934" s="18" t="s">
        <v>2353</v>
      </c>
      <c r="B934" s="25" t="s">
        <v>2353</v>
      </c>
      <c r="C934" s="26">
        <v>45692</v>
      </c>
      <c r="D934" s="18" t="s">
        <v>238</v>
      </c>
      <c r="E934" s="18" t="str">
        <f t="shared" si="14"/>
        <v>Studio Merchandise Pvt Ltd</v>
      </c>
      <c r="F934" s="27" t="s">
        <v>239</v>
      </c>
      <c r="G934" s="18" t="s">
        <v>147</v>
      </c>
      <c r="H934" s="18" t="s">
        <v>148</v>
      </c>
      <c r="I934" s="18" t="s">
        <v>207</v>
      </c>
      <c r="J934" s="18" t="s">
        <v>1467</v>
      </c>
      <c r="K934" s="18" t="s">
        <v>56</v>
      </c>
      <c r="L934" s="18" t="s">
        <v>36</v>
      </c>
      <c r="N934" s="18">
        <v>6</v>
      </c>
      <c r="O934" s="18" t="s">
        <v>88</v>
      </c>
      <c r="P934" s="18" t="s">
        <v>38</v>
      </c>
      <c r="Q934" s="18" t="s">
        <v>58</v>
      </c>
      <c r="R934" s="18" t="s">
        <v>59</v>
      </c>
      <c r="S934" s="18" t="s">
        <v>60</v>
      </c>
      <c r="T934" s="18" t="b">
        <v>1</v>
      </c>
      <c r="U934" s="18" t="s">
        <v>150</v>
      </c>
      <c r="V934" s="18" t="s">
        <v>40</v>
      </c>
      <c r="W934" s="18" t="s">
        <v>140</v>
      </c>
      <c r="X934" s="18" t="s">
        <v>141</v>
      </c>
      <c r="Y934" s="18">
        <v>1</v>
      </c>
      <c r="Z934" s="18">
        <v>44000</v>
      </c>
      <c r="AA934" s="18" t="s">
        <v>2354</v>
      </c>
      <c r="AB934" s="18" t="s">
        <v>1170</v>
      </c>
      <c r="AC934" s="18" t="s">
        <v>163</v>
      </c>
    </row>
    <row r="935" s="18" customFormat="1" spans="1:29">
      <c r="A935" s="18" t="s">
        <v>2355</v>
      </c>
      <c r="B935" s="25" t="s">
        <v>2355</v>
      </c>
      <c r="C935" s="26">
        <v>45692</v>
      </c>
      <c r="D935" s="18" t="s">
        <v>2356</v>
      </c>
      <c r="E935" s="18" t="str">
        <f t="shared" si="14"/>
        <v>Yash Sharma</v>
      </c>
      <c r="F935" s="27" t="s">
        <v>2357</v>
      </c>
      <c r="G935" s="18" t="s">
        <v>147</v>
      </c>
      <c r="H935" s="18" t="s">
        <v>148</v>
      </c>
      <c r="I935" s="18" t="s">
        <v>207</v>
      </c>
      <c r="J935" s="18" t="s">
        <v>149</v>
      </c>
      <c r="K935" s="18" t="s">
        <v>56</v>
      </c>
      <c r="L935" s="18" t="s">
        <v>36</v>
      </c>
      <c r="N935" s="18">
        <v>6</v>
      </c>
      <c r="O935" s="18" t="s">
        <v>57</v>
      </c>
      <c r="P935" s="18" t="s">
        <v>38</v>
      </c>
      <c r="Q935" s="18" t="s">
        <v>58</v>
      </c>
      <c r="R935" s="18" t="s">
        <v>59</v>
      </c>
      <c r="S935" s="18" t="s">
        <v>60</v>
      </c>
      <c r="T935" s="18" t="b">
        <v>1</v>
      </c>
      <c r="U935" s="18" t="s">
        <v>150</v>
      </c>
      <c r="V935" s="18" t="s">
        <v>40</v>
      </c>
      <c r="W935" s="18" t="s">
        <v>347</v>
      </c>
      <c r="X935" s="18" t="s">
        <v>348</v>
      </c>
      <c r="Y935" s="18">
        <v>1</v>
      </c>
      <c r="Z935" s="18">
        <v>45833</v>
      </c>
      <c r="AA935" s="18" t="s">
        <v>843</v>
      </c>
      <c r="AB935" s="18" t="s">
        <v>844</v>
      </c>
      <c r="AC935" s="18" t="e">
        <v>#N/A</v>
      </c>
    </row>
    <row r="936" s="18" customFormat="1" spans="1:29">
      <c r="A936" s="18" t="s">
        <v>2358</v>
      </c>
      <c r="B936" s="25" t="s">
        <v>2358</v>
      </c>
      <c r="C936" s="26">
        <v>45692</v>
      </c>
      <c r="D936" s="18" t="s">
        <v>2359</v>
      </c>
      <c r="E936" s="18" t="str">
        <f t="shared" si="14"/>
        <v>Sambhav Babbar</v>
      </c>
      <c r="F936" s="27" t="s">
        <v>2360</v>
      </c>
      <c r="G936" s="18" t="s">
        <v>147</v>
      </c>
      <c r="H936" s="18" t="s">
        <v>148</v>
      </c>
      <c r="I936" s="18" t="s">
        <v>207</v>
      </c>
      <c r="J936" s="18" t="s">
        <v>2264</v>
      </c>
      <c r="K936" s="18" t="s">
        <v>56</v>
      </c>
      <c r="L936" s="18" t="s">
        <v>36</v>
      </c>
      <c r="N936" s="18">
        <v>6</v>
      </c>
      <c r="O936" s="18" t="s">
        <v>57</v>
      </c>
      <c r="P936" s="18" t="s">
        <v>38</v>
      </c>
      <c r="Q936" s="18" t="s">
        <v>58</v>
      </c>
      <c r="R936" s="18" t="s">
        <v>59</v>
      </c>
      <c r="S936" s="18" t="s">
        <v>60</v>
      </c>
      <c r="T936" s="18" t="b">
        <v>1</v>
      </c>
      <c r="U936" s="18" t="s">
        <v>150</v>
      </c>
      <c r="V936" s="18" t="s">
        <v>40</v>
      </c>
      <c r="W936" s="18" t="s">
        <v>347</v>
      </c>
      <c r="X936" s="18" t="s">
        <v>348</v>
      </c>
      <c r="Y936" s="18">
        <v>1</v>
      </c>
      <c r="Z936" s="18">
        <v>37500</v>
      </c>
      <c r="AA936" s="18" t="s">
        <v>843</v>
      </c>
      <c r="AB936" s="18" t="s">
        <v>844</v>
      </c>
      <c r="AC936" s="18" t="e">
        <v>#N/A</v>
      </c>
    </row>
    <row r="937" s="18" customFormat="1" spans="1:29">
      <c r="A937" s="18" t="s">
        <v>2361</v>
      </c>
      <c r="B937" s="25" t="s">
        <v>2361</v>
      </c>
      <c r="C937" s="26">
        <v>45692</v>
      </c>
      <c r="D937" s="18" t="s">
        <v>2362</v>
      </c>
      <c r="E937" s="18" t="str">
        <f t="shared" si="14"/>
        <v>Muhavra Enterprises Pvt Ltd</v>
      </c>
      <c r="F937" s="27" t="s">
        <v>2363</v>
      </c>
      <c r="G937" s="18" t="s">
        <v>147</v>
      </c>
      <c r="H937" s="18" t="s">
        <v>148</v>
      </c>
      <c r="I937" s="18" t="s">
        <v>207</v>
      </c>
      <c r="J937" s="18" t="s">
        <v>2364</v>
      </c>
      <c r="K937" s="18" t="s">
        <v>56</v>
      </c>
      <c r="L937" s="18" t="s">
        <v>36</v>
      </c>
      <c r="N937" s="18">
        <v>6</v>
      </c>
      <c r="O937" s="18" t="s">
        <v>88</v>
      </c>
      <c r="P937" s="18" t="s">
        <v>38</v>
      </c>
      <c r="Q937" s="18" t="s">
        <v>58</v>
      </c>
      <c r="R937" s="18" t="s">
        <v>59</v>
      </c>
      <c r="S937" s="18" t="s">
        <v>60</v>
      </c>
      <c r="T937" s="18" t="b">
        <v>1</v>
      </c>
      <c r="U937" s="18" t="s">
        <v>150</v>
      </c>
      <c r="V937" s="18" t="s">
        <v>40</v>
      </c>
      <c r="W937" s="18" t="s">
        <v>140</v>
      </c>
      <c r="X937" s="18" t="s">
        <v>141</v>
      </c>
      <c r="Y937" s="18">
        <v>1</v>
      </c>
      <c r="Z937" s="18">
        <v>95000</v>
      </c>
      <c r="AA937" s="18" t="s">
        <v>1989</v>
      </c>
      <c r="AB937" s="18" t="s">
        <v>1990</v>
      </c>
      <c r="AC937" s="18" t="s">
        <v>155</v>
      </c>
    </row>
    <row r="938" s="18" customFormat="1" spans="1:29">
      <c r="A938" s="18" t="s">
        <v>2365</v>
      </c>
      <c r="B938" s="25" t="s">
        <v>2365</v>
      </c>
      <c r="C938" s="26">
        <v>45692</v>
      </c>
      <c r="D938" s="18" t="s">
        <v>2366</v>
      </c>
      <c r="E938" s="18" t="str">
        <f t="shared" si="14"/>
        <v>2626 Creative Studio Pvt Ltd</v>
      </c>
      <c r="F938" s="27" t="s">
        <v>2367</v>
      </c>
      <c r="G938" s="18" t="s">
        <v>147</v>
      </c>
      <c r="H938" s="18" t="s">
        <v>148</v>
      </c>
      <c r="I938" s="18" t="s">
        <v>207</v>
      </c>
      <c r="J938" s="18" t="s">
        <v>2364</v>
      </c>
      <c r="K938" s="18" t="s">
        <v>56</v>
      </c>
      <c r="L938" s="18" t="s">
        <v>36</v>
      </c>
      <c r="N938" s="18">
        <v>6</v>
      </c>
      <c r="O938" s="18" t="s">
        <v>88</v>
      </c>
      <c r="P938" s="18" t="s">
        <v>38</v>
      </c>
      <c r="Q938" s="18" t="s">
        <v>58</v>
      </c>
      <c r="R938" s="18" t="s">
        <v>59</v>
      </c>
      <c r="S938" s="18" t="s">
        <v>60</v>
      </c>
      <c r="T938" s="18" t="b">
        <v>1</v>
      </c>
      <c r="U938" s="18" t="s">
        <v>150</v>
      </c>
      <c r="V938" s="18" t="s">
        <v>40</v>
      </c>
      <c r="W938" s="18" t="s">
        <v>140</v>
      </c>
      <c r="X938" s="18" t="s">
        <v>141</v>
      </c>
      <c r="Y938" s="18">
        <v>1</v>
      </c>
      <c r="Z938" s="18">
        <v>8950</v>
      </c>
      <c r="AA938" s="18" t="s">
        <v>1989</v>
      </c>
      <c r="AB938" s="18" t="s">
        <v>1990</v>
      </c>
      <c r="AC938" s="18" t="s">
        <v>695</v>
      </c>
    </row>
    <row r="939" s="18" customFormat="1" spans="1:29">
      <c r="A939" s="18" t="s">
        <v>2368</v>
      </c>
      <c r="B939" s="25" t="s">
        <v>2368</v>
      </c>
      <c r="C939" s="26">
        <v>45692</v>
      </c>
      <c r="D939" s="18" t="s">
        <v>2369</v>
      </c>
      <c r="E939" s="18" t="str">
        <f t="shared" si="14"/>
        <v>Garima Rathore</v>
      </c>
      <c r="F939" s="27" t="s">
        <v>2370</v>
      </c>
      <c r="G939" s="18" t="s">
        <v>147</v>
      </c>
      <c r="H939" s="18" t="s">
        <v>148</v>
      </c>
      <c r="I939" s="18" t="s">
        <v>207</v>
      </c>
      <c r="J939" s="18" t="s">
        <v>1426</v>
      </c>
      <c r="K939" s="18" t="s">
        <v>56</v>
      </c>
      <c r="L939" s="18" t="s">
        <v>36</v>
      </c>
      <c r="N939" s="18">
        <v>6</v>
      </c>
      <c r="O939" s="18" t="s">
        <v>57</v>
      </c>
      <c r="P939" s="18" t="s">
        <v>38</v>
      </c>
      <c r="Q939" s="18" t="s">
        <v>58</v>
      </c>
      <c r="R939" s="18" t="s">
        <v>59</v>
      </c>
      <c r="S939" s="18" t="s">
        <v>60</v>
      </c>
      <c r="T939" s="18" t="b">
        <v>1</v>
      </c>
      <c r="U939" s="18" t="s">
        <v>150</v>
      </c>
      <c r="V939" s="18" t="s">
        <v>40</v>
      </c>
      <c r="W939" s="18" t="s">
        <v>347</v>
      </c>
      <c r="X939" s="18" t="s">
        <v>348</v>
      </c>
      <c r="Y939" s="18">
        <v>1</v>
      </c>
      <c r="Z939" s="18">
        <v>42500</v>
      </c>
      <c r="AA939" s="18" t="s">
        <v>843</v>
      </c>
      <c r="AB939" s="18" t="s">
        <v>844</v>
      </c>
      <c r="AC939" s="18" t="e">
        <v>#N/A</v>
      </c>
    </row>
    <row r="940" s="18" customFormat="1" spans="1:29">
      <c r="A940" s="18" t="s">
        <v>2371</v>
      </c>
      <c r="B940" s="25" t="s">
        <v>2371</v>
      </c>
      <c r="C940" s="26">
        <v>45692</v>
      </c>
      <c r="D940" s="18" t="s">
        <v>2372</v>
      </c>
      <c r="E940" s="18" t="str">
        <f t="shared" si="14"/>
        <v>P Arora and Associates Pvt Ltd</v>
      </c>
      <c r="F940" s="27" t="s">
        <v>2373</v>
      </c>
      <c r="G940" s="18" t="s">
        <v>147</v>
      </c>
      <c r="H940" s="18" t="s">
        <v>148</v>
      </c>
      <c r="I940" s="18" t="s">
        <v>159</v>
      </c>
      <c r="J940" s="18" t="s">
        <v>2264</v>
      </c>
      <c r="K940" s="18" t="s">
        <v>56</v>
      </c>
      <c r="L940" s="18" t="s">
        <v>36</v>
      </c>
      <c r="N940" s="18">
        <v>6</v>
      </c>
      <c r="O940" s="18" t="s">
        <v>57</v>
      </c>
      <c r="P940" s="18" t="s">
        <v>38</v>
      </c>
      <c r="Q940" s="18" t="s">
        <v>58</v>
      </c>
      <c r="R940" s="18" t="s">
        <v>59</v>
      </c>
      <c r="S940" s="18" t="s">
        <v>60</v>
      </c>
      <c r="T940" s="18" t="b">
        <v>1</v>
      </c>
      <c r="U940" s="18" t="s">
        <v>150</v>
      </c>
      <c r="V940" s="18" t="s">
        <v>40</v>
      </c>
      <c r="W940" s="18" t="s">
        <v>347</v>
      </c>
      <c r="X940" s="18" t="s">
        <v>348</v>
      </c>
      <c r="Y940" s="18">
        <v>1</v>
      </c>
      <c r="Z940" s="18">
        <v>40000</v>
      </c>
      <c r="AA940" s="18" t="s">
        <v>294</v>
      </c>
      <c r="AB940" s="18" t="s">
        <v>295</v>
      </c>
      <c r="AC940" s="18" t="s">
        <v>155</v>
      </c>
    </row>
    <row r="941" s="18" customFormat="1" spans="1:29">
      <c r="A941" s="18" t="s">
        <v>2374</v>
      </c>
      <c r="B941" s="25" t="s">
        <v>2374</v>
      </c>
      <c r="C941" s="26">
        <v>45692</v>
      </c>
      <c r="D941" s="18" t="s">
        <v>2375</v>
      </c>
      <c r="E941" s="18" t="str">
        <f t="shared" si="14"/>
        <v>Royal Vacations Corporate Planners</v>
      </c>
      <c r="F941" s="27" t="s">
        <v>2376</v>
      </c>
      <c r="G941" s="18" t="s">
        <v>147</v>
      </c>
      <c r="H941" s="18" t="s">
        <v>148</v>
      </c>
      <c r="I941" s="18" t="s">
        <v>207</v>
      </c>
      <c r="J941" s="18" t="s">
        <v>139</v>
      </c>
      <c r="K941" s="18" t="s">
        <v>56</v>
      </c>
      <c r="L941" s="18" t="s">
        <v>36</v>
      </c>
      <c r="N941" s="18">
        <v>6</v>
      </c>
      <c r="O941" s="18" t="s">
        <v>88</v>
      </c>
      <c r="P941" s="18" t="s">
        <v>38</v>
      </c>
      <c r="Q941" s="18" t="s">
        <v>58</v>
      </c>
      <c r="R941" s="18" t="s">
        <v>59</v>
      </c>
      <c r="S941" s="18" t="s">
        <v>60</v>
      </c>
      <c r="T941" s="18" t="b">
        <v>1</v>
      </c>
      <c r="U941" s="18" t="s">
        <v>150</v>
      </c>
      <c r="V941" s="18" t="s">
        <v>40</v>
      </c>
      <c r="W941" s="18" t="s">
        <v>233</v>
      </c>
      <c r="X941" s="18" t="s">
        <v>234</v>
      </c>
      <c r="Y941" s="18">
        <v>1</v>
      </c>
      <c r="Z941" s="18">
        <v>836820</v>
      </c>
      <c r="AA941" s="18" t="s">
        <v>2377</v>
      </c>
      <c r="AB941" s="18" t="s">
        <v>763</v>
      </c>
      <c r="AC941" s="18" t="s">
        <v>163</v>
      </c>
    </row>
    <row r="942" s="18" customFormat="1" spans="1:29">
      <c r="A942" s="18" t="s">
        <v>2378</v>
      </c>
      <c r="B942" s="25" t="s">
        <v>2378</v>
      </c>
      <c r="C942" s="26">
        <v>45692</v>
      </c>
      <c r="D942" s="18" t="s">
        <v>537</v>
      </c>
      <c r="E942" s="18" t="str">
        <f t="shared" si="14"/>
        <v>Pavleen Kaurr Qaumi</v>
      </c>
      <c r="F942" s="27" t="s">
        <v>538</v>
      </c>
      <c r="G942" s="18" t="s">
        <v>147</v>
      </c>
      <c r="H942" s="18" t="s">
        <v>148</v>
      </c>
      <c r="I942" s="18" t="s">
        <v>207</v>
      </c>
      <c r="J942" s="18" t="s">
        <v>466</v>
      </c>
      <c r="K942" s="18" t="s">
        <v>56</v>
      </c>
      <c r="L942" s="18" t="s">
        <v>36</v>
      </c>
      <c r="N942" s="18">
        <v>6</v>
      </c>
      <c r="O942" s="18" t="s">
        <v>57</v>
      </c>
      <c r="P942" s="18" t="s">
        <v>38</v>
      </c>
      <c r="Q942" s="18" t="s">
        <v>58</v>
      </c>
      <c r="R942" s="18" t="s">
        <v>59</v>
      </c>
      <c r="S942" s="18" t="s">
        <v>60</v>
      </c>
      <c r="T942" s="18" t="b">
        <v>1</v>
      </c>
      <c r="U942" s="18" t="s">
        <v>150</v>
      </c>
      <c r="V942" s="18" t="s">
        <v>40</v>
      </c>
      <c r="W942" s="18" t="s">
        <v>233</v>
      </c>
      <c r="X942" s="18" t="s">
        <v>234</v>
      </c>
      <c r="Y942" s="18">
        <v>1</v>
      </c>
      <c r="Z942" s="18">
        <v>7930</v>
      </c>
      <c r="AA942" s="18" t="s">
        <v>843</v>
      </c>
      <c r="AB942" s="18" t="s">
        <v>844</v>
      </c>
      <c r="AC942" s="18" t="e">
        <v>#N/A</v>
      </c>
    </row>
    <row r="943" s="18" customFormat="1" spans="1:29">
      <c r="A943" s="18" t="s">
        <v>2379</v>
      </c>
      <c r="B943" s="25" t="s">
        <v>2379</v>
      </c>
      <c r="C943" s="26">
        <v>45692</v>
      </c>
      <c r="D943" s="18" t="s">
        <v>238</v>
      </c>
      <c r="E943" s="18" t="str">
        <f t="shared" si="14"/>
        <v>Studio Merchandise Pvt Ltd</v>
      </c>
      <c r="F943" s="27" t="s">
        <v>239</v>
      </c>
      <c r="G943" s="18" t="s">
        <v>147</v>
      </c>
      <c r="H943" s="18" t="s">
        <v>148</v>
      </c>
      <c r="I943" s="18" t="s">
        <v>207</v>
      </c>
      <c r="J943" s="18" t="s">
        <v>240</v>
      </c>
      <c r="K943" s="18" t="s">
        <v>56</v>
      </c>
      <c r="L943" s="18" t="s">
        <v>36</v>
      </c>
      <c r="N943" s="18">
        <v>6</v>
      </c>
      <c r="O943" s="18" t="s">
        <v>88</v>
      </c>
      <c r="P943" s="18" t="s">
        <v>38</v>
      </c>
      <c r="Q943" s="18" t="s">
        <v>58</v>
      </c>
      <c r="R943" s="18" t="s">
        <v>59</v>
      </c>
      <c r="S943" s="18" t="s">
        <v>60</v>
      </c>
      <c r="T943" s="18" t="b">
        <v>1</v>
      </c>
      <c r="U943" s="18" t="s">
        <v>150</v>
      </c>
      <c r="V943" s="18" t="s">
        <v>40</v>
      </c>
      <c r="W943" s="18" t="s">
        <v>140</v>
      </c>
      <c r="X943" s="18" t="s">
        <v>141</v>
      </c>
      <c r="Y943" s="18">
        <v>1</v>
      </c>
      <c r="Z943" s="18">
        <v>147300</v>
      </c>
      <c r="AA943" s="18" t="s">
        <v>1718</v>
      </c>
      <c r="AB943" s="18" t="s">
        <v>242</v>
      </c>
      <c r="AC943" s="18" t="s">
        <v>163</v>
      </c>
    </row>
    <row r="944" s="18" customFormat="1" spans="1:29">
      <c r="A944" s="18" t="s">
        <v>2380</v>
      </c>
      <c r="B944" s="25" t="s">
        <v>2380</v>
      </c>
      <c r="C944" s="26">
        <v>45692</v>
      </c>
      <c r="D944" s="18" t="s">
        <v>2144</v>
      </c>
      <c r="E944" s="18" t="str">
        <f t="shared" si="14"/>
        <v>Lokjat Slv Solutions</v>
      </c>
      <c r="F944" s="27" t="s">
        <v>2145</v>
      </c>
      <c r="G944" s="18" t="s">
        <v>147</v>
      </c>
      <c r="H944" s="18" t="s">
        <v>148</v>
      </c>
      <c r="I944" s="18" t="s">
        <v>207</v>
      </c>
      <c r="J944" s="18" t="s">
        <v>240</v>
      </c>
      <c r="K944" s="18" t="s">
        <v>56</v>
      </c>
      <c r="L944" s="18" t="s">
        <v>36</v>
      </c>
      <c r="N944" s="18">
        <v>6</v>
      </c>
      <c r="O944" s="18" t="s">
        <v>88</v>
      </c>
      <c r="P944" s="18" t="s">
        <v>38</v>
      </c>
      <c r="Q944" s="18" t="s">
        <v>58</v>
      </c>
      <c r="R944" s="18" t="s">
        <v>59</v>
      </c>
      <c r="S944" s="18" t="s">
        <v>60</v>
      </c>
      <c r="T944" s="18" t="b">
        <v>1</v>
      </c>
      <c r="U944" s="18" t="s">
        <v>150</v>
      </c>
      <c r="V944" s="18" t="s">
        <v>40</v>
      </c>
      <c r="W944" s="18" t="s">
        <v>317</v>
      </c>
      <c r="X944" s="18" t="s">
        <v>318</v>
      </c>
      <c r="Y944" s="18">
        <v>1</v>
      </c>
      <c r="Z944" s="18">
        <v>180000</v>
      </c>
      <c r="AA944" s="18" t="s">
        <v>299</v>
      </c>
      <c r="AB944" s="18" t="s">
        <v>295</v>
      </c>
      <c r="AC944" s="18" t="s">
        <v>163</v>
      </c>
    </row>
    <row r="945" s="18" customFormat="1" spans="1:29">
      <c r="A945" s="18" t="s">
        <v>2381</v>
      </c>
      <c r="B945" s="25" t="s">
        <v>2381</v>
      </c>
      <c r="C945" s="26">
        <v>45692</v>
      </c>
      <c r="D945" s="18" t="s">
        <v>559</v>
      </c>
      <c r="E945" s="18" t="str">
        <f t="shared" si="14"/>
        <v>Red Carpet Events And Entertainment</v>
      </c>
      <c r="F945" s="27" t="s">
        <v>560</v>
      </c>
      <c r="G945" s="18" t="s">
        <v>147</v>
      </c>
      <c r="H945" s="18" t="s">
        <v>148</v>
      </c>
      <c r="I945" s="18" t="s">
        <v>207</v>
      </c>
      <c r="J945" s="18" t="s">
        <v>240</v>
      </c>
      <c r="K945" s="18" t="s">
        <v>56</v>
      </c>
      <c r="L945" s="18" t="s">
        <v>36</v>
      </c>
      <c r="N945" s="18">
        <v>6</v>
      </c>
      <c r="O945" s="18" t="s">
        <v>88</v>
      </c>
      <c r="P945" s="18" t="s">
        <v>38</v>
      </c>
      <c r="Q945" s="18" t="s">
        <v>58</v>
      </c>
      <c r="R945" s="18" t="s">
        <v>59</v>
      </c>
      <c r="S945" s="18" t="s">
        <v>60</v>
      </c>
      <c r="T945" s="18" t="b">
        <v>1</v>
      </c>
      <c r="U945" s="18" t="s">
        <v>150</v>
      </c>
      <c r="V945" s="18" t="s">
        <v>40</v>
      </c>
      <c r="W945" s="18" t="s">
        <v>292</v>
      </c>
      <c r="X945" s="18" t="s">
        <v>293</v>
      </c>
      <c r="Y945" s="18">
        <v>1</v>
      </c>
      <c r="Z945" s="18">
        <v>4500</v>
      </c>
      <c r="AA945" s="18" t="s">
        <v>299</v>
      </c>
      <c r="AB945" s="18" t="s">
        <v>295</v>
      </c>
      <c r="AC945" s="18" t="e">
        <v>#N/A</v>
      </c>
    </row>
    <row r="946" s="18" customFormat="1" spans="1:29">
      <c r="A946" s="18" t="s">
        <v>2382</v>
      </c>
      <c r="B946" s="25" t="s">
        <v>2382</v>
      </c>
      <c r="C946" s="26">
        <v>45692</v>
      </c>
      <c r="D946" s="18" t="s">
        <v>2383</v>
      </c>
      <c r="E946" s="18" t="str">
        <f t="shared" si="14"/>
        <v>Rahul Sabar</v>
      </c>
      <c r="F946" s="27" t="s">
        <v>2384</v>
      </c>
      <c r="G946" s="18" t="s">
        <v>147</v>
      </c>
      <c r="H946" s="18" t="s">
        <v>148</v>
      </c>
      <c r="I946" s="18" t="s">
        <v>159</v>
      </c>
      <c r="J946" s="18" t="s">
        <v>395</v>
      </c>
      <c r="K946" s="18" t="s">
        <v>56</v>
      </c>
      <c r="L946" s="18" t="s">
        <v>36</v>
      </c>
      <c r="N946" s="18">
        <v>6</v>
      </c>
      <c r="O946" s="18" t="s">
        <v>93</v>
      </c>
      <c r="P946" s="18" t="s">
        <v>38</v>
      </c>
      <c r="Q946" s="18" t="s">
        <v>58</v>
      </c>
      <c r="R946" s="18" t="s">
        <v>59</v>
      </c>
      <c r="S946" s="18" t="s">
        <v>60</v>
      </c>
      <c r="T946" s="18" t="b">
        <v>1</v>
      </c>
      <c r="U946" s="18" t="s">
        <v>150</v>
      </c>
      <c r="V946" s="18" t="s">
        <v>40</v>
      </c>
      <c r="W946" s="18" t="s">
        <v>347</v>
      </c>
      <c r="X946" s="18" t="s">
        <v>348</v>
      </c>
      <c r="Y946" s="18">
        <v>1</v>
      </c>
      <c r="Z946" s="18">
        <v>147000</v>
      </c>
      <c r="AA946" s="18" t="s">
        <v>843</v>
      </c>
      <c r="AB946" s="18" t="s">
        <v>844</v>
      </c>
      <c r="AC946" s="18" t="e">
        <v>#N/A</v>
      </c>
    </row>
    <row r="947" s="18" customFormat="1" spans="1:29">
      <c r="A947" s="18" t="s">
        <v>2385</v>
      </c>
      <c r="B947" s="25" t="s">
        <v>2385</v>
      </c>
      <c r="C947" s="26">
        <v>45692</v>
      </c>
      <c r="D947" s="18" t="s">
        <v>1404</v>
      </c>
      <c r="E947" s="18" t="str">
        <f t="shared" si="14"/>
        <v>Mohammad Danish  </v>
      </c>
      <c r="F947" s="27" t="s">
        <v>1405</v>
      </c>
      <c r="G947" s="18" t="s">
        <v>182</v>
      </c>
      <c r="H947" s="18" t="s">
        <v>183</v>
      </c>
      <c r="I947" s="18" t="s">
        <v>481</v>
      </c>
      <c r="J947" s="18" t="s">
        <v>2171</v>
      </c>
      <c r="K947" s="18" t="s">
        <v>56</v>
      </c>
      <c r="L947" s="18" t="s">
        <v>36</v>
      </c>
      <c r="N947" s="18">
        <v>6</v>
      </c>
      <c r="O947" s="18" t="s">
        <v>93</v>
      </c>
      <c r="P947" s="18" t="s">
        <v>38</v>
      </c>
      <c r="Q947" s="18" t="s">
        <v>194</v>
      </c>
      <c r="R947" s="18" t="s">
        <v>59</v>
      </c>
      <c r="S947" s="18" t="s">
        <v>195</v>
      </c>
      <c r="T947" s="18" t="b">
        <v>0</v>
      </c>
      <c r="U947" s="18" t="s">
        <v>187</v>
      </c>
      <c r="V947" s="18" t="s">
        <v>40</v>
      </c>
      <c r="W947" s="18" t="s">
        <v>126</v>
      </c>
      <c r="X947" s="18" t="s">
        <v>127</v>
      </c>
      <c r="Y947" s="18">
        <v>1</v>
      </c>
      <c r="Z947" s="18">
        <v>1696</v>
      </c>
      <c r="AC947" s="18" t="e">
        <v>#N/A</v>
      </c>
    </row>
    <row r="948" s="18" customFormat="1" spans="1:29">
      <c r="A948" s="18" t="s">
        <v>2386</v>
      </c>
      <c r="B948" s="25" t="s">
        <v>2386</v>
      </c>
      <c r="C948" s="26">
        <v>45692</v>
      </c>
      <c r="D948" s="18" t="s">
        <v>1938</v>
      </c>
      <c r="E948" s="18" t="str">
        <f t="shared" si="14"/>
        <v>Sudhakar Sawant   </v>
      </c>
      <c r="F948" s="27" t="e">
        <v>#N/A</v>
      </c>
      <c r="G948" s="18" t="s">
        <v>182</v>
      </c>
      <c r="H948" s="18" t="s">
        <v>183</v>
      </c>
      <c r="I948" s="18" t="s">
        <v>481</v>
      </c>
      <c r="J948" s="18" t="s">
        <v>1491</v>
      </c>
      <c r="K948" s="18" t="s">
        <v>56</v>
      </c>
      <c r="L948" s="18" t="s">
        <v>36</v>
      </c>
      <c r="N948" s="18">
        <v>6</v>
      </c>
      <c r="O948" s="18" t="s">
        <v>93</v>
      </c>
      <c r="P948" s="18" t="s">
        <v>38</v>
      </c>
      <c r="Q948" s="18" t="s">
        <v>194</v>
      </c>
      <c r="R948" s="18" t="s">
        <v>59</v>
      </c>
      <c r="S948" s="18" t="s">
        <v>195</v>
      </c>
      <c r="T948" s="18" t="b">
        <v>0</v>
      </c>
      <c r="U948" s="18" t="s">
        <v>187</v>
      </c>
      <c r="V948" s="18" t="s">
        <v>40</v>
      </c>
      <c r="W948" s="18" t="s">
        <v>126</v>
      </c>
      <c r="X948" s="18" t="s">
        <v>127</v>
      </c>
      <c r="Y948" s="18">
        <v>1</v>
      </c>
      <c r="Z948" s="18">
        <v>118</v>
      </c>
      <c r="AC948" s="18" t="e">
        <v>#N/A</v>
      </c>
    </row>
    <row r="949" s="18" customFormat="1" spans="1:29">
      <c r="A949" s="18" t="s">
        <v>2387</v>
      </c>
      <c r="B949" s="25" t="s">
        <v>2387</v>
      </c>
      <c r="C949" s="26">
        <v>45692</v>
      </c>
      <c r="D949" s="18" t="s">
        <v>2033</v>
      </c>
      <c r="E949" s="18" t="str">
        <f t="shared" si="14"/>
        <v>Pinky Sharma  </v>
      </c>
      <c r="F949" s="27" t="e">
        <v>#N/A</v>
      </c>
      <c r="G949" s="18" t="s">
        <v>182</v>
      </c>
      <c r="H949" s="18" t="s">
        <v>183</v>
      </c>
      <c r="I949" s="18" t="s">
        <v>481</v>
      </c>
      <c r="J949" s="18" t="s">
        <v>1968</v>
      </c>
      <c r="K949" s="18" t="s">
        <v>56</v>
      </c>
      <c r="L949" s="18" t="s">
        <v>36</v>
      </c>
      <c r="N949" s="18">
        <v>6</v>
      </c>
      <c r="O949" s="18" t="s">
        <v>93</v>
      </c>
      <c r="P949" s="18" t="s">
        <v>38</v>
      </c>
      <c r="Q949" s="18" t="s">
        <v>194</v>
      </c>
      <c r="R949" s="18" t="s">
        <v>59</v>
      </c>
      <c r="S949" s="18" t="s">
        <v>195</v>
      </c>
      <c r="T949" s="18" t="b">
        <v>0</v>
      </c>
      <c r="U949" s="18" t="s">
        <v>187</v>
      </c>
      <c r="V949" s="18" t="s">
        <v>40</v>
      </c>
      <c r="W949" s="18" t="s">
        <v>126</v>
      </c>
      <c r="X949" s="18" t="s">
        <v>127</v>
      </c>
      <c r="Y949" s="18">
        <v>1</v>
      </c>
      <c r="Z949" s="18">
        <v>2473.13</v>
      </c>
      <c r="AC949" s="18" t="e">
        <v>#N/A</v>
      </c>
    </row>
    <row r="950" s="18" customFormat="1" spans="1:29">
      <c r="A950" s="18" t="s">
        <v>2388</v>
      </c>
      <c r="B950" s="25" t="s">
        <v>2388</v>
      </c>
      <c r="C950" s="26">
        <v>45692</v>
      </c>
      <c r="D950" s="18" t="s">
        <v>1404</v>
      </c>
      <c r="E950" s="18" t="str">
        <f t="shared" si="14"/>
        <v>Mohammad Danish  </v>
      </c>
      <c r="F950" s="27" t="s">
        <v>1405</v>
      </c>
      <c r="G950" s="18" t="s">
        <v>182</v>
      </c>
      <c r="H950" s="18" t="s">
        <v>183</v>
      </c>
      <c r="I950" s="18" t="s">
        <v>481</v>
      </c>
      <c r="J950" s="18" t="s">
        <v>2171</v>
      </c>
      <c r="K950" s="18" t="s">
        <v>56</v>
      </c>
      <c r="L950" s="18" t="s">
        <v>36</v>
      </c>
      <c r="N950" s="18">
        <v>6</v>
      </c>
      <c r="O950" s="18" t="s">
        <v>93</v>
      </c>
      <c r="P950" s="18" t="s">
        <v>38</v>
      </c>
      <c r="Q950" s="18" t="s">
        <v>194</v>
      </c>
      <c r="R950" s="18" t="s">
        <v>59</v>
      </c>
      <c r="S950" s="18" t="s">
        <v>195</v>
      </c>
      <c r="T950" s="18" t="b">
        <v>0</v>
      </c>
      <c r="U950" s="18" t="s">
        <v>187</v>
      </c>
      <c r="V950" s="18" t="s">
        <v>40</v>
      </c>
      <c r="W950" s="18" t="s">
        <v>126</v>
      </c>
      <c r="X950" s="18" t="s">
        <v>127</v>
      </c>
      <c r="Y950" s="18">
        <v>1</v>
      </c>
      <c r="Z950" s="18">
        <v>2090</v>
      </c>
      <c r="AC950" s="18" t="e">
        <v>#N/A</v>
      </c>
    </row>
    <row r="951" s="18" customFormat="1" spans="1:29">
      <c r="A951" s="18" t="s">
        <v>2389</v>
      </c>
      <c r="B951" s="25" t="s">
        <v>2389</v>
      </c>
      <c r="C951" s="26">
        <v>45692</v>
      </c>
      <c r="D951" s="18" t="s">
        <v>2033</v>
      </c>
      <c r="E951" s="18" t="str">
        <f t="shared" si="14"/>
        <v>Pinky Sharma  </v>
      </c>
      <c r="F951" s="27" t="e">
        <v>#N/A</v>
      </c>
      <c r="G951" s="18" t="s">
        <v>182</v>
      </c>
      <c r="H951" s="18" t="s">
        <v>183</v>
      </c>
      <c r="I951" s="18" t="s">
        <v>481</v>
      </c>
      <c r="J951" s="18" t="s">
        <v>1995</v>
      </c>
      <c r="K951" s="18" t="s">
        <v>56</v>
      </c>
      <c r="L951" s="18" t="s">
        <v>36</v>
      </c>
      <c r="N951" s="18">
        <v>6</v>
      </c>
      <c r="O951" s="18" t="s">
        <v>93</v>
      </c>
      <c r="P951" s="18" t="s">
        <v>38</v>
      </c>
      <c r="Q951" s="18" t="s">
        <v>194</v>
      </c>
      <c r="R951" s="18" t="s">
        <v>59</v>
      </c>
      <c r="S951" s="18" t="s">
        <v>195</v>
      </c>
      <c r="T951" s="18" t="b">
        <v>0</v>
      </c>
      <c r="U951" s="18" t="s">
        <v>187</v>
      </c>
      <c r="V951" s="18" t="s">
        <v>40</v>
      </c>
      <c r="W951" s="18" t="s">
        <v>126</v>
      </c>
      <c r="X951" s="18" t="s">
        <v>127</v>
      </c>
      <c r="Y951" s="18">
        <v>1</v>
      </c>
      <c r="Z951" s="18">
        <v>2931.91</v>
      </c>
      <c r="AC951" s="18" t="e">
        <v>#N/A</v>
      </c>
    </row>
    <row r="952" s="18" customFormat="1" ht="29" spans="1:29">
      <c r="A952" s="18" t="s">
        <v>2390</v>
      </c>
      <c r="B952" s="25" t="s">
        <v>2390</v>
      </c>
      <c r="C952" s="26">
        <v>45692</v>
      </c>
      <c r="D952" s="18" t="s">
        <v>192</v>
      </c>
      <c r="E952" s="18" t="str">
        <f t="shared" si="14"/>
        <v>Noaman Digital Partnership Firm</v>
      </c>
      <c r="F952" s="27" t="e">
        <v>#N/A</v>
      </c>
      <c r="G952" s="18" t="s">
        <v>182</v>
      </c>
      <c r="H952" s="18" t="s">
        <v>183</v>
      </c>
      <c r="I952" s="18" t="s">
        <v>184</v>
      </c>
      <c r="J952" s="18" t="s">
        <v>793</v>
      </c>
      <c r="K952" s="18" t="s">
        <v>56</v>
      </c>
      <c r="L952" s="18" t="s">
        <v>36</v>
      </c>
      <c r="N952" s="18">
        <v>6</v>
      </c>
      <c r="O952" s="18" t="s">
        <v>57</v>
      </c>
      <c r="P952" s="18" t="s">
        <v>38</v>
      </c>
      <c r="Q952" s="18" t="s">
        <v>194</v>
      </c>
      <c r="R952" s="18" t="s">
        <v>59</v>
      </c>
      <c r="S952" s="18" t="s">
        <v>195</v>
      </c>
      <c r="T952" s="18" t="b">
        <v>0</v>
      </c>
      <c r="U952" s="18" t="s">
        <v>187</v>
      </c>
      <c r="V952" s="18" t="s">
        <v>40</v>
      </c>
      <c r="W952" s="18" t="s">
        <v>196</v>
      </c>
      <c r="X952" s="18" t="s">
        <v>197</v>
      </c>
      <c r="Y952" s="18">
        <v>1</v>
      </c>
      <c r="Z952" s="18">
        <v>78176.25</v>
      </c>
      <c r="AA952" s="31" t="s">
        <v>1565</v>
      </c>
      <c r="AB952" s="18" t="s">
        <v>1566</v>
      </c>
      <c r="AC952" s="18" t="s">
        <v>200</v>
      </c>
    </row>
    <row r="953" s="18" customFormat="1" ht="29" spans="1:29">
      <c r="A953" s="18" t="s">
        <v>2391</v>
      </c>
      <c r="B953" s="25" t="s">
        <v>2391</v>
      </c>
      <c r="C953" s="26">
        <v>45692</v>
      </c>
      <c r="D953" s="18" t="s">
        <v>2392</v>
      </c>
      <c r="E953" s="18" t="str">
        <f t="shared" si="14"/>
        <v>Elleven Media And Talent Agency Pvt Ltd</v>
      </c>
      <c r="F953" s="27" t="s">
        <v>2393</v>
      </c>
      <c r="G953" s="18" t="s">
        <v>182</v>
      </c>
      <c r="H953" s="18" t="s">
        <v>183</v>
      </c>
      <c r="I953" s="18" t="s">
        <v>184</v>
      </c>
      <c r="J953" s="18" t="s">
        <v>2394</v>
      </c>
      <c r="K953" s="18" t="s">
        <v>56</v>
      </c>
      <c r="L953" s="18" t="s">
        <v>36</v>
      </c>
      <c r="N953" s="18">
        <v>6</v>
      </c>
      <c r="O953" s="18" t="s">
        <v>57</v>
      </c>
      <c r="P953" s="18" t="s">
        <v>38</v>
      </c>
      <c r="Q953" s="18" t="s">
        <v>194</v>
      </c>
      <c r="R953" s="18" t="s">
        <v>59</v>
      </c>
      <c r="S953" s="18" t="s">
        <v>195</v>
      </c>
      <c r="T953" s="18" t="b">
        <v>0</v>
      </c>
      <c r="U953" s="18" t="s">
        <v>187</v>
      </c>
      <c r="V953" s="18" t="s">
        <v>40</v>
      </c>
      <c r="W953" s="18" t="s">
        <v>250</v>
      </c>
      <c r="X953" s="18" t="s">
        <v>251</v>
      </c>
      <c r="Y953" s="18">
        <v>1</v>
      </c>
      <c r="Z953" s="18">
        <v>375000</v>
      </c>
      <c r="AA953" s="31" t="s">
        <v>1784</v>
      </c>
      <c r="AB953" s="18" t="s">
        <v>1785</v>
      </c>
      <c r="AC953" s="18" t="s">
        <v>200</v>
      </c>
    </row>
    <row r="954" s="18" customFormat="1" spans="1:29">
      <c r="A954" s="18" t="s">
        <v>2395</v>
      </c>
      <c r="B954" s="25" t="s">
        <v>2395</v>
      </c>
      <c r="C954" s="26">
        <v>45692</v>
      </c>
      <c r="D954" s="18" t="s">
        <v>2030</v>
      </c>
      <c r="E954" s="18" t="str">
        <f t="shared" si="14"/>
        <v>Sanil Thombare </v>
      </c>
      <c r="F954" s="27" t="e">
        <v>#N/A</v>
      </c>
      <c r="G954" s="18" t="s">
        <v>182</v>
      </c>
      <c r="H954" s="18" t="s">
        <v>183</v>
      </c>
      <c r="I954" s="18" t="s">
        <v>481</v>
      </c>
      <c r="J954" s="18" t="s">
        <v>1884</v>
      </c>
      <c r="K954" s="18" t="s">
        <v>56</v>
      </c>
      <c r="L954" s="18" t="s">
        <v>36</v>
      </c>
      <c r="N954" s="18">
        <v>6</v>
      </c>
      <c r="O954" s="18" t="s">
        <v>93</v>
      </c>
      <c r="P954" s="18" t="s">
        <v>38</v>
      </c>
      <c r="Q954" s="18" t="s">
        <v>117</v>
      </c>
      <c r="R954" s="18" t="s">
        <v>59</v>
      </c>
      <c r="S954" s="18" t="s">
        <v>118</v>
      </c>
      <c r="T954" s="18" t="b">
        <v>0</v>
      </c>
      <c r="U954" s="18" t="s">
        <v>187</v>
      </c>
      <c r="V954" s="18" t="s">
        <v>40</v>
      </c>
      <c r="W954" s="18" t="s">
        <v>126</v>
      </c>
      <c r="X954" s="18" t="s">
        <v>127</v>
      </c>
      <c r="Y954" s="18">
        <v>1</v>
      </c>
      <c r="Z954" s="18">
        <v>1411</v>
      </c>
      <c r="AC954" s="18" t="e">
        <v>#N/A</v>
      </c>
    </row>
    <row r="955" s="18" customFormat="1" ht="29" spans="1:29">
      <c r="A955" s="18" t="s">
        <v>2396</v>
      </c>
      <c r="B955" s="25" t="s">
        <v>2396</v>
      </c>
      <c r="C955" s="26">
        <v>45692</v>
      </c>
      <c r="D955" s="18" t="s">
        <v>1624</v>
      </c>
      <c r="E955" s="18" t="str">
        <f t="shared" si="14"/>
        <v>Kirti Kishor Lokhande</v>
      </c>
      <c r="F955" s="27" t="s">
        <v>1625</v>
      </c>
      <c r="G955" s="18" t="s">
        <v>182</v>
      </c>
      <c r="H955" s="18" t="s">
        <v>183</v>
      </c>
      <c r="I955" s="18" t="s">
        <v>184</v>
      </c>
      <c r="J955" s="18" t="s">
        <v>2319</v>
      </c>
      <c r="K955" s="18" t="s">
        <v>56</v>
      </c>
      <c r="L955" s="18" t="s">
        <v>36</v>
      </c>
      <c r="N955" s="18">
        <v>6</v>
      </c>
      <c r="O955" s="18" t="s">
        <v>57</v>
      </c>
      <c r="P955" s="18" t="s">
        <v>38</v>
      </c>
      <c r="Q955" s="18" t="s">
        <v>194</v>
      </c>
      <c r="R955" s="18" t="s">
        <v>59</v>
      </c>
      <c r="S955" s="18" t="s">
        <v>195</v>
      </c>
      <c r="T955" s="18" t="b">
        <v>0</v>
      </c>
      <c r="U955" s="18" t="s">
        <v>187</v>
      </c>
      <c r="V955" s="18" t="s">
        <v>40</v>
      </c>
      <c r="W955" s="18" t="s">
        <v>292</v>
      </c>
      <c r="X955" s="18" t="s">
        <v>293</v>
      </c>
      <c r="Y955" s="18">
        <v>1</v>
      </c>
      <c r="Z955" s="18">
        <v>40404.4</v>
      </c>
      <c r="AA955" s="31" t="s">
        <v>962</v>
      </c>
      <c r="AB955" s="18" t="s">
        <v>963</v>
      </c>
      <c r="AC955" s="18" t="e">
        <v>#N/A</v>
      </c>
    </row>
    <row r="956" s="18" customFormat="1" spans="1:29">
      <c r="A956" s="18" t="s">
        <v>2397</v>
      </c>
      <c r="B956" s="25" t="s">
        <v>2397</v>
      </c>
      <c r="C956" s="26">
        <v>45692</v>
      </c>
      <c r="D956" s="18" t="s">
        <v>1213</v>
      </c>
      <c r="E956" s="18" t="str">
        <f t="shared" si="14"/>
        <v>Sanjay Kathale Cash </v>
      </c>
      <c r="F956" s="27" t="e">
        <v>#N/A</v>
      </c>
      <c r="G956" s="18" t="s">
        <v>182</v>
      </c>
      <c r="H956" s="18" t="s">
        <v>183</v>
      </c>
      <c r="I956" s="18" t="s">
        <v>481</v>
      </c>
      <c r="J956" s="18" t="s">
        <v>1995</v>
      </c>
      <c r="K956" s="18" t="s">
        <v>56</v>
      </c>
      <c r="L956" s="18" t="s">
        <v>36</v>
      </c>
      <c r="N956" s="18">
        <v>6</v>
      </c>
      <c r="O956" s="18" t="s">
        <v>93</v>
      </c>
      <c r="P956" s="18" t="s">
        <v>38</v>
      </c>
      <c r="Q956" s="18" t="s">
        <v>194</v>
      </c>
      <c r="R956" s="18" t="s">
        <v>59</v>
      </c>
      <c r="S956" s="18" t="s">
        <v>195</v>
      </c>
      <c r="T956" s="18" t="b">
        <v>0</v>
      </c>
      <c r="U956" s="18" t="s">
        <v>187</v>
      </c>
      <c r="V956" s="18" t="s">
        <v>40</v>
      </c>
      <c r="W956" s="18" t="s">
        <v>1055</v>
      </c>
      <c r="X956" s="18" t="s">
        <v>1056</v>
      </c>
      <c r="Y956" s="18">
        <v>1</v>
      </c>
      <c r="Z956" s="18">
        <v>1800</v>
      </c>
      <c r="AC956" s="18" t="e">
        <v>#N/A</v>
      </c>
    </row>
    <row r="957" s="18" customFormat="1" spans="1:29">
      <c r="A957" s="18" t="s">
        <v>2398</v>
      </c>
      <c r="B957" s="25" t="s">
        <v>2398</v>
      </c>
      <c r="C957" s="26">
        <v>45692</v>
      </c>
      <c r="D957" s="18" t="s">
        <v>2399</v>
      </c>
      <c r="E957" s="18" t="str">
        <f t="shared" si="14"/>
        <v>Samadhan Babar </v>
      </c>
      <c r="F957" s="27" t="e">
        <v>#N/A</v>
      </c>
      <c r="G957" s="18" t="s">
        <v>182</v>
      </c>
      <c r="H957" s="18" t="s">
        <v>183</v>
      </c>
      <c r="I957" s="18" t="s">
        <v>481</v>
      </c>
      <c r="J957" s="18" t="s">
        <v>1995</v>
      </c>
      <c r="K957" s="18" t="s">
        <v>56</v>
      </c>
      <c r="L957" s="18" t="s">
        <v>36</v>
      </c>
      <c r="N957" s="18">
        <v>6</v>
      </c>
      <c r="O957" s="18" t="s">
        <v>93</v>
      </c>
      <c r="P957" s="18" t="s">
        <v>38</v>
      </c>
      <c r="Q957" s="18" t="s">
        <v>194</v>
      </c>
      <c r="R957" s="18" t="s">
        <v>59</v>
      </c>
      <c r="S957" s="18" t="s">
        <v>195</v>
      </c>
      <c r="T957" s="18" t="b">
        <v>0</v>
      </c>
      <c r="U957" s="18" t="s">
        <v>187</v>
      </c>
      <c r="V957" s="18" t="s">
        <v>40</v>
      </c>
      <c r="W957" s="18" t="s">
        <v>126</v>
      </c>
      <c r="X957" s="18" t="s">
        <v>127</v>
      </c>
      <c r="Y957" s="18">
        <v>1</v>
      </c>
      <c r="Z957" s="18">
        <v>1236</v>
      </c>
      <c r="AC957" s="18" t="e">
        <v>#N/A</v>
      </c>
    </row>
    <row r="958" s="18" customFormat="1" spans="1:29">
      <c r="A958" s="18" t="s">
        <v>2400</v>
      </c>
      <c r="B958" s="25" t="s">
        <v>2400</v>
      </c>
      <c r="C958" s="26">
        <v>45692</v>
      </c>
      <c r="D958" s="18" t="s">
        <v>1639</v>
      </c>
      <c r="E958" s="18" t="str">
        <f t="shared" si="14"/>
        <v>Rajaram Shinde Cash </v>
      </c>
      <c r="F958" s="27" t="e">
        <v>#N/A</v>
      </c>
      <c r="G958" s="18" t="s">
        <v>182</v>
      </c>
      <c r="H958" s="18" t="s">
        <v>183</v>
      </c>
      <c r="I958" s="18" t="s">
        <v>481</v>
      </c>
      <c r="J958" s="18" t="s">
        <v>1968</v>
      </c>
      <c r="K958" s="18" t="s">
        <v>56</v>
      </c>
      <c r="L958" s="18" t="s">
        <v>36</v>
      </c>
      <c r="N958" s="18">
        <v>6</v>
      </c>
      <c r="O958" s="18" t="s">
        <v>93</v>
      </c>
      <c r="P958" s="18" t="s">
        <v>38</v>
      </c>
      <c r="Q958" s="18" t="s">
        <v>194</v>
      </c>
      <c r="R958" s="18" t="s">
        <v>59</v>
      </c>
      <c r="S958" s="18" t="s">
        <v>195</v>
      </c>
      <c r="T958" s="18" t="b">
        <v>0</v>
      </c>
      <c r="U958" s="18" t="s">
        <v>187</v>
      </c>
      <c r="V958" s="18" t="s">
        <v>40</v>
      </c>
      <c r="W958" s="18" t="s">
        <v>317</v>
      </c>
      <c r="X958" s="18" t="s">
        <v>318</v>
      </c>
      <c r="Y958" s="18">
        <v>1</v>
      </c>
      <c r="Z958" s="18">
        <v>700</v>
      </c>
      <c r="AC958" s="18" t="e">
        <v>#N/A</v>
      </c>
    </row>
    <row r="959" s="18" customFormat="1" ht="29" spans="1:29">
      <c r="A959" s="18" t="s">
        <v>2401</v>
      </c>
      <c r="B959" s="25" t="s">
        <v>2401</v>
      </c>
      <c r="C959" s="26">
        <v>45692</v>
      </c>
      <c r="D959" s="18" t="s">
        <v>2089</v>
      </c>
      <c r="E959" s="18" t="str">
        <f t="shared" si="14"/>
        <v>Twintech Entertainment LLP</v>
      </c>
      <c r="F959" s="27" t="s">
        <v>2090</v>
      </c>
      <c r="G959" s="18" t="s">
        <v>182</v>
      </c>
      <c r="H959" s="18" t="s">
        <v>183</v>
      </c>
      <c r="I959" s="18" t="s">
        <v>184</v>
      </c>
      <c r="J959" s="18" t="s">
        <v>2319</v>
      </c>
      <c r="K959" s="18" t="s">
        <v>56</v>
      </c>
      <c r="L959" s="18" t="s">
        <v>36</v>
      </c>
      <c r="N959" s="18">
        <v>6</v>
      </c>
      <c r="O959" s="18" t="s">
        <v>57</v>
      </c>
      <c r="P959" s="18" t="s">
        <v>38</v>
      </c>
      <c r="Q959" s="18" t="s">
        <v>194</v>
      </c>
      <c r="R959" s="18" t="s">
        <v>59</v>
      </c>
      <c r="S959" s="18" t="s">
        <v>195</v>
      </c>
      <c r="T959" s="18" t="b">
        <v>0</v>
      </c>
      <c r="U959" s="18" t="s">
        <v>187</v>
      </c>
      <c r="V959" s="18" t="s">
        <v>40</v>
      </c>
      <c r="W959" s="18" t="s">
        <v>250</v>
      </c>
      <c r="X959" s="18" t="s">
        <v>251</v>
      </c>
      <c r="Y959" s="18">
        <v>1</v>
      </c>
      <c r="Z959" s="18">
        <v>25000</v>
      </c>
      <c r="AA959" s="31" t="s">
        <v>962</v>
      </c>
      <c r="AB959" s="18" t="s">
        <v>963</v>
      </c>
      <c r="AC959" s="18" t="e">
        <v>#N/A</v>
      </c>
    </row>
    <row r="960" s="18" customFormat="1" ht="29" spans="1:29">
      <c r="A960" s="18" t="s">
        <v>2402</v>
      </c>
      <c r="B960" s="25" t="s">
        <v>2402</v>
      </c>
      <c r="C960" s="26">
        <v>45692</v>
      </c>
      <c r="D960" s="18" t="s">
        <v>1627</v>
      </c>
      <c r="E960" s="18" t="str">
        <f t="shared" si="14"/>
        <v>Blink Entertainment</v>
      </c>
      <c r="F960" s="27" t="s">
        <v>1628</v>
      </c>
      <c r="G960" s="18" t="s">
        <v>182</v>
      </c>
      <c r="H960" s="18" t="s">
        <v>183</v>
      </c>
      <c r="I960" s="18" t="s">
        <v>184</v>
      </c>
      <c r="J960" s="18" t="s">
        <v>2319</v>
      </c>
      <c r="K960" s="18" t="s">
        <v>56</v>
      </c>
      <c r="L960" s="18" t="s">
        <v>36</v>
      </c>
      <c r="N960" s="18">
        <v>6</v>
      </c>
      <c r="O960" s="18" t="s">
        <v>57</v>
      </c>
      <c r="P960" s="18" t="s">
        <v>38</v>
      </c>
      <c r="Q960" s="18" t="s">
        <v>194</v>
      </c>
      <c r="R960" s="18" t="s">
        <v>59</v>
      </c>
      <c r="S960" s="18" t="s">
        <v>195</v>
      </c>
      <c r="T960" s="18" t="b">
        <v>0</v>
      </c>
      <c r="U960" s="18" t="s">
        <v>187</v>
      </c>
      <c r="V960" s="18" t="s">
        <v>40</v>
      </c>
      <c r="W960" s="18" t="s">
        <v>250</v>
      </c>
      <c r="X960" s="18" t="s">
        <v>251</v>
      </c>
      <c r="Y960" s="18">
        <v>1</v>
      </c>
      <c r="Z960" s="18">
        <v>150000</v>
      </c>
      <c r="AA960" s="31" t="s">
        <v>962</v>
      </c>
      <c r="AB960" s="18" t="s">
        <v>963</v>
      </c>
      <c r="AC960" s="18" t="s">
        <v>200</v>
      </c>
    </row>
    <row r="961" s="18" customFormat="1" ht="29" spans="1:29">
      <c r="A961" s="18" t="s">
        <v>2403</v>
      </c>
      <c r="B961" s="25" t="s">
        <v>2403</v>
      </c>
      <c r="C961" s="26">
        <v>45692</v>
      </c>
      <c r="D961" s="18" t="s">
        <v>2174</v>
      </c>
      <c r="E961" s="18" t="str">
        <f t="shared" si="14"/>
        <v>Mumbai Shree Garjana (Ajay Adsule)</v>
      </c>
      <c r="F961" s="27" t="s">
        <v>2175</v>
      </c>
      <c r="G961" s="18" t="s">
        <v>182</v>
      </c>
      <c r="H961" s="18" t="s">
        <v>183</v>
      </c>
      <c r="I961" s="18" t="s">
        <v>184</v>
      </c>
      <c r="J961" s="18" t="s">
        <v>2319</v>
      </c>
      <c r="K961" s="18" t="s">
        <v>56</v>
      </c>
      <c r="L961" s="18" t="s">
        <v>36</v>
      </c>
      <c r="N961" s="18">
        <v>6</v>
      </c>
      <c r="O961" s="18" t="s">
        <v>57</v>
      </c>
      <c r="P961" s="18" t="s">
        <v>38</v>
      </c>
      <c r="Q961" s="18" t="s">
        <v>194</v>
      </c>
      <c r="R961" s="18" t="s">
        <v>59</v>
      </c>
      <c r="S961" s="18" t="s">
        <v>195</v>
      </c>
      <c r="T961" s="18" t="b">
        <v>0</v>
      </c>
      <c r="U961" s="18" t="s">
        <v>187</v>
      </c>
      <c r="V961" s="18" t="s">
        <v>40</v>
      </c>
      <c r="W961" s="18" t="s">
        <v>250</v>
      </c>
      <c r="X961" s="18" t="s">
        <v>251</v>
      </c>
      <c r="Y961" s="18">
        <v>1</v>
      </c>
      <c r="Z961" s="18">
        <v>24000</v>
      </c>
      <c r="AA961" s="31" t="s">
        <v>962</v>
      </c>
      <c r="AB961" s="18" t="s">
        <v>963</v>
      </c>
      <c r="AC961" s="18" t="e">
        <v>#N/A</v>
      </c>
    </row>
    <row r="962" s="18" customFormat="1" ht="29" spans="1:29">
      <c r="A962" s="18" t="s">
        <v>2404</v>
      </c>
      <c r="B962" s="25" t="s">
        <v>2404</v>
      </c>
      <c r="C962" s="26">
        <v>45692</v>
      </c>
      <c r="D962" s="18" t="s">
        <v>2405</v>
      </c>
      <c r="E962" s="18" t="e">
        <f t="shared" si="14"/>
        <v>#N/A</v>
      </c>
      <c r="F962" s="27" t="e">
        <v>#N/A</v>
      </c>
      <c r="G962" s="18" t="s">
        <v>182</v>
      </c>
      <c r="H962" s="18" t="s">
        <v>183</v>
      </c>
      <c r="I962" s="18" t="s">
        <v>184</v>
      </c>
      <c r="J962" s="18" t="s">
        <v>2319</v>
      </c>
      <c r="K962" s="18" t="s">
        <v>56</v>
      </c>
      <c r="L962" s="18" t="s">
        <v>36</v>
      </c>
      <c r="N962" s="18">
        <v>6</v>
      </c>
      <c r="O962" s="18" t="s">
        <v>57</v>
      </c>
      <c r="P962" s="18" t="s">
        <v>38</v>
      </c>
      <c r="Q962" s="18" t="s">
        <v>194</v>
      </c>
      <c r="R962" s="18" t="s">
        <v>59</v>
      </c>
      <c r="S962" s="18" t="s">
        <v>195</v>
      </c>
      <c r="T962" s="18" t="b">
        <v>0</v>
      </c>
      <c r="U962" s="18" t="s">
        <v>187</v>
      </c>
      <c r="V962" s="18" t="s">
        <v>40</v>
      </c>
      <c r="W962" s="18" t="s">
        <v>250</v>
      </c>
      <c r="X962" s="18" t="s">
        <v>251</v>
      </c>
      <c r="Y962" s="18">
        <v>1</v>
      </c>
      <c r="Z962" s="18">
        <v>300000</v>
      </c>
      <c r="AA962" s="31" t="s">
        <v>962</v>
      </c>
      <c r="AB962" s="18" t="s">
        <v>963</v>
      </c>
      <c r="AC962" s="18" t="s">
        <v>200</v>
      </c>
    </row>
    <row r="963" s="18" customFormat="1" ht="29" spans="1:29">
      <c r="A963" s="18" t="s">
        <v>2406</v>
      </c>
      <c r="B963" s="25" t="s">
        <v>2406</v>
      </c>
      <c r="C963" s="26">
        <v>45692</v>
      </c>
      <c r="D963" s="18" t="s">
        <v>926</v>
      </c>
      <c r="E963" s="18" t="str">
        <f t="shared" ref="E963:E1026" si="15">_xlfn.TEXTBEFORE(D963,"-")</f>
        <v>A. J. Creation</v>
      </c>
      <c r="F963" s="27" t="e">
        <v>#N/A</v>
      </c>
      <c r="G963" s="18" t="s">
        <v>182</v>
      </c>
      <c r="H963" s="18" t="s">
        <v>183</v>
      </c>
      <c r="I963" s="18" t="s">
        <v>184</v>
      </c>
      <c r="J963" s="18" t="s">
        <v>2407</v>
      </c>
      <c r="K963" s="18" t="s">
        <v>56</v>
      </c>
      <c r="L963" s="18" t="s">
        <v>36</v>
      </c>
      <c r="N963" s="18">
        <v>6</v>
      </c>
      <c r="O963" s="18" t="s">
        <v>88</v>
      </c>
      <c r="P963" s="18" t="s">
        <v>38</v>
      </c>
      <c r="Q963" s="18" t="s">
        <v>194</v>
      </c>
      <c r="R963" s="18" t="s">
        <v>59</v>
      </c>
      <c r="S963" s="18" t="s">
        <v>195</v>
      </c>
      <c r="T963" s="18" t="b">
        <v>0</v>
      </c>
      <c r="U963" s="18" t="s">
        <v>187</v>
      </c>
      <c r="V963" s="18" t="s">
        <v>40</v>
      </c>
      <c r="W963" s="18" t="s">
        <v>140</v>
      </c>
      <c r="X963" s="18" t="s">
        <v>141</v>
      </c>
      <c r="Y963" s="18">
        <v>1</v>
      </c>
      <c r="Z963" s="18">
        <v>24500</v>
      </c>
      <c r="AA963" s="31" t="s">
        <v>262</v>
      </c>
      <c r="AB963" s="18" t="s">
        <v>259</v>
      </c>
      <c r="AC963" s="18" t="s">
        <v>200</v>
      </c>
    </row>
    <row r="964" s="18" customFormat="1" ht="29" spans="1:29">
      <c r="A964" s="18" t="s">
        <v>2408</v>
      </c>
      <c r="B964" s="25" t="s">
        <v>2408</v>
      </c>
      <c r="C964" s="26">
        <v>45692</v>
      </c>
      <c r="D964" s="18" t="s">
        <v>2184</v>
      </c>
      <c r="E964" s="18" t="str">
        <f t="shared" si="15"/>
        <v>Ambika Print Solutions</v>
      </c>
      <c r="F964" s="27" t="s">
        <v>2185</v>
      </c>
      <c r="G964" s="18" t="s">
        <v>182</v>
      </c>
      <c r="H964" s="18" t="s">
        <v>183</v>
      </c>
      <c r="I964" s="18" t="s">
        <v>184</v>
      </c>
      <c r="J964" s="18" t="s">
        <v>989</v>
      </c>
      <c r="K964" s="18" t="s">
        <v>56</v>
      </c>
      <c r="L964" s="18" t="s">
        <v>36</v>
      </c>
      <c r="N964" s="18">
        <v>6</v>
      </c>
      <c r="O964" s="18" t="s">
        <v>57</v>
      </c>
      <c r="P964" s="18" t="s">
        <v>38</v>
      </c>
      <c r="Q964" s="18" t="s">
        <v>194</v>
      </c>
      <c r="R964" s="18" t="s">
        <v>59</v>
      </c>
      <c r="S964" s="18" t="s">
        <v>195</v>
      </c>
      <c r="T964" s="18" t="b">
        <v>0</v>
      </c>
      <c r="U964" s="18" t="s">
        <v>187</v>
      </c>
      <c r="V964" s="18" t="s">
        <v>40</v>
      </c>
      <c r="W964" s="18" t="s">
        <v>196</v>
      </c>
      <c r="X964" s="18" t="s">
        <v>197</v>
      </c>
      <c r="Y964" s="18">
        <v>1</v>
      </c>
      <c r="Z964" s="18">
        <v>2800</v>
      </c>
      <c r="AA964" s="31" t="s">
        <v>262</v>
      </c>
      <c r="AB964" s="18" t="s">
        <v>259</v>
      </c>
      <c r="AC964" s="18" t="s">
        <v>200</v>
      </c>
    </row>
    <row r="965" s="18" customFormat="1" ht="29" spans="1:29">
      <c r="A965" s="18" t="s">
        <v>2409</v>
      </c>
      <c r="B965" s="25" t="s">
        <v>2409</v>
      </c>
      <c r="C965" s="26">
        <v>45692</v>
      </c>
      <c r="D965" s="18" t="s">
        <v>2410</v>
      </c>
      <c r="E965" s="18" t="str">
        <f t="shared" si="15"/>
        <v>Event City </v>
      </c>
      <c r="F965" s="27" t="e">
        <v>#N/A</v>
      </c>
      <c r="G965" s="18" t="s">
        <v>182</v>
      </c>
      <c r="H965" s="18" t="s">
        <v>183</v>
      </c>
      <c r="I965" s="18" t="s">
        <v>184</v>
      </c>
      <c r="J965" s="18" t="s">
        <v>1889</v>
      </c>
      <c r="K965" s="18" t="s">
        <v>56</v>
      </c>
      <c r="L965" s="18" t="s">
        <v>36</v>
      </c>
      <c r="N965" s="18">
        <v>6</v>
      </c>
      <c r="O965" s="18" t="s">
        <v>57</v>
      </c>
      <c r="P965" s="18" t="s">
        <v>38</v>
      </c>
      <c r="Q965" s="18" t="s">
        <v>194</v>
      </c>
      <c r="R965" s="18" t="s">
        <v>59</v>
      </c>
      <c r="S965" s="18" t="s">
        <v>195</v>
      </c>
      <c r="T965" s="18" t="b">
        <v>0</v>
      </c>
      <c r="U965" s="18" t="s">
        <v>187</v>
      </c>
      <c r="V965" s="18" t="s">
        <v>40</v>
      </c>
      <c r="W965" s="18" t="s">
        <v>140</v>
      </c>
      <c r="X965" s="18" t="s">
        <v>141</v>
      </c>
      <c r="Y965" s="18">
        <v>1</v>
      </c>
      <c r="Z965" s="18">
        <v>30000</v>
      </c>
      <c r="AA965" s="31" t="s">
        <v>800</v>
      </c>
      <c r="AB965" s="18" t="s">
        <v>798</v>
      </c>
      <c r="AC965" s="18" t="s">
        <v>200</v>
      </c>
    </row>
    <row r="966" s="18" customFormat="1" ht="29" spans="1:29">
      <c r="A966" s="18" t="s">
        <v>2411</v>
      </c>
      <c r="B966" s="25" t="s">
        <v>2411</v>
      </c>
      <c r="C966" s="26">
        <v>45692</v>
      </c>
      <c r="D966" s="18" t="s">
        <v>2089</v>
      </c>
      <c r="E966" s="18" t="str">
        <f t="shared" si="15"/>
        <v>Twintech Entertainment LLP</v>
      </c>
      <c r="F966" s="27" t="s">
        <v>2090</v>
      </c>
      <c r="G966" s="18" t="s">
        <v>182</v>
      </c>
      <c r="H966" s="18" t="s">
        <v>183</v>
      </c>
      <c r="I966" s="18" t="s">
        <v>184</v>
      </c>
      <c r="J966" s="18" t="s">
        <v>1889</v>
      </c>
      <c r="K966" s="18" t="s">
        <v>56</v>
      </c>
      <c r="L966" s="18" t="s">
        <v>36</v>
      </c>
      <c r="N966" s="18">
        <v>6</v>
      </c>
      <c r="O966" s="18" t="s">
        <v>57</v>
      </c>
      <c r="P966" s="18" t="s">
        <v>38</v>
      </c>
      <c r="Q966" s="18" t="s">
        <v>194</v>
      </c>
      <c r="R966" s="18" t="s">
        <v>59</v>
      </c>
      <c r="S966" s="18" t="s">
        <v>195</v>
      </c>
      <c r="T966" s="18" t="b">
        <v>0</v>
      </c>
      <c r="U966" s="18" t="s">
        <v>187</v>
      </c>
      <c r="V966" s="18" t="s">
        <v>40</v>
      </c>
      <c r="W966" s="18" t="s">
        <v>250</v>
      </c>
      <c r="X966" s="18" t="s">
        <v>251</v>
      </c>
      <c r="Y966" s="18">
        <v>1</v>
      </c>
      <c r="Z966" s="18">
        <v>20000</v>
      </c>
      <c r="AA966" s="31" t="s">
        <v>800</v>
      </c>
      <c r="AB966" s="18" t="s">
        <v>798</v>
      </c>
      <c r="AC966" s="18" t="e">
        <v>#N/A</v>
      </c>
    </row>
    <row r="967" s="18" customFormat="1" spans="1:29">
      <c r="A967" s="18" t="s">
        <v>2412</v>
      </c>
      <c r="B967" s="25" t="s">
        <v>2412</v>
      </c>
      <c r="C967" s="26">
        <v>45692</v>
      </c>
      <c r="D967" s="18" t="s">
        <v>1349</v>
      </c>
      <c r="E967" s="18" t="str">
        <f t="shared" si="15"/>
        <v>Success Promos &amp; Events Pvt Ltd</v>
      </c>
      <c r="F967" s="27" t="s">
        <v>1350</v>
      </c>
      <c r="G967" s="18" t="s">
        <v>182</v>
      </c>
      <c r="H967" s="18" t="s">
        <v>183</v>
      </c>
      <c r="I967" s="18" t="s">
        <v>207</v>
      </c>
      <c r="J967" s="18" t="s">
        <v>395</v>
      </c>
      <c r="K967" s="18" t="s">
        <v>56</v>
      </c>
      <c r="L967" s="18" t="s">
        <v>36</v>
      </c>
      <c r="N967" s="18">
        <v>6</v>
      </c>
      <c r="O967" s="18" t="s">
        <v>88</v>
      </c>
      <c r="P967" s="18" t="s">
        <v>38</v>
      </c>
      <c r="Q967" s="18" t="s">
        <v>58</v>
      </c>
      <c r="R967" s="18" t="s">
        <v>59</v>
      </c>
      <c r="S967" s="18" t="s">
        <v>60</v>
      </c>
      <c r="T967" s="18" t="b">
        <v>0</v>
      </c>
      <c r="U967" s="18" t="s">
        <v>187</v>
      </c>
      <c r="V967" s="18" t="s">
        <v>40</v>
      </c>
      <c r="W967" s="18" t="s">
        <v>317</v>
      </c>
      <c r="X967" s="18" t="s">
        <v>318</v>
      </c>
      <c r="Y967" s="18">
        <v>1</v>
      </c>
      <c r="Z967" s="18">
        <v>500000</v>
      </c>
      <c r="AA967" s="18" t="s">
        <v>1255</v>
      </c>
      <c r="AB967" s="18" t="s">
        <v>844</v>
      </c>
      <c r="AC967" s="18" t="s">
        <v>216</v>
      </c>
    </row>
    <row r="968" s="18" customFormat="1" ht="29" spans="1:29">
      <c r="A968" s="18" t="s">
        <v>2413</v>
      </c>
      <c r="B968" s="25" t="s">
        <v>2413</v>
      </c>
      <c r="C968" s="26">
        <v>45692</v>
      </c>
      <c r="D968" s="18" t="s">
        <v>926</v>
      </c>
      <c r="E968" s="18" t="str">
        <f t="shared" si="15"/>
        <v>A. J. Creation</v>
      </c>
      <c r="F968" s="27" t="e">
        <v>#N/A</v>
      </c>
      <c r="G968" s="18" t="s">
        <v>182</v>
      </c>
      <c r="H968" s="18" t="s">
        <v>183</v>
      </c>
      <c r="I968" s="18" t="s">
        <v>184</v>
      </c>
      <c r="J968" s="18" t="s">
        <v>864</v>
      </c>
      <c r="K968" s="18" t="s">
        <v>56</v>
      </c>
      <c r="L968" s="18" t="s">
        <v>36</v>
      </c>
      <c r="N968" s="18">
        <v>6</v>
      </c>
      <c r="O968" s="18" t="s">
        <v>88</v>
      </c>
      <c r="P968" s="18" t="s">
        <v>38</v>
      </c>
      <c r="Q968" s="18" t="s">
        <v>194</v>
      </c>
      <c r="R968" s="18" t="s">
        <v>59</v>
      </c>
      <c r="S968" s="18" t="s">
        <v>195</v>
      </c>
      <c r="T968" s="18" t="b">
        <v>0</v>
      </c>
      <c r="U968" s="18" t="s">
        <v>187</v>
      </c>
      <c r="V968" s="18" t="s">
        <v>40</v>
      </c>
      <c r="W968" s="18" t="s">
        <v>140</v>
      </c>
      <c r="X968" s="18" t="s">
        <v>141</v>
      </c>
      <c r="Y968" s="18">
        <v>1</v>
      </c>
      <c r="Z968" s="18">
        <v>6150</v>
      </c>
      <c r="AA968" s="31" t="s">
        <v>262</v>
      </c>
      <c r="AB968" s="18" t="s">
        <v>259</v>
      </c>
      <c r="AC968" s="18" t="s">
        <v>200</v>
      </c>
    </row>
    <row r="969" s="18" customFormat="1" ht="29" spans="1:29">
      <c r="A969" s="18" t="s">
        <v>2414</v>
      </c>
      <c r="B969" s="25" t="s">
        <v>2414</v>
      </c>
      <c r="C969" s="26">
        <v>45692</v>
      </c>
      <c r="D969" s="18" t="s">
        <v>2415</v>
      </c>
      <c r="E969" s="18" t="str">
        <f t="shared" si="15"/>
        <v>Maadhu Creatives Production LLP</v>
      </c>
      <c r="F969" s="27" t="s">
        <v>2416</v>
      </c>
      <c r="G969" s="18" t="s">
        <v>182</v>
      </c>
      <c r="H969" s="18" t="s">
        <v>183</v>
      </c>
      <c r="I969" s="18" t="s">
        <v>184</v>
      </c>
      <c r="J969" s="18" t="s">
        <v>2417</v>
      </c>
      <c r="K969" s="18" t="s">
        <v>56</v>
      </c>
      <c r="L969" s="18" t="s">
        <v>36</v>
      </c>
      <c r="N969" s="18">
        <v>6</v>
      </c>
      <c r="O969" s="18" t="s">
        <v>88</v>
      </c>
      <c r="P969" s="18" t="s">
        <v>38</v>
      </c>
      <c r="Q969" s="18" t="s">
        <v>194</v>
      </c>
      <c r="R969" s="18" t="s">
        <v>59</v>
      </c>
      <c r="S969" s="18" t="s">
        <v>195</v>
      </c>
      <c r="T969" s="18" t="b">
        <v>0</v>
      </c>
      <c r="U969" s="18" t="s">
        <v>187</v>
      </c>
      <c r="V969" s="18" t="s">
        <v>40</v>
      </c>
      <c r="W969" s="18" t="s">
        <v>347</v>
      </c>
      <c r="X969" s="18" t="s">
        <v>348</v>
      </c>
      <c r="Y969" s="18">
        <v>1</v>
      </c>
      <c r="Z969" s="18">
        <v>198000</v>
      </c>
      <c r="AA969" s="31" t="s">
        <v>262</v>
      </c>
      <c r="AB969" s="18" t="s">
        <v>259</v>
      </c>
      <c r="AC969" s="18" t="s">
        <v>200</v>
      </c>
    </row>
    <row r="970" s="18" customFormat="1" ht="29" spans="1:29">
      <c r="A970" s="18" t="s">
        <v>2418</v>
      </c>
      <c r="B970" s="25" t="s">
        <v>2418</v>
      </c>
      <c r="C970" s="26">
        <v>45692</v>
      </c>
      <c r="D970" s="18" t="s">
        <v>264</v>
      </c>
      <c r="E970" s="18" t="str">
        <f t="shared" si="15"/>
        <v>The Indian Performing Right Society Ltd.</v>
      </c>
      <c r="F970" s="27" t="e">
        <v>#N/A</v>
      </c>
      <c r="G970" s="18" t="s">
        <v>182</v>
      </c>
      <c r="H970" s="18" t="s">
        <v>183</v>
      </c>
      <c r="I970" s="18" t="s">
        <v>184</v>
      </c>
      <c r="J970" s="18" t="s">
        <v>1238</v>
      </c>
      <c r="K970" s="18" t="s">
        <v>56</v>
      </c>
      <c r="L970" s="18" t="s">
        <v>36</v>
      </c>
      <c r="N970" s="18">
        <v>6</v>
      </c>
      <c r="O970" s="18" t="s">
        <v>57</v>
      </c>
      <c r="P970" s="18" t="s">
        <v>38</v>
      </c>
      <c r="Q970" s="18" t="s">
        <v>58</v>
      </c>
      <c r="R970" s="18" t="s">
        <v>59</v>
      </c>
      <c r="S970" s="18" t="s">
        <v>60</v>
      </c>
      <c r="T970" s="18" t="b">
        <v>0</v>
      </c>
      <c r="U970" s="18" t="s">
        <v>187</v>
      </c>
      <c r="V970" s="18" t="s">
        <v>40</v>
      </c>
      <c r="W970" s="18" t="s">
        <v>256</v>
      </c>
      <c r="X970" s="18" t="s">
        <v>257</v>
      </c>
      <c r="Y970" s="18">
        <v>1</v>
      </c>
      <c r="Z970" s="18">
        <v>30000</v>
      </c>
      <c r="AA970" s="31" t="s">
        <v>262</v>
      </c>
      <c r="AB970" s="18" t="s">
        <v>259</v>
      </c>
      <c r="AC970" s="18" t="s">
        <v>200</v>
      </c>
    </row>
    <row r="971" s="18" customFormat="1" ht="29" spans="1:29">
      <c r="A971" s="18" t="s">
        <v>2419</v>
      </c>
      <c r="B971" s="25" t="s">
        <v>2419</v>
      </c>
      <c r="C971" s="26">
        <v>45692</v>
      </c>
      <c r="D971" s="18" t="s">
        <v>255</v>
      </c>
      <c r="E971" s="18" t="str">
        <f t="shared" si="15"/>
        <v>Phonographic Performance Limited</v>
      </c>
      <c r="F971" s="27" t="e">
        <v>#N/A</v>
      </c>
      <c r="G971" s="18" t="s">
        <v>182</v>
      </c>
      <c r="H971" s="18" t="s">
        <v>183</v>
      </c>
      <c r="I971" s="18" t="s">
        <v>184</v>
      </c>
      <c r="J971" s="18" t="s">
        <v>1238</v>
      </c>
      <c r="K971" s="18" t="s">
        <v>56</v>
      </c>
      <c r="L971" s="18" t="s">
        <v>36</v>
      </c>
      <c r="N971" s="18">
        <v>6</v>
      </c>
      <c r="O971" s="18" t="s">
        <v>88</v>
      </c>
      <c r="P971" s="18" t="s">
        <v>38</v>
      </c>
      <c r="Q971" s="18" t="s">
        <v>58</v>
      </c>
      <c r="R971" s="18" t="s">
        <v>59</v>
      </c>
      <c r="S971" s="18" t="s">
        <v>60</v>
      </c>
      <c r="T971" s="18" t="b">
        <v>0</v>
      </c>
      <c r="U971" s="18" t="s">
        <v>187</v>
      </c>
      <c r="V971" s="18" t="s">
        <v>40</v>
      </c>
      <c r="W971" s="18" t="s">
        <v>256</v>
      </c>
      <c r="X971" s="18" t="s">
        <v>257</v>
      </c>
      <c r="Y971" s="18">
        <v>1</v>
      </c>
      <c r="Z971" s="18">
        <v>55500</v>
      </c>
      <c r="AA971" s="31" t="s">
        <v>262</v>
      </c>
      <c r="AB971" s="18" t="s">
        <v>259</v>
      </c>
      <c r="AC971" s="18" t="s">
        <v>200</v>
      </c>
    </row>
    <row r="972" s="18" customFormat="1" ht="29" spans="1:29">
      <c r="A972" s="18" t="s">
        <v>2420</v>
      </c>
      <c r="B972" s="25" t="s">
        <v>2420</v>
      </c>
      <c r="C972" s="26">
        <v>45692</v>
      </c>
      <c r="D972" s="18" t="s">
        <v>261</v>
      </c>
      <c r="E972" s="18" t="str">
        <f t="shared" si="15"/>
        <v>Novex Communications Pvt. Ltd.</v>
      </c>
      <c r="F972" s="27" t="e">
        <v>#N/A</v>
      </c>
      <c r="G972" s="18" t="s">
        <v>182</v>
      </c>
      <c r="H972" s="18" t="s">
        <v>183</v>
      </c>
      <c r="I972" s="18" t="s">
        <v>184</v>
      </c>
      <c r="J972" s="18" t="s">
        <v>1238</v>
      </c>
      <c r="K972" s="18" t="s">
        <v>56</v>
      </c>
      <c r="L972" s="18" t="s">
        <v>36</v>
      </c>
      <c r="N972" s="18">
        <v>6</v>
      </c>
      <c r="O972" s="18" t="s">
        <v>88</v>
      </c>
      <c r="P972" s="18" t="s">
        <v>38</v>
      </c>
      <c r="Q972" s="18" t="s">
        <v>58</v>
      </c>
      <c r="R972" s="18" t="s">
        <v>59</v>
      </c>
      <c r="S972" s="18" t="s">
        <v>60</v>
      </c>
      <c r="T972" s="18" t="b">
        <v>0</v>
      </c>
      <c r="U972" s="18" t="s">
        <v>187</v>
      </c>
      <c r="V972" s="18" t="s">
        <v>40</v>
      </c>
      <c r="W972" s="18" t="s">
        <v>256</v>
      </c>
      <c r="X972" s="18" t="s">
        <v>257</v>
      </c>
      <c r="Y972" s="18">
        <v>1</v>
      </c>
      <c r="Z972" s="18">
        <v>60000</v>
      </c>
      <c r="AA972" s="31" t="s">
        <v>262</v>
      </c>
      <c r="AB972" s="18" t="s">
        <v>259</v>
      </c>
      <c r="AC972" s="18" t="s">
        <v>200</v>
      </c>
    </row>
    <row r="973" s="18" customFormat="1" ht="29" spans="1:29">
      <c r="A973" s="18" t="s">
        <v>2421</v>
      </c>
      <c r="B973" s="25" t="s">
        <v>2421</v>
      </c>
      <c r="C973" s="26">
        <v>45692</v>
      </c>
      <c r="D973" s="18" t="s">
        <v>264</v>
      </c>
      <c r="E973" s="18" t="str">
        <f t="shared" si="15"/>
        <v>The Indian Performing Right Society Ltd.</v>
      </c>
      <c r="F973" s="27" t="e">
        <v>#N/A</v>
      </c>
      <c r="G973" s="18" t="s">
        <v>182</v>
      </c>
      <c r="H973" s="18" t="s">
        <v>183</v>
      </c>
      <c r="I973" s="18" t="s">
        <v>184</v>
      </c>
      <c r="J973" s="18" t="s">
        <v>1238</v>
      </c>
      <c r="K973" s="18" t="s">
        <v>56</v>
      </c>
      <c r="L973" s="18" t="s">
        <v>36</v>
      </c>
      <c r="N973" s="18">
        <v>6</v>
      </c>
      <c r="O973" s="18" t="s">
        <v>57</v>
      </c>
      <c r="P973" s="18" t="s">
        <v>38</v>
      </c>
      <c r="Q973" s="18" t="s">
        <v>58</v>
      </c>
      <c r="R973" s="18" t="s">
        <v>59</v>
      </c>
      <c r="S973" s="18" t="s">
        <v>60</v>
      </c>
      <c r="T973" s="18" t="b">
        <v>0</v>
      </c>
      <c r="U973" s="18" t="s">
        <v>187</v>
      </c>
      <c r="V973" s="18" t="s">
        <v>40</v>
      </c>
      <c r="W973" s="18" t="s">
        <v>256</v>
      </c>
      <c r="X973" s="18" t="s">
        <v>257</v>
      </c>
      <c r="Y973" s="18">
        <v>1</v>
      </c>
      <c r="Z973" s="18">
        <v>30000</v>
      </c>
      <c r="AA973" s="31" t="s">
        <v>262</v>
      </c>
      <c r="AB973" s="18" t="s">
        <v>259</v>
      </c>
      <c r="AC973" s="18" t="s">
        <v>200</v>
      </c>
    </row>
    <row r="974" s="18" customFormat="1" ht="29" spans="1:29">
      <c r="A974" s="18" t="s">
        <v>2422</v>
      </c>
      <c r="B974" s="25" t="s">
        <v>2422</v>
      </c>
      <c r="C974" s="26">
        <v>45692</v>
      </c>
      <c r="D974" s="18" t="s">
        <v>255</v>
      </c>
      <c r="E974" s="18" t="str">
        <f t="shared" si="15"/>
        <v>Phonographic Performance Limited</v>
      </c>
      <c r="F974" s="27" t="e">
        <v>#N/A</v>
      </c>
      <c r="G974" s="18" t="s">
        <v>182</v>
      </c>
      <c r="H974" s="18" t="s">
        <v>183</v>
      </c>
      <c r="I974" s="18" t="s">
        <v>184</v>
      </c>
      <c r="J974" s="18" t="s">
        <v>1238</v>
      </c>
      <c r="K974" s="18" t="s">
        <v>56</v>
      </c>
      <c r="L974" s="18" t="s">
        <v>36</v>
      </c>
      <c r="N974" s="18">
        <v>6</v>
      </c>
      <c r="O974" s="18" t="s">
        <v>88</v>
      </c>
      <c r="P974" s="18" t="s">
        <v>38</v>
      </c>
      <c r="Q974" s="18" t="s">
        <v>58</v>
      </c>
      <c r="R974" s="18" t="s">
        <v>59</v>
      </c>
      <c r="S974" s="18" t="s">
        <v>60</v>
      </c>
      <c r="T974" s="18" t="b">
        <v>0</v>
      </c>
      <c r="U974" s="18" t="s">
        <v>187</v>
      </c>
      <c r="V974" s="18" t="s">
        <v>40</v>
      </c>
      <c r="W974" s="18" t="s">
        <v>256</v>
      </c>
      <c r="X974" s="18" t="s">
        <v>257</v>
      </c>
      <c r="Y974" s="18">
        <v>1</v>
      </c>
      <c r="Z974" s="18">
        <v>55500</v>
      </c>
      <c r="AA974" s="31" t="s">
        <v>262</v>
      </c>
      <c r="AB974" s="18" t="s">
        <v>259</v>
      </c>
      <c r="AC974" s="18" t="s">
        <v>200</v>
      </c>
    </row>
    <row r="975" s="18" customFormat="1" ht="29" spans="1:29">
      <c r="A975" s="18" t="s">
        <v>2423</v>
      </c>
      <c r="B975" s="25" t="s">
        <v>2423</v>
      </c>
      <c r="C975" s="26">
        <v>45692</v>
      </c>
      <c r="D975" s="18" t="s">
        <v>261</v>
      </c>
      <c r="E975" s="18" t="str">
        <f t="shared" si="15"/>
        <v>Novex Communications Pvt. Ltd.</v>
      </c>
      <c r="F975" s="27" t="e">
        <v>#N/A</v>
      </c>
      <c r="G975" s="18" t="s">
        <v>182</v>
      </c>
      <c r="H975" s="18" t="s">
        <v>183</v>
      </c>
      <c r="I975" s="18" t="s">
        <v>184</v>
      </c>
      <c r="J975" s="18" t="s">
        <v>1238</v>
      </c>
      <c r="K975" s="18" t="s">
        <v>56</v>
      </c>
      <c r="L975" s="18" t="s">
        <v>36</v>
      </c>
      <c r="N975" s="18">
        <v>6</v>
      </c>
      <c r="O975" s="18" t="s">
        <v>88</v>
      </c>
      <c r="P975" s="18" t="s">
        <v>38</v>
      </c>
      <c r="Q975" s="18" t="s">
        <v>58</v>
      </c>
      <c r="R975" s="18" t="s">
        <v>59</v>
      </c>
      <c r="S975" s="18" t="s">
        <v>60</v>
      </c>
      <c r="T975" s="18" t="b">
        <v>0</v>
      </c>
      <c r="U975" s="18" t="s">
        <v>187</v>
      </c>
      <c r="V975" s="18" t="s">
        <v>40</v>
      </c>
      <c r="W975" s="18" t="s">
        <v>256</v>
      </c>
      <c r="X975" s="18" t="s">
        <v>257</v>
      </c>
      <c r="Y975" s="18">
        <v>1</v>
      </c>
      <c r="Z975" s="18">
        <v>60000</v>
      </c>
      <c r="AA975" s="31" t="s">
        <v>262</v>
      </c>
      <c r="AB975" s="18" t="s">
        <v>259</v>
      </c>
      <c r="AC975" s="18" t="s">
        <v>200</v>
      </c>
    </row>
    <row r="976" s="18" customFormat="1" ht="29" spans="1:29">
      <c r="A976" s="18" t="s">
        <v>2424</v>
      </c>
      <c r="B976" s="25" t="s">
        <v>2424</v>
      </c>
      <c r="C976" s="26">
        <v>45692</v>
      </c>
      <c r="D976" s="18" t="s">
        <v>918</v>
      </c>
      <c r="E976" s="18" t="str">
        <f t="shared" si="15"/>
        <v>Recorded Music Performance Ltd</v>
      </c>
      <c r="F976" s="27" t="s">
        <v>919</v>
      </c>
      <c r="G976" s="18" t="s">
        <v>182</v>
      </c>
      <c r="H976" s="18" t="s">
        <v>183</v>
      </c>
      <c r="I976" s="18" t="s">
        <v>184</v>
      </c>
      <c r="J976" s="18" t="s">
        <v>1238</v>
      </c>
      <c r="K976" s="18" t="s">
        <v>56</v>
      </c>
      <c r="L976" s="18" t="s">
        <v>36</v>
      </c>
      <c r="N976" s="18">
        <v>6</v>
      </c>
      <c r="O976" s="18" t="s">
        <v>57</v>
      </c>
      <c r="P976" s="18" t="s">
        <v>38</v>
      </c>
      <c r="Q976" s="18" t="s">
        <v>58</v>
      </c>
      <c r="R976" s="18" t="s">
        <v>59</v>
      </c>
      <c r="S976" s="18" t="s">
        <v>60</v>
      </c>
      <c r="T976" s="18" t="b">
        <v>0</v>
      </c>
      <c r="U976" s="18" t="s">
        <v>187</v>
      </c>
      <c r="V976" s="18" t="s">
        <v>40</v>
      </c>
      <c r="W976" s="18" t="s">
        <v>256</v>
      </c>
      <c r="X976" s="18" t="s">
        <v>257</v>
      </c>
      <c r="Y976" s="18">
        <v>1</v>
      </c>
      <c r="Z976" s="18">
        <v>25000</v>
      </c>
      <c r="AA976" s="31" t="s">
        <v>262</v>
      </c>
      <c r="AB976" s="18" t="s">
        <v>259</v>
      </c>
      <c r="AC976" s="18" t="s">
        <v>200</v>
      </c>
    </row>
    <row r="977" s="18" customFormat="1" ht="29" spans="1:29">
      <c r="A977" s="18" t="s">
        <v>2425</v>
      </c>
      <c r="B977" s="25" t="s">
        <v>2425</v>
      </c>
      <c r="C977" s="26">
        <v>45692</v>
      </c>
      <c r="D977" s="18" t="s">
        <v>2003</v>
      </c>
      <c r="E977" s="18" t="str">
        <f t="shared" si="15"/>
        <v>Vista Services (Sainath Govind Shirke)</v>
      </c>
      <c r="F977" s="27" t="s">
        <v>2004</v>
      </c>
      <c r="G977" s="18" t="s">
        <v>182</v>
      </c>
      <c r="H977" s="18" t="s">
        <v>183</v>
      </c>
      <c r="I977" s="18" t="s">
        <v>184</v>
      </c>
      <c r="J977" s="18" t="s">
        <v>1238</v>
      </c>
      <c r="K977" s="18" t="s">
        <v>56</v>
      </c>
      <c r="L977" s="18" t="s">
        <v>36</v>
      </c>
      <c r="N977" s="18">
        <v>6</v>
      </c>
      <c r="O977" s="18" t="s">
        <v>57</v>
      </c>
      <c r="P977" s="18" t="s">
        <v>38</v>
      </c>
      <c r="Q977" s="18" t="s">
        <v>58</v>
      </c>
      <c r="R977" s="18" t="s">
        <v>59</v>
      </c>
      <c r="S977" s="18" t="s">
        <v>60</v>
      </c>
      <c r="T977" s="18" t="b">
        <v>0</v>
      </c>
      <c r="U977" s="18" t="s">
        <v>187</v>
      </c>
      <c r="V977" s="18" t="s">
        <v>40</v>
      </c>
      <c r="W977" s="18" t="s">
        <v>256</v>
      </c>
      <c r="X977" s="18" t="s">
        <v>257</v>
      </c>
      <c r="Y977" s="18">
        <v>1</v>
      </c>
      <c r="Z977" s="18">
        <v>10000</v>
      </c>
      <c r="AA977" s="31" t="s">
        <v>262</v>
      </c>
      <c r="AB977" s="18" t="s">
        <v>259</v>
      </c>
      <c r="AC977" s="18" t="s">
        <v>200</v>
      </c>
    </row>
    <row r="978" s="18" customFormat="1" ht="29" spans="1:29">
      <c r="A978" s="18" t="s">
        <v>2426</v>
      </c>
      <c r="B978" s="25" t="s">
        <v>2426</v>
      </c>
      <c r="C978" s="26">
        <v>45692</v>
      </c>
      <c r="D978" s="18" t="s">
        <v>2427</v>
      </c>
      <c r="E978" s="18" t="str">
        <f t="shared" si="15"/>
        <v>Bombay Swadeshi Stores Ltd</v>
      </c>
      <c r="F978" s="27" t="s">
        <v>2428</v>
      </c>
      <c r="G978" s="18" t="s">
        <v>182</v>
      </c>
      <c r="H978" s="18" t="s">
        <v>183</v>
      </c>
      <c r="I978" s="18" t="s">
        <v>184</v>
      </c>
      <c r="J978" s="18" t="s">
        <v>2429</v>
      </c>
      <c r="K978" s="18" t="s">
        <v>56</v>
      </c>
      <c r="L978" s="18" t="s">
        <v>36</v>
      </c>
      <c r="N978" s="18">
        <v>6</v>
      </c>
      <c r="O978" s="18" t="s">
        <v>57</v>
      </c>
      <c r="P978" s="18" t="s">
        <v>38</v>
      </c>
      <c r="Q978" s="18" t="s">
        <v>194</v>
      </c>
      <c r="R978" s="18" t="s">
        <v>59</v>
      </c>
      <c r="S978" s="18" t="s">
        <v>195</v>
      </c>
      <c r="T978" s="18" t="b">
        <v>0</v>
      </c>
      <c r="U978" s="18" t="s">
        <v>187</v>
      </c>
      <c r="V978" s="18" t="s">
        <v>40</v>
      </c>
      <c r="W978" s="18" t="s">
        <v>140</v>
      </c>
      <c r="X978" s="18" t="s">
        <v>141</v>
      </c>
      <c r="Y978" s="18">
        <v>1</v>
      </c>
      <c r="Z978" s="18">
        <v>10178.57</v>
      </c>
      <c r="AA978" s="31" t="s">
        <v>1784</v>
      </c>
      <c r="AB978" s="18" t="s">
        <v>1785</v>
      </c>
      <c r="AC978" s="18" t="s">
        <v>582</v>
      </c>
    </row>
    <row r="979" s="18" customFormat="1" ht="29" spans="1:29">
      <c r="A979" s="18" t="s">
        <v>2430</v>
      </c>
      <c r="B979" s="25" t="s">
        <v>2430</v>
      </c>
      <c r="C979" s="26">
        <v>45692</v>
      </c>
      <c r="D979" s="18" t="s">
        <v>2431</v>
      </c>
      <c r="E979" s="18" t="str">
        <f t="shared" si="15"/>
        <v>TML Agency LLP</v>
      </c>
      <c r="F979" s="27" t="s">
        <v>2432</v>
      </c>
      <c r="G979" s="18" t="s">
        <v>182</v>
      </c>
      <c r="H979" s="18" t="s">
        <v>183</v>
      </c>
      <c r="I979" s="18" t="s">
        <v>184</v>
      </c>
      <c r="J979" s="18" t="s">
        <v>1968</v>
      </c>
      <c r="K979" s="18" t="s">
        <v>56</v>
      </c>
      <c r="L979" s="18" t="s">
        <v>36</v>
      </c>
      <c r="N979" s="18">
        <v>6</v>
      </c>
      <c r="O979" s="18" t="s">
        <v>88</v>
      </c>
      <c r="P979" s="18" t="s">
        <v>38</v>
      </c>
      <c r="Q979" s="18" t="s">
        <v>194</v>
      </c>
      <c r="R979" s="18" t="s">
        <v>59</v>
      </c>
      <c r="S979" s="18" t="s">
        <v>195</v>
      </c>
      <c r="T979" s="18" t="b">
        <v>0</v>
      </c>
      <c r="U979" s="18" t="s">
        <v>187</v>
      </c>
      <c r="V979" s="18" t="s">
        <v>40</v>
      </c>
      <c r="W979" s="18" t="s">
        <v>401</v>
      </c>
      <c r="X979" s="18" t="s">
        <v>402</v>
      </c>
      <c r="Y979" s="18">
        <v>1</v>
      </c>
      <c r="Z979" s="18">
        <v>260000</v>
      </c>
      <c r="AA979" s="31" t="s">
        <v>1227</v>
      </c>
      <c r="AB979" s="18" t="s">
        <v>1228</v>
      </c>
      <c r="AC979" s="18" t="s">
        <v>200</v>
      </c>
    </row>
    <row r="980" s="18" customFormat="1" ht="29" spans="1:29">
      <c r="A980" s="18" t="s">
        <v>2433</v>
      </c>
      <c r="B980" s="25" t="s">
        <v>2433</v>
      </c>
      <c r="C980" s="26">
        <v>45692</v>
      </c>
      <c r="D980" s="18" t="s">
        <v>1821</v>
      </c>
      <c r="E980" s="18" t="str">
        <f t="shared" si="15"/>
        <v>The Infinite Impressions</v>
      </c>
      <c r="F980" s="27" t="s">
        <v>1822</v>
      </c>
      <c r="G980" s="18" t="s">
        <v>182</v>
      </c>
      <c r="H980" s="18" t="s">
        <v>183</v>
      </c>
      <c r="I980" s="18" t="s">
        <v>184</v>
      </c>
      <c r="J980" s="18" t="s">
        <v>1995</v>
      </c>
      <c r="K980" s="18" t="s">
        <v>56</v>
      </c>
      <c r="L980" s="18" t="s">
        <v>36</v>
      </c>
      <c r="N980" s="18">
        <v>6</v>
      </c>
      <c r="O980" s="18" t="s">
        <v>57</v>
      </c>
      <c r="P980" s="18" t="s">
        <v>38</v>
      </c>
      <c r="Q980" s="18" t="s">
        <v>194</v>
      </c>
      <c r="R980" s="18" t="s">
        <v>59</v>
      </c>
      <c r="S980" s="18" t="s">
        <v>195</v>
      </c>
      <c r="T980" s="18" t="b">
        <v>0</v>
      </c>
      <c r="U980" s="18" t="s">
        <v>187</v>
      </c>
      <c r="V980" s="18" t="s">
        <v>40</v>
      </c>
      <c r="W980" s="18" t="s">
        <v>317</v>
      </c>
      <c r="X980" s="18" t="s">
        <v>318</v>
      </c>
      <c r="Y980" s="18">
        <v>1</v>
      </c>
      <c r="Z980" s="18">
        <v>18000</v>
      </c>
      <c r="AA980" s="31" t="s">
        <v>1227</v>
      </c>
      <c r="AB980" s="18" t="s">
        <v>1228</v>
      </c>
      <c r="AC980" s="18" t="s">
        <v>200</v>
      </c>
    </row>
    <row r="981" s="18" customFormat="1" spans="1:29">
      <c r="A981" s="18" t="s">
        <v>2434</v>
      </c>
      <c r="B981" s="25" t="s">
        <v>2434</v>
      </c>
      <c r="C981" s="26">
        <v>45693</v>
      </c>
      <c r="D981" s="18" t="s">
        <v>620</v>
      </c>
      <c r="E981" s="18" t="str">
        <f t="shared" si="15"/>
        <v>Jay Jagannath Samal Event Production</v>
      </c>
      <c r="F981" s="27" t="s">
        <v>621</v>
      </c>
      <c r="G981" s="18" t="s">
        <v>32</v>
      </c>
      <c r="H981" s="18" t="s">
        <v>33</v>
      </c>
      <c r="I981" s="18" t="s">
        <v>1246</v>
      </c>
      <c r="J981" s="18" t="s">
        <v>2435</v>
      </c>
      <c r="K981" s="18" t="s">
        <v>56</v>
      </c>
      <c r="L981" s="18" t="s">
        <v>36</v>
      </c>
      <c r="N981" s="18">
        <v>6</v>
      </c>
      <c r="O981" s="18" t="s">
        <v>88</v>
      </c>
      <c r="P981" s="18" t="s">
        <v>38</v>
      </c>
      <c r="Q981" s="18" t="s">
        <v>117</v>
      </c>
      <c r="R981" s="18" t="s">
        <v>59</v>
      </c>
      <c r="S981" s="18" t="s">
        <v>118</v>
      </c>
      <c r="T981" s="18" t="b">
        <v>1</v>
      </c>
      <c r="U981" s="18" t="s">
        <v>39</v>
      </c>
      <c r="V981" s="18" t="s">
        <v>40</v>
      </c>
      <c r="W981" s="18" t="s">
        <v>151</v>
      </c>
      <c r="X981" s="18" t="s">
        <v>152</v>
      </c>
      <c r="Y981" s="18">
        <v>1</v>
      </c>
      <c r="Z981" s="18">
        <v>280000</v>
      </c>
      <c r="AA981" s="18" t="s">
        <v>622</v>
      </c>
      <c r="AB981" s="18" t="s">
        <v>623</v>
      </c>
      <c r="AC981" s="18" t="s">
        <v>43</v>
      </c>
    </row>
    <row r="982" s="18" customFormat="1" spans="1:29">
      <c r="A982" s="18" t="s">
        <v>2436</v>
      </c>
      <c r="B982" s="25" t="s">
        <v>2436</v>
      </c>
      <c r="C982" s="26">
        <v>45693</v>
      </c>
      <c r="D982" s="18" t="s">
        <v>2437</v>
      </c>
      <c r="E982" s="18" t="str">
        <f t="shared" si="15"/>
        <v>Taylored Eventz</v>
      </c>
      <c r="F982" s="27" t="s">
        <v>2438</v>
      </c>
      <c r="G982" s="18" t="s">
        <v>32</v>
      </c>
      <c r="H982" s="18" t="s">
        <v>33</v>
      </c>
      <c r="I982" s="18" t="s">
        <v>1246</v>
      </c>
      <c r="J982" s="18" t="s">
        <v>2435</v>
      </c>
      <c r="K982" s="18" t="s">
        <v>56</v>
      </c>
      <c r="L982" s="18" t="s">
        <v>36</v>
      </c>
      <c r="N982" s="18">
        <v>6</v>
      </c>
      <c r="O982" s="18" t="s">
        <v>88</v>
      </c>
      <c r="P982" s="18" t="s">
        <v>38</v>
      </c>
      <c r="Q982" s="18" t="s">
        <v>117</v>
      </c>
      <c r="R982" s="18" t="s">
        <v>59</v>
      </c>
      <c r="S982" s="18" t="s">
        <v>118</v>
      </c>
      <c r="T982" s="18" t="b">
        <v>1</v>
      </c>
      <c r="U982" s="18" t="s">
        <v>39</v>
      </c>
      <c r="V982" s="18" t="s">
        <v>40</v>
      </c>
      <c r="W982" s="18" t="s">
        <v>151</v>
      </c>
      <c r="X982" s="18" t="s">
        <v>152</v>
      </c>
      <c r="Y982" s="18">
        <v>1</v>
      </c>
      <c r="Z982" s="18">
        <v>750000</v>
      </c>
      <c r="AA982" s="18" t="s">
        <v>622</v>
      </c>
      <c r="AB982" s="18" t="s">
        <v>623</v>
      </c>
      <c r="AC982" s="18" t="s">
        <v>43</v>
      </c>
    </row>
    <row r="983" s="18" customFormat="1" spans="1:29">
      <c r="A983" s="18" t="s">
        <v>2439</v>
      </c>
      <c r="B983" s="25" t="s">
        <v>2439</v>
      </c>
      <c r="C983" s="26">
        <v>45693</v>
      </c>
      <c r="D983" s="18" t="s">
        <v>2440</v>
      </c>
      <c r="E983" s="18" t="str">
        <f t="shared" si="15"/>
        <v>Rea Studio</v>
      </c>
      <c r="F983" s="27" t="s">
        <v>2441</v>
      </c>
      <c r="G983" s="18" t="s">
        <v>32</v>
      </c>
      <c r="H983" s="18" t="s">
        <v>33</v>
      </c>
      <c r="I983" s="18" t="s">
        <v>1246</v>
      </c>
      <c r="J983" s="18" t="s">
        <v>2435</v>
      </c>
      <c r="K983" s="18" t="s">
        <v>56</v>
      </c>
      <c r="L983" s="18" t="s">
        <v>36</v>
      </c>
      <c r="N983" s="18">
        <v>6</v>
      </c>
      <c r="O983" s="18" t="s">
        <v>57</v>
      </c>
      <c r="P983" s="18" t="s">
        <v>38</v>
      </c>
      <c r="Q983" s="18" t="s">
        <v>117</v>
      </c>
      <c r="R983" s="18" t="s">
        <v>59</v>
      </c>
      <c r="S983" s="18" t="s">
        <v>118</v>
      </c>
      <c r="T983" s="18" t="b">
        <v>1</v>
      </c>
      <c r="U983" s="18" t="s">
        <v>39</v>
      </c>
      <c r="V983" s="18" t="s">
        <v>40</v>
      </c>
      <c r="W983" s="18" t="s">
        <v>401</v>
      </c>
      <c r="X983" s="18" t="s">
        <v>402</v>
      </c>
      <c r="Y983" s="18">
        <v>1</v>
      </c>
      <c r="Z983" s="18">
        <v>45000</v>
      </c>
      <c r="AA983" s="18" t="s">
        <v>622</v>
      </c>
      <c r="AB983" s="18" t="s">
        <v>623</v>
      </c>
      <c r="AC983" s="18" t="s">
        <v>43</v>
      </c>
    </row>
    <row r="984" s="18" customFormat="1" ht="29" spans="1:29">
      <c r="A984" s="18" t="s">
        <v>2442</v>
      </c>
      <c r="B984" s="25" t="s">
        <v>2442</v>
      </c>
      <c r="C984" s="26">
        <v>45693</v>
      </c>
      <c r="D984" s="18" t="s">
        <v>635</v>
      </c>
      <c r="E984" s="18" t="str">
        <f t="shared" si="15"/>
        <v>Ashik Mobile Generator</v>
      </c>
      <c r="F984" s="27" t="s">
        <v>636</v>
      </c>
      <c r="G984" s="18" t="s">
        <v>32</v>
      </c>
      <c r="H984" s="18" t="s">
        <v>33</v>
      </c>
      <c r="I984" s="18" t="s">
        <v>184</v>
      </c>
      <c r="J984" s="18" t="s">
        <v>499</v>
      </c>
      <c r="K984" s="18" t="s">
        <v>56</v>
      </c>
      <c r="L984" s="18" t="s">
        <v>36</v>
      </c>
      <c r="N984" s="18">
        <v>6</v>
      </c>
      <c r="O984" s="18" t="s">
        <v>88</v>
      </c>
      <c r="P984" s="18" t="s">
        <v>38</v>
      </c>
      <c r="Q984" s="18" t="s">
        <v>117</v>
      </c>
      <c r="R984" s="18" t="s">
        <v>59</v>
      </c>
      <c r="S984" s="18" t="s">
        <v>186</v>
      </c>
      <c r="T984" s="18" t="b">
        <v>1</v>
      </c>
      <c r="U984" s="18" t="s">
        <v>39</v>
      </c>
      <c r="V984" s="18" t="s">
        <v>40</v>
      </c>
      <c r="W984" s="18" t="s">
        <v>371</v>
      </c>
      <c r="X984" s="18" t="s">
        <v>372</v>
      </c>
      <c r="Y984" s="18">
        <v>1</v>
      </c>
      <c r="Z984" s="18">
        <v>23800</v>
      </c>
      <c r="AA984" s="31" t="s">
        <v>810</v>
      </c>
      <c r="AB984" s="18" t="s">
        <v>811</v>
      </c>
      <c r="AC984" s="18" t="s">
        <v>43</v>
      </c>
    </row>
    <row r="985" s="18" customFormat="1" spans="1:29">
      <c r="A985" s="18" t="s">
        <v>2443</v>
      </c>
      <c r="B985" s="25" t="s">
        <v>2443</v>
      </c>
      <c r="C985" s="26">
        <v>45693</v>
      </c>
      <c r="D985" s="18" t="s">
        <v>827</v>
      </c>
      <c r="E985" s="18" t="str">
        <f t="shared" si="15"/>
        <v>Infutech Solutions</v>
      </c>
      <c r="F985" s="27" t="s">
        <v>828</v>
      </c>
      <c r="G985" s="18" t="s">
        <v>32</v>
      </c>
      <c r="H985" s="18" t="s">
        <v>33</v>
      </c>
      <c r="I985" s="18" t="s">
        <v>34</v>
      </c>
      <c r="K985" s="18" t="s">
        <v>35</v>
      </c>
      <c r="L985" s="18" t="s">
        <v>36</v>
      </c>
      <c r="N985" s="18">
        <v>6</v>
      </c>
      <c r="O985" s="18" t="s">
        <v>88</v>
      </c>
      <c r="P985" s="18" t="s">
        <v>38</v>
      </c>
      <c r="T985" s="18" t="b">
        <v>1</v>
      </c>
      <c r="U985" s="18" t="s">
        <v>39</v>
      </c>
      <c r="V985" s="18" t="s">
        <v>40</v>
      </c>
      <c r="W985" s="18" t="s">
        <v>526</v>
      </c>
      <c r="X985" s="18" t="s">
        <v>526</v>
      </c>
      <c r="Y985" s="18">
        <v>1</v>
      </c>
      <c r="Z985" s="18">
        <v>12000</v>
      </c>
      <c r="AA985" s="18" t="s">
        <v>89</v>
      </c>
      <c r="AB985" s="18" t="s">
        <v>90</v>
      </c>
      <c r="AC985" s="18" t="s">
        <v>43</v>
      </c>
    </row>
    <row r="986" s="19" customFormat="1" spans="1:29">
      <c r="A986" s="19" t="s">
        <v>2444</v>
      </c>
      <c r="B986" s="28" t="s">
        <v>2444</v>
      </c>
      <c r="C986" s="29">
        <v>45693</v>
      </c>
      <c r="D986" s="19" t="s">
        <v>2445</v>
      </c>
      <c r="E986" s="19" t="str">
        <f t="shared" si="15"/>
        <v>House Of Lords Owners Association</v>
      </c>
      <c r="F986" s="30" t="s">
        <v>2446</v>
      </c>
      <c r="G986" s="19" t="s">
        <v>32</v>
      </c>
      <c r="H986" s="19" t="s">
        <v>33</v>
      </c>
      <c r="I986" s="19" t="s">
        <v>34</v>
      </c>
      <c r="K986" s="19" t="s">
        <v>35</v>
      </c>
      <c r="L986" s="19" t="s">
        <v>36</v>
      </c>
      <c r="N986" s="19">
        <v>6</v>
      </c>
      <c r="O986" s="19" t="s">
        <v>37</v>
      </c>
      <c r="P986" s="19" t="s">
        <v>38</v>
      </c>
      <c r="T986" s="19" t="b">
        <v>1</v>
      </c>
      <c r="U986" s="19" t="s">
        <v>39</v>
      </c>
      <c r="V986" s="19" t="s">
        <v>40</v>
      </c>
      <c r="W986" s="19" t="s">
        <v>107</v>
      </c>
      <c r="X986" s="19" t="e">
        <v>#N/A</v>
      </c>
      <c r="Y986" s="19">
        <v>1</v>
      </c>
      <c r="Z986" s="19">
        <v>6912</v>
      </c>
      <c r="AC986" s="19" t="e">
        <v>#N/A</v>
      </c>
    </row>
    <row r="987" s="18" customFormat="1" spans="1:29">
      <c r="A987" s="18" t="s">
        <v>2447</v>
      </c>
      <c r="B987" s="25" t="s">
        <v>2447</v>
      </c>
      <c r="C987" s="26">
        <v>45693</v>
      </c>
      <c r="D987" s="18" t="s">
        <v>1289</v>
      </c>
      <c r="E987" s="18" t="str">
        <f t="shared" si="15"/>
        <v>Prismscale Pvt Ltd</v>
      </c>
      <c r="F987" s="27" t="s">
        <v>1290</v>
      </c>
      <c r="G987" s="18" t="s">
        <v>32</v>
      </c>
      <c r="H987" s="18" t="s">
        <v>33</v>
      </c>
      <c r="I987" s="18" t="s">
        <v>34</v>
      </c>
      <c r="J987" s="18" t="s">
        <v>316</v>
      </c>
      <c r="K987" s="18" t="s">
        <v>56</v>
      </c>
      <c r="L987" s="18" t="s">
        <v>36</v>
      </c>
      <c r="N987" s="18">
        <v>6</v>
      </c>
      <c r="O987" s="18" t="s">
        <v>88</v>
      </c>
      <c r="P987" s="18" t="s">
        <v>38</v>
      </c>
      <c r="Q987" s="18" t="s">
        <v>117</v>
      </c>
      <c r="R987" s="18" t="s">
        <v>59</v>
      </c>
      <c r="S987" s="18" t="s">
        <v>118</v>
      </c>
      <c r="T987" s="18" t="b">
        <v>1</v>
      </c>
      <c r="U987" s="18" t="s">
        <v>39</v>
      </c>
      <c r="V987" s="18" t="s">
        <v>40</v>
      </c>
      <c r="W987" s="18" t="s">
        <v>347</v>
      </c>
      <c r="X987" s="18" t="s">
        <v>348</v>
      </c>
      <c r="Y987" s="18">
        <v>1</v>
      </c>
      <c r="Z987" s="18">
        <v>37500</v>
      </c>
      <c r="AA987" s="18" t="s">
        <v>2448</v>
      </c>
      <c r="AB987" s="18" t="s">
        <v>2449</v>
      </c>
      <c r="AC987" s="18" t="s">
        <v>43</v>
      </c>
    </row>
    <row r="988" s="18" customFormat="1" ht="29" spans="1:29">
      <c r="A988" s="18" t="s">
        <v>2450</v>
      </c>
      <c r="B988" s="25" t="s">
        <v>2450</v>
      </c>
      <c r="C988" s="26">
        <v>45693</v>
      </c>
      <c r="D988" s="31" t="s">
        <v>613</v>
      </c>
      <c r="E988" s="18" t="str">
        <f t="shared" si="15"/>
        <v>Raj Latotra  </v>
      </c>
      <c r="F988" s="27" t="e">
        <v>#N/A</v>
      </c>
      <c r="G988" s="18" t="s">
        <v>32</v>
      </c>
      <c r="H988" s="18" t="s">
        <v>33</v>
      </c>
      <c r="I988" s="18" t="s">
        <v>34</v>
      </c>
      <c r="J988" s="18" t="s">
        <v>316</v>
      </c>
      <c r="K988" s="18" t="s">
        <v>56</v>
      </c>
      <c r="L988" s="18" t="s">
        <v>36</v>
      </c>
      <c r="N988" s="18">
        <v>6</v>
      </c>
      <c r="O988" s="18" t="s">
        <v>93</v>
      </c>
      <c r="P988" s="18" t="s">
        <v>38</v>
      </c>
      <c r="Q988" s="18" t="s">
        <v>117</v>
      </c>
      <c r="R988" s="18" t="s">
        <v>59</v>
      </c>
      <c r="S988" s="18" t="s">
        <v>118</v>
      </c>
      <c r="T988" s="18" t="b">
        <v>1</v>
      </c>
      <c r="U988" s="18" t="s">
        <v>39</v>
      </c>
      <c r="V988" s="18" t="s">
        <v>40</v>
      </c>
      <c r="W988" s="18" t="s">
        <v>508</v>
      </c>
      <c r="X988" s="18" t="s">
        <v>509</v>
      </c>
      <c r="Y988" s="18">
        <v>1</v>
      </c>
      <c r="Z988" s="18">
        <v>3566</v>
      </c>
      <c r="AA988" s="18" t="s">
        <v>128</v>
      </c>
      <c r="AB988" s="18" t="s">
        <v>129</v>
      </c>
      <c r="AC988" s="18" t="e">
        <v>#N/A</v>
      </c>
    </row>
    <row r="989" s="18" customFormat="1" spans="1:29">
      <c r="A989" s="18" t="s">
        <v>2451</v>
      </c>
      <c r="B989" s="25" t="s">
        <v>2451</v>
      </c>
      <c r="C989" s="26">
        <v>45693</v>
      </c>
      <c r="D989" s="18" t="s">
        <v>2452</v>
      </c>
      <c r="E989" s="18" t="str">
        <f t="shared" si="15"/>
        <v>Ashwini D  </v>
      </c>
      <c r="F989" s="27" t="e">
        <v>#N/A</v>
      </c>
      <c r="G989" s="18" t="s">
        <v>32</v>
      </c>
      <c r="H989" s="18" t="s">
        <v>33</v>
      </c>
      <c r="I989" s="18" t="s">
        <v>34</v>
      </c>
      <c r="J989" s="18" t="s">
        <v>1581</v>
      </c>
      <c r="K989" s="18" t="s">
        <v>56</v>
      </c>
      <c r="L989" s="18" t="s">
        <v>36</v>
      </c>
      <c r="N989" s="18">
        <v>6</v>
      </c>
      <c r="O989" s="18" t="s">
        <v>93</v>
      </c>
      <c r="P989" s="18" t="s">
        <v>38</v>
      </c>
      <c r="Q989" s="18" t="s">
        <v>117</v>
      </c>
      <c r="R989" s="18" t="s">
        <v>59</v>
      </c>
      <c r="S989" s="18" t="s">
        <v>118</v>
      </c>
      <c r="T989" s="18" t="b">
        <v>1</v>
      </c>
      <c r="U989" s="18" t="s">
        <v>39</v>
      </c>
      <c r="V989" s="18" t="s">
        <v>40</v>
      </c>
      <c r="W989" s="18" t="s">
        <v>126</v>
      </c>
      <c r="X989" s="18" t="s">
        <v>127</v>
      </c>
      <c r="Y989" s="18">
        <v>1</v>
      </c>
      <c r="Z989" s="18">
        <v>1724</v>
      </c>
      <c r="AA989" s="18" t="s">
        <v>501</v>
      </c>
      <c r="AB989" s="18" t="s">
        <v>502</v>
      </c>
      <c r="AC989" s="18" t="e">
        <v>#N/A</v>
      </c>
    </row>
    <row r="990" s="18" customFormat="1" spans="1:29">
      <c r="A990" s="18" t="s">
        <v>2453</v>
      </c>
      <c r="B990" s="25" t="s">
        <v>2453</v>
      </c>
      <c r="C990" s="26">
        <v>45693</v>
      </c>
      <c r="D990" s="18" t="s">
        <v>628</v>
      </c>
      <c r="E990" s="18" t="str">
        <f t="shared" si="15"/>
        <v>New Print House</v>
      </c>
      <c r="F990" s="27" t="s">
        <v>629</v>
      </c>
      <c r="G990" s="18" t="s">
        <v>32</v>
      </c>
      <c r="H990" s="18" t="s">
        <v>33</v>
      </c>
      <c r="I990" s="18" t="s">
        <v>1246</v>
      </c>
      <c r="J990" s="18" t="s">
        <v>1581</v>
      </c>
      <c r="K990" s="18" t="s">
        <v>56</v>
      </c>
      <c r="L990" s="18" t="s">
        <v>36</v>
      </c>
      <c r="N990" s="18">
        <v>6</v>
      </c>
      <c r="O990" s="18" t="s">
        <v>88</v>
      </c>
      <c r="P990" s="18" t="s">
        <v>38</v>
      </c>
      <c r="Q990" s="18" t="s">
        <v>117</v>
      </c>
      <c r="R990" s="18" t="s">
        <v>59</v>
      </c>
      <c r="S990" s="18" t="s">
        <v>118</v>
      </c>
      <c r="T990" s="18" t="b">
        <v>1</v>
      </c>
      <c r="U990" s="18" t="s">
        <v>39</v>
      </c>
      <c r="V990" s="18" t="s">
        <v>40</v>
      </c>
      <c r="W990" s="18" t="s">
        <v>196</v>
      </c>
      <c r="X990" s="18" t="s">
        <v>197</v>
      </c>
      <c r="Y990" s="18">
        <v>1</v>
      </c>
      <c r="Z990" s="18">
        <v>1975</v>
      </c>
      <c r="AA990" s="18" t="s">
        <v>2454</v>
      </c>
      <c r="AB990" s="18" t="s">
        <v>1331</v>
      </c>
      <c r="AC990" s="18" t="s">
        <v>630</v>
      </c>
    </row>
    <row r="991" s="18" customFormat="1" spans="1:29">
      <c r="A991" s="18" t="s">
        <v>2455</v>
      </c>
      <c r="B991" s="25" t="s">
        <v>2455</v>
      </c>
      <c r="C991" s="26">
        <v>45693</v>
      </c>
      <c r="D991" s="18" t="s">
        <v>2456</v>
      </c>
      <c r="E991" s="18" t="str">
        <f t="shared" si="15"/>
        <v>Citi Cabs Inc</v>
      </c>
      <c r="F991" s="27" t="s">
        <v>2457</v>
      </c>
      <c r="G991" s="18" t="s">
        <v>32</v>
      </c>
      <c r="H991" s="18" t="s">
        <v>33</v>
      </c>
      <c r="I991" s="18" t="s">
        <v>1246</v>
      </c>
      <c r="J991" s="18" t="s">
        <v>1581</v>
      </c>
      <c r="K991" s="18" t="s">
        <v>56</v>
      </c>
      <c r="L991" s="18" t="s">
        <v>36</v>
      </c>
      <c r="N991" s="18">
        <v>6</v>
      </c>
      <c r="O991" s="18" t="s">
        <v>57</v>
      </c>
      <c r="P991" s="18" t="s">
        <v>38</v>
      </c>
      <c r="Q991" s="18" t="s">
        <v>117</v>
      </c>
      <c r="R991" s="18" t="s">
        <v>59</v>
      </c>
      <c r="S991" s="18" t="s">
        <v>118</v>
      </c>
      <c r="T991" s="18" t="b">
        <v>1</v>
      </c>
      <c r="U991" s="18" t="s">
        <v>39</v>
      </c>
      <c r="V991" s="18" t="s">
        <v>40</v>
      </c>
      <c r="W991" s="18" t="s">
        <v>119</v>
      </c>
      <c r="X991" s="18" t="s">
        <v>120</v>
      </c>
      <c r="Y991" s="18">
        <v>1</v>
      </c>
      <c r="Z991" s="18">
        <v>34000</v>
      </c>
      <c r="AA991" s="18" t="s">
        <v>2454</v>
      </c>
      <c r="AB991" s="18" t="s">
        <v>1331</v>
      </c>
      <c r="AC991" s="18" t="e">
        <v>#N/A</v>
      </c>
    </row>
    <row r="992" s="18" customFormat="1" ht="29" spans="1:29">
      <c r="A992" s="18" t="s">
        <v>2458</v>
      </c>
      <c r="B992" s="25" t="s">
        <v>2458</v>
      </c>
      <c r="C992" s="26">
        <v>45693</v>
      </c>
      <c r="D992" s="18" t="s">
        <v>511</v>
      </c>
      <c r="E992" s="18" t="str">
        <f t="shared" si="15"/>
        <v>Pro Audio Solutions India Pvt Ltd</v>
      </c>
      <c r="F992" s="27" t="s">
        <v>512</v>
      </c>
      <c r="G992" s="18" t="s">
        <v>99</v>
      </c>
      <c r="H992" s="18" t="s">
        <v>100</v>
      </c>
      <c r="I992" s="18" t="s">
        <v>184</v>
      </c>
      <c r="J992" s="18" t="s">
        <v>499</v>
      </c>
      <c r="K992" s="18" t="s">
        <v>56</v>
      </c>
      <c r="L992" s="18" t="s">
        <v>36</v>
      </c>
      <c r="N992" s="18">
        <v>6</v>
      </c>
      <c r="O992" s="18" t="s">
        <v>88</v>
      </c>
      <c r="P992" s="18" t="s">
        <v>38</v>
      </c>
      <c r="Q992" s="18" t="s">
        <v>117</v>
      </c>
      <c r="R992" s="18" t="s">
        <v>59</v>
      </c>
      <c r="S992" s="18" t="s">
        <v>186</v>
      </c>
      <c r="T992" s="18" t="b">
        <v>1</v>
      </c>
      <c r="U992" s="18" t="s">
        <v>101</v>
      </c>
      <c r="V992" s="18" t="s">
        <v>40</v>
      </c>
      <c r="W992" s="18" t="s">
        <v>371</v>
      </c>
      <c r="X992" s="18" t="s">
        <v>372</v>
      </c>
      <c r="Y992" s="18">
        <v>1</v>
      </c>
      <c r="Z992" s="18">
        <v>41000</v>
      </c>
      <c r="AA992" s="31" t="s">
        <v>810</v>
      </c>
      <c r="AB992" s="18" t="s">
        <v>811</v>
      </c>
      <c r="AC992" s="18" t="s">
        <v>111</v>
      </c>
    </row>
    <row r="993" s="18" customFormat="1" ht="29" spans="1:29">
      <c r="A993" s="18" t="s">
        <v>2459</v>
      </c>
      <c r="B993" s="25" t="s">
        <v>2459</v>
      </c>
      <c r="C993" s="26">
        <v>45693</v>
      </c>
      <c r="D993" s="18" t="s">
        <v>1918</v>
      </c>
      <c r="E993" s="18" t="str">
        <f t="shared" si="15"/>
        <v>Sri Thanigaivel Electricals</v>
      </c>
      <c r="F993" s="27" t="s">
        <v>1919</v>
      </c>
      <c r="G993" s="18" t="s">
        <v>99</v>
      </c>
      <c r="H993" s="18" t="s">
        <v>100</v>
      </c>
      <c r="I993" s="18" t="s">
        <v>184</v>
      </c>
      <c r="J993" s="18" t="s">
        <v>499</v>
      </c>
      <c r="K993" s="18" t="s">
        <v>56</v>
      </c>
      <c r="L993" s="18" t="s">
        <v>36</v>
      </c>
      <c r="N993" s="18">
        <v>6</v>
      </c>
      <c r="O993" s="18" t="s">
        <v>88</v>
      </c>
      <c r="P993" s="18" t="s">
        <v>38</v>
      </c>
      <c r="Q993" s="18" t="s">
        <v>117</v>
      </c>
      <c r="R993" s="18" t="s">
        <v>59</v>
      </c>
      <c r="S993" s="18" t="s">
        <v>186</v>
      </c>
      <c r="T993" s="18" t="b">
        <v>1</v>
      </c>
      <c r="U993" s="18" t="s">
        <v>101</v>
      </c>
      <c r="V993" s="18" t="s">
        <v>40</v>
      </c>
      <c r="W993" s="18" t="s">
        <v>371</v>
      </c>
      <c r="X993" s="18" t="s">
        <v>372</v>
      </c>
      <c r="Y993" s="18">
        <v>1</v>
      </c>
      <c r="Z993" s="18">
        <v>112355</v>
      </c>
      <c r="AA993" s="31" t="s">
        <v>810</v>
      </c>
      <c r="AB993" s="18" t="s">
        <v>811</v>
      </c>
      <c r="AC993" s="18" t="s">
        <v>111</v>
      </c>
    </row>
    <row r="994" s="18" customFormat="1" ht="29" spans="1:29">
      <c r="A994" s="18" t="s">
        <v>2460</v>
      </c>
      <c r="B994" s="25" t="s">
        <v>2460</v>
      </c>
      <c r="C994" s="26">
        <v>45693</v>
      </c>
      <c r="D994" s="18" t="s">
        <v>1005</v>
      </c>
      <c r="E994" s="18" t="str">
        <f t="shared" si="15"/>
        <v>Cockpitmarx </v>
      </c>
      <c r="F994" s="27" t="e">
        <v>#N/A</v>
      </c>
      <c r="G994" s="18" t="s">
        <v>147</v>
      </c>
      <c r="H994" s="18" t="s">
        <v>148</v>
      </c>
      <c r="I994" s="18" t="s">
        <v>184</v>
      </c>
      <c r="J994" s="18" t="s">
        <v>499</v>
      </c>
      <c r="K994" s="18" t="s">
        <v>56</v>
      </c>
      <c r="L994" s="18" t="s">
        <v>36</v>
      </c>
      <c r="N994" s="18">
        <v>6</v>
      </c>
      <c r="O994" s="18" t="s">
        <v>88</v>
      </c>
      <c r="P994" s="18" t="s">
        <v>38</v>
      </c>
      <c r="Q994" s="18" t="s">
        <v>117</v>
      </c>
      <c r="R994" s="18" t="s">
        <v>59</v>
      </c>
      <c r="S994" s="18" t="s">
        <v>186</v>
      </c>
      <c r="T994" s="18" t="b">
        <v>1</v>
      </c>
      <c r="U994" s="18" t="s">
        <v>150</v>
      </c>
      <c r="V994" s="18" t="s">
        <v>40</v>
      </c>
      <c r="W994" s="18" t="s">
        <v>317</v>
      </c>
      <c r="X994" s="18" t="s">
        <v>318</v>
      </c>
      <c r="Y994" s="18">
        <v>1</v>
      </c>
      <c r="Z994" s="18">
        <v>17000</v>
      </c>
      <c r="AA994" s="31" t="s">
        <v>810</v>
      </c>
      <c r="AB994" s="18" t="s">
        <v>811</v>
      </c>
      <c r="AC994" s="18" t="s">
        <v>163</v>
      </c>
    </row>
    <row r="995" s="18" customFormat="1" spans="1:29">
      <c r="A995" s="18" t="s">
        <v>2461</v>
      </c>
      <c r="B995" s="25" t="s">
        <v>2461</v>
      </c>
      <c r="C995" s="26">
        <v>45693</v>
      </c>
      <c r="D995" s="18" t="s">
        <v>2462</v>
      </c>
      <c r="E995" s="18" t="str">
        <f t="shared" si="15"/>
        <v>Eyetalk Media Communication Pvt Ltd</v>
      </c>
      <c r="F995" s="27" t="s">
        <v>2463</v>
      </c>
      <c r="G995" s="18" t="s">
        <v>147</v>
      </c>
      <c r="H995" s="18" t="s">
        <v>148</v>
      </c>
      <c r="I995" s="18" t="s">
        <v>54</v>
      </c>
      <c r="J995" s="18" t="s">
        <v>2464</v>
      </c>
      <c r="K995" s="18" t="s">
        <v>56</v>
      </c>
      <c r="L995" s="18" t="s">
        <v>36</v>
      </c>
      <c r="N995" s="18">
        <v>6</v>
      </c>
      <c r="O995" s="18" t="s">
        <v>88</v>
      </c>
      <c r="P995" s="18" t="s">
        <v>38</v>
      </c>
      <c r="Q995" s="18" t="s">
        <v>58</v>
      </c>
      <c r="R995" s="18" t="s">
        <v>59</v>
      </c>
      <c r="S995" s="18" t="s">
        <v>60</v>
      </c>
      <c r="T995" s="18" t="b">
        <v>1</v>
      </c>
      <c r="U995" s="18" t="s">
        <v>150</v>
      </c>
      <c r="V995" s="18" t="s">
        <v>40</v>
      </c>
      <c r="W995" s="18" t="s">
        <v>1239</v>
      </c>
      <c r="X995" s="18" t="s">
        <v>1240</v>
      </c>
      <c r="Y995" s="18">
        <v>1</v>
      </c>
      <c r="Z995" s="18">
        <v>1054664</v>
      </c>
      <c r="AA995" s="18" t="s">
        <v>2465</v>
      </c>
      <c r="AB995" s="18" t="s">
        <v>600</v>
      </c>
      <c r="AC995" s="18" t="s">
        <v>163</v>
      </c>
    </row>
    <row r="996" s="18" customFormat="1" spans="1:29">
      <c r="A996" s="18" t="s">
        <v>2466</v>
      </c>
      <c r="B996" s="25" t="s">
        <v>2466</v>
      </c>
      <c r="C996" s="26">
        <v>45693</v>
      </c>
      <c r="D996" s="18" t="s">
        <v>1174</v>
      </c>
      <c r="E996" s="18" t="str">
        <f t="shared" si="15"/>
        <v>Perfect M &amp; C Services</v>
      </c>
      <c r="F996" s="27" t="s">
        <v>1175</v>
      </c>
      <c r="G996" s="18" t="s">
        <v>147</v>
      </c>
      <c r="H996" s="18" t="s">
        <v>148</v>
      </c>
      <c r="I996" s="18" t="s">
        <v>159</v>
      </c>
      <c r="J996" s="18" t="s">
        <v>2464</v>
      </c>
      <c r="K996" s="18" t="s">
        <v>56</v>
      </c>
      <c r="L996" s="18" t="s">
        <v>36</v>
      </c>
      <c r="N996" s="18">
        <v>6</v>
      </c>
      <c r="O996" s="18" t="s">
        <v>88</v>
      </c>
      <c r="P996" s="18" t="s">
        <v>38</v>
      </c>
      <c r="Q996" s="18" t="s">
        <v>58</v>
      </c>
      <c r="R996" s="18" t="s">
        <v>59</v>
      </c>
      <c r="S996" s="18" t="s">
        <v>60</v>
      </c>
      <c r="T996" s="18" t="b">
        <v>1</v>
      </c>
      <c r="U996" s="18" t="s">
        <v>150</v>
      </c>
      <c r="V996" s="18" t="s">
        <v>40</v>
      </c>
      <c r="W996" s="18" t="s">
        <v>317</v>
      </c>
      <c r="X996" s="18" t="s">
        <v>318</v>
      </c>
      <c r="Y996" s="18">
        <v>1</v>
      </c>
      <c r="Z996" s="18">
        <v>81000</v>
      </c>
      <c r="AA996" s="18" t="s">
        <v>2467</v>
      </c>
      <c r="AB996" s="18" t="s">
        <v>600</v>
      </c>
      <c r="AC996" s="18" t="s">
        <v>163</v>
      </c>
    </row>
    <row r="997" s="18" customFormat="1" ht="29" spans="1:29">
      <c r="A997" s="18" t="s">
        <v>2468</v>
      </c>
      <c r="B997" s="25" t="s">
        <v>2468</v>
      </c>
      <c r="C997" s="26">
        <v>45693</v>
      </c>
      <c r="D997" s="18" t="s">
        <v>2469</v>
      </c>
      <c r="E997" s="18" t="str">
        <f t="shared" si="15"/>
        <v>Zehra A Currimbhoy</v>
      </c>
      <c r="F997" s="27" t="s">
        <v>2470</v>
      </c>
      <c r="G997" s="18" t="s">
        <v>182</v>
      </c>
      <c r="H997" s="18" t="s">
        <v>183</v>
      </c>
      <c r="I997" s="18" t="s">
        <v>184</v>
      </c>
      <c r="J997" s="18" t="s">
        <v>2319</v>
      </c>
      <c r="K997" s="18" t="s">
        <v>56</v>
      </c>
      <c r="L997" s="18" t="s">
        <v>36</v>
      </c>
      <c r="N997" s="18">
        <v>6</v>
      </c>
      <c r="O997" s="18" t="s">
        <v>57</v>
      </c>
      <c r="P997" s="18" t="s">
        <v>38</v>
      </c>
      <c r="Q997" s="18" t="s">
        <v>194</v>
      </c>
      <c r="R997" s="18" t="s">
        <v>59</v>
      </c>
      <c r="S997" s="18" t="s">
        <v>195</v>
      </c>
      <c r="T997" s="18" t="b">
        <v>0</v>
      </c>
      <c r="U997" s="18" t="s">
        <v>187</v>
      </c>
      <c r="V997" s="18" t="s">
        <v>40</v>
      </c>
      <c r="W997" s="18" t="s">
        <v>140</v>
      </c>
      <c r="X997" s="18" t="s">
        <v>141</v>
      </c>
      <c r="Y997" s="18">
        <v>1</v>
      </c>
      <c r="Z997" s="18">
        <v>118000</v>
      </c>
      <c r="AA997" s="31" t="s">
        <v>1553</v>
      </c>
      <c r="AB997" s="18" t="s">
        <v>1554</v>
      </c>
      <c r="AC997" s="18" t="e">
        <v>#N/A</v>
      </c>
    </row>
    <row r="998" s="18" customFormat="1" spans="1:29">
      <c r="A998" s="18" t="s">
        <v>2471</v>
      </c>
      <c r="B998" s="25" t="s">
        <v>2471</v>
      </c>
      <c r="C998" s="26">
        <v>45693</v>
      </c>
      <c r="D998" s="18" t="s">
        <v>2329</v>
      </c>
      <c r="E998" s="18" t="str">
        <f t="shared" si="15"/>
        <v>Aalhad Bavkar  </v>
      </c>
      <c r="F998" s="27" t="e">
        <v>#N/A</v>
      </c>
      <c r="G998" s="18" t="s">
        <v>182</v>
      </c>
      <c r="H998" s="18" t="s">
        <v>183</v>
      </c>
      <c r="I998" s="18" t="s">
        <v>481</v>
      </c>
      <c r="J998" s="18" t="s">
        <v>1995</v>
      </c>
      <c r="K998" s="18" t="s">
        <v>56</v>
      </c>
      <c r="L998" s="18" t="s">
        <v>36</v>
      </c>
      <c r="N998" s="18">
        <v>6</v>
      </c>
      <c r="O998" s="18" t="s">
        <v>93</v>
      </c>
      <c r="P998" s="18" t="s">
        <v>38</v>
      </c>
      <c r="Q998" s="18" t="s">
        <v>194</v>
      </c>
      <c r="R998" s="18" t="s">
        <v>59</v>
      </c>
      <c r="S998" s="18" t="s">
        <v>195</v>
      </c>
      <c r="T998" s="18" t="b">
        <v>0</v>
      </c>
      <c r="U998" s="18" t="s">
        <v>187</v>
      </c>
      <c r="V998" s="18" t="s">
        <v>40</v>
      </c>
      <c r="W998" s="18" t="s">
        <v>126</v>
      </c>
      <c r="X998" s="18" t="s">
        <v>127</v>
      </c>
      <c r="Y998" s="18">
        <v>1</v>
      </c>
      <c r="Z998" s="18">
        <v>182</v>
      </c>
      <c r="AC998" s="18" t="e">
        <v>#N/A</v>
      </c>
    </row>
    <row r="999" s="18" customFormat="1" spans="1:29">
      <c r="A999" s="18" t="s">
        <v>2472</v>
      </c>
      <c r="B999" s="25" t="s">
        <v>2472</v>
      </c>
      <c r="C999" s="26">
        <v>45693</v>
      </c>
      <c r="D999" s="18" t="s">
        <v>2473</v>
      </c>
      <c r="E999" s="18" t="str">
        <f t="shared" si="15"/>
        <v>Sarfaraz Memon </v>
      </c>
      <c r="F999" s="27" t="e">
        <v>#N/A</v>
      </c>
      <c r="G999" s="18" t="s">
        <v>182</v>
      </c>
      <c r="H999" s="18" t="s">
        <v>183</v>
      </c>
      <c r="I999" s="18" t="s">
        <v>481</v>
      </c>
      <c r="J999" s="18" t="s">
        <v>1889</v>
      </c>
      <c r="K999" s="18" t="s">
        <v>56</v>
      </c>
      <c r="L999" s="18" t="s">
        <v>36</v>
      </c>
      <c r="N999" s="18">
        <v>6</v>
      </c>
      <c r="O999" s="18" t="s">
        <v>93</v>
      </c>
      <c r="P999" s="18" t="s">
        <v>38</v>
      </c>
      <c r="Q999" s="18" t="s">
        <v>194</v>
      </c>
      <c r="R999" s="18" t="s">
        <v>59</v>
      </c>
      <c r="S999" s="18" t="s">
        <v>195</v>
      </c>
      <c r="T999" s="18" t="b">
        <v>0</v>
      </c>
      <c r="U999" s="18" t="s">
        <v>187</v>
      </c>
      <c r="V999" s="18" t="s">
        <v>40</v>
      </c>
      <c r="W999" s="18" t="s">
        <v>126</v>
      </c>
      <c r="X999" s="18" t="s">
        <v>127</v>
      </c>
      <c r="Y999" s="18">
        <v>1</v>
      </c>
      <c r="Z999" s="18">
        <v>350</v>
      </c>
      <c r="AC999" s="18" t="e">
        <v>#N/A</v>
      </c>
    </row>
    <row r="1000" s="18" customFormat="1" spans="1:29">
      <c r="A1000" s="18" t="s">
        <v>2474</v>
      </c>
      <c r="B1000" s="25" t="s">
        <v>2474</v>
      </c>
      <c r="C1000" s="26">
        <v>45693</v>
      </c>
      <c r="D1000" s="18" t="s">
        <v>2475</v>
      </c>
      <c r="E1000" s="18" t="str">
        <f t="shared" si="15"/>
        <v>Arun More  </v>
      </c>
      <c r="F1000" s="27" t="e">
        <v>#N/A</v>
      </c>
      <c r="G1000" s="18" t="s">
        <v>182</v>
      </c>
      <c r="H1000" s="18" t="s">
        <v>183</v>
      </c>
      <c r="I1000" s="18" t="s">
        <v>481</v>
      </c>
      <c r="J1000" s="18" t="s">
        <v>1889</v>
      </c>
      <c r="K1000" s="18" t="s">
        <v>56</v>
      </c>
      <c r="L1000" s="18" t="s">
        <v>36</v>
      </c>
      <c r="N1000" s="18">
        <v>6</v>
      </c>
      <c r="O1000" s="18" t="s">
        <v>93</v>
      </c>
      <c r="P1000" s="18" t="s">
        <v>38</v>
      </c>
      <c r="Q1000" s="18" t="s">
        <v>194</v>
      </c>
      <c r="R1000" s="18" t="s">
        <v>59</v>
      </c>
      <c r="S1000" s="18" t="s">
        <v>195</v>
      </c>
      <c r="T1000" s="18" t="b">
        <v>0</v>
      </c>
      <c r="U1000" s="18" t="s">
        <v>187</v>
      </c>
      <c r="V1000" s="18" t="s">
        <v>40</v>
      </c>
      <c r="W1000" s="18" t="s">
        <v>126</v>
      </c>
      <c r="X1000" s="18" t="s">
        <v>127</v>
      </c>
      <c r="Y1000" s="18">
        <v>1</v>
      </c>
      <c r="Z1000" s="18">
        <v>880</v>
      </c>
      <c r="AC1000" s="18" t="e">
        <v>#N/A</v>
      </c>
    </row>
    <row r="1001" s="18" customFormat="1" spans="1:29">
      <c r="A1001" s="18" t="s">
        <v>2476</v>
      </c>
      <c r="B1001" s="25" t="s">
        <v>2476</v>
      </c>
      <c r="C1001" s="26">
        <v>45693</v>
      </c>
      <c r="D1001" s="18" t="s">
        <v>915</v>
      </c>
      <c r="E1001" s="18" t="str">
        <f t="shared" si="15"/>
        <v>Santosh Bhogal Cash  </v>
      </c>
      <c r="F1001" s="27" t="e">
        <v>#N/A</v>
      </c>
      <c r="G1001" s="18" t="s">
        <v>182</v>
      </c>
      <c r="H1001" s="18" t="s">
        <v>183</v>
      </c>
      <c r="I1001" s="18" t="s">
        <v>481</v>
      </c>
      <c r="J1001" s="18" t="s">
        <v>1889</v>
      </c>
      <c r="K1001" s="18" t="s">
        <v>56</v>
      </c>
      <c r="L1001" s="18" t="s">
        <v>36</v>
      </c>
      <c r="N1001" s="18">
        <v>6</v>
      </c>
      <c r="O1001" s="18" t="s">
        <v>93</v>
      </c>
      <c r="P1001" s="18" t="s">
        <v>38</v>
      </c>
      <c r="Q1001" s="18" t="s">
        <v>194</v>
      </c>
      <c r="R1001" s="18" t="s">
        <v>59</v>
      </c>
      <c r="S1001" s="18" t="s">
        <v>195</v>
      </c>
      <c r="T1001" s="18" t="b">
        <v>0</v>
      </c>
      <c r="U1001" s="18" t="s">
        <v>187</v>
      </c>
      <c r="V1001" s="18" t="s">
        <v>40</v>
      </c>
      <c r="W1001" s="18" t="s">
        <v>126</v>
      </c>
      <c r="X1001" s="18" t="s">
        <v>127</v>
      </c>
      <c r="Y1001" s="18">
        <v>1</v>
      </c>
      <c r="Z1001" s="18">
        <v>888</v>
      </c>
      <c r="AC1001" s="18" t="e">
        <v>#N/A</v>
      </c>
    </row>
    <row r="1002" s="18" customFormat="1" spans="1:29">
      <c r="A1002" s="18" t="s">
        <v>2477</v>
      </c>
      <c r="B1002" s="25" t="s">
        <v>2477</v>
      </c>
      <c r="C1002" s="26">
        <v>45693</v>
      </c>
      <c r="D1002" s="18" t="s">
        <v>1639</v>
      </c>
      <c r="E1002" s="18" t="str">
        <f t="shared" si="15"/>
        <v>Rajaram Shinde Cash </v>
      </c>
      <c r="F1002" s="27" t="e">
        <v>#N/A</v>
      </c>
      <c r="G1002" s="18" t="s">
        <v>182</v>
      </c>
      <c r="H1002" s="18" t="s">
        <v>183</v>
      </c>
      <c r="I1002" s="18" t="s">
        <v>481</v>
      </c>
      <c r="J1002" s="18" t="s">
        <v>1889</v>
      </c>
      <c r="K1002" s="18" t="s">
        <v>56</v>
      </c>
      <c r="L1002" s="18" t="s">
        <v>36</v>
      </c>
      <c r="N1002" s="18">
        <v>6</v>
      </c>
      <c r="O1002" s="18" t="s">
        <v>93</v>
      </c>
      <c r="P1002" s="18" t="s">
        <v>38</v>
      </c>
      <c r="Q1002" s="18" t="s">
        <v>194</v>
      </c>
      <c r="R1002" s="18" t="s">
        <v>59</v>
      </c>
      <c r="S1002" s="18" t="s">
        <v>195</v>
      </c>
      <c r="T1002" s="18" t="b">
        <v>0</v>
      </c>
      <c r="U1002" s="18" t="s">
        <v>187</v>
      </c>
      <c r="V1002" s="18" t="s">
        <v>40</v>
      </c>
      <c r="W1002" s="18" t="s">
        <v>317</v>
      </c>
      <c r="X1002" s="18" t="s">
        <v>318</v>
      </c>
      <c r="Y1002" s="18">
        <v>1</v>
      </c>
      <c r="Z1002" s="18">
        <v>4000</v>
      </c>
      <c r="AC1002" s="18" t="e">
        <v>#N/A</v>
      </c>
    </row>
    <row r="1003" s="18" customFormat="1" spans="1:29">
      <c r="A1003" s="18" t="s">
        <v>2478</v>
      </c>
      <c r="B1003" s="25" t="s">
        <v>2478</v>
      </c>
      <c r="C1003" s="26">
        <v>45693</v>
      </c>
      <c r="D1003" s="18" t="s">
        <v>2030</v>
      </c>
      <c r="E1003" s="18" t="str">
        <f t="shared" si="15"/>
        <v>Sanil Thombare </v>
      </c>
      <c r="F1003" s="27" t="e">
        <v>#N/A</v>
      </c>
      <c r="G1003" s="18" t="s">
        <v>182</v>
      </c>
      <c r="H1003" s="18" t="s">
        <v>183</v>
      </c>
      <c r="I1003" s="18" t="s">
        <v>481</v>
      </c>
      <c r="J1003" s="18" t="s">
        <v>1889</v>
      </c>
      <c r="K1003" s="18" t="s">
        <v>56</v>
      </c>
      <c r="L1003" s="18" t="s">
        <v>36</v>
      </c>
      <c r="N1003" s="18">
        <v>6</v>
      </c>
      <c r="O1003" s="18" t="s">
        <v>93</v>
      </c>
      <c r="P1003" s="18" t="s">
        <v>38</v>
      </c>
      <c r="Q1003" s="18" t="s">
        <v>194</v>
      </c>
      <c r="R1003" s="18" t="s">
        <v>59</v>
      </c>
      <c r="S1003" s="18" t="s">
        <v>195</v>
      </c>
      <c r="T1003" s="18" t="b">
        <v>0</v>
      </c>
      <c r="U1003" s="18" t="s">
        <v>187</v>
      </c>
      <c r="V1003" s="18" t="s">
        <v>40</v>
      </c>
      <c r="W1003" s="18" t="s">
        <v>126</v>
      </c>
      <c r="X1003" s="18" t="s">
        <v>127</v>
      </c>
      <c r="Y1003" s="18">
        <v>1</v>
      </c>
      <c r="Z1003" s="18">
        <v>369</v>
      </c>
      <c r="AC1003" s="18" t="e">
        <v>#N/A</v>
      </c>
    </row>
    <row r="1004" s="18" customFormat="1" spans="1:29">
      <c r="A1004" s="18" t="s">
        <v>2479</v>
      </c>
      <c r="B1004" s="25" t="s">
        <v>2479</v>
      </c>
      <c r="C1004" s="26">
        <v>45693</v>
      </c>
      <c r="D1004" s="18" t="s">
        <v>1643</v>
      </c>
      <c r="E1004" s="18" t="str">
        <f t="shared" si="15"/>
        <v>Ashwin Mishra  </v>
      </c>
      <c r="F1004" s="27" t="e">
        <v>#N/A</v>
      </c>
      <c r="G1004" s="18" t="s">
        <v>182</v>
      </c>
      <c r="H1004" s="18" t="s">
        <v>183</v>
      </c>
      <c r="I1004" s="18" t="s">
        <v>481</v>
      </c>
      <c r="J1004" s="18" t="s">
        <v>1995</v>
      </c>
      <c r="K1004" s="18" t="s">
        <v>56</v>
      </c>
      <c r="L1004" s="18" t="s">
        <v>36</v>
      </c>
      <c r="N1004" s="18">
        <v>6</v>
      </c>
      <c r="O1004" s="18" t="s">
        <v>93</v>
      </c>
      <c r="P1004" s="18" t="s">
        <v>38</v>
      </c>
      <c r="Q1004" s="18" t="s">
        <v>194</v>
      </c>
      <c r="R1004" s="18" t="s">
        <v>59</v>
      </c>
      <c r="S1004" s="18" t="s">
        <v>195</v>
      </c>
      <c r="T1004" s="18" t="b">
        <v>0</v>
      </c>
      <c r="U1004" s="18" t="s">
        <v>187</v>
      </c>
      <c r="V1004" s="18" t="s">
        <v>40</v>
      </c>
      <c r="W1004" s="18" t="s">
        <v>126</v>
      </c>
      <c r="X1004" s="18" t="s">
        <v>127</v>
      </c>
      <c r="Y1004" s="18">
        <v>1</v>
      </c>
      <c r="Z1004" s="18">
        <v>578</v>
      </c>
      <c r="AC1004" s="18" t="e">
        <v>#N/A</v>
      </c>
    </row>
    <row r="1005" s="18" customFormat="1" ht="29" spans="1:29">
      <c r="A1005" s="18" t="s">
        <v>2480</v>
      </c>
      <c r="B1005" s="25" t="s">
        <v>2480</v>
      </c>
      <c r="C1005" s="26">
        <v>45693</v>
      </c>
      <c r="D1005" s="18" t="s">
        <v>590</v>
      </c>
      <c r="E1005" s="18" t="str">
        <f t="shared" si="15"/>
        <v>Rak Lead Events</v>
      </c>
      <c r="F1005" s="27" t="s">
        <v>591</v>
      </c>
      <c r="G1005" s="18" t="s">
        <v>182</v>
      </c>
      <c r="H1005" s="18" t="s">
        <v>183</v>
      </c>
      <c r="I1005" s="18" t="s">
        <v>184</v>
      </c>
      <c r="J1005" s="18" t="s">
        <v>499</v>
      </c>
      <c r="K1005" s="18" t="s">
        <v>56</v>
      </c>
      <c r="L1005" s="18" t="s">
        <v>36</v>
      </c>
      <c r="N1005" s="18">
        <v>6</v>
      </c>
      <c r="O1005" s="18" t="s">
        <v>88</v>
      </c>
      <c r="P1005" s="18" t="s">
        <v>38</v>
      </c>
      <c r="Q1005" s="18" t="s">
        <v>117</v>
      </c>
      <c r="R1005" s="18" t="s">
        <v>59</v>
      </c>
      <c r="S1005" s="18" t="s">
        <v>186</v>
      </c>
      <c r="T1005" s="18" t="b">
        <v>0</v>
      </c>
      <c r="U1005" s="18" t="s">
        <v>187</v>
      </c>
      <c r="V1005" s="18" t="s">
        <v>40</v>
      </c>
      <c r="W1005" s="18" t="s">
        <v>317</v>
      </c>
      <c r="X1005" s="18" t="s">
        <v>318</v>
      </c>
      <c r="Y1005" s="18">
        <v>1</v>
      </c>
      <c r="Z1005" s="18">
        <v>6200</v>
      </c>
      <c r="AA1005" s="31" t="s">
        <v>810</v>
      </c>
      <c r="AB1005" s="18" t="s">
        <v>811</v>
      </c>
      <c r="AC1005" s="18" t="s">
        <v>216</v>
      </c>
    </row>
    <row r="1006" s="18" customFormat="1" spans="1:29">
      <c r="A1006" s="18" t="s">
        <v>2481</v>
      </c>
      <c r="B1006" s="25" t="s">
        <v>2481</v>
      </c>
      <c r="C1006" s="26">
        <v>45693</v>
      </c>
      <c r="D1006" s="18" t="s">
        <v>785</v>
      </c>
      <c r="E1006" s="18" t="str">
        <f t="shared" si="15"/>
        <v>Ushta Te Consultancy Services LLP</v>
      </c>
      <c r="F1006" s="27" t="s">
        <v>786</v>
      </c>
      <c r="G1006" s="18" t="s">
        <v>182</v>
      </c>
      <c r="H1006" s="18" t="s">
        <v>183</v>
      </c>
      <c r="I1006" s="18" t="s">
        <v>184</v>
      </c>
      <c r="J1006" s="18" t="s">
        <v>1491</v>
      </c>
      <c r="K1006" s="18" t="s">
        <v>56</v>
      </c>
      <c r="L1006" s="18" t="s">
        <v>36</v>
      </c>
      <c r="N1006" s="18">
        <v>6</v>
      </c>
      <c r="O1006" s="18" t="s">
        <v>88</v>
      </c>
      <c r="P1006" s="18" t="s">
        <v>38</v>
      </c>
      <c r="Q1006" s="18" t="s">
        <v>194</v>
      </c>
      <c r="R1006" s="18" t="s">
        <v>59</v>
      </c>
      <c r="S1006" s="18" t="s">
        <v>195</v>
      </c>
      <c r="T1006" s="18" t="b">
        <v>0</v>
      </c>
      <c r="U1006" s="18" t="s">
        <v>187</v>
      </c>
      <c r="V1006" s="18" t="s">
        <v>40</v>
      </c>
      <c r="W1006" s="18" t="s">
        <v>787</v>
      </c>
      <c r="X1006" s="18" t="s">
        <v>788</v>
      </c>
      <c r="Y1006" s="18">
        <v>1</v>
      </c>
      <c r="Z1006" s="18">
        <v>238568</v>
      </c>
      <c r="AA1006" s="18" t="s">
        <v>789</v>
      </c>
      <c r="AB1006" s="18" t="s">
        <v>790</v>
      </c>
      <c r="AC1006" s="18" t="s">
        <v>200</v>
      </c>
    </row>
    <row r="1007" s="18" customFormat="1" ht="29" spans="1:29">
      <c r="A1007" s="18" t="s">
        <v>2482</v>
      </c>
      <c r="B1007" s="25" t="s">
        <v>2482</v>
      </c>
      <c r="C1007" s="26">
        <v>45694</v>
      </c>
      <c r="D1007" s="31" t="s">
        <v>1327</v>
      </c>
      <c r="E1007" s="18" t="str">
        <f t="shared" si="15"/>
        <v>Thirtha Patil  </v>
      </c>
      <c r="F1007" s="27" t="e">
        <v>#N/A</v>
      </c>
      <c r="G1007" s="18" t="s">
        <v>32</v>
      </c>
      <c r="H1007" s="18" t="s">
        <v>33</v>
      </c>
      <c r="I1007" s="18" t="s">
        <v>133</v>
      </c>
      <c r="J1007" s="18" t="s">
        <v>1512</v>
      </c>
      <c r="K1007" s="18" t="s">
        <v>56</v>
      </c>
      <c r="L1007" s="18" t="s">
        <v>36</v>
      </c>
      <c r="N1007" s="18">
        <v>6</v>
      </c>
      <c r="O1007" s="18" t="s">
        <v>93</v>
      </c>
      <c r="P1007" s="18" t="s">
        <v>38</v>
      </c>
      <c r="Q1007" s="18" t="s">
        <v>117</v>
      </c>
      <c r="R1007" s="18" t="s">
        <v>59</v>
      </c>
      <c r="S1007" s="18" t="s">
        <v>118</v>
      </c>
      <c r="T1007" s="18" t="b">
        <v>1</v>
      </c>
      <c r="U1007" s="18" t="s">
        <v>39</v>
      </c>
      <c r="V1007" s="18" t="s">
        <v>40</v>
      </c>
      <c r="W1007" s="18" t="s">
        <v>61</v>
      </c>
      <c r="X1007" s="18" t="s">
        <v>62</v>
      </c>
      <c r="Y1007" s="18">
        <v>1</v>
      </c>
      <c r="Z1007" s="18">
        <v>22085</v>
      </c>
      <c r="AA1007" s="18" t="s">
        <v>128</v>
      </c>
      <c r="AB1007" s="18" t="s">
        <v>129</v>
      </c>
      <c r="AC1007" s="18" t="e">
        <v>#N/A</v>
      </c>
    </row>
    <row r="1008" s="18" customFormat="1" ht="29" spans="1:29">
      <c r="A1008" s="18" t="s">
        <v>2483</v>
      </c>
      <c r="B1008" s="25" t="s">
        <v>2483</v>
      </c>
      <c r="C1008" s="26">
        <v>45694</v>
      </c>
      <c r="D1008" s="31" t="s">
        <v>1327</v>
      </c>
      <c r="E1008" s="18" t="str">
        <f t="shared" si="15"/>
        <v>Thirtha Patil  </v>
      </c>
      <c r="F1008" s="27" t="e">
        <v>#N/A</v>
      </c>
      <c r="G1008" s="18" t="s">
        <v>32</v>
      </c>
      <c r="H1008" s="18" t="s">
        <v>33</v>
      </c>
      <c r="I1008" s="18" t="s">
        <v>1246</v>
      </c>
      <c r="J1008" s="18" t="s">
        <v>1884</v>
      </c>
      <c r="K1008" s="18" t="s">
        <v>56</v>
      </c>
      <c r="L1008" s="18" t="s">
        <v>36</v>
      </c>
      <c r="N1008" s="18">
        <v>6</v>
      </c>
      <c r="O1008" s="18" t="s">
        <v>93</v>
      </c>
      <c r="P1008" s="18" t="s">
        <v>38</v>
      </c>
      <c r="Q1008" s="18" t="s">
        <v>117</v>
      </c>
      <c r="R1008" s="18" t="s">
        <v>59</v>
      </c>
      <c r="S1008" s="18" t="s">
        <v>118</v>
      </c>
      <c r="T1008" s="18" t="b">
        <v>1</v>
      </c>
      <c r="U1008" s="18" t="s">
        <v>39</v>
      </c>
      <c r="V1008" s="18" t="s">
        <v>40</v>
      </c>
      <c r="W1008" s="18" t="s">
        <v>119</v>
      </c>
      <c r="X1008" s="18" t="s">
        <v>120</v>
      </c>
      <c r="Y1008" s="18">
        <v>1</v>
      </c>
      <c r="Z1008" s="18">
        <v>11000</v>
      </c>
      <c r="AA1008" s="18" t="s">
        <v>128</v>
      </c>
      <c r="AB1008" s="18" t="s">
        <v>129</v>
      </c>
      <c r="AC1008" s="18" t="e">
        <v>#N/A</v>
      </c>
    </row>
    <row r="1009" s="18" customFormat="1" ht="29" spans="1:29">
      <c r="A1009" s="18" t="s">
        <v>2484</v>
      </c>
      <c r="B1009" s="25" t="s">
        <v>2484</v>
      </c>
      <c r="C1009" s="26">
        <v>45694</v>
      </c>
      <c r="D1009" s="31" t="s">
        <v>1327</v>
      </c>
      <c r="E1009" s="18" t="str">
        <f t="shared" si="15"/>
        <v>Thirtha Patil  </v>
      </c>
      <c r="F1009" s="27" t="e">
        <v>#N/A</v>
      </c>
      <c r="G1009" s="18" t="s">
        <v>32</v>
      </c>
      <c r="H1009" s="18" t="s">
        <v>33</v>
      </c>
      <c r="I1009" s="18" t="s">
        <v>1246</v>
      </c>
      <c r="J1009" s="18" t="s">
        <v>1116</v>
      </c>
      <c r="K1009" s="18" t="s">
        <v>56</v>
      </c>
      <c r="L1009" s="18" t="s">
        <v>36</v>
      </c>
      <c r="N1009" s="18">
        <v>6</v>
      </c>
      <c r="O1009" s="18" t="s">
        <v>93</v>
      </c>
      <c r="P1009" s="18" t="s">
        <v>38</v>
      </c>
      <c r="Q1009" s="18" t="s">
        <v>117</v>
      </c>
      <c r="R1009" s="18" t="s">
        <v>59</v>
      </c>
      <c r="S1009" s="18" t="s">
        <v>118</v>
      </c>
      <c r="T1009" s="18" t="b">
        <v>1</v>
      </c>
      <c r="U1009" s="18" t="s">
        <v>39</v>
      </c>
      <c r="V1009" s="18" t="s">
        <v>40</v>
      </c>
      <c r="W1009" s="18" t="s">
        <v>119</v>
      </c>
      <c r="X1009" s="18" t="s">
        <v>120</v>
      </c>
      <c r="Y1009" s="18">
        <v>1</v>
      </c>
      <c r="Z1009" s="18">
        <v>10250</v>
      </c>
      <c r="AA1009" s="18" t="s">
        <v>128</v>
      </c>
      <c r="AB1009" s="18" t="s">
        <v>129</v>
      </c>
      <c r="AC1009" s="18" t="e">
        <v>#N/A</v>
      </c>
    </row>
    <row r="1010" s="18" customFormat="1" spans="1:29">
      <c r="A1010" s="18" t="s">
        <v>2485</v>
      </c>
      <c r="B1010" s="25" t="s">
        <v>2485</v>
      </c>
      <c r="C1010" s="26">
        <v>45694</v>
      </c>
      <c r="D1010" s="18" t="s">
        <v>1133</v>
      </c>
      <c r="E1010" s="18" t="str">
        <f t="shared" si="15"/>
        <v>Anurama V  </v>
      </c>
      <c r="F1010" s="27" t="e">
        <v>#N/A</v>
      </c>
      <c r="G1010" s="18" t="s">
        <v>32</v>
      </c>
      <c r="H1010" s="18" t="s">
        <v>33</v>
      </c>
      <c r="I1010" s="18" t="s">
        <v>34</v>
      </c>
      <c r="K1010" s="18" t="s">
        <v>35</v>
      </c>
      <c r="L1010" s="18" t="s">
        <v>36</v>
      </c>
      <c r="N1010" s="18">
        <v>6</v>
      </c>
      <c r="O1010" s="18" t="s">
        <v>93</v>
      </c>
      <c r="P1010" s="18" t="s">
        <v>38</v>
      </c>
      <c r="T1010" s="18" t="b">
        <v>1</v>
      </c>
      <c r="U1010" s="18" t="s">
        <v>39</v>
      </c>
      <c r="V1010" s="18" t="s">
        <v>40</v>
      </c>
      <c r="W1010" s="18" t="s">
        <v>134</v>
      </c>
      <c r="X1010" s="18" t="s">
        <v>135</v>
      </c>
      <c r="Y1010" s="18">
        <v>1</v>
      </c>
      <c r="Z1010" s="18">
        <v>1233.6</v>
      </c>
      <c r="AA1010" s="18" t="s">
        <v>334</v>
      </c>
      <c r="AB1010" s="18" t="s">
        <v>335</v>
      </c>
      <c r="AC1010" s="18" t="e">
        <v>#N/A</v>
      </c>
    </row>
    <row r="1011" s="18" customFormat="1" spans="1:29">
      <c r="A1011" s="18" t="s">
        <v>2486</v>
      </c>
      <c r="B1011" s="25" t="s">
        <v>2486</v>
      </c>
      <c r="C1011" s="26">
        <v>45694</v>
      </c>
      <c r="D1011" s="18" t="s">
        <v>2487</v>
      </c>
      <c r="E1011" s="18" t="str">
        <f t="shared" si="15"/>
        <v>Srinivasa Dasari  </v>
      </c>
      <c r="F1011" s="27" t="e">
        <v>#N/A</v>
      </c>
      <c r="G1011" s="18" t="s">
        <v>32</v>
      </c>
      <c r="H1011" s="18" t="s">
        <v>33</v>
      </c>
      <c r="I1011" s="18" t="s">
        <v>1246</v>
      </c>
      <c r="J1011" s="18" t="s">
        <v>499</v>
      </c>
      <c r="K1011" s="18" t="s">
        <v>56</v>
      </c>
      <c r="L1011" s="18" t="s">
        <v>36</v>
      </c>
      <c r="N1011" s="18">
        <v>6</v>
      </c>
      <c r="O1011" s="18" t="s">
        <v>93</v>
      </c>
      <c r="P1011" s="18" t="s">
        <v>38</v>
      </c>
      <c r="Q1011" s="18" t="s">
        <v>117</v>
      </c>
      <c r="R1011" s="18" t="s">
        <v>59</v>
      </c>
      <c r="S1011" s="18" t="s">
        <v>186</v>
      </c>
      <c r="T1011" s="18" t="b">
        <v>1</v>
      </c>
      <c r="U1011" s="18" t="s">
        <v>39</v>
      </c>
      <c r="V1011" s="18" t="s">
        <v>40</v>
      </c>
      <c r="W1011" s="18" t="s">
        <v>119</v>
      </c>
      <c r="X1011" s="18" t="s">
        <v>120</v>
      </c>
      <c r="Y1011" s="18">
        <v>1</v>
      </c>
      <c r="Z1011" s="18">
        <v>3600</v>
      </c>
      <c r="AA1011" s="18" t="s">
        <v>128</v>
      </c>
      <c r="AB1011" s="18" t="s">
        <v>129</v>
      </c>
      <c r="AC1011" s="18" t="e">
        <v>#N/A</v>
      </c>
    </row>
    <row r="1012" s="18" customFormat="1" spans="1:29">
      <c r="A1012" s="18" t="s">
        <v>2488</v>
      </c>
      <c r="B1012" s="25" t="s">
        <v>2488</v>
      </c>
      <c r="C1012" s="26">
        <v>45694</v>
      </c>
      <c r="D1012" s="18" t="s">
        <v>1139</v>
      </c>
      <c r="E1012" s="18" t="str">
        <f t="shared" si="15"/>
        <v>Farhan Shariff  </v>
      </c>
      <c r="F1012" s="27" t="e">
        <v>#N/A</v>
      </c>
      <c r="G1012" s="18" t="s">
        <v>32</v>
      </c>
      <c r="H1012" s="18" t="s">
        <v>33</v>
      </c>
      <c r="I1012" s="18" t="s">
        <v>1246</v>
      </c>
      <c r="J1012" s="18" t="s">
        <v>499</v>
      </c>
      <c r="K1012" s="18" t="s">
        <v>56</v>
      </c>
      <c r="L1012" s="18" t="s">
        <v>36</v>
      </c>
      <c r="N1012" s="18">
        <v>6</v>
      </c>
      <c r="O1012" s="18" t="s">
        <v>93</v>
      </c>
      <c r="P1012" s="18" t="s">
        <v>38</v>
      </c>
      <c r="Q1012" s="18" t="s">
        <v>117</v>
      </c>
      <c r="R1012" s="18" t="s">
        <v>59</v>
      </c>
      <c r="S1012" s="18" t="s">
        <v>186</v>
      </c>
      <c r="T1012" s="18" t="b">
        <v>1</v>
      </c>
      <c r="U1012" s="18" t="s">
        <v>39</v>
      </c>
      <c r="V1012" s="18" t="s">
        <v>40</v>
      </c>
      <c r="W1012" s="18" t="s">
        <v>61</v>
      </c>
      <c r="X1012" s="18" t="s">
        <v>62</v>
      </c>
      <c r="Y1012" s="18">
        <v>1</v>
      </c>
      <c r="Z1012" s="18">
        <v>16800</v>
      </c>
      <c r="AA1012" s="18" t="s">
        <v>2489</v>
      </c>
      <c r="AB1012" s="18" t="s">
        <v>502</v>
      </c>
      <c r="AC1012" s="18" t="e">
        <v>#N/A</v>
      </c>
    </row>
    <row r="1013" s="18" customFormat="1" spans="1:29">
      <c r="A1013" s="18" t="s">
        <v>2490</v>
      </c>
      <c r="B1013" s="25" t="s">
        <v>2490</v>
      </c>
      <c r="C1013" s="26">
        <v>45694</v>
      </c>
      <c r="D1013" s="18" t="s">
        <v>1306</v>
      </c>
      <c r="E1013" s="18" t="str">
        <f t="shared" si="15"/>
        <v>Tijo Joseph </v>
      </c>
      <c r="F1013" s="27" t="e">
        <v>#N/A</v>
      </c>
      <c r="G1013" s="18" t="s">
        <v>32</v>
      </c>
      <c r="H1013" s="18" t="s">
        <v>33</v>
      </c>
      <c r="I1013" s="18" t="s">
        <v>1246</v>
      </c>
      <c r="K1013" s="18" t="s">
        <v>35</v>
      </c>
      <c r="L1013" s="18" t="s">
        <v>36</v>
      </c>
      <c r="N1013" s="18">
        <v>6</v>
      </c>
      <c r="O1013" s="18" t="s">
        <v>93</v>
      </c>
      <c r="P1013" s="18" t="s">
        <v>38</v>
      </c>
      <c r="T1013" s="18" t="b">
        <v>1</v>
      </c>
      <c r="U1013" s="18" t="s">
        <v>39</v>
      </c>
      <c r="V1013" s="18" t="s">
        <v>40</v>
      </c>
      <c r="W1013" s="18" t="s">
        <v>127</v>
      </c>
      <c r="X1013" s="18" t="s">
        <v>127</v>
      </c>
      <c r="Y1013" s="18">
        <v>1</v>
      </c>
      <c r="Z1013" s="18">
        <v>1636</v>
      </c>
      <c r="AA1013" s="18" t="s">
        <v>1842</v>
      </c>
      <c r="AB1013" s="18" t="s">
        <v>610</v>
      </c>
      <c r="AC1013" s="18" t="e">
        <v>#N/A</v>
      </c>
    </row>
    <row r="1014" s="18" customFormat="1" spans="1:29">
      <c r="A1014" s="18" t="s">
        <v>2491</v>
      </c>
      <c r="B1014" s="25" t="s">
        <v>2491</v>
      </c>
      <c r="C1014" s="26">
        <v>45694</v>
      </c>
      <c r="D1014" s="18" t="s">
        <v>1139</v>
      </c>
      <c r="E1014" s="18" t="str">
        <f t="shared" si="15"/>
        <v>Farhan Shariff  </v>
      </c>
      <c r="F1014" s="27" t="e">
        <v>#N/A</v>
      </c>
      <c r="G1014" s="18" t="s">
        <v>32</v>
      </c>
      <c r="H1014" s="18" t="s">
        <v>33</v>
      </c>
      <c r="I1014" s="18" t="s">
        <v>1246</v>
      </c>
      <c r="J1014" s="18" t="s">
        <v>2492</v>
      </c>
      <c r="K1014" s="18" t="s">
        <v>56</v>
      </c>
      <c r="L1014" s="18" t="s">
        <v>36</v>
      </c>
      <c r="N1014" s="18">
        <v>6</v>
      </c>
      <c r="O1014" s="18" t="s">
        <v>93</v>
      </c>
      <c r="P1014" s="18" t="s">
        <v>38</v>
      </c>
      <c r="Q1014" s="18" t="s">
        <v>117</v>
      </c>
      <c r="R1014" s="18" t="s">
        <v>59</v>
      </c>
      <c r="S1014" s="18" t="s">
        <v>118</v>
      </c>
      <c r="T1014" s="18" t="b">
        <v>1</v>
      </c>
      <c r="U1014" s="18" t="s">
        <v>39</v>
      </c>
      <c r="V1014" s="18" t="s">
        <v>40</v>
      </c>
      <c r="W1014" s="18" t="s">
        <v>233</v>
      </c>
      <c r="X1014" s="18" t="s">
        <v>234</v>
      </c>
      <c r="Y1014" s="18">
        <v>1</v>
      </c>
      <c r="Z1014" s="18">
        <v>12200</v>
      </c>
      <c r="AA1014" s="18" t="s">
        <v>501</v>
      </c>
      <c r="AB1014" s="18" t="s">
        <v>502</v>
      </c>
      <c r="AC1014" s="18" t="e">
        <v>#N/A</v>
      </c>
    </row>
    <row r="1015" s="18" customFormat="1" spans="1:29">
      <c r="A1015" s="18" t="s">
        <v>2493</v>
      </c>
      <c r="B1015" s="25" t="s">
        <v>2493</v>
      </c>
      <c r="C1015" s="26">
        <v>45694</v>
      </c>
      <c r="D1015" s="18" t="s">
        <v>1133</v>
      </c>
      <c r="E1015" s="18" t="str">
        <f t="shared" si="15"/>
        <v>Anurama V  </v>
      </c>
      <c r="F1015" s="27" t="e">
        <v>#N/A</v>
      </c>
      <c r="G1015" s="18" t="s">
        <v>32</v>
      </c>
      <c r="H1015" s="18" t="s">
        <v>33</v>
      </c>
      <c r="I1015" s="18" t="s">
        <v>1246</v>
      </c>
      <c r="J1015" s="18" t="s">
        <v>2492</v>
      </c>
      <c r="K1015" s="18" t="s">
        <v>56</v>
      </c>
      <c r="L1015" s="18" t="s">
        <v>36</v>
      </c>
      <c r="N1015" s="18">
        <v>6</v>
      </c>
      <c r="O1015" s="18" t="s">
        <v>93</v>
      </c>
      <c r="P1015" s="18" t="s">
        <v>38</v>
      </c>
      <c r="Q1015" s="18" t="s">
        <v>117</v>
      </c>
      <c r="R1015" s="18" t="s">
        <v>59</v>
      </c>
      <c r="S1015" s="18" t="s">
        <v>118</v>
      </c>
      <c r="T1015" s="18" t="b">
        <v>1</v>
      </c>
      <c r="U1015" s="18" t="s">
        <v>39</v>
      </c>
      <c r="V1015" s="18" t="s">
        <v>40</v>
      </c>
      <c r="W1015" s="18" t="s">
        <v>1055</v>
      </c>
      <c r="X1015" s="18" t="s">
        <v>1056</v>
      </c>
      <c r="Y1015" s="18">
        <v>1</v>
      </c>
      <c r="Z1015" s="18">
        <v>7500</v>
      </c>
      <c r="AA1015" s="18" t="s">
        <v>128</v>
      </c>
      <c r="AB1015" s="18" t="s">
        <v>129</v>
      </c>
      <c r="AC1015" s="18" t="e">
        <v>#N/A</v>
      </c>
    </row>
    <row r="1016" s="18" customFormat="1" spans="1:29">
      <c r="A1016" s="18" t="s">
        <v>2494</v>
      </c>
      <c r="B1016" s="25" t="s">
        <v>2494</v>
      </c>
      <c r="C1016" s="26">
        <v>45694</v>
      </c>
      <c r="D1016" s="18" t="s">
        <v>2495</v>
      </c>
      <c r="E1016" s="18" t="str">
        <f t="shared" si="15"/>
        <v>Tamilnadu Trade Promotion Organisation</v>
      </c>
      <c r="F1016" s="27" t="s">
        <v>2496</v>
      </c>
      <c r="G1016" s="18" t="s">
        <v>99</v>
      </c>
      <c r="H1016" s="18" t="s">
        <v>100</v>
      </c>
      <c r="I1016" s="18" t="s">
        <v>207</v>
      </c>
      <c r="J1016" s="18" t="s">
        <v>2497</v>
      </c>
      <c r="K1016" s="18" t="s">
        <v>56</v>
      </c>
      <c r="L1016" s="18" t="s">
        <v>36</v>
      </c>
      <c r="N1016" s="18">
        <v>6</v>
      </c>
      <c r="O1016" s="18" t="s">
        <v>57</v>
      </c>
      <c r="P1016" s="18" t="s">
        <v>38</v>
      </c>
      <c r="Q1016" s="18" t="s">
        <v>58</v>
      </c>
      <c r="R1016" s="18" t="s">
        <v>59</v>
      </c>
      <c r="S1016" s="18" t="s">
        <v>60</v>
      </c>
      <c r="T1016" s="18" t="b">
        <v>1</v>
      </c>
      <c r="U1016" s="18" t="s">
        <v>101</v>
      </c>
      <c r="V1016" s="18" t="s">
        <v>40</v>
      </c>
      <c r="W1016" s="18" t="s">
        <v>1239</v>
      </c>
      <c r="X1016" s="18" t="s">
        <v>1240</v>
      </c>
      <c r="Y1016" s="18">
        <v>1</v>
      </c>
      <c r="Z1016" s="18">
        <v>1578130</v>
      </c>
      <c r="AA1016" s="18" t="s">
        <v>2498</v>
      </c>
      <c r="AB1016" s="18" t="s">
        <v>2499</v>
      </c>
      <c r="AC1016" s="18" t="s">
        <v>111</v>
      </c>
    </row>
    <row r="1017" s="18" customFormat="1" spans="1:29">
      <c r="A1017" s="18" t="s">
        <v>2500</v>
      </c>
      <c r="B1017" s="25" t="s">
        <v>2500</v>
      </c>
      <c r="C1017" s="26">
        <v>45694</v>
      </c>
      <c r="D1017" s="18" t="s">
        <v>2501</v>
      </c>
      <c r="E1017" s="18" t="str">
        <f t="shared" si="15"/>
        <v>Showmedia Solution Private Limited</v>
      </c>
      <c r="F1017" s="27" t="e">
        <v>#N/A</v>
      </c>
      <c r="G1017" s="18" t="s">
        <v>99</v>
      </c>
      <c r="H1017" s="18" t="s">
        <v>100</v>
      </c>
      <c r="I1017" s="18" t="s">
        <v>1246</v>
      </c>
      <c r="J1017" s="18" t="s">
        <v>1581</v>
      </c>
      <c r="K1017" s="18" t="s">
        <v>56</v>
      </c>
      <c r="L1017" s="18" t="s">
        <v>36</v>
      </c>
      <c r="N1017" s="18">
        <v>6</v>
      </c>
      <c r="O1017" s="18" t="s">
        <v>57</v>
      </c>
      <c r="P1017" s="18" t="s">
        <v>38</v>
      </c>
      <c r="Q1017" s="18" t="s">
        <v>117</v>
      </c>
      <c r="R1017" s="18" t="s">
        <v>59</v>
      </c>
      <c r="S1017" s="18" t="s">
        <v>118</v>
      </c>
      <c r="T1017" s="18" t="b">
        <v>1</v>
      </c>
      <c r="U1017" s="18" t="s">
        <v>101</v>
      </c>
      <c r="V1017" s="18" t="s">
        <v>40</v>
      </c>
      <c r="W1017" s="18" t="s">
        <v>317</v>
      </c>
      <c r="X1017" s="18" t="s">
        <v>318</v>
      </c>
      <c r="Y1017" s="18">
        <v>1</v>
      </c>
      <c r="Z1017" s="18">
        <v>55000</v>
      </c>
      <c r="AA1017" s="18" t="s">
        <v>2454</v>
      </c>
      <c r="AB1017" s="18" t="s">
        <v>1331</v>
      </c>
      <c r="AC1017" s="18" t="s">
        <v>111</v>
      </c>
    </row>
    <row r="1018" s="18" customFormat="1" spans="1:29">
      <c r="A1018" s="18" t="s">
        <v>2502</v>
      </c>
      <c r="B1018" s="25" t="s">
        <v>2502</v>
      </c>
      <c r="C1018" s="26">
        <v>45694</v>
      </c>
      <c r="D1018" s="18" t="s">
        <v>238</v>
      </c>
      <c r="E1018" s="18" t="str">
        <f t="shared" si="15"/>
        <v>Studio Merchandise Pvt Ltd</v>
      </c>
      <c r="F1018" s="27" t="s">
        <v>239</v>
      </c>
      <c r="G1018" s="18" t="s">
        <v>147</v>
      </c>
      <c r="H1018" s="18" t="s">
        <v>148</v>
      </c>
      <c r="I1018" s="18" t="s">
        <v>207</v>
      </c>
      <c r="J1018" s="18" t="s">
        <v>1238</v>
      </c>
      <c r="K1018" s="18" t="s">
        <v>56</v>
      </c>
      <c r="L1018" s="18" t="s">
        <v>36</v>
      </c>
      <c r="N1018" s="18">
        <v>6</v>
      </c>
      <c r="O1018" s="18" t="s">
        <v>88</v>
      </c>
      <c r="P1018" s="18" t="s">
        <v>38</v>
      </c>
      <c r="Q1018" s="18" t="s">
        <v>58</v>
      </c>
      <c r="R1018" s="18" t="s">
        <v>59</v>
      </c>
      <c r="S1018" s="18" t="s">
        <v>60</v>
      </c>
      <c r="T1018" s="18" t="b">
        <v>1</v>
      </c>
      <c r="U1018" s="18" t="s">
        <v>150</v>
      </c>
      <c r="V1018" s="18" t="s">
        <v>40</v>
      </c>
      <c r="W1018" s="18" t="s">
        <v>140</v>
      </c>
      <c r="X1018" s="18" t="s">
        <v>141</v>
      </c>
      <c r="Y1018" s="18">
        <v>1</v>
      </c>
      <c r="Z1018" s="18">
        <v>102300</v>
      </c>
      <c r="AA1018" s="18" t="s">
        <v>2503</v>
      </c>
      <c r="AB1018" s="18" t="s">
        <v>242</v>
      </c>
      <c r="AC1018" s="18" t="s">
        <v>163</v>
      </c>
    </row>
    <row r="1019" s="18" customFormat="1" spans="1:29">
      <c r="A1019" s="18" t="s">
        <v>2504</v>
      </c>
      <c r="B1019" s="25" t="s">
        <v>2504</v>
      </c>
      <c r="C1019" s="26">
        <v>45694</v>
      </c>
      <c r="D1019" s="18" t="s">
        <v>238</v>
      </c>
      <c r="E1019" s="18" t="str">
        <f t="shared" si="15"/>
        <v>Studio Merchandise Pvt Ltd</v>
      </c>
      <c r="F1019" s="27" t="s">
        <v>239</v>
      </c>
      <c r="G1019" s="18" t="s">
        <v>147</v>
      </c>
      <c r="H1019" s="18" t="s">
        <v>148</v>
      </c>
      <c r="I1019" s="18" t="s">
        <v>207</v>
      </c>
      <c r="J1019" s="18" t="s">
        <v>1370</v>
      </c>
      <c r="K1019" s="18" t="s">
        <v>56</v>
      </c>
      <c r="L1019" s="18" t="s">
        <v>36</v>
      </c>
      <c r="N1019" s="18">
        <v>6</v>
      </c>
      <c r="O1019" s="18" t="s">
        <v>88</v>
      </c>
      <c r="P1019" s="18" t="s">
        <v>38</v>
      </c>
      <c r="Q1019" s="18" t="s">
        <v>58</v>
      </c>
      <c r="R1019" s="18" t="s">
        <v>59</v>
      </c>
      <c r="S1019" s="18" t="s">
        <v>60</v>
      </c>
      <c r="T1019" s="18" t="b">
        <v>1</v>
      </c>
      <c r="U1019" s="18" t="s">
        <v>150</v>
      </c>
      <c r="V1019" s="18" t="s">
        <v>40</v>
      </c>
      <c r="W1019" s="18" t="s">
        <v>140</v>
      </c>
      <c r="X1019" s="18" t="s">
        <v>141</v>
      </c>
      <c r="Y1019" s="18">
        <v>1</v>
      </c>
      <c r="Z1019" s="18">
        <v>1296000</v>
      </c>
      <c r="AA1019" s="18" t="s">
        <v>2503</v>
      </c>
      <c r="AB1019" s="18" t="s">
        <v>242</v>
      </c>
      <c r="AC1019" s="18" t="s">
        <v>163</v>
      </c>
    </row>
    <row r="1020" s="18" customFormat="1" spans="1:29">
      <c r="A1020" s="18" t="s">
        <v>2505</v>
      </c>
      <c r="B1020" s="25" t="s">
        <v>2505</v>
      </c>
      <c r="C1020" s="26">
        <v>45694</v>
      </c>
      <c r="D1020" s="18" t="s">
        <v>702</v>
      </c>
      <c r="E1020" s="18" t="str">
        <f t="shared" si="15"/>
        <v>Shree Ram Computers</v>
      </c>
      <c r="F1020" s="27" t="s">
        <v>703</v>
      </c>
      <c r="G1020" s="18" t="s">
        <v>147</v>
      </c>
      <c r="H1020" s="18" t="s">
        <v>148</v>
      </c>
      <c r="I1020" s="18" t="s">
        <v>207</v>
      </c>
      <c r="J1020" s="18" t="s">
        <v>139</v>
      </c>
      <c r="K1020" s="18" t="s">
        <v>56</v>
      </c>
      <c r="L1020" s="18" t="s">
        <v>36</v>
      </c>
      <c r="N1020" s="18">
        <v>6</v>
      </c>
      <c r="O1020" s="18" t="s">
        <v>57</v>
      </c>
      <c r="P1020" s="18" t="s">
        <v>38</v>
      </c>
      <c r="Q1020" s="18" t="s">
        <v>58</v>
      </c>
      <c r="R1020" s="18" t="s">
        <v>59</v>
      </c>
      <c r="S1020" s="18" t="s">
        <v>60</v>
      </c>
      <c r="T1020" s="18" t="b">
        <v>1</v>
      </c>
      <c r="U1020" s="18" t="s">
        <v>150</v>
      </c>
      <c r="V1020" s="18" t="s">
        <v>40</v>
      </c>
      <c r="W1020" s="18" t="s">
        <v>704</v>
      </c>
      <c r="X1020" s="18" t="s">
        <v>704</v>
      </c>
      <c r="Y1020" s="18">
        <v>1</v>
      </c>
      <c r="Z1020" s="18">
        <v>27966</v>
      </c>
      <c r="AA1020" s="18" t="s">
        <v>516</v>
      </c>
      <c r="AB1020" s="18" t="s">
        <v>173</v>
      </c>
      <c r="AC1020" s="18" t="s">
        <v>163</v>
      </c>
    </row>
    <row r="1021" s="18" customFormat="1" spans="1:29">
      <c r="A1021" s="18" t="s">
        <v>2506</v>
      </c>
      <c r="B1021" s="25" t="s">
        <v>2506</v>
      </c>
      <c r="C1021" s="26">
        <v>45694</v>
      </c>
      <c r="D1021" s="18" t="s">
        <v>702</v>
      </c>
      <c r="E1021" s="18" t="str">
        <f t="shared" si="15"/>
        <v>Shree Ram Computers</v>
      </c>
      <c r="F1021" s="27" t="s">
        <v>703</v>
      </c>
      <c r="G1021" s="18" t="s">
        <v>147</v>
      </c>
      <c r="H1021" s="18" t="s">
        <v>148</v>
      </c>
      <c r="I1021" s="18" t="s">
        <v>207</v>
      </c>
      <c r="J1021" s="18" t="s">
        <v>139</v>
      </c>
      <c r="K1021" s="18" t="s">
        <v>56</v>
      </c>
      <c r="L1021" s="18" t="s">
        <v>36</v>
      </c>
      <c r="N1021" s="18">
        <v>6</v>
      </c>
      <c r="O1021" s="18" t="s">
        <v>57</v>
      </c>
      <c r="P1021" s="18" t="s">
        <v>38</v>
      </c>
      <c r="Q1021" s="18" t="s">
        <v>58</v>
      </c>
      <c r="R1021" s="18" t="s">
        <v>59</v>
      </c>
      <c r="S1021" s="18" t="s">
        <v>60</v>
      </c>
      <c r="T1021" s="18" t="b">
        <v>1</v>
      </c>
      <c r="U1021" s="18" t="s">
        <v>150</v>
      </c>
      <c r="V1021" s="18" t="s">
        <v>40</v>
      </c>
      <c r="W1021" s="18" t="s">
        <v>704</v>
      </c>
      <c r="X1021" s="18" t="s">
        <v>704</v>
      </c>
      <c r="Y1021" s="18">
        <v>1</v>
      </c>
      <c r="Z1021" s="18">
        <v>2033.89</v>
      </c>
      <c r="AA1021" s="18" t="s">
        <v>516</v>
      </c>
      <c r="AB1021" s="18" t="s">
        <v>173</v>
      </c>
      <c r="AC1021" s="18" t="s">
        <v>163</v>
      </c>
    </row>
    <row r="1022" s="18" customFormat="1" spans="1:29">
      <c r="A1022" s="18" t="s">
        <v>2507</v>
      </c>
      <c r="B1022" s="25" t="s">
        <v>2507</v>
      </c>
      <c r="C1022" s="26">
        <v>45694</v>
      </c>
      <c r="D1022" s="18" t="s">
        <v>702</v>
      </c>
      <c r="E1022" s="18" t="str">
        <f t="shared" si="15"/>
        <v>Shree Ram Computers</v>
      </c>
      <c r="F1022" s="27" t="s">
        <v>703</v>
      </c>
      <c r="G1022" s="18" t="s">
        <v>147</v>
      </c>
      <c r="H1022" s="18" t="s">
        <v>148</v>
      </c>
      <c r="I1022" s="18" t="s">
        <v>207</v>
      </c>
      <c r="J1022" s="18" t="s">
        <v>466</v>
      </c>
      <c r="K1022" s="18" t="s">
        <v>56</v>
      </c>
      <c r="L1022" s="18" t="s">
        <v>36</v>
      </c>
      <c r="N1022" s="18">
        <v>6</v>
      </c>
      <c r="O1022" s="18" t="s">
        <v>57</v>
      </c>
      <c r="P1022" s="18" t="s">
        <v>38</v>
      </c>
      <c r="Q1022" s="18" t="s">
        <v>58</v>
      </c>
      <c r="R1022" s="18" t="s">
        <v>59</v>
      </c>
      <c r="S1022" s="18" t="s">
        <v>60</v>
      </c>
      <c r="T1022" s="18" t="b">
        <v>1</v>
      </c>
      <c r="U1022" s="18" t="s">
        <v>150</v>
      </c>
      <c r="V1022" s="18" t="s">
        <v>40</v>
      </c>
      <c r="W1022" s="18" t="s">
        <v>704</v>
      </c>
      <c r="X1022" s="18" t="s">
        <v>704</v>
      </c>
      <c r="Y1022" s="18">
        <v>1</v>
      </c>
      <c r="Z1022" s="18">
        <v>6610</v>
      </c>
      <c r="AA1022" s="18" t="s">
        <v>516</v>
      </c>
      <c r="AB1022" s="18" t="s">
        <v>173</v>
      </c>
      <c r="AC1022" s="18" t="s">
        <v>163</v>
      </c>
    </row>
    <row r="1023" s="18" customFormat="1" spans="1:29">
      <c r="A1023" s="18" t="s">
        <v>2508</v>
      </c>
      <c r="B1023" s="25" t="s">
        <v>2508</v>
      </c>
      <c r="C1023" s="26">
        <v>45694</v>
      </c>
      <c r="D1023" s="18" t="s">
        <v>702</v>
      </c>
      <c r="E1023" s="18" t="str">
        <f t="shared" si="15"/>
        <v>Shree Ram Computers</v>
      </c>
      <c r="F1023" s="27" t="s">
        <v>703</v>
      </c>
      <c r="G1023" s="18" t="s">
        <v>147</v>
      </c>
      <c r="H1023" s="18" t="s">
        <v>148</v>
      </c>
      <c r="I1023" s="18" t="s">
        <v>207</v>
      </c>
      <c r="J1023" s="18" t="s">
        <v>1609</v>
      </c>
      <c r="K1023" s="18" t="s">
        <v>56</v>
      </c>
      <c r="L1023" s="18" t="s">
        <v>36</v>
      </c>
      <c r="N1023" s="18">
        <v>6</v>
      </c>
      <c r="O1023" s="18" t="s">
        <v>57</v>
      </c>
      <c r="P1023" s="18" t="s">
        <v>38</v>
      </c>
      <c r="Q1023" s="18" t="s">
        <v>58</v>
      </c>
      <c r="R1023" s="18" t="s">
        <v>59</v>
      </c>
      <c r="S1023" s="18" t="s">
        <v>60</v>
      </c>
      <c r="T1023" s="18" t="b">
        <v>1</v>
      </c>
      <c r="U1023" s="18" t="s">
        <v>150</v>
      </c>
      <c r="V1023" s="18" t="s">
        <v>40</v>
      </c>
      <c r="W1023" s="18" t="s">
        <v>704</v>
      </c>
      <c r="X1023" s="18" t="s">
        <v>704</v>
      </c>
      <c r="Y1023" s="18">
        <v>1</v>
      </c>
      <c r="Z1023" s="18">
        <v>5593</v>
      </c>
      <c r="AA1023" s="18" t="s">
        <v>516</v>
      </c>
      <c r="AB1023" s="18" t="s">
        <v>173</v>
      </c>
      <c r="AC1023" s="18" t="s">
        <v>163</v>
      </c>
    </row>
    <row r="1024" s="18" customFormat="1" spans="1:29">
      <c r="A1024" s="18" t="s">
        <v>2509</v>
      </c>
      <c r="B1024" s="25" t="s">
        <v>2509</v>
      </c>
      <c r="C1024" s="26">
        <v>45694</v>
      </c>
      <c r="D1024" s="18" t="s">
        <v>2510</v>
      </c>
      <c r="E1024" s="18" t="str">
        <f t="shared" si="15"/>
        <v>Pavleen Chandhok</v>
      </c>
      <c r="F1024" s="27" t="s">
        <v>2511</v>
      </c>
      <c r="G1024" s="18" t="s">
        <v>147</v>
      </c>
      <c r="H1024" s="18" t="s">
        <v>148</v>
      </c>
      <c r="I1024" s="18" t="s">
        <v>159</v>
      </c>
      <c r="J1024" s="18" t="s">
        <v>1426</v>
      </c>
      <c r="K1024" s="18" t="s">
        <v>56</v>
      </c>
      <c r="L1024" s="18" t="s">
        <v>36</v>
      </c>
      <c r="N1024" s="18">
        <v>6</v>
      </c>
      <c r="O1024" s="18" t="s">
        <v>57</v>
      </c>
      <c r="P1024" s="18" t="s">
        <v>38</v>
      </c>
      <c r="Q1024" s="18" t="s">
        <v>58</v>
      </c>
      <c r="R1024" s="18" t="s">
        <v>59</v>
      </c>
      <c r="S1024" s="18" t="s">
        <v>60</v>
      </c>
      <c r="T1024" s="18" t="b">
        <v>1</v>
      </c>
      <c r="U1024" s="18" t="s">
        <v>150</v>
      </c>
      <c r="V1024" s="18" t="s">
        <v>40</v>
      </c>
      <c r="W1024" s="18" t="s">
        <v>250</v>
      </c>
      <c r="X1024" s="18" t="s">
        <v>251</v>
      </c>
      <c r="Y1024" s="18">
        <v>1</v>
      </c>
      <c r="Z1024" s="18">
        <v>200000</v>
      </c>
      <c r="AA1024" s="18" t="s">
        <v>294</v>
      </c>
      <c r="AB1024" s="18" t="s">
        <v>295</v>
      </c>
      <c r="AC1024" s="18" t="e">
        <v>#N/A</v>
      </c>
    </row>
    <row r="1025" s="18" customFormat="1" spans="1:29">
      <c r="A1025" s="18" t="s">
        <v>2512</v>
      </c>
      <c r="B1025" s="25" t="s">
        <v>2512</v>
      </c>
      <c r="C1025" s="26">
        <v>45694</v>
      </c>
      <c r="D1025" s="18" t="s">
        <v>1267</v>
      </c>
      <c r="E1025" s="18" t="str">
        <f t="shared" si="15"/>
        <v>Black Pearl Production Pvt Ltd</v>
      </c>
      <c r="F1025" s="27" t="s">
        <v>1268</v>
      </c>
      <c r="G1025" s="18" t="s">
        <v>147</v>
      </c>
      <c r="H1025" s="18" t="s">
        <v>148</v>
      </c>
      <c r="I1025" s="18" t="s">
        <v>207</v>
      </c>
      <c r="J1025" s="18" t="s">
        <v>2264</v>
      </c>
      <c r="K1025" s="18" t="s">
        <v>56</v>
      </c>
      <c r="L1025" s="18" t="s">
        <v>36</v>
      </c>
      <c r="N1025" s="18">
        <v>6</v>
      </c>
      <c r="O1025" s="18" t="s">
        <v>88</v>
      </c>
      <c r="P1025" s="18" t="s">
        <v>38</v>
      </c>
      <c r="Q1025" s="18" t="s">
        <v>58</v>
      </c>
      <c r="R1025" s="18" t="s">
        <v>59</v>
      </c>
      <c r="S1025" s="18" t="s">
        <v>60</v>
      </c>
      <c r="T1025" s="18" t="b">
        <v>1</v>
      </c>
      <c r="U1025" s="18" t="s">
        <v>150</v>
      </c>
      <c r="V1025" s="18" t="s">
        <v>40</v>
      </c>
      <c r="W1025" s="18" t="s">
        <v>151</v>
      </c>
      <c r="X1025" s="18" t="s">
        <v>152</v>
      </c>
      <c r="Y1025" s="18">
        <v>1</v>
      </c>
      <c r="Z1025" s="18">
        <v>425000</v>
      </c>
      <c r="AA1025" s="18" t="s">
        <v>542</v>
      </c>
      <c r="AB1025" s="18" t="s">
        <v>397</v>
      </c>
      <c r="AC1025" s="18" t="s">
        <v>163</v>
      </c>
    </row>
    <row r="1026" s="18" customFormat="1" spans="1:29">
      <c r="A1026" s="18" t="s">
        <v>2513</v>
      </c>
      <c r="B1026" s="25" t="s">
        <v>2513</v>
      </c>
      <c r="C1026" s="26">
        <v>45694</v>
      </c>
      <c r="D1026" s="18" t="s">
        <v>702</v>
      </c>
      <c r="E1026" s="18" t="str">
        <f t="shared" si="15"/>
        <v>Shree Ram Computers</v>
      </c>
      <c r="F1026" s="27" t="s">
        <v>703</v>
      </c>
      <c r="G1026" s="18" t="s">
        <v>147</v>
      </c>
      <c r="H1026" s="18" t="s">
        <v>148</v>
      </c>
      <c r="I1026" s="18" t="s">
        <v>207</v>
      </c>
      <c r="J1026" s="18" t="s">
        <v>2514</v>
      </c>
      <c r="K1026" s="18" t="s">
        <v>56</v>
      </c>
      <c r="L1026" s="18" t="s">
        <v>36</v>
      </c>
      <c r="N1026" s="18">
        <v>6</v>
      </c>
      <c r="O1026" s="18" t="s">
        <v>57</v>
      </c>
      <c r="P1026" s="18" t="s">
        <v>38</v>
      </c>
      <c r="Q1026" s="18" t="s">
        <v>58</v>
      </c>
      <c r="R1026" s="18" t="s">
        <v>59</v>
      </c>
      <c r="S1026" s="18" t="s">
        <v>60</v>
      </c>
      <c r="T1026" s="18" t="b">
        <v>1</v>
      </c>
      <c r="U1026" s="18" t="s">
        <v>150</v>
      </c>
      <c r="V1026" s="18" t="s">
        <v>40</v>
      </c>
      <c r="W1026" s="18" t="s">
        <v>704</v>
      </c>
      <c r="X1026" s="18" t="s">
        <v>704</v>
      </c>
      <c r="Y1026" s="18">
        <v>1</v>
      </c>
      <c r="Z1026" s="18">
        <v>7627</v>
      </c>
      <c r="AA1026" s="18" t="s">
        <v>176</v>
      </c>
      <c r="AB1026" s="18" t="s">
        <v>173</v>
      </c>
      <c r="AC1026" s="18" t="s">
        <v>163</v>
      </c>
    </row>
    <row r="1027" s="18" customFormat="1" spans="1:29">
      <c r="A1027" s="18" t="s">
        <v>2515</v>
      </c>
      <c r="B1027" s="25" t="s">
        <v>2515</v>
      </c>
      <c r="C1027" s="26">
        <v>45694</v>
      </c>
      <c r="D1027" s="18" t="s">
        <v>841</v>
      </c>
      <c r="E1027" s="18" t="str">
        <f t="shared" ref="E1027:E1090" si="16">_xlfn.TEXTBEFORE(D1027,"-")</f>
        <v>Vijayant Singh</v>
      </c>
      <c r="F1027" s="27" t="s">
        <v>842</v>
      </c>
      <c r="G1027" s="18" t="s">
        <v>147</v>
      </c>
      <c r="H1027" s="18" t="s">
        <v>148</v>
      </c>
      <c r="I1027" s="18" t="s">
        <v>207</v>
      </c>
      <c r="J1027" s="18" t="s">
        <v>249</v>
      </c>
      <c r="K1027" s="18" t="s">
        <v>56</v>
      </c>
      <c r="L1027" s="18" t="s">
        <v>36</v>
      </c>
      <c r="N1027" s="18">
        <v>6</v>
      </c>
      <c r="O1027" s="18" t="s">
        <v>57</v>
      </c>
      <c r="P1027" s="18" t="s">
        <v>38</v>
      </c>
      <c r="Q1027" s="18" t="s">
        <v>58</v>
      </c>
      <c r="R1027" s="18" t="s">
        <v>59</v>
      </c>
      <c r="S1027" s="18" t="s">
        <v>60</v>
      </c>
      <c r="T1027" s="18" t="b">
        <v>1</v>
      </c>
      <c r="U1027" s="18" t="s">
        <v>150</v>
      </c>
      <c r="V1027" s="18" t="s">
        <v>40</v>
      </c>
      <c r="W1027" s="18" t="s">
        <v>126</v>
      </c>
      <c r="X1027" s="18" t="s">
        <v>127</v>
      </c>
      <c r="Y1027" s="18">
        <v>1</v>
      </c>
      <c r="Z1027" s="18">
        <v>6999</v>
      </c>
      <c r="AA1027" s="18" t="s">
        <v>843</v>
      </c>
      <c r="AB1027" s="18" t="s">
        <v>844</v>
      </c>
      <c r="AC1027" s="18" t="e">
        <v>#N/A</v>
      </c>
    </row>
    <row r="1028" s="18" customFormat="1" spans="1:29">
      <c r="A1028" s="18" t="s">
        <v>2516</v>
      </c>
      <c r="B1028" s="25" t="s">
        <v>2516</v>
      </c>
      <c r="C1028" s="26">
        <v>45694</v>
      </c>
      <c r="D1028" s="18" t="s">
        <v>2517</v>
      </c>
      <c r="E1028" s="18" t="str">
        <f t="shared" si="16"/>
        <v>Amarpreet Singh........... </v>
      </c>
      <c r="F1028" s="27" t="e">
        <v>#N/A</v>
      </c>
      <c r="G1028" s="18" t="s">
        <v>147</v>
      </c>
      <c r="H1028" s="18" t="s">
        <v>148</v>
      </c>
      <c r="I1028" s="18" t="s">
        <v>54</v>
      </c>
      <c r="J1028" s="18" t="s">
        <v>55</v>
      </c>
      <c r="K1028" s="18" t="s">
        <v>56</v>
      </c>
      <c r="L1028" s="18" t="s">
        <v>36</v>
      </c>
      <c r="N1028" s="18">
        <v>6</v>
      </c>
      <c r="O1028" s="18" t="s">
        <v>93</v>
      </c>
      <c r="P1028" s="18" t="s">
        <v>38</v>
      </c>
      <c r="Q1028" s="18" t="s">
        <v>58</v>
      </c>
      <c r="R1028" s="18" t="s">
        <v>59</v>
      </c>
      <c r="S1028" s="18" t="s">
        <v>60</v>
      </c>
      <c r="T1028" s="18" t="b">
        <v>1</v>
      </c>
      <c r="U1028" s="18" t="s">
        <v>150</v>
      </c>
      <c r="V1028" s="18" t="s">
        <v>40</v>
      </c>
      <c r="W1028" s="18" t="s">
        <v>126</v>
      </c>
      <c r="X1028" s="18" t="s">
        <v>127</v>
      </c>
      <c r="Y1028" s="18">
        <v>1</v>
      </c>
      <c r="Z1028" s="18">
        <v>1884</v>
      </c>
      <c r="AA1028" s="18" t="s">
        <v>2518</v>
      </c>
      <c r="AB1028" s="18" t="s">
        <v>464</v>
      </c>
      <c r="AC1028" s="18" t="e">
        <v>#N/A</v>
      </c>
    </row>
    <row r="1029" s="18" customFormat="1" spans="1:29">
      <c r="A1029" s="18" t="s">
        <v>2519</v>
      </c>
      <c r="B1029" s="25" t="s">
        <v>2519</v>
      </c>
      <c r="C1029" s="26">
        <v>45694</v>
      </c>
      <c r="D1029" s="18" t="s">
        <v>2520</v>
      </c>
      <c r="E1029" s="18" t="str">
        <f t="shared" si="16"/>
        <v>Amit Kumar Giri  </v>
      </c>
      <c r="F1029" s="27" t="e">
        <v>#N/A</v>
      </c>
      <c r="G1029" s="18" t="s">
        <v>147</v>
      </c>
      <c r="H1029" s="18" t="s">
        <v>148</v>
      </c>
      <c r="I1029" s="18" t="s">
        <v>54</v>
      </c>
      <c r="J1029" s="18" t="s">
        <v>249</v>
      </c>
      <c r="K1029" s="18" t="s">
        <v>56</v>
      </c>
      <c r="L1029" s="18" t="s">
        <v>36</v>
      </c>
      <c r="N1029" s="18">
        <v>6</v>
      </c>
      <c r="O1029" s="18" t="s">
        <v>93</v>
      </c>
      <c r="P1029" s="18" t="s">
        <v>38</v>
      </c>
      <c r="Q1029" s="18" t="s">
        <v>58</v>
      </c>
      <c r="R1029" s="18" t="s">
        <v>59</v>
      </c>
      <c r="S1029" s="18" t="s">
        <v>60</v>
      </c>
      <c r="T1029" s="18" t="b">
        <v>1</v>
      </c>
      <c r="U1029" s="18" t="s">
        <v>150</v>
      </c>
      <c r="V1029" s="18" t="s">
        <v>40</v>
      </c>
      <c r="W1029" s="18" t="s">
        <v>233</v>
      </c>
      <c r="X1029" s="18" t="s">
        <v>234</v>
      </c>
      <c r="Y1029" s="18">
        <v>1</v>
      </c>
      <c r="Z1029" s="18">
        <v>3468</v>
      </c>
      <c r="AA1029" s="18" t="s">
        <v>762</v>
      </c>
      <c r="AB1029" s="18" t="s">
        <v>763</v>
      </c>
      <c r="AC1029" s="18" t="e">
        <v>#N/A</v>
      </c>
    </row>
    <row r="1030" s="18" customFormat="1" spans="1:29">
      <c r="A1030" s="18" t="s">
        <v>2521</v>
      </c>
      <c r="B1030" s="25" t="s">
        <v>2521</v>
      </c>
      <c r="C1030" s="26">
        <v>45694</v>
      </c>
      <c r="D1030" s="18" t="s">
        <v>1720</v>
      </c>
      <c r="E1030" s="18" t="str">
        <f t="shared" si="16"/>
        <v>Anil Kumar Singh..........</v>
      </c>
      <c r="F1030" s="27" t="e">
        <v>#N/A</v>
      </c>
      <c r="G1030" s="18" t="s">
        <v>147</v>
      </c>
      <c r="H1030" s="18" t="s">
        <v>148</v>
      </c>
      <c r="I1030" s="18" t="s">
        <v>54</v>
      </c>
      <c r="J1030" s="18" t="s">
        <v>249</v>
      </c>
      <c r="K1030" s="18" t="s">
        <v>56</v>
      </c>
      <c r="L1030" s="18" t="s">
        <v>36</v>
      </c>
      <c r="N1030" s="18">
        <v>6</v>
      </c>
      <c r="O1030" s="18" t="s">
        <v>93</v>
      </c>
      <c r="P1030" s="18" t="s">
        <v>38</v>
      </c>
      <c r="Q1030" s="18" t="s">
        <v>58</v>
      </c>
      <c r="R1030" s="18" t="s">
        <v>59</v>
      </c>
      <c r="S1030" s="18" t="s">
        <v>60</v>
      </c>
      <c r="T1030" s="18" t="b">
        <v>1</v>
      </c>
      <c r="U1030" s="18" t="s">
        <v>150</v>
      </c>
      <c r="V1030" s="18" t="s">
        <v>40</v>
      </c>
      <c r="W1030" s="18" t="s">
        <v>126</v>
      </c>
      <c r="X1030" s="18" t="s">
        <v>127</v>
      </c>
      <c r="Y1030" s="18">
        <v>1</v>
      </c>
      <c r="Z1030" s="18">
        <v>4660</v>
      </c>
      <c r="AA1030" s="18" t="s">
        <v>2522</v>
      </c>
      <c r="AB1030" s="18" t="s">
        <v>1722</v>
      </c>
      <c r="AC1030" s="18" t="e">
        <v>#N/A</v>
      </c>
    </row>
    <row r="1031" s="18" customFormat="1" spans="1:29">
      <c r="A1031" s="18" t="s">
        <v>2523</v>
      </c>
      <c r="B1031" s="25" t="s">
        <v>2523</v>
      </c>
      <c r="C1031" s="26">
        <v>45694</v>
      </c>
      <c r="D1031" s="18" t="s">
        <v>1740</v>
      </c>
      <c r="E1031" s="18" t="str">
        <f t="shared" si="16"/>
        <v>Harshit Jain...............  </v>
      </c>
      <c r="F1031" s="27" t="e">
        <v>#N/A</v>
      </c>
      <c r="G1031" s="18" t="s">
        <v>147</v>
      </c>
      <c r="H1031" s="18" t="s">
        <v>148</v>
      </c>
      <c r="I1031" s="18" t="s">
        <v>54</v>
      </c>
      <c r="J1031" s="18" t="s">
        <v>249</v>
      </c>
      <c r="K1031" s="18" t="s">
        <v>56</v>
      </c>
      <c r="L1031" s="18" t="s">
        <v>36</v>
      </c>
      <c r="N1031" s="18">
        <v>6</v>
      </c>
      <c r="O1031" s="18" t="s">
        <v>93</v>
      </c>
      <c r="P1031" s="18" t="s">
        <v>38</v>
      </c>
      <c r="Q1031" s="18" t="s">
        <v>58</v>
      </c>
      <c r="R1031" s="18" t="s">
        <v>59</v>
      </c>
      <c r="S1031" s="18" t="s">
        <v>60</v>
      </c>
      <c r="T1031" s="18" t="b">
        <v>1</v>
      </c>
      <c r="U1031" s="18" t="s">
        <v>150</v>
      </c>
      <c r="V1031" s="18" t="s">
        <v>40</v>
      </c>
      <c r="W1031" s="18" t="s">
        <v>126</v>
      </c>
      <c r="X1031" s="18" t="s">
        <v>127</v>
      </c>
      <c r="Y1031" s="18">
        <v>1</v>
      </c>
      <c r="Z1031" s="18">
        <v>3256</v>
      </c>
      <c r="AA1031" s="18" t="s">
        <v>142</v>
      </c>
      <c r="AB1031" s="18" t="s">
        <v>143</v>
      </c>
      <c r="AC1031" s="18" t="e">
        <v>#N/A</v>
      </c>
    </row>
    <row r="1032" s="18" customFormat="1" spans="1:29">
      <c r="A1032" s="18" t="s">
        <v>2524</v>
      </c>
      <c r="B1032" s="25" t="s">
        <v>2524</v>
      </c>
      <c r="C1032" s="26">
        <v>45694</v>
      </c>
      <c r="D1032" s="18" t="s">
        <v>2525</v>
      </c>
      <c r="E1032" s="18" t="str">
        <f t="shared" si="16"/>
        <v>Naveen Mandal  </v>
      </c>
      <c r="F1032" s="27" t="s">
        <v>2526</v>
      </c>
      <c r="G1032" s="18" t="s">
        <v>147</v>
      </c>
      <c r="H1032" s="18" t="s">
        <v>148</v>
      </c>
      <c r="I1032" s="18" t="s">
        <v>54</v>
      </c>
      <c r="J1032" s="18" t="s">
        <v>249</v>
      </c>
      <c r="K1032" s="18" t="s">
        <v>56</v>
      </c>
      <c r="L1032" s="18" t="s">
        <v>36</v>
      </c>
      <c r="N1032" s="18">
        <v>6</v>
      </c>
      <c r="O1032" s="18" t="s">
        <v>93</v>
      </c>
      <c r="P1032" s="18" t="s">
        <v>38</v>
      </c>
      <c r="Q1032" s="18" t="s">
        <v>58</v>
      </c>
      <c r="R1032" s="18" t="s">
        <v>59</v>
      </c>
      <c r="S1032" s="18" t="s">
        <v>60</v>
      </c>
      <c r="T1032" s="18" t="b">
        <v>1</v>
      </c>
      <c r="U1032" s="18" t="s">
        <v>150</v>
      </c>
      <c r="V1032" s="18" t="s">
        <v>40</v>
      </c>
      <c r="W1032" s="18" t="s">
        <v>126</v>
      </c>
      <c r="X1032" s="18" t="s">
        <v>127</v>
      </c>
      <c r="Y1032" s="18">
        <v>1</v>
      </c>
      <c r="Z1032" s="18">
        <v>9219</v>
      </c>
      <c r="AA1032" s="18" t="s">
        <v>1664</v>
      </c>
      <c r="AB1032" s="18" t="s">
        <v>1665</v>
      </c>
      <c r="AC1032" s="18" t="e">
        <v>#N/A</v>
      </c>
    </row>
    <row r="1033" s="18" customFormat="1" spans="1:29">
      <c r="A1033" s="18" t="s">
        <v>2527</v>
      </c>
      <c r="B1033" s="25" t="s">
        <v>2527</v>
      </c>
      <c r="C1033" s="26">
        <v>45694</v>
      </c>
      <c r="D1033" s="18" t="s">
        <v>2528</v>
      </c>
      <c r="E1033" s="18" t="str">
        <f t="shared" si="16"/>
        <v>Sushil Nain  </v>
      </c>
      <c r="F1033" s="27" t="e">
        <v>#N/A</v>
      </c>
      <c r="G1033" s="18" t="s">
        <v>147</v>
      </c>
      <c r="H1033" s="18" t="s">
        <v>148</v>
      </c>
      <c r="I1033" s="18" t="s">
        <v>54</v>
      </c>
      <c r="J1033" s="18" t="s">
        <v>249</v>
      </c>
      <c r="K1033" s="18" t="s">
        <v>56</v>
      </c>
      <c r="L1033" s="18" t="s">
        <v>36</v>
      </c>
      <c r="N1033" s="18">
        <v>6</v>
      </c>
      <c r="O1033" s="18" t="s">
        <v>93</v>
      </c>
      <c r="P1033" s="18" t="s">
        <v>38</v>
      </c>
      <c r="Q1033" s="18" t="s">
        <v>58</v>
      </c>
      <c r="R1033" s="18" t="s">
        <v>59</v>
      </c>
      <c r="S1033" s="18" t="s">
        <v>60</v>
      </c>
      <c r="T1033" s="18" t="b">
        <v>1</v>
      </c>
      <c r="U1033" s="18" t="s">
        <v>150</v>
      </c>
      <c r="V1033" s="18" t="s">
        <v>40</v>
      </c>
      <c r="W1033" s="18" t="s">
        <v>126</v>
      </c>
      <c r="X1033" s="18" t="s">
        <v>127</v>
      </c>
      <c r="Y1033" s="18">
        <v>1</v>
      </c>
      <c r="Z1033" s="18">
        <v>2601</v>
      </c>
      <c r="AA1033" s="18" t="s">
        <v>2529</v>
      </c>
      <c r="AB1033" s="18" t="s">
        <v>555</v>
      </c>
      <c r="AC1033" s="18" t="e">
        <v>#N/A</v>
      </c>
    </row>
    <row r="1034" s="18" customFormat="1" spans="1:29">
      <c r="A1034" s="18" t="s">
        <v>2530</v>
      </c>
      <c r="B1034" s="25" t="s">
        <v>2530</v>
      </c>
      <c r="C1034" s="26">
        <v>45694</v>
      </c>
      <c r="D1034" s="18" t="s">
        <v>451</v>
      </c>
      <c r="E1034" s="18" t="str">
        <f t="shared" si="16"/>
        <v>Ajeet Singh  </v>
      </c>
      <c r="F1034" s="27" t="s">
        <v>452</v>
      </c>
      <c r="G1034" s="18" t="s">
        <v>147</v>
      </c>
      <c r="H1034" s="18" t="s">
        <v>148</v>
      </c>
      <c r="I1034" s="18" t="s">
        <v>54</v>
      </c>
      <c r="J1034" s="18" t="s">
        <v>466</v>
      </c>
      <c r="K1034" s="18" t="s">
        <v>56</v>
      </c>
      <c r="L1034" s="18" t="s">
        <v>36</v>
      </c>
      <c r="N1034" s="18">
        <v>6</v>
      </c>
      <c r="O1034" s="18" t="s">
        <v>93</v>
      </c>
      <c r="P1034" s="18" t="s">
        <v>38</v>
      </c>
      <c r="Q1034" s="18" t="s">
        <v>58</v>
      </c>
      <c r="R1034" s="18" t="s">
        <v>59</v>
      </c>
      <c r="S1034" s="18" t="s">
        <v>60</v>
      </c>
      <c r="T1034" s="18" t="b">
        <v>1</v>
      </c>
      <c r="U1034" s="18" t="s">
        <v>150</v>
      </c>
      <c r="V1034" s="18" t="s">
        <v>40</v>
      </c>
      <c r="W1034" s="18" t="s">
        <v>126</v>
      </c>
      <c r="X1034" s="18" t="s">
        <v>127</v>
      </c>
      <c r="Y1034" s="18">
        <v>1</v>
      </c>
      <c r="Z1034" s="18">
        <v>4287</v>
      </c>
      <c r="AA1034" s="18" t="s">
        <v>1738</v>
      </c>
      <c r="AB1034" s="18" t="s">
        <v>454</v>
      </c>
      <c r="AC1034" s="18" t="e">
        <v>#N/A</v>
      </c>
    </row>
    <row r="1035" s="18" customFormat="1" spans="1:29">
      <c r="A1035" s="18" t="s">
        <v>2531</v>
      </c>
      <c r="B1035" s="25" t="s">
        <v>2531</v>
      </c>
      <c r="C1035" s="26">
        <v>45694</v>
      </c>
      <c r="D1035" s="18" t="s">
        <v>2517</v>
      </c>
      <c r="E1035" s="18" t="str">
        <f t="shared" si="16"/>
        <v>Amarpreet Singh........... </v>
      </c>
      <c r="F1035" s="27" t="e">
        <v>#N/A</v>
      </c>
      <c r="G1035" s="18" t="s">
        <v>147</v>
      </c>
      <c r="H1035" s="18" t="s">
        <v>148</v>
      </c>
      <c r="I1035" s="18" t="s">
        <v>54</v>
      </c>
      <c r="J1035" s="18" t="s">
        <v>395</v>
      </c>
      <c r="K1035" s="18" t="s">
        <v>56</v>
      </c>
      <c r="L1035" s="18" t="s">
        <v>36</v>
      </c>
      <c r="N1035" s="18">
        <v>6</v>
      </c>
      <c r="O1035" s="18" t="s">
        <v>93</v>
      </c>
      <c r="P1035" s="18" t="s">
        <v>38</v>
      </c>
      <c r="Q1035" s="18" t="s">
        <v>58</v>
      </c>
      <c r="R1035" s="18" t="s">
        <v>59</v>
      </c>
      <c r="S1035" s="18" t="s">
        <v>60</v>
      </c>
      <c r="T1035" s="18" t="b">
        <v>1</v>
      </c>
      <c r="U1035" s="18" t="s">
        <v>150</v>
      </c>
      <c r="V1035" s="18" t="s">
        <v>40</v>
      </c>
      <c r="W1035" s="18" t="s">
        <v>233</v>
      </c>
      <c r="X1035" s="18" t="s">
        <v>234</v>
      </c>
      <c r="Y1035" s="18">
        <v>1</v>
      </c>
      <c r="Z1035" s="18">
        <v>28250</v>
      </c>
      <c r="AA1035" s="18" t="s">
        <v>1104</v>
      </c>
      <c r="AB1035" s="18" t="s">
        <v>464</v>
      </c>
      <c r="AC1035" s="18" t="e">
        <v>#N/A</v>
      </c>
    </row>
    <row r="1036" s="18" customFormat="1" spans="1:29">
      <c r="A1036" s="18" t="s">
        <v>2532</v>
      </c>
      <c r="B1036" s="25" t="s">
        <v>2532</v>
      </c>
      <c r="C1036" s="26">
        <v>45694</v>
      </c>
      <c r="D1036" s="18" t="s">
        <v>2517</v>
      </c>
      <c r="E1036" s="18" t="str">
        <f t="shared" si="16"/>
        <v>Amarpreet Singh........... </v>
      </c>
      <c r="F1036" s="27" t="e">
        <v>#N/A</v>
      </c>
      <c r="G1036" s="18" t="s">
        <v>147</v>
      </c>
      <c r="H1036" s="18" t="s">
        <v>148</v>
      </c>
      <c r="I1036" s="18" t="s">
        <v>54</v>
      </c>
      <c r="J1036" s="18" t="s">
        <v>466</v>
      </c>
      <c r="K1036" s="18" t="s">
        <v>56</v>
      </c>
      <c r="L1036" s="18" t="s">
        <v>36</v>
      </c>
      <c r="N1036" s="18">
        <v>6</v>
      </c>
      <c r="O1036" s="18" t="s">
        <v>93</v>
      </c>
      <c r="P1036" s="18" t="s">
        <v>38</v>
      </c>
      <c r="Q1036" s="18" t="s">
        <v>58</v>
      </c>
      <c r="R1036" s="18" t="s">
        <v>59</v>
      </c>
      <c r="S1036" s="18" t="s">
        <v>60</v>
      </c>
      <c r="T1036" s="18" t="b">
        <v>1</v>
      </c>
      <c r="U1036" s="18" t="s">
        <v>150</v>
      </c>
      <c r="V1036" s="18" t="s">
        <v>40</v>
      </c>
      <c r="W1036" s="18" t="s">
        <v>412</v>
      </c>
      <c r="X1036" s="18" t="s">
        <v>413</v>
      </c>
      <c r="Y1036" s="18">
        <v>1</v>
      </c>
      <c r="Z1036" s="18">
        <v>829</v>
      </c>
      <c r="AA1036" s="18" t="s">
        <v>2518</v>
      </c>
      <c r="AB1036" s="18" t="s">
        <v>464</v>
      </c>
      <c r="AC1036" s="18" t="e">
        <v>#N/A</v>
      </c>
    </row>
    <row r="1037" s="18" customFormat="1" spans="1:29">
      <c r="A1037" s="18" t="s">
        <v>2533</v>
      </c>
      <c r="B1037" s="25" t="s">
        <v>2533</v>
      </c>
      <c r="C1037" s="26">
        <v>45694</v>
      </c>
      <c r="D1037" s="18" t="s">
        <v>2517</v>
      </c>
      <c r="E1037" s="18" t="str">
        <f t="shared" si="16"/>
        <v>Amarpreet Singh........... </v>
      </c>
      <c r="F1037" s="27" t="e">
        <v>#N/A</v>
      </c>
      <c r="G1037" s="18" t="s">
        <v>147</v>
      </c>
      <c r="H1037" s="18" t="s">
        <v>148</v>
      </c>
      <c r="I1037" s="18" t="s">
        <v>54</v>
      </c>
      <c r="J1037" s="18" t="s">
        <v>462</v>
      </c>
      <c r="K1037" s="18" t="s">
        <v>56</v>
      </c>
      <c r="L1037" s="18" t="s">
        <v>36</v>
      </c>
      <c r="N1037" s="18">
        <v>6</v>
      </c>
      <c r="O1037" s="18" t="s">
        <v>93</v>
      </c>
      <c r="P1037" s="18" t="s">
        <v>38</v>
      </c>
      <c r="Q1037" s="18" t="s">
        <v>58</v>
      </c>
      <c r="R1037" s="18" t="s">
        <v>59</v>
      </c>
      <c r="S1037" s="18" t="s">
        <v>60</v>
      </c>
      <c r="T1037" s="18" t="b">
        <v>1</v>
      </c>
      <c r="U1037" s="18" t="s">
        <v>150</v>
      </c>
      <c r="V1037" s="18" t="s">
        <v>40</v>
      </c>
      <c r="W1037" s="18" t="s">
        <v>233</v>
      </c>
      <c r="X1037" s="18" t="s">
        <v>234</v>
      </c>
      <c r="Y1037" s="18">
        <v>1</v>
      </c>
      <c r="Z1037" s="18">
        <v>18960</v>
      </c>
      <c r="AA1037" s="18" t="s">
        <v>1104</v>
      </c>
      <c r="AB1037" s="18" t="s">
        <v>464</v>
      </c>
      <c r="AC1037" s="18" t="e">
        <v>#N/A</v>
      </c>
    </row>
    <row r="1038" s="18" customFormat="1" spans="1:29">
      <c r="A1038" s="18" t="s">
        <v>2534</v>
      </c>
      <c r="B1038" s="25" t="s">
        <v>2534</v>
      </c>
      <c r="C1038" s="26">
        <v>45694</v>
      </c>
      <c r="D1038" s="18" t="s">
        <v>2520</v>
      </c>
      <c r="E1038" s="18" t="str">
        <f t="shared" si="16"/>
        <v>Amit Kumar Giri  </v>
      </c>
      <c r="F1038" s="27" t="e">
        <v>#N/A</v>
      </c>
      <c r="G1038" s="18" t="s">
        <v>147</v>
      </c>
      <c r="H1038" s="18" t="s">
        <v>148</v>
      </c>
      <c r="I1038" s="18" t="s">
        <v>54</v>
      </c>
      <c r="J1038" s="18" t="s">
        <v>139</v>
      </c>
      <c r="K1038" s="18" t="s">
        <v>56</v>
      </c>
      <c r="L1038" s="18" t="s">
        <v>36</v>
      </c>
      <c r="N1038" s="18">
        <v>6</v>
      </c>
      <c r="O1038" s="18" t="s">
        <v>93</v>
      </c>
      <c r="P1038" s="18" t="s">
        <v>38</v>
      </c>
      <c r="Q1038" s="18" t="s">
        <v>58</v>
      </c>
      <c r="R1038" s="18" t="s">
        <v>59</v>
      </c>
      <c r="S1038" s="18" t="s">
        <v>60</v>
      </c>
      <c r="T1038" s="18" t="b">
        <v>1</v>
      </c>
      <c r="U1038" s="18" t="s">
        <v>150</v>
      </c>
      <c r="V1038" s="18" t="s">
        <v>40</v>
      </c>
      <c r="W1038" s="18" t="s">
        <v>2535</v>
      </c>
      <c r="X1038" s="18" t="s">
        <v>2536</v>
      </c>
      <c r="Y1038" s="18">
        <v>1</v>
      </c>
      <c r="Z1038" s="18">
        <v>13060</v>
      </c>
      <c r="AA1038" s="18" t="s">
        <v>2537</v>
      </c>
      <c r="AB1038" s="18" t="s">
        <v>763</v>
      </c>
      <c r="AC1038" s="18" t="e">
        <v>#N/A</v>
      </c>
    </row>
    <row r="1039" s="18" customFormat="1" spans="1:29">
      <c r="A1039" s="18" t="s">
        <v>2538</v>
      </c>
      <c r="B1039" s="25" t="s">
        <v>2538</v>
      </c>
      <c r="C1039" s="26">
        <v>45694</v>
      </c>
      <c r="D1039" s="18" t="s">
        <v>384</v>
      </c>
      <c r="E1039" s="18" t="str">
        <f t="shared" si="16"/>
        <v>Anurag Jadli  </v>
      </c>
      <c r="F1039" s="27" t="e">
        <v>#N/A</v>
      </c>
      <c r="G1039" s="18" t="s">
        <v>147</v>
      </c>
      <c r="H1039" s="18" t="s">
        <v>148</v>
      </c>
      <c r="I1039" s="18" t="s">
        <v>54</v>
      </c>
      <c r="J1039" s="18" t="s">
        <v>240</v>
      </c>
      <c r="K1039" s="18" t="s">
        <v>56</v>
      </c>
      <c r="L1039" s="18" t="s">
        <v>36</v>
      </c>
      <c r="N1039" s="18">
        <v>6</v>
      </c>
      <c r="O1039" s="18" t="s">
        <v>93</v>
      </c>
      <c r="P1039" s="18" t="s">
        <v>38</v>
      </c>
      <c r="Q1039" s="18" t="s">
        <v>58</v>
      </c>
      <c r="R1039" s="18" t="s">
        <v>59</v>
      </c>
      <c r="S1039" s="18" t="s">
        <v>60</v>
      </c>
      <c r="T1039" s="18" t="b">
        <v>1</v>
      </c>
      <c r="U1039" s="18" t="s">
        <v>150</v>
      </c>
      <c r="V1039" s="18" t="s">
        <v>40</v>
      </c>
      <c r="W1039" s="18" t="s">
        <v>126</v>
      </c>
      <c r="X1039" s="18" t="s">
        <v>127</v>
      </c>
      <c r="Y1039" s="18">
        <v>1</v>
      </c>
      <c r="Z1039" s="18">
        <v>665</v>
      </c>
      <c r="AA1039" s="18" t="s">
        <v>1715</v>
      </c>
      <c r="AB1039" s="18" t="s">
        <v>386</v>
      </c>
      <c r="AC1039" s="18" t="e">
        <v>#N/A</v>
      </c>
    </row>
    <row r="1040" s="18" customFormat="1" spans="1:29">
      <c r="A1040" s="18" t="s">
        <v>2539</v>
      </c>
      <c r="B1040" s="25" t="s">
        <v>2539</v>
      </c>
      <c r="C1040" s="26">
        <v>45694</v>
      </c>
      <c r="D1040" s="18" t="s">
        <v>1729</v>
      </c>
      <c r="E1040" s="18" t="str">
        <f t="shared" si="16"/>
        <v>Bitu Kumar  </v>
      </c>
      <c r="F1040" s="27" t="e">
        <v>#N/A</v>
      </c>
      <c r="G1040" s="18" t="s">
        <v>147</v>
      </c>
      <c r="H1040" s="18" t="s">
        <v>148</v>
      </c>
      <c r="I1040" s="18" t="s">
        <v>54</v>
      </c>
      <c r="J1040" s="18" t="s">
        <v>466</v>
      </c>
      <c r="K1040" s="18" t="s">
        <v>56</v>
      </c>
      <c r="L1040" s="18" t="s">
        <v>36</v>
      </c>
      <c r="N1040" s="18">
        <v>6</v>
      </c>
      <c r="O1040" s="18" t="s">
        <v>93</v>
      </c>
      <c r="P1040" s="18" t="s">
        <v>38</v>
      </c>
      <c r="Q1040" s="18" t="s">
        <v>58</v>
      </c>
      <c r="R1040" s="18" t="s">
        <v>59</v>
      </c>
      <c r="S1040" s="18" t="s">
        <v>60</v>
      </c>
      <c r="T1040" s="18" t="b">
        <v>1</v>
      </c>
      <c r="U1040" s="18" t="s">
        <v>150</v>
      </c>
      <c r="V1040" s="18" t="s">
        <v>40</v>
      </c>
      <c r="W1040" s="18" t="s">
        <v>126</v>
      </c>
      <c r="X1040" s="18" t="s">
        <v>127</v>
      </c>
      <c r="Y1040" s="18">
        <v>1</v>
      </c>
      <c r="Z1040" s="18">
        <v>12881</v>
      </c>
      <c r="AA1040" s="18" t="s">
        <v>2540</v>
      </c>
      <c r="AB1040" s="18" t="s">
        <v>2541</v>
      </c>
      <c r="AC1040" s="18" t="e">
        <v>#N/A</v>
      </c>
    </row>
    <row r="1041" s="19" customFormat="1" spans="1:29">
      <c r="A1041" s="19" t="s">
        <v>2542</v>
      </c>
      <c r="B1041" s="28" t="s">
        <v>2542</v>
      </c>
      <c r="C1041" s="29">
        <v>45694</v>
      </c>
      <c r="D1041" s="19" t="s">
        <v>2543</v>
      </c>
      <c r="E1041" s="19" t="str">
        <f t="shared" si="16"/>
        <v>Gurpreet Singh Khani...........  </v>
      </c>
      <c r="F1041" s="30" t="e">
        <v>#N/A</v>
      </c>
      <c r="G1041" s="19" t="s">
        <v>147</v>
      </c>
      <c r="H1041" s="19" t="s">
        <v>148</v>
      </c>
      <c r="I1041" s="19" t="s">
        <v>54</v>
      </c>
      <c r="K1041" s="19" t="s">
        <v>35</v>
      </c>
      <c r="L1041" s="19" t="s">
        <v>36</v>
      </c>
      <c r="N1041" s="19">
        <v>6</v>
      </c>
      <c r="O1041" s="19" t="s">
        <v>93</v>
      </c>
      <c r="P1041" s="19" t="s">
        <v>38</v>
      </c>
      <c r="T1041" s="19" t="b">
        <v>1</v>
      </c>
      <c r="U1041" s="19" t="s">
        <v>150</v>
      </c>
      <c r="V1041" s="19" t="s">
        <v>40</v>
      </c>
      <c r="W1041" s="19" t="s">
        <v>107</v>
      </c>
      <c r="X1041" s="19" t="e">
        <v>#N/A</v>
      </c>
      <c r="Y1041" s="19">
        <v>1</v>
      </c>
      <c r="Z1041" s="19">
        <v>8800</v>
      </c>
      <c r="AA1041" s="19" t="s">
        <v>176</v>
      </c>
      <c r="AB1041" s="19" t="s">
        <v>173</v>
      </c>
      <c r="AC1041" s="19" t="e">
        <v>#N/A</v>
      </c>
    </row>
    <row r="1042" s="18" customFormat="1" spans="1:29">
      <c r="A1042" s="18" t="s">
        <v>2544</v>
      </c>
      <c r="B1042" s="25" t="s">
        <v>2544</v>
      </c>
      <c r="C1042" s="26">
        <v>45694</v>
      </c>
      <c r="D1042" s="18" t="s">
        <v>2545</v>
      </c>
      <c r="E1042" s="18" t="str">
        <f t="shared" si="16"/>
        <v>Sports Authority of India</v>
      </c>
      <c r="F1042" s="27" t="s">
        <v>2546</v>
      </c>
      <c r="G1042" s="18" t="s">
        <v>147</v>
      </c>
      <c r="H1042" s="18" t="s">
        <v>148</v>
      </c>
      <c r="I1042" s="18" t="s">
        <v>159</v>
      </c>
      <c r="J1042" s="18" t="s">
        <v>2497</v>
      </c>
      <c r="K1042" s="18" t="s">
        <v>56</v>
      </c>
      <c r="L1042" s="18" t="s">
        <v>36</v>
      </c>
      <c r="N1042" s="18">
        <v>6</v>
      </c>
      <c r="O1042" s="18" t="s">
        <v>57</v>
      </c>
      <c r="P1042" s="18" t="s">
        <v>38</v>
      </c>
      <c r="Q1042" s="18" t="s">
        <v>58</v>
      </c>
      <c r="R1042" s="18" t="s">
        <v>59</v>
      </c>
      <c r="S1042" s="18" t="s">
        <v>60</v>
      </c>
      <c r="T1042" s="18" t="b">
        <v>1</v>
      </c>
      <c r="U1042" s="18" t="s">
        <v>150</v>
      </c>
      <c r="V1042" s="18" t="s">
        <v>40</v>
      </c>
      <c r="W1042" s="18" t="s">
        <v>1239</v>
      </c>
      <c r="X1042" s="18" t="s">
        <v>1240</v>
      </c>
      <c r="Y1042" s="18">
        <v>1</v>
      </c>
      <c r="Z1042" s="18">
        <v>610000</v>
      </c>
      <c r="AA1042" s="18" t="s">
        <v>2498</v>
      </c>
      <c r="AB1042" s="18" t="s">
        <v>2499</v>
      </c>
      <c r="AC1042" s="18" t="s">
        <v>163</v>
      </c>
    </row>
    <row r="1043" s="18" customFormat="1" spans="1:29">
      <c r="A1043" s="18" t="s">
        <v>2547</v>
      </c>
      <c r="B1043" s="25" t="s">
        <v>2547</v>
      </c>
      <c r="C1043" s="26">
        <v>45694</v>
      </c>
      <c r="D1043" s="18" t="s">
        <v>2548</v>
      </c>
      <c r="E1043" s="18" t="str">
        <f t="shared" si="16"/>
        <v>Karan Nischal......  </v>
      </c>
      <c r="F1043" s="27" t="e">
        <v>#N/A</v>
      </c>
      <c r="G1043" s="18" t="s">
        <v>147</v>
      </c>
      <c r="H1043" s="18" t="s">
        <v>148</v>
      </c>
      <c r="I1043" s="18" t="s">
        <v>54</v>
      </c>
      <c r="J1043" s="18" t="s">
        <v>466</v>
      </c>
      <c r="K1043" s="18" t="s">
        <v>56</v>
      </c>
      <c r="L1043" s="18" t="s">
        <v>36</v>
      </c>
      <c r="N1043" s="18">
        <v>6</v>
      </c>
      <c r="O1043" s="18" t="s">
        <v>93</v>
      </c>
      <c r="P1043" s="18" t="s">
        <v>38</v>
      </c>
      <c r="Q1043" s="18" t="s">
        <v>58</v>
      </c>
      <c r="R1043" s="18" t="s">
        <v>59</v>
      </c>
      <c r="S1043" s="18" t="s">
        <v>60</v>
      </c>
      <c r="T1043" s="18" t="b">
        <v>1</v>
      </c>
      <c r="U1043" s="18" t="s">
        <v>150</v>
      </c>
      <c r="V1043" s="18" t="s">
        <v>40</v>
      </c>
      <c r="W1043" s="18" t="s">
        <v>126</v>
      </c>
      <c r="X1043" s="18" t="s">
        <v>127</v>
      </c>
      <c r="Y1043" s="18">
        <v>1</v>
      </c>
      <c r="Z1043" s="18">
        <v>306</v>
      </c>
      <c r="AA1043" s="18" t="s">
        <v>2549</v>
      </c>
      <c r="AB1043" s="18" t="s">
        <v>2550</v>
      </c>
      <c r="AC1043" s="18" t="e">
        <v>#N/A</v>
      </c>
    </row>
    <row r="1044" s="18" customFormat="1" spans="1:29">
      <c r="A1044" s="18" t="s">
        <v>2551</v>
      </c>
      <c r="B1044" s="25" t="s">
        <v>2551</v>
      </c>
      <c r="C1044" s="26">
        <v>45694</v>
      </c>
      <c r="D1044" s="18" t="s">
        <v>1742</v>
      </c>
      <c r="E1044" s="18" t="str">
        <f t="shared" si="16"/>
        <v>Puneet Kumar ........... </v>
      </c>
      <c r="F1044" s="27" t="e">
        <v>#N/A</v>
      </c>
      <c r="G1044" s="18" t="s">
        <v>147</v>
      </c>
      <c r="H1044" s="18" t="s">
        <v>148</v>
      </c>
      <c r="I1044" s="18" t="s">
        <v>54</v>
      </c>
      <c r="J1044" s="18" t="s">
        <v>466</v>
      </c>
      <c r="K1044" s="18" t="s">
        <v>56</v>
      </c>
      <c r="L1044" s="18" t="s">
        <v>36</v>
      </c>
      <c r="N1044" s="18">
        <v>6</v>
      </c>
      <c r="O1044" s="18" t="s">
        <v>93</v>
      </c>
      <c r="P1044" s="18" t="s">
        <v>38</v>
      </c>
      <c r="Q1044" s="18" t="s">
        <v>58</v>
      </c>
      <c r="R1044" s="18" t="s">
        <v>59</v>
      </c>
      <c r="S1044" s="18" t="s">
        <v>60</v>
      </c>
      <c r="T1044" s="18" t="b">
        <v>1</v>
      </c>
      <c r="U1044" s="18" t="s">
        <v>150</v>
      </c>
      <c r="V1044" s="18" t="s">
        <v>40</v>
      </c>
      <c r="W1044" s="18" t="s">
        <v>233</v>
      </c>
      <c r="X1044" s="18" t="s">
        <v>234</v>
      </c>
      <c r="Y1044" s="18">
        <v>1</v>
      </c>
      <c r="Z1044" s="18">
        <v>240</v>
      </c>
      <c r="AA1044" s="18" t="s">
        <v>1743</v>
      </c>
      <c r="AB1044" s="18" t="s">
        <v>940</v>
      </c>
      <c r="AC1044" s="18" t="e">
        <v>#N/A</v>
      </c>
    </row>
    <row r="1045" s="18" customFormat="1" spans="1:29">
      <c r="A1045" s="18" t="s">
        <v>2552</v>
      </c>
      <c r="B1045" s="25" t="s">
        <v>2552</v>
      </c>
      <c r="C1045" s="26">
        <v>45694</v>
      </c>
      <c r="D1045" s="18" t="s">
        <v>1265</v>
      </c>
      <c r="E1045" s="18" t="str">
        <f t="shared" si="16"/>
        <v>Parvesh Mahalwal............... </v>
      </c>
      <c r="F1045" s="27" t="e">
        <v>#N/A</v>
      </c>
      <c r="G1045" s="18" t="s">
        <v>147</v>
      </c>
      <c r="H1045" s="18" t="s">
        <v>148</v>
      </c>
      <c r="I1045" s="18" t="s">
        <v>54</v>
      </c>
      <c r="J1045" s="18" t="s">
        <v>240</v>
      </c>
      <c r="K1045" s="18" t="s">
        <v>56</v>
      </c>
      <c r="L1045" s="18" t="s">
        <v>36</v>
      </c>
      <c r="N1045" s="18">
        <v>6</v>
      </c>
      <c r="O1045" s="18" t="s">
        <v>93</v>
      </c>
      <c r="P1045" s="18" t="s">
        <v>38</v>
      </c>
      <c r="Q1045" s="18" t="s">
        <v>58</v>
      </c>
      <c r="R1045" s="18" t="s">
        <v>59</v>
      </c>
      <c r="S1045" s="18" t="s">
        <v>60</v>
      </c>
      <c r="T1045" s="18" t="b">
        <v>1</v>
      </c>
      <c r="U1045" s="18" t="s">
        <v>150</v>
      </c>
      <c r="V1045" s="18" t="s">
        <v>40</v>
      </c>
      <c r="W1045" s="18" t="s">
        <v>126</v>
      </c>
      <c r="X1045" s="18" t="s">
        <v>127</v>
      </c>
      <c r="Y1045" s="18">
        <v>1</v>
      </c>
      <c r="Z1045" s="18">
        <v>5449</v>
      </c>
      <c r="AA1045" s="18" t="s">
        <v>299</v>
      </c>
      <c r="AB1045" s="18" t="s">
        <v>295</v>
      </c>
      <c r="AC1045" s="18" t="e">
        <v>#N/A</v>
      </c>
    </row>
    <row r="1046" s="18" customFormat="1" spans="1:29">
      <c r="A1046" s="18" t="s">
        <v>2553</v>
      </c>
      <c r="B1046" s="25" t="s">
        <v>2553</v>
      </c>
      <c r="C1046" s="26">
        <v>45694</v>
      </c>
      <c r="D1046" s="18" t="s">
        <v>1717</v>
      </c>
      <c r="E1046" s="18" t="str">
        <f t="shared" si="16"/>
        <v>Varun Sondhi  </v>
      </c>
      <c r="F1046" s="27" t="e">
        <v>#N/A</v>
      </c>
      <c r="G1046" s="18" t="s">
        <v>147</v>
      </c>
      <c r="H1046" s="18" t="s">
        <v>148</v>
      </c>
      <c r="I1046" s="18" t="s">
        <v>54</v>
      </c>
      <c r="J1046" s="18" t="s">
        <v>240</v>
      </c>
      <c r="K1046" s="18" t="s">
        <v>56</v>
      </c>
      <c r="L1046" s="18" t="s">
        <v>36</v>
      </c>
      <c r="N1046" s="18">
        <v>6</v>
      </c>
      <c r="O1046" s="18" t="s">
        <v>93</v>
      </c>
      <c r="P1046" s="18" t="s">
        <v>38</v>
      </c>
      <c r="Q1046" s="18" t="s">
        <v>58</v>
      </c>
      <c r="R1046" s="18" t="s">
        <v>59</v>
      </c>
      <c r="S1046" s="18" t="s">
        <v>60</v>
      </c>
      <c r="T1046" s="18" t="b">
        <v>1</v>
      </c>
      <c r="U1046" s="18" t="s">
        <v>150</v>
      </c>
      <c r="V1046" s="18" t="s">
        <v>40</v>
      </c>
      <c r="W1046" s="18" t="s">
        <v>126</v>
      </c>
      <c r="X1046" s="18" t="s">
        <v>127</v>
      </c>
      <c r="Y1046" s="18">
        <v>1</v>
      </c>
      <c r="Z1046" s="18">
        <v>3638</v>
      </c>
      <c r="AA1046" s="18" t="s">
        <v>241</v>
      </c>
      <c r="AB1046" s="18" t="s">
        <v>242</v>
      </c>
      <c r="AC1046" s="18" t="e">
        <v>#N/A</v>
      </c>
    </row>
    <row r="1047" s="18" customFormat="1" spans="1:29">
      <c r="A1047" s="18" t="s">
        <v>2554</v>
      </c>
      <c r="B1047" s="25" t="s">
        <v>2554</v>
      </c>
      <c r="C1047" s="26">
        <v>45694</v>
      </c>
      <c r="D1047" s="18" t="s">
        <v>394</v>
      </c>
      <c r="E1047" s="18" t="str">
        <f t="shared" si="16"/>
        <v>Kunwar Singh Chauhan  </v>
      </c>
      <c r="F1047" s="27" t="e">
        <v>#N/A</v>
      </c>
      <c r="G1047" s="18" t="s">
        <v>147</v>
      </c>
      <c r="H1047" s="18" t="s">
        <v>148</v>
      </c>
      <c r="I1047" s="18" t="s">
        <v>54</v>
      </c>
      <c r="J1047" s="18" t="s">
        <v>395</v>
      </c>
      <c r="K1047" s="18" t="s">
        <v>56</v>
      </c>
      <c r="L1047" s="18" t="s">
        <v>36</v>
      </c>
      <c r="N1047" s="18">
        <v>6</v>
      </c>
      <c r="O1047" s="18" t="s">
        <v>93</v>
      </c>
      <c r="P1047" s="18" t="s">
        <v>38</v>
      </c>
      <c r="Q1047" s="18" t="s">
        <v>58</v>
      </c>
      <c r="R1047" s="18" t="s">
        <v>59</v>
      </c>
      <c r="S1047" s="18" t="s">
        <v>60</v>
      </c>
      <c r="T1047" s="18" t="b">
        <v>1</v>
      </c>
      <c r="U1047" s="18" t="s">
        <v>150</v>
      </c>
      <c r="V1047" s="18" t="s">
        <v>40</v>
      </c>
      <c r="W1047" s="18" t="s">
        <v>126</v>
      </c>
      <c r="X1047" s="18" t="s">
        <v>127</v>
      </c>
      <c r="Y1047" s="18">
        <v>1</v>
      </c>
      <c r="Z1047" s="18">
        <v>480</v>
      </c>
      <c r="AA1047" s="18" t="s">
        <v>542</v>
      </c>
      <c r="AB1047" s="18" t="s">
        <v>397</v>
      </c>
      <c r="AC1047" s="18" t="e">
        <v>#N/A</v>
      </c>
    </row>
    <row r="1048" s="18" customFormat="1" spans="1:29">
      <c r="A1048" s="18" t="s">
        <v>2555</v>
      </c>
      <c r="B1048" s="25" t="s">
        <v>2555</v>
      </c>
      <c r="C1048" s="26">
        <v>45694</v>
      </c>
      <c r="D1048" s="18" t="s">
        <v>394</v>
      </c>
      <c r="E1048" s="18" t="str">
        <f t="shared" si="16"/>
        <v>Kunwar Singh Chauhan  </v>
      </c>
      <c r="F1048" s="27" t="e">
        <v>#N/A</v>
      </c>
      <c r="G1048" s="18" t="s">
        <v>147</v>
      </c>
      <c r="H1048" s="18" t="s">
        <v>148</v>
      </c>
      <c r="I1048" s="18" t="s">
        <v>54</v>
      </c>
      <c r="J1048" s="18" t="s">
        <v>395</v>
      </c>
      <c r="K1048" s="18" t="s">
        <v>56</v>
      </c>
      <c r="L1048" s="18" t="s">
        <v>36</v>
      </c>
      <c r="N1048" s="18">
        <v>6</v>
      </c>
      <c r="O1048" s="18" t="s">
        <v>93</v>
      </c>
      <c r="P1048" s="18" t="s">
        <v>38</v>
      </c>
      <c r="Q1048" s="18" t="s">
        <v>58</v>
      </c>
      <c r="R1048" s="18" t="s">
        <v>59</v>
      </c>
      <c r="S1048" s="18" t="s">
        <v>60</v>
      </c>
      <c r="T1048" s="18" t="b">
        <v>1</v>
      </c>
      <c r="U1048" s="18" t="s">
        <v>150</v>
      </c>
      <c r="V1048" s="18" t="s">
        <v>40</v>
      </c>
      <c r="W1048" s="18" t="s">
        <v>126</v>
      </c>
      <c r="X1048" s="18" t="s">
        <v>127</v>
      </c>
      <c r="Y1048" s="18">
        <v>1</v>
      </c>
      <c r="Z1048" s="18">
        <v>21126</v>
      </c>
      <c r="AA1048" s="18" t="s">
        <v>542</v>
      </c>
      <c r="AB1048" s="18" t="s">
        <v>397</v>
      </c>
      <c r="AC1048" s="18" t="e">
        <v>#N/A</v>
      </c>
    </row>
    <row r="1049" s="18" customFormat="1" spans="1:29">
      <c r="A1049" s="18" t="s">
        <v>2556</v>
      </c>
      <c r="B1049" s="25" t="s">
        <v>2556</v>
      </c>
      <c r="C1049" s="26">
        <v>45694</v>
      </c>
      <c r="D1049" s="18" t="s">
        <v>468</v>
      </c>
      <c r="E1049" s="18" t="str">
        <f t="shared" si="16"/>
        <v>Sanjay Dutt Dobriyal  </v>
      </c>
      <c r="F1049" s="27" t="e">
        <v>#N/A</v>
      </c>
      <c r="G1049" s="18" t="s">
        <v>147</v>
      </c>
      <c r="H1049" s="18" t="s">
        <v>148</v>
      </c>
      <c r="I1049" s="18" t="s">
        <v>54</v>
      </c>
      <c r="J1049" s="18" t="s">
        <v>395</v>
      </c>
      <c r="K1049" s="18" t="s">
        <v>56</v>
      </c>
      <c r="L1049" s="18" t="s">
        <v>36</v>
      </c>
      <c r="N1049" s="18">
        <v>6</v>
      </c>
      <c r="O1049" s="18" t="s">
        <v>93</v>
      </c>
      <c r="P1049" s="18" t="s">
        <v>38</v>
      </c>
      <c r="Q1049" s="18" t="s">
        <v>58</v>
      </c>
      <c r="R1049" s="18" t="s">
        <v>59</v>
      </c>
      <c r="S1049" s="18" t="s">
        <v>60</v>
      </c>
      <c r="T1049" s="18" t="b">
        <v>1</v>
      </c>
      <c r="U1049" s="18" t="s">
        <v>150</v>
      </c>
      <c r="V1049" s="18" t="s">
        <v>40</v>
      </c>
      <c r="W1049" s="18" t="s">
        <v>126</v>
      </c>
      <c r="X1049" s="18" t="s">
        <v>127</v>
      </c>
      <c r="Y1049" s="18">
        <v>1</v>
      </c>
      <c r="Z1049" s="18">
        <v>30839</v>
      </c>
      <c r="AA1049" s="18" t="s">
        <v>469</v>
      </c>
      <c r="AB1049" s="18" t="s">
        <v>470</v>
      </c>
      <c r="AC1049" s="18" t="e">
        <v>#N/A</v>
      </c>
    </row>
    <row r="1050" s="18" customFormat="1" spans="1:29">
      <c r="A1050" s="18" t="s">
        <v>2557</v>
      </c>
      <c r="B1050" s="25" t="s">
        <v>2557</v>
      </c>
      <c r="C1050" s="26">
        <v>45694</v>
      </c>
      <c r="D1050" s="18" t="s">
        <v>1155</v>
      </c>
      <c r="E1050" s="18" t="str">
        <f t="shared" si="16"/>
        <v>Ravi Kiroula </v>
      </c>
      <c r="F1050" s="27" t="e">
        <v>#N/A</v>
      </c>
      <c r="G1050" s="18" t="s">
        <v>147</v>
      </c>
      <c r="H1050" s="18" t="s">
        <v>148</v>
      </c>
      <c r="I1050" s="18" t="s">
        <v>54</v>
      </c>
      <c r="J1050" s="18" t="s">
        <v>149</v>
      </c>
      <c r="K1050" s="18" t="s">
        <v>56</v>
      </c>
      <c r="L1050" s="18" t="s">
        <v>36</v>
      </c>
      <c r="N1050" s="18">
        <v>6</v>
      </c>
      <c r="O1050" s="18" t="s">
        <v>93</v>
      </c>
      <c r="P1050" s="18" t="s">
        <v>38</v>
      </c>
      <c r="Q1050" s="18" t="s">
        <v>58</v>
      </c>
      <c r="R1050" s="18" t="s">
        <v>59</v>
      </c>
      <c r="S1050" s="18" t="s">
        <v>60</v>
      </c>
      <c r="T1050" s="18" t="b">
        <v>1</v>
      </c>
      <c r="U1050" s="18" t="s">
        <v>150</v>
      </c>
      <c r="V1050" s="18" t="s">
        <v>40</v>
      </c>
      <c r="W1050" s="18" t="s">
        <v>126</v>
      </c>
      <c r="X1050" s="18" t="s">
        <v>127</v>
      </c>
      <c r="Y1050" s="18">
        <v>1</v>
      </c>
      <c r="Z1050" s="18">
        <v>6600</v>
      </c>
      <c r="AA1050" s="18" t="s">
        <v>2558</v>
      </c>
      <c r="AB1050" s="18" t="s">
        <v>1166</v>
      </c>
      <c r="AC1050" s="18" t="e">
        <v>#N/A</v>
      </c>
    </row>
    <row r="1051" s="18" customFormat="1" spans="1:29">
      <c r="A1051" s="18" t="s">
        <v>2559</v>
      </c>
      <c r="B1051" s="25" t="s">
        <v>2559</v>
      </c>
      <c r="C1051" s="26">
        <v>45694</v>
      </c>
      <c r="D1051" s="18" t="s">
        <v>2525</v>
      </c>
      <c r="E1051" s="18" t="str">
        <f t="shared" si="16"/>
        <v>Naveen Mandal  </v>
      </c>
      <c r="F1051" s="27" t="s">
        <v>2526</v>
      </c>
      <c r="G1051" s="18" t="s">
        <v>147</v>
      </c>
      <c r="H1051" s="18" t="s">
        <v>148</v>
      </c>
      <c r="I1051" s="18" t="s">
        <v>54</v>
      </c>
      <c r="J1051" s="18" t="s">
        <v>149</v>
      </c>
      <c r="K1051" s="18" t="s">
        <v>56</v>
      </c>
      <c r="L1051" s="18" t="s">
        <v>36</v>
      </c>
      <c r="N1051" s="18">
        <v>6</v>
      </c>
      <c r="O1051" s="18" t="s">
        <v>93</v>
      </c>
      <c r="P1051" s="18" t="s">
        <v>38</v>
      </c>
      <c r="Q1051" s="18" t="s">
        <v>58</v>
      </c>
      <c r="R1051" s="18" t="s">
        <v>59</v>
      </c>
      <c r="S1051" s="18" t="s">
        <v>60</v>
      </c>
      <c r="T1051" s="18" t="b">
        <v>1</v>
      </c>
      <c r="U1051" s="18" t="s">
        <v>150</v>
      </c>
      <c r="V1051" s="18" t="s">
        <v>40</v>
      </c>
      <c r="W1051" s="18" t="s">
        <v>126</v>
      </c>
      <c r="X1051" s="18" t="s">
        <v>127</v>
      </c>
      <c r="Y1051" s="18">
        <v>1</v>
      </c>
      <c r="Z1051" s="18">
        <v>2920</v>
      </c>
      <c r="AA1051" s="18" t="s">
        <v>2560</v>
      </c>
      <c r="AB1051" s="18" t="s">
        <v>1665</v>
      </c>
      <c r="AC1051" s="18" t="e">
        <v>#N/A</v>
      </c>
    </row>
    <row r="1052" s="18" customFormat="1" spans="1:29">
      <c r="A1052" s="18" t="s">
        <v>2561</v>
      </c>
      <c r="B1052" s="25" t="s">
        <v>2561</v>
      </c>
      <c r="C1052" s="26">
        <v>45694</v>
      </c>
      <c r="D1052" s="18" t="s">
        <v>2528</v>
      </c>
      <c r="E1052" s="18" t="str">
        <f t="shared" si="16"/>
        <v>Sushil Nain  </v>
      </c>
      <c r="F1052" s="27" t="e">
        <v>#N/A</v>
      </c>
      <c r="G1052" s="18" t="s">
        <v>147</v>
      </c>
      <c r="H1052" s="18" t="s">
        <v>148</v>
      </c>
      <c r="I1052" s="18" t="s">
        <v>54</v>
      </c>
      <c r="J1052" s="18" t="s">
        <v>149</v>
      </c>
      <c r="K1052" s="18" t="s">
        <v>56</v>
      </c>
      <c r="L1052" s="18" t="s">
        <v>36</v>
      </c>
      <c r="N1052" s="18">
        <v>6</v>
      </c>
      <c r="O1052" s="18" t="s">
        <v>93</v>
      </c>
      <c r="P1052" s="18" t="s">
        <v>38</v>
      </c>
      <c r="Q1052" s="18" t="s">
        <v>58</v>
      </c>
      <c r="R1052" s="18" t="s">
        <v>59</v>
      </c>
      <c r="S1052" s="18" t="s">
        <v>60</v>
      </c>
      <c r="T1052" s="18" t="b">
        <v>1</v>
      </c>
      <c r="U1052" s="18" t="s">
        <v>150</v>
      </c>
      <c r="V1052" s="18" t="s">
        <v>40</v>
      </c>
      <c r="W1052" s="18" t="s">
        <v>126</v>
      </c>
      <c r="X1052" s="18" t="s">
        <v>127</v>
      </c>
      <c r="Y1052" s="18">
        <v>1</v>
      </c>
      <c r="Z1052" s="18">
        <v>3062</v>
      </c>
      <c r="AA1052" s="18" t="s">
        <v>2529</v>
      </c>
      <c r="AB1052" s="18" t="s">
        <v>555</v>
      </c>
      <c r="AC1052" s="18" t="e">
        <v>#N/A</v>
      </c>
    </row>
    <row r="1053" s="18" customFormat="1" spans="1:29">
      <c r="A1053" s="18" t="s">
        <v>2562</v>
      </c>
      <c r="B1053" s="25" t="s">
        <v>2562</v>
      </c>
      <c r="C1053" s="26">
        <v>45694</v>
      </c>
      <c r="D1053" s="18" t="s">
        <v>411</v>
      </c>
      <c r="E1053" s="18" t="str">
        <f t="shared" si="16"/>
        <v>Vijender  </v>
      </c>
      <c r="F1053" s="27" t="e">
        <v>#N/A</v>
      </c>
      <c r="G1053" s="18" t="s">
        <v>147</v>
      </c>
      <c r="H1053" s="18" t="s">
        <v>148</v>
      </c>
      <c r="I1053" s="18" t="s">
        <v>54</v>
      </c>
      <c r="J1053" s="18" t="s">
        <v>395</v>
      </c>
      <c r="K1053" s="18" t="s">
        <v>56</v>
      </c>
      <c r="L1053" s="18" t="s">
        <v>36</v>
      </c>
      <c r="N1053" s="18">
        <v>6</v>
      </c>
      <c r="O1053" s="18" t="s">
        <v>93</v>
      </c>
      <c r="P1053" s="18" t="s">
        <v>38</v>
      </c>
      <c r="Q1053" s="18" t="s">
        <v>58</v>
      </c>
      <c r="R1053" s="18" t="s">
        <v>59</v>
      </c>
      <c r="S1053" s="18" t="s">
        <v>60</v>
      </c>
      <c r="T1053" s="18" t="b">
        <v>1</v>
      </c>
      <c r="U1053" s="18" t="s">
        <v>150</v>
      </c>
      <c r="V1053" s="18" t="s">
        <v>40</v>
      </c>
      <c r="W1053" s="18" t="s">
        <v>126</v>
      </c>
      <c r="X1053" s="18" t="s">
        <v>127</v>
      </c>
      <c r="Y1053" s="18">
        <v>1</v>
      </c>
      <c r="Z1053" s="18">
        <v>8357</v>
      </c>
      <c r="AA1053" s="18" t="s">
        <v>2563</v>
      </c>
      <c r="AB1053" s="18" t="s">
        <v>415</v>
      </c>
      <c r="AC1053" s="18" t="e">
        <v>#N/A</v>
      </c>
    </row>
    <row r="1054" s="18" customFormat="1" spans="1:29">
      <c r="A1054" s="18" t="s">
        <v>2564</v>
      </c>
      <c r="B1054" s="25" t="s">
        <v>2564</v>
      </c>
      <c r="C1054" s="26">
        <v>45694</v>
      </c>
      <c r="D1054" s="18" t="s">
        <v>2565</v>
      </c>
      <c r="E1054" s="18" t="str">
        <f t="shared" si="16"/>
        <v>Jagdish Kumar Singh........</v>
      </c>
      <c r="F1054" s="27" t="e">
        <v>#N/A</v>
      </c>
      <c r="G1054" s="18" t="s">
        <v>147</v>
      </c>
      <c r="H1054" s="18" t="s">
        <v>148</v>
      </c>
      <c r="I1054" s="18" t="s">
        <v>54</v>
      </c>
      <c r="J1054" s="18" t="s">
        <v>149</v>
      </c>
      <c r="K1054" s="18" t="s">
        <v>56</v>
      </c>
      <c r="L1054" s="18" t="s">
        <v>36</v>
      </c>
      <c r="N1054" s="18">
        <v>6</v>
      </c>
      <c r="O1054" s="18" t="s">
        <v>93</v>
      </c>
      <c r="P1054" s="18" t="s">
        <v>38</v>
      </c>
      <c r="Q1054" s="18" t="s">
        <v>58</v>
      </c>
      <c r="R1054" s="18" t="s">
        <v>59</v>
      </c>
      <c r="S1054" s="18" t="s">
        <v>60</v>
      </c>
      <c r="T1054" s="18" t="b">
        <v>1</v>
      </c>
      <c r="U1054" s="18" t="s">
        <v>150</v>
      </c>
      <c r="V1054" s="18" t="s">
        <v>40</v>
      </c>
      <c r="W1054" s="18" t="s">
        <v>126</v>
      </c>
      <c r="X1054" s="18" t="s">
        <v>127</v>
      </c>
      <c r="Y1054" s="18">
        <v>1</v>
      </c>
      <c r="Z1054" s="18">
        <v>13500</v>
      </c>
      <c r="AA1054" s="18" t="s">
        <v>2566</v>
      </c>
      <c r="AB1054" s="18" t="s">
        <v>2567</v>
      </c>
      <c r="AC1054" s="18" t="e">
        <v>#N/A</v>
      </c>
    </row>
    <row r="1055" s="18" customFormat="1" spans="1:29">
      <c r="A1055" s="18" t="s">
        <v>2568</v>
      </c>
      <c r="B1055" s="25" t="s">
        <v>2568</v>
      </c>
      <c r="C1055" s="26">
        <v>45694</v>
      </c>
      <c r="D1055" s="18" t="s">
        <v>378</v>
      </c>
      <c r="E1055" s="18" t="str">
        <f t="shared" si="16"/>
        <v>Ravi.........</v>
      </c>
      <c r="F1055" s="27" t="e">
        <v>#N/A</v>
      </c>
      <c r="G1055" s="18" t="s">
        <v>147</v>
      </c>
      <c r="H1055" s="18" t="s">
        <v>148</v>
      </c>
      <c r="I1055" s="18" t="s">
        <v>54</v>
      </c>
      <c r="J1055" s="18" t="s">
        <v>149</v>
      </c>
      <c r="K1055" s="18" t="s">
        <v>56</v>
      </c>
      <c r="L1055" s="18" t="s">
        <v>36</v>
      </c>
      <c r="N1055" s="18">
        <v>6</v>
      </c>
      <c r="O1055" s="18" t="s">
        <v>93</v>
      </c>
      <c r="P1055" s="18" t="s">
        <v>38</v>
      </c>
      <c r="Q1055" s="18" t="s">
        <v>58</v>
      </c>
      <c r="R1055" s="18" t="s">
        <v>59</v>
      </c>
      <c r="S1055" s="18" t="s">
        <v>60</v>
      </c>
      <c r="T1055" s="18" t="b">
        <v>1</v>
      </c>
      <c r="U1055" s="18" t="s">
        <v>150</v>
      </c>
      <c r="V1055" s="18" t="s">
        <v>40</v>
      </c>
      <c r="W1055" s="18" t="s">
        <v>126</v>
      </c>
      <c r="X1055" s="18" t="s">
        <v>127</v>
      </c>
      <c r="Y1055" s="18">
        <v>1</v>
      </c>
      <c r="Z1055" s="18">
        <v>12408</v>
      </c>
      <c r="AA1055" s="18" t="s">
        <v>343</v>
      </c>
      <c r="AC1055" s="18" t="e">
        <v>#N/A</v>
      </c>
    </row>
    <row r="1056" s="18" customFormat="1" spans="1:29">
      <c r="A1056" s="18" t="s">
        <v>2569</v>
      </c>
      <c r="B1056" s="25" t="s">
        <v>2569</v>
      </c>
      <c r="C1056" s="26">
        <v>45694</v>
      </c>
      <c r="D1056" s="18" t="s">
        <v>1740</v>
      </c>
      <c r="E1056" s="18" t="str">
        <f t="shared" si="16"/>
        <v>Harshit Jain...............  </v>
      </c>
      <c r="F1056" s="27" t="e">
        <v>#N/A</v>
      </c>
      <c r="G1056" s="18" t="s">
        <v>147</v>
      </c>
      <c r="H1056" s="18" t="s">
        <v>148</v>
      </c>
      <c r="I1056" s="18" t="s">
        <v>54</v>
      </c>
      <c r="J1056" s="18" t="s">
        <v>139</v>
      </c>
      <c r="K1056" s="18" t="s">
        <v>56</v>
      </c>
      <c r="L1056" s="18" t="s">
        <v>36</v>
      </c>
      <c r="N1056" s="18">
        <v>6</v>
      </c>
      <c r="O1056" s="18" t="s">
        <v>93</v>
      </c>
      <c r="P1056" s="18" t="s">
        <v>38</v>
      </c>
      <c r="Q1056" s="18" t="s">
        <v>58</v>
      </c>
      <c r="R1056" s="18" t="s">
        <v>59</v>
      </c>
      <c r="S1056" s="18" t="s">
        <v>60</v>
      </c>
      <c r="T1056" s="18" t="b">
        <v>1</v>
      </c>
      <c r="U1056" s="18" t="s">
        <v>150</v>
      </c>
      <c r="V1056" s="18" t="s">
        <v>40</v>
      </c>
      <c r="W1056" s="18" t="s">
        <v>126</v>
      </c>
      <c r="X1056" s="18" t="s">
        <v>127</v>
      </c>
      <c r="Y1056" s="18">
        <v>1</v>
      </c>
      <c r="Z1056" s="18">
        <v>278</v>
      </c>
      <c r="AA1056" s="18" t="s">
        <v>142</v>
      </c>
      <c r="AB1056" s="18" t="s">
        <v>143</v>
      </c>
      <c r="AC1056" s="18" t="e">
        <v>#N/A</v>
      </c>
    </row>
    <row r="1057" s="18" customFormat="1" spans="1:29">
      <c r="A1057" s="18" t="s">
        <v>2570</v>
      </c>
      <c r="B1057" s="25" t="s">
        <v>2570</v>
      </c>
      <c r="C1057" s="26">
        <v>45694</v>
      </c>
      <c r="D1057" s="18" t="s">
        <v>365</v>
      </c>
      <c r="E1057" s="18" t="str">
        <f t="shared" si="16"/>
        <v>Samarth Kapoor  </v>
      </c>
      <c r="F1057" s="27" t="e">
        <v>#N/A</v>
      </c>
      <c r="G1057" s="18" t="s">
        <v>147</v>
      </c>
      <c r="H1057" s="18" t="s">
        <v>148</v>
      </c>
      <c r="I1057" s="18" t="s">
        <v>54</v>
      </c>
      <c r="J1057" s="18" t="s">
        <v>139</v>
      </c>
      <c r="K1057" s="18" t="s">
        <v>56</v>
      </c>
      <c r="L1057" s="18" t="s">
        <v>36</v>
      </c>
      <c r="N1057" s="18">
        <v>6</v>
      </c>
      <c r="O1057" s="18" t="s">
        <v>93</v>
      </c>
      <c r="P1057" s="18" t="s">
        <v>38</v>
      </c>
      <c r="Q1057" s="18" t="s">
        <v>58</v>
      </c>
      <c r="R1057" s="18" t="s">
        <v>59</v>
      </c>
      <c r="S1057" s="18" t="s">
        <v>60</v>
      </c>
      <c r="T1057" s="18" t="b">
        <v>1</v>
      </c>
      <c r="U1057" s="18" t="s">
        <v>150</v>
      </c>
      <c r="V1057" s="18" t="s">
        <v>40</v>
      </c>
      <c r="W1057" s="18" t="s">
        <v>126</v>
      </c>
      <c r="X1057" s="18" t="s">
        <v>127</v>
      </c>
      <c r="Y1057" s="18">
        <v>1</v>
      </c>
      <c r="Z1057" s="18">
        <v>480</v>
      </c>
      <c r="AA1057" s="18" t="s">
        <v>1727</v>
      </c>
      <c r="AB1057" s="18" t="s">
        <v>367</v>
      </c>
      <c r="AC1057" s="18" t="e">
        <v>#N/A</v>
      </c>
    </row>
    <row r="1058" s="18" customFormat="1" spans="1:29">
      <c r="A1058" s="18" t="s">
        <v>2571</v>
      </c>
      <c r="B1058" s="25" t="s">
        <v>2571</v>
      </c>
      <c r="C1058" s="26">
        <v>45694</v>
      </c>
      <c r="D1058" s="18" t="s">
        <v>2528</v>
      </c>
      <c r="E1058" s="18" t="str">
        <f t="shared" si="16"/>
        <v>Sushil Nain  </v>
      </c>
      <c r="F1058" s="27" t="e">
        <v>#N/A</v>
      </c>
      <c r="G1058" s="18" t="s">
        <v>147</v>
      </c>
      <c r="H1058" s="18" t="s">
        <v>148</v>
      </c>
      <c r="I1058" s="18" t="s">
        <v>54</v>
      </c>
      <c r="J1058" s="18" t="s">
        <v>139</v>
      </c>
      <c r="K1058" s="18" t="s">
        <v>56</v>
      </c>
      <c r="L1058" s="18" t="s">
        <v>36</v>
      </c>
      <c r="N1058" s="18">
        <v>6</v>
      </c>
      <c r="O1058" s="18" t="s">
        <v>93</v>
      </c>
      <c r="P1058" s="18" t="s">
        <v>38</v>
      </c>
      <c r="Q1058" s="18" t="s">
        <v>58</v>
      </c>
      <c r="R1058" s="18" t="s">
        <v>59</v>
      </c>
      <c r="S1058" s="18" t="s">
        <v>60</v>
      </c>
      <c r="T1058" s="18" t="b">
        <v>1</v>
      </c>
      <c r="U1058" s="18" t="s">
        <v>150</v>
      </c>
      <c r="V1058" s="18" t="s">
        <v>40</v>
      </c>
      <c r="W1058" s="18" t="s">
        <v>126</v>
      </c>
      <c r="X1058" s="18" t="s">
        <v>127</v>
      </c>
      <c r="Y1058" s="18">
        <v>1</v>
      </c>
      <c r="Z1058" s="18">
        <v>1169</v>
      </c>
      <c r="AA1058" s="18" t="s">
        <v>554</v>
      </c>
      <c r="AB1058" s="18" t="s">
        <v>555</v>
      </c>
      <c r="AC1058" s="18" t="e">
        <v>#N/A</v>
      </c>
    </row>
    <row r="1059" s="18" customFormat="1" spans="1:29">
      <c r="A1059" s="18" t="s">
        <v>2572</v>
      </c>
      <c r="B1059" s="25" t="s">
        <v>2572</v>
      </c>
      <c r="C1059" s="26">
        <v>45694</v>
      </c>
      <c r="D1059" s="18" t="s">
        <v>2543</v>
      </c>
      <c r="E1059" s="18" t="str">
        <f t="shared" si="16"/>
        <v>Gurpreet Singh Khani...........  </v>
      </c>
      <c r="F1059" s="27" t="e">
        <v>#N/A</v>
      </c>
      <c r="G1059" s="18" t="s">
        <v>147</v>
      </c>
      <c r="H1059" s="18" t="s">
        <v>148</v>
      </c>
      <c r="I1059" s="18" t="s">
        <v>54</v>
      </c>
      <c r="J1059" s="18" t="s">
        <v>466</v>
      </c>
      <c r="K1059" s="18" t="s">
        <v>56</v>
      </c>
      <c r="L1059" s="18" t="s">
        <v>36</v>
      </c>
      <c r="N1059" s="18">
        <v>6</v>
      </c>
      <c r="O1059" s="18" t="s">
        <v>93</v>
      </c>
      <c r="P1059" s="18" t="s">
        <v>38</v>
      </c>
      <c r="Q1059" s="18" t="s">
        <v>58</v>
      </c>
      <c r="R1059" s="18" t="s">
        <v>59</v>
      </c>
      <c r="S1059" s="18" t="s">
        <v>60</v>
      </c>
      <c r="T1059" s="18" t="b">
        <v>1</v>
      </c>
      <c r="U1059" s="18" t="s">
        <v>150</v>
      </c>
      <c r="V1059" s="18" t="s">
        <v>40</v>
      </c>
      <c r="W1059" s="18" t="s">
        <v>126</v>
      </c>
      <c r="X1059" s="18" t="s">
        <v>127</v>
      </c>
      <c r="Y1059" s="18">
        <v>1</v>
      </c>
      <c r="Z1059" s="18">
        <v>4032</v>
      </c>
      <c r="AA1059" s="18" t="s">
        <v>172</v>
      </c>
      <c r="AB1059" s="18" t="s">
        <v>173</v>
      </c>
      <c r="AC1059" s="18" t="e">
        <v>#N/A</v>
      </c>
    </row>
    <row r="1060" s="18" customFormat="1" ht="29" spans="1:29">
      <c r="A1060" s="18" t="s">
        <v>2573</v>
      </c>
      <c r="B1060" s="25" t="s">
        <v>2573</v>
      </c>
      <c r="C1060" s="26">
        <v>45694</v>
      </c>
      <c r="D1060" s="18" t="s">
        <v>1031</v>
      </c>
      <c r="E1060" s="18" t="str">
        <f t="shared" si="16"/>
        <v>Genesis Infoserve Pvt Ltd</v>
      </c>
      <c r="F1060" s="27" t="s">
        <v>1032</v>
      </c>
      <c r="G1060" s="18" t="s">
        <v>182</v>
      </c>
      <c r="H1060" s="18" t="s">
        <v>473</v>
      </c>
      <c r="I1060" s="18" t="s">
        <v>184</v>
      </c>
      <c r="K1060" s="18" t="s">
        <v>35</v>
      </c>
      <c r="L1060" s="18" t="s">
        <v>36</v>
      </c>
      <c r="N1060" s="18">
        <v>6</v>
      </c>
      <c r="O1060" s="18" t="s">
        <v>88</v>
      </c>
      <c r="P1060" s="18" t="s">
        <v>38</v>
      </c>
      <c r="T1060" s="18" t="b">
        <v>0</v>
      </c>
      <c r="U1060" s="18" t="s">
        <v>187</v>
      </c>
      <c r="V1060" s="18" t="s">
        <v>40</v>
      </c>
      <c r="W1060" s="18" t="s">
        <v>1033</v>
      </c>
      <c r="X1060" s="18" t="s">
        <v>1033</v>
      </c>
      <c r="Y1060" s="18">
        <v>1</v>
      </c>
      <c r="Z1060" s="18">
        <v>34500</v>
      </c>
      <c r="AA1060" s="31" t="s">
        <v>992</v>
      </c>
      <c r="AB1060" s="18" t="s">
        <v>993</v>
      </c>
      <c r="AC1060" s="18" t="s">
        <v>200</v>
      </c>
    </row>
    <row r="1061" s="18" customFormat="1" spans="1:29">
      <c r="A1061" s="18" t="s">
        <v>2574</v>
      </c>
      <c r="B1061" s="25" t="s">
        <v>2574</v>
      </c>
      <c r="C1061" s="26">
        <v>45694</v>
      </c>
      <c r="D1061" s="18" t="s">
        <v>1054</v>
      </c>
      <c r="E1061" s="18" t="str">
        <f t="shared" si="16"/>
        <v>Suresh Pardhle  </v>
      </c>
      <c r="F1061" s="27" t="e">
        <v>#N/A</v>
      </c>
      <c r="G1061" s="18" t="s">
        <v>182</v>
      </c>
      <c r="H1061" s="18" t="s">
        <v>183</v>
      </c>
      <c r="I1061" s="18" t="s">
        <v>481</v>
      </c>
      <c r="J1061" s="18" t="s">
        <v>1995</v>
      </c>
      <c r="K1061" s="18" t="s">
        <v>56</v>
      </c>
      <c r="L1061" s="18" t="s">
        <v>36</v>
      </c>
      <c r="N1061" s="18">
        <v>6</v>
      </c>
      <c r="O1061" s="18" t="s">
        <v>93</v>
      </c>
      <c r="P1061" s="18" t="s">
        <v>38</v>
      </c>
      <c r="Q1061" s="18" t="s">
        <v>194</v>
      </c>
      <c r="R1061" s="18" t="s">
        <v>59</v>
      </c>
      <c r="S1061" s="18" t="s">
        <v>195</v>
      </c>
      <c r="T1061" s="18" t="b">
        <v>0</v>
      </c>
      <c r="U1061" s="18" t="s">
        <v>187</v>
      </c>
      <c r="V1061" s="18" t="s">
        <v>40</v>
      </c>
      <c r="W1061" s="18" t="s">
        <v>126</v>
      </c>
      <c r="X1061" s="18" t="s">
        <v>127</v>
      </c>
      <c r="Y1061" s="18">
        <v>1</v>
      </c>
      <c r="Z1061" s="18">
        <v>897</v>
      </c>
      <c r="AC1061" s="18" t="e">
        <v>#N/A</v>
      </c>
    </row>
    <row r="1062" s="18" customFormat="1" spans="1:29">
      <c r="A1062" s="18" t="s">
        <v>2575</v>
      </c>
      <c r="B1062" s="25" t="s">
        <v>2575</v>
      </c>
      <c r="C1062" s="26">
        <v>45694</v>
      </c>
      <c r="D1062" s="18" t="s">
        <v>2154</v>
      </c>
      <c r="E1062" s="18" t="str">
        <f t="shared" si="16"/>
        <v>Asif Khan  </v>
      </c>
      <c r="F1062" s="27" t="e">
        <v>#N/A</v>
      </c>
      <c r="G1062" s="18" t="s">
        <v>182</v>
      </c>
      <c r="H1062" s="18" t="s">
        <v>183</v>
      </c>
      <c r="I1062" s="18" t="s">
        <v>481</v>
      </c>
      <c r="J1062" s="18" t="s">
        <v>1889</v>
      </c>
      <c r="K1062" s="18" t="s">
        <v>56</v>
      </c>
      <c r="L1062" s="18" t="s">
        <v>36</v>
      </c>
      <c r="N1062" s="18">
        <v>6</v>
      </c>
      <c r="O1062" s="18" t="s">
        <v>93</v>
      </c>
      <c r="P1062" s="18" t="s">
        <v>38</v>
      </c>
      <c r="Q1062" s="18" t="s">
        <v>194</v>
      </c>
      <c r="R1062" s="18" t="s">
        <v>59</v>
      </c>
      <c r="S1062" s="18" t="s">
        <v>195</v>
      </c>
      <c r="T1062" s="18" t="b">
        <v>0</v>
      </c>
      <c r="U1062" s="18" t="s">
        <v>187</v>
      </c>
      <c r="V1062" s="18" t="s">
        <v>40</v>
      </c>
      <c r="W1062" s="18" t="s">
        <v>126</v>
      </c>
      <c r="X1062" s="18" t="s">
        <v>127</v>
      </c>
      <c r="Y1062" s="18">
        <v>1</v>
      </c>
      <c r="Z1062" s="18">
        <v>4182</v>
      </c>
      <c r="AC1062" s="18" t="e">
        <v>#N/A</v>
      </c>
    </row>
    <row r="1063" s="18" customFormat="1" spans="1:29">
      <c r="A1063" s="18" t="s">
        <v>2576</v>
      </c>
      <c r="B1063" s="25" t="s">
        <v>2576</v>
      </c>
      <c r="C1063" s="26">
        <v>45694</v>
      </c>
      <c r="D1063" s="18" t="s">
        <v>1052</v>
      </c>
      <c r="E1063" s="18" t="str">
        <f t="shared" si="16"/>
        <v>Sachin Jadhav </v>
      </c>
      <c r="F1063" s="27" t="e">
        <v>#N/A</v>
      </c>
      <c r="G1063" s="18" t="s">
        <v>182</v>
      </c>
      <c r="H1063" s="18" t="s">
        <v>183</v>
      </c>
      <c r="I1063" s="18" t="s">
        <v>481</v>
      </c>
      <c r="J1063" s="18" t="s">
        <v>1889</v>
      </c>
      <c r="K1063" s="18" t="s">
        <v>56</v>
      </c>
      <c r="L1063" s="18" t="s">
        <v>36</v>
      </c>
      <c r="N1063" s="18">
        <v>6</v>
      </c>
      <c r="O1063" s="18" t="s">
        <v>93</v>
      </c>
      <c r="P1063" s="18" t="s">
        <v>38</v>
      </c>
      <c r="Q1063" s="18" t="s">
        <v>194</v>
      </c>
      <c r="R1063" s="18" t="s">
        <v>59</v>
      </c>
      <c r="S1063" s="18" t="s">
        <v>195</v>
      </c>
      <c r="T1063" s="18" t="b">
        <v>0</v>
      </c>
      <c r="U1063" s="18" t="s">
        <v>187</v>
      </c>
      <c r="V1063" s="18" t="s">
        <v>40</v>
      </c>
      <c r="W1063" s="18" t="s">
        <v>126</v>
      </c>
      <c r="X1063" s="18" t="s">
        <v>127</v>
      </c>
      <c r="Y1063" s="18">
        <v>1</v>
      </c>
      <c r="Z1063" s="18">
        <v>846</v>
      </c>
      <c r="AC1063" s="18" t="e">
        <v>#N/A</v>
      </c>
    </row>
    <row r="1064" s="18" customFormat="1" spans="1:29">
      <c r="A1064" s="18" t="s">
        <v>2577</v>
      </c>
      <c r="B1064" s="25" t="s">
        <v>2577</v>
      </c>
      <c r="C1064" s="26">
        <v>45694</v>
      </c>
      <c r="D1064" s="18" t="s">
        <v>2578</v>
      </c>
      <c r="E1064" s="18" t="str">
        <f t="shared" si="16"/>
        <v>Pranil Buva  </v>
      </c>
      <c r="F1064" s="27" t="e">
        <v>#N/A</v>
      </c>
      <c r="G1064" s="18" t="s">
        <v>182</v>
      </c>
      <c r="H1064" s="18" t="s">
        <v>183</v>
      </c>
      <c r="I1064" s="18" t="s">
        <v>481</v>
      </c>
      <c r="J1064" s="18" t="s">
        <v>1889</v>
      </c>
      <c r="K1064" s="18" t="s">
        <v>56</v>
      </c>
      <c r="L1064" s="18" t="s">
        <v>36</v>
      </c>
      <c r="N1064" s="18">
        <v>6</v>
      </c>
      <c r="O1064" s="18" t="s">
        <v>93</v>
      </c>
      <c r="P1064" s="18" t="s">
        <v>38</v>
      </c>
      <c r="Q1064" s="18" t="s">
        <v>194</v>
      </c>
      <c r="R1064" s="18" t="s">
        <v>59</v>
      </c>
      <c r="S1064" s="18" t="s">
        <v>195</v>
      </c>
      <c r="T1064" s="18" t="b">
        <v>0</v>
      </c>
      <c r="U1064" s="18" t="s">
        <v>187</v>
      </c>
      <c r="V1064" s="18" t="s">
        <v>40</v>
      </c>
      <c r="W1064" s="18" t="s">
        <v>317</v>
      </c>
      <c r="X1064" s="18" t="s">
        <v>318</v>
      </c>
      <c r="Y1064" s="18">
        <v>1</v>
      </c>
      <c r="Z1064" s="18">
        <v>423</v>
      </c>
      <c r="AC1064" s="18" t="e">
        <v>#N/A</v>
      </c>
    </row>
    <row r="1065" s="18" customFormat="1" spans="1:29">
      <c r="A1065" s="18" t="s">
        <v>2579</v>
      </c>
      <c r="B1065" s="25" t="s">
        <v>2579</v>
      </c>
      <c r="C1065" s="26">
        <v>45694</v>
      </c>
      <c r="D1065" s="18" t="s">
        <v>1544</v>
      </c>
      <c r="E1065" s="18" t="str">
        <f t="shared" si="16"/>
        <v>Ghanshyam Asolkar </v>
      </c>
      <c r="F1065" s="27" t="e">
        <v>#N/A</v>
      </c>
      <c r="G1065" s="18" t="s">
        <v>182</v>
      </c>
      <c r="H1065" s="18" t="s">
        <v>183</v>
      </c>
      <c r="I1065" s="18" t="s">
        <v>481</v>
      </c>
      <c r="J1065" s="18" t="s">
        <v>1889</v>
      </c>
      <c r="K1065" s="18" t="s">
        <v>56</v>
      </c>
      <c r="L1065" s="18" t="s">
        <v>36</v>
      </c>
      <c r="N1065" s="18">
        <v>6</v>
      </c>
      <c r="O1065" s="18" t="s">
        <v>93</v>
      </c>
      <c r="P1065" s="18" t="s">
        <v>38</v>
      </c>
      <c r="Q1065" s="18" t="s">
        <v>194</v>
      </c>
      <c r="R1065" s="18" t="s">
        <v>59</v>
      </c>
      <c r="S1065" s="18" t="s">
        <v>195</v>
      </c>
      <c r="T1065" s="18" t="b">
        <v>0</v>
      </c>
      <c r="U1065" s="18" t="s">
        <v>187</v>
      </c>
      <c r="V1065" s="18" t="s">
        <v>40</v>
      </c>
      <c r="W1065" s="18" t="s">
        <v>126</v>
      </c>
      <c r="X1065" s="18" t="s">
        <v>127</v>
      </c>
      <c r="Y1065" s="18">
        <v>1</v>
      </c>
      <c r="Z1065" s="18">
        <v>1881</v>
      </c>
      <c r="AC1065" s="18" t="e">
        <v>#N/A</v>
      </c>
    </row>
    <row r="1066" s="18" customFormat="1" spans="1:29">
      <c r="A1066" s="18" t="s">
        <v>2580</v>
      </c>
      <c r="B1066" s="25" t="s">
        <v>2580</v>
      </c>
      <c r="C1066" s="26">
        <v>45694</v>
      </c>
      <c r="D1066" s="18" t="s">
        <v>1532</v>
      </c>
      <c r="E1066" s="18" t="str">
        <f t="shared" si="16"/>
        <v>Keval Rajyaguru  </v>
      </c>
      <c r="F1066" s="27" t="e">
        <v>#N/A</v>
      </c>
      <c r="G1066" s="18" t="s">
        <v>182</v>
      </c>
      <c r="H1066" s="18" t="s">
        <v>183</v>
      </c>
      <c r="I1066" s="18" t="s">
        <v>481</v>
      </c>
      <c r="J1066" s="18" t="s">
        <v>1889</v>
      </c>
      <c r="K1066" s="18" t="s">
        <v>56</v>
      </c>
      <c r="L1066" s="18" t="s">
        <v>36</v>
      </c>
      <c r="N1066" s="18">
        <v>6</v>
      </c>
      <c r="O1066" s="18" t="s">
        <v>93</v>
      </c>
      <c r="P1066" s="18" t="s">
        <v>38</v>
      </c>
      <c r="Q1066" s="18" t="s">
        <v>194</v>
      </c>
      <c r="R1066" s="18" t="s">
        <v>59</v>
      </c>
      <c r="S1066" s="18" t="s">
        <v>195</v>
      </c>
      <c r="T1066" s="18" t="b">
        <v>0</v>
      </c>
      <c r="U1066" s="18" t="s">
        <v>187</v>
      </c>
      <c r="V1066" s="18" t="s">
        <v>40</v>
      </c>
      <c r="W1066" s="18" t="s">
        <v>317</v>
      </c>
      <c r="X1066" s="18" t="s">
        <v>318</v>
      </c>
      <c r="Y1066" s="18">
        <v>1</v>
      </c>
      <c r="Z1066" s="18">
        <v>2599</v>
      </c>
      <c r="AC1066" s="18" t="e">
        <v>#N/A</v>
      </c>
    </row>
    <row r="1067" s="18" customFormat="1" spans="1:29">
      <c r="A1067" s="18" t="s">
        <v>2581</v>
      </c>
      <c r="B1067" s="25" t="s">
        <v>2581</v>
      </c>
      <c r="C1067" s="26">
        <v>45694</v>
      </c>
      <c r="D1067" s="18" t="s">
        <v>2154</v>
      </c>
      <c r="E1067" s="18" t="str">
        <f t="shared" si="16"/>
        <v>Asif Khan  </v>
      </c>
      <c r="F1067" s="27" t="e">
        <v>#N/A</v>
      </c>
      <c r="G1067" s="18" t="s">
        <v>182</v>
      </c>
      <c r="H1067" s="18" t="s">
        <v>183</v>
      </c>
      <c r="I1067" s="18" t="s">
        <v>481</v>
      </c>
      <c r="J1067" s="18" t="s">
        <v>1889</v>
      </c>
      <c r="K1067" s="18" t="s">
        <v>56</v>
      </c>
      <c r="L1067" s="18" t="s">
        <v>36</v>
      </c>
      <c r="N1067" s="18">
        <v>6</v>
      </c>
      <c r="O1067" s="18" t="s">
        <v>93</v>
      </c>
      <c r="P1067" s="18" t="s">
        <v>38</v>
      </c>
      <c r="Q1067" s="18" t="s">
        <v>194</v>
      </c>
      <c r="R1067" s="18" t="s">
        <v>59</v>
      </c>
      <c r="S1067" s="18" t="s">
        <v>195</v>
      </c>
      <c r="T1067" s="18" t="b">
        <v>0</v>
      </c>
      <c r="U1067" s="18" t="s">
        <v>187</v>
      </c>
      <c r="V1067" s="18" t="s">
        <v>40</v>
      </c>
      <c r="W1067" s="18" t="s">
        <v>126</v>
      </c>
      <c r="X1067" s="18" t="s">
        <v>127</v>
      </c>
      <c r="Y1067" s="18">
        <v>1</v>
      </c>
      <c r="Z1067" s="18">
        <v>400</v>
      </c>
      <c r="AC1067" s="18" t="e">
        <v>#N/A</v>
      </c>
    </row>
    <row r="1068" s="18" customFormat="1" spans="1:29">
      <c r="A1068" s="18" t="s">
        <v>2582</v>
      </c>
      <c r="B1068" s="25" t="s">
        <v>2582</v>
      </c>
      <c r="C1068" s="26">
        <v>45694</v>
      </c>
      <c r="D1068" s="18" t="s">
        <v>2154</v>
      </c>
      <c r="E1068" s="18" t="str">
        <f t="shared" si="16"/>
        <v>Asif Khan  </v>
      </c>
      <c r="F1068" s="27" t="e">
        <v>#N/A</v>
      </c>
      <c r="G1068" s="18" t="s">
        <v>182</v>
      </c>
      <c r="H1068" s="18" t="s">
        <v>183</v>
      </c>
      <c r="I1068" s="18" t="s">
        <v>481</v>
      </c>
      <c r="J1068" s="18" t="s">
        <v>1889</v>
      </c>
      <c r="K1068" s="18" t="s">
        <v>56</v>
      </c>
      <c r="L1068" s="18" t="s">
        <v>36</v>
      </c>
      <c r="N1068" s="18">
        <v>6</v>
      </c>
      <c r="O1068" s="18" t="s">
        <v>93</v>
      </c>
      <c r="P1068" s="18" t="s">
        <v>38</v>
      </c>
      <c r="Q1068" s="18" t="s">
        <v>194</v>
      </c>
      <c r="R1068" s="18" t="s">
        <v>59</v>
      </c>
      <c r="S1068" s="18" t="s">
        <v>195</v>
      </c>
      <c r="T1068" s="18" t="b">
        <v>0</v>
      </c>
      <c r="U1068" s="18" t="s">
        <v>187</v>
      </c>
      <c r="V1068" s="18" t="s">
        <v>40</v>
      </c>
      <c r="W1068" s="18" t="s">
        <v>126</v>
      </c>
      <c r="X1068" s="18" t="s">
        <v>127</v>
      </c>
      <c r="Y1068" s="18">
        <v>1</v>
      </c>
      <c r="Z1068" s="18">
        <v>2966</v>
      </c>
      <c r="AC1068" s="18" t="e">
        <v>#N/A</v>
      </c>
    </row>
    <row r="1069" s="18" customFormat="1" spans="1:29">
      <c r="A1069" s="18" t="s">
        <v>2583</v>
      </c>
      <c r="B1069" s="25" t="s">
        <v>2583</v>
      </c>
      <c r="C1069" s="26">
        <v>45694</v>
      </c>
      <c r="D1069" s="18" t="s">
        <v>2584</v>
      </c>
      <c r="E1069" s="18" t="str">
        <f t="shared" si="16"/>
        <v>Bisleri International Pvt Ltd</v>
      </c>
      <c r="F1069" s="27" t="s">
        <v>2585</v>
      </c>
      <c r="G1069" s="18" t="s">
        <v>182</v>
      </c>
      <c r="H1069" s="18" t="s">
        <v>183</v>
      </c>
      <c r="I1069" s="18" t="s">
        <v>184</v>
      </c>
      <c r="J1069" s="18" t="s">
        <v>793</v>
      </c>
      <c r="K1069" s="18" t="s">
        <v>56</v>
      </c>
      <c r="L1069" s="18" t="s">
        <v>36</v>
      </c>
      <c r="N1069" s="18">
        <v>6</v>
      </c>
      <c r="O1069" s="18" t="s">
        <v>57</v>
      </c>
      <c r="P1069" s="18" t="s">
        <v>38</v>
      </c>
      <c r="Q1069" s="18" t="s">
        <v>194</v>
      </c>
      <c r="R1069" s="18" t="s">
        <v>59</v>
      </c>
      <c r="S1069" s="18" t="s">
        <v>195</v>
      </c>
      <c r="T1069" s="18" t="b">
        <v>0</v>
      </c>
      <c r="U1069" s="18" t="s">
        <v>187</v>
      </c>
      <c r="V1069" s="18" t="s">
        <v>40</v>
      </c>
      <c r="W1069" s="18" t="s">
        <v>233</v>
      </c>
      <c r="X1069" s="18" t="s">
        <v>234</v>
      </c>
      <c r="Y1069" s="18">
        <v>1</v>
      </c>
      <c r="Z1069" s="18">
        <v>18642.86</v>
      </c>
      <c r="AA1069" s="18" t="s">
        <v>258</v>
      </c>
      <c r="AB1069" s="18" t="s">
        <v>259</v>
      </c>
      <c r="AC1069" s="18" t="s">
        <v>200</v>
      </c>
    </row>
    <row r="1070" s="18" customFormat="1" spans="1:29">
      <c r="A1070" s="18" t="s">
        <v>2586</v>
      </c>
      <c r="B1070" s="25" t="s">
        <v>2586</v>
      </c>
      <c r="C1070" s="26">
        <v>45694</v>
      </c>
      <c r="D1070" s="18" t="s">
        <v>732</v>
      </c>
      <c r="E1070" s="18" t="str">
        <f t="shared" si="16"/>
        <v>Musafir.Com India Pvt Ltd</v>
      </c>
      <c r="F1070" s="27" t="s">
        <v>733</v>
      </c>
      <c r="G1070" s="18" t="s">
        <v>182</v>
      </c>
      <c r="H1070" s="18" t="s">
        <v>183</v>
      </c>
      <c r="I1070" s="18" t="s">
        <v>184</v>
      </c>
      <c r="J1070" s="18" t="s">
        <v>1426</v>
      </c>
      <c r="K1070" s="18" t="s">
        <v>56</v>
      </c>
      <c r="L1070" s="18" t="s">
        <v>36</v>
      </c>
      <c r="N1070" s="18">
        <v>6</v>
      </c>
      <c r="O1070" s="18" t="s">
        <v>57</v>
      </c>
      <c r="P1070" s="18" t="s">
        <v>38</v>
      </c>
      <c r="Q1070" s="18" t="s">
        <v>58</v>
      </c>
      <c r="R1070" s="18" t="s">
        <v>59</v>
      </c>
      <c r="S1070" s="18" t="s">
        <v>60</v>
      </c>
      <c r="T1070" s="18" t="b">
        <v>0</v>
      </c>
      <c r="U1070" s="18" t="s">
        <v>187</v>
      </c>
      <c r="V1070" s="18" t="s">
        <v>40</v>
      </c>
      <c r="W1070" s="18" t="s">
        <v>734</v>
      </c>
      <c r="X1070" s="18" t="s">
        <v>735</v>
      </c>
      <c r="Y1070" s="18">
        <v>1</v>
      </c>
      <c r="Z1070" s="18">
        <v>1125018</v>
      </c>
      <c r="AA1070" s="18" t="s">
        <v>736</v>
      </c>
      <c r="AB1070" s="18" t="s">
        <v>737</v>
      </c>
      <c r="AC1070" s="18" t="e">
        <v>#N/A</v>
      </c>
    </row>
    <row r="1071" s="18" customFormat="1" ht="29" spans="1:29">
      <c r="A1071" s="18" t="s">
        <v>2587</v>
      </c>
      <c r="B1071" s="25" t="s">
        <v>2587</v>
      </c>
      <c r="C1071" s="26">
        <v>45694</v>
      </c>
      <c r="D1071" s="18" t="s">
        <v>1781</v>
      </c>
      <c r="E1071" s="18" t="str">
        <f t="shared" si="16"/>
        <v>Vansh Agrawal</v>
      </c>
      <c r="F1071" s="27" t="s">
        <v>1782</v>
      </c>
      <c r="G1071" s="18" t="s">
        <v>182</v>
      </c>
      <c r="H1071" s="18" t="s">
        <v>183</v>
      </c>
      <c r="I1071" s="18" t="s">
        <v>184</v>
      </c>
      <c r="J1071" s="18" t="s">
        <v>1889</v>
      </c>
      <c r="K1071" s="18" t="s">
        <v>56</v>
      </c>
      <c r="L1071" s="18" t="s">
        <v>36</v>
      </c>
      <c r="N1071" s="18">
        <v>6</v>
      </c>
      <c r="O1071" s="18" t="s">
        <v>57</v>
      </c>
      <c r="P1071" s="18" t="s">
        <v>38</v>
      </c>
      <c r="Q1071" s="18" t="s">
        <v>194</v>
      </c>
      <c r="R1071" s="18" t="s">
        <v>59</v>
      </c>
      <c r="S1071" s="18" t="s">
        <v>195</v>
      </c>
      <c r="T1071" s="18" t="b">
        <v>0</v>
      </c>
      <c r="U1071" s="18" t="s">
        <v>187</v>
      </c>
      <c r="V1071" s="18" t="s">
        <v>40</v>
      </c>
      <c r="W1071" s="18" t="s">
        <v>683</v>
      </c>
      <c r="X1071" s="18" t="s">
        <v>684</v>
      </c>
      <c r="Y1071" s="18">
        <v>1</v>
      </c>
      <c r="Z1071" s="18">
        <v>50000</v>
      </c>
      <c r="AA1071" s="31" t="s">
        <v>800</v>
      </c>
      <c r="AB1071" s="18" t="s">
        <v>798</v>
      </c>
      <c r="AC1071" s="18" t="e">
        <v>#N/A</v>
      </c>
    </row>
    <row r="1072" s="18" customFormat="1" ht="29" spans="1:29">
      <c r="A1072" s="18" t="s">
        <v>2588</v>
      </c>
      <c r="B1072" s="25" t="s">
        <v>2588</v>
      </c>
      <c r="C1072" s="26">
        <v>45694</v>
      </c>
      <c r="D1072" s="18" t="s">
        <v>2589</v>
      </c>
      <c r="E1072" s="18" t="str">
        <f t="shared" si="16"/>
        <v>Sam Infosystems Pvt Ltd</v>
      </c>
      <c r="F1072" s="27" t="s">
        <v>2590</v>
      </c>
      <c r="G1072" s="18" t="s">
        <v>182</v>
      </c>
      <c r="H1072" s="18" t="s">
        <v>183</v>
      </c>
      <c r="I1072" s="18" t="s">
        <v>184</v>
      </c>
      <c r="J1072" s="18" t="s">
        <v>2591</v>
      </c>
      <c r="K1072" s="18" t="s">
        <v>56</v>
      </c>
      <c r="L1072" s="18" t="s">
        <v>36</v>
      </c>
      <c r="N1072" s="18">
        <v>6</v>
      </c>
      <c r="O1072" s="18" t="s">
        <v>57</v>
      </c>
      <c r="P1072" s="18" t="s">
        <v>38</v>
      </c>
      <c r="Q1072" s="18" t="s">
        <v>194</v>
      </c>
      <c r="R1072" s="18" t="s">
        <v>59</v>
      </c>
      <c r="S1072" s="18" t="s">
        <v>195</v>
      </c>
      <c r="T1072" s="18" t="b">
        <v>0</v>
      </c>
      <c r="U1072" s="18" t="s">
        <v>187</v>
      </c>
      <c r="V1072" s="18" t="s">
        <v>40</v>
      </c>
      <c r="W1072" s="18" t="s">
        <v>233</v>
      </c>
      <c r="X1072" s="18" t="s">
        <v>234</v>
      </c>
      <c r="Y1072" s="18">
        <v>1</v>
      </c>
      <c r="Z1072" s="18">
        <v>5900</v>
      </c>
      <c r="AA1072" s="31" t="s">
        <v>992</v>
      </c>
      <c r="AB1072" s="18" t="s">
        <v>993</v>
      </c>
      <c r="AC1072" s="18" t="s">
        <v>200</v>
      </c>
    </row>
    <row r="1073" s="18" customFormat="1" ht="29" spans="1:29">
      <c r="A1073" s="18" t="s">
        <v>2592</v>
      </c>
      <c r="B1073" s="25" t="s">
        <v>2592</v>
      </c>
      <c r="C1073" s="26">
        <v>45694</v>
      </c>
      <c r="D1073" s="18" t="s">
        <v>1811</v>
      </c>
      <c r="E1073" s="18" t="str">
        <f t="shared" si="16"/>
        <v>Fabrile Productions</v>
      </c>
      <c r="F1073" s="27" t="s">
        <v>1812</v>
      </c>
      <c r="G1073" s="18" t="s">
        <v>182</v>
      </c>
      <c r="H1073" s="18" t="s">
        <v>183</v>
      </c>
      <c r="I1073" s="18" t="s">
        <v>184</v>
      </c>
      <c r="J1073" s="18" t="s">
        <v>1995</v>
      </c>
      <c r="K1073" s="18" t="s">
        <v>56</v>
      </c>
      <c r="L1073" s="18" t="s">
        <v>36</v>
      </c>
      <c r="N1073" s="18">
        <v>6</v>
      </c>
      <c r="O1073" s="18" t="s">
        <v>88</v>
      </c>
      <c r="P1073" s="18" t="s">
        <v>38</v>
      </c>
      <c r="Q1073" s="18" t="s">
        <v>194</v>
      </c>
      <c r="R1073" s="18" t="s">
        <v>59</v>
      </c>
      <c r="S1073" s="18" t="s">
        <v>195</v>
      </c>
      <c r="T1073" s="18" t="b">
        <v>0</v>
      </c>
      <c r="U1073" s="18" t="s">
        <v>187</v>
      </c>
      <c r="V1073" s="18" t="s">
        <v>40</v>
      </c>
      <c r="W1073" s="18" t="s">
        <v>151</v>
      </c>
      <c r="X1073" s="18" t="s">
        <v>152</v>
      </c>
      <c r="Y1073" s="18">
        <v>1</v>
      </c>
      <c r="Z1073" s="18">
        <v>450000</v>
      </c>
      <c r="AA1073" s="31" t="s">
        <v>1977</v>
      </c>
      <c r="AB1073" s="18" t="s">
        <v>1978</v>
      </c>
      <c r="AC1073" s="18" t="s">
        <v>200</v>
      </c>
    </row>
    <row r="1074" s="18" customFormat="1" ht="29" spans="1:29">
      <c r="A1074" s="18" t="s">
        <v>2593</v>
      </c>
      <c r="B1074" s="25" t="s">
        <v>2593</v>
      </c>
      <c r="C1074" s="26">
        <v>45694</v>
      </c>
      <c r="D1074" s="18" t="s">
        <v>2594</v>
      </c>
      <c r="E1074" s="18" t="str">
        <f t="shared" si="16"/>
        <v>Sound Decisions.Com</v>
      </c>
      <c r="F1074" s="27" t="s">
        <v>2595</v>
      </c>
      <c r="G1074" s="18" t="s">
        <v>182</v>
      </c>
      <c r="H1074" s="18" t="s">
        <v>183</v>
      </c>
      <c r="I1074" s="18" t="s">
        <v>184</v>
      </c>
      <c r="J1074" s="18" t="s">
        <v>1995</v>
      </c>
      <c r="K1074" s="18" t="s">
        <v>56</v>
      </c>
      <c r="L1074" s="18" t="s">
        <v>36</v>
      </c>
      <c r="N1074" s="18">
        <v>6</v>
      </c>
      <c r="O1074" s="18" t="s">
        <v>57</v>
      </c>
      <c r="P1074" s="18" t="s">
        <v>38</v>
      </c>
      <c r="Q1074" s="18" t="s">
        <v>194</v>
      </c>
      <c r="R1074" s="18" t="s">
        <v>59</v>
      </c>
      <c r="S1074" s="18" t="s">
        <v>195</v>
      </c>
      <c r="T1074" s="18" t="b">
        <v>0</v>
      </c>
      <c r="U1074" s="18" t="s">
        <v>187</v>
      </c>
      <c r="V1074" s="18" t="s">
        <v>40</v>
      </c>
      <c r="W1074" s="18" t="s">
        <v>371</v>
      </c>
      <c r="X1074" s="18" t="s">
        <v>372</v>
      </c>
      <c r="Y1074" s="18">
        <v>1</v>
      </c>
      <c r="Z1074" s="18">
        <v>50000</v>
      </c>
      <c r="AA1074" s="31" t="s">
        <v>1977</v>
      </c>
      <c r="AB1074" s="18" t="s">
        <v>1978</v>
      </c>
      <c r="AC1074" s="18" t="s">
        <v>200</v>
      </c>
    </row>
    <row r="1075" s="18" customFormat="1" ht="29" spans="1:29">
      <c r="A1075" s="18" t="s">
        <v>2596</v>
      </c>
      <c r="B1075" s="25" t="s">
        <v>2596</v>
      </c>
      <c r="C1075" s="26">
        <v>45694</v>
      </c>
      <c r="D1075" s="18" t="s">
        <v>974</v>
      </c>
      <c r="E1075" s="18" t="str">
        <f t="shared" si="16"/>
        <v>Shiv Shakti Enterprises</v>
      </c>
      <c r="F1075" s="27" t="s">
        <v>975</v>
      </c>
      <c r="G1075" s="18" t="s">
        <v>182</v>
      </c>
      <c r="H1075" s="18" t="s">
        <v>183</v>
      </c>
      <c r="I1075" s="18" t="s">
        <v>184</v>
      </c>
      <c r="J1075" s="18" t="s">
        <v>1995</v>
      </c>
      <c r="K1075" s="18" t="s">
        <v>56</v>
      </c>
      <c r="L1075" s="18" t="s">
        <v>36</v>
      </c>
      <c r="N1075" s="18">
        <v>6</v>
      </c>
      <c r="O1075" s="18" t="s">
        <v>57</v>
      </c>
      <c r="P1075" s="18" t="s">
        <v>38</v>
      </c>
      <c r="Q1075" s="18" t="s">
        <v>194</v>
      </c>
      <c r="R1075" s="18" t="s">
        <v>59</v>
      </c>
      <c r="S1075" s="18" t="s">
        <v>195</v>
      </c>
      <c r="T1075" s="18" t="b">
        <v>0</v>
      </c>
      <c r="U1075" s="18" t="s">
        <v>187</v>
      </c>
      <c r="V1075" s="18" t="s">
        <v>40</v>
      </c>
      <c r="W1075" s="18" t="s">
        <v>371</v>
      </c>
      <c r="X1075" s="18" t="s">
        <v>372</v>
      </c>
      <c r="Y1075" s="18">
        <v>1</v>
      </c>
      <c r="Z1075" s="18">
        <v>110000</v>
      </c>
      <c r="AA1075" s="31" t="s">
        <v>1977</v>
      </c>
      <c r="AB1075" s="18" t="s">
        <v>1978</v>
      </c>
      <c r="AC1075" s="18" t="s">
        <v>200</v>
      </c>
    </row>
    <row r="1076" s="18" customFormat="1" ht="29" spans="1:29">
      <c r="A1076" s="18" t="s">
        <v>2597</v>
      </c>
      <c r="B1076" s="25" t="s">
        <v>2597</v>
      </c>
      <c r="C1076" s="26">
        <v>45694</v>
      </c>
      <c r="D1076" s="18" t="s">
        <v>977</v>
      </c>
      <c r="E1076" s="18" t="str">
        <f t="shared" si="16"/>
        <v>Videowaves</v>
      </c>
      <c r="F1076" s="27" t="e">
        <v>#N/A</v>
      </c>
      <c r="G1076" s="18" t="s">
        <v>182</v>
      </c>
      <c r="H1076" s="18" t="s">
        <v>183</v>
      </c>
      <c r="I1076" s="18" t="s">
        <v>184</v>
      </c>
      <c r="J1076" s="18" t="s">
        <v>1995</v>
      </c>
      <c r="K1076" s="18" t="s">
        <v>56</v>
      </c>
      <c r="L1076" s="18" t="s">
        <v>36</v>
      </c>
      <c r="N1076" s="18">
        <v>6</v>
      </c>
      <c r="O1076" s="18" t="s">
        <v>88</v>
      </c>
      <c r="P1076" s="18" t="s">
        <v>38</v>
      </c>
      <c r="Q1076" s="18" t="s">
        <v>194</v>
      </c>
      <c r="R1076" s="18" t="s">
        <v>59</v>
      </c>
      <c r="S1076" s="18" t="s">
        <v>195</v>
      </c>
      <c r="T1076" s="18" t="b">
        <v>0</v>
      </c>
      <c r="U1076" s="18" t="s">
        <v>187</v>
      </c>
      <c r="V1076" s="18" t="s">
        <v>40</v>
      </c>
      <c r="W1076" s="18" t="s">
        <v>371</v>
      </c>
      <c r="X1076" s="18" t="s">
        <v>372</v>
      </c>
      <c r="Y1076" s="18">
        <v>1</v>
      </c>
      <c r="Z1076" s="18">
        <v>190000</v>
      </c>
      <c r="AA1076" s="31" t="s">
        <v>1977</v>
      </c>
      <c r="AB1076" s="18" t="s">
        <v>1978</v>
      </c>
      <c r="AC1076" s="18" t="s">
        <v>200</v>
      </c>
    </row>
    <row r="1077" s="18" customFormat="1" ht="29" spans="1:29">
      <c r="A1077" s="18" t="s">
        <v>2598</v>
      </c>
      <c r="B1077" s="25" t="s">
        <v>2598</v>
      </c>
      <c r="C1077" s="26">
        <v>45694</v>
      </c>
      <c r="D1077" s="18" t="s">
        <v>1981</v>
      </c>
      <c r="E1077" s="18" t="str">
        <f t="shared" si="16"/>
        <v>Oriana Communications</v>
      </c>
      <c r="F1077" s="27" t="s">
        <v>1982</v>
      </c>
      <c r="G1077" s="18" t="s">
        <v>182</v>
      </c>
      <c r="H1077" s="18" t="s">
        <v>183</v>
      </c>
      <c r="I1077" s="18" t="s">
        <v>184</v>
      </c>
      <c r="J1077" s="18" t="s">
        <v>1995</v>
      </c>
      <c r="K1077" s="18" t="s">
        <v>56</v>
      </c>
      <c r="L1077" s="18" t="s">
        <v>36</v>
      </c>
      <c r="N1077" s="18">
        <v>6</v>
      </c>
      <c r="O1077" s="18" t="s">
        <v>57</v>
      </c>
      <c r="P1077" s="18" t="s">
        <v>38</v>
      </c>
      <c r="Q1077" s="18" t="s">
        <v>194</v>
      </c>
      <c r="R1077" s="18" t="s">
        <v>59</v>
      </c>
      <c r="S1077" s="18" t="s">
        <v>195</v>
      </c>
      <c r="T1077" s="18" t="b">
        <v>0</v>
      </c>
      <c r="U1077" s="18" t="s">
        <v>187</v>
      </c>
      <c r="V1077" s="18" t="s">
        <v>40</v>
      </c>
      <c r="W1077" s="18" t="s">
        <v>371</v>
      </c>
      <c r="X1077" s="18" t="s">
        <v>372</v>
      </c>
      <c r="Y1077" s="18">
        <v>1</v>
      </c>
      <c r="Z1077" s="18">
        <v>6800</v>
      </c>
      <c r="AA1077" s="31" t="s">
        <v>1977</v>
      </c>
      <c r="AB1077" s="18" t="s">
        <v>1978</v>
      </c>
      <c r="AC1077" s="18" t="s">
        <v>200</v>
      </c>
    </row>
    <row r="1078" s="18" customFormat="1" ht="29" spans="1:29">
      <c r="A1078" s="18" t="s">
        <v>2599</v>
      </c>
      <c r="B1078" s="25" t="s">
        <v>2599</v>
      </c>
      <c r="C1078" s="26">
        <v>45694</v>
      </c>
      <c r="D1078" s="18" t="s">
        <v>884</v>
      </c>
      <c r="E1078" s="18" t="str">
        <f t="shared" si="16"/>
        <v>Vinit Video Vision</v>
      </c>
      <c r="F1078" s="27" t="s">
        <v>885</v>
      </c>
      <c r="G1078" s="18" t="s">
        <v>182</v>
      </c>
      <c r="H1078" s="18" t="s">
        <v>183</v>
      </c>
      <c r="I1078" s="18" t="s">
        <v>184</v>
      </c>
      <c r="J1078" s="18" t="s">
        <v>1995</v>
      </c>
      <c r="K1078" s="18" t="s">
        <v>56</v>
      </c>
      <c r="L1078" s="18" t="s">
        <v>36</v>
      </c>
      <c r="N1078" s="18">
        <v>6</v>
      </c>
      <c r="O1078" s="18" t="s">
        <v>57</v>
      </c>
      <c r="P1078" s="18" t="s">
        <v>38</v>
      </c>
      <c r="Q1078" s="18" t="s">
        <v>194</v>
      </c>
      <c r="R1078" s="18" t="s">
        <v>59</v>
      </c>
      <c r="S1078" s="18" t="s">
        <v>195</v>
      </c>
      <c r="T1078" s="18" t="b">
        <v>0</v>
      </c>
      <c r="U1078" s="18" t="s">
        <v>187</v>
      </c>
      <c r="V1078" s="18" t="s">
        <v>40</v>
      </c>
      <c r="W1078" s="18" t="s">
        <v>401</v>
      </c>
      <c r="X1078" s="18" t="s">
        <v>402</v>
      </c>
      <c r="Y1078" s="18">
        <v>1</v>
      </c>
      <c r="Z1078" s="18">
        <v>32000</v>
      </c>
      <c r="AA1078" s="31" t="s">
        <v>1977</v>
      </c>
      <c r="AB1078" s="18" t="s">
        <v>1978</v>
      </c>
      <c r="AC1078" s="18" t="s">
        <v>200</v>
      </c>
    </row>
    <row r="1079" s="18" customFormat="1" spans="1:29">
      <c r="A1079" s="18" t="s">
        <v>2600</v>
      </c>
      <c r="B1079" s="25" t="s">
        <v>2600</v>
      </c>
      <c r="C1079" s="26">
        <v>45694</v>
      </c>
      <c r="D1079" s="18" t="s">
        <v>1490</v>
      </c>
      <c r="E1079" s="18" t="str">
        <f t="shared" si="16"/>
        <v>Chetan Handa  </v>
      </c>
      <c r="F1079" s="27" t="e">
        <v>#N/A</v>
      </c>
      <c r="G1079" s="18" t="s">
        <v>182</v>
      </c>
      <c r="H1079" s="18" t="s">
        <v>183</v>
      </c>
      <c r="I1079" s="18" t="s">
        <v>481</v>
      </c>
      <c r="J1079" s="18" t="s">
        <v>1889</v>
      </c>
      <c r="K1079" s="18" t="s">
        <v>56</v>
      </c>
      <c r="L1079" s="18" t="s">
        <v>36</v>
      </c>
      <c r="N1079" s="18">
        <v>6</v>
      </c>
      <c r="O1079" s="18" t="s">
        <v>93</v>
      </c>
      <c r="P1079" s="18" t="s">
        <v>38</v>
      </c>
      <c r="Q1079" s="18" t="s">
        <v>194</v>
      </c>
      <c r="R1079" s="18" t="s">
        <v>59</v>
      </c>
      <c r="S1079" s="18" t="s">
        <v>195</v>
      </c>
      <c r="T1079" s="18" t="b">
        <v>0</v>
      </c>
      <c r="U1079" s="18" t="s">
        <v>187</v>
      </c>
      <c r="V1079" s="18" t="s">
        <v>40</v>
      </c>
      <c r="W1079" s="18" t="s">
        <v>126</v>
      </c>
      <c r="X1079" s="18" t="s">
        <v>127</v>
      </c>
      <c r="Y1079" s="18">
        <v>1</v>
      </c>
      <c r="Z1079" s="18">
        <v>1144</v>
      </c>
      <c r="AC1079" s="18" t="e">
        <v>#N/A</v>
      </c>
    </row>
    <row r="1080" s="18" customFormat="1" ht="29" spans="1:29">
      <c r="A1080" s="18" t="s">
        <v>2601</v>
      </c>
      <c r="B1080" s="25" t="s">
        <v>2601</v>
      </c>
      <c r="C1080" s="26">
        <v>45694</v>
      </c>
      <c r="D1080" s="18" t="s">
        <v>1960</v>
      </c>
      <c r="E1080" s="18" t="str">
        <f t="shared" si="16"/>
        <v>Shree Vision</v>
      </c>
      <c r="F1080" s="27" t="s">
        <v>1961</v>
      </c>
      <c r="G1080" s="18" t="s">
        <v>182</v>
      </c>
      <c r="H1080" s="18" t="s">
        <v>183</v>
      </c>
      <c r="I1080" s="18" t="s">
        <v>184</v>
      </c>
      <c r="J1080" s="18" t="s">
        <v>1995</v>
      </c>
      <c r="K1080" s="18" t="s">
        <v>56</v>
      </c>
      <c r="L1080" s="18" t="s">
        <v>36</v>
      </c>
      <c r="N1080" s="18">
        <v>6</v>
      </c>
      <c r="O1080" s="18" t="s">
        <v>88</v>
      </c>
      <c r="P1080" s="18" t="s">
        <v>38</v>
      </c>
      <c r="Q1080" s="18" t="s">
        <v>194</v>
      </c>
      <c r="R1080" s="18" t="s">
        <v>59</v>
      </c>
      <c r="S1080" s="18" t="s">
        <v>195</v>
      </c>
      <c r="T1080" s="18" t="b">
        <v>0</v>
      </c>
      <c r="U1080" s="18" t="s">
        <v>187</v>
      </c>
      <c r="V1080" s="18" t="s">
        <v>40</v>
      </c>
      <c r="W1080" s="18" t="s">
        <v>990</v>
      </c>
      <c r="X1080" s="18" t="s">
        <v>991</v>
      </c>
      <c r="Y1080" s="18">
        <v>1</v>
      </c>
      <c r="Z1080" s="18">
        <v>3400</v>
      </c>
      <c r="AA1080" s="31" t="s">
        <v>1977</v>
      </c>
      <c r="AB1080" s="18" t="s">
        <v>1978</v>
      </c>
      <c r="AC1080" s="18" t="s">
        <v>200</v>
      </c>
    </row>
    <row r="1081" s="18" customFormat="1" ht="29" spans="1:29">
      <c r="A1081" s="18" t="s">
        <v>2602</v>
      </c>
      <c r="B1081" s="25" t="s">
        <v>2602</v>
      </c>
      <c r="C1081" s="26">
        <v>45694</v>
      </c>
      <c r="D1081" s="18" t="s">
        <v>1066</v>
      </c>
      <c r="E1081" s="18" t="str">
        <f t="shared" si="16"/>
        <v>Events Power</v>
      </c>
      <c r="F1081" s="27" t="s">
        <v>1067</v>
      </c>
      <c r="G1081" s="18" t="s">
        <v>182</v>
      </c>
      <c r="H1081" s="18" t="s">
        <v>183</v>
      </c>
      <c r="I1081" s="18" t="s">
        <v>184</v>
      </c>
      <c r="J1081" s="18" t="s">
        <v>1995</v>
      </c>
      <c r="K1081" s="18" t="s">
        <v>56</v>
      </c>
      <c r="L1081" s="18" t="s">
        <v>36</v>
      </c>
      <c r="N1081" s="18">
        <v>6</v>
      </c>
      <c r="O1081" s="18" t="s">
        <v>88</v>
      </c>
      <c r="P1081" s="18" t="s">
        <v>38</v>
      </c>
      <c r="Q1081" s="18" t="s">
        <v>194</v>
      </c>
      <c r="R1081" s="18" t="s">
        <v>59</v>
      </c>
      <c r="S1081" s="18" t="s">
        <v>195</v>
      </c>
      <c r="T1081" s="18" t="b">
        <v>0</v>
      </c>
      <c r="U1081" s="18" t="s">
        <v>187</v>
      </c>
      <c r="V1081" s="18" t="s">
        <v>40</v>
      </c>
      <c r="W1081" s="18" t="s">
        <v>371</v>
      </c>
      <c r="X1081" s="18" t="s">
        <v>372</v>
      </c>
      <c r="Y1081" s="18">
        <v>1</v>
      </c>
      <c r="Z1081" s="18">
        <v>72625</v>
      </c>
      <c r="AA1081" s="31" t="s">
        <v>1977</v>
      </c>
      <c r="AB1081" s="18" t="s">
        <v>1978</v>
      </c>
      <c r="AC1081" s="18" t="s">
        <v>200</v>
      </c>
    </row>
    <row r="1082" s="18" customFormat="1" ht="29" spans="1:29">
      <c r="A1082" s="18" t="s">
        <v>2603</v>
      </c>
      <c r="B1082" s="25" t="s">
        <v>2603</v>
      </c>
      <c r="C1082" s="26">
        <v>45694</v>
      </c>
      <c r="D1082" s="18" t="s">
        <v>1225</v>
      </c>
      <c r="E1082" s="18" t="str">
        <f t="shared" si="16"/>
        <v>Pyramid Production</v>
      </c>
      <c r="F1082" s="27" t="s">
        <v>1226</v>
      </c>
      <c r="G1082" s="18" t="s">
        <v>182</v>
      </c>
      <c r="H1082" s="18" t="s">
        <v>183</v>
      </c>
      <c r="I1082" s="18" t="s">
        <v>184</v>
      </c>
      <c r="J1082" s="18" t="s">
        <v>2319</v>
      </c>
      <c r="K1082" s="18" t="s">
        <v>56</v>
      </c>
      <c r="L1082" s="18" t="s">
        <v>36</v>
      </c>
      <c r="N1082" s="18">
        <v>6</v>
      </c>
      <c r="O1082" s="18" t="s">
        <v>88</v>
      </c>
      <c r="P1082" s="18" t="s">
        <v>38</v>
      </c>
      <c r="Q1082" s="18" t="s">
        <v>194</v>
      </c>
      <c r="R1082" s="18" t="s">
        <v>59</v>
      </c>
      <c r="S1082" s="18" t="s">
        <v>195</v>
      </c>
      <c r="T1082" s="18" t="b">
        <v>0</v>
      </c>
      <c r="U1082" s="18" t="s">
        <v>187</v>
      </c>
      <c r="V1082" s="18" t="s">
        <v>40</v>
      </c>
      <c r="W1082" s="18" t="s">
        <v>151</v>
      </c>
      <c r="X1082" s="18" t="s">
        <v>152</v>
      </c>
      <c r="Y1082" s="18">
        <v>1</v>
      </c>
      <c r="Z1082" s="18">
        <v>100000</v>
      </c>
      <c r="AA1082" s="31" t="s">
        <v>198</v>
      </c>
      <c r="AB1082" s="18" t="s">
        <v>199</v>
      </c>
      <c r="AC1082" s="18" t="s">
        <v>200</v>
      </c>
    </row>
    <row r="1083" s="18" customFormat="1" ht="29" spans="1:29">
      <c r="A1083" s="18" t="s">
        <v>2604</v>
      </c>
      <c r="B1083" s="25" t="s">
        <v>2604</v>
      </c>
      <c r="C1083" s="26">
        <v>45694</v>
      </c>
      <c r="D1083" s="18" t="s">
        <v>754</v>
      </c>
      <c r="E1083" s="18" t="str">
        <f t="shared" si="16"/>
        <v>Airtel Ltd(Bill Booking)</v>
      </c>
      <c r="F1083" s="27" t="s">
        <v>755</v>
      </c>
      <c r="G1083" s="18" t="s">
        <v>182</v>
      </c>
      <c r="H1083" s="18" t="s">
        <v>183</v>
      </c>
      <c r="I1083" s="18" t="s">
        <v>184</v>
      </c>
      <c r="J1083" s="18" t="s">
        <v>728</v>
      </c>
      <c r="K1083" s="18" t="s">
        <v>56</v>
      </c>
      <c r="L1083" s="18" t="s">
        <v>36</v>
      </c>
      <c r="N1083" s="18">
        <v>6</v>
      </c>
      <c r="O1083" s="18" t="s">
        <v>93</v>
      </c>
      <c r="P1083" s="18" t="s">
        <v>38</v>
      </c>
      <c r="Q1083" s="18" t="s">
        <v>194</v>
      </c>
      <c r="R1083" s="18" t="s">
        <v>59</v>
      </c>
      <c r="S1083" s="18" t="s">
        <v>195</v>
      </c>
      <c r="T1083" s="18" t="b">
        <v>0</v>
      </c>
      <c r="U1083" s="18" t="s">
        <v>187</v>
      </c>
      <c r="V1083" s="18" t="s">
        <v>40</v>
      </c>
      <c r="W1083" s="18" t="s">
        <v>233</v>
      </c>
      <c r="X1083" s="18" t="s">
        <v>234</v>
      </c>
      <c r="Y1083" s="18">
        <v>1</v>
      </c>
      <c r="Z1083" s="18">
        <v>5000</v>
      </c>
      <c r="AA1083" s="31" t="s">
        <v>992</v>
      </c>
      <c r="AB1083" s="18" t="s">
        <v>993</v>
      </c>
      <c r="AC1083" s="18" t="e">
        <v>#N/A</v>
      </c>
    </row>
    <row r="1084" s="18" customFormat="1" spans="1:29">
      <c r="A1084" s="18" t="s">
        <v>2605</v>
      </c>
      <c r="B1084" s="25" t="s">
        <v>2605</v>
      </c>
      <c r="C1084" s="26">
        <v>45694</v>
      </c>
      <c r="D1084" s="18" t="s">
        <v>922</v>
      </c>
      <c r="E1084" s="18" t="str">
        <f t="shared" si="16"/>
        <v>Bappa Creation</v>
      </c>
      <c r="F1084" s="27" t="s">
        <v>923</v>
      </c>
      <c r="G1084" s="18" t="s">
        <v>182</v>
      </c>
      <c r="H1084" s="18" t="s">
        <v>183</v>
      </c>
      <c r="I1084" s="18" t="s">
        <v>184</v>
      </c>
      <c r="J1084" s="18" t="s">
        <v>1875</v>
      </c>
      <c r="K1084" s="18" t="s">
        <v>56</v>
      </c>
      <c r="L1084" s="18" t="s">
        <v>36</v>
      </c>
      <c r="N1084" s="18">
        <v>6</v>
      </c>
      <c r="O1084" s="18" t="s">
        <v>57</v>
      </c>
      <c r="P1084" s="18" t="s">
        <v>38</v>
      </c>
      <c r="Q1084" s="18" t="s">
        <v>194</v>
      </c>
      <c r="R1084" s="18" t="s">
        <v>59</v>
      </c>
      <c r="S1084" s="18" t="s">
        <v>195</v>
      </c>
      <c r="T1084" s="18" t="b">
        <v>0</v>
      </c>
      <c r="U1084" s="18" t="s">
        <v>187</v>
      </c>
      <c r="V1084" s="18" t="s">
        <v>40</v>
      </c>
      <c r="W1084" s="18" t="s">
        <v>140</v>
      </c>
      <c r="X1084" s="18" t="s">
        <v>141</v>
      </c>
      <c r="Y1084" s="18">
        <v>1</v>
      </c>
      <c r="Z1084" s="18">
        <v>31450</v>
      </c>
      <c r="AC1084" s="18" t="s">
        <v>200</v>
      </c>
    </row>
    <row r="1085" s="18" customFormat="1" spans="1:29">
      <c r="A1085" s="18" t="s">
        <v>2606</v>
      </c>
      <c r="B1085" s="25" t="s">
        <v>2606</v>
      </c>
      <c r="C1085" s="26">
        <v>45694</v>
      </c>
      <c r="D1085" s="18" t="s">
        <v>1903</v>
      </c>
      <c r="E1085" s="18" t="str">
        <f t="shared" si="16"/>
        <v>Hanja Express</v>
      </c>
      <c r="F1085" s="27" t="s">
        <v>1904</v>
      </c>
      <c r="G1085" s="18" t="s">
        <v>182</v>
      </c>
      <c r="H1085" s="18" t="s">
        <v>183</v>
      </c>
      <c r="I1085" s="18" t="s">
        <v>184</v>
      </c>
      <c r="J1085" s="18" t="s">
        <v>1851</v>
      </c>
      <c r="K1085" s="18" t="s">
        <v>56</v>
      </c>
      <c r="L1085" s="18" t="s">
        <v>36</v>
      </c>
      <c r="N1085" s="18">
        <v>6</v>
      </c>
      <c r="O1085" s="18" t="s">
        <v>57</v>
      </c>
      <c r="P1085" s="18" t="s">
        <v>38</v>
      </c>
      <c r="Q1085" s="18" t="s">
        <v>194</v>
      </c>
      <c r="R1085" s="18" t="s">
        <v>59</v>
      </c>
      <c r="S1085" s="18" t="s">
        <v>195</v>
      </c>
      <c r="T1085" s="18" t="b">
        <v>0</v>
      </c>
      <c r="U1085" s="18" t="s">
        <v>187</v>
      </c>
      <c r="V1085" s="18" t="s">
        <v>40</v>
      </c>
      <c r="W1085" s="18" t="s">
        <v>205</v>
      </c>
      <c r="X1085" s="18" t="s">
        <v>205</v>
      </c>
      <c r="Y1085" s="18">
        <v>1</v>
      </c>
      <c r="Z1085" s="18">
        <v>6555</v>
      </c>
      <c r="AA1085" s="18" t="s">
        <v>778</v>
      </c>
      <c r="AB1085" s="18" t="s">
        <v>779</v>
      </c>
      <c r="AC1085" s="18" t="s">
        <v>200</v>
      </c>
    </row>
    <row r="1086" s="18" customFormat="1" spans="1:29">
      <c r="A1086" s="18" t="s">
        <v>2607</v>
      </c>
      <c r="B1086" s="25" t="s">
        <v>2607</v>
      </c>
      <c r="C1086" s="26">
        <v>45695</v>
      </c>
      <c r="D1086" s="18" t="s">
        <v>2608</v>
      </c>
      <c r="E1086" s="18" t="str">
        <f t="shared" si="16"/>
        <v>CFT360 Design Studio Pvt Ltd</v>
      </c>
      <c r="F1086" s="27" t="s">
        <v>2609</v>
      </c>
      <c r="G1086" s="18" t="s">
        <v>32</v>
      </c>
      <c r="H1086" s="18" t="s">
        <v>33</v>
      </c>
      <c r="I1086" s="18" t="s">
        <v>207</v>
      </c>
      <c r="J1086" s="18" t="s">
        <v>2264</v>
      </c>
      <c r="K1086" s="18" t="s">
        <v>56</v>
      </c>
      <c r="L1086" s="18" t="s">
        <v>36</v>
      </c>
      <c r="N1086" s="18">
        <v>6</v>
      </c>
      <c r="O1086" s="18" t="s">
        <v>88</v>
      </c>
      <c r="P1086" s="18" t="s">
        <v>38</v>
      </c>
      <c r="Q1086" s="18" t="s">
        <v>58</v>
      </c>
      <c r="R1086" s="18" t="s">
        <v>59</v>
      </c>
      <c r="S1086" s="18" t="s">
        <v>60</v>
      </c>
      <c r="T1086" s="18" t="b">
        <v>1</v>
      </c>
      <c r="U1086" s="18" t="s">
        <v>39</v>
      </c>
      <c r="V1086" s="18" t="s">
        <v>40</v>
      </c>
      <c r="W1086" s="18" t="s">
        <v>233</v>
      </c>
      <c r="X1086" s="18" t="s">
        <v>234</v>
      </c>
      <c r="Y1086" s="18">
        <v>1</v>
      </c>
      <c r="Z1086" s="18">
        <v>500000</v>
      </c>
      <c r="AA1086" s="18" t="s">
        <v>544</v>
      </c>
      <c r="AB1086" s="18" t="s">
        <v>397</v>
      </c>
      <c r="AC1086" s="18" t="s">
        <v>43</v>
      </c>
    </row>
    <row r="1087" s="18" customFormat="1" spans="1:29">
      <c r="A1087" s="18" t="s">
        <v>2610</v>
      </c>
      <c r="B1087" s="25" t="s">
        <v>2610</v>
      </c>
      <c r="C1087" s="26">
        <v>45695</v>
      </c>
      <c r="D1087" s="18" t="s">
        <v>2611</v>
      </c>
      <c r="E1087" s="18" t="str">
        <f t="shared" si="16"/>
        <v>Safina Ventures Pvt Ltd</v>
      </c>
      <c r="F1087" s="27" t="s">
        <v>2612</v>
      </c>
      <c r="G1087" s="18" t="s">
        <v>32</v>
      </c>
      <c r="H1087" s="18" t="s">
        <v>33</v>
      </c>
      <c r="I1087" s="18" t="s">
        <v>34</v>
      </c>
      <c r="J1087" s="18" t="s">
        <v>2613</v>
      </c>
      <c r="K1087" s="18" t="s">
        <v>56</v>
      </c>
      <c r="L1087" s="18" t="s">
        <v>36</v>
      </c>
      <c r="N1087" s="18">
        <v>6</v>
      </c>
      <c r="O1087" s="18" t="s">
        <v>88</v>
      </c>
      <c r="P1087" s="18" t="s">
        <v>38</v>
      </c>
      <c r="Q1087" s="18" t="s">
        <v>117</v>
      </c>
      <c r="R1087" s="18" t="s">
        <v>59</v>
      </c>
      <c r="S1087" s="18" t="s">
        <v>118</v>
      </c>
      <c r="T1087" s="18" t="b">
        <v>1</v>
      </c>
      <c r="U1087" s="18" t="s">
        <v>39</v>
      </c>
      <c r="V1087" s="18" t="s">
        <v>40</v>
      </c>
      <c r="W1087" s="18" t="s">
        <v>1176</v>
      </c>
      <c r="X1087" s="18" t="s">
        <v>1177</v>
      </c>
      <c r="Y1087" s="18">
        <v>1</v>
      </c>
      <c r="Z1087" s="18">
        <v>40000</v>
      </c>
      <c r="AA1087" s="18" t="s">
        <v>1324</v>
      </c>
      <c r="AB1087" s="18" t="s">
        <v>1325</v>
      </c>
      <c r="AC1087" s="18" t="s">
        <v>43</v>
      </c>
    </row>
    <row r="1088" s="19" customFormat="1" spans="1:29">
      <c r="A1088" s="19" t="s">
        <v>2614</v>
      </c>
      <c r="B1088" s="28" t="s">
        <v>2614</v>
      </c>
      <c r="C1088" s="29">
        <v>45695</v>
      </c>
      <c r="D1088" s="19" t="s">
        <v>1133</v>
      </c>
      <c r="E1088" s="19" t="str">
        <f t="shared" si="16"/>
        <v>Anurama V  </v>
      </c>
      <c r="F1088" s="30" t="e">
        <v>#N/A</v>
      </c>
      <c r="G1088" s="19" t="s">
        <v>32</v>
      </c>
      <c r="H1088" s="19" t="s">
        <v>33</v>
      </c>
      <c r="I1088" s="19" t="s">
        <v>34</v>
      </c>
      <c r="K1088" s="19" t="s">
        <v>35</v>
      </c>
      <c r="L1088" s="19" t="s">
        <v>36</v>
      </c>
      <c r="N1088" s="19">
        <v>6</v>
      </c>
      <c r="O1088" s="19" t="s">
        <v>93</v>
      </c>
      <c r="P1088" s="19" t="s">
        <v>38</v>
      </c>
      <c r="T1088" s="19" t="b">
        <v>1</v>
      </c>
      <c r="U1088" s="19" t="s">
        <v>39</v>
      </c>
      <c r="V1088" s="19" t="s">
        <v>40</v>
      </c>
      <c r="W1088" s="19" t="s">
        <v>107</v>
      </c>
      <c r="X1088" s="19" t="e">
        <v>#N/A</v>
      </c>
      <c r="Y1088" s="19">
        <v>1</v>
      </c>
      <c r="Z1088" s="19">
        <v>11583</v>
      </c>
      <c r="AA1088" s="19" t="s">
        <v>334</v>
      </c>
      <c r="AB1088" s="19" t="s">
        <v>335</v>
      </c>
      <c r="AC1088" s="19" t="e">
        <v>#N/A</v>
      </c>
    </row>
    <row r="1089" s="18" customFormat="1" spans="1:29">
      <c r="A1089" s="18" t="s">
        <v>2615</v>
      </c>
      <c r="B1089" s="25" t="s">
        <v>2615</v>
      </c>
      <c r="C1089" s="26">
        <v>45695</v>
      </c>
      <c r="D1089" s="18" t="s">
        <v>507</v>
      </c>
      <c r="E1089" s="18" t="str">
        <f t="shared" si="16"/>
        <v>R Anandan  </v>
      </c>
      <c r="F1089" s="27" t="e">
        <v>#N/A</v>
      </c>
      <c r="G1089" s="18" t="s">
        <v>99</v>
      </c>
      <c r="H1089" s="18" t="s">
        <v>100</v>
      </c>
      <c r="I1089" s="18" t="s">
        <v>34</v>
      </c>
      <c r="J1089" s="18" t="s">
        <v>499</v>
      </c>
      <c r="K1089" s="18" t="s">
        <v>56</v>
      </c>
      <c r="L1089" s="18" t="s">
        <v>36</v>
      </c>
      <c r="N1089" s="18">
        <v>6</v>
      </c>
      <c r="O1089" s="18" t="s">
        <v>93</v>
      </c>
      <c r="P1089" s="18" t="s">
        <v>38</v>
      </c>
      <c r="Q1089" s="18" t="s">
        <v>117</v>
      </c>
      <c r="R1089" s="18" t="s">
        <v>59</v>
      </c>
      <c r="S1089" s="18" t="s">
        <v>186</v>
      </c>
      <c r="T1089" s="18" t="b">
        <v>1</v>
      </c>
      <c r="U1089" s="18" t="s">
        <v>101</v>
      </c>
      <c r="V1089" s="18" t="s">
        <v>40</v>
      </c>
      <c r="W1089" s="18" t="s">
        <v>126</v>
      </c>
      <c r="X1089" s="18" t="s">
        <v>127</v>
      </c>
      <c r="Y1089" s="18">
        <v>1</v>
      </c>
      <c r="Z1089" s="18">
        <v>3767</v>
      </c>
      <c r="AA1089" s="18" t="s">
        <v>102</v>
      </c>
      <c r="AB1089" s="18" t="s">
        <v>103</v>
      </c>
      <c r="AC1089" s="18" t="e">
        <v>#N/A</v>
      </c>
    </row>
    <row r="1090" s="18" customFormat="1" spans="1:29">
      <c r="A1090" s="18" t="s">
        <v>2616</v>
      </c>
      <c r="B1090" s="25" t="s">
        <v>2616</v>
      </c>
      <c r="C1090" s="26">
        <v>45695</v>
      </c>
      <c r="D1090" s="18" t="s">
        <v>507</v>
      </c>
      <c r="E1090" s="18" t="str">
        <f t="shared" si="16"/>
        <v>R Anandan  </v>
      </c>
      <c r="F1090" s="27" t="e">
        <v>#N/A</v>
      </c>
      <c r="G1090" s="18" t="s">
        <v>99</v>
      </c>
      <c r="H1090" s="18" t="s">
        <v>100</v>
      </c>
      <c r="I1090" s="18" t="s">
        <v>34</v>
      </c>
      <c r="J1090" s="18" t="s">
        <v>499</v>
      </c>
      <c r="K1090" s="18" t="s">
        <v>56</v>
      </c>
      <c r="L1090" s="18" t="s">
        <v>36</v>
      </c>
      <c r="N1090" s="18">
        <v>6</v>
      </c>
      <c r="O1090" s="18" t="s">
        <v>93</v>
      </c>
      <c r="P1090" s="18" t="s">
        <v>38</v>
      </c>
      <c r="Q1090" s="18" t="s">
        <v>117</v>
      </c>
      <c r="R1090" s="18" t="s">
        <v>59</v>
      </c>
      <c r="S1090" s="18" t="s">
        <v>186</v>
      </c>
      <c r="T1090" s="18" t="b">
        <v>1</v>
      </c>
      <c r="U1090" s="18" t="s">
        <v>101</v>
      </c>
      <c r="V1090" s="18" t="s">
        <v>40</v>
      </c>
      <c r="W1090" s="18" t="s">
        <v>126</v>
      </c>
      <c r="X1090" s="18" t="s">
        <v>127</v>
      </c>
      <c r="Y1090" s="18">
        <v>1</v>
      </c>
      <c r="Z1090" s="18">
        <v>2118</v>
      </c>
      <c r="AA1090" s="18" t="s">
        <v>102</v>
      </c>
      <c r="AB1090" s="18" t="s">
        <v>103</v>
      </c>
      <c r="AC1090" s="18" t="e">
        <v>#N/A</v>
      </c>
    </row>
    <row r="1091" s="18" customFormat="1" spans="1:29">
      <c r="A1091" s="18" t="s">
        <v>2617</v>
      </c>
      <c r="B1091" s="25" t="s">
        <v>2617</v>
      </c>
      <c r="C1091" s="26">
        <v>45695</v>
      </c>
      <c r="D1091" s="18" t="s">
        <v>507</v>
      </c>
      <c r="E1091" s="18" t="str">
        <f t="shared" ref="E1091:E1154" si="17">_xlfn.TEXTBEFORE(D1091,"-")</f>
        <v>R Anandan  </v>
      </c>
      <c r="F1091" s="27" t="e">
        <v>#N/A</v>
      </c>
      <c r="G1091" s="18" t="s">
        <v>99</v>
      </c>
      <c r="H1091" s="18" t="s">
        <v>100</v>
      </c>
      <c r="I1091" s="18" t="s">
        <v>34</v>
      </c>
      <c r="J1091" s="18" t="s">
        <v>499</v>
      </c>
      <c r="K1091" s="18" t="s">
        <v>56</v>
      </c>
      <c r="L1091" s="18" t="s">
        <v>36</v>
      </c>
      <c r="N1091" s="18">
        <v>6</v>
      </c>
      <c r="O1091" s="18" t="s">
        <v>93</v>
      </c>
      <c r="P1091" s="18" t="s">
        <v>38</v>
      </c>
      <c r="Q1091" s="18" t="s">
        <v>117</v>
      </c>
      <c r="R1091" s="18" t="s">
        <v>59</v>
      </c>
      <c r="S1091" s="18" t="s">
        <v>186</v>
      </c>
      <c r="T1091" s="18" t="b">
        <v>1</v>
      </c>
      <c r="U1091" s="18" t="s">
        <v>101</v>
      </c>
      <c r="V1091" s="18" t="s">
        <v>40</v>
      </c>
      <c r="W1091" s="18" t="s">
        <v>126</v>
      </c>
      <c r="X1091" s="18" t="s">
        <v>127</v>
      </c>
      <c r="Y1091" s="18">
        <v>1</v>
      </c>
      <c r="Z1091" s="18">
        <v>2796</v>
      </c>
      <c r="AA1091" s="18" t="s">
        <v>102</v>
      </c>
      <c r="AB1091" s="18" t="s">
        <v>103</v>
      </c>
      <c r="AC1091" s="18" t="e">
        <v>#N/A</v>
      </c>
    </row>
    <row r="1092" s="18" customFormat="1" spans="1:29">
      <c r="A1092" s="18" t="s">
        <v>2618</v>
      </c>
      <c r="B1092" s="25" t="s">
        <v>2618</v>
      </c>
      <c r="C1092" s="26">
        <v>45695</v>
      </c>
      <c r="D1092" s="18" t="s">
        <v>507</v>
      </c>
      <c r="E1092" s="18" t="str">
        <f t="shared" si="17"/>
        <v>R Anandan  </v>
      </c>
      <c r="F1092" s="27" t="e">
        <v>#N/A</v>
      </c>
      <c r="G1092" s="18" t="s">
        <v>99</v>
      </c>
      <c r="H1092" s="18" t="s">
        <v>100</v>
      </c>
      <c r="I1092" s="18" t="s">
        <v>34</v>
      </c>
      <c r="J1092" s="18" t="s">
        <v>499</v>
      </c>
      <c r="K1092" s="18" t="s">
        <v>56</v>
      </c>
      <c r="L1092" s="18" t="s">
        <v>36</v>
      </c>
      <c r="N1092" s="18">
        <v>6</v>
      </c>
      <c r="O1092" s="18" t="s">
        <v>93</v>
      </c>
      <c r="P1092" s="18" t="s">
        <v>38</v>
      </c>
      <c r="Q1092" s="18" t="s">
        <v>117</v>
      </c>
      <c r="R1092" s="18" t="s">
        <v>59</v>
      </c>
      <c r="S1092" s="18" t="s">
        <v>186</v>
      </c>
      <c r="T1092" s="18" t="b">
        <v>1</v>
      </c>
      <c r="U1092" s="18" t="s">
        <v>101</v>
      </c>
      <c r="V1092" s="18" t="s">
        <v>40</v>
      </c>
      <c r="W1092" s="18" t="s">
        <v>126</v>
      </c>
      <c r="X1092" s="18" t="s">
        <v>127</v>
      </c>
      <c r="Y1092" s="18">
        <v>1</v>
      </c>
      <c r="Z1092" s="18">
        <v>3331</v>
      </c>
      <c r="AA1092" s="18" t="s">
        <v>102</v>
      </c>
      <c r="AB1092" s="18" t="s">
        <v>103</v>
      </c>
      <c r="AC1092" s="18" t="e">
        <v>#N/A</v>
      </c>
    </row>
    <row r="1093" s="18" customFormat="1" spans="1:29">
      <c r="A1093" s="18" t="s">
        <v>2619</v>
      </c>
      <c r="B1093" s="25" t="s">
        <v>2619</v>
      </c>
      <c r="C1093" s="26">
        <v>45695</v>
      </c>
      <c r="D1093" s="18" t="s">
        <v>507</v>
      </c>
      <c r="E1093" s="18" t="str">
        <f t="shared" si="17"/>
        <v>R Anandan  </v>
      </c>
      <c r="F1093" s="27" t="e">
        <v>#N/A</v>
      </c>
      <c r="G1093" s="18" t="s">
        <v>99</v>
      </c>
      <c r="H1093" s="18" t="s">
        <v>100</v>
      </c>
      <c r="I1093" s="18" t="s">
        <v>133</v>
      </c>
      <c r="J1093" s="18" t="s">
        <v>499</v>
      </c>
      <c r="K1093" s="18" t="s">
        <v>56</v>
      </c>
      <c r="L1093" s="18" t="s">
        <v>36</v>
      </c>
      <c r="N1093" s="18">
        <v>6</v>
      </c>
      <c r="O1093" s="18" t="s">
        <v>93</v>
      </c>
      <c r="P1093" s="18" t="s">
        <v>38</v>
      </c>
      <c r="Q1093" s="18" t="s">
        <v>117</v>
      </c>
      <c r="R1093" s="18" t="s">
        <v>59</v>
      </c>
      <c r="S1093" s="18" t="s">
        <v>186</v>
      </c>
      <c r="T1093" s="18" t="b">
        <v>1</v>
      </c>
      <c r="U1093" s="18" t="s">
        <v>101</v>
      </c>
      <c r="V1093" s="18" t="s">
        <v>40</v>
      </c>
      <c r="W1093" s="18" t="s">
        <v>126</v>
      </c>
      <c r="X1093" s="18" t="s">
        <v>127</v>
      </c>
      <c r="Y1093" s="18">
        <v>1</v>
      </c>
      <c r="Z1093" s="18">
        <v>2222</v>
      </c>
      <c r="AA1093" s="18" t="s">
        <v>102</v>
      </c>
      <c r="AB1093" s="18" t="s">
        <v>103</v>
      </c>
      <c r="AC1093" s="18" t="e">
        <v>#N/A</v>
      </c>
    </row>
    <row r="1094" s="18" customFormat="1" spans="1:29">
      <c r="A1094" s="18" t="s">
        <v>2620</v>
      </c>
      <c r="B1094" s="25" t="s">
        <v>2620</v>
      </c>
      <c r="C1094" s="26">
        <v>45695</v>
      </c>
      <c r="D1094" s="18" t="s">
        <v>507</v>
      </c>
      <c r="E1094" s="18" t="str">
        <f t="shared" si="17"/>
        <v>R Anandan  </v>
      </c>
      <c r="F1094" s="27" t="e">
        <v>#N/A</v>
      </c>
      <c r="G1094" s="18" t="s">
        <v>99</v>
      </c>
      <c r="H1094" s="18" t="s">
        <v>100</v>
      </c>
      <c r="I1094" s="18" t="s">
        <v>133</v>
      </c>
      <c r="J1094" s="18" t="s">
        <v>1574</v>
      </c>
      <c r="K1094" s="18" t="s">
        <v>56</v>
      </c>
      <c r="L1094" s="18" t="s">
        <v>36</v>
      </c>
      <c r="N1094" s="18">
        <v>6</v>
      </c>
      <c r="O1094" s="18" t="s">
        <v>93</v>
      </c>
      <c r="P1094" s="18" t="s">
        <v>38</v>
      </c>
      <c r="Q1094" s="18" t="s">
        <v>117</v>
      </c>
      <c r="R1094" s="18" t="s">
        <v>59</v>
      </c>
      <c r="S1094" s="18" t="s">
        <v>186</v>
      </c>
      <c r="T1094" s="18" t="b">
        <v>1</v>
      </c>
      <c r="U1094" s="18" t="s">
        <v>101</v>
      </c>
      <c r="V1094" s="18" t="s">
        <v>40</v>
      </c>
      <c r="W1094" s="18" t="s">
        <v>126</v>
      </c>
      <c r="X1094" s="18" t="s">
        <v>127</v>
      </c>
      <c r="Y1094" s="18">
        <v>1</v>
      </c>
      <c r="Z1094" s="18">
        <v>872</v>
      </c>
      <c r="AA1094" s="18" t="s">
        <v>102</v>
      </c>
      <c r="AB1094" s="18" t="s">
        <v>103</v>
      </c>
      <c r="AC1094" s="18" t="e">
        <v>#N/A</v>
      </c>
    </row>
    <row r="1095" s="18" customFormat="1" spans="1:29">
      <c r="A1095" s="18" t="s">
        <v>2621</v>
      </c>
      <c r="B1095" s="25" t="s">
        <v>2621</v>
      </c>
      <c r="C1095" s="26">
        <v>45695</v>
      </c>
      <c r="D1095" s="18" t="s">
        <v>1832</v>
      </c>
      <c r="E1095" s="18" t="str">
        <f t="shared" si="17"/>
        <v>Ashwath TV  for Expense</v>
      </c>
      <c r="F1095" s="27" t="e">
        <v>#N/A</v>
      </c>
      <c r="G1095" s="18" t="s">
        <v>99</v>
      </c>
      <c r="H1095" s="18" t="s">
        <v>100</v>
      </c>
      <c r="I1095" s="18" t="s">
        <v>133</v>
      </c>
      <c r="J1095" s="18" t="s">
        <v>499</v>
      </c>
      <c r="K1095" s="18" t="s">
        <v>56</v>
      </c>
      <c r="L1095" s="18" t="s">
        <v>36</v>
      </c>
      <c r="N1095" s="18">
        <v>6</v>
      </c>
      <c r="O1095" s="18" t="s">
        <v>93</v>
      </c>
      <c r="P1095" s="18" t="s">
        <v>38</v>
      </c>
      <c r="Q1095" s="18" t="s">
        <v>117</v>
      </c>
      <c r="R1095" s="18" t="s">
        <v>59</v>
      </c>
      <c r="S1095" s="18" t="s">
        <v>186</v>
      </c>
      <c r="T1095" s="18" t="b">
        <v>1</v>
      </c>
      <c r="U1095" s="18" t="s">
        <v>101</v>
      </c>
      <c r="V1095" s="18" t="s">
        <v>40</v>
      </c>
      <c r="W1095" s="18" t="s">
        <v>126</v>
      </c>
      <c r="X1095" s="18" t="s">
        <v>127</v>
      </c>
      <c r="Y1095" s="18">
        <v>1</v>
      </c>
      <c r="Z1095" s="18">
        <v>3575</v>
      </c>
      <c r="AA1095" s="18" t="s">
        <v>102</v>
      </c>
      <c r="AB1095" s="18" t="s">
        <v>103</v>
      </c>
      <c r="AC1095" s="18" t="e">
        <v>#N/A</v>
      </c>
    </row>
    <row r="1096" s="18" customFormat="1" spans="1:29">
      <c r="A1096" s="18" t="s">
        <v>2622</v>
      </c>
      <c r="B1096" s="25" t="s">
        <v>2622</v>
      </c>
      <c r="C1096" s="26">
        <v>45695</v>
      </c>
      <c r="D1096" s="18" t="s">
        <v>1585</v>
      </c>
      <c r="E1096" s="18" t="str">
        <f t="shared" si="17"/>
        <v>Praveen Raj Adv for Expenses</v>
      </c>
      <c r="F1096" s="27" t="e">
        <v>#N/A</v>
      </c>
      <c r="G1096" s="18" t="s">
        <v>99</v>
      </c>
      <c r="H1096" s="18" t="s">
        <v>100</v>
      </c>
      <c r="I1096" s="18" t="s">
        <v>133</v>
      </c>
      <c r="J1096" s="18" t="s">
        <v>499</v>
      </c>
      <c r="K1096" s="18" t="s">
        <v>56</v>
      </c>
      <c r="L1096" s="18" t="s">
        <v>36</v>
      </c>
      <c r="N1096" s="18">
        <v>6</v>
      </c>
      <c r="O1096" s="18" t="s">
        <v>93</v>
      </c>
      <c r="P1096" s="18" t="s">
        <v>38</v>
      </c>
      <c r="Q1096" s="18" t="s">
        <v>117</v>
      </c>
      <c r="R1096" s="18" t="s">
        <v>59</v>
      </c>
      <c r="S1096" s="18" t="s">
        <v>186</v>
      </c>
      <c r="T1096" s="18" t="b">
        <v>1</v>
      </c>
      <c r="U1096" s="18" t="s">
        <v>101</v>
      </c>
      <c r="V1096" s="18" t="s">
        <v>40</v>
      </c>
      <c r="W1096" s="18" t="s">
        <v>508</v>
      </c>
      <c r="X1096" s="18" t="s">
        <v>509</v>
      </c>
      <c r="Y1096" s="18">
        <v>1</v>
      </c>
      <c r="Z1096" s="18">
        <v>5846.45</v>
      </c>
      <c r="AA1096" s="18" t="s">
        <v>102</v>
      </c>
      <c r="AB1096" s="18" t="s">
        <v>103</v>
      </c>
      <c r="AC1096" s="18" t="e">
        <v>#N/A</v>
      </c>
    </row>
    <row r="1097" s="18" customFormat="1" spans="1:29">
      <c r="A1097" s="18" t="s">
        <v>2623</v>
      </c>
      <c r="B1097" s="25" t="s">
        <v>2623</v>
      </c>
      <c r="C1097" s="26">
        <v>45695</v>
      </c>
      <c r="D1097" s="18" t="s">
        <v>1267</v>
      </c>
      <c r="E1097" s="18" t="str">
        <f t="shared" si="17"/>
        <v>Black Pearl Production Pvt Ltd</v>
      </c>
      <c r="F1097" s="27" t="s">
        <v>1268</v>
      </c>
      <c r="G1097" s="18" t="s">
        <v>147</v>
      </c>
      <c r="H1097" s="18" t="s">
        <v>148</v>
      </c>
      <c r="I1097" s="18" t="s">
        <v>207</v>
      </c>
      <c r="J1097" s="18" t="s">
        <v>2364</v>
      </c>
      <c r="K1097" s="18" t="s">
        <v>56</v>
      </c>
      <c r="L1097" s="18" t="s">
        <v>36</v>
      </c>
      <c r="N1097" s="18">
        <v>6</v>
      </c>
      <c r="O1097" s="18" t="s">
        <v>88</v>
      </c>
      <c r="P1097" s="18" t="s">
        <v>38</v>
      </c>
      <c r="Q1097" s="18" t="s">
        <v>58</v>
      </c>
      <c r="R1097" s="18" t="s">
        <v>59</v>
      </c>
      <c r="S1097" s="18" t="s">
        <v>60</v>
      </c>
      <c r="T1097" s="18" t="b">
        <v>1</v>
      </c>
      <c r="U1097" s="18" t="s">
        <v>150</v>
      </c>
      <c r="V1097" s="18" t="s">
        <v>40</v>
      </c>
      <c r="W1097" s="18" t="s">
        <v>151</v>
      </c>
      <c r="X1097" s="18" t="s">
        <v>152</v>
      </c>
      <c r="Y1097" s="18">
        <v>1</v>
      </c>
      <c r="Z1097" s="18">
        <v>75000</v>
      </c>
      <c r="AA1097" s="18" t="s">
        <v>2624</v>
      </c>
      <c r="AB1097" s="18" t="s">
        <v>1722</v>
      </c>
      <c r="AC1097" s="18" t="s">
        <v>163</v>
      </c>
    </row>
    <row r="1098" s="18" customFormat="1" spans="1:29">
      <c r="A1098" s="18" t="s">
        <v>2625</v>
      </c>
      <c r="B1098" s="25" t="s">
        <v>2625</v>
      </c>
      <c r="C1098" s="26">
        <v>45695</v>
      </c>
      <c r="D1098" s="18" t="s">
        <v>2272</v>
      </c>
      <c r="E1098" s="18" t="str">
        <f t="shared" si="17"/>
        <v>Kailash Chander Pant</v>
      </c>
      <c r="F1098" s="27" t="s">
        <v>2273</v>
      </c>
      <c r="G1098" s="18" t="s">
        <v>147</v>
      </c>
      <c r="H1098" s="18" t="s">
        <v>148</v>
      </c>
      <c r="I1098" s="18" t="s">
        <v>207</v>
      </c>
      <c r="J1098" s="18" t="s">
        <v>149</v>
      </c>
      <c r="K1098" s="18" t="s">
        <v>56</v>
      </c>
      <c r="L1098" s="18" t="s">
        <v>36</v>
      </c>
      <c r="N1098" s="18">
        <v>6</v>
      </c>
      <c r="O1098" s="18" t="s">
        <v>57</v>
      </c>
      <c r="P1098" s="18" t="s">
        <v>38</v>
      </c>
      <c r="Q1098" s="18" t="s">
        <v>58</v>
      </c>
      <c r="R1098" s="18" t="s">
        <v>59</v>
      </c>
      <c r="S1098" s="18" t="s">
        <v>60</v>
      </c>
      <c r="T1098" s="18" t="b">
        <v>1</v>
      </c>
      <c r="U1098" s="18" t="s">
        <v>150</v>
      </c>
      <c r="V1098" s="18" t="s">
        <v>40</v>
      </c>
      <c r="W1098" s="18" t="s">
        <v>126</v>
      </c>
      <c r="X1098" s="18" t="s">
        <v>127</v>
      </c>
      <c r="Y1098" s="18">
        <v>1</v>
      </c>
      <c r="Z1098" s="18">
        <v>27631</v>
      </c>
      <c r="AA1098" s="18" t="s">
        <v>227</v>
      </c>
      <c r="AB1098" s="18" t="s">
        <v>228</v>
      </c>
      <c r="AC1098" s="18" t="e">
        <v>#N/A</v>
      </c>
    </row>
    <row r="1099" s="18" customFormat="1" spans="1:29">
      <c r="A1099" s="18" t="s">
        <v>2626</v>
      </c>
      <c r="B1099" s="25" t="s">
        <v>2626</v>
      </c>
      <c r="C1099" s="26">
        <v>45695</v>
      </c>
      <c r="D1099" s="18" t="s">
        <v>942</v>
      </c>
      <c r="E1099" s="18" t="str">
        <f t="shared" si="17"/>
        <v>Pandey Print Services</v>
      </c>
      <c r="F1099" s="27" t="s">
        <v>943</v>
      </c>
      <c r="G1099" s="18" t="s">
        <v>147</v>
      </c>
      <c r="H1099" s="18" t="s">
        <v>148</v>
      </c>
      <c r="I1099" s="18" t="s">
        <v>207</v>
      </c>
      <c r="J1099" s="18" t="s">
        <v>395</v>
      </c>
      <c r="K1099" s="18" t="s">
        <v>56</v>
      </c>
      <c r="L1099" s="18" t="s">
        <v>36</v>
      </c>
      <c r="N1099" s="18">
        <v>6</v>
      </c>
      <c r="O1099" s="18" t="s">
        <v>88</v>
      </c>
      <c r="P1099" s="18" t="s">
        <v>38</v>
      </c>
      <c r="Q1099" s="18" t="s">
        <v>58</v>
      </c>
      <c r="R1099" s="18" t="s">
        <v>59</v>
      </c>
      <c r="S1099" s="18" t="s">
        <v>60</v>
      </c>
      <c r="T1099" s="18" t="b">
        <v>1</v>
      </c>
      <c r="U1099" s="18" t="s">
        <v>150</v>
      </c>
      <c r="V1099" s="18" t="s">
        <v>40</v>
      </c>
      <c r="W1099" s="18" t="s">
        <v>196</v>
      </c>
      <c r="X1099" s="18" t="s">
        <v>197</v>
      </c>
      <c r="Y1099" s="18">
        <v>1</v>
      </c>
      <c r="Z1099" s="18">
        <v>2500</v>
      </c>
      <c r="AA1099" s="18" t="s">
        <v>227</v>
      </c>
      <c r="AB1099" s="18" t="s">
        <v>228</v>
      </c>
      <c r="AC1099" s="18" t="s">
        <v>163</v>
      </c>
    </row>
    <row r="1100" s="18" customFormat="1" spans="1:29">
      <c r="A1100" s="18" t="s">
        <v>2627</v>
      </c>
      <c r="B1100" s="25" t="s">
        <v>2627</v>
      </c>
      <c r="C1100" s="26">
        <v>45695</v>
      </c>
      <c r="D1100" s="18" t="s">
        <v>1588</v>
      </c>
      <c r="E1100" s="18" t="str">
        <f t="shared" si="17"/>
        <v>Utkarsh Luthra  </v>
      </c>
      <c r="F1100" s="27" t="e">
        <v>#N/A</v>
      </c>
      <c r="G1100" s="18" t="s">
        <v>147</v>
      </c>
      <c r="H1100" s="18" t="s">
        <v>148</v>
      </c>
      <c r="I1100" s="18" t="s">
        <v>54</v>
      </c>
      <c r="J1100" s="18" t="s">
        <v>139</v>
      </c>
      <c r="K1100" s="18" t="s">
        <v>56</v>
      </c>
      <c r="L1100" s="18" t="s">
        <v>36</v>
      </c>
      <c r="N1100" s="18">
        <v>6</v>
      </c>
      <c r="O1100" s="18" t="s">
        <v>93</v>
      </c>
      <c r="P1100" s="18" t="s">
        <v>38</v>
      </c>
      <c r="Q1100" s="18" t="s">
        <v>58</v>
      </c>
      <c r="R1100" s="18" t="s">
        <v>59</v>
      </c>
      <c r="S1100" s="18" t="s">
        <v>60</v>
      </c>
      <c r="T1100" s="18" t="b">
        <v>1</v>
      </c>
      <c r="U1100" s="18" t="s">
        <v>150</v>
      </c>
      <c r="V1100" s="18" t="s">
        <v>40</v>
      </c>
      <c r="W1100" s="18" t="s">
        <v>126</v>
      </c>
      <c r="X1100" s="18" t="s">
        <v>127</v>
      </c>
      <c r="Y1100" s="18">
        <v>1</v>
      </c>
      <c r="Z1100" s="18">
        <v>1694</v>
      </c>
      <c r="AA1100" s="18" t="s">
        <v>2628</v>
      </c>
      <c r="AB1100" s="18" t="s">
        <v>1590</v>
      </c>
      <c r="AC1100" s="18" t="e">
        <v>#N/A</v>
      </c>
    </row>
    <row r="1101" s="18" customFormat="1" spans="1:29">
      <c r="A1101" s="18" t="s">
        <v>2629</v>
      </c>
      <c r="B1101" s="25" t="s">
        <v>2629</v>
      </c>
      <c r="C1101" s="26">
        <v>45695</v>
      </c>
      <c r="D1101" s="18" t="s">
        <v>942</v>
      </c>
      <c r="E1101" s="18" t="str">
        <f t="shared" si="17"/>
        <v>Pandey Print Services</v>
      </c>
      <c r="F1101" s="27" t="s">
        <v>943</v>
      </c>
      <c r="G1101" s="18" t="s">
        <v>147</v>
      </c>
      <c r="H1101" s="18" t="s">
        <v>148</v>
      </c>
      <c r="I1101" s="18" t="s">
        <v>207</v>
      </c>
      <c r="J1101" s="18" t="s">
        <v>240</v>
      </c>
      <c r="K1101" s="18" t="s">
        <v>56</v>
      </c>
      <c r="L1101" s="18" t="s">
        <v>36</v>
      </c>
      <c r="N1101" s="18">
        <v>6</v>
      </c>
      <c r="O1101" s="18" t="s">
        <v>88</v>
      </c>
      <c r="P1101" s="18" t="s">
        <v>38</v>
      </c>
      <c r="Q1101" s="18" t="s">
        <v>58</v>
      </c>
      <c r="R1101" s="18" t="s">
        <v>59</v>
      </c>
      <c r="S1101" s="18" t="s">
        <v>60</v>
      </c>
      <c r="T1101" s="18" t="b">
        <v>1</v>
      </c>
      <c r="U1101" s="18" t="s">
        <v>150</v>
      </c>
      <c r="V1101" s="18" t="s">
        <v>40</v>
      </c>
      <c r="W1101" s="18" t="s">
        <v>196</v>
      </c>
      <c r="X1101" s="18" t="s">
        <v>197</v>
      </c>
      <c r="Y1101" s="18">
        <v>1</v>
      </c>
      <c r="Z1101" s="18">
        <v>28480</v>
      </c>
      <c r="AA1101" s="18" t="s">
        <v>227</v>
      </c>
      <c r="AB1101" s="18" t="s">
        <v>228</v>
      </c>
      <c r="AC1101" s="18" t="s">
        <v>163</v>
      </c>
    </row>
    <row r="1102" s="18" customFormat="1" spans="1:29">
      <c r="A1102" s="18" t="s">
        <v>2630</v>
      </c>
      <c r="B1102" s="25" t="s">
        <v>2630</v>
      </c>
      <c r="C1102" s="26">
        <v>45695</v>
      </c>
      <c r="D1102" s="18" t="s">
        <v>2631</v>
      </c>
      <c r="E1102" s="18" t="str">
        <f t="shared" si="17"/>
        <v>Ayush Tanwar  </v>
      </c>
      <c r="F1102" s="27" t="e">
        <v>#N/A</v>
      </c>
      <c r="G1102" s="18" t="s">
        <v>147</v>
      </c>
      <c r="H1102" s="18" t="s">
        <v>148</v>
      </c>
      <c r="I1102" s="18" t="s">
        <v>54</v>
      </c>
      <c r="J1102" s="18" t="s">
        <v>395</v>
      </c>
      <c r="K1102" s="18" t="s">
        <v>56</v>
      </c>
      <c r="L1102" s="18" t="s">
        <v>36</v>
      </c>
      <c r="N1102" s="18">
        <v>6</v>
      </c>
      <c r="O1102" s="18" t="s">
        <v>93</v>
      </c>
      <c r="P1102" s="18" t="s">
        <v>38</v>
      </c>
      <c r="Q1102" s="18" t="s">
        <v>58</v>
      </c>
      <c r="R1102" s="18" t="s">
        <v>59</v>
      </c>
      <c r="S1102" s="18" t="s">
        <v>60</v>
      </c>
      <c r="T1102" s="18" t="b">
        <v>1</v>
      </c>
      <c r="U1102" s="18" t="s">
        <v>150</v>
      </c>
      <c r="V1102" s="18" t="s">
        <v>40</v>
      </c>
      <c r="W1102" s="18" t="s">
        <v>126</v>
      </c>
      <c r="X1102" s="18" t="s">
        <v>127</v>
      </c>
      <c r="Y1102" s="18">
        <v>1</v>
      </c>
      <c r="Z1102" s="18">
        <v>2154</v>
      </c>
      <c r="AA1102" s="18" t="s">
        <v>2632</v>
      </c>
      <c r="AB1102" s="18" t="s">
        <v>2633</v>
      </c>
      <c r="AC1102" s="18" t="e">
        <v>#N/A</v>
      </c>
    </row>
    <row r="1103" s="18" customFormat="1" spans="1:29">
      <c r="A1103" s="18" t="s">
        <v>2634</v>
      </c>
      <c r="B1103" s="25" t="s">
        <v>2634</v>
      </c>
      <c r="C1103" s="26">
        <v>45695</v>
      </c>
      <c r="D1103" s="18" t="s">
        <v>2635</v>
      </c>
      <c r="E1103" s="18" t="str">
        <f t="shared" si="17"/>
        <v>Shadab Khan..............</v>
      </c>
      <c r="F1103" s="27" t="e">
        <v>#N/A</v>
      </c>
      <c r="G1103" s="18" t="s">
        <v>147</v>
      </c>
      <c r="H1103" s="18" t="s">
        <v>148</v>
      </c>
      <c r="I1103" s="18" t="s">
        <v>54</v>
      </c>
      <c r="J1103" s="18" t="s">
        <v>139</v>
      </c>
      <c r="K1103" s="18" t="s">
        <v>56</v>
      </c>
      <c r="L1103" s="18" t="s">
        <v>36</v>
      </c>
      <c r="N1103" s="18">
        <v>6</v>
      </c>
      <c r="O1103" s="18" t="s">
        <v>93</v>
      </c>
      <c r="P1103" s="18" t="s">
        <v>38</v>
      </c>
      <c r="Q1103" s="18" t="s">
        <v>58</v>
      </c>
      <c r="R1103" s="18" t="s">
        <v>59</v>
      </c>
      <c r="S1103" s="18" t="s">
        <v>60</v>
      </c>
      <c r="T1103" s="18" t="b">
        <v>1</v>
      </c>
      <c r="U1103" s="18" t="s">
        <v>150</v>
      </c>
      <c r="V1103" s="18" t="s">
        <v>40</v>
      </c>
      <c r="W1103" s="18" t="s">
        <v>126</v>
      </c>
      <c r="X1103" s="18" t="s">
        <v>127</v>
      </c>
      <c r="Y1103" s="18">
        <v>1</v>
      </c>
      <c r="Z1103" s="18">
        <v>1560</v>
      </c>
      <c r="AA1103" s="18" t="s">
        <v>2636</v>
      </c>
      <c r="AB1103" s="18" t="s">
        <v>2637</v>
      </c>
      <c r="AC1103" s="18" t="e">
        <v>#N/A</v>
      </c>
    </row>
    <row r="1104" s="18" customFormat="1" spans="1:29">
      <c r="A1104" s="18" t="s">
        <v>2638</v>
      </c>
      <c r="B1104" s="25" t="s">
        <v>2638</v>
      </c>
      <c r="C1104" s="26">
        <v>45695</v>
      </c>
      <c r="D1104" s="18" t="s">
        <v>420</v>
      </c>
      <c r="E1104" s="18" t="str">
        <f t="shared" si="17"/>
        <v>Keshav Sargur  </v>
      </c>
      <c r="F1104" s="27" t="e">
        <v>#N/A</v>
      </c>
      <c r="G1104" s="18" t="s">
        <v>147</v>
      </c>
      <c r="H1104" s="18" t="s">
        <v>148</v>
      </c>
      <c r="I1104" s="18" t="s">
        <v>54</v>
      </c>
      <c r="J1104" s="18" t="s">
        <v>149</v>
      </c>
      <c r="K1104" s="18" t="s">
        <v>56</v>
      </c>
      <c r="L1104" s="18" t="s">
        <v>36</v>
      </c>
      <c r="N1104" s="18">
        <v>6</v>
      </c>
      <c r="O1104" s="18" t="s">
        <v>93</v>
      </c>
      <c r="P1104" s="18" t="s">
        <v>38</v>
      </c>
      <c r="Q1104" s="18" t="s">
        <v>58</v>
      </c>
      <c r="R1104" s="18" t="s">
        <v>59</v>
      </c>
      <c r="S1104" s="18" t="s">
        <v>60</v>
      </c>
      <c r="T1104" s="18" t="b">
        <v>1</v>
      </c>
      <c r="U1104" s="18" t="s">
        <v>150</v>
      </c>
      <c r="V1104" s="18" t="s">
        <v>40</v>
      </c>
      <c r="W1104" s="18" t="s">
        <v>126</v>
      </c>
      <c r="X1104" s="18" t="s">
        <v>127</v>
      </c>
      <c r="Y1104" s="18">
        <v>1</v>
      </c>
      <c r="Z1104" s="18">
        <v>1438</v>
      </c>
      <c r="AA1104" s="18" t="s">
        <v>2639</v>
      </c>
      <c r="AB1104" s="18" t="s">
        <v>422</v>
      </c>
      <c r="AC1104" s="18" t="e">
        <v>#N/A</v>
      </c>
    </row>
    <row r="1105" s="18" customFormat="1" ht="29" spans="1:29">
      <c r="A1105" s="18" t="s">
        <v>2640</v>
      </c>
      <c r="B1105" s="25" t="s">
        <v>2640</v>
      </c>
      <c r="C1105" s="26">
        <v>45695</v>
      </c>
      <c r="D1105" s="18" t="s">
        <v>2641</v>
      </c>
      <c r="E1105" s="18" t="str">
        <f t="shared" si="17"/>
        <v>Lamour Voyages Pvt Ltd</v>
      </c>
      <c r="F1105" s="27" t="s">
        <v>2642</v>
      </c>
      <c r="G1105" s="18" t="s">
        <v>147</v>
      </c>
      <c r="H1105" s="18" t="s">
        <v>148</v>
      </c>
      <c r="I1105" s="18" t="s">
        <v>184</v>
      </c>
      <c r="J1105" s="18" t="s">
        <v>1871</v>
      </c>
      <c r="K1105" s="18" t="s">
        <v>56</v>
      </c>
      <c r="L1105" s="18" t="s">
        <v>36</v>
      </c>
      <c r="N1105" s="18">
        <v>6</v>
      </c>
      <c r="O1105" s="18" t="s">
        <v>57</v>
      </c>
      <c r="P1105" s="18" t="s">
        <v>38</v>
      </c>
      <c r="Q1105" s="18" t="s">
        <v>117</v>
      </c>
      <c r="R1105" s="18" t="s">
        <v>59</v>
      </c>
      <c r="S1105" s="18" t="s">
        <v>118</v>
      </c>
      <c r="T1105" s="18" t="b">
        <v>1</v>
      </c>
      <c r="U1105" s="18" t="s">
        <v>150</v>
      </c>
      <c r="V1105" s="18" t="s">
        <v>40</v>
      </c>
      <c r="W1105" s="18" t="s">
        <v>119</v>
      </c>
      <c r="X1105" s="18" t="s">
        <v>120</v>
      </c>
      <c r="Y1105" s="18">
        <v>1</v>
      </c>
      <c r="Z1105" s="18">
        <v>788411.75</v>
      </c>
      <c r="AA1105" s="31" t="s">
        <v>1423</v>
      </c>
      <c r="AB1105" s="18" t="s">
        <v>1424</v>
      </c>
      <c r="AC1105" s="18" t="s">
        <v>764</v>
      </c>
    </row>
    <row r="1106" s="18" customFormat="1" spans="1:29">
      <c r="A1106" s="18" t="s">
        <v>2643</v>
      </c>
      <c r="B1106" s="25" t="s">
        <v>2643</v>
      </c>
      <c r="C1106" s="26">
        <v>45695</v>
      </c>
      <c r="D1106" s="18" t="s">
        <v>770</v>
      </c>
      <c r="E1106" s="18" t="str">
        <f t="shared" si="17"/>
        <v>Kalu Halder............. </v>
      </c>
      <c r="F1106" s="27" t="e">
        <v>#N/A</v>
      </c>
      <c r="G1106" s="18" t="s">
        <v>147</v>
      </c>
      <c r="H1106" s="18" t="s">
        <v>148</v>
      </c>
      <c r="I1106" s="18" t="s">
        <v>54</v>
      </c>
      <c r="J1106" s="18" t="s">
        <v>149</v>
      </c>
      <c r="K1106" s="18" t="s">
        <v>56</v>
      </c>
      <c r="L1106" s="18" t="s">
        <v>36</v>
      </c>
      <c r="N1106" s="18">
        <v>6</v>
      </c>
      <c r="O1106" s="18" t="s">
        <v>93</v>
      </c>
      <c r="P1106" s="18" t="s">
        <v>38</v>
      </c>
      <c r="Q1106" s="18" t="s">
        <v>58</v>
      </c>
      <c r="R1106" s="18" t="s">
        <v>59</v>
      </c>
      <c r="S1106" s="18" t="s">
        <v>60</v>
      </c>
      <c r="T1106" s="18" t="b">
        <v>1</v>
      </c>
      <c r="U1106" s="18" t="s">
        <v>150</v>
      </c>
      <c r="V1106" s="18" t="s">
        <v>40</v>
      </c>
      <c r="W1106" s="18" t="s">
        <v>412</v>
      </c>
      <c r="X1106" s="18" t="s">
        <v>413</v>
      </c>
      <c r="Y1106" s="18">
        <v>1</v>
      </c>
      <c r="Z1106" s="18">
        <v>37972</v>
      </c>
      <c r="AA1106" s="18" t="s">
        <v>1377</v>
      </c>
      <c r="AB1106" s="18" t="s">
        <v>1378</v>
      </c>
      <c r="AC1106" s="18" t="e">
        <v>#N/A</v>
      </c>
    </row>
    <row r="1107" s="18" customFormat="1" spans="1:29">
      <c r="A1107" s="18" t="s">
        <v>2644</v>
      </c>
      <c r="B1107" s="25" t="s">
        <v>2644</v>
      </c>
      <c r="C1107" s="26">
        <v>45695</v>
      </c>
      <c r="D1107" s="18" t="s">
        <v>770</v>
      </c>
      <c r="E1107" s="18" t="str">
        <f t="shared" si="17"/>
        <v>Kalu Halder............. </v>
      </c>
      <c r="F1107" s="27" t="e">
        <v>#N/A</v>
      </c>
      <c r="G1107" s="18" t="s">
        <v>147</v>
      </c>
      <c r="H1107" s="18" t="s">
        <v>148</v>
      </c>
      <c r="I1107" s="18" t="s">
        <v>54</v>
      </c>
      <c r="K1107" s="18" t="s">
        <v>35</v>
      </c>
      <c r="L1107" s="18" t="s">
        <v>36</v>
      </c>
      <c r="N1107" s="18">
        <v>6</v>
      </c>
      <c r="O1107" s="18" t="s">
        <v>93</v>
      </c>
      <c r="P1107" s="18" t="s">
        <v>38</v>
      </c>
      <c r="T1107" s="18" t="b">
        <v>1</v>
      </c>
      <c r="U1107" s="18" t="s">
        <v>150</v>
      </c>
      <c r="V1107" s="18" t="s">
        <v>40</v>
      </c>
      <c r="W1107" s="18" t="s">
        <v>134</v>
      </c>
      <c r="X1107" s="18" t="s">
        <v>135</v>
      </c>
      <c r="Y1107" s="18">
        <v>1</v>
      </c>
      <c r="Z1107" s="18">
        <v>2210</v>
      </c>
      <c r="AA1107" s="18" t="s">
        <v>1377</v>
      </c>
      <c r="AB1107" s="18" t="s">
        <v>1378</v>
      </c>
      <c r="AC1107" s="18" t="e">
        <v>#N/A</v>
      </c>
    </row>
    <row r="1108" s="18" customFormat="1" spans="1:29">
      <c r="A1108" s="18" t="s">
        <v>2645</v>
      </c>
      <c r="B1108" s="25" t="s">
        <v>2645</v>
      </c>
      <c r="C1108" s="26">
        <v>45695</v>
      </c>
      <c r="D1108" s="18" t="s">
        <v>1474</v>
      </c>
      <c r="E1108" s="18" t="str">
        <f t="shared" si="17"/>
        <v>Virender Singh  </v>
      </c>
      <c r="F1108" s="27" t="e">
        <v>#N/A</v>
      </c>
      <c r="G1108" s="18" t="s">
        <v>147</v>
      </c>
      <c r="H1108" s="18" t="s">
        <v>148</v>
      </c>
      <c r="I1108" s="18" t="s">
        <v>54</v>
      </c>
      <c r="J1108" s="18" t="s">
        <v>249</v>
      </c>
      <c r="K1108" s="18" t="s">
        <v>56</v>
      </c>
      <c r="L1108" s="18" t="s">
        <v>36</v>
      </c>
      <c r="N1108" s="18">
        <v>6</v>
      </c>
      <c r="O1108" s="18" t="s">
        <v>93</v>
      </c>
      <c r="P1108" s="18" t="s">
        <v>38</v>
      </c>
      <c r="Q1108" s="18" t="s">
        <v>58</v>
      </c>
      <c r="R1108" s="18" t="s">
        <v>59</v>
      </c>
      <c r="S1108" s="18" t="s">
        <v>60</v>
      </c>
      <c r="T1108" s="18" t="b">
        <v>1</v>
      </c>
      <c r="U1108" s="18" t="s">
        <v>150</v>
      </c>
      <c r="V1108" s="18" t="s">
        <v>40</v>
      </c>
      <c r="W1108" s="18" t="s">
        <v>126</v>
      </c>
      <c r="X1108" s="18" t="s">
        <v>127</v>
      </c>
      <c r="Y1108" s="18">
        <v>1</v>
      </c>
      <c r="Z1108" s="18">
        <v>1918</v>
      </c>
      <c r="AA1108" s="18" t="s">
        <v>1113</v>
      </c>
      <c r="AB1108" s="18" t="s">
        <v>1109</v>
      </c>
      <c r="AC1108" s="18" t="e">
        <v>#N/A</v>
      </c>
    </row>
    <row r="1109" s="18" customFormat="1" spans="1:29">
      <c r="A1109" s="18" t="s">
        <v>2646</v>
      </c>
      <c r="B1109" s="25" t="s">
        <v>2646</v>
      </c>
      <c r="C1109" s="26">
        <v>45695</v>
      </c>
      <c r="D1109" s="18" t="s">
        <v>2647</v>
      </c>
      <c r="E1109" s="18" t="str">
        <f t="shared" si="17"/>
        <v>Om Dhawan  </v>
      </c>
      <c r="F1109" s="27" t="e">
        <v>#N/A</v>
      </c>
      <c r="G1109" s="18" t="s">
        <v>147</v>
      </c>
      <c r="H1109" s="18" t="s">
        <v>148</v>
      </c>
      <c r="I1109" s="18" t="s">
        <v>54</v>
      </c>
      <c r="J1109" s="18" t="s">
        <v>466</v>
      </c>
      <c r="K1109" s="18" t="s">
        <v>56</v>
      </c>
      <c r="L1109" s="18" t="s">
        <v>36</v>
      </c>
      <c r="N1109" s="18">
        <v>6</v>
      </c>
      <c r="O1109" s="18" t="s">
        <v>93</v>
      </c>
      <c r="P1109" s="18" t="s">
        <v>38</v>
      </c>
      <c r="Q1109" s="18" t="s">
        <v>58</v>
      </c>
      <c r="R1109" s="18" t="s">
        <v>59</v>
      </c>
      <c r="S1109" s="18" t="s">
        <v>60</v>
      </c>
      <c r="T1109" s="18" t="b">
        <v>1</v>
      </c>
      <c r="U1109" s="18" t="s">
        <v>150</v>
      </c>
      <c r="V1109" s="18" t="s">
        <v>40</v>
      </c>
      <c r="W1109" s="18" t="s">
        <v>126</v>
      </c>
      <c r="X1109" s="18" t="s">
        <v>127</v>
      </c>
      <c r="Y1109" s="18">
        <v>1</v>
      </c>
      <c r="Z1109" s="18">
        <v>3201</v>
      </c>
      <c r="AA1109" s="18" t="s">
        <v>2648</v>
      </c>
      <c r="AB1109" s="18" t="s">
        <v>2649</v>
      </c>
      <c r="AC1109" s="18" t="e">
        <v>#N/A</v>
      </c>
    </row>
    <row r="1110" s="18" customFormat="1" spans="1:29">
      <c r="A1110" s="18" t="s">
        <v>2650</v>
      </c>
      <c r="B1110" s="25" t="s">
        <v>2650</v>
      </c>
      <c r="C1110" s="26">
        <v>45695</v>
      </c>
      <c r="D1110" s="18" t="s">
        <v>2651</v>
      </c>
      <c r="E1110" s="18" t="str">
        <f t="shared" si="17"/>
        <v>K Onestationers</v>
      </c>
      <c r="F1110" s="27" t="s">
        <v>2652</v>
      </c>
      <c r="G1110" s="18" t="s">
        <v>147</v>
      </c>
      <c r="H1110" s="18" t="s">
        <v>148</v>
      </c>
      <c r="I1110" s="18" t="s">
        <v>207</v>
      </c>
      <c r="J1110" s="18" t="s">
        <v>249</v>
      </c>
      <c r="K1110" s="18" t="s">
        <v>56</v>
      </c>
      <c r="L1110" s="18" t="s">
        <v>36</v>
      </c>
      <c r="N1110" s="18">
        <v>6</v>
      </c>
      <c r="O1110" s="18" t="s">
        <v>57</v>
      </c>
      <c r="P1110" s="18" t="s">
        <v>38</v>
      </c>
      <c r="Q1110" s="18" t="s">
        <v>58</v>
      </c>
      <c r="R1110" s="18" t="s">
        <v>59</v>
      </c>
      <c r="S1110" s="18" t="s">
        <v>60</v>
      </c>
      <c r="T1110" s="18" t="b">
        <v>1</v>
      </c>
      <c r="U1110" s="18" t="s">
        <v>150</v>
      </c>
      <c r="V1110" s="18" t="s">
        <v>40</v>
      </c>
      <c r="W1110" s="18" t="s">
        <v>196</v>
      </c>
      <c r="X1110" s="18" t="s">
        <v>197</v>
      </c>
      <c r="Y1110" s="18">
        <v>1</v>
      </c>
      <c r="Z1110" s="18">
        <v>18440</v>
      </c>
      <c r="AA1110" s="18" t="s">
        <v>227</v>
      </c>
      <c r="AB1110" s="18" t="s">
        <v>228</v>
      </c>
      <c r="AC1110" s="18" t="e">
        <v>#N/A</v>
      </c>
    </row>
    <row r="1111" s="18" customFormat="1" spans="1:29">
      <c r="A1111" s="18" t="s">
        <v>2653</v>
      </c>
      <c r="B1111" s="25" t="s">
        <v>2653</v>
      </c>
      <c r="C1111" s="26">
        <v>45695</v>
      </c>
      <c r="D1111" s="18" t="s">
        <v>2654</v>
      </c>
      <c r="E1111" s="18" t="str">
        <f t="shared" si="17"/>
        <v>Select Brands International Pvt Ltd</v>
      </c>
      <c r="F1111" s="27" t="s">
        <v>2655</v>
      </c>
      <c r="G1111" s="18" t="s">
        <v>147</v>
      </c>
      <c r="H1111" s="18" t="s">
        <v>148</v>
      </c>
      <c r="I1111" s="18" t="s">
        <v>207</v>
      </c>
      <c r="J1111" s="18" t="s">
        <v>2264</v>
      </c>
      <c r="K1111" s="18" t="s">
        <v>56</v>
      </c>
      <c r="L1111" s="18" t="s">
        <v>36</v>
      </c>
      <c r="N1111" s="18">
        <v>6</v>
      </c>
      <c r="O1111" s="18" t="s">
        <v>88</v>
      </c>
      <c r="P1111" s="18" t="s">
        <v>38</v>
      </c>
      <c r="Q1111" s="18" t="s">
        <v>58</v>
      </c>
      <c r="R1111" s="18" t="s">
        <v>59</v>
      </c>
      <c r="S1111" s="18" t="s">
        <v>60</v>
      </c>
      <c r="T1111" s="18" t="b">
        <v>1</v>
      </c>
      <c r="U1111" s="18" t="s">
        <v>150</v>
      </c>
      <c r="V1111" s="18" t="s">
        <v>40</v>
      </c>
      <c r="W1111" s="18" t="s">
        <v>233</v>
      </c>
      <c r="X1111" s="18" t="s">
        <v>234</v>
      </c>
      <c r="Y1111" s="18">
        <v>1</v>
      </c>
      <c r="Z1111" s="18">
        <v>67797</v>
      </c>
      <c r="AA1111" s="18" t="s">
        <v>2656</v>
      </c>
      <c r="AB1111" s="18" t="s">
        <v>2657</v>
      </c>
      <c r="AC1111" s="18" t="s">
        <v>155</v>
      </c>
    </row>
    <row r="1112" s="18" customFormat="1" spans="1:29">
      <c r="A1112" s="18" t="s">
        <v>2658</v>
      </c>
      <c r="B1112" s="25" t="s">
        <v>2658</v>
      </c>
      <c r="C1112" s="26">
        <v>45695</v>
      </c>
      <c r="D1112" s="18" t="s">
        <v>2651</v>
      </c>
      <c r="E1112" s="18" t="str">
        <f t="shared" si="17"/>
        <v>K Onestationers</v>
      </c>
      <c r="F1112" s="27" t="s">
        <v>2652</v>
      </c>
      <c r="G1112" s="18" t="s">
        <v>147</v>
      </c>
      <c r="H1112" s="18" t="s">
        <v>148</v>
      </c>
      <c r="I1112" s="18" t="s">
        <v>207</v>
      </c>
      <c r="J1112" s="18" t="s">
        <v>139</v>
      </c>
      <c r="K1112" s="18" t="s">
        <v>56</v>
      </c>
      <c r="L1112" s="18" t="s">
        <v>36</v>
      </c>
      <c r="N1112" s="18">
        <v>6</v>
      </c>
      <c r="O1112" s="18" t="s">
        <v>57</v>
      </c>
      <c r="P1112" s="18" t="s">
        <v>38</v>
      </c>
      <c r="Q1112" s="18" t="s">
        <v>58</v>
      </c>
      <c r="R1112" s="18" t="s">
        <v>59</v>
      </c>
      <c r="S1112" s="18" t="s">
        <v>60</v>
      </c>
      <c r="T1112" s="18" t="b">
        <v>1</v>
      </c>
      <c r="U1112" s="18" t="s">
        <v>150</v>
      </c>
      <c r="V1112" s="18" t="s">
        <v>40</v>
      </c>
      <c r="W1112" s="18" t="s">
        <v>196</v>
      </c>
      <c r="X1112" s="18" t="s">
        <v>197</v>
      </c>
      <c r="Y1112" s="18">
        <v>1</v>
      </c>
      <c r="Z1112" s="18">
        <v>48740</v>
      </c>
      <c r="AA1112" s="18" t="s">
        <v>227</v>
      </c>
      <c r="AB1112" s="18" t="s">
        <v>228</v>
      </c>
      <c r="AC1112" s="18" t="e">
        <v>#N/A</v>
      </c>
    </row>
    <row r="1113" s="18" customFormat="1" spans="1:29">
      <c r="A1113" s="18" t="s">
        <v>2659</v>
      </c>
      <c r="B1113" s="25" t="s">
        <v>2659</v>
      </c>
      <c r="C1113" s="26">
        <v>45695</v>
      </c>
      <c r="D1113" s="18" t="s">
        <v>1745</v>
      </c>
      <c r="E1113" s="18" t="str">
        <f t="shared" si="17"/>
        <v>Blue Dart Express Limited</v>
      </c>
      <c r="F1113" s="27" t="e">
        <v>#N/A</v>
      </c>
      <c r="G1113" s="18" t="s">
        <v>147</v>
      </c>
      <c r="H1113" s="18" t="s">
        <v>148</v>
      </c>
      <c r="I1113" s="18" t="s">
        <v>159</v>
      </c>
      <c r="J1113" s="18" t="s">
        <v>240</v>
      </c>
      <c r="K1113" s="18" t="s">
        <v>56</v>
      </c>
      <c r="L1113" s="18" t="s">
        <v>36</v>
      </c>
      <c r="N1113" s="18">
        <v>6</v>
      </c>
      <c r="O1113" s="18" t="s">
        <v>57</v>
      </c>
      <c r="P1113" s="18" t="s">
        <v>38</v>
      </c>
      <c r="Q1113" s="18" t="s">
        <v>58</v>
      </c>
      <c r="R1113" s="18" t="s">
        <v>59</v>
      </c>
      <c r="S1113" s="18" t="s">
        <v>60</v>
      </c>
      <c r="T1113" s="18" t="b">
        <v>1</v>
      </c>
      <c r="U1113" s="18" t="s">
        <v>150</v>
      </c>
      <c r="V1113" s="18" t="s">
        <v>40</v>
      </c>
      <c r="W1113" s="18" t="s">
        <v>837</v>
      </c>
      <c r="X1113" s="18" t="s">
        <v>205</v>
      </c>
      <c r="Y1113" s="18">
        <v>1</v>
      </c>
      <c r="Z1113" s="18">
        <v>5000</v>
      </c>
      <c r="AA1113" s="18" t="s">
        <v>227</v>
      </c>
      <c r="AB1113" s="18" t="s">
        <v>228</v>
      </c>
      <c r="AC1113" s="18" t="s">
        <v>163</v>
      </c>
    </row>
    <row r="1114" s="18" customFormat="1" ht="29" spans="1:29">
      <c r="A1114" s="18" t="s">
        <v>2660</v>
      </c>
      <c r="B1114" s="25" t="s">
        <v>2660</v>
      </c>
      <c r="C1114" s="26">
        <v>45695</v>
      </c>
      <c r="D1114" s="18" t="s">
        <v>1031</v>
      </c>
      <c r="E1114" s="18" t="str">
        <f t="shared" si="17"/>
        <v>Genesis Infoserve Pvt Ltd</v>
      </c>
      <c r="F1114" s="27" t="s">
        <v>1032</v>
      </c>
      <c r="G1114" s="18" t="s">
        <v>182</v>
      </c>
      <c r="H1114" s="18" t="s">
        <v>473</v>
      </c>
      <c r="I1114" s="18" t="s">
        <v>184</v>
      </c>
      <c r="K1114" s="18" t="s">
        <v>35</v>
      </c>
      <c r="L1114" s="18" t="s">
        <v>36</v>
      </c>
      <c r="N1114" s="18">
        <v>6</v>
      </c>
      <c r="O1114" s="18" t="s">
        <v>88</v>
      </c>
      <c r="P1114" s="18" t="s">
        <v>38</v>
      </c>
      <c r="T1114" s="18" t="b">
        <v>0</v>
      </c>
      <c r="U1114" s="18" t="s">
        <v>187</v>
      </c>
      <c r="V1114" s="18" t="s">
        <v>40</v>
      </c>
      <c r="W1114" s="18" t="s">
        <v>1033</v>
      </c>
      <c r="X1114" s="18" t="s">
        <v>1033</v>
      </c>
      <c r="Y1114" s="18">
        <v>1</v>
      </c>
      <c r="Z1114" s="18">
        <v>34500</v>
      </c>
      <c r="AA1114" s="31" t="s">
        <v>992</v>
      </c>
      <c r="AB1114" s="18" t="s">
        <v>993</v>
      </c>
      <c r="AC1114" s="18" t="s">
        <v>200</v>
      </c>
    </row>
    <row r="1115" s="18" customFormat="1" ht="29" spans="1:29">
      <c r="A1115" s="18" t="s">
        <v>2661</v>
      </c>
      <c r="B1115" s="25" t="s">
        <v>2661</v>
      </c>
      <c r="C1115" s="26">
        <v>45695</v>
      </c>
      <c r="D1115" s="18" t="s">
        <v>1031</v>
      </c>
      <c r="E1115" s="18" t="str">
        <f t="shared" si="17"/>
        <v>Genesis Infoserve Pvt Ltd</v>
      </c>
      <c r="F1115" s="27" t="s">
        <v>1032</v>
      </c>
      <c r="G1115" s="18" t="s">
        <v>182</v>
      </c>
      <c r="H1115" s="18" t="s">
        <v>473</v>
      </c>
      <c r="I1115" s="18" t="s">
        <v>184</v>
      </c>
      <c r="K1115" s="18" t="s">
        <v>35</v>
      </c>
      <c r="L1115" s="18" t="s">
        <v>36</v>
      </c>
      <c r="N1115" s="18">
        <v>6</v>
      </c>
      <c r="O1115" s="18" t="s">
        <v>88</v>
      </c>
      <c r="P1115" s="18" t="s">
        <v>38</v>
      </c>
      <c r="T1115" s="18" t="b">
        <v>0</v>
      </c>
      <c r="U1115" s="18" t="s">
        <v>187</v>
      </c>
      <c r="V1115" s="18" t="s">
        <v>40</v>
      </c>
      <c r="W1115" s="18" t="s">
        <v>1033</v>
      </c>
      <c r="X1115" s="18" t="s">
        <v>1033</v>
      </c>
      <c r="Y1115" s="18">
        <v>1</v>
      </c>
      <c r="Z1115" s="18">
        <v>34500</v>
      </c>
      <c r="AA1115" s="31" t="s">
        <v>992</v>
      </c>
      <c r="AB1115" s="18" t="s">
        <v>993</v>
      </c>
      <c r="AC1115" s="18" t="s">
        <v>200</v>
      </c>
    </row>
    <row r="1116" s="18" customFormat="1" ht="29" spans="1:29">
      <c r="A1116" s="18" t="s">
        <v>2662</v>
      </c>
      <c r="B1116" s="25" t="s">
        <v>2662</v>
      </c>
      <c r="C1116" s="26">
        <v>45695</v>
      </c>
      <c r="D1116" s="18" t="s">
        <v>1031</v>
      </c>
      <c r="E1116" s="18" t="str">
        <f t="shared" si="17"/>
        <v>Genesis Infoserve Pvt Ltd</v>
      </c>
      <c r="F1116" s="27" t="s">
        <v>1032</v>
      </c>
      <c r="G1116" s="18" t="s">
        <v>182</v>
      </c>
      <c r="H1116" s="18" t="s">
        <v>473</v>
      </c>
      <c r="I1116" s="18" t="s">
        <v>184</v>
      </c>
      <c r="K1116" s="18" t="s">
        <v>35</v>
      </c>
      <c r="L1116" s="18" t="s">
        <v>36</v>
      </c>
      <c r="N1116" s="18">
        <v>6</v>
      </c>
      <c r="O1116" s="18" t="s">
        <v>88</v>
      </c>
      <c r="P1116" s="18" t="s">
        <v>38</v>
      </c>
      <c r="T1116" s="18" t="b">
        <v>0</v>
      </c>
      <c r="U1116" s="18" t="s">
        <v>187</v>
      </c>
      <c r="V1116" s="18" t="s">
        <v>40</v>
      </c>
      <c r="W1116" s="18" t="s">
        <v>1033</v>
      </c>
      <c r="X1116" s="18" t="s">
        <v>1033</v>
      </c>
      <c r="Y1116" s="18">
        <v>1</v>
      </c>
      <c r="Z1116" s="18">
        <v>34500</v>
      </c>
      <c r="AA1116" s="31" t="s">
        <v>992</v>
      </c>
      <c r="AB1116" s="18" t="s">
        <v>993</v>
      </c>
      <c r="AC1116" s="18" t="s">
        <v>200</v>
      </c>
    </row>
    <row r="1117" s="18" customFormat="1" spans="1:29">
      <c r="A1117" s="18" t="s">
        <v>2663</v>
      </c>
      <c r="B1117" s="25" t="s">
        <v>2663</v>
      </c>
      <c r="C1117" s="26">
        <v>45695</v>
      </c>
      <c r="D1117" s="18" t="s">
        <v>860</v>
      </c>
      <c r="E1117" s="18" t="str">
        <f t="shared" si="17"/>
        <v>Mahendra Mane </v>
      </c>
      <c r="F1117" s="27" t="e">
        <v>#N/A</v>
      </c>
      <c r="G1117" s="18" t="s">
        <v>182</v>
      </c>
      <c r="H1117" s="18" t="s">
        <v>183</v>
      </c>
      <c r="I1117" s="18" t="s">
        <v>481</v>
      </c>
      <c r="J1117" s="18" t="s">
        <v>2429</v>
      </c>
      <c r="K1117" s="18" t="s">
        <v>56</v>
      </c>
      <c r="L1117" s="18" t="s">
        <v>36</v>
      </c>
      <c r="N1117" s="18">
        <v>6</v>
      </c>
      <c r="O1117" s="18" t="s">
        <v>93</v>
      </c>
      <c r="P1117" s="18" t="s">
        <v>38</v>
      </c>
      <c r="Q1117" s="18" t="s">
        <v>194</v>
      </c>
      <c r="R1117" s="18" t="s">
        <v>59</v>
      </c>
      <c r="S1117" s="18" t="s">
        <v>195</v>
      </c>
      <c r="T1117" s="18" t="b">
        <v>0</v>
      </c>
      <c r="U1117" s="18" t="s">
        <v>187</v>
      </c>
      <c r="V1117" s="18" t="s">
        <v>40</v>
      </c>
      <c r="W1117" s="18" t="s">
        <v>126</v>
      </c>
      <c r="X1117" s="18" t="s">
        <v>127</v>
      </c>
      <c r="Y1117" s="18">
        <v>1</v>
      </c>
      <c r="Z1117" s="18">
        <v>338</v>
      </c>
      <c r="AC1117" s="18" t="e">
        <v>#N/A</v>
      </c>
    </row>
    <row r="1118" s="18" customFormat="1" spans="1:29">
      <c r="A1118" s="18" t="s">
        <v>2664</v>
      </c>
      <c r="B1118" s="25" t="s">
        <v>2664</v>
      </c>
      <c r="C1118" s="26">
        <v>45695</v>
      </c>
      <c r="D1118" s="18" t="s">
        <v>1213</v>
      </c>
      <c r="E1118" s="18" t="str">
        <f t="shared" si="17"/>
        <v>Sanjay Kathale Cash </v>
      </c>
      <c r="F1118" s="27" t="e">
        <v>#N/A</v>
      </c>
      <c r="G1118" s="18" t="s">
        <v>182</v>
      </c>
      <c r="H1118" s="18" t="s">
        <v>183</v>
      </c>
      <c r="I1118" s="18" t="s">
        <v>481</v>
      </c>
      <c r="J1118" s="18" t="s">
        <v>1884</v>
      </c>
      <c r="K1118" s="18" t="s">
        <v>56</v>
      </c>
      <c r="L1118" s="18" t="s">
        <v>36</v>
      </c>
      <c r="N1118" s="18">
        <v>6</v>
      </c>
      <c r="O1118" s="18" t="s">
        <v>93</v>
      </c>
      <c r="P1118" s="18" t="s">
        <v>38</v>
      </c>
      <c r="Q1118" s="18" t="s">
        <v>117</v>
      </c>
      <c r="R1118" s="18" t="s">
        <v>59</v>
      </c>
      <c r="S1118" s="18" t="s">
        <v>118</v>
      </c>
      <c r="T1118" s="18" t="b">
        <v>0</v>
      </c>
      <c r="U1118" s="18" t="s">
        <v>187</v>
      </c>
      <c r="V1118" s="18" t="s">
        <v>40</v>
      </c>
      <c r="W1118" s="18" t="s">
        <v>126</v>
      </c>
      <c r="X1118" s="18" t="s">
        <v>127</v>
      </c>
      <c r="Y1118" s="18">
        <v>1</v>
      </c>
      <c r="Z1118" s="18">
        <v>1015</v>
      </c>
      <c r="AC1118" s="18" t="e">
        <v>#N/A</v>
      </c>
    </row>
    <row r="1119" s="18" customFormat="1" spans="1:29">
      <c r="A1119" s="18" t="s">
        <v>2665</v>
      </c>
      <c r="B1119" s="25" t="s">
        <v>2665</v>
      </c>
      <c r="C1119" s="26">
        <v>45695</v>
      </c>
      <c r="D1119" s="18" t="s">
        <v>2666</v>
      </c>
      <c r="E1119" s="18" t="str">
        <f t="shared" si="17"/>
        <v>Courtyard Marriot Hotel Mumbai (Kanika Hotels)</v>
      </c>
      <c r="F1119" s="27" t="s">
        <v>2667</v>
      </c>
      <c r="G1119" s="18" t="s">
        <v>182</v>
      </c>
      <c r="H1119" s="18" t="s">
        <v>183</v>
      </c>
      <c r="I1119" s="18" t="s">
        <v>54</v>
      </c>
      <c r="J1119" s="18" t="s">
        <v>1275</v>
      </c>
      <c r="K1119" s="18" t="s">
        <v>56</v>
      </c>
      <c r="L1119" s="18" t="s">
        <v>36</v>
      </c>
      <c r="N1119" s="18">
        <v>6</v>
      </c>
      <c r="O1119" s="18" t="s">
        <v>93</v>
      </c>
      <c r="P1119" s="18" t="s">
        <v>38</v>
      </c>
      <c r="Q1119" s="18" t="s">
        <v>58</v>
      </c>
      <c r="R1119" s="18" t="s">
        <v>59</v>
      </c>
      <c r="S1119" s="18" t="s">
        <v>60</v>
      </c>
      <c r="T1119" s="18" t="b">
        <v>0</v>
      </c>
      <c r="U1119" s="18" t="s">
        <v>187</v>
      </c>
      <c r="V1119" s="18" t="s">
        <v>40</v>
      </c>
      <c r="W1119" s="18" t="s">
        <v>1176</v>
      </c>
      <c r="X1119" s="18" t="s">
        <v>1177</v>
      </c>
      <c r="Y1119" s="18">
        <v>1</v>
      </c>
      <c r="Z1119" s="18">
        <v>617500</v>
      </c>
      <c r="AA1119" s="18" t="s">
        <v>63</v>
      </c>
      <c r="AB1119" s="18" t="s">
        <v>64</v>
      </c>
      <c r="AC1119" s="18" t="s">
        <v>200</v>
      </c>
    </row>
    <row r="1120" s="18" customFormat="1" spans="1:29">
      <c r="A1120" s="18" t="s">
        <v>2668</v>
      </c>
      <c r="B1120" s="25" t="s">
        <v>2668</v>
      </c>
      <c r="C1120" s="26">
        <v>45695</v>
      </c>
      <c r="D1120" s="18" t="s">
        <v>2666</v>
      </c>
      <c r="E1120" s="18" t="str">
        <f t="shared" si="17"/>
        <v>Courtyard Marriot Hotel Mumbai (Kanika Hotels)</v>
      </c>
      <c r="F1120" s="27" t="s">
        <v>2667</v>
      </c>
      <c r="G1120" s="18" t="s">
        <v>182</v>
      </c>
      <c r="H1120" s="18" t="s">
        <v>183</v>
      </c>
      <c r="I1120" s="18" t="s">
        <v>54</v>
      </c>
      <c r="J1120" s="18" t="s">
        <v>1275</v>
      </c>
      <c r="K1120" s="18" t="s">
        <v>56</v>
      </c>
      <c r="L1120" s="18" t="s">
        <v>36</v>
      </c>
      <c r="N1120" s="18">
        <v>6</v>
      </c>
      <c r="O1120" s="18" t="s">
        <v>93</v>
      </c>
      <c r="P1120" s="18" t="s">
        <v>38</v>
      </c>
      <c r="Q1120" s="18" t="s">
        <v>58</v>
      </c>
      <c r="R1120" s="18" t="s">
        <v>59</v>
      </c>
      <c r="S1120" s="18" t="s">
        <v>60</v>
      </c>
      <c r="T1120" s="18" t="b">
        <v>0</v>
      </c>
      <c r="U1120" s="18" t="s">
        <v>187</v>
      </c>
      <c r="V1120" s="18" t="s">
        <v>40</v>
      </c>
      <c r="W1120" s="18" t="s">
        <v>1176</v>
      </c>
      <c r="X1120" s="18" t="s">
        <v>1177</v>
      </c>
      <c r="Y1120" s="18">
        <v>1</v>
      </c>
      <c r="Z1120" s="18">
        <v>1217500</v>
      </c>
      <c r="AA1120" s="18" t="s">
        <v>63</v>
      </c>
      <c r="AB1120" s="18" t="s">
        <v>64</v>
      </c>
      <c r="AC1120" s="18" t="s">
        <v>200</v>
      </c>
    </row>
    <row r="1121" s="18" customFormat="1" spans="1:29">
      <c r="A1121" s="18" t="s">
        <v>2669</v>
      </c>
      <c r="B1121" s="25" t="s">
        <v>2669</v>
      </c>
      <c r="C1121" s="26">
        <v>45695</v>
      </c>
      <c r="D1121" s="18" t="s">
        <v>1054</v>
      </c>
      <c r="E1121" s="18" t="str">
        <f t="shared" si="17"/>
        <v>Suresh Pardhle  </v>
      </c>
      <c r="F1121" s="27" t="e">
        <v>#N/A</v>
      </c>
      <c r="G1121" s="18" t="s">
        <v>182</v>
      </c>
      <c r="H1121" s="18" t="s">
        <v>183</v>
      </c>
      <c r="I1121" s="18" t="s">
        <v>481</v>
      </c>
      <c r="J1121" s="18" t="s">
        <v>2286</v>
      </c>
      <c r="K1121" s="18" t="s">
        <v>56</v>
      </c>
      <c r="L1121" s="18" t="s">
        <v>36</v>
      </c>
      <c r="N1121" s="18">
        <v>6</v>
      </c>
      <c r="O1121" s="18" t="s">
        <v>93</v>
      </c>
      <c r="P1121" s="18" t="s">
        <v>38</v>
      </c>
      <c r="Q1121" s="18" t="s">
        <v>194</v>
      </c>
      <c r="R1121" s="18" t="s">
        <v>59</v>
      </c>
      <c r="S1121" s="18" t="s">
        <v>195</v>
      </c>
      <c r="T1121" s="18" t="b">
        <v>0</v>
      </c>
      <c r="U1121" s="18" t="s">
        <v>187</v>
      </c>
      <c r="V1121" s="18" t="s">
        <v>40</v>
      </c>
      <c r="W1121" s="18" t="s">
        <v>1055</v>
      </c>
      <c r="X1121" s="18" t="s">
        <v>1056</v>
      </c>
      <c r="Y1121" s="18">
        <v>1</v>
      </c>
      <c r="Z1121" s="18">
        <v>2350</v>
      </c>
      <c r="AC1121" s="18" t="e">
        <v>#N/A</v>
      </c>
    </row>
    <row r="1122" s="18" customFormat="1" spans="1:29">
      <c r="A1122" s="18" t="s">
        <v>2670</v>
      </c>
      <c r="B1122" s="25" t="s">
        <v>2670</v>
      </c>
      <c r="C1122" s="26">
        <v>45695</v>
      </c>
      <c r="D1122" s="18" t="s">
        <v>1203</v>
      </c>
      <c r="E1122" s="18" t="str">
        <f t="shared" si="17"/>
        <v>Padmakar Jadhav </v>
      </c>
      <c r="F1122" s="27" t="e">
        <v>#N/A</v>
      </c>
      <c r="G1122" s="18" t="s">
        <v>182</v>
      </c>
      <c r="H1122" s="18" t="s">
        <v>183</v>
      </c>
      <c r="I1122" s="18" t="s">
        <v>481</v>
      </c>
      <c r="J1122" s="18" t="s">
        <v>1370</v>
      </c>
      <c r="K1122" s="18" t="s">
        <v>56</v>
      </c>
      <c r="L1122" s="18" t="s">
        <v>36</v>
      </c>
      <c r="N1122" s="18">
        <v>6</v>
      </c>
      <c r="O1122" s="18" t="s">
        <v>93</v>
      </c>
      <c r="P1122" s="18" t="s">
        <v>38</v>
      </c>
      <c r="Q1122" s="18" t="s">
        <v>58</v>
      </c>
      <c r="R1122" s="18" t="s">
        <v>59</v>
      </c>
      <c r="S1122" s="18" t="s">
        <v>60</v>
      </c>
      <c r="T1122" s="18" t="b">
        <v>0</v>
      </c>
      <c r="U1122" s="18" t="s">
        <v>187</v>
      </c>
      <c r="V1122" s="18" t="s">
        <v>40</v>
      </c>
      <c r="W1122" s="18" t="s">
        <v>126</v>
      </c>
      <c r="X1122" s="18" t="s">
        <v>127</v>
      </c>
      <c r="Y1122" s="18">
        <v>1</v>
      </c>
      <c r="Z1122" s="18">
        <v>166</v>
      </c>
      <c r="AC1122" s="18" t="e">
        <v>#N/A</v>
      </c>
    </row>
    <row r="1123" s="18" customFormat="1" spans="1:29">
      <c r="A1123" s="18" t="s">
        <v>2671</v>
      </c>
      <c r="B1123" s="25" t="s">
        <v>2671</v>
      </c>
      <c r="C1123" s="26">
        <v>45695</v>
      </c>
      <c r="D1123" s="18" t="s">
        <v>1054</v>
      </c>
      <c r="E1123" s="18" t="str">
        <f t="shared" si="17"/>
        <v>Suresh Pardhle  </v>
      </c>
      <c r="F1123" s="27" t="e">
        <v>#N/A</v>
      </c>
      <c r="G1123" s="18" t="s">
        <v>182</v>
      </c>
      <c r="H1123" s="18" t="s">
        <v>183</v>
      </c>
      <c r="I1123" s="18" t="s">
        <v>481</v>
      </c>
      <c r="J1123" s="18" t="s">
        <v>2171</v>
      </c>
      <c r="K1123" s="18" t="s">
        <v>56</v>
      </c>
      <c r="L1123" s="18" t="s">
        <v>36</v>
      </c>
      <c r="N1123" s="18">
        <v>6</v>
      </c>
      <c r="O1123" s="18" t="s">
        <v>93</v>
      </c>
      <c r="P1123" s="18" t="s">
        <v>38</v>
      </c>
      <c r="Q1123" s="18" t="s">
        <v>194</v>
      </c>
      <c r="R1123" s="18" t="s">
        <v>59</v>
      </c>
      <c r="S1123" s="18" t="s">
        <v>195</v>
      </c>
      <c r="T1123" s="18" t="b">
        <v>0</v>
      </c>
      <c r="U1123" s="18" t="s">
        <v>187</v>
      </c>
      <c r="V1123" s="18" t="s">
        <v>40</v>
      </c>
      <c r="W1123" s="18" t="s">
        <v>61</v>
      </c>
      <c r="X1123" s="18" t="s">
        <v>62</v>
      </c>
      <c r="Y1123" s="18">
        <v>1</v>
      </c>
      <c r="Z1123" s="18">
        <v>2800</v>
      </c>
      <c r="AC1123" s="18" t="e">
        <v>#N/A</v>
      </c>
    </row>
    <row r="1124" s="18" customFormat="1" spans="1:29">
      <c r="A1124" s="18" t="s">
        <v>2672</v>
      </c>
      <c r="B1124" s="25" t="s">
        <v>2672</v>
      </c>
      <c r="C1124" s="26">
        <v>45695</v>
      </c>
      <c r="D1124" s="18" t="s">
        <v>1647</v>
      </c>
      <c r="E1124" s="18" t="str">
        <f t="shared" si="17"/>
        <v>Aftab Shaikh  </v>
      </c>
      <c r="F1124" s="27" t="e">
        <v>#N/A</v>
      </c>
      <c r="G1124" s="18" t="s">
        <v>182</v>
      </c>
      <c r="H1124" s="18" t="s">
        <v>183</v>
      </c>
      <c r="I1124" s="18" t="s">
        <v>481</v>
      </c>
      <c r="J1124" s="18" t="s">
        <v>2171</v>
      </c>
      <c r="K1124" s="18" t="s">
        <v>56</v>
      </c>
      <c r="L1124" s="18" t="s">
        <v>36</v>
      </c>
      <c r="N1124" s="18">
        <v>6</v>
      </c>
      <c r="O1124" s="18" t="s">
        <v>93</v>
      </c>
      <c r="P1124" s="18" t="s">
        <v>38</v>
      </c>
      <c r="Q1124" s="18" t="s">
        <v>194</v>
      </c>
      <c r="R1124" s="18" t="s">
        <v>59</v>
      </c>
      <c r="S1124" s="18" t="s">
        <v>195</v>
      </c>
      <c r="T1124" s="18" t="b">
        <v>0</v>
      </c>
      <c r="U1124" s="18" t="s">
        <v>187</v>
      </c>
      <c r="V1124" s="18" t="s">
        <v>40</v>
      </c>
      <c r="W1124" s="18" t="s">
        <v>317</v>
      </c>
      <c r="X1124" s="18" t="s">
        <v>318</v>
      </c>
      <c r="Y1124" s="18">
        <v>1</v>
      </c>
      <c r="Z1124" s="18">
        <v>8728.48</v>
      </c>
      <c r="AC1124" s="18" t="e">
        <v>#N/A</v>
      </c>
    </row>
    <row r="1125" s="18" customFormat="1" spans="1:29">
      <c r="A1125" s="18" t="s">
        <v>2673</v>
      </c>
      <c r="B1125" s="25" t="s">
        <v>2673</v>
      </c>
      <c r="C1125" s="26">
        <v>45695</v>
      </c>
      <c r="D1125" s="18" t="s">
        <v>2674</v>
      </c>
      <c r="E1125" s="18" t="str">
        <f t="shared" si="17"/>
        <v>Justin Francis Vadakkan  </v>
      </c>
      <c r="F1125" s="27" t="e">
        <v>#N/A</v>
      </c>
      <c r="G1125" s="18" t="s">
        <v>182</v>
      </c>
      <c r="H1125" s="18" t="s">
        <v>183</v>
      </c>
      <c r="I1125" s="18" t="s">
        <v>481</v>
      </c>
      <c r="J1125" s="18" t="s">
        <v>1995</v>
      </c>
      <c r="K1125" s="18" t="s">
        <v>56</v>
      </c>
      <c r="L1125" s="18" t="s">
        <v>36</v>
      </c>
      <c r="N1125" s="18">
        <v>6</v>
      </c>
      <c r="O1125" s="18" t="s">
        <v>93</v>
      </c>
      <c r="P1125" s="18" t="s">
        <v>38</v>
      </c>
      <c r="Q1125" s="18" t="s">
        <v>194</v>
      </c>
      <c r="R1125" s="18" t="s">
        <v>59</v>
      </c>
      <c r="S1125" s="18" t="s">
        <v>195</v>
      </c>
      <c r="T1125" s="18" t="b">
        <v>0</v>
      </c>
      <c r="U1125" s="18" t="s">
        <v>187</v>
      </c>
      <c r="V1125" s="18" t="s">
        <v>40</v>
      </c>
      <c r="W1125" s="18" t="s">
        <v>317</v>
      </c>
      <c r="X1125" s="18" t="s">
        <v>318</v>
      </c>
      <c r="Y1125" s="18">
        <v>1</v>
      </c>
      <c r="Z1125" s="18">
        <v>1971</v>
      </c>
      <c r="AC1125" s="18" t="e">
        <v>#N/A</v>
      </c>
    </row>
    <row r="1126" s="18" customFormat="1" spans="1:29">
      <c r="A1126" s="18" t="s">
        <v>2675</v>
      </c>
      <c r="B1126" s="25" t="s">
        <v>2675</v>
      </c>
      <c r="C1126" s="26">
        <v>45695</v>
      </c>
      <c r="D1126" s="18" t="s">
        <v>915</v>
      </c>
      <c r="E1126" s="18" t="str">
        <f t="shared" si="17"/>
        <v>Santosh Bhogal Cash  </v>
      </c>
      <c r="F1126" s="27" t="e">
        <v>#N/A</v>
      </c>
      <c r="G1126" s="18" t="s">
        <v>182</v>
      </c>
      <c r="H1126" s="18" t="s">
        <v>183</v>
      </c>
      <c r="I1126" s="18" t="s">
        <v>481</v>
      </c>
      <c r="J1126" s="18" t="s">
        <v>2429</v>
      </c>
      <c r="K1126" s="18" t="s">
        <v>56</v>
      </c>
      <c r="L1126" s="18" t="s">
        <v>36</v>
      </c>
      <c r="N1126" s="18">
        <v>6</v>
      </c>
      <c r="O1126" s="18" t="s">
        <v>93</v>
      </c>
      <c r="P1126" s="18" t="s">
        <v>38</v>
      </c>
      <c r="Q1126" s="18" t="s">
        <v>194</v>
      </c>
      <c r="R1126" s="18" t="s">
        <v>59</v>
      </c>
      <c r="S1126" s="18" t="s">
        <v>195</v>
      </c>
      <c r="T1126" s="18" t="b">
        <v>0</v>
      </c>
      <c r="U1126" s="18" t="s">
        <v>187</v>
      </c>
      <c r="V1126" s="18" t="s">
        <v>40</v>
      </c>
      <c r="W1126" s="18" t="s">
        <v>126</v>
      </c>
      <c r="X1126" s="18" t="s">
        <v>127</v>
      </c>
      <c r="Y1126" s="18">
        <v>1</v>
      </c>
      <c r="Z1126" s="18">
        <v>86</v>
      </c>
      <c r="AC1126" s="18" t="e">
        <v>#N/A</v>
      </c>
    </row>
    <row r="1127" s="18" customFormat="1" spans="1:29">
      <c r="A1127" s="18" t="s">
        <v>2676</v>
      </c>
      <c r="B1127" s="25" t="s">
        <v>2676</v>
      </c>
      <c r="C1127" s="26">
        <v>45695</v>
      </c>
      <c r="D1127" s="18" t="s">
        <v>1213</v>
      </c>
      <c r="E1127" s="18" t="str">
        <f t="shared" si="17"/>
        <v>Sanjay Kathale Cash </v>
      </c>
      <c r="F1127" s="27" t="e">
        <v>#N/A</v>
      </c>
      <c r="G1127" s="18" t="s">
        <v>182</v>
      </c>
      <c r="H1127" s="18" t="s">
        <v>183</v>
      </c>
      <c r="I1127" s="18" t="s">
        <v>481</v>
      </c>
      <c r="J1127" s="18" t="s">
        <v>2286</v>
      </c>
      <c r="K1127" s="18" t="s">
        <v>56</v>
      </c>
      <c r="L1127" s="18" t="s">
        <v>36</v>
      </c>
      <c r="N1127" s="18">
        <v>6</v>
      </c>
      <c r="O1127" s="18" t="s">
        <v>93</v>
      </c>
      <c r="P1127" s="18" t="s">
        <v>38</v>
      </c>
      <c r="Q1127" s="18" t="s">
        <v>194</v>
      </c>
      <c r="R1127" s="18" t="s">
        <v>59</v>
      </c>
      <c r="S1127" s="18" t="s">
        <v>195</v>
      </c>
      <c r="T1127" s="18" t="b">
        <v>0</v>
      </c>
      <c r="U1127" s="18" t="s">
        <v>187</v>
      </c>
      <c r="V1127" s="18" t="s">
        <v>40</v>
      </c>
      <c r="W1127" s="18" t="s">
        <v>412</v>
      </c>
      <c r="X1127" s="18" t="s">
        <v>413</v>
      </c>
      <c r="Y1127" s="18">
        <v>1</v>
      </c>
      <c r="Z1127" s="18">
        <v>300</v>
      </c>
      <c r="AC1127" s="18" t="e">
        <v>#N/A</v>
      </c>
    </row>
    <row r="1128" s="18" customFormat="1" spans="1:29">
      <c r="A1128" s="18" t="s">
        <v>2677</v>
      </c>
      <c r="B1128" s="25" t="s">
        <v>2677</v>
      </c>
      <c r="C1128" s="26">
        <v>45695</v>
      </c>
      <c r="D1128" s="18" t="s">
        <v>2678</v>
      </c>
      <c r="E1128" s="18" t="str">
        <f t="shared" si="17"/>
        <v>Lalit Great Eastern Kolkata Hotel Ltd</v>
      </c>
      <c r="F1128" s="27" t="s">
        <v>2679</v>
      </c>
      <c r="G1128" s="18" t="s">
        <v>182</v>
      </c>
      <c r="H1128" s="18" t="s">
        <v>183</v>
      </c>
      <c r="I1128" s="18" t="s">
        <v>54</v>
      </c>
      <c r="J1128" s="18" t="s">
        <v>1253</v>
      </c>
      <c r="K1128" s="18" t="s">
        <v>56</v>
      </c>
      <c r="L1128" s="18" t="s">
        <v>36</v>
      </c>
      <c r="N1128" s="18">
        <v>6</v>
      </c>
      <c r="O1128" s="18" t="s">
        <v>93</v>
      </c>
      <c r="P1128" s="18" t="s">
        <v>38</v>
      </c>
      <c r="Q1128" s="18" t="s">
        <v>58</v>
      </c>
      <c r="R1128" s="18" t="s">
        <v>59</v>
      </c>
      <c r="S1128" s="18" t="s">
        <v>60</v>
      </c>
      <c r="T1128" s="18" t="b">
        <v>0</v>
      </c>
      <c r="U1128" s="18" t="s">
        <v>187</v>
      </c>
      <c r="V1128" s="18" t="s">
        <v>40</v>
      </c>
      <c r="W1128" s="18" t="s">
        <v>1176</v>
      </c>
      <c r="X1128" s="18" t="s">
        <v>1177</v>
      </c>
      <c r="Y1128" s="18">
        <v>1</v>
      </c>
      <c r="Z1128" s="18">
        <v>352000</v>
      </c>
      <c r="AA1128" s="18" t="s">
        <v>63</v>
      </c>
      <c r="AB1128" s="18" t="s">
        <v>64</v>
      </c>
      <c r="AC1128" s="18" t="s">
        <v>216</v>
      </c>
    </row>
    <row r="1129" s="20" customFormat="1" spans="1:29">
      <c r="A1129" s="20" t="s">
        <v>2680</v>
      </c>
      <c r="B1129" s="33" t="s">
        <v>2680</v>
      </c>
      <c r="C1129" s="34">
        <v>45695</v>
      </c>
      <c r="D1129" s="20" t="s">
        <v>2681</v>
      </c>
      <c r="E1129" s="20" t="str">
        <f t="shared" si="17"/>
        <v>Abhay Deol</v>
      </c>
      <c r="F1129" s="27" t="s">
        <v>2682</v>
      </c>
      <c r="G1129" s="20" t="s">
        <v>182</v>
      </c>
      <c r="H1129" s="20" t="s">
        <v>183</v>
      </c>
      <c r="I1129" s="20" t="s">
        <v>184</v>
      </c>
      <c r="J1129" s="20" t="s">
        <v>2683</v>
      </c>
      <c r="K1129" s="20" t="s">
        <v>56</v>
      </c>
      <c r="L1129" s="20" t="s">
        <v>36</v>
      </c>
      <c r="N1129" s="20">
        <v>6</v>
      </c>
      <c r="O1129" s="20" t="s">
        <v>57</v>
      </c>
      <c r="P1129" s="20" t="s">
        <v>38</v>
      </c>
      <c r="Q1129" s="20" t="s">
        <v>194</v>
      </c>
      <c r="R1129" s="20" t="s">
        <v>59</v>
      </c>
      <c r="S1129" s="20" t="s">
        <v>195</v>
      </c>
      <c r="T1129" s="20" t="b">
        <v>0</v>
      </c>
      <c r="U1129" s="20" t="s">
        <v>187</v>
      </c>
      <c r="V1129" s="20" t="s">
        <v>40</v>
      </c>
      <c r="W1129" s="20" t="s">
        <v>250</v>
      </c>
      <c r="X1129" s="20" t="s">
        <v>251</v>
      </c>
      <c r="Y1129" s="20">
        <v>1</v>
      </c>
      <c r="Z1129" s="20">
        <v>1800000</v>
      </c>
      <c r="AA1129" s="20" t="s">
        <v>2684</v>
      </c>
      <c r="AB1129" s="20" t="e">
        <v>#N/A</v>
      </c>
      <c r="AC1129" s="20" t="s">
        <v>200</v>
      </c>
    </row>
    <row r="1130" s="18" customFormat="1" spans="1:29">
      <c r="A1130" s="18" t="s">
        <v>2685</v>
      </c>
      <c r="B1130" s="25" t="s">
        <v>2685</v>
      </c>
      <c r="C1130" s="26">
        <v>45695</v>
      </c>
      <c r="D1130" s="18" t="s">
        <v>472</v>
      </c>
      <c r="E1130" s="18" t="e">
        <f t="shared" si="17"/>
        <v>#N/A</v>
      </c>
      <c r="F1130" s="27" t="e">
        <v>#N/A</v>
      </c>
      <c r="G1130" s="18" t="s">
        <v>182</v>
      </c>
      <c r="H1130" s="18" t="s">
        <v>183</v>
      </c>
      <c r="I1130" s="18" t="s">
        <v>54</v>
      </c>
      <c r="K1130" s="18" t="s">
        <v>35</v>
      </c>
      <c r="L1130" s="18" t="s">
        <v>36</v>
      </c>
      <c r="N1130" s="18">
        <v>6</v>
      </c>
      <c r="P1130" s="18" t="s">
        <v>38</v>
      </c>
      <c r="T1130" s="18" t="b">
        <v>0</v>
      </c>
      <c r="U1130" s="18" t="s">
        <v>187</v>
      </c>
      <c r="V1130" s="18" t="s">
        <v>40</v>
      </c>
      <c r="W1130" s="18" t="e">
        <v>#N/A</v>
      </c>
      <c r="X1130" s="18" t="e">
        <v>#N/A</v>
      </c>
      <c r="Y1130" s="18" t="e">
        <v>#N/A</v>
      </c>
      <c r="Z1130" s="18" t="e">
        <v>#N/A</v>
      </c>
      <c r="AC1130" s="18" t="e">
        <v>#N/A</v>
      </c>
    </row>
    <row r="1131" s="18" customFormat="1" ht="29" spans="1:29">
      <c r="A1131" s="18" t="s">
        <v>2686</v>
      </c>
      <c r="B1131" s="25" t="s">
        <v>2686</v>
      </c>
      <c r="C1131" s="26">
        <v>45696</v>
      </c>
      <c r="D1131" s="18" t="s">
        <v>1556</v>
      </c>
      <c r="E1131" s="18" t="str">
        <f t="shared" si="17"/>
        <v>Meta Platforms Ireland Ltd</v>
      </c>
      <c r="F1131" s="27" t="s">
        <v>1557</v>
      </c>
      <c r="G1131" s="18" t="s">
        <v>182</v>
      </c>
      <c r="H1131" s="18" t="s">
        <v>183</v>
      </c>
      <c r="I1131" s="18" t="s">
        <v>184</v>
      </c>
      <c r="J1131" s="18" t="s">
        <v>1238</v>
      </c>
      <c r="K1131" s="18" t="s">
        <v>56</v>
      </c>
      <c r="L1131" s="18" t="s">
        <v>36</v>
      </c>
      <c r="N1131" s="18">
        <v>6</v>
      </c>
      <c r="O1131" s="18" t="s">
        <v>57</v>
      </c>
      <c r="P1131" s="18" t="s">
        <v>38</v>
      </c>
      <c r="Q1131" s="18" t="s">
        <v>58</v>
      </c>
      <c r="R1131" s="18" t="s">
        <v>59</v>
      </c>
      <c r="S1131" s="18" t="s">
        <v>60</v>
      </c>
      <c r="T1131" s="18" t="b">
        <v>0</v>
      </c>
      <c r="U1131" s="18" t="s">
        <v>187</v>
      </c>
      <c r="V1131" s="18" t="s">
        <v>40</v>
      </c>
      <c r="W1131" s="18" t="s">
        <v>803</v>
      </c>
      <c r="X1131" s="18" t="s">
        <v>804</v>
      </c>
      <c r="Y1131" s="18">
        <v>1</v>
      </c>
      <c r="Z1131" s="18">
        <v>94.94</v>
      </c>
      <c r="AA1131" s="31" t="s">
        <v>1558</v>
      </c>
      <c r="AB1131" s="18" t="s">
        <v>90</v>
      </c>
      <c r="AC1131" s="18" t="e">
        <v>#N/A</v>
      </c>
    </row>
    <row r="1132" s="18" customFormat="1" ht="29" spans="1:29">
      <c r="A1132" s="18" t="s">
        <v>2687</v>
      </c>
      <c r="B1132" s="25" t="s">
        <v>2687</v>
      </c>
      <c r="C1132" s="26">
        <v>45696</v>
      </c>
      <c r="D1132" s="18" t="s">
        <v>2688</v>
      </c>
      <c r="E1132" s="18" t="str">
        <f t="shared" si="17"/>
        <v>Shreeji International</v>
      </c>
      <c r="F1132" s="27" t="s">
        <v>2689</v>
      </c>
      <c r="G1132" s="18" t="s">
        <v>182</v>
      </c>
      <c r="H1132" s="18" t="s">
        <v>183</v>
      </c>
      <c r="I1132" s="18" t="s">
        <v>184</v>
      </c>
      <c r="J1132" s="18" t="s">
        <v>2690</v>
      </c>
      <c r="K1132" s="18" t="s">
        <v>56</v>
      </c>
      <c r="L1132" s="18" t="s">
        <v>36</v>
      </c>
      <c r="N1132" s="18">
        <v>6</v>
      </c>
      <c r="O1132" s="18" t="s">
        <v>57</v>
      </c>
      <c r="P1132" s="18" t="s">
        <v>38</v>
      </c>
      <c r="Q1132" s="18" t="s">
        <v>194</v>
      </c>
      <c r="R1132" s="18" t="s">
        <v>59</v>
      </c>
      <c r="S1132" s="18" t="s">
        <v>195</v>
      </c>
      <c r="T1132" s="18" t="b">
        <v>0</v>
      </c>
      <c r="U1132" s="18" t="s">
        <v>187</v>
      </c>
      <c r="V1132" s="18" t="s">
        <v>40</v>
      </c>
      <c r="W1132" s="18" t="s">
        <v>140</v>
      </c>
      <c r="X1132" s="18" t="s">
        <v>141</v>
      </c>
      <c r="Y1132" s="18">
        <v>1</v>
      </c>
      <c r="Z1132" s="18">
        <v>81600</v>
      </c>
      <c r="AA1132" s="31" t="s">
        <v>262</v>
      </c>
      <c r="AB1132" s="18" t="s">
        <v>259</v>
      </c>
      <c r="AC1132" s="18" t="s">
        <v>200</v>
      </c>
    </row>
    <row r="1133" s="18" customFormat="1" spans="1:29">
      <c r="A1133" s="18" t="s">
        <v>2691</v>
      </c>
      <c r="B1133" s="25" t="s">
        <v>2691</v>
      </c>
      <c r="C1133" s="26">
        <v>45698</v>
      </c>
      <c r="D1133" s="18" t="s">
        <v>815</v>
      </c>
      <c r="E1133" s="18" t="str">
        <f t="shared" si="17"/>
        <v>Welcom Hotel Bengaluru (ITC Hotels Ltd)</v>
      </c>
      <c r="F1133" s="27" t="s">
        <v>816</v>
      </c>
      <c r="G1133" s="18" t="s">
        <v>32</v>
      </c>
      <c r="H1133" s="18" t="s">
        <v>33</v>
      </c>
      <c r="I1133" s="18" t="s">
        <v>54</v>
      </c>
      <c r="J1133" s="18" t="s">
        <v>240</v>
      </c>
      <c r="K1133" s="18" t="s">
        <v>56</v>
      </c>
      <c r="L1133" s="18" t="s">
        <v>36</v>
      </c>
      <c r="N1133" s="18">
        <v>6</v>
      </c>
      <c r="O1133" s="18" t="s">
        <v>93</v>
      </c>
      <c r="P1133" s="18" t="s">
        <v>38</v>
      </c>
      <c r="Q1133" s="18" t="s">
        <v>58</v>
      </c>
      <c r="R1133" s="18" t="s">
        <v>59</v>
      </c>
      <c r="S1133" s="18" t="s">
        <v>60</v>
      </c>
      <c r="T1133" s="18" t="b">
        <v>1</v>
      </c>
      <c r="U1133" s="18" t="s">
        <v>39</v>
      </c>
      <c r="V1133" s="18" t="s">
        <v>40</v>
      </c>
      <c r="W1133" s="18" t="s">
        <v>61</v>
      </c>
      <c r="X1133" s="18" t="s">
        <v>62</v>
      </c>
      <c r="Y1133" s="18">
        <v>1</v>
      </c>
      <c r="Z1133" s="18">
        <v>325</v>
      </c>
      <c r="AA1133" s="18" t="s">
        <v>63</v>
      </c>
      <c r="AB1133" s="18" t="s">
        <v>64</v>
      </c>
      <c r="AC1133" s="18" t="s">
        <v>43</v>
      </c>
    </row>
    <row r="1134" s="18" customFormat="1" spans="1:29">
      <c r="A1134" s="18" t="s">
        <v>2692</v>
      </c>
      <c r="B1134" s="25" t="s">
        <v>2692</v>
      </c>
      <c r="C1134" s="26">
        <v>45698</v>
      </c>
      <c r="D1134" s="18" t="s">
        <v>620</v>
      </c>
      <c r="E1134" s="18" t="str">
        <f t="shared" si="17"/>
        <v>Jay Jagannath Samal Event Production</v>
      </c>
      <c r="F1134" s="27" t="s">
        <v>621</v>
      </c>
      <c r="G1134" s="18" t="s">
        <v>32</v>
      </c>
      <c r="H1134" s="18" t="s">
        <v>33</v>
      </c>
      <c r="I1134" s="18" t="s">
        <v>1246</v>
      </c>
      <c r="J1134" s="18" t="s">
        <v>2693</v>
      </c>
      <c r="K1134" s="18" t="s">
        <v>56</v>
      </c>
      <c r="L1134" s="18" t="s">
        <v>36</v>
      </c>
      <c r="N1134" s="18">
        <v>6</v>
      </c>
      <c r="O1134" s="18" t="s">
        <v>88</v>
      </c>
      <c r="P1134" s="18" t="s">
        <v>38</v>
      </c>
      <c r="Q1134" s="18" t="s">
        <v>117</v>
      </c>
      <c r="R1134" s="18" t="s">
        <v>59</v>
      </c>
      <c r="S1134" s="18" t="s">
        <v>118</v>
      </c>
      <c r="T1134" s="18" t="b">
        <v>1</v>
      </c>
      <c r="U1134" s="18" t="s">
        <v>39</v>
      </c>
      <c r="V1134" s="18" t="s">
        <v>40</v>
      </c>
      <c r="W1134" s="18" t="s">
        <v>151</v>
      </c>
      <c r="X1134" s="18" t="s">
        <v>152</v>
      </c>
      <c r="Y1134" s="18">
        <v>1</v>
      </c>
      <c r="Z1134" s="18">
        <v>92000</v>
      </c>
      <c r="AA1134" s="18" t="s">
        <v>2694</v>
      </c>
      <c r="AB1134" s="18" t="s">
        <v>650</v>
      </c>
      <c r="AC1134" s="18" t="s">
        <v>43</v>
      </c>
    </row>
    <row r="1135" s="18" customFormat="1" spans="1:29">
      <c r="A1135" s="18" t="s">
        <v>2695</v>
      </c>
      <c r="B1135" s="25" t="s">
        <v>2695</v>
      </c>
      <c r="C1135" s="26">
        <v>45698</v>
      </c>
      <c r="D1135" s="18" t="s">
        <v>644</v>
      </c>
      <c r="E1135" s="18" t="str">
        <f t="shared" si="17"/>
        <v>Blue Gem Entertainment and Events</v>
      </c>
      <c r="F1135" s="27" t="s">
        <v>645</v>
      </c>
      <c r="G1135" s="18" t="s">
        <v>32</v>
      </c>
      <c r="H1135" s="18" t="s">
        <v>33</v>
      </c>
      <c r="I1135" s="18" t="s">
        <v>1246</v>
      </c>
      <c r="J1135" s="18" t="s">
        <v>2693</v>
      </c>
      <c r="K1135" s="18" t="s">
        <v>56</v>
      </c>
      <c r="L1135" s="18" t="s">
        <v>36</v>
      </c>
      <c r="N1135" s="18">
        <v>6</v>
      </c>
      <c r="O1135" s="18" t="s">
        <v>88</v>
      </c>
      <c r="P1135" s="18" t="s">
        <v>38</v>
      </c>
      <c r="Q1135" s="18" t="s">
        <v>117</v>
      </c>
      <c r="R1135" s="18" t="s">
        <v>59</v>
      </c>
      <c r="S1135" s="18" t="s">
        <v>118</v>
      </c>
      <c r="T1135" s="18" t="b">
        <v>1</v>
      </c>
      <c r="U1135" s="18" t="s">
        <v>39</v>
      </c>
      <c r="V1135" s="18" t="s">
        <v>40</v>
      </c>
      <c r="W1135" s="18" t="s">
        <v>292</v>
      </c>
      <c r="X1135" s="18" t="s">
        <v>293</v>
      </c>
      <c r="Y1135" s="18">
        <v>1</v>
      </c>
      <c r="Z1135" s="18">
        <v>10000</v>
      </c>
      <c r="AA1135" s="18" t="s">
        <v>2694</v>
      </c>
      <c r="AB1135" s="18" t="s">
        <v>650</v>
      </c>
      <c r="AC1135" s="18" t="s">
        <v>43</v>
      </c>
    </row>
    <row r="1136" s="18" customFormat="1" spans="1:29">
      <c r="A1136" s="18" t="s">
        <v>2696</v>
      </c>
      <c r="B1136" s="25" t="s">
        <v>2696</v>
      </c>
      <c r="C1136" s="26">
        <v>45698</v>
      </c>
      <c r="D1136" s="18" t="s">
        <v>1289</v>
      </c>
      <c r="E1136" s="18" t="str">
        <f t="shared" si="17"/>
        <v>Prismscale Pvt Ltd</v>
      </c>
      <c r="F1136" s="27" t="s">
        <v>1290</v>
      </c>
      <c r="G1136" s="18" t="s">
        <v>32</v>
      </c>
      <c r="H1136" s="18" t="s">
        <v>33</v>
      </c>
      <c r="I1136" s="18" t="s">
        <v>1246</v>
      </c>
      <c r="J1136" s="18" t="s">
        <v>2693</v>
      </c>
      <c r="K1136" s="18" t="s">
        <v>56</v>
      </c>
      <c r="L1136" s="18" t="s">
        <v>36</v>
      </c>
      <c r="N1136" s="18">
        <v>6</v>
      </c>
      <c r="O1136" s="18" t="s">
        <v>57</v>
      </c>
      <c r="P1136" s="18" t="s">
        <v>38</v>
      </c>
      <c r="Q1136" s="18" t="s">
        <v>117</v>
      </c>
      <c r="R1136" s="18" t="s">
        <v>59</v>
      </c>
      <c r="S1136" s="18" t="s">
        <v>118</v>
      </c>
      <c r="T1136" s="18" t="b">
        <v>1</v>
      </c>
      <c r="U1136" s="18" t="s">
        <v>39</v>
      </c>
      <c r="V1136" s="18" t="s">
        <v>40</v>
      </c>
      <c r="W1136" s="18" t="s">
        <v>347</v>
      </c>
      <c r="X1136" s="18" t="s">
        <v>348</v>
      </c>
      <c r="Y1136" s="18">
        <v>1</v>
      </c>
      <c r="Z1136" s="18">
        <v>9000</v>
      </c>
      <c r="AA1136" s="18" t="s">
        <v>2694</v>
      </c>
      <c r="AB1136" s="18" t="s">
        <v>650</v>
      </c>
      <c r="AC1136" s="18" t="s">
        <v>43</v>
      </c>
    </row>
    <row r="1137" s="18" customFormat="1" spans="1:29">
      <c r="A1137" s="18" t="s">
        <v>2697</v>
      </c>
      <c r="B1137" s="25" t="s">
        <v>2697</v>
      </c>
      <c r="C1137" s="26">
        <v>45698</v>
      </c>
      <c r="D1137" s="18" t="s">
        <v>2487</v>
      </c>
      <c r="E1137" s="18" t="str">
        <f t="shared" si="17"/>
        <v>Srinivasa Dasari  </v>
      </c>
      <c r="F1137" s="27" t="e">
        <v>#N/A</v>
      </c>
      <c r="G1137" s="18" t="s">
        <v>32</v>
      </c>
      <c r="H1137" s="18" t="s">
        <v>33</v>
      </c>
      <c r="I1137" s="18" t="s">
        <v>133</v>
      </c>
      <c r="J1137" s="18" t="s">
        <v>499</v>
      </c>
      <c r="K1137" s="18" t="s">
        <v>56</v>
      </c>
      <c r="L1137" s="18" t="s">
        <v>36</v>
      </c>
      <c r="N1137" s="18">
        <v>6</v>
      </c>
      <c r="O1137" s="18" t="s">
        <v>93</v>
      </c>
      <c r="P1137" s="18" t="s">
        <v>38</v>
      </c>
      <c r="Q1137" s="18" t="s">
        <v>117</v>
      </c>
      <c r="R1137" s="18" t="s">
        <v>59</v>
      </c>
      <c r="S1137" s="18" t="s">
        <v>186</v>
      </c>
      <c r="T1137" s="18" t="b">
        <v>1</v>
      </c>
      <c r="U1137" s="18" t="s">
        <v>39</v>
      </c>
      <c r="V1137" s="18" t="s">
        <v>40</v>
      </c>
      <c r="W1137" s="18" t="s">
        <v>126</v>
      </c>
      <c r="X1137" s="18" t="s">
        <v>127</v>
      </c>
      <c r="Y1137" s="18">
        <v>1</v>
      </c>
      <c r="Z1137" s="18">
        <v>2804</v>
      </c>
      <c r="AA1137" s="18" t="s">
        <v>128</v>
      </c>
      <c r="AB1137" s="18" t="s">
        <v>129</v>
      </c>
      <c r="AC1137" s="18" t="e">
        <v>#N/A</v>
      </c>
    </row>
    <row r="1138" s="18" customFormat="1" spans="1:29">
      <c r="A1138" s="18" t="s">
        <v>2698</v>
      </c>
      <c r="B1138" s="25" t="s">
        <v>2698</v>
      </c>
      <c r="C1138" s="26">
        <v>45698</v>
      </c>
      <c r="D1138" s="18" t="s">
        <v>644</v>
      </c>
      <c r="E1138" s="18" t="str">
        <f t="shared" si="17"/>
        <v>Blue Gem Entertainment and Events</v>
      </c>
      <c r="F1138" s="27" t="s">
        <v>645</v>
      </c>
      <c r="G1138" s="18" t="s">
        <v>32</v>
      </c>
      <c r="H1138" s="18" t="s">
        <v>33</v>
      </c>
      <c r="I1138" s="18" t="s">
        <v>133</v>
      </c>
      <c r="J1138" s="18" t="s">
        <v>125</v>
      </c>
      <c r="K1138" s="18" t="s">
        <v>56</v>
      </c>
      <c r="L1138" s="18" t="s">
        <v>36</v>
      </c>
      <c r="N1138" s="18">
        <v>6</v>
      </c>
      <c r="O1138" s="18" t="s">
        <v>88</v>
      </c>
      <c r="P1138" s="18" t="s">
        <v>38</v>
      </c>
      <c r="Q1138" s="18" t="s">
        <v>117</v>
      </c>
      <c r="R1138" s="18" t="s">
        <v>59</v>
      </c>
      <c r="S1138" s="18" t="s">
        <v>118</v>
      </c>
      <c r="T1138" s="18" t="b">
        <v>1</v>
      </c>
      <c r="U1138" s="18" t="s">
        <v>39</v>
      </c>
      <c r="V1138" s="18" t="s">
        <v>40</v>
      </c>
      <c r="W1138" s="18" t="s">
        <v>292</v>
      </c>
      <c r="X1138" s="18" t="s">
        <v>293</v>
      </c>
      <c r="Y1138" s="18">
        <v>1</v>
      </c>
      <c r="Z1138" s="18">
        <v>176000</v>
      </c>
      <c r="AA1138" s="18" t="s">
        <v>2694</v>
      </c>
      <c r="AB1138" s="18" t="s">
        <v>650</v>
      </c>
      <c r="AC1138" s="18" t="s">
        <v>43</v>
      </c>
    </row>
    <row r="1139" s="18" customFormat="1" spans="1:29">
      <c r="A1139" s="18" t="s">
        <v>2699</v>
      </c>
      <c r="B1139" s="25" t="s">
        <v>2699</v>
      </c>
      <c r="C1139" s="26">
        <v>45698</v>
      </c>
      <c r="D1139" s="18" t="s">
        <v>2700</v>
      </c>
      <c r="E1139" s="18" t="str">
        <f t="shared" si="17"/>
        <v>Radhatech Inc</v>
      </c>
      <c r="F1139" s="27" t="s">
        <v>2701</v>
      </c>
      <c r="G1139" s="18" t="s">
        <v>32</v>
      </c>
      <c r="H1139" s="18" t="s">
        <v>33</v>
      </c>
      <c r="I1139" s="18" t="s">
        <v>1246</v>
      </c>
      <c r="J1139" s="18" t="s">
        <v>125</v>
      </c>
      <c r="K1139" s="18" t="s">
        <v>56</v>
      </c>
      <c r="L1139" s="18" t="s">
        <v>36</v>
      </c>
      <c r="N1139" s="18">
        <v>6</v>
      </c>
      <c r="O1139" s="18" t="s">
        <v>88</v>
      </c>
      <c r="P1139" s="18" t="s">
        <v>38</v>
      </c>
      <c r="Q1139" s="18" t="s">
        <v>117</v>
      </c>
      <c r="R1139" s="18" t="s">
        <v>59</v>
      </c>
      <c r="S1139" s="18" t="s">
        <v>118</v>
      </c>
      <c r="T1139" s="18" t="b">
        <v>1</v>
      </c>
      <c r="U1139" s="18" t="s">
        <v>39</v>
      </c>
      <c r="V1139" s="18" t="s">
        <v>40</v>
      </c>
      <c r="W1139" s="18" t="s">
        <v>401</v>
      </c>
      <c r="X1139" s="18" t="s">
        <v>402</v>
      </c>
      <c r="Y1139" s="18">
        <v>1</v>
      </c>
      <c r="Z1139" s="18">
        <v>100000</v>
      </c>
      <c r="AA1139" s="18" t="s">
        <v>2694</v>
      </c>
      <c r="AB1139" s="18" t="s">
        <v>650</v>
      </c>
      <c r="AC1139" s="18" t="s">
        <v>43</v>
      </c>
    </row>
    <row r="1140" s="18" customFormat="1" spans="1:29">
      <c r="A1140" s="18" t="s">
        <v>2702</v>
      </c>
      <c r="B1140" s="25" t="s">
        <v>2702</v>
      </c>
      <c r="C1140" s="26">
        <v>45698</v>
      </c>
      <c r="D1140" s="18" t="s">
        <v>635</v>
      </c>
      <c r="E1140" s="18" t="str">
        <f t="shared" si="17"/>
        <v>Ashik Mobile Generator</v>
      </c>
      <c r="F1140" s="27" t="s">
        <v>636</v>
      </c>
      <c r="G1140" s="18" t="s">
        <v>32</v>
      </c>
      <c r="H1140" s="18" t="s">
        <v>33</v>
      </c>
      <c r="I1140" s="18" t="s">
        <v>1246</v>
      </c>
      <c r="J1140" s="18" t="s">
        <v>125</v>
      </c>
      <c r="K1140" s="18" t="s">
        <v>56</v>
      </c>
      <c r="L1140" s="18" t="s">
        <v>36</v>
      </c>
      <c r="N1140" s="18">
        <v>6</v>
      </c>
      <c r="O1140" s="18" t="s">
        <v>88</v>
      </c>
      <c r="P1140" s="18" t="s">
        <v>38</v>
      </c>
      <c r="Q1140" s="18" t="s">
        <v>117</v>
      </c>
      <c r="R1140" s="18" t="s">
        <v>59</v>
      </c>
      <c r="S1140" s="18" t="s">
        <v>118</v>
      </c>
      <c r="T1140" s="18" t="b">
        <v>1</v>
      </c>
      <c r="U1140" s="18" t="s">
        <v>39</v>
      </c>
      <c r="V1140" s="18" t="s">
        <v>40</v>
      </c>
      <c r="W1140" s="18" t="s">
        <v>371</v>
      </c>
      <c r="X1140" s="18" t="s">
        <v>372</v>
      </c>
      <c r="Y1140" s="18">
        <v>1</v>
      </c>
      <c r="Z1140" s="18">
        <v>75000</v>
      </c>
      <c r="AA1140" s="18" t="s">
        <v>2694</v>
      </c>
      <c r="AB1140" s="18" t="s">
        <v>650</v>
      </c>
      <c r="AC1140" s="18" t="s">
        <v>43</v>
      </c>
    </row>
    <row r="1141" s="18" customFormat="1" spans="1:29">
      <c r="A1141" s="18" t="s">
        <v>2703</v>
      </c>
      <c r="B1141" s="25" t="s">
        <v>2703</v>
      </c>
      <c r="C1141" s="26">
        <v>45698</v>
      </c>
      <c r="D1141" s="18" t="s">
        <v>1314</v>
      </c>
      <c r="E1141" s="18" t="str">
        <f t="shared" si="17"/>
        <v>Stepone Office Stationers</v>
      </c>
      <c r="F1141" s="27" t="s">
        <v>1315</v>
      </c>
      <c r="G1141" s="18" t="s">
        <v>32</v>
      </c>
      <c r="H1141" s="18" t="s">
        <v>33</v>
      </c>
      <c r="I1141" s="18" t="s">
        <v>34</v>
      </c>
      <c r="K1141" s="18" t="s">
        <v>35</v>
      </c>
      <c r="L1141" s="18" t="s">
        <v>36</v>
      </c>
      <c r="N1141" s="18">
        <v>6</v>
      </c>
      <c r="O1141" s="18" t="s">
        <v>88</v>
      </c>
      <c r="P1141" s="18" t="s">
        <v>38</v>
      </c>
      <c r="T1141" s="18" t="b">
        <v>1</v>
      </c>
      <c r="U1141" s="18" t="s">
        <v>39</v>
      </c>
      <c r="V1141" s="18" t="s">
        <v>40</v>
      </c>
      <c r="W1141" s="18" t="s">
        <v>777</v>
      </c>
      <c r="X1141" s="18" t="s">
        <v>777</v>
      </c>
      <c r="Y1141" s="18">
        <v>1</v>
      </c>
      <c r="Z1141" s="18">
        <v>2993</v>
      </c>
      <c r="AA1141" s="18" t="s">
        <v>71</v>
      </c>
      <c r="AB1141" s="18" t="s">
        <v>72</v>
      </c>
      <c r="AC1141" s="18" t="s">
        <v>630</v>
      </c>
    </row>
    <row r="1142" s="18" customFormat="1" ht="43.5" spans="1:29">
      <c r="A1142" s="18" t="s">
        <v>2704</v>
      </c>
      <c r="B1142" s="25" t="s">
        <v>2704</v>
      </c>
      <c r="C1142" s="26">
        <v>45698</v>
      </c>
      <c r="D1142" s="18" t="s">
        <v>2705</v>
      </c>
      <c r="E1142" s="18" t="str">
        <f t="shared" si="17"/>
        <v>House of Hestia (OPC) Pvt Ltd</v>
      </c>
      <c r="F1142" s="27" t="s">
        <v>2706</v>
      </c>
      <c r="G1142" s="18" t="s">
        <v>147</v>
      </c>
      <c r="H1142" s="18" t="s">
        <v>148</v>
      </c>
      <c r="I1142" s="18" t="s">
        <v>184</v>
      </c>
      <c r="J1142" s="18" t="s">
        <v>2707</v>
      </c>
      <c r="K1142" s="18" t="s">
        <v>56</v>
      </c>
      <c r="L1142" s="18" t="s">
        <v>36</v>
      </c>
      <c r="N1142" s="18">
        <v>6</v>
      </c>
      <c r="O1142" s="18" t="s">
        <v>57</v>
      </c>
      <c r="P1142" s="18" t="s">
        <v>38</v>
      </c>
      <c r="Q1142" s="18" t="s">
        <v>194</v>
      </c>
      <c r="R1142" s="18" t="s">
        <v>59</v>
      </c>
      <c r="S1142" s="18" t="s">
        <v>195</v>
      </c>
      <c r="T1142" s="18" t="b">
        <v>1</v>
      </c>
      <c r="U1142" s="18" t="s">
        <v>150</v>
      </c>
      <c r="V1142" s="18" t="s">
        <v>40</v>
      </c>
      <c r="W1142" s="18" t="s">
        <v>140</v>
      </c>
      <c r="X1142" s="18" t="s">
        <v>141</v>
      </c>
      <c r="Y1142" s="18">
        <v>1</v>
      </c>
      <c r="Z1142" s="18">
        <v>10500</v>
      </c>
      <c r="AA1142" s="31" t="s">
        <v>2708</v>
      </c>
      <c r="AB1142" s="18" t="s">
        <v>2169</v>
      </c>
      <c r="AC1142" s="18" t="s">
        <v>695</v>
      </c>
    </row>
    <row r="1143" s="18" customFormat="1" spans="1:29">
      <c r="A1143" s="18" t="s">
        <v>2709</v>
      </c>
      <c r="B1143" s="25" t="s">
        <v>2709</v>
      </c>
      <c r="C1143" s="26">
        <v>45698</v>
      </c>
      <c r="D1143" s="18" t="s">
        <v>2375</v>
      </c>
      <c r="E1143" s="18" t="str">
        <f t="shared" si="17"/>
        <v>Royal Vacations Corporate Planners</v>
      </c>
      <c r="F1143" s="27" t="s">
        <v>2376</v>
      </c>
      <c r="G1143" s="18" t="s">
        <v>147</v>
      </c>
      <c r="H1143" s="18" t="s">
        <v>148</v>
      </c>
      <c r="I1143" s="18" t="s">
        <v>54</v>
      </c>
      <c r="J1143" s="18" t="s">
        <v>240</v>
      </c>
      <c r="K1143" s="18" t="s">
        <v>56</v>
      </c>
      <c r="L1143" s="18" t="s">
        <v>36</v>
      </c>
      <c r="N1143" s="18">
        <v>6</v>
      </c>
      <c r="O1143" s="18" t="s">
        <v>88</v>
      </c>
      <c r="P1143" s="18" t="s">
        <v>38</v>
      </c>
      <c r="Q1143" s="18" t="s">
        <v>58</v>
      </c>
      <c r="R1143" s="18" t="s">
        <v>59</v>
      </c>
      <c r="S1143" s="18" t="s">
        <v>60</v>
      </c>
      <c r="T1143" s="18" t="b">
        <v>1</v>
      </c>
      <c r="U1143" s="18" t="s">
        <v>150</v>
      </c>
      <c r="V1143" s="18" t="s">
        <v>40</v>
      </c>
      <c r="W1143" s="18" t="s">
        <v>61</v>
      </c>
      <c r="X1143" s="18" t="s">
        <v>62</v>
      </c>
      <c r="Y1143" s="18">
        <v>1</v>
      </c>
      <c r="Z1143" s="18">
        <v>617840</v>
      </c>
      <c r="AA1143" s="18" t="s">
        <v>63</v>
      </c>
      <c r="AB1143" s="18" t="s">
        <v>64</v>
      </c>
      <c r="AC1143" s="18" t="s">
        <v>676</v>
      </c>
    </row>
    <row r="1144" s="18" customFormat="1" spans="1:29">
      <c r="A1144" s="18" t="s">
        <v>2710</v>
      </c>
      <c r="B1144" s="25" t="s">
        <v>2710</v>
      </c>
      <c r="C1144" s="26">
        <v>45698</v>
      </c>
      <c r="D1144" s="18" t="s">
        <v>674</v>
      </c>
      <c r="E1144" s="18" t="str">
        <f t="shared" si="17"/>
        <v>Rastey Commuting Services Pvt Ltd</v>
      </c>
      <c r="F1144" s="27" t="s">
        <v>675</v>
      </c>
      <c r="G1144" s="18" t="s">
        <v>147</v>
      </c>
      <c r="H1144" s="18" t="s">
        <v>148</v>
      </c>
      <c r="I1144" s="18" t="s">
        <v>54</v>
      </c>
      <c r="J1144" s="18" t="s">
        <v>395</v>
      </c>
      <c r="K1144" s="18" t="s">
        <v>56</v>
      </c>
      <c r="L1144" s="18" t="s">
        <v>36</v>
      </c>
      <c r="N1144" s="18">
        <v>6</v>
      </c>
      <c r="O1144" s="18" t="s">
        <v>88</v>
      </c>
      <c r="P1144" s="18" t="s">
        <v>38</v>
      </c>
      <c r="Q1144" s="18" t="s">
        <v>58</v>
      </c>
      <c r="R1144" s="18" t="s">
        <v>59</v>
      </c>
      <c r="S1144" s="18" t="s">
        <v>60</v>
      </c>
      <c r="T1144" s="18" t="b">
        <v>1</v>
      </c>
      <c r="U1144" s="18" t="s">
        <v>150</v>
      </c>
      <c r="V1144" s="18" t="s">
        <v>40</v>
      </c>
      <c r="W1144" s="18" t="s">
        <v>119</v>
      </c>
      <c r="X1144" s="18" t="s">
        <v>120</v>
      </c>
      <c r="Y1144" s="18">
        <v>1</v>
      </c>
      <c r="Z1144" s="18">
        <v>115573.33</v>
      </c>
      <c r="AA1144" s="18" t="s">
        <v>142</v>
      </c>
      <c r="AB1144" s="18" t="s">
        <v>143</v>
      </c>
      <c r="AC1144" s="18" t="s">
        <v>676</v>
      </c>
    </row>
    <row r="1145" s="18" customFormat="1" spans="1:29">
      <c r="A1145" s="18" t="s">
        <v>2711</v>
      </c>
      <c r="B1145" s="25" t="s">
        <v>2711</v>
      </c>
      <c r="C1145" s="26">
        <v>45698</v>
      </c>
      <c r="D1145" s="18" t="s">
        <v>1807</v>
      </c>
      <c r="E1145" s="18" t="str">
        <f t="shared" si="17"/>
        <v>Travelnama</v>
      </c>
      <c r="F1145" s="27" t="e">
        <v>#N/A</v>
      </c>
      <c r="G1145" s="18" t="s">
        <v>147</v>
      </c>
      <c r="H1145" s="18" t="s">
        <v>148</v>
      </c>
      <c r="I1145" s="18" t="s">
        <v>159</v>
      </c>
      <c r="J1145" s="18" t="s">
        <v>139</v>
      </c>
      <c r="K1145" s="18" t="s">
        <v>56</v>
      </c>
      <c r="L1145" s="18" t="s">
        <v>36</v>
      </c>
      <c r="N1145" s="18">
        <v>6</v>
      </c>
      <c r="O1145" s="18" t="s">
        <v>88</v>
      </c>
      <c r="P1145" s="18" t="s">
        <v>38</v>
      </c>
      <c r="Q1145" s="18" t="s">
        <v>58</v>
      </c>
      <c r="R1145" s="18" t="s">
        <v>59</v>
      </c>
      <c r="S1145" s="18" t="s">
        <v>60</v>
      </c>
      <c r="T1145" s="18" t="b">
        <v>1</v>
      </c>
      <c r="U1145" s="18" t="s">
        <v>150</v>
      </c>
      <c r="V1145" s="18" t="s">
        <v>40</v>
      </c>
      <c r="W1145" s="18" t="s">
        <v>734</v>
      </c>
      <c r="X1145" s="18" t="s">
        <v>735</v>
      </c>
      <c r="Y1145" s="18">
        <v>1</v>
      </c>
      <c r="Z1145" s="18">
        <v>1020667</v>
      </c>
      <c r="AA1145" s="18" t="s">
        <v>2712</v>
      </c>
      <c r="AB1145" s="18" t="s">
        <v>763</v>
      </c>
      <c r="AC1145" s="18" t="s">
        <v>155</v>
      </c>
    </row>
    <row r="1146" s="18" customFormat="1" spans="1:29">
      <c r="A1146" s="18" t="s">
        <v>2713</v>
      </c>
      <c r="B1146" s="25" t="s">
        <v>2713</v>
      </c>
      <c r="C1146" s="26">
        <v>45698</v>
      </c>
      <c r="D1146" s="18" t="s">
        <v>674</v>
      </c>
      <c r="E1146" s="18" t="str">
        <f t="shared" si="17"/>
        <v>Rastey Commuting Services Pvt Ltd</v>
      </c>
      <c r="F1146" s="27" t="s">
        <v>675</v>
      </c>
      <c r="G1146" s="18" t="s">
        <v>147</v>
      </c>
      <c r="H1146" s="18" t="s">
        <v>148</v>
      </c>
      <c r="I1146" s="18" t="s">
        <v>54</v>
      </c>
      <c r="J1146" s="18" t="s">
        <v>395</v>
      </c>
      <c r="K1146" s="18" t="s">
        <v>56</v>
      </c>
      <c r="L1146" s="18" t="s">
        <v>36</v>
      </c>
      <c r="N1146" s="18">
        <v>6</v>
      </c>
      <c r="O1146" s="18" t="s">
        <v>88</v>
      </c>
      <c r="P1146" s="18" t="s">
        <v>38</v>
      </c>
      <c r="Q1146" s="18" t="s">
        <v>58</v>
      </c>
      <c r="R1146" s="18" t="s">
        <v>59</v>
      </c>
      <c r="S1146" s="18" t="s">
        <v>60</v>
      </c>
      <c r="T1146" s="18" t="b">
        <v>1</v>
      </c>
      <c r="U1146" s="18" t="s">
        <v>150</v>
      </c>
      <c r="V1146" s="18" t="s">
        <v>40</v>
      </c>
      <c r="W1146" s="18" t="s">
        <v>119</v>
      </c>
      <c r="X1146" s="18" t="s">
        <v>120</v>
      </c>
      <c r="Y1146" s="18">
        <v>1</v>
      </c>
      <c r="Z1146" s="18">
        <v>36083</v>
      </c>
      <c r="AA1146" s="18" t="s">
        <v>142</v>
      </c>
      <c r="AB1146" s="18" t="s">
        <v>143</v>
      </c>
      <c r="AC1146" s="18" t="s">
        <v>676</v>
      </c>
    </row>
    <row r="1147" s="18" customFormat="1" spans="1:29">
      <c r="A1147" s="18" t="s">
        <v>2714</v>
      </c>
      <c r="B1147" s="25" t="s">
        <v>2714</v>
      </c>
      <c r="C1147" s="26">
        <v>45698</v>
      </c>
      <c r="D1147" s="18" t="s">
        <v>2715</v>
      </c>
      <c r="E1147" s="18" t="str">
        <f t="shared" si="17"/>
        <v>Life Care Sports &amp; Surgicals (Happay)</v>
      </c>
      <c r="F1147" s="27" t="s">
        <v>2716</v>
      </c>
      <c r="G1147" s="18" t="s">
        <v>147</v>
      </c>
      <c r="H1147" s="18" t="s">
        <v>148</v>
      </c>
      <c r="I1147" s="18" t="s">
        <v>159</v>
      </c>
      <c r="J1147" s="18" t="s">
        <v>2464</v>
      </c>
      <c r="K1147" s="18" t="s">
        <v>56</v>
      </c>
      <c r="L1147" s="18" t="s">
        <v>36</v>
      </c>
      <c r="N1147" s="18">
        <v>6</v>
      </c>
      <c r="O1147" s="18" t="s">
        <v>93</v>
      </c>
      <c r="P1147" s="18" t="s">
        <v>38</v>
      </c>
      <c r="Q1147" s="18" t="s">
        <v>58</v>
      </c>
      <c r="R1147" s="18" t="s">
        <v>59</v>
      </c>
      <c r="S1147" s="18" t="s">
        <v>60</v>
      </c>
      <c r="T1147" s="18" t="b">
        <v>1</v>
      </c>
      <c r="U1147" s="18" t="s">
        <v>150</v>
      </c>
      <c r="V1147" s="18" t="s">
        <v>40</v>
      </c>
      <c r="W1147" s="18" t="s">
        <v>140</v>
      </c>
      <c r="X1147" s="18" t="s">
        <v>141</v>
      </c>
      <c r="Y1147" s="18">
        <v>1</v>
      </c>
      <c r="Z1147" s="18">
        <v>21429</v>
      </c>
      <c r="AA1147" s="18" t="s">
        <v>2563</v>
      </c>
      <c r="AB1147" s="18" t="s">
        <v>415</v>
      </c>
      <c r="AC1147" s="18" t="s">
        <v>695</v>
      </c>
    </row>
    <row r="1148" s="18" customFormat="1" spans="1:29">
      <c r="A1148" s="18" t="s">
        <v>2717</v>
      </c>
      <c r="B1148" s="25" t="s">
        <v>2717</v>
      </c>
      <c r="C1148" s="26">
        <v>45698</v>
      </c>
      <c r="D1148" s="18" t="s">
        <v>2718</v>
      </c>
      <c r="E1148" s="18" t="str">
        <f t="shared" si="17"/>
        <v>Live Experience &amp; Design LLP</v>
      </c>
      <c r="F1148" s="27" t="s">
        <v>2719</v>
      </c>
      <c r="G1148" s="18" t="s">
        <v>147</v>
      </c>
      <c r="H1148" s="18" t="s">
        <v>148</v>
      </c>
      <c r="I1148" s="18" t="s">
        <v>54</v>
      </c>
      <c r="J1148" s="18" t="s">
        <v>1609</v>
      </c>
      <c r="K1148" s="18" t="s">
        <v>56</v>
      </c>
      <c r="L1148" s="18" t="s">
        <v>36</v>
      </c>
      <c r="N1148" s="18">
        <v>6</v>
      </c>
      <c r="O1148" s="18" t="s">
        <v>88</v>
      </c>
      <c r="P1148" s="18" t="s">
        <v>38</v>
      </c>
      <c r="Q1148" s="18" t="s">
        <v>58</v>
      </c>
      <c r="R1148" s="18" t="s">
        <v>59</v>
      </c>
      <c r="S1148" s="18" t="s">
        <v>60</v>
      </c>
      <c r="T1148" s="18" t="b">
        <v>1</v>
      </c>
      <c r="U1148" s="18" t="s">
        <v>150</v>
      </c>
      <c r="V1148" s="18" t="s">
        <v>40</v>
      </c>
      <c r="W1148" s="18" t="s">
        <v>371</v>
      </c>
      <c r="X1148" s="18" t="s">
        <v>372</v>
      </c>
      <c r="Y1148" s="18">
        <v>1</v>
      </c>
      <c r="Z1148" s="18">
        <v>140000</v>
      </c>
      <c r="AA1148" s="18" t="s">
        <v>1181</v>
      </c>
      <c r="AB1148" s="18" t="s">
        <v>1182</v>
      </c>
      <c r="AC1148" s="18" t="s">
        <v>163</v>
      </c>
    </row>
    <row r="1149" s="18" customFormat="1" spans="1:29">
      <c r="A1149" s="18" t="s">
        <v>2720</v>
      </c>
      <c r="B1149" s="25" t="s">
        <v>2720</v>
      </c>
      <c r="C1149" s="26">
        <v>45698</v>
      </c>
      <c r="D1149" s="18" t="s">
        <v>2721</v>
      </c>
      <c r="E1149" s="18" t="str">
        <f t="shared" si="17"/>
        <v>Sakshi Vaid</v>
      </c>
      <c r="F1149" s="27" t="s">
        <v>2722</v>
      </c>
      <c r="G1149" s="18" t="s">
        <v>147</v>
      </c>
      <c r="H1149" s="18" t="s">
        <v>148</v>
      </c>
      <c r="I1149" s="18" t="s">
        <v>159</v>
      </c>
      <c r="J1149" s="18" t="s">
        <v>149</v>
      </c>
      <c r="K1149" s="18" t="s">
        <v>56</v>
      </c>
      <c r="L1149" s="18" t="s">
        <v>36</v>
      </c>
      <c r="N1149" s="18">
        <v>6</v>
      </c>
      <c r="O1149" s="18" t="s">
        <v>93</v>
      </c>
      <c r="P1149" s="18" t="s">
        <v>38</v>
      </c>
      <c r="Q1149" s="18" t="s">
        <v>58</v>
      </c>
      <c r="R1149" s="18" t="s">
        <v>59</v>
      </c>
      <c r="S1149" s="18" t="s">
        <v>60</v>
      </c>
      <c r="T1149" s="18" t="b">
        <v>1</v>
      </c>
      <c r="U1149" s="18" t="s">
        <v>150</v>
      </c>
      <c r="V1149" s="18" t="s">
        <v>40</v>
      </c>
      <c r="W1149" s="18" t="s">
        <v>347</v>
      </c>
      <c r="X1149" s="18" t="s">
        <v>348</v>
      </c>
      <c r="Y1149" s="18">
        <v>1</v>
      </c>
      <c r="Z1149" s="18">
        <v>250000</v>
      </c>
      <c r="AA1149" s="18" t="s">
        <v>843</v>
      </c>
      <c r="AB1149" s="18" t="s">
        <v>844</v>
      </c>
      <c r="AC1149" s="18" t="e">
        <v>#N/A</v>
      </c>
    </row>
    <row r="1150" s="18" customFormat="1" spans="1:29">
      <c r="A1150" s="18" t="s">
        <v>2723</v>
      </c>
      <c r="B1150" s="25" t="s">
        <v>2723</v>
      </c>
      <c r="C1150" s="26">
        <v>45698</v>
      </c>
      <c r="D1150" s="18" t="s">
        <v>688</v>
      </c>
      <c r="E1150" s="18" t="str">
        <f t="shared" si="17"/>
        <v>Inked</v>
      </c>
      <c r="F1150" s="27" t="e">
        <v>#N/A</v>
      </c>
      <c r="G1150" s="18" t="s">
        <v>147</v>
      </c>
      <c r="H1150" s="18" t="s">
        <v>148</v>
      </c>
      <c r="I1150" s="18" t="s">
        <v>54</v>
      </c>
      <c r="J1150" s="18" t="s">
        <v>466</v>
      </c>
      <c r="K1150" s="18" t="s">
        <v>56</v>
      </c>
      <c r="L1150" s="18" t="s">
        <v>36</v>
      </c>
      <c r="N1150" s="18">
        <v>6</v>
      </c>
      <c r="O1150" s="18" t="s">
        <v>88</v>
      </c>
      <c r="P1150" s="18" t="s">
        <v>38</v>
      </c>
      <c r="Q1150" s="18" t="s">
        <v>58</v>
      </c>
      <c r="R1150" s="18" t="s">
        <v>59</v>
      </c>
      <c r="S1150" s="18" t="s">
        <v>60</v>
      </c>
      <c r="T1150" s="18" t="b">
        <v>1</v>
      </c>
      <c r="U1150" s="18" t="s">
        <v>150</v>
      </c>
      <c r="V1150" s="18" t="s">
        <v>40</v>
      </c>
      <c r="W1150" s="18" t="s">
        <v>196</v>
      </c>
      <c r="X1150" s="18" t="s">
        <v>197</v>
      </c>
      <c r="Y1150" s="18">
        <v>1</v>
      </c>
      <c r="Z1150" s="18">
        <v>42220</v>
      </c>
      <c r="AA1150" s="18" t="s">
        <v>523</v>
      </c>
      <c r="AB1150" s="18" t="s">
        <v>521</v>
      </c>
      <c r="AC1150" s="18" t="s">
        <v>163</v>
      </c>
    </row>
    <row r="1151" s="18" customFormat="1" spans="1:29">
      <c r="A1151" s="18" t="s">
        <v>2724</v>
      </c>
      <c r="B1151" s="25" t="s">
        <v>2724</v>
      </c>
      <c r="C1151" s="26">
        <v>45698</v>
      </c>
      <c r="D1151" s="18" t="s">
        <v>710</v>
      </c>
      <c r="E1151" s="18" t="str">
        <f t="shared" si="17"/>
        <v>Dev Ad World</v>
      </c>
      <c r="F1151" s="27" t="s">
        <v>711</v>
      </c>
      <c r="G1151" s="18" t="s">
        <v>147</v>
      </c>
      <c r="H1151" s="18" t="s">
        <v>148</v>
      </c>
      <c r="I1151" s="18" t="s">
        <v>54</v>
      </c>
      <c r="J1151" s="18" t="s">
        <v>466</v>
      </c>
      <c r="K1151" s="18" t="s">
        <v>56</v>
      </c>
      <c r="L1151" s="18" t="s">
        <v>36</v>
      </c>
      <c r="N1151" s="18">
        <v>6</v>
      </c>
      <c r="O1151" s="18" t="s">
        <v>88</v>
      </c>
      <c r="P1151" s="18" t="s">
        <v>38</v>
      </c>
      <c r="Q1151" s="18" t="s">
        <v>58</v>
      </c>
      <c r="R1151" s="18" t="s">
        <v>59</v>
      </c>
      <c r="S1151" s="18" t="s">
        <v>60</v>
      </c>
      <c r="T1151" s="18" t="b">
        <v>1</v>
      </c>
      <c r="U1151" s="18" t="s">
        <v>150</v>
      </c>
      <c r="V1151" s="18" t="s">
        <v>40</v>
      </c>
      <c r="W1151" s="18" t="s">
        <v>140</v>
      </c>
      <c r="X1151" s="18" t="s">
        <v>141</v>
      </c>
      <c r="Y1151" s="18">
        <v>1</v>
      </c>
      <c r="Z1151" s="18">
        <v>2500</v>
      </c>
      <c r="AA1151" s="18" t="s">
        <v>523</v>
      </c>
      <c r="AB1151" s="18" t="s">
        <v>521</v>
      </c>
      <c r="AC1151" s="18" t="s">
        <v>163</v>
      </c>
    </row>
    <row r="1152" s="18" customFormat="1" spans="1:29">
      <c r="A1152" s="18" t="s">
        <v>2725</v>
      </c>
      <c r="B1152" s="25" t="s">
        <v>2725</v>
      </c>
      <c r="C1152" s="26">
        <v>45698</v>
      </c>
      <c r="D1152" s="18" t="s">
        <v>2726</v>
      </c>
      <c r="E1152" s="18" t="str">
        <f t="shared" si="17"/>
        <v>Headway Kreations Pvt Ltd</v>
      </c>
      <c r="F1152" s="27" t="s">
        <v>2727</v>
      </c>
      <c r="G1152" s="18" t="s">
        <v>147</v>
      </c>
      <c r="H1152" s="18" t="s">
        <v>148</v>
      </c>
      <c r="I1152" s="18" t="s">
        <v>54</v>
      </c>
      <c r="J1152" s="18" t="s">
        <v>1609</v>
      </c>
      <c r="K1152" s="18" t="s">
        <v>56</v>
      </c>
      <c r="L1152" s="18" t="s">
        <v>36</v>
      </c>
      <c r="N1152" s="18">
        <v>6</v>
      </c>
      <c r="O1152" s="18" t="s">
        <v>88</v>
      </c>
      <c r="P1152" s="18" t="s">
        <v>38</v>
      </c>
      <c r="Q1152" s="18" t="s">
        <v>58</v>
      </c>
      <c r="R1152" s="18" t="s">
        <v>59</v>
      </c>
      <c r="S1152" s="18" t="s">
        <v>60</v>
      </c>
      <c r="T1152" s="18" t="b">
        <v>1</v>
      </c>
      <c r="U1152" s="18" t="s">
        <v>150</v>
      </c>
      <c r="V1152" s="18" t="s">
        <v>40</v>
      </c>
      <c r="W1152" s="18" t="s">
        <v>371</v>
      </c>
      <c r="X1152" s="18" t="s">
        <v>372</v>
      </c>
      <c r="Y1152" s="18">
        <v>1</v>
      </c>
      <c r="Z1152" s="18">
        <v>200000</v>
      </c>
      <c r="AA1152" s="18" t="s">
        <v>299</v>
      </c>
      <c r="AB1152" s="18" t="s">
        <v>295</v>
      </c>
      <c r="AC1152" s="18" t="s">
        <v>155</v>
      </c>
    </row>
    <row r="1153" s="18" customFormat="1" spans="1:29">
      <c r="A1153" s="18" t="s">
        <v>2728</v>
      </c>
      <c r="B1153" s="25" t="s">
        <v>2728</v>
      </c>
      <c r="C1153" s="26">
        <v>45698</v>
      </c>
      <c r="D1153" s="18" t="s">
        <v>1485</v>
      </c>
      <c r="E1153" s="18" t="str">
        <f t="shared" si="17"/>
        <v>Alliance International Tours &amp; Travels</v>
      </c>
      <c r="F1153" s="27" t="s">
        <v>1486</v>
      </c>
      <c r="G1153" s="18" t="s">
        <v>182</v>
      </c>
      <c r="H1153" s="18" t="s">
        <v>183</v>
      </c>
      <c r="I1153" s="18" t="s">
        <v>184</v>
      </c>
      <c r="J1153" s="18" t="s">
        <v>1871</v>
      </c>
      <c r="K1153" s="18" t="s">
        <v>56</v>
      </c>
      <c r="L1153" s="18" t="s">
        <v>36</v>
      </c>
      <c r="N1153" s="18">
        <v>6</v>
      </c>
      <c r="O1153" s="18" t="s">
        <v>88</v>
      </c>
      <c r="P1153" s="18" t="s">
        <v>38</v>
      </c>
      <c r="Q1153" s="18" t="s">
        <v>117</v>
      </c>
      <c r="R1153" s="18" t="s">
        <v>59</v>
      </c>
      <c r="S1153" s="18" t="s">
        <v>118</v>
      </c>
      <c r="T1153" s="18" t="b">
        <v>0</v>
      </c>
      <c r="U1153" s="18" t="s">
        <v>187</v>
      </c>
      <c r="V1153" s="18" t="s">
        <v>40</v>
      </c>
      <c r="W1153" s="18" t="s">
        <v>734</v>
      </c>
      <c r="X1153" s="18" t="s">
        <v>735</v>
      </c>
      <c r="Y1153" s="18">
        <v>1</v>
      </c>
      <c r="Z1153" s="18">
        <v>251450</v>
      </c>
      <c r="AA1153" s="18" t="s">
        <v>1487</v>
      </c>
      <c r="AB1153" s="18" t="s">
        <v>1488</v>
      </c>
      <c r="AC1153" s="18" t="e">
        <v>#N/A</v>
      </c>
    </row>
    <row r="1154" s="18" customFormat="1" ht="43.5" spans="1:29">
      <c r="A1154" s="18" t="s">
        <v>2729</v>
      </c>
      <c r="B1154" s="25" t="s">
        <v>2729</v>
      </c>
      <c r="C1154" s="26">
        <v>45698</v>
      </c>
      <c r="D1154" s="18" t="s">
        <v>2730</v>
      </c>
      <c r="E1154" s="18" t="str">
        <f t="shared" si="17"/>
        <v>Paintology (Vinisha Ankit Savla)</v>
      </c>
      <c r="F1154" s="27" t="s">
        <v>2731</v>
      </c>
      <c r="G1154" s="18" t="s">
        <v>182</v>
      </c>
      <c r="H1154" s="18" t="s">
        <v>183</v>
      </c>
      <c r="I1154" s="18" t="s">
        <v>184</v>
      </c>
      <c r="J1154" s="18" t="s">
        <v>2707</v>
      </c>
      <c r="K1154" s="18" t="s">
        <v>56</v>
      </c>
      <c r="L1154" s="18" t="s">
        <v>36</v>
      </c>
      <c r="N1154" s="18">
        <v>6</v>
      </c>
      <c r="O1154" s="18" t="s">
        <v>57</v>
      </c>
      <c r="P1154" s="18" t="s">
        <v>38</v>
      </c>
      <c r="Q1154" s="18" t="s">
        <v>194</v>
      </c>
      <c r="R1154" s="18" t="s">
        <v>59</v>
      </c>
      <c r="S1154" s="18" t="s">
        <v>195</v>
      </c>
      <c r="T1154" s="18" t="b">
        <v>0</v>
      </c>
      <c r="U1154" s="18" t="s">
        <v>187</v>
      </c>
      <c r="V1154" s="18" t="s">
        <v>40</v>
      </c>
      <c r="W1154" s="18" t="s">
        <v>250</v>
      </c>
      <c r="X1154" s="18" t="s">
        <v>251</v>
      </c>
      <c r="Y1154" s="18">
        <v>1</v>
      </c>
      <c r="Z1154" s="18">
        <v>47775</v>
      </c>
      <c r="AA1154" s="31" t="s">
        <v>2708</v>
      </c>
      <c r="AB1154" s="18" t="s">
        <v>2169</v>
      </c>
      <c r="AC1154" s="18" t="e">
        <v>#N/A</v>
      </c>
    </row>
    <row r="1155" s="18" customFormat="1" ht="43.5" spans="1:29">
      <c r="A1155" s="18" t="s">
        <v>2732</v>
      </c>
      <c r="B1155" s="25" t="s">
        <v>2732</v>
      </c>
      <c r="C1155" s="26">
        <v>45698</v>
      </c>
      <c r="D1155" s="18" t="s">
        <v>1957</v>
      </c>
      <c r="E1155" s="18" t="str">
        <f t="shared" ref="E1155:E1218" si="18">_xlfn.TEXTBEFORE(D1155,"-")</f>
        <v>Bizzaro Event</v>
      </c>
      <c r="F1155" s="27" t="s">
        <v>1958</v>
      </c>
      <c r="G1155" s="18" t="s">
        <v>182</v>
      </c>
      <c r="H1155" s="18" t="s">
        <v>183</v>
      </c>
      <c r="I1155" s="18" t="s">
        <v>184</v>
      </c>
      <c r="J1155" s="18" t="s">
        <v>2319</v>
      </c>
      <c r="K1155" s="18" t="s">
        <v>56</v>
      </c>
      <c r="L1155" s="18" t="s">
        <v>36</v>
      </c>
      <c r="N1155" s="18">
        <v>6</v>
      </c>
      <c r="O1155" s="18" t="s">
        <v>88</v>
      </c>
      <c r="P1155" s="18" t="s">
        <v>38</v>
      </c>
      <c r="Q1155" s="18" t="s">
        <v>194</v>
      </c>
      <c r="R1155" s="18" t="s">
        <v>59</v>
      </c>
      <c r="S1155" s="18" t="s">
        <v>195</v>
      </c>
      <c r="T1155" s="18" t="b">
        <v>0</v>
      </c>
      <c r="U1155" s="18" t="s">
        <v>187</v>
      </c>
      <c r="V1155" s="18" t="s">
        <v>40</v>
      </c>
      <c r="W1155" s="18" t="s">
        <v>371</v>
      </c>
      <c r="X1155" s="18" t="s">
        <v>372</v>
      </c>
      <c r="Y1155" s="18">
        <v>1</v>
      </c>
      <c r="Z1155" s="18">
        <v>22000</v>
      </c>
      <c r="AA1155" s="31" t="s">
        <v>2733</v>
      </c>
      <c r="AB1155" s="18" t="s">
        <v>2734</v>
      </c>
      <c r="AC1155" s="18" t="s">
        <v>200</v>
      </c>
    </row>
    <row r="1156" s="18" customFormat="1" ht="43.5" spans="1:29">
      <c r="A1156" s="18" t="s">
        <v>2735</v>
      </c>
      <c r="B1156" s="25" t="s">
        <v>2735</v>
      </c>
      <c r="C1156" s="26">
        <v>45698</v>
      </c>
      <c r="D1156" s="18" t="s">
        <v>247</v>
      </c>
      <c r="E1156" s="18" t="str">
        <f t="shared" si="18"/>
        <v>Black Hat Talent Solutions &amp; Consulting Pvt Ltd</v>
      </c>
      <c r="F1156" s="27" t="s">
        <v>248</v>
      </c>
      <c r="G1156" s="18" t="s">
        <v>182</v>
      </c>
      <c r="H1156" s="18" t="s">
        <v>183</v>
      </c>
      <c r="I1156" s="18" t="s">
        <v>184</v>
      </c>
      <c r="J1156" s="18" t="s">
        <v>2736</v>
      </c>
      <c r="K1156" s="18" t="s">
        <v>56</v>
      </c>
      <c r="L1156" s="18" t="s">
        <v>36</v>
      </c>
      <c r="N1156" s="18">
        <v>6</v>
      </c>
      <c r="O1156" s="18" t="s">
        <v>57</v>
      </c>
      <c r="P1156" s="18" t="s">
        <v>38</v>
      </c>
      <c r="Q1156" s="18" t="s">
        <v>194</v>
      </c>
      <c r="R1156" s="18" t="s">
        <v>59</v>
      </c>
      <c r="S1156" s="18" t="s">
        <v>195</v>
      </c>
      <c r="T1156" s="18" t="b">
        <v>0</v>
      </c>
      <c r="U1156" s="18" t="s">
        <v>187</v>
      </c>
      <c r="V1156" s="18" t="s">
        <v>40</v>
      </c>
      <c r="W1156" s="18" t="s">
        <v>250</v>
      </c>
      <c r="X1156" s="18" t="s">
        <v>251</v>
      </c>
      <c r="Y1156" s="18">
        <v>1</v>
      </c>
      <c r="Z1156" s="18">
        <v>225000</v>
      </c>
      <c r="AA1156" s="31" t="s">
        <v>2737</v>
      </c>
      <c r="AB1156" s="18" t="s">
        <v>2738</v>
      </c>
      <c r="AC1156" s="18" t="s">
        <v>200</v>
      </c>
    </row>
    <row r="1157" s="18" customFormat="1" spans="1:29">
      <c r="A1157" s="18" t="s">
        <v>2739</v>
      </c>
      <c r="B1157" s="25" t="s">
        <v>2739</v>
      </c>
      <c r="C1157" s="26">
        <v>45698</v>
      </c>
      <c r="D1157" s="18" t="s">
        <v>472</v>
      </c>
      <c r="E1157" s="18" t="e">
        <f t="shared" si="18"/>
        <v>#N/A</v>
      </c>
      <c r="F1157" s="27" t="e">
        <v>#N/A</v>
      </c>
      <c r="G1157" s="18" t="s">
        <v>182</v>
      </c>
      <c r="H1157" s="18" t="s">
        <v>183</v>
      </c>
      <c r="I1157" s="18" t="s">
        <v>54</v>
      </c>
      <c r="K1157" s="18" t="s">
        <v>35</v>
      </c>
      <c r="L1157" s="18" t="s">
        <v>36</v>
      </c>
      <c r="N1157" s="18">
        <v>6</v>
      </c>
      <c r="P1157" s="18" t="s">
        <v>38</v>
      </c>
      <c r="T1157" s="18" t="b">
        <v>0</v>
      </c>
      <c r="U1157" s="18" t="s">
        <v>187</v>
      </c>
      <c r="V1157" s="18" t="s">
        <v>40</v>
      </c>
      <c r="W1157" s="18" t="e">
        <v>#N/A</v>
      </c>
      <c r="X1157" s="18" t="e">
        <v>#N/A</v>
      </c>
      <c r="Y1157" s="18" t="e">
        <v>#N/A</v>
      </c>
      <c r="Z1157" s="18" t="e">
        <v>#N/A</v>
      </c>
      <c r="AC1157" s="18" t="e">
        <v>#N/A</v>
      </c>
    </row>
    <row r="1158" s="18" customFormat="1" spans="1:29">
      <c r="A1158" s="18" t="s">
        <v>2740</v>
      </c>
      <c r="B1158" s="25" t="s">
        <v>2740</v>
      </c>
      <c r="C1158" s="26">
        <v>45698</v>
      </c>
      <c r="D1158" s="18" t="s">
        <v>472</v>
      </c>
      <c r="E1158" s="18" t="e">
        <f t="shared" si="18"/>
        <v>#N/A</v>
      </c>
      <c r="F1158" s="27" t="e">
        <v>#N/A</v>
      </c>
      <c r="G1158" s="18" t="s">
        <v>182</v>
      </c>
      <c r="H1158" s="18" t="s">
        <v>183</v>
      </c>
      <c r="I1158" s="18" t="s">
        <v>54</v>
      </c>
      <c r="K1158" s="18" t="s">
        <v>35</v>
      </c>
      <c r="L1158" s="18" t="s">
        <v>36</v>
      </c>
      <c r="N1158" s="18">
        <v>6</v>
      </c>
      <c r="P1158" s="18" t="s">
        <v>38</v>
      </c>
      <c r="T1158" s="18" t="b">
        <v>0</v>
      </c>
      <c r="U1158" s="18" t="s">
        <v>187</v>
      </c>
      <c r="V1158" s="18" t="s">
        <v>40</v>
      </c>
      <c r="W1158" s="18" t="e">
        <v>#N/A</v>
      </c>
      <c r="X1158" s="18" t="e">
        <v>#N/A</v>
      </c>
      <c r="Y1158" s="18" t="e">
        <v>#N/A</v>
      </c>
      <c r="Z1158" s="18" t="e">
        <v>#N/A</v>
      </c>
      <c r="AC1158" s="18" t="e">
        <v>#N/A</v>
      </c>
    </row>
    <row r="1159" s="18" customFormat="1" spans="1:29">
      <c r="A1159" s="18" t="s">
        <v>2741</v>
      </c>
      <c r="B1159" s="25" t="s">
        <v>2741</v>
      </c>
      <c r="C1159" s="26">
        <v>45698</v>
      </c>
      <c r="D1159" s="18" t="s">
        <v>881</v>
      </c>
      <c r="E1159" s="18" t="str">
        <f t="shared" si="18"/>
        <v>Abdul Shahid Shaikh</v>
      </c>
      <c r="F1159" s="27" t="s">
        <v>882</v>
      </c>
      <c r="G1159" s="18" t="s">
        <v>182</v>
      </c>
      <c r="H1159" s="18" t="s">
        <v>183</v>
      </c>
      <c r="I1159" s="18" t="s">
        <v>54</v>
      </c>
      <c r="J1159" s="18" t="s">
        <v>2464</v>
      </c>
      <c r="K1159" s="18" t="s">
        <v>56</v>
      </c>
      <c r="L1159" s="18" t="s">
        <v>36</v>
      </c>
      <c r="N1159" s="18">
        <v>6</v>
      </c>
      <c r="O1159" s="18" t="s">
        <v>57</v>
      </c>
      <c r="P1159" s="18" t="s">
        <v>38</v>
      </c>
      <c r="Q1159" s="18" t="s">
        <v>58</v>
      </c>
      <c r="R1159" s="18" t="s">
        <v>59</v>
      </c>
      <c r="S1159" s="18" t="s">
        <v>60</v>
      </c>
      <c r="T1159" s="18" t="b">
        <v>0</v>
      </c>
      <c r="U1159" s="18" t="s">
        <v>187</v>
      </c>
      <c r="V1159" s="18" t="s">
        <v>40</v>
      </c>
      <c r="W1159" s="18" t="s">
        <v>292</v>
      </c>
      <c r="X1159" s="18" t="s">
        <v>293</v>
      </c>
      <c r="Y1159" s="18">
        <v>1</v>
      </c>
      <c r="Z1159" s="18">
        <v>52000</v>
      </c>
      <c r="AA1159" s="18" t="s">
        <v>2742</v>
      </c>
      <c r="AB1159" s="18" t="s">
        <v>2550</v>
      </c>
      <c r="AC1159" s="18" t="e">
        <v>#N/A</v>
      </c>
    </row>
    <row r="1160" s="18" customFormat="1" ht="29" spans="1:29">
      <c r="A1160" s="18" t="s">
        <v>2743</v>
      </c>
      <c r="B1160" s="25" t="s">
        <v>2743</v>
      </c>
      <c r="C1160" s="26">
        <v>45698</v>
      </c>
      <c r="D1160" s="18" t="s">
        <v>2053</v>
      </c>
      <c r="E1160" s="18" t="str">
        <f t="shared" si="18"/>
        <v>Sound.Com Pvt Ltd</v>
      </c>
      <c r="F1160" s="27" t="s">
        <v>2054</v>
      </c>
      <c r="G1160" s="18" t="s">
        <v>182</v>
      </c>
      <c r="H1160" s="18" t="s">
        <v>183</v>
      </c>
      <c r="I1160" s="18" t="s">
        <v>184</v>
      </c>
      <c r="J1160" s="18" t="s">
        <v>2683</v>
      </c>
      <c r="K1160" s="18" t="s">
        <v>56</v>
      </c>
      <c r="L1160" s="18" t="s">
        <v>36</v>
      </c>
      <c r="N1160" s="18">
        <v>6</v>
      </c>
      <c r="O1160" s="18" t="s">
        <v>88</v>
      </c>
      <c r="P1160" s="18" t="s">
        <v>38</v>
      </c>
      <c r="Q1160" s="18" t="s">
        <v>194</v>
      </c>
      <c r="R1160" s="18" t="s">
        <v>59</v>
      </c>
      <c r="S1160" s="18" t="s">
        <v>195</v>
      </c>
      <c r="T1160" s="18" t="b">
        <v>0</v>
      </c>
      <c r="U1160" s="18" t="s">
        <v>187</v>
      </c>
      <c r="V1160" s="18" t="s">
        <v>40</v>
      </c>
      <c r="W1160" s="18" t="s">
        <v>371</v>
      </c>
      <c r="X1160" s="18" t="s">
        <v>372</v>
      </c>
      <c r="Y1160" s="18">
        <v>1</v>
      </c>
      <c r="Z1160" s="18">
        <v>90000</v>
      </c>
      <c r="AA1160" s="31" t="s">
        <v>968</v>
      </c>
      <c r="AB1160" s="18" t="s">
        <v>969</v>
      </c>
      <c r="AC1160" s="18" t="s">
        <v>200</v>
      </c>
    </row>
    <row r="1161" s="18" customFormat="1" ht="29" spans="1:29">
      <c r="A1161" s="18" t="s">
        <v>2744</v>
      </c>
      <c r="B1161" s="25" t="s">
        <v>2744</v>
      </c>
      <c r="C1161" s="26">
        <v>45698</v>
      </c>
      <c r="D1161" s="18" t="s">
        <v>974</v>
      </c>
      <c r="E1161" s="18" t="str">
        <f t="shared" si="18"/>
        <v>Shiv Shakti Enterprises</v>
      </c>
      <c r="F1161" s="27" t="s">
        <v>975</v>
      </c>
      <c r="G1161" s="18" t="s">
        <v>182</v>
      </c>
      <c r="H1161" s="18" t="s">
        <v>183</v>
      </c>
      <c r="I1161" s="18" t="s">
        <v>184</v>
      </c>
      <c r="J1161" s="18" t="s">
        <v>2683</v>
      </c>
      <c r="K1161" s="18" t="s">
        <v>56</v>
      </c>
      <c r="L1161" s="18" t="s">
        <v>36</v>
      </c>
      <c r="N1161" s="18">
        <v>6</v>
      </c>
      <c r="O1161" s="18" t="s">
        <v>57</v>
      </c>
      <c r="P1161" s="18" t="s">
        <v>38</v>
      </c>
      <c r="Q1161" s="18" t="s">
        <v>194</v>
      </c>
      <c r="R1161" s="18" t="s">
        <v>59</v>
      </c>
      <c r="S1161" s="18" t="s">
        <v>195</v>
      </c>
      <c r="T1161" s="18" t="b">
        <v>0</v>
      </c>
      <c r="U1161" s="18" t="s">
        <v>187</v>
      </c>
      <c r="V1161" s="18" t="s">
        <v>40</v>
      </c>
      <c r="W1161" s="18" t="s">
        <v>371</v>
      </c>
      <c r="X1161" s="18" t="s">
        <v>372</v>
      </c>
      <c r="Y1161" s="18">
        <v>1</v>
      </c>
      <c r="Z1161" s="18">
        <v>190000</v>
      </c>
      <c r="AA1161" s="31" t="s">
        <v>968</v>
      </c>
      <c r="AB1161" s="18" t="s">
        <v>969</v>
      </c>
      <c r="AC1161" s="18" t="s">
        <v>200</v>
      </c>
    </row>
    <row r="1162" s="18" customFormat="1" ht="29" spans="1:29">
      <c r="A1162" s="18" t="s">
        <v>2745</v>
      </c>
      <c r="B1162" s="25" t="s">
        <v>2745</v>
      </c>
      <c r="C1162" s="26">
        <v>45698</v>
      </c>
      <c r="D1162" s="18" t="s">
        <v>977</v>
      </c>
      <c r="E1162" s="18" t="str">
        <f t="shared" si="18"/>
        <v>Videowaves</v>
      </c>
      <c r="F1162" s="27" t="e">
        <v>#N/A</v>
      </c>
      <c r="G1162" s="18" t="s">
        <v>182</v>
      </c>
      <c r="H1162" s="18" t="s">
        <v>183</v>
      </c>
      <c r="I1162" s="18" t="s">
        <v>184</v>
      </c>
      <c r="J1162" s="18" t="s">
        <v>2683</v>
      </c>
      <c r="K1162" s="18" t="s">
        <v>56</v>
      </c>
      <c r="L1162" s="18" t="s">
        <v>36</v>
      </c>
      <c r="N1162" s="18">
        <v>6</v>
      </c>
      <c r="O1162" s="18" t="s">
        <v>88</v>
      </c>
      <c r="P1162" s="18" t="s">
        <v>38</v>
      </c>
      <c r="Q1162" s="18" t="s">
        <v>194</v>
      </c>
      <c r="R1162" s="18" t="s">
        <v>59</v>
      </c>
      <c r="S1162" s="18" t="s">
        <v>195</v>
      </c>
      <c r="T1162" s="18" t="b">
        <v>0</v>
      </c>
      <c r="U1162" s="18" t="s">
        <v>187</v>
      </c>
      <c r="V1162" s="18" t="s">
        <v>40</v>
      </c>
      <c r="W1162" s="18" t="s">
        <v>371</v>
      </c>
      <c r="X1162" s="18" t="s">
        <v>372</v>
      </c>
      <c r="Y1162" s="18">
        <v>1</v>
      </c>
      <c r="Z1162" s="18">
        <v>190000</v>
      </c>
      <c r="AA1162" s="31" t="s">
        <v>968</v>
      </c>
      <c r="AB1162" s="18" t="s">
        <v>969</v>
      </c>
      <c r="AC1162" s="18" t="s">
        <v>200</v>
      </c>
    </row>
    <row r="1163" s="18" customFormat="1" ht="29" spans="1:29">
      <c r="A1163" s="18" t="s">
        <v>2746</v>
      </c>
      <c r="B1163" s="25" t="s">
        <v>2746</v>
      </c>
      <c r="C1163" s="26">
        <v>45698</v>
      </c>
      <c r="D1163" s="18" t="s">
        <v>1957</v>
      </c>
      <c r="E1163" s="18" t="str">
        <f t="shared" si="18"/>
        <v>Bizzaro Event</v>
      </c>
      <c r="F1163" s="27" t="s">
        <v>1958</v>
      </c>
      <c r="G1163" s="18" t="s">
        <v>182</v>
      </c>
      <c r="H1163" s="18" t="s">
        <v>183</v>
      </c>
      <c r="I1163" s="18" t="s">
        <v>184</v>
      </c>
      <c r="J1163" s="18" t="s">
        <v>2683</v>
      </c>
      <c r="K1163" s="18" t="s">
        <v>56</v>
      </c>
      <c r="L1163" s="18" t="s">
        <v>36</v>
      </c>
      <c r="N1163" s="18">
        <v>6</v>
      </c>
      <c r="O1163" s="18" t="s">
        <v>88</v>
      </c>
      <c r="P1163" s="18" t="s">
        <v>38</v>
      </c>
      <c r="Q1163" s="18" t="s">
        <v>194</v>
      </c>
      <c r="R1163" s="18" t="s">
        <v>59</v>
      </c>
      <c r="S1163" s="18" t="s">
        <v>195</v>
      </c>
      <c r="T1163" s="18" t="b">
        <v>0</v>
      </c>
      <c r="U1163" s="18" t="s">
        <v>187</v>
      </c>
      <c r="V1163" s="18" t="s">
        <v>40</v>
      </c>
      <c r="W1163" s="18" t="s">
        <v>371</v>
      </c>
      <c r="X1163" s="18" t="s">
        <v>372</v>
      </c>
      <c r="Y1163" s="18">
        <v>1</v>
      </c>
      <c r="Z1163" s="18">
        <v>8500</v>
      </c>
      <c r="AA1163" s="31" t="s">
        <v>968</v>
      </c>
      <c r="AB1163" s="18" t="s">
        <v>969</v>
      </c>
      <c r="AC1163" s="18" t="s">
        <v>200</v>
      </c>
    </row>
    <row r="1164" s="18" customFormat="1" ht="29" spans="1:29">
      <c r="A1164" s="18" t="s">
        <v>2747</v>
      </c>
      <c r="B1164" s="25" t="s">
        <v>2747</v>
      </c>
      <c r="C1164" s="26">
        <v>45698</v>
      </c>
      <c r="D1164" s="18" t="s">
        <v>1547</v>
      </c>
      <c r="E1164" s="18" t="str">
        <f t="shared" si="18"/>
        <v>Shree Samarth Krupa Creation</v>
      </c>
      <c r="F1164" s="27" t="s">
        <v>1548</v>
      </c>
      <c r="G1164" s="18" t="s">
        <v>182</v>
      </c>
      <c r="H1164" s="18" t="s">
        <v>183</v>
      </c>
      <c r="I1164" s="18" t="s">
        <v>184</v>
      </c>
      <c r="J1164" s="18" t="s">
        <v>2683</v>
      </c>
      <c r="K1164" s="18" t="s">
        <v>56</v>
      </c>
      <c r="L1164" s="18" t="s">
        <v>36</v>
      </c>
      <c r="N1164" s="18">
        <v>6</v>
      </c>
      <c r="O1164" s="18" t="s">
        <v>57</v>
      </c>
      <c r="P1164" s="18" t="s">
        <v>38</v>
      </c>
      <c r="Q1164" s="18" t="s">
        <v>194</v>
      </c>
      <c r="R1164" s="18" t="s">
        <v>59</v>
      </c>
      <c r="S1164" s="18" t="s">
        <v>195</v>
      </c>
      <c r="T1164" s="18" t="b">
        <v>0</v>
      </c>
      <c r="U1164" s="18" t="s">
        <v>187</v>
      </c>
      <c r="V1164" s="18" t="s">
        <v>40</v>
      </c>
      <c r="W1164" s="18" t="s">
        <v>401</v>
      </c>
      <c r="X1164" s="18" t="s">
        <v>402</v>
      </c>
      <c r="Y1164" s="18">
        <v>1</v>
      </c>
      <c r="Z1164" s="18">
        <v>75000</v>
      </c>
      <c r="AA1164" s="31" t="s">
        <v>968</v>
      </c>
      <c r="AB1164" s="18" t="s">
        <v>969</v>
      </c>
      <c r="AC1164" s="18" t="s">
        <v>200</v>
      </c>
    </row>
    <row r="1165" s="18" customFormat="1" ht="29" spans="1:29">
      <c r="A1165" s="18" t="s">
        <v>2748</v>
      </c>
      <c r="B1165" s="25" t="s">
        <v>2748</v>
      </c>
      <c r="C1165" s="26">
        <v>45698</v>
      </c>
      <c r="D1165" s="18" t="s">
        <v>2749</v>
      </c>
      <c r="E1165" s="18" t="str">
        <f t="shared" si="18"/>
        <v>Wow Experiences</v>
      </c>
      <c r="F1165" s="27" t="s">
        <v>2750</v>
      </c>
      <c r="G1165" s="18" t="s">
        <v>182</v>
      </c>
      <c r="H1165" s="18" t="s">
        <v>183</v>
      </c>
      <c r="I1165" s="18" t="s">
        <v>184</v>
      </c>
      <c r="J1165" s="18" t="s">
        <v>2683</v>
      </c>
      <c r="K1165" s="18" t="s">
        <v>56</v>
      </c>
      <c r="L1165" s="18" t="s">
        <v>36</v>
      </c>
      <c r="N1165" s="18">
        <v>6</v>
      </c>
      <c r="O1165" s="18" t="s">
        <v>57</v>
      </c>
      <c r="P1165" s="18" t="s">
        <v>38</v>
      </c>
      <c r="Q1165" s="18" t="s">
        <v>194</v>
      </c>
      <c r="R1165" s="18" t="s">
        <v>59</v>
      </c>
      <c r="S1165" s="18" t="s">
        <v>195</v>
      </c>
      <c r="T1165" s="18" t="b">
        <v>0</v>
      </c>
      <c r="U1165" s="18" t="s">
        <v>187</v>
      </c>
      <c r="V1165" s="18" t="s">
        <v>40</v>
      </c>
      <c r="W1165" s="18" t="s">
        <v>317</v>
      </c>
      <c r="X1165" s="18" t="s">
        <v>318</v>
      </c>
      <c r="Y1165" s="18">
        <v>1</v>
      </c>
      <c r="Z1165" s="18">
        <v>45000</v>
      </c>
      <c r="AA1165" s="31" t="s">
        <v>968</v>
      </c>
      <c r="AB1165" s="18" t="s">
        <v>969</v>
      </c>
      <c r="AC1165" s="18" t="s">
        <v>200</v>
      </c>
    </row>
    <row r="1166" s="18" customFormat="1" ht="29" spans="1:29">
      <c r="A1166" s="18" t="s">
        <v>2751</v>
      </c>
      <c r="B1166" s="25" t="s">
        <v>2751</v>
      </c>
      <c r="C1166" s="26">
        <v>45698</v>
      </c>
      <c r="D1166" s="18" t="s">
        <v>1981</v>
      </c>
      <c r="E1166" s="18" t="str">
        <f t="shared" si="18"/>
        <v>Oriana Communications</v>
      </c>
      <c r="F1166" s="27" t="s">
        <v>1982</v>
      </c>
      <c r="G1166" s="18" t="s">
        <v>182</v>
      </c>
      <c r="H1166" s="18" t="s">
        <v>183</v>
      </c>
      <c r="I1166" s="18" t="s">
        <v>184</v>
      </c>
      <c r="J1166" s="18" t="s">
        <v>2683</v>
      </c>
      <c r="K1166" s="18" t="s">
        <v>56</v>
      </c>
      <c r="L1166" s="18" t="s">
        <v>36</v>
      </c>
      <c r="N1166" s="18">
        <v>6</v>
      </c>
      <c r="O1166" s="18" t="s">
        <v>57</v>
      </c>
      <c r="P1166" s="18" t="s">
        <v>38</v>
      </c>
      <c r="Q1166" s="18" t="s">
        <v>194</v>
      </c>
      <c r="R1166" s="18" t="s">
        <v>59</v>
      </c>
      <c r="S1166" s="18" t="s">
        <v>195</v>
      </c>
      <c r="T1166" s="18" t="b">
        <v>0</v>
      </c>
      <c r="U1166" s="18" t="s">
        <v>187</v>
      </c>
      <c r="V1166" s="18" t="s">
        <v>40</v>
      </c>
      <c r="W1166" s="18" t="s">
        <v>371</v>
      </c>
      <c r="X1166" s="18" t="s">
        <v>372</v>
      </c>
      <c r="Y1166" s="18">
        <v>1</v>
      </c>
      <c r="Z1166" s="18">
        <v>12400</v>
      </c>
      <c r="AA1166" s="31" t="s">
        <v>968</v>
      </c>
      <c r="AB1166" s="18" t="s">
        <v>969</v>
      </c>
      <c r="AC1166" s="18" t="s">
        <v>200</v>
      </c>
    </row>
    <row r="1167" s="18" customFormat="1" ht="29" spans="1:29">
      <c r="A1167" s="18" t="s">
        <v>2752</v>
      </c>
      <c r="B1167" s="25" t="s">
        <v>2752</v>
      </c>
      <c r="C1167" s="26">
        <v>45698</v>
      </c>
      <c r="D1167" s="18" t="s">
        <v>2753</v>
      </c>
      <c r="E1167" s="18" t="str">
        <f t="shared" si="18"/>
        <v>Mint Studio VJ Nirav (OPC) Pvt Ltd</v>
      </c>
      <c r="F1167" s="27" t="s">
        <v>2754</v>
      </c>
      <c r="G1167" s="18" t="s">
        <v>182</v>
      </c>
      <c r="H1167" s="18" t="s">
        <v>183</v>
      </c>
      <c r="I1167" s="18" t="s">
        <v>184</v>
      </c>
      <c r="J1167" s="18" t="s">
        <v>2683</v>
      </c>
      <c r="K1167" s="18" t="s">
        <v>56</v>
      </c>
      <c r="L1167" s="18" t="s">
        <v>36</v>
      </c>
      <c r="N1167" s="18">
        <v>6</v>
      </c>
      <c r="O1167" s="18" t="s">
        <v>88</v>
      </c>
      <c r="P1167" s="18" t="s">
        <v>38</v>
      </c>
      <c r="Q1167" s="18" t="s">
        <v>194</v>
      </c>
      <c r="R1167" s="18" t="s">
        <v>59</v>
      </c>
      <c r="S1167" s="18" t="s">
        <v>195</v>
      </c>
      <c r="T1167" s="18" t="b">
        <v>0</v>
      </c>
      <c r="U1167" s="18" t="s">
        <v>187</v>
      </c>
      <c r="V1167" s="18" t="s">
        <v>40</v>
      </c>
      <c r="W1167" s="18" t="s">
        <v>347</v>
      </c>
      <c r="X1167" s="18" t="s">
        <v>348</v>
      </c>
      <c r="Y1167" s="18">
        <v>1</v>
      </c>
      <c r="Z1167" s="18">
        <v>20000</v>
      </c>
      <c r="AA1167" s="31" t="s">
        <v>968</v>
      </c>
      <c r="AB1167" s="18" t="s">
        <v>969</v>
      </c>
      <c r="AC1167" s="18" t="s">
        <v>200</v>
      </c>
    </row>
    <row r="1168" s="18" customFormat="1" ht="43.5" spans="1:29">
      <c r="A1168" s="18" t="s">
        <v>2755</v>
      </c>
      <c r="B1168" s="25" t="s">
        <v>2755</v>
      </c>
      <c r="C1168" s="26">
        <v>45698</v>
      </c>
      <c r="D1168" s="18" t="s">
        <v>1987</v>
      </c>
      <c r="E1168" s="18" t="str">
        <f t="shared" si="18"/>
        <v>Tm Ventures Pvt Ltd</v>
      </c>
      <c r="F1168" s="27" t="s">
        <v>1988</v>
      </c>
      <c r="G1168" s="18" t="s">
        <v>182</v>
      </c>
      <c r="H1168" s="18" t="s">
        <v>183</v>
      </c>
      <c r="I1168" s="18" t="s">
        <v>184</v>
      </c>
      <c r="J1168" s="18" t="s">
        <v>2756</v>
      </c>
      <c r="K1168" s="18" t="s">
        <v>56</v>
      </c>
      <c r="L1168" s="18" t="s">
        <v>36</v>
      </c>
      <c r="N1168" s="18">
        <v>6</v>
      </c>
      <c r="O1168" s="18" t="s">
        <v>88</v>
      </c>
      <c r="P1168" s="18" t="s">
        <v>38</v>
      </c>
      <c r="Q1168" s="18" t="s">
        <v>194</v>
      </c>
      <c r="R1168" s="18" t="s">
        <v>59</v>
      </c>
      <c r="S1168" s="18" t="s">
        <v>195</v>
      </c>
      <c r="T1168" s="18" t="b">
        <v>0</v>
      </c>
      <c r="U1168" s="18" t="s">
        <v>187</v>
      </c>
      <c r="V1168" s="18" t="s">
        <v>40</v>
      </c>
      <c r="W1168" s="18" t="s">
        <v>250</v>
      </c>
      <c r="X1168" s="18" t="s">
        <v>251</v>
      </c>
      <c r="Y1168" s="18">
        <v>1</v>
      </c>
      <c r="Z1168" s="18">
        <v>5300000</v>
      </c>
      <c r="AA1168" s="31" t="s">
        <v>2708</v>
      </c>
      <c r="AB1168" s="18" t="s">
        <v>2169</v>
      </c>
      <c r="AC1168" s="18" t="s">
        <v>200</v>
      </c>
    </row>
    <row r="1169" s="18" customFormat="1" spans="1:29">
      <c r="A1169" s="18" t="s">
        <v>2757</v>
      </c>
      <c r="B1169" s="25" t="s">
        <v>2757</v>
      </c>
      <c r="C1169" s="26">
        <v>45698</v>
      </c>
      <c r="D1169" s="18" t="s">
        <v>904</v>
      </c>
      <c r="E1169" s="18" t="str">
        <f t="shared" si="18"/>
        <v>Vodafone Idea Ltd</v>
      </c>
      <c r="F1169" s="27" t="s">
        <v>905</v>
      </c>
      <c r="G1169" s="18" t="s">
        <v>182</v>
      </c>
      <c r="H1169" s="18" t="s">
        <v>183</v>
      </c>
      <c r="I1169" s="18" t="s">
        <v>159</v>
      </c>
      <c r="J1169" s="18" t="s">
        <v>139</v>
      </c>
      <c r="K1169" s="18" t="s">
        <v>56</v>
      </c>
      <c r="L1169" s="18" t="s">
        <v>36</v>
      </c>
      <c r="N1169" s="18">
        <v>6</v>
      </c>
      <c r="O1169" s="18" t="s">
        <v>57</v>
      </c>
      <c r="P1169" s="18" t="s">
        <v>38</v>
      </c>
      <c r="Q1169" s="18" t="s">
        <v>58</v>
      </c>
      <c r="R1169" s="18" t="s">
        <v>59</v>
      </c>
      <c r="S1169" s="18" t="s">
        <v>60</v>
      </c>
      <c r="T1169" s="18" t="b">
        <v>0</v>
      </c>
      <c r="U1169" s="18" t="s">
        <v>187</v>
      </c>
      <c r="V1169" s="18" t="s">
        <v>40</v>
      </c>
      <c r="W1169" s="18" t="s">
        <v>233</v>
      </c>
      <c r="X1169" s="18" t="s">
        <v>234</v>
      </c>
      <c r="Y1169" s="18">
        <v>1</v>
      </c>
      <c r="Z1169" s="18">
        <v>3882</v>
      </c>
      <c r="AA1169" s="18" t="s">
        <v>1809</v>
      </c>
      <c r="AB1169" s="18" t="s">
        <v>143</v>
      </c>
      <c r="AC1169" s="18" t="s">
        <v>200</v>
      </c>
    </row>
    <row r="1170" s="18" customFormat="1" spans="1:29">
      <c r="A1170" s="18" t="s">
        <v>2758</v>
      </c>
      <c r="B1170" s="25" t="s">
        <v>2758</v>
      </c>
      <c r="C1170" s="26">
        <v>45698</v>
      </c>
      <c r="D1170" s="18" t="s">
        <v>472</v>
      </c>
      <c r="E1170" s="18" t="e">
        <f t="shared" si="18"/>
        <v>#N/A</v>
      </c>
      <c r="F1170" s="27" t="e">
        <v>#N/A</v>
      </c>
      <c r="G1170" s="18" t="s">
        <v>182</v>
      </c>
      <c r="H1170" s="18" t="s">
        <v>183</v>
      </c>
      <c r="I1170" s="18" t="s">
        <v>54</v>
      </c>
      <c r="K1170" s="18" t="s">
        <v>35</v>
      </c>
      <c r="L1170" s="18" t="s">
        <v>36</v>
      </c>
      <c r="N1170" s="18">
        <v>6</v>
      </c>
      <c r="P1170" s="18" t="s">
        <v>38</v>
      </c>
      <c r="T1170" s="18" t="b">
        <v>0</v>
      </c>
      <c r="U1170" s="18" t="s">
        <v>187</v>
      </c>
      <c r="V1170" s="18" t="s">
        <v>40</v>
      </c>
      <c r="W1170" s="18" t="e">
        <v>#N/A</v>
      </c>
      <c r="X1170" s="18" t="e">
        <v>#N/A</v>
      </c>
      <c r="Y1170" s="18" t="e">
        <v>#N/A</v>
      </c>
      <c r="Z1170" s="18" t="e">
        <v>#N/A</v>
      </c>
      <c r="AC1170" s="18" t="e">
        <v>#N/A</v>
      </c>
    </row>
    <row r="1171" s="18" customFormat="1" ht="43.5" spans="1:29">
      <c r="A1171" s="18" t="s">
        <v>2759</v>
      </c>
      <c r="B1171" s="25" t="s">
        <v>2759</v>
      </c>
      <c r="C1171" s="26">
        <v>45699</v>
      </c>
      <c r="D1171" s="18" t="s">
        <v>1085</v>
      </c>
      <c r="E1171" s="18" t="str">
        <f t="shared" si="18"/>
        <v>Thinking Brahma</v>
      </c>
      <c r="F1171" s="27" t="s">
        <v>1086</v>
      </c>
      <c r="G1171" s="18" t="s">
        <v>32</v>
      </c>
      <c r="H1171" s="18" t="s">
        <v>33</v>
      </c>
      <c r="I1171" s="18" t="s">
        <v>184</v>
      </c>
      <c r="J1171" s="18" t="s">
        <v>2160</v>
      </c>
      <c r="K1171" s="18" t="s">
        <v>56</v>
      </c>
      <c r="L1171" s="18" t="s">
        <v>36</v>
      </c>
      <c r="N1171" s="18">
        <v>6</v>
      </c>
      <c r="O1171" s="18" t="s">
        <v>88</v>
      </c>
      <c r="P1171" s="18" t="s">
        <v>38</v>
      </c>
      <c r="Q1171" s="18" t="s">
        <v>194</v>
      </c>
      <c r="R1171" s="18" t="s">
        <v>59</v>
      </c>
      <c r="S1171" s="18" t="s">
        <v>195</v>
      </c>
      <c r="T1171" s="18" t="b">
        <v>1</v>
      </c>
      <c r="U1171" s="18" t="s">
        <v>39</v>
      </c>
      <c r="V1171" s="18" t="s">
        <v>40</v>
      </c>
      <c r="W1171" s="18" t="s">
        <v>401</v>
      </c>
      <c r="X1171" s="18" t="s">
        <v>402</v>
      </c>
      <c r="Y1171" s="18">
        <v>1</v>
      </c>
      <c r="Z1171" s="18">
        <v>5000</v>
      </c>
      <c r="AA1171" s="31" t="s">
        <v>2760</v>
      </c>
      <c r="AB1171" s="18" t="s">
        <v>282</v>
      </c>
      <c r="AC1171" s="18" t="s">
        <v>43</v>
      </c>
    </row>
    <row r="1172" s="18" customFormat="1" spans="1:29">
      <c r="A1172" s="18" t="s">
        <v>2761</v>
      </c>
      <c r="B1172" s="25" t="s">
        <v>2761</v>
      </c>
      <c r="C1172" s="26">
        <v>45699</v>
      </c>
      <c r="D1172" s="18" t="s">
        <v>2762</v>
      </c>
      <c r="E1172" s="18" t="str">
        <f t="shared" si="18"/>
        <v>RRangmanch Productions</v>
      </c>
      <c r="F1172" s="27" t="s">
        <v>2763</v>
      </c>
      <c r="G1172" s="18" t="s">
        <v>32</v>
      </c>
      <c r="H1172" s="18" t="s">
        <v>33</v>
      </c>
      <c r="I1172" s="18" t="s">
        <v>133</v>
      </c>
      <c r="J1172" s="18" t="s">
        <v>2764</v>
      </c>
      <c r="K1172" s="18" t="s">
        <v>56</v>
      </c>
      <c r="L1172" s="18" t="s">
        <v>36</v>
      </c>
      <c r="N1172" s="18">
        <v>6</v>
      </c>
      <c r="O1172" s="18" t="s">
        <v>88</v>
      </c>
      <c r="P1172" s="18" t="s">
        <v>38</v>
      </c>
      <c r="Q1172" s="18" t="s">
        <v>117</v>
      </c>
      <c r="R1172" s="18" t="s">
        <v>59</v>
      </c>
      <c r="S1172" s="18" t="s">
        <v>118</v>
      </c>
      <c r="T1172" s="18" t="b">
        <v>1</v>
      </c>
      <c r="U1172" s="18" t="s">
        <v>39</v>
      </c>
      <c r="V1172" s="18" t="s">
        <v>40</v>
      </c>
      <c r="W1172" s="18" t="s">
        <v>151</v>
      </c>
      <c r="X1172" s="18" t="s">
        <v>152</v>
      </c>
      <c r="Y1172" s="18">
        <v>1</v>
      </c>
      <c r="Z1172" s="18">
        <v>21800</v>
      </c>
      <c r="AA1172" s="18" t="s">
        <v>319</v>
      </c>
      <c r="AB1172" s="18" t="s">
        <v>320</v>
      </c>
      <c r="AC1172" s="18" t="s">
        <v>43</v>
      </c>
    </row>
    <row r="1173" s="18" customFormat="1" spans="1:29">
      <c r="A1173" s="18" t="s">
        <v>2765</v>
      </c>
      <c r="B1173" s="25" t="s">
        <v>2765</v>
      </c>
      <c r="C1173" s="26">
        <v>45699</v>
      </c>
      <c r="D1173" s="18" t="s">
        <v>628</v>
      </c>
      <c r="E1173" s="18" t="str">
        <f t="shared" si="18"/>
        <v>New Print House</v>
      </c>
      <c r="F1173" s="27" t="s">
        <v>629</v>
      </c>
      <c r="G1173" s="18" t="s">
        <v>32</v>
      </c>
      <c r="H1173" s="18" t="s">
        <v>33</v>
      </c>
      <c r="I1173" s="18" t="s">
        <v>133</v>
      </c>
      <c r="J1173" s="18" t="s">
        <v>2764</v>
      </c>
      <c r="K1173" s="18" t="s">
        <v>56</v>
      </c>
      <c r="L1173" s="18" t="s">
        <v>36</v>
      </c>
      <c r="N1173" s="18">
        <v>6</v>
      </c>
      <c r="O1173" s="18" t="s">
        <v>88</v>
      </c>
      <c r="P1173" s="18" t="s">
        <v>38</v>
      </c>
      <c r="Q1173" s="18" t="s">
        <v>117</v>
      </c>
      <c r="R1173" s="18" t="s">
        <v>59</v>
      </c>
      <c r="S1173" s="18" t="s">
        <v>118</v>
      </c>
      <c r="T1173" s="18" t="b">
        <v>1</v>
      </c>
      <c r="U1173" s="18" t="s">
        <v>39</v>
      </c>
      <c r="V1173" s="18" t="s">
        <v>40</v>
      </c>
      <c r="W1173" s="18" t="s">
        <v>196</v>
      </c>
      <c r="X1173" s="18" t="s">
        <v>197</v>
      </c>
      <c r="Y1173" s="18">
        <v>1</v>
      </c>
      <c r="Z1173" s="18">
        <v>1000</v>
      </c>
      <c r="AA1173" s="18" t="s">
        <v>319</v>
      </c>
      <c r="AB1173" s="18" t="s">
        <v>320</v>
      </c>
      <c r="AC1173" s="18" t="s">
        <v>43</v>
      </c>
    </row>
    <row r="1174" s="18" customFormat="1" spans="1:29">
      <c r="A1174" s="18" t="s">
        <v>2766</v>
      </c>
      <c r="B1174" s="25" t="s">
        <v>2766</v>
      </c>
      <c r="C1174" s="26">
        <v>45699</v>
      </c>
      <c r="D1174" s="18" t="s">
        <v>2124</v>
      </c>
      <c r="E1174" s="18" t="str">
        <f t="shared" si="18"/>
        <v>Print With Me Pvt Ltd</v>
      </c>
      <c r="F1174" s="27" t="s">
        <v>2125</v>
      </c>
      <c r="G1174" s="18" t="s">
        <v>32</v>
      </c>
      <c r="H1174" s="18" t="s">
        <v>33</v>
      </c>
      <c r="I1174" s="18" t="s">
        <v>133</v>
      </c>
      <c r="J1174" s="18" t="s">
        <v>2764</v>
      </c>
      <c r="K1174" s="18" t="s">
        <v>56</v>
      </c>
      <c r="L1174" s="18" t="s">
        <v>36</v>
      </c>
      <c r="N1174" s="18">
        <v>6</v>
      </c>
      <c r="O1174" s="18" t="s">
        <v>88</v>
      </c>
      <c r="P1174" s="18" t="s">
        <v>38</v>
      </c>
      <c r="Q1174" s="18" t="s">
        <v>117</v>
      </c>
      <c r="R1174" s="18" t="s">
        <v>59</v>
      </c>
      <c r="S1174" s="18" t="s">
        <v>118</v>
      </c>
      <c r="T1174" s="18" t="b">
        <v>1</v>
      </c>
      <c r="U1174" s="18" t="s">
        <v>39</v>
      </c>
      <c r="V1174" s="18" t="s">
        <v>40</v>
      </c>
      <c r="W1174" s="18" t="s">
        <v>196</v>
      </c>
      <c r="X1174" s="18" t="s">
        <v>197</v>
      </c>
      <c r="Y1174" s="18">
        <v>1</v>
      </c>
      <c r="Z1174" s="18">
        <v>2448</v>
      </c>
      <c r="AA1174" s="18" t="s">
        <v>319</v>
      </c>
      <c r="AB1174" s="18" t="s">
        <v>320</v>
      </c>
      <c r="AC1174" s="18" t="s">
        <v>43</v>
      </c>
    </row>
    <row r="1175" s="18" customFormat="1" spans="1:29">
      <c r="A1175" s="18" t="s">
        <v>2767</v>
      </c>
      <c r="B1175" s="25" t="s">
        <v>2767</v>
      </c>
      <c r="C1175" s="26">
        <v>45699</v>
      </c>
      <c r="D1175" s="18" t="s">
        <v>1441</v>
      </c>
      <c r="E1175" s="18" t="str">
        <f t="shared" si="18"/>
        <v>Reverb Sound And Light Studio</v>
      </c>
      <c r="F1175" s="27" t="s">
        <v>1442</v>
      </c>
      <c r="G1175" s="18" t="s">
        <v>32</v>
      </c>
      <c r="H1175" s="18" t="s">
        <v>33</v>
      </c>
      <c r="I1175" s="18" t="s">
        <v>133</v>
      </c>
      <c r="J1175" s="18" t="s">
        <v>2764</v>
      </c>
      <c r="K1175" s="18" t="s">
        <v>56</v>
      </c>
      <c r="L1175" s="18" t="s">
        <v>36</v>
      </c>
      <c r="N1175" s="18">
        <v>6</v>
      </c>
      <c r="O1175" s="18" t="s">
        <v>88</v>
      </c>
      <c r="P1175" s="18" t="s">
        <v>38</v>
      </c>
      <c r="Q1175" s="18" t="s">
        <v>117</v>
      </c>
      <c r="R1175" s="18" t="s">
        <v>59</v>
      </c>
      <c r="S1175" s="18" t="s">
        <v>118</v>
      </c>
      <c r="T1175" s="18" t="b">
        <v>1</v>
      </c>
      <c r="U1175" s="18" t="s">
        <v>39</v>
      </c>
      <c r="V1175" s="18" t="s">
        <v>40</v>
      </c>
      <c r="W1175" s="18" t="s">
        <v>371</v>
      </c>
      <c r="X1175" s="18" t="s">
        <v>372</v>
      </c>
      <c r="Y1175" s="18">
        <v>1</v>
      </c>
      <c r="Z1175" s="18">
        <v>11000</v>
      </c>
      <c r="AA1175" s="18" t="s">
        <v>319</v>
      </c>
      <c r="AB1175" s="18" t="s">
        <v>320</v>
      </c>
      <c r="AC1175" s="18" t="s">
        <v>43</v>
      </c>
    </row>
    <row r="1176" s="18" customFormat="1" spans="1:29">
      <c r="A1176" s="18" t="s">
        <v>2768</v>
      </c>
      <c r="B1176" s="25" t="s">
        <v>2768</v>
      </c>
      <c r="C1176" s="26">
        <v>45699</v>
      </c>
      <c r="D1176" s="18" t="s">
        <v>1314</v>
      </c>
      <c r="E1176" s="18" t="str">
        <f t="shared" si="18"/>
        <v>Stepone Office Stationers</v>
      </c>
      <c r="F1176" s="27" t="s">
        <v>1315</v>
      </c>
      <c r="G1176" s="18" t="s">
        <v>32</v>
      </c>
      <c r="H1176" s="18" t="s">
        <v>33</v>
      </c>
      <c r="I1176" s="18" t="s">
        <v>133</v>
      </c>
      <c r="J1176" s="18" t="s">
        <v>2764</v>
      </c>
      <c r="K1176" s="18" t="s">
        <v>56</v>
      </c>
      <c r="L1176" s="18" t="s">
        <v>36</v>
      </c>
      <c r="N1176" s="18">
        <v>6</v>
      </c>
      <c r="O1176" s="18" t="s">
        <v>88</v>
      </c>
      <c r="P1176" s="18" t="s">
        <v>38</v>
      </c>
      <c r="Q1176" s="18" t="s">
        <v>117</v>
      </c>
      <c r="R1176" s="18" t="s">
        <v>59</v>
      </c>
      <c r="S1176" s="18" t="s">
        <v>118</v>
      </c>
      <c r="T1176" s="18" t="b">
        <v>1</v>
      </c>
      <c r="U1176" s="18" t="s">
        <v>39</v>
      </c>
      <c r="V1176" s="18" t="s">
        <v>40</v>
      </c>
      <c r="W1176" s="18" t="s">
        <v>140</v>
      </c>
      <c r="X1176" s="18" t="s">
        <v>141</v>
      </c>
      <c r="Y1176" s="18">
        <v>1</v>
      </c>
      <c r="Z1176" s="18">
        <v>2022</v>
      </c>
      <c r="AA1176" s="18" t="s">
        <v>319</v>
      </c>
      <c r="AB1176" s="18" t="s">
        <v>320</v>
      </c>
      <c r="AC1176" s="18" t="s">
        <v>43</v>
      </c>
    </row>
    <row r="1177" s="18" customFormat="1" spans="1:29">
      <c r="A1177" s="18" t="s">
        <v>2769</v>
      </c>
      <c r="B1177" s="25" t="s">
        <v>2769</v>
      </c>
      <c r="C1177" s="26">
        <v>45699</v>
      </c>
      <c r="D1177" s="18" t="s">
        <v>827</v>
      </c>
      <c r="E1177" s="18" t="str">
        <f t="shared" si="18"/>
        <v>Infutech Solutions</v>
      </c>
      <c r="F1177" s="27" t="s">
        <v>828</v>
      </c>
      <c r="G1177" s="18" t="s">
        <v>32</v>
      </c>
      <c r="H1177" s="18" t="s">
        <v>33</v>
      </c>
      <c r="I1177" s="18" t="s">
        <v>133</v>
      </c>
      <c r="J1177" s="18" t="s">
        <v>2764</v>
      </c>
      <c r="K1177" s="18" t="s">
        <v>56</v>
      </c>
      <c r="L1177" s="18" t="s">
        <v>36</v>
      </c>
      <c r="N1177" s="18">
        <v>6</v>
      </c>
      <c r="O1177" s="18" t="s">
        <v>88</v>
      </c>
      <c r="P1177" s="18" t="s">
        <v>38</v>
      </c>
      <c r="Q1177" s="18" t="s">
        <v>117</v>
      </c>
      <c r="R1177" s="18" t="s">
        <v>59</v>
      </c>
      <c r="S1177" s="18" t="s">
        <v>118</v>
      </c>
      <c r="T1177" s="18" t="b">
        <v>1</v>
      </c>
      <c r="U1177" s="18" t="s">
        <v>39</v>
      </c>
      <c r="V1177" s="18" t="s">
        <v>40</v>
      </c>
      <c r="W1177" s="18" t="s">
        <v>704</v>
      </c>
      <c r="X1177" s="18" t="s">
        <v>704</v>
      </c>
      <c r="Y1177" s="18">
        <v>1</v>
      </c>
      <c r="Z1177" s="18">
        <v>7800</v>
      </c>
      <c r="AA1177" s="18" t="s">
        <v>319</v>
      </c>
      <c r="AB1177" s="18" t="s">
        <v>320</v>
      </c>
      <c r="AC1177" s="18" t="s">
        <v>43</v>
      </c>
    </row>
    <row r="1178" s="18" customFormat="1" spans="1:29">
      <c r="A1178" s="18" t="s">
        <v>2770</v>
      </c>
      <c r="B1178" s="25" t="s">
        <v>2770</v>
      </c>
      <c r="C1178" s="26">
        <v>45699</v>
      </c>
      <c r="D1178" s="18" t="s">
        <v>284</v>
      </c>
      <c r="E1178" s="18" t="str">
        <f t="shared" si="18"/>
        <v>Abdul Rehman </v>
      </c>
      <c r="F1178" s="27" t="e">
        <v>#N/A</v>
      </c>
      <c r="G1178" s="18" t="s">
        <v>32</v>
      </c>
      <c r="H1178" s="18" t="s">
        <v>33</v>
      </c>
      <c r="I1178" s="18" t="s">
        <v>133</v>
      </c>
      <c r="J1178" s="18" t="s">
        <v>1131</v>
      </c>
      <c r="K1178" s="18" t="s">
        <v>56</v>
      </c>
      <c r="L1178" s="18" t="s">
        <v>36</v>
      </c>
      <c r="N1178" s="18">
        <v>6</v>
      </c>
      <c r="O1178" s="18" t="s">
        <v>93</v>
      </c>
      <c r="P1178" s="18" t="s">
        <v>38</v>
      </c>
      <c r="Q1178" s="18" t="s">
        <v>194</v>
      </c>
      <c r="R1178" s="18" t="s">
        <v>59</v>
      </c>
      <c r="S1178" s="18" t="s">
        <v>195</v>
      </c>
      <c r="T1178" s="18" t="b">
        <v>1</v>
      </c>
      <c r="U1178" s="18" t="s">
        <v>39</v>
      </c>
      <c r="V1178" s="18" t="s">
        <v>40</v>
      </c>
      <c r="W1178" s="18" t="s">
        <v>126</v>
      </c>
      <c r="X1178" s="18" t="s">
        <v>127</v>
      </c>
      <c r="Y1178" s="18">
        <v>1</v>
      </c>
      <c r="Z1178" s="18">
        <v>13920</v>
      </c>
      <c r="AA1178" s="18" t="s">
        <v>2771</v>
      </c>
      <c r="AB1178" s="18" t="s">
        <v>730</v>
      </c>
      <c r="AC1178" s="18" t="e">
        <v>#N/A</v>
      </c>
    </row>
    <row r="1179" s="18" customFormat="1" spans="1:29">
      <c r="A1179" s="18" t="s">
        <v>2772</v>
      </c>
      <c r="B1179" s="25" t="s">
        <v>2772</v>
      </c>
      <c r="C1179" s="26">
        <v>45699</v>
      </c>
      <c r="D1179" s="18" t="s">
        <v>2773</v>
      </c>
      <c r="E1179" s="18" t="str">
        <f t="shared" si="18"/>
        <v>Mitin Upadhyay</v>
      </c>
      <c r="F1179" s="27" t="s">
        <v>2774</v>
      </c>
      <c r="G1179" s="18" t="s">
        <v>32</v>
      </c>
      <c r="H1179" s="18" t="s">
        <v>33</v>
      </c>
      <c r="I1179" s="18" t="s">
        <v>184</v>
      </c>
      <c r="J1179" s="18" t="s">
        <v>2775</v>
      </c>
      <c r="K1179" s="18" t="s">
        <v>56</v>
      </c>
      <c r="L1179" s="18" t="s">
        <v>36</v>
      </c>
      <c r="N1179" s="18">
        <v>6</v>
      </c>
      <c r="O1179" s="18" t="s">
        <v>57</v>
      </c>
      <c r="P1179" s="18" t="s">
        <v>38</v>
      </c>
      <c r="Q1179" s="18" t="s">
        <v>117</v>
      </c>
      <c r="R1179" s="18" t="s">
        <v>59</v>
      </c>
      <c r="S1179" s="18" t="s">
        <v>186</v>
      </c>
      <c r="T1179" s="18" t="b">
        <v>1</v>
      </c>
      <c r="U1179" s="18" t="s">
        <v>39</v>
      </c>
      <c r="V1179" s="18" t="s">
        <v>40</v>
      </c>
      <c r="W1179" s="18" t="s">
        <v>250</v>
      </c>
      <c r="X1179" s="18" t="s">
        <v>251</v>
      </c>
      <c r="Y1179" s="18">
        <v>1</v>
      </c>
      <c r="Z1179" s="18">
        <v>200000</v>
      </c>
      <c r="AA1179" s="18" t="s">
        <v>2776</v>
      </c>
      <c r="AB1179" s="18" t="s">
        <v>811</v>
      </c>
      <c r="AC1179" s="18" t="s">
        <v>43</v>
      </c>
    </row>
    <row r="1180" s="18" customFormat="1" spans="1:29">
      <c r="A1180" s="18" t="s">
        <v>2777</v>
      </c>
      <c r="B1180" s="25" t="s">
        <v>2777</v>
      </c>
      <c r="C1180" s="26">
        <v>45699</v>
      </c>
      <c r="D1180" s="18" t="s">
        <v>498</v>
      </c>
      <c r="E1180" s="18" t="str">
        <f t="shared" si="18"/>
        <v>Lyra Entertainment And Media</v>
      </c>
      <c r="F1180" s="27" t="e">
        <v>#N/A</v>
      </c>
      <c r="G1180" s="18" t="s">
        <v>32</v>
      </c>
      <c r="H1180" s="18" t="s">
        <v>33</v>
      </c>
      <c r="I1180" s="18" t="s">
        <v>184</v>
      </c>
      <c r="J1180" s="18" t="s">
        <v>2775</v>
      </c>
      <c r="K1180" s="18" t="s">
        <v>56</v>
      </c>
      <c r="L1180" s="18" t="s">
        <v>36</v>
      </c>
      <c r="N1180" s="18">
        <v>6</v>
      </c>
      <c r="O1180" s="18" t="s">
        <v>88</v>
      </c>
      <c r="P1180" s="18" t="s">
        <v>38</v>
      </c>
      <c r="Q1180" s="18" t="s">
        <v>117</v>
      </c>
      <c r="R1180" s="18" t="s">
        <v>59</v>
      </c>
      <c r="S1180" s="18" t="s">
        <v>186</v>
      </c>
      <c r="T1180" s="18" t="b">
        <v>1</v>
      </c>
      <c r="U1180" s="18" t="s">
        <v>39</v>
      </c>
      <c r="V1180" s="18" t="s">
        <v>40</v>
      </c>
      <c r="W1180" s="18" t="s">
        <v>317</v>
      </c>
      <c r="X1180" s="18" t="s">
        <v>318</v>
      </c>
      <c r="Y1180" s="18">
        <v>1</v>
      </c>
      <c r="Z1180" s="18">
        <v>55000</v>
      </c>
      <c r="AA1180" s="18" t="s">
        <v>2776</v>
      </c>
      <c r="AB1180" s="18" t="s">
        <v>811</v>
      </c>
      <c r="AC1180" s="18" t="s">
        <v>43</v>
      </c>
    </row>
    <row r="1181" s="18" customFormat="1" spans="1:29">
      <c r="A1181" s="18" t="s">
        <v>2778</v>
      </c>
      <c r="B1181" s="25" t="s">
        <v>2778</v>
      </c>
      <c r="C1181" s="26">
        <v>45699</v>
      </c>
      <c r="D1181" s="18" t="s">
        <v>818</v>
      </c>
      <c r="E1181" s="18" t="str">
        <f t="shared" si="18"/>
        <v>Uvfx</v>
      </c>
      <c r="F1181" s="27" t="e">
        <v>#N/A</v>
      </c>
      <c r="G1181" s="18" t="s">
        <v>32</v>
      </c>
      <c r="H1181" s="18" t="s">
        <v>33</v>
      </c>
      <c r="I1181" s="18" t="s">
        <v>184</v>
      </c>
      <c r="J1181" s="18" t="s">
        <v>2775</v>
      </c>
      <c r="K1181" s="18" t="s">
        <v>56</v>
      </c>
      <c r="L1181" s="18" t="s">
        <v>36</v>
      </c>
      <c r="N1181" s="18">
        <v>6</v>
      </c>
      <c r="O1181" s="18" t="s">
        <v>88</v>
      </c>
      <c r="P1181" s="18" t="s">
        <v>38</v>
      </c>
      <c r="Q1181" s="18" t="s">
        <v>117</v>
      </c>
      <c r="R1181" s="18" t="s">
        <v>59</v>
      </c>
      <c r="S1181" s="18" t="s">
        <v>186</v>
      </c>
      <c r="T1181" s="18" t="b">
        <v>1</v>
      </c>
      <c r="U1181" s="18" t="s">
        <v>39</v>
      </c>
      <c r="V1181" s="18" t="s">
        <v>40</v>
      </c>
      <c r="W1181" s="18" t="s">
        <v>250</v>
      </c>
      <c r="X1181" s="18" t="s">
        <v>251</v>
      </c>
      <c r="Y1181" s="18">
        <v>1</v>
      </c>
      <c r="Z1181" s="18">
        <v>75000</v>
      </c>
      <c r="AA1181" s="18" t="s">
        <v>2776</v>
      </c>
      <c r="AB1181" s="18" t="s">
        <v>811</v>
      </c>
      <c r="AC1181" s="18" t="s">
        <v>43</v>
      </c>
    </row>
    <row r="1182" s="18" customFormat="1" spans="1:29">
      <c r="A1182" s="18" t="s">
        <v>2779</v>
      </c>
      <c r="B1182" s="25" t="s">
        <v>2779</v>
      </c>
      <c r="C1182" s="26">
        <v>45699</v>
      </c>
      <c r="D1182" s="18" t="s">
        <v>745</v>
      </c>
      <c r="E1182" s="18" t="str">
        <f t="shared" si="18"/>
        <v>Radisson Blu Bengaluru (A unit of Charishma Hotels Pvt Ltd)</v>
      </c>
      <c r="F1182" s="27" t="s">
        <v>746</v>
      </c>
      <c r="G1182" s="18" t="s">
        <v>32</v>
      </c>
      <c r="H1182" s="18" t="s">
        <v>33</v>
      </c>
      <c r="I1182" s="18" t="s">
        <v>184</v>
      </c>
      <c r="J1182" s="18" t="s">
        <v>1871</v>
      </c>
      <c r="K1182" s="18" t="s">
        <v>56</v>
      </c>
      <c r="L1182" s="18" t="s">
        <v>36</v>
      </c>
      <c r="N1182" s="18">
        <v>6</v>
      </c>
      <c r="O1182" s="18" t="s">
        <v>57</v>
      </c>
      <c r="P1182" s="18" t="s">
        <v>38</v>
      </c>
      <c r="Q1182" s="18" t="s">
        <v>117</v>
      </c>
      <c r="R1182" s="18" t="s">
        <v>59</v>
      </c>
      <c r="S1182" s="18" t="s">
        <v>118</v>
      </c>
      <c r="T1182" s="18" t="b">
        <v>1</v>
      </c>
      <c r="U1182" s="18" t="s">
        <v>39</v>
      </c>
      <c r="V1182" s="18" t="s">
        <v>40</v>
      </c>
      <c r="W1182" s="18" t="s">
        <v>61</v>
      </c>
      <c r="X1182" s="18" t="s">
        <v>62</v>
      </c>
      <c r="Y1182" s="18">
        <v>1</v>
      </c>
      <c r="Z1182" s="18">
        <v>216000</v>
      </c>
      <c r="AA1182" s="18" t="s">
        <v>2780</v>
      </c>
      <c r="AB1182" s="18" t="s">
        <v>2781</v>
      </c>
      <c r="AC1182" s="18" t="s">
        <v>43</v>
      </c>
    </row>
    <row r="1183" s="18" customFormat="1" spans="1:29">
      <c r="A1183" s="18" t="s">
        <v>2782</v>
      </c>
      <c r="B1183" s="25" t="s">
        <v>2782</v>
      </c>
      <c r="C1183" s="26">
        <v>45699</v>
      </c>
      <c r="D1183" s="18" t="s">
        <v>745</v>
      </c>
      <c r="E1183" s="18" t="str">
        <f t="shared" si="18"/>
        <v>Radisson Blu Bengaluru (A unit of Charishma Hotels Pvt Ltd)</v>
      </c>
      <c r="F1183" s="27" t="s">
        <v>746</v>
      </c>
      <c r="G1183" s="18" t="s">
        <v>32</v>
      </c>
      <c r="H1183" s="18" t="s">
        <v>33</v>
      </c>
      <c r="I1183" s="18" t="s">
        <v>34</v>
      </c>
      <c r="K1183" s="18" t="s">
        <v>35</v>
      </c>
      <c r="L1183" s="18" t="s">
        <v>36</v>
      </c>
      <c r="N1183" s="18">
        <v>6</v>
      </c>
      <c r="O1183" s="18" t="s">
        <v>57</v>
      </c>
      <c r="P1183" s="18" t="s">
        <v>38</v>
      </c>
      <c r="T1183" s="18" t="b">
        <v>1</v>
      </c>
      <c r="U1183" s="18" t="s">
        <v>39</v>
      </c>
      <c r="V1183" s="18" t="s">
        <v>40</v>
      </c>
      <c r="W1183" s="18" t="s">
        <v>2783</v>
      </c>
      <c r="X1183" s="18" t="s">
        <v>62</v>
      </c>
      <c r="Y1183" s="18">
        <v>1</v>
      </c>
      <c r="Z1183" s="18">
        <v>115000</v>
      </c>
      <c r="AC1183" s="18" t="s">
        <v>43</v>
      </c>
    </row>
    <row r="1184" s="20" customFormat="1" spans="1:29">
      <c r="A1184" s="20" t="s">
        <v>2784</v>
      </c>
      <c r="B1184" s="33" t="s">
        <v>2784</v>
      </c>
      <c r="C1184" s="34">
        <v>45699</v>
      </c>
      <c r="D1184" s="20" t="s">
        <v>2785</v>
      </c>
      <c r="E1184" s="20" t="str">
        <f t="shared" si="18"/>
        <v>Sulfikkar M</v>
      </c>
      <c r="F1184" s="27" t="s">
        <v>2786</v>
      </c>
      <c r="G1184" s="20" t="s">
        <v>99</v>
      </c>
      <c r="H1184" s="20" t="s">
        <v>100</v>
      </c>
      <c r="I1184" s="20" t="s">
        <v>133</v>
      </c>
      <c r="J1184" s="20" t="s">
        <v>2764</v>
      </c>
      <c r="K1184" s="20" t="s">
        <v>56</v>
      </c>
      <c r="L1184" s="20" t="s">
        <v>36</v>
      </c>
      <c r="N1184" s="20">
        <v>6</v>
      </c>
      <c r="O1184" s="20" t="s">
        <v>88</v>
      </c>
      <c r="P1184" s="20" t="s">
        <v>38</v>
      </c>
      <c r="Q1184" s="20" t="s">
        <v>117</v>
      </c>
      <c r="R1184" s="20" t="s">
        <v>59</v>
      </c>
      <c r="S1184" s="20" t="s">
        <v>118</v>
      </c>
      <c r="T1184" s="20" t="b">
        <v>1</v>
      </c>
      <c r="U1184" s="20" t="s">
        <v>101</v>
      </c>
      <c r="V1184" s="20" t="s">
        <v>40</v>
      </c>
      <c r="W1184" s="20" t="s">
        <v>683</v>
      </c>
      <c r="X1184" s="20" t="s">
        <v>684</v>
      </c>
      <c r="Y1184" s="20">
        <v>1</v>
      </c>
      <c r="Z1184" s="20">
        <v>215000</v>
      </c>
      <c r="AA1184" s="20" t="s">
        <v>1678</v>
      </c>
      <c r="AB1184" s="20" t="s">
        <v>1679</v>
      </c>
      <c r="AC1184" s="20" t="e">
        <v>#N/A</v>
      </c>
    </row>
    <row r="1185" s="18" customFormat="1" spans="1:29">
      <c r="A1185" s="18" t="s">
        <v>2787</v>
      </c>
      <c r="B1185" s="25" t="s">
        <v>2787</v>
      </c>
      <c r="C1185" s="26">
        <v>45699</v>
      </c>
      <c r="D1185" s="18" t="s">
        <v>2788</v>
      </c>
      <c r="E1185" s="18" t="str">
        <f t="shared" si="18"/>
        <v>Relax Tours &amp; Travels</v>
      </c>
      <c r="F1185" s="27" t="s">
        <v>2789</v>
      </c>
      <c r="G1185" s="18" t="s">
        <v>99</v>
      </c>
      <c r="H1185" s="18" t="s">
        <v>100</v>
      </c>
      <c r="I1185" s="18" t="s">
        <v>184</v>
      </c>
      <c r="J1185" s="18" t="s">
        <v>2775</v>
      </c>
      <c r="K1185" s="18" t="s">
        <v>56</v>
      </c>
      <c r="L1185" s="18" t="s">
        <v>36</v>
      </c>
      <c r="N1185" s="18">
        <v>6</v>
      </c>
      <c r="O1185" s="18" t="s">
        <v>88</v>
      </c>
      <c r="P1185" s="18" t="s">
        <v>38</v>
      </c>
      <c r="Q1185" s="18" t="s">
        <v>117</v>
      </c>
      <c r="R1185" s="18" t="s">
        <v>59</v>
      </c>
      <c r="S1185" s="18" t="s">
        <v>186</v>
      </c>
      <c r="T1185" s="18" t="b">
        <v>1</v>
      </c>
      <c r="U1185" s="18" t="s">
        <v>101</v>
      </c>
      <c r="V1185" s="18" t="s">
        <v>40</v>
      </c>
      <c r="W1185" s="18" t="s">
        <v>119</v>
      </c>
      <c r="X1185" s="18" t="s">
        <v>120</v>
      </c>
      <c r="Y1185" s="18">
        <v>1</v>
      </c>
      <c r="Z1185" s="18">
        <v>43000</v>
      </c>
      <c r="AA1185" s="18" t="s">
        <v>2776</v>
      </c>
      <c r="AB1185" s="18" t="s">
        <v>811</v>
      </c>
      <c r="AC1185" s="18" t="e">
        <v>#N/A</v>
      </c>
    </row>
    <row r="1186" s="18" customFormat="1" spans="1:29">
      <c r="A1186" s="18" t="s">
        <v>2790</v>
      </c>
      <c r="B1186" s="25" t="s">
        <v>2790</v>
      </c>
      <c r="C1186" s="26">
        <v>45699</v>
      </c>
      <c r="D1186" s="18" t="s">
        <v>2214</v>
      </c>
      <c r="E1186" s="18" t="str">
        <f t="shared" si="18"/>
        <v>Mj Digital</v>
      </c>
      <c r="F1186" s="27" t="s">
        <v>2215</v>
      </c>
      <c r="G1186" s="18" t="s">
        <v>99</v>
      </c>
      <c r="H1186" s="18" t="s">
        <v>100</v>
      </c>
      <c r="I1186" s="18" t="s">
        <v>184</v>
      </c>
      <c r="J1186" s="18" t="s">
        <v>2775</v>
      </c>
      <c r="K1186" s="18" t="s">
        <v>56</v>
      </c>
      <c r="L1186" s="18" t="s">
        <v>36</v>
      </c>
      <c r="N1186" s="18">
        <v>6</v>
      </c>
      <c r="O1186" s="18" t="s">
        <v>88</v>
      </c>
      <c r="P1186" s="18" t="s">
        <v>38</v>
      </c>
      <c r="Q1186" s="18" t="s">
        <v>117</v>
      </c>
      <c r="R1186" s="18" t="s">
        <v>59</v>
      </c>
      <c r="S1186" s="18" t="s">
        <v>186</v>
      </c>
      <c r="T1186" s="18" t="b">
        <v>1</v>
      </c>
      <c r="U1186" s="18" t="s">
        <v>101</v>
      </c>
      <c r="V1186" s="18" t="s">
        <v>40</v>
      </c>
      <c r="W1186" s="18" t="s">
        <v>401</v>
      </c>
      <c r="X1186" s="18" t="s">
        <v>402</v>
      </c>
      <c r="Y1186" s="18">
        <v>1</v>
      </c>
      <c r="Z1186" s="18">
        <v>250000</v>
      </c>
      <c r="AA1186" s="18" t="s">
        <v>2776</v>
      </c>
      <c r="AB1186" s="18" t="s">
        <v>811</v>
      </c>
      <c r="AC1186" s="18" t="s">
        <v>111</v>
      </c>
    </row>
    <row r="1187" s="18" customFormat="1" spans="1:29">
      <c r="A1187" s="18" t="s">
        <v>2791</v>
      </c>
      <c r="B1187" s="25" t="s">
        <v>2791</v>
      </c>
      <c r="C1187" s="26">
        <v>45699</v>
      </c>
      <c r="D1187" s="18" t="s">
        <v>1514</v>
      </c>
      <c r="E1187" s="18" t="str">
        <f t="shared" si="18"/>
        <v>Aishwarya Anil Kumar</v>
      </c>
      <c r="F1187" s="27" t="s">
        <v>1515</v>
      </c>
      <c r="G1187" s="18" t="s">
        <v>99</v>
      </c>
      <c r="H1187" s="18" t="s">
        <v>100</v>
      </c>
      <c r="I1187" s="18" t="s">
        <v>184</v>
      </c>
      <c r="J1187" s="18" t="s">
        <v>2775</v>
      </c>
      <c r="K1187" s="18" t="s">
        <v>56</v>
      </c>
      <c r="L1187" s="18" t="s">
        <v>36</v>
      </c>
      <c r="N1187" s="18">
        <v>6</v>
      </c>
      <c r="O1187" s="18" t="s">
        <v>57</v>
      </c>
      <c r="P1187" s="18" t="s">
        <v>38</v>
      </c>
      <c r="Q1187" s="18" t="s">
        <v>117</v>
      </c>
      <c r="R1187" s="18" t="s">
        <v>59</v>
      </c>
      <c r="S1187" s="18" t="s">
        <v>186</v>
      </c>
      <c r="T1187" s="18" t="b">
        <v>1</v>
      </c>
      <c r="U1187" s="18" t="s">
        <v>101</v>
      </c>
      <c r="V1187" s="18" t="s">
        <v>40</v>
      </c>
      <c r="W1187" s="18" t="s">
        <v>317</v>
      </c>
      <c r="X1187" s="18" t="s">
        <v>318</v>
      </c>
      <c r="Y1187" s="18">
        <v>1</v>
      </c>
      <c r="Z1187" s="18">
        <v>70000</v>
      </c>
      <c r="AA1187" s="18" t="s">
        <v>2776</v>
      </c>
      <c r="AB1187" s="18" t="s">
        <v>811</v>
      </c>
      <c r="AC1187" s="18" t="e">
        <v>#N/A</v>
      </c>
    </row>
    <row r="1188" s="18" customFormat="1" spans="1:29">
      <c r="A1188" s="18" t="s">
        <v>2792</v>
      </c>
      <c r="B1188" s="25" t="s">
        <v>2792</v>
      </c>
      <c r="C1188" s="26">
        <v>45699</v>
      </c>
      <c r="D1188" s="18" t="s">
        <v>2793</v>
      </c>
      <c r="E1188" s="18" t="str">
        <f t="shared" si="18"/>
        <v>Officeoye Corporate Supplies Pvt Ltd</v>
      </c>
      <c r="F1188" s="27" t="s">
        <v>2794</v>
      </c>
      <c r="G1188" s="18" t="s">
        <v>99</v>
      </c>
      <c r="H1188" s="18" t="s">
        <v>100</v>
      </c>
      <c r="I1188" s="18" t="s">
        <v>184</v>
      </c>
      <c r="J1188" s="18" t="s">
        <v>2775</v>
      </c>
      <c r="K1188" s="18" t="s">
        <v>56</v>
      </c>
      <c r="L1188" s="18" t="s">
        <v>36</v>
      </c>
      <c r="N1188" s="18">
        <v>6</v>
      </c>
      <c r="O1188" s="18" t="s">
        <v>88</v>
      </c>
      <c r="P1188" s="18" t="s">
        <v>38</v>
      </c>
      <c r="Q1188" s="18" t="s">
        <v>117</v>
      </c>
      <c r="R1188" s="18" t="s">
        <v>59</v>
      </c>
      <c r="S1188" s="18" t="s">
        <v>186</v>
      </c>
      <c r="T1188" s="18" t="b">
        <v>1</v>
      </c>
      <c r="U1188" s="18" t="s">
        <v>101</v>
      </c>
      <c r="V1188" s="18" t="s">
        <v>40</v>
      </c>
      <c r="W1188" s="18" t="s">
        <v>140</v>
      </c>
      <c r="X1188" s="18" t="s">
        <v>141</v>
      </c>
      <c r="Y1188" s="18">
        <v>1</v>
      </c>
      <c r="Z1188" s="18">
        <v>32175</v>
      </c>
      <c r="AA1188" s="18" t="s">
        <v>2776</v>
      </c>
      <c r="AB1188" s="18" t="s">
        <v>811</v>
      </c>
      <c r="AC1188" s="18" t="s">
        <v>2795</v>
      </c>
    </row>
    <row r="1189" s="18" customFormat="1" spans="1:29">
      <c r="A1189" s="18" t="s">
        <v>2796</v>
      </c>
      <c r="B1189" s="25" t="s">
        <v>2796</v>
      </c>
      <c r="C1189" s="26">
        <v>45699</v>
      </c>
      <c r="D1189" s="18" t="s">
        <v>2501</v>
      </c>
      <c r="E1189" s="18" t="str">
        <f t="shared" si="18"/>
        <v>Showmedia Solution Private Limited</v>
      </c>
      <c r="F1189" s="27" t="e">
        <v>#N/A</v>
      </c>
      <c r="G1189" s="18" t="s">
        <v>99</v>
      </c>
      <c r="H1189" s="18" t="s">
        <v>100</v>
      </c>
      <c r="I1189" s="18" t="s">
        <v>184</v>
      </c>
      <c r="J1189" s="18" t="s">
        <v>2775</v>
      </c>
      <c r="K1189" s="18" t="s">
        <v>56</v>
      </c>
      <c r="L1189" s="18" t="s">
        <v>36</v>
      </c>
      <c r="N1189" s="18">
        <v>6</v>
      </c>
      <c r="O1189" s="18" t="s">
        <v>88</v>
      </c>
      <c r="P1189" s="18" t="s">
        <v>38</v>
      </c>
      <c r="Q1189" s="18" t="s">
        <v>117</v>
      </c>
      <c r="R1189" s="18" t="s">
        <v>59</v>
      </c>
      <c r="S1189" s="18" t="s">
        <v>186</v>
      </c>
      <c r="T1189" s="18" t="b">
        <v>1</v>
      </c>
      <c r="U1189" s="18" t="s">
        <v>101</v>
      </c>
      <c r="V1189" s="18" t="s">
        <v>40</v>
      </c>
      <c r="W1189" s="18" t="s">
        <v>317</v>
      </c>
      <c r="X1189" s="18" t="s">
        <v>318</v>
      </c>
      <c r="Y1189" s="18">
        <v>1</v>
      </c>
      <c r="Z1189" s="18">
        <v>37930</v>
      </c>
      <c r="AA1189" s="18" t="s">
        <v>2776</v>
      </c>
      <c r="AB1189" s="18" t="s">
        <v>811</v>
      </c>
      <c r="AC1189" s="18" t="s">
        <v>111</v>
      </c>
    </row>
    <row r="1190" s="18" customFormat="1" spans="1:29">
      <c r="A1190" s="18" t="s">
        <v>2797</v>
      </c>
      <c r="B1190" s="25" t="s">
        <v>2797</v>
      </c>
      <c r="C1190" s="26">
        <v>45699</v>
      </c>
      <c r="D1190" s="18" t="s">
        <v>1373</v>
      </c>
      <c r="E1190" s="18" t="str">
        <f t="shared" si="18"/>
        <v>Crystal Event &amp; Service</v>
      </c>
      <c r="F1190" s="27" t="s">
        <v>1374</v>
      </c>
      <c r="G1190" s="18" t="s">
        <v>99</v>
      </c>
      <c r="H1190" s="18" t="s">
        <v>100</v>
      </c>
      <c r="I1190" s="18" t="s">
        <v>184</v>
      </c>
      <c r="J1190" s="18" t="s">
        <v>2775</v>
      </c>
      <c r="K1190" s="18" t="s">
        <v>56</v>
      </c>
      <c r="L1190" s="18" t="s">
        <v>36</v>
      </c>
      <c r="N1190" s="18">
        <v>6</v>
      </c>
      <c r="O1190" s="18" t="s">
        <v>88</v>
      </c>
      <c r="P1190" s="18" t="s">
        <v>38</v>
      </c>
      <c r="Q1190" s="18" t="s">
        <v>117</v>
      </c>
      <c r="R1190" s="18" t="s">
        <v>59</v>
      </c>
      <c r="S1190" s="18" t="s">
        <v>186</v>
      </c>
      <c r="T1190" s="18" t="b">
        <v>1</v>
      </c>
      <c r="U1190" s="18" t="s">
        <v>101</v>
      </c>
      <c r="V1190" s="18" t="s">
        <v>40</v>
      </c>
      <c r="W1190" s="18" t="s">
        <v>317</v>
      </c>
      <c r="X1190" s="18" t="s">
        <v>318</v>
      </c>
      <c r="Y1190" s="18">
        <v>1</v>
      </c>
      <c r="Z1190" s="18">
        <v>50750</v>
      </c>
      <c r="AA1190" s="18" t="s">
        <v>2776</v>
      </c>
      <c r="AB1190" s="18" t="s">
        <v>811</v>
      </c>
      <c r="AC1190" s="18" t="s">
        <v>111</v>
      </c>
    </row>
    <row r="1191" s="18" customFormat="1" spans="1:29">
      <c r="A1191" s="18" t="s">
        <v>2798</v>
      </c>
      <c r="B1191" s="25" t="s">
        <v>2798</v>
      </c>
      <c r="C1191" s="26">
        <v>45699</v>
      </c>
      <c r="D1191" s="18" t="s">
        <v>2217</v>
      </c>
      <c r="E1191" s="18" t="str">
        <f t="shared" si="18"/>
        <v>Shanmugam J</v>
      </c>
      <c r="F1191" s="27" t="s">
        <v>2218</v>
      </c>
      <c r="G1191" s="18" t="s">
        <v>99</v>
      </c>
      <c r="H1191" s="18" t="s">
        <v>100</v>
      </c>
      <c r="I1191" s="18" t="s">
        <v>184</v>
      </c>
      <c r="J1191" s="18" t="s">
        <v>2775</v>
      </c>
      <c r="K1191" s="18" t="s">
        <v>56</v>
      </c>
      <c r="L1191" s="18" t="s">
        <v>36</v>
      </c>
      <c r="N1191" s="18">
        <v>6</v>
      </c>
      <c r="O1191" s="18" t="s">
        <v>57</v>
      </c>
      <c r="P1191" s="18" t="s">
        <v>38</v>
      </c>
      <c r="Q1191" s="18" t="s">
        <v>117</v>
      </c>
      <c r="R1191" s="18" t="s">
        <v>59</v>
      </c>
      <c r="S1191" s="18" t="s">
        <v>186</v>
      </c>
      <c r="T1191" s="18" t="b">
        <v>1</v>
      </c>
      <c r="U1191" s="18" t="s">
        <v>101</v>
      </c>
      <c r="V1191" s="18" t="s">
        <v>40</v>
      </c>
      <c r="W1191" s="18" t="s">
        <v>317</v>
      </c>
      <c r="X1191" s="18" t="s">
        <v>318</v>
      </c>
      <c r="Y1191" s="18">
        <v>1</v>
      </c>
      <c r="Z1191" s="18">
        <v>265000</v>
      </c>
      <c r="AA1191" s="18" t="s">
        <v>2776</v>
      </c>
      <c r="AB1191" s="18" t="s">
        <v>811</v>
      </c>
      <c r="AC1191" s="18" t="e">
        <v>#N/A</v>
      </c>
    </row>
    <row r="1192" s="19" customFormat="1" spans="1:29">
      <c r="A1192" s="19" t="s">
        <v>2799</v>
      </c>
      <c r="B1192" s="28" t="s">
        <v>2799</v>
      </c>
      <c r="C1192" s="29">
        <v>45699</v>
      </c>
      <c r="D1192" s="19" t="s">
        <v>754</v>
      </c>
      <c r="E1192" s="19" t="str">
        <f t="shared" si="18"/>
        <v>Airtel Ltd(Bill Booking)</v>
      </c>
      <c r="F1192" s="30" t="s">
        <v>755</v>
      </c>
      <c r="G1192" s="19" t="s">
        <v>99</v>
      </c>
      <c r="H1192" s="19" t="s">
        <v>100</v>
      </c>
      <c r="I1192" s="19" t="s">
        <v>34</v>
      </c>
      <c r="K1192" s="19" t="s">
        <v>35</v>
      </c>
      <c r="L1192" s="19" t="s">
        <v>36</v>
      </c>
      <c r="N1192" s="19">
        <v>6</v>
      </c>
      <c r="O1192" s="19" t="s">
        <v>37</v>
      </c>
      <c r="P1192" s="19" t="s">
        <v>38</v>
      </c>
      <c r="T1192" s="19" t="b">
        <v>1</v>
      </c>
      <c r="U1192" s="19" t="s">
        <v>101</v>
      </c>
      <c r="V1192" s="19" t="s">
        <v>40</v>
      </c>
      <c r="W1192" s="19" t="s">
        <v>756</v>
      </c>
      <c r="X1192" s="19" t="e">
        <v>#N/A</v>
      </c>
      <c r="Y1192" s="19">
        <v>1</v>
      </c>
      <c r="Z1192" s="19">
        <v>1497</v>
      </c>
      <c r="AA1192" s="19" t="s">
        <v>221</v>
      </c>
      <c r="AB1192" s="19" t="s">
        <v>222</v>
      </c>
      <c r="AC1192" s="19" t="s">
        <v>111</v>
      </c>
    </row>
    <row r="1193" s="18" customFormat="1" spans="1:29">
      <c r="A1193" s="18" t="s">
        <v>2800</v>
      </c>
      <c r="B1193" s="25" t="s">
        <v>2800</v>
      </c>
      <c r="C1193" s="26">
        <v>45699</v>
      </c>
      <c r="D1193" s="18" t="s">
        <v>331</v>
      </c>
      <c r="E1193" s="18" t="str">
        <f t="shared" si="18"/>
        <v>Clinton J  for Expense</v>
      </c>
      <c r="F1193" s="27" t="e">
        <v>#N/A</v>
      </c>
      <c r="G1193" s="18" t="s">
        <v>99</v>
      </c>
      <c r="H1193" s="18" t="s">
        <v>100</v>
      </c>
      <c r="I1193" s="18" t="s">
        <v>1246</v>
      </c>
      <c r="J1193" s="18" t="s">
        <v>499</v>
      </c>
      <c r="K1193" s="18" t="s">
        <v>56</v>
      </c>
      <c r="L1193" s="18" t="s">
        <v>36</v>
      </c>
      <c r="N1193" s="18">
        <v>6</v>
      </c>
      <c r="O1193" s="18" t="s">
        <v>93</v>
      </c>
      <c r="P1193" s="18" t="s">
        <v>38</v>
      </c>
      <c r="Q1193" s="18" t="s">
        <v>117</v>
      </c>
      <c r="R1193" s="18" t="s">
        <v>59</v>
      </c>
      <c r="S1193" s="18" t="s">
        <v>186</v>
      </c>
      <c r="T1193" s="18" t="b">
        <v>1</v>
      </c>
      <c r="U1193" s="18" t="s">
        <v>101</v>
      </c>
      <c r="V1193" s="18" t="s">
        <v>40</v>
      </c>
      <c r="W1193" s="18" t="s">
        <v>61</v>
      </c>
      <c r="X1193" s="18" t="s">
        <v>62</v>
      </c>
      <c r="Y1193" s="18">
        <v>1</v>
      </c>
      <c r="Z1193" s="18">
        <v>12877</v>
      </c>
      <c r="AA1193" s="18" t="s">
        <v>102</v>
      </c>
      <c r="AB1193" s="18" t="s">
        <v>103</v>
      </c>
      <c r="AC1193" s="18" t="e">
        <v>#N/A</v>
      </c>
    </row>
    <row r="1194" s="18" customFormat="1" spans="1:29">
      <c r="A1194" s="18" t="s">
        <v>2801</v>
      </c>
      <c r="B1194" s="25" t="s">
        <v>2801</v>
      </c>
      <c r="C1194" s="26">
        <v>45699</v>
      </c>
      <c r="D1194" s="18" t="s">
        <v>238</v>
      </c>
      <c r="E1194" s="18" t="str">
        <f t="shared" si="18"/>
        <v>Studio Merchandise Pvt Ltd</v>
      </c>
      <c r="F1194" s="27" t="s">
        <v>239</v>
      </c>
      <c r="G1194" s="18" t="s">
        <v>147</v>
      </c>
      <c r="H1194" s="18" t="s">
        <v>148</v>
      </c>
      <c r="I1194" s="18" t="s">
        <v>54</v>
      </c>
      <c r="J1194" s="18" t="s">
        <v>1370</v>
      </c>
      <c r="K1194" s="18" t="s">
        <v>56</v>
      </c>
      <c r="L1194" s="18" t="s">
        <v>36</v>
      </c>
      <c r="N1194" s="18">
        <v>6</v>
      </c>
      <c r="O1194" s="18" t="s">
        <v>88</v>
      </c>
      <c r="P1194" s="18" t="s">
        <v>38</v>
      </c>
      <c r="Q1194" s="18" t="s">
        <v>58</v>
      </c>
      <c r="R1194" s="18" t="s">
        <v>59</v>
      </c>
      <c r="S1194" s="18" t="s">
        <v>60</v>
      </c>
      <c r="T1194" s="18" t="b">
        <v>1</v>
      </c>
      <c r="U1194" s="18" t="s">
        <v>150</v>
      </c>
      <c r="V1194" s="18" t="s">
        <v>40</v>
      </c>
      <c r="W1194" s="18" t="s">
        <v>140</v>
      </c>
      <c r="X1194" s="18" t="s">
        <v>141</v>
      </c>
      <c r="Y1194" s="18">
        <v>1</v>
      </c>
      <c r="Z1194" s="18">
        <v>346000</v>
      </c>
      <c r="AA1194" s="18" t="s">
        <v>241</v>
      </c>
      <c r="AB1194" s="18" t="s">
        <v>242</v>
      </c>
      <c r="AC1194" s="18" t="s">
        <v>163</v>
      </c>
    </row>
    <row r="1195" s="18" customFormat="1" spans="1:29">
      <c r="A1195" s="18" t="s">
        <v>2802</v>
      </c>
      <c r="B1195" s="25" t="s">
        <v>2802</v>
      </c>
      <c r="C1195" s="26">
        <v>45699</v>
      </c>
      <c r="D1195" s="18" t="s">
        <v>460</v>
      </c>
      <c r="E1195" s="18" t="str">
        <f t="shared" si="18"/>
        <v>Innovative Gifting Solutions</v>
      </c>
      <c r="F1195" s="27" t="s">
        <v>461</v>
      </c>
      <c r="G1195" s="18" t="s">
        <v>147</v>
      </c>
      <c r="H1195" s="18" t="s">
        <v>148</v>
      </c>
      <c r="I1195" s="18" t="s">
        <v>54</v>
      </c>
      <c r="J1195" s="18" t="s">
        <v>2803</v>
      </c>
      <c r="K1195" s="18" t="s">
        <v>56</v>
      </c>
      <c r="L1195" s="18" t="s">
        <v>36</v>
      </c>
      <c r="N1195" s="18">
        <v>6</v>
      </c>
      <c r="O1195" s="18" t="s">
        <v>57</v>
      </c>
      <c r="P1195" s="18" t="s">
        <v>38</v>
      </c>
      <c r="Q1195" s="18" t="s">
        <v>58</v>
      </c>
      <c r="R1195" s="18" t="s">
        <v>59</v>
      </c>
      <c r="S1195" s="18" t="s">
        <v>60</v>
      </c>
      <c r="T1195" s="18" t="b">
        <v>1</v>
      </c>
      <c r="U1195" s="18" t="s">
        <v>150</v>
      </c>
      <c r="V1195" s="18" t="s">
        <v>40</v>
      </c>
      <c r="W1195" s="18" t="s">
        <v>140</v>
      </c>
      <c r="X1195" s="18" t="s">
        <v>141</v>
      </c>
      <c r="Y1195" s="18">
        <v>1</v>
      </c>
      <c r="Z1195" s="18">
        <v>3200</v>
      </c>
      <c r="AA1195" s="18" t="s">
        <v>939</v>
      </c>
      <c r="AB1195" s="18" t="s">
        <v>940</v>
      </c>
      <c r="AC1195" s="18" t="s">
        <v>699</v>
      </c>
    </row>
    <row r="1196" s="18" customFormat="1" spans="1:29">
      <c r="A1196" s="18" t="s">
        <v>2804</v>
      </c>
      <c r="B1196" s="25" t="s">
        <v>2804</v>
      </c>
      <c r="C1196" s="26">
        <v>45699</v>
      </c>
      <c r="D1196" s="18" t="s">
        <v>460</v>
      </c>
      <c r="E1196" s="18" t="str">
        <f t="shared" si="18"/>
        <v>Innovative Gifting Solutions</v>
      </c>
      <c r="F1196" s="27" t="s">
        <v>461</v>
      </c>
      <c r="G1196" s="18" t="s">
        <v>147</v>
      </c>
      <c r="H1196" s="18" t="s">
        <v>148</v>
      </c>
      <c r="I1196" s="18" t="s">
        <v>54</v>
      </c>
      <c r="J1196" s="18" t="s">
        <v>2803</v>
      </c>
      <c r="K1196" s="18" t="s">
        <v>56</v>
      </c>
      <c r="L1196" s="18" t="s">
        <v>36</v>
      </c>
      <c r="N1196" s="18">
        <v>6</v>
      </c>
      <c r="O1196" s="18" t="s">
        <v>57</v>
      </c>
      <c r="P1196" s="18" t="s">
        <v>38</v>
      </c>
      <c r="Q1196" s="18" t="s">
        <v>58</v>
      </c>
      <c r="R1196" s="18" t="s">
        <v>59</v>
      </c>
      <c r="S1196" s="18" t="s">
        <v>60</v>
      </c>
      <c r="T1196" s="18" t="b">
        <v>1</v>
      </c>
      <c r="U1196" s="18" t="s">
        <v>150</v>
      </c>
      <c r="V1196" s="18" t="s">
        <v>40</v>
      </c>
      <c r="W1196" s="18" t="s">
        <v>140</v>
      </c>
      <c r="X1196" s="18" t="s">
        <v>141</v>
      </c>
      <c r="Y1196" s="18">
        <v>1</v>
      </c>
      <c r="Z1196" s="18">
        <v>222280</v>
      </c>
      <c r="AA1196" s="18" t="s">
        <v>1743</v>
      </c>
      <c r="AB1196" s="18" t="s">
        <v>940</v>
      </c>
      <c r="AC1196" s="18" t="s">
        <v>163</v>
      </c>
    </row>
    <row r="1197" s="18" customFormat="1" spans="1:29">
      <c r="A1197" s="18" t="s">
        <v>2805</v>
      </c>
      <c r="B1197" s="25" t="s">
        <v>2805</v>
      </c>
      <c r="C1197" s="26">
        <v>45699</v>
      </c>
      <c r="D1197" s="18" t="s">
        <v>2806</v>
      </c>
      <c r="E1197" s="18" t="str">
        <f t="shared" si="18"/>
        <v>Isha Bhalla</v>
      </c>
      <c r="F1197" s="27" t="s">
        <v>2807</v>
      </c>
      <c r="G1197" s="18" t="s">
        <v>147</v>
      </c>
      <c r="H1197" s="18" t="s">
        <v>148</v>
      </c>
      <c r="I1197" s="18" t="s">
        <v>54</v>
      </c>
      <c r="J1197" s="18" t="s">
        <v>1238</v>
      </c>
      <c r="K1197" s="18" t="s">
        <v>56</v>
      </c>
      <c r="L1197" s="18" t="s">
        <v>36</v>
      </c>
      <c r="N1197" s="18">
        <v>6</v>
      </c>
      <c r="O1197" s="18" t="s">
        <v>93</v>
      </c>
      <c r="P1197" s="18" t="s">
        <v>38</v>
      </c>
      <c r="Q1197" s="18" t="s">
        <v>58</v>
      </c>
      <c r="R1197" s="18" t="s">
        <v>59</v>
      </c>
      <c r="S1197" s="18" t="s">
        <v>60</v>
      </c>
      <c r="T1197" s="18" t="b">
        <v>1</v>
      </c>
      <c r="U1197" s="18" t="s">
        <v>150</v>
      </c>
      <c r="V1197" s="18" t="s">
        <v>40</v>
      </c>
      <c r="W1197" s="18" t="s">
        <v>250</v>
      </c>
      <c r="X1197" s="18" t="s">
        <v>251</v>
      </c>
      <c r="Y1197" s="18">
        <v>1</v>
      </c>
      <c r="Z1197" s="18">
        <v>60000</v>
      </c>
      <c r="AA1197" s="18" t="s">
        <v>1768</v>
      </c>
      <c r="AB1197" s="18" t="s">
        <v>295</v>
      </c>
      <c r="AC1197" s="18" t="s">
        <v>163</v>
      </c>
    </row>
    <row r="1198" s="18" customFormat="1" spans="1:29">
      <c r="A1198" s="18" t="s">
        <v>2808</v>
      </c>
      <c r="B1198" s="25" t="s">
        <v>2808</v>
      </c>
      <c r="C1198" s="26">
        <v>45699</v>
      </c>
      <c r="D1198" s="18" t="s">
        <v>2809</v>
      </c>
      <c r="E1198" s="18" t="str">
        <f t="shared" si="18"/>
        <v>Aastha Sethi</v>
      </c>
      <c r="F1198" s="27" t="s">
        <v>2810</v>
      </c>
      <c r="G1198" s="18" t="s">
        <v>147</v>
      </c>
      <c r="H1198" s="18" t="s">
        <v>148</v>
      </c>
      <c r="I1198" s="18" t="s">
        <v>54</v>
      </c>
      <c r="J1198" s="18" t="s">
        <v>2464</v>
      </c>
      <c r="K1198" s="18" t="s">
        <v>56</v>
      </c>
      <c r="L1198" s="18" t="s">
        <v>36</v>
      </c>
      <c r="N1198" s="18">
        <v>6</v>
      </c>
      <c r="O1198" s="18" t="s">
        <v>93</v>
      </c>
      <c r="P1198" s="18" t="s">
        <v>38</v>
      </c>
      <c r="Q1198" s="18" t="s">
        <v>58</v>
      </c>
      <c r="R1198" s="18" t="s">
        <v>59</v>
      </c>
      <c r="S1198" s="18" t="s">
        <v>60</v>
      </c>
      <c r="T1198" s="18" t="b">
        <v>1</v>
      </c>
      <c r="U1198" s="18" t="s">
        <v>150</v>
      </c>
      <c r="V1198" s="18" t="s">
        <v>40</v>
      </c>
      <c r="W1198" s="18" t="s">
        <v>250</v>
      </c>
      <c r="X1198" s="18" t="s">
        <v>251</v>
      </c>
      <c r="Y1198" s="18">
        <v>1</v>
      </c>
      <c r="Z1198" s="18">
        <v>40000</v>
      </c>
      <c r="AA1198" s="18" t="s">
        <v>1768</v>
      </c>
      <c r="AB1198" s="18" t="s">
        <v>295</v>
      </c>
      <c r="AC1198" s="18" t="s">
        <v>155</v>
      </c>
    </row>
    <row r="1199" s="18" customFormat="1" spans="1:29">
      <c r="A1199" s="18" t="s">
        <v>2811</v>
      </c>
      <c r="B1199" s="25" t="s">
        <v>2811</v>
      </c>
      <c r="C1199" s="26">
        <v>45699</v>
      </c>
      <c r="D1199" s="18" t="s">
        <v>460</v>
      </c>
      <c r="E1199" s="18" t="str">
        <f t="shared" si="18"/>
        <v>Innovative Gifting Solutions</v>
      </c>
      <c r="F1199" s="27" t="s">
        <v>461</v>
      </c>
      <c r="G1199" s="18" t="s">
        <v>147</v>
      </c>
      <c r="H1199" s="18" t="s">
        <v>148</v>
      </c>
      <c r="I1199" s="18" t="s">
        <v>54</v>
      </c>
      <c r="J1199" s="18" t="s">
        <v>2464</v>
      </c>
      <c r="K1199" s="18" t="s">
        <v>56</v>
      </c>
      <c r="L1199" s="18" t="s">
        <v>36</v>
      </c>
      <c r="N1199" s="18">
        <v>6</v>
      </c>
      <c r="O1199" s="18" t="s">
        <v>57</v>
      </c>
      <c r="P1199" s="18" t="s">
        <v>38</v>
      </c>
      <c r="Q1199" s="18" t="s">
        <v>58</v>
      </c>
      <c r="R1199" s="18" t="s">
        <v>59</v>
      </c>
      <c r="S1199" s="18" t="s">
        <v>60</v>
      </c>
      <c r="T1199" s="18" t="b">
        <v>1</v>
      </c>
      <c r="U1199" s="18" t="s">
        <v>150</v>
      </c>
      <c r="V1199" s="18" t="s">
        <v>40</v>
      </c>
      <c r="W1199" s="18" t="s">
        <v>140</v>
      </c>
      <c r="X1199" s="18" t="s">
        <v>141</v>
      </c>
      <c r="Y1199" s="18">
        <v>1</v>
      </c>
      <c r="Z1199" s="18">
        <v>420000</v>
      </c>
      <c r="AA1199" s="18" t="s">
        <v>463</v>
      </c>
      <c r="AB1199" s="18" t="s">
        <v>464</v>
      </c>
      <c r="AC1199" s="18" t="s">
        <v>695</v>
      </c>
    </row>
    <row r="1200" s="18" customFormat="1" spans="1:29">
      <c r="A1200" s="18" t="s">
        <v>2812</v>
      </c>
      <c r="B1200" s="25" t="s">
        <v>2812</v>
      </c>
      <c r="C1200" s="26">
        <v>45699</v>
      </c>
      <c r="D1200" s="18" t="s">
        <v>2813</v>
      </c>
      <c r="E1200" s="18" t="str">
        <f t="shared" si="18"/>
        <v>Gaurav Singh Lakauriya  </v>
      </c>
      <c r="F1200" s="27" t="e">
        <v>#N/A</v>
      </c>
      <c r="G1200" s="18" t="s">
        <v>147</v>
      </c>
      <c r="H1200" s="18" t="s">
        <v>148</v>
      </c>
      <c r="I1200" s="18" t="s">
        <v>54</v>
      </c>
      <c r="J1200" s="18" t="s">
        <v>2264</v>
      </c>
      <c r="K1200" s="18" t="s">
        <v>56</v>
      </c>
      <c r="L1200" s="18" t="s">
        <v>36</v>
      </c>
      <c r="N1200" s="18">
        <v>6</v>
      </c>
      <c r="O1200" s="18" t="s">
        <v>93</v>
      </c>
      <c r="P1200" s="18" t="s">
        <v>38</v>
      </c>
      <c r="Q1200" s="18" t="s">
        <v>58</v>
      </c>
      <c r="R1200" s="18" t="s">
        <v>59</v>
      </c>
      <c r="S1200" s="18" t="s">
        <v>60</v>
      </c>
      <c r="T1200" s="18" t="b">
        <v>1</v>
      </c>
      <c r="U1200" s="18" t="s">
        <v>150</v>
      </c>
      <c r="V1200" s="18" t="s">
        <v>40</v>
      </c>
      <c r="W1200" s="18" t="s">
        <v>126</v>
      </c>
      <c r="X1200" s="18" t="s">
        <v>127</v>
      </c>
      <c r="Y1200" s="18">
        <v>1</v>
      </c>
      <c r="Z1200" s="18">
        <v>3600</v>
      </c>
      <c r="AA1200" s="18" t="s">
        <v>2814</v>
      </c>
      <c r="AB1200" s="18" t="s">
        <v>2815</v>
      </c>
      <c r="AC1200" s="18" t="e">
        <v>#N/A</v>
      </c>
    </row>
    <row r="1201" s="18" customFormat="1" spans="1:29">
      <c r="A1201" s="18" t="s">
        <v>2816</v>
      </c>
      <c r="B1201" s="25" t="s">
        <v>2816</v>
      </c>
      <c r="C1201" s="26">
        <v>45699</v>
      </c>
      <c r="D1201" s="18" t="s">
        <v>2817</v>
      </c>
      <c r="E1201" s="18" t="str">
        <f t="shared" si="18"/>
        <v>Vikram Popli  </v>
      </c>
      <c r="F1201" s="27" t="e">
        <v>#N/A</v>
      </c>
      <c r="G1201" s="18" t="s">
        <v>147</v>
      </c>
      <c r="H1201" s="18" t="s">
        <v>148</v>
      </c>
      <c r="I1201" s="18" t="s">
        <v>54</v>
      </c>
      <c r="J1201" s="18" t="s">
        <v>395</v>
      </c>
      <c r="K1201" s="18" t="s">
        <v>56</v>
      </c>
      <c r="L1201" s="18" t="s">
        <v>36</v>
      </c>
      <c r="N1201" s="18">
        <v>6</v>
      </c>
      <c r="O1201" s="18" t="s">
        <v>93</v>
      </c>
      <c r="P1201" s="18" t="s">
        <v>38</v>
      </c>
      <c r="Q1201" s="18" t="s">
        <v>58</v>
      </c>
      <c r="R1201" s="18" t="s">
        <v>59</v>
      </c>
      <c r="S1201" s="18" t="s">
        <v>60</v>
      </c>
      <c r="T1201" s="18" t="b">
        <v>1</v>
      </c>
      <c r="U1201" s="18" t="s">
        <v>150</v>
      </c>
      <c r="V1201" s="18" t="s">
        <v>40</v>
      </c>
      <c r="W1201" s="18" t="s">
        <v>126</v>
      </c>
      <c r="X1201" s="18" t="s">
        <v>127</v>
      </c>
      <c r="Y1201" s="18">
        <v>1</v>
      </c>
      <c r="Z1201" s="18">
        <v>1619</v>
      </c>
      <c r="AA1201" s="18" t="s">
        <v>2818</v>
      </c>
      <c r="AB1201" s="18" t="s">
        <v>2819</v>
      </c>
      <c r="AC1201" s="18" t="e">
        <v>#N/A</v>
      </c>
    </row>
    <row r="1202" s="18" customFormat="1" spans="1:29">
      <c r="A1202" s="18" t="s">
        <v>2820</v>
      </c>
      <c r="B1202" s="25" t="s">
        <v>2820</v>
      </c>
      <c r="C1202" s="26">
        <v>45699</v>
      </c>
      <c r="D1202" s="18" t="s">
        <v>1692</v>
      </c>
      <c r="E1202" s="18" t="str">
        <f t="shared" si="18"/>
        <v>Subodh Kumar Singh  </v>
      </c>
      <c r="F1202" s="27" t="e">
        <v>#N/A</v>
      </c>
      <c r="G1202" s="18" t="s">
        <v>147</v>
      </c>
      <c r="H1202" s="18" t="s">
        <v>148</v>
      </c>
      <c r="I1202" s="18" t="s">
        <v>54</v>
      </c>
      <c r="J1202" s="18" t="s">
        <v>1426</v>
      </c>
      <c r="K1202" s="18" t="s">
        <v>56</v>
      </c>
      <c r="L1202" s="18" t="s">
        <v>36</v>
      </c>
      <c r="N1202" s="18">
        <v>6</v>
      </c>
      <c r="O1202" s="18" t="s">
        <v>93</v>
      </c>
      <c r="P1202" s="18" t="s">
        <v>38</v>
      </c>
      <c r="Q1202" s="18" t="s">
        <v>58</v>
      </c>
      <c r="R1202" s="18" t="s">
        <v>59</v>
      </c>
      <c r="S1202" s="18" t="s">
        <v>60</v>
      </c>
      <c r="T1202" s="18" t="b">
        <v>1</v>
      </c>
      <c r="U1202" s="18" t="s">
        <v>150</v>
      </c>
      <c r="V1202" s="18" t="s">
        <v>40</v>
      </c>
      <c r="W1202" s="18" t="s">
        <v>126</v>
      </c>
      <c r="X1202" s="18" t="s">
        <v>127</v>
      </c>
      <c r="Y1202" s="18">
        <v>1</v>
      </c>
      <c r="Z1202" s="18">
        <v>1247</v>
      </c>
      <c r="AA1202" s="18" t="s">
        <v>2821</v>
      </c>
      <c r="AB1202" s="18" t="s">
        <v>1694</v>
      </c>
      <c r="AC1202" s="18" t="e">
        <v>#N/A</v>
      </c>
    </row>
    <row r="1203" s="18" customFormat="1" spans="1:29">
      <c r="A1203" s="18" t="s">
        <v>2822</v>
      </c>
      <c r="B1203" s="25" t="s">
        <v>2822</v>
      </c>
      <c r="C1203" s="26">
        <v>45699</v>
      </c>
      <c r="D1203" s="18" t="s">
        <v>2823</v>
      </c>
      <c r="E1203" s="18" t="str">
        <f t="shared" si="18"/>
        <v>Sharper Image Floors Pvt Ltd (Happay)</v>
      </c>
      <c r="F1203" s="27" t="s">
        <v>2824</v>
      </c>
      <c r="G1203" s="18" t="s">
        <v>147</v>
      </c>
      <c r="H1203" s="18" t="s">
        <v>148</v>
      </c>
      <c r="I1203" s="18" t="s">
        <v>54</v>
      </c>
      <c r="J1203" s="18" t="s">
        <v>149</v>
      </c>
      <c r="K1203" s="18" t="s">
        <v>56</v>
      </c>
      <c r="L1203" s="18" t="s">
        <v>36</v>
      </c>
      <c r="N1203" s="18">
        <v>6</v>
      </c>
      <c r="O1203" s="18" t="s">
        <v>93</v>
      </c>
      <c r="P1203" s="18" t="s">
        <v>38</v>
      </c>
      <c r="Q1203" s="18" t="s">
        <v>58</v>
      </c>
      <c r="R1203" s="18" t="s">
        <v>59</v>
      </c>
      <c r="S1203" s="18" t="s">
        <v>60</v>
      </c>
      <c r="T1203" s="18" t="b">
        <v>1</v>
      </c>
      <c r="U1203" s="18" t="s">
        <v>150</v>
      </c>
      <c r="V1203" s="18" t="s">
        <v>40</v>
      </c>
      <c r="W1203" s="18" t="s">
        <v>151</v>
      </c>
      <c r="X1203" s="18" t="s">
        <v>152</v>
      </c>
      <c r="Y1203" s="18">
        <v>1</v>
      </c>
      <c r="Z1203" s="18">
        <v>10000</v>
      </c>
      <c r="AA1203" s="18" t="s">
        <v>1721</v>
      </c>
      <c r="AB1203" s="18" t="s">
        <v>1722</v>
      </c>
      <c r="AC1203" s="18" t="s">
        <v>163</v>
      </c>
    </row>
    <row r="1204" s="18" customFormat="1" ht="43.5" spans="1:29">
      <c r="A1204" s="18" t="s">
        <v>2825</v>
      </c>
      <c r="B1204" s="25" t="s">
        <v>2825</v>
      </c>
      <c r="C1204" s="26">
        <v>45699</v>
      </c>
      <c r="D1204" s="18" t="s">
        <v>1031</v>
      </c>
      <c r="E1204" s="18" t="str">
        <f t="shared" si="18"/>
        <v>Genesis Infoserve Pvt Ltd</v>
      </c>
      <c r="F1204" s="27" t="s">
        <v>1032</v>
      </c>
      <c r="G1204" s="18" t="s">
        <v>182</v>
      </c>
      <c r="H1204" s="18" t="s">
        <v>473</v>
      </c>
      <c r="I1204" s="18" t="s">
        <v>184</v>
      </c>
      <c r="K1204" s="18" t="s">
        <v>35</v>
      </c>
      <c r="L1204" s="18" t="s">
        <v>36</v>
      </c>
      <c r="N1204" s="18">
        <v>6</v>
      </c>
      <c r="O1204" s="18" t="s">
        <v>88</v>
      </c>
      <c r="P1204" s="18" t="s">
        <v>38</v>
      </c>
      <c r="T1204" s="18" t="b">
        <v>0</v>
      </c>
      <c r="U1204" s="18" t="s">
        <v>187</v>
      </c>
      <c r="V1204" s="18" t="s">
        <v>40</v>
      </c>
      <c r="W1204" s="18" t="s">
        <v>1033</v>
      </c>
      <c r="X1204" s="18" t="s">
        <v>1033</v>
      </c>
      <c r="Y1204" s="18">
        <v>1</v>
      </c>
      <c r="Z1204" s="18">
        <v>111500</v>
      </c>
      <c r="AA1204" s="31" t="s">
        <v>2826</v>
      </c>
      <c r="AB1204" s="18" t="s">
        <v>993</v>
      </c>
      <c r="AC1204" s="18" t="s">
        <v>200</v>
      </c>
    </row>
    <row r="1205" s="18" customFormat="1" spans="1:29">
      <c r="A1205" s="18" t="s">
        <v>2827</v>
      </c>
      <c r="B1205" s="25" t="s">
        <v>2827</v>
      </c>
      <c r="C1205" s="26">
        <v>45699</v>
      </c>
      <c r="D1205" s="18" t="s">
        <v>775</v>
      </c>
      <c r="E1205" s="18" t="str">
        <f t="shared" si="18"/>
        <v>Login Enterprises</v>
      </c>
      <c r="F1205" s="27" t="s">
        <v>776</v>
      </c>
      <c r="G1205" s="18" t="s">
        <v>182</v>
      </c>
      <c r="H1205" s="18" t="s">
        <v>473</v>
      </c>
      <c r="I1205" s="18" t="s">
        <v>184</v>
      </c>
      <c r="K1205" s="18" t="s">
        <v>35</v>
      </c>
      <c r="L1205" s="18" t="s">
        <v>36</v>
      </c>
      <c r="N1205" s="18">
        <v>6</v>
      </c>
      <c r="O1205" s="18" t="s">
        <v>88</v>
      </c>
      <c r="P1205" s="18" t="s">
        <v>38</v>
      </c>
      <c r="T1205" s="18" t="b">
        <v>0</v>
      </c>
      <c r="U1205" s="18" t="s">
        <v>187</v>
      </c>
      <c r="V1205" s="18" t="s">
        <v>40</v>
      </c>
      <c r="W1205" s="18" t="s">
        <v>777</v>
      </c>
      <c r="X1205" s="18" t="s">
        <v>777</v>
      </c>
      <c r="Y1205" s="18">
        <v>1</v>
      </c>
      <c r="Z1205" s="18">
        <v>17764.16</v>
      </c>
      <c r="AA1205" s="18" t="s">
        <v>778</v>
      </c>
      <c r="AB1205" s="18" t="s">
        <v>779</v>
      </c>
      <c r="AC1205" s="18" t="s">
        <v>200</v>
      </c>
    </row>
    <row r="1206" s="18" customFormat="1" spans="1:29">
      <c r="A1206" s="18" t="s">
        <v>2828</v>
      </c>
      <c r="B1206" s="25" t="s">
        <v>2828</v>
      </c>
      <c r="C1206" s="26">
        <v>45699</v>
      </c>
      <c r="D1206" s="18" t="s">
        <v>1647</v>
      </c>
      <c r="E1206" s="18" t="str">
        <f t="shared" si="18"/>
        <v>Aftab Shaikh  </v>
      </c>
      <c r="F1206" s="27" t="e">
        <v>#N/A</v>
      </c>
      <c r="G1206" s="18" t="s">
        <v>182</v>
      </c>
      <c r="H1206" s="18" t="s">
        <v>183</v>
      </c>
      <c r="I1206" s="18" t="s">
        <v>481</v>
      </c>
      <c r="J1206" s="18" t="s">
        <v>1598</v>
      </c>
      <c r="K1206" s="18" t="s">
        <v>56</v>
      </c>
      <c r="L1206" s="18" t="s">
        <v>36</v>
      </c>
      <c r="N1206" s="18">
        <v>6</v>
      </c>
      <c r="O1206" s="18" t="s">
        <v>93</v>
      </c>
      <c r="P1206" s="18" t="s">
        <v>38</v>
      </c>
      <c r="Q1206" s="18" t="s">
        <v>194</v>
      </c>
      <c r="R1206" s="18" t="s">
        <v>59</v>
      </c>
      <c r="S1206" s="18" t="s">
        <v>195</v>
      </c>
      <c r="T1206" s="18" t="b">
        <v>0</v>
      </c>
      <c r="U1206" s="18" t="s">
        <v>187</v>
      </c>
      <c r="V1206" s="18" t="s">
        <v>40</v>
      </c>
      <c r="W1206" s="18" t="s">
        <v>61</v>
      </c>
      <c r="X1206" s="18" t="s">
        <v>62</v>
      </c>
      <c r="Y1206" s="18">
        <v>1</v>
      </c>
      <c r="Z1206" s="18">
        <v>7215</v>
      </c>
      <c r="AC1206" s="18" t="e">
        <v>#N/A</v>
      </c>
    </row>
    <row r="1207" s="18" customFormat="1" spans="1:29">
      <c r="A1207" s="18" t="s">
        <v>2829</v>
      </c>
      <c r="B1207" s="25" t="s">
        <v>2829</v>
      </c>
      <c r="C1207" s="26">
        <v>45699</v>
      </c>
      <c r="D1207" s="18" t="s">
        <v>1647</v>
      </c>
      <c r="E1207" s="18" t="str">
        <f t="shared" si="18"/>
        <v>Aftab Shaikh  </v>
      </c>
      <c r="F1207" s="27" t="e">
        <v>#N/A</v>
      </c>
      <c r="G1207" s="18" t="s">
        <v>182</v>
      </c>
      <c r="H1207" s="18" t="s">
        <v>183</v>
      </c>
      <c r="I1207" s="18" t="s">
        <v>481</v>
      </c>
      <c r="J1207" s="18" t="s">
        <v>2286</v>
      </c>
      <c r="K1207" s="18" t="s">
        <v>56</v>
      </c>
      <c r="L1207" s="18" t="s">
        <v>36</v>
      </c>
      <c r="N1207" s="18">
        <v>6</v>
      </c>
      <c r="O1207" s="18" t="s">
        <v>93</v>
      </c>
      <c r="P1207" s="18" t="s">
        <v>38</v>
      </c>
      <c r="Q1207" s="18" t="s">
        <v>194</v>
      </c>
      <c r="R1207" s="18" t="s">
        <v>59</v>
      </c>
      <c r="S1207" s="18" t="s">
        <v>195</v>
      </c>
      <c r="T1207" s="18" t="b">
        <v>0</v>
      </c>
      <c r="U1207" s="18" t="s">
        <v>187</v>
      </c>
      <c r="V1207" s="18" t="s">
        <v>40</v>
      </c>
      <c r="W1207" s="18" t="s">
        <v>126</v>
      </c>
      <c r="X1207" s="18" t="s">
        <v>127</v>
      </c>
      <c r="Y1207" s="18">
        <v>1</v>
      </c>
      <c r="Z1207" s="18">
        <v>6677</v>
      </c>
      <c r="AC1207" s="18" t="e">
        <v>#N/A</v>
      </c>
    </row>
    <row r="1208" s="18" customFormat="1" spans="1:29">
      <c r="A1208" s="18" t="s">
        <v>2830</v>
      </c>
      <c r="B1208" s="25" t="s">
        <v>2830</v>
      </c>
      <c r="C1208" s="26">
        <v>45699</v>
      </c>
      <c r="D1208" s="18" t="s">
        <v>2831</v>
      </c>
      <c r="E1208" s="18" t="str">
        <f t="shared" si="18"/>
        <v>Libreta Dmello  </v>
      </c>
      <c r="F1208" s="27" t="e">
        <v>#N/A</v>
      </c>
      <c r="G1208" s="18" t="s">
        <v>182</v>
      </c>
      <c r="H1208" s="18" t="s">
        <v>183</v>
      </c>
      <c r="I1208" s="18" t="s">
        <v>481</v>
      </c>
      <c r="J1208" s="18" t="s">
        <v>1889</v>
      </c>
      <c r="K1208" s="18" t="s">
        <v>56</v>
      </c>
      <c r="L1208" s="18" t="s">
        <v>36</v>
      </c>
      <c r="N1208" s="18">
        <v>6</v>
      </c>
      <c r="O1208" s="18" t="s">
        <v>93</v>
      </c>
      <c r="P1208" s="18" t="s">
        <v>38</v>
      </c>
      <c r="Q1208" s="18" t="s">
        <v>194</v>
      </c>
      <c r="R1208" s="18" t="s">
        <v>59</v>
      </c>
      <c r="S1208" s="18" t="s">
        <v>195</v>
      </c>
      <c r="T1208" s="18" t="b">
        <v>0</v>
      </c>
      <c r="U1208" s="18" t="s">
        <v>187</v>
      </c>
      <c r="V1208" s="18" t="s">
        <v>40</v>
      </c>
      <c r="W1208" s="18" t="s">
        <v>126</v>
      </c>
      <c r="X1208" s="18" t="s">
        <v>127</v>
      </c>
      <c r="Y1208" s="18">
        <v>1</v>
      </c>
      <c r="Z1208" s="18">
        <v>1366</v>
      </c>
      <c r="AC1208" s="18" t="e">
        <v>#N/A</v>
      </c>
    </row>
    <row r="1209" s="18" customFormat="1" ht="43.5" spans="1:29">
      <c r="A1209" s="18" t="s">
        <v>2832</v>
      </c>
      <c r="B1209" s="25" t="s">
        <v>2832</v>
      </c>
      <c r="C1209" s="26">
        <v>45699</v>
      </c>
      <c r="D1209" s="18" t="s">
        <v>2833</v>
      </c>
      <c r="E1209" s="18" t="str">
        <f t="shared" si="18"/>
        <v>End To End Solution</v>
      </c>
      <c r="F1209" s="27" t="e">
        <v>#N/A</v>
      </c>
      <c r="G1209" s="18" t="s">
        <v>182</v>
      </c>
      <c r="H1209" s="18" t="s">
        <v>183</v>
      </c>
      <c r="I1209" s="18" t="s">
        <v>184</v>
      </c>
      <c r="J1209" s="18" t="s">
        <v>2160</v>
      </c>
      <c r="K1209" s="18" t="s">
        <v>56</v>
      </c>
      <c r="L1209" s="18" t="s">
        <v>36</v>
      </c>
      <c r="N1209" s="18">
        <v>6</v>
      </c>
      <c r="O1209" s="18" t="s">
        <v>88</v>
      </c>
      <c r="P1209" s="18" t="s">
        <v>38</v>
      </c>
      <c r="Q1209" s="18" t="s">
        <v>194</v>
      </c>
      <c r="R1209" s="18" t="s">
        <v>59</v>
      </c>
      <c r="S1209" s="18" t="s">
        <v>195</v>
      </c>
      <c r="T1209" s="18" t="b">
        <v>0</v>
      </c>
      <c r="U1209" s="18" t="s">
        <v>187</v>
      </c>
      <c r="V1209" s="18" t="s">
        <v>40</v>
      </c>
      <c r="W1209" s="18" t="s">
        <v>317</v>
      </c>
      <c r="X1209" s="18" t="s">
        <v>318</v>
      </c>
      <c r="Y1209" s="18">
        <v>1</v>
      </c>
      <c r="Z1209" s="18">
        <v>29760</v>
      </c>
      <c r="AA1209" s="31" t="s">
        <v>2834</v>
      </c>
      <c r="AB1209" s="18" t="s">
        <v>259</v>
      </c>
      <c r="AC1209" s="18" t="s">
        <v>200</v>
      </c>
    </row>
    <row r="1210" s="18" customFormat="1" spans="1:29">
      <c r="A1210" s="18" t="s">
        <v>2835</v>
      </c>
      <c r="B1210" s="25" t="s">
        <v>2835</v>
      </c>
      <c r="C1210" s="26">
        <v>45699</v>
      </c>
      <c r="D1210" s="18" t="s">
        <v>2033</v>
      </c>
      <c r="E1210" s="18" t="str">
        <f t="shared" si="18"/>
        <v>Pinky Sharma  </v>
      </c>
      <c r="F1210" s="27" t="e">
        <v>#N/A</v>
      </c>
      <c r="G1210" s="18" t="s">
        <v>182</v>
      </c>
      <c r="H1210" s="18" t="s">
        <v>183</v>
      </c>
      <c r="I1210" s="18" t="s">
        <v>481</v>
      </c>
      <c r="J1210" s="18" t="s">
        <v>2319</v>
      </c>
      <c r="K1210" s="18" t="s">
        <v>56</v>
      </c>
      <c r="L1210" s="18" t="s">
        <v>36</v>
      </c>
      <c r="N1210" s="18">
        <v>6</v>
      </c>
      <c r="O1210" s="18" t="s">
        <v>93</v>
      </c>
      <c r="P1210" s="18" t="s">
        <v>38</v>
      </c>
      <c r="Q1210" s="18" t="s">
        <v>194</v>
      </c>
      <c r="R1210" s="18" t="s">
        <v>59</v>
      </c>
      <c r="S1210" s="18" t="s">
        <v>195</v>
      </c>
      <c r="T1210" s="18" t="b">
        <v>0</v>
      </c>
      <c r="U1210" s="18" t="s">
        <v>187</v>
      </c>
      <c r="V1210" s="18" t="s">
        <v>40</v>
      </c>
      <c r="W1210" s="18" t="s">
        <v>126</v>
      </c>
      <c r="X1210" s="18" t="s">
        <v>127</v>
      </c>
      <c r="Y1210" s="18">
        <v>1</v>
      </c>
      <c r="Z1210" s="18">
        <v>4599</v>
      </c>
      <c r="AC1210" s="18" t="e">
        <v>#N/A</v>
      </c>
    </row>
    <row r="1211" s="18" customFormat="1" spans="1:29">
      <c r="A1211" s="18" t="s">
        <v>2836</v>
      </c>
      <c r="B1211" s="25" t="s">
        <v>2836</v>
      </c>
      <c r="C1211" s="26">
        <v>45699</v>
      </c>
      <c r="D1211" s="18" t="s">
        <v>860</v>
      </c>
      <c r="E1211" s="18" t="str">
        <f t="shared" si="18"/>
        <v>Mahendra Mane </v>
      </c>
      <c r="F1211" s="27" t="e">
        <v>#N/A</v>
      </c>
      <c r="G1211" s="18" t="s">
        <v>182</v>
      </c>
      <c r="H1211" s="18" t="s">
        <v>183</v>
      </c>
      <c r="I1211" s="18" t="s">
        <v>481</v>
      </c>
      <c r="J1211" s="18" t="s">
        <v>2319</v>
      </c>
      <c r="K1211" s="18" t="s">
        <v>56</v>
      </c>
      <c r="L1211" s="18" t="s">
        <v>36</v>
      </c>
      <c r="N1211" s="18">
        <v>6</v>
      </c>
      <c r="O1211" s="18" t="s">
        <v>93</v>
      </c>
      <c r="P1211" s="18" t="s">
        <v>38</v>
      </c>
      <c r="Q1211" s="18" t="s">
        <v>194</v>
      </c>
      <c r="R1211" s="18" t="s">
        <v>59</v>
      </c>
      <c r="S1211" s="18" t="s">
        <v>195</v>
      </c>
      <c r="T1211" s="18" t="b">
        <v>0</v>
      </c>
      <c r="U1211" s="18" t="s">
        <v>187</v>
      </c>
      <c r="V1211" s="18" t="s">
        <v>40</v>
      </c>
      <c r="W1211" s="18" t="s">
        <v>317</v>
      </c>
      <c r="X1211" s="18" t="s">
        <v>318</v>
      </c>
      <c r="Y1211" s="18">
        <v>1</v>
      </c>
      <c r="Z1211" s="18">
        <v>7450</v>
      </c>
      <c r="AC1211" s="18" t="e">
        <v>#N/A</v>
      </c>
    </row>
    <row r="1212" s="18" customFormat="1" spans="1:29">
      <c r="A1212" s="18" t="s">
        <v>2837</v>
      </c>
      <c r="B1212" s="25" t="s">
        <v>2837</v>
      </c>
      <c r="C1212" s="26">
        <v>45699</v>
      </c>
      <c r="D1212" s="18" t="s">
        <v>2674</v>
      </c>
      <c r="E1212" s="18" t="str">
        <f t="shared" si="18"/>
        <v>Justin Francis Vadakkan  </v>
      </c>
      <c r="F1212" s="27" t="e">
        <v>#N/A</v>
      </c>
      <c r="G1212" s="18" t="s">
        <v>182</v>
      </c>
      <c r="H1212" s="18" t="s">
        <v>183</v>
      </c>
      <c r="I1212" s="18" t="s">
        <v>481</v>
      </c>
      <c r="J1212" s="18" t="s">
        <v>2319</v>
      </c>
      <c r="K1212" s="18" t="s">
        <v>56</v>
      </c>
      <c r="L1212" s="18" t="s">
        <v>36</v>
      </c>
      <c r="N1212" s="18">
        <v>6</v>
      </c>
      <c r="O1212" s="18" t="s">
        <v>93</v>
      </c>
      <c r="P1212" s="18" t="s">
        <v>38</v>
      </c>
      <c r="Q1212" s="18" t="s">
        <v>194</v>
      </c>
      <c r="R1212" s="18" t="s">
        <v>59</v>
      </c>
      <c r="S1212" s="18" t="s">
        <v>195</v>
      </c>
      <c r="T1212" s="18" t="b">
        <v>0</v>
      </c>
      <c r="U1212" s="18" t="s">
        <v>187</v>
      </c>
      <c r="V1212" s="18" t="s">
        <v>40</v>
      </c>
      <c r="W1212" s="18" t="s">
        <v>412</v>
      </c>
      <c r="X1212" s="18" t="s">
        <v>413</v>
      </c>
      <c r="Y1212" s="18">
        <v>1</v>
      </c>
      <c r="Z1212" s="18">
        <v>7025</v>
      </c>
      <c r="AC1212" s="18" t="e">
        <v>#N/A</v>
      </c>
    </row>
    <row r="1213" s="18" customFormat="1" ht="43.5" spans="1:29">
      <c r="A1213" s="18" t="s">
        <v>2838</v>
      </c>
      <c r="B1213" s="25" t="s">
        <v>2838</v>
      </c>
      <c r="C1213" s="26">
        <v>45699</v>
      </c>
      <c r="D1213" s="18" t="s">
        <v>2163</v>
      </c>
      <c r="E1213" s="18" t="str">
        <f t="shared" si="18"/>
        <v>360 Bright Media</v>
      </c>
      <c r="F1213" s="27" t="s">
        <v>2164</v>
      </c>
      <c r="G1213" s="18" t="s">
        <v>182</v>
      </c>
      <c r="H1213" s="18" t="s">
        <v>183</v>
      </c>
      <c r="I1213" s="18" t="s">
        <v>184</v>
      </c>
      <c r="J1213" s="18" t="s">
        <v>2160</v>
      </c>
      <c r="K1213" s="18" t="s">
        <v>56</v>
      </c>
      <c r="L1213" s="18" t="s">
        <v>36</v>
      </c>
      <c r="N1213" s="18">
        <v>6</v>
      </c>
      <c r="O1213" s="18" t="s">
        <v>57</v>
      </c>
      <c r="P1213" s="18" t="s">
        <v>38</v>
      </c>
      <c r="Q1213" s="18" t="s">
        <v>194</v>
      </c>
      <c r="R1213" s="18" t="s">
        <v>59</v>
      </c>
      <c r="S1213" s="18" t="s">
        <v>195</v>
      </c>
      <c r="T1213" s="18" t="b">
        <v>0</v>
      </c>
      <c r="U1213" s="18" t="s">
        <v>187</v>
      </c>
      <c r="V1213" s="18" t="s">
        <v>40</v>
      </c>
      <c r="W1213" s="18" t="s">
        <v>317</v>
      </c>
      <c r="X1213" s="18" t="s">
        <v>318</v>
      </c>
      <c r="Y1213" s="18">
        <v>1</v>
      </c>
      <c r="Z1213" s="18">
        <v>155000</v>
      </c>
      <c r="AA1213" s="31" t="s">
        <v>2834</v>
      </c>
      <c r="AB1213" s="18" t="s">
        <v>259</v>
      </c>
      <c r="AC1213" s="18" t="s">
        <v>200</v>
      </c>
    </row>
    <row r="1214" s="18" customFormat="1" ht="29" spans="1:29">
      <c r="A1214" s="18" t="s">
        <v>2839</v>
      </c>
      <c r="B1214" s="25" t="s">
        <v>2839</v>
      </c>
      <c r="C1214" s="26">
        <v>45699</v>
      </c>
      <c r="D1214" s="18" t="s">
        <v>2594</v>
      </c>
      <c r="E1214" s="18" t="str">
        <f t="shared" si="18"/>
        <v>Sound Decisions.Com</v>
      </c>
      <c r="F1214" s="27" t="s">
        <v>2595</v>
      </c>
      <c r="G1214" s="18" t="s">
        <v>182</v>
      </c>
      <c r="H1214" s="18" t="s">
        <v>183</v>
      </c>
      <c r="I1214" s="18" t="s">
        <v>184</v>
      </c>
      <c r="J1214" s="18" t="s">
        <v>2319</v>
      </c>
      <c r="K1214" s="18" t="s">
        <v>56</v>
      </c>
      <c r="L1214" s="18" t="s">
        <v>36</v>
      </c>
      <c r="N1214" s="18">
        <v>6</v>
      </c>
      <c r="O1214" s="18" t="s">
        <v>57</v>
      </c>
      <c r="P1214" s="18" t="s">
        <v>38</v>
      </c>
      <c r="Q1214" s="18" t="s">
        <v>194</v>
      </c>
      <c r="R1214" s="18" t="s">
        <v>59</v>
      </c>
      <c r="S1214" s="18" t="s">
        <v>195</v>
      </c>
      <c r="T1214" s="18" t="b">
        <v>0</v>
      </c>
      <c r="U1214" s="18" t="s">
        <v>187</v>
      </c>
      <c r="V1214" s="18" t="s">
        <v>40</v>
      </c>
      <c r="W1214" s="18" t="s">
        <v>371</v>
      </c>
      <c r="X1214" s="18" t="s">
        <v>372</v>
      </c>
      <c r="Y1214" s="18">
        <v>1</v>
      </c>
      <c r="Z1214" s="18">
        <v>91500</v>
      </c>
      <c r="AA1214" s="31" t="s">
        <v>1943</v>
      </c>
      <c r="AB1214" s="18" t="s">
        <v>1944</v>
      </c>
      <c r="AC1214" s="18" t="s">
        <v>200</v>
      </c>
    </row>
    <row r="1215" s="18" customFormat="1" ht="29" spans="1:29">
      <c r="A1215" s="18" t="s">
        <v>2840</v>
      </c>
      <c r="B1215" s="25" t="s">
        <v>2840</v>
      </c>
      <c r="C1215" s="26">
        <v>45699</v>
      </c>
      <c r="D1215" s="18" t="s">
        <v>974</v>
      </c>
      <c r="E1215" s="18" t="str">
        <f t="shared" si="18"/>
        <v>Shiv Shakti Enterprises</v>
      </c>
      <c r="F1215" s="27" t="s">
        <v>975</v>
      </c>
      <c r="G1215" s="18" t="s">
        <v>182</v>
      </c>
      <c r="H1215" s="18" t="s">
        <v>183</v>
      </c>
      <c r="I1215" s="18" t="s">
        <v>184</v>
      </c>
      <c r="J1215" s="18" t="s">
        <v>2319</v>
      </c>
      <c r="K1215" s="18" t="s">
        <v>56</v>
      </c>
      <c r="L1215" s="18" t="s">
        <v>36</v>
      </c>
      <c r="N1215" s="18">
        <v>6</v>
      </c>
      <c r="O1215" s="18" t="s">
        <v>57</v>
      </c>
      <c r="P1215" s="18" t="s">
        <v>38</v>
      </c>
      <c r="Q1215" s="18" t="s">
        <v>194</v>
      </c>
      <c r="R1215" s="18" t="s">
        <v>59</v>
      </c>
      <c r="S1215" s="18" t="s">
        <v>195</v>
      </c>
      <c r="T1215" s="18" t="b">
        <v>0</v>
      </c>
      <c r="U1215" s="18" t="s">
        <v>187</v>
      </c>
      <c r="V1215" s="18" t="s">
        <v>40</v>
      </c>
      <c r="W1215" s="18" t="s">
        <v>371</v>
      </c>
      <c r="X1215" s="18" t="s">
        <v>372</v>
      </c>
      <c r="Y1215" s="18">
        <v>1</v>
      </c>
      <c r="Z1215" s="18">
        <v>110000</v>
      </c>
      <c r="AA1215" s="31" t="s">
        <v>1943</v>
      </c>
      <c r="AB1215" s="18" t="s">
        <v>1944</v>
      </c>
      <c r="AC1215" s="18" t="s">
        <v>200</v>
      </c>
    </row>
    <row r="1216" s="18" customFormat="1" ht="29" spans="1:29">
      <c r="A1216" s="18" t="s">
        <v>2841</v>
      </c>
      <c r="B1216" s="25" t="s">
        <v>2841</v>
      </c>
      <c r="C1216" s="26">
        <v>45699</v>
      </c>
      <c r="D1216" s="18" t="s">
        <v>977</v>
      </c>
      <c r="E1216" s="18" t="str">
        <f t="shared" si="18"/>
        <v>Videowaves</v>
      </c>
      <c r="F1216" s="27" t="e">
        <v>#N/A</v>
      </c>
      <c r="G1216" s="18" t="s">
        <v>182</v>
      </c>
      <c r="H1216" s="18" t="s">
        <v>183</v>
      </c>
      <c r="I1216" s="18" t="s">
        <v>184</v>
      </c>
      <c r="J1216" s="18" t="s">
        <v>2319</v>
      </c>
      <c r="K1216" s="18" t="s">
        <v>56</v>
      </c>
      <c r="L1216" s="18" t="s">
        <v>36</v>
      </c>
      <c r="N1216" s="18">
        <v>6</v>
      </c>
      <c r="O1216" s="18" t="s">
        <v>88</v>
      </c>
      <c r="P1216" s="18" t="s">
        <v>38</v>
      </c>
      <c r="Q1216" s="18" t="s">
        <v>194</v>
      </c>
      <c r="R1216" s="18" t="s">
        <v>59</v>
      </c>
      <c r="S1216" s="18" t="s">
        <v>195</v>
      </c>
      <c r="T1216" s="18" t="b">
        <v>0</v>
      </c>
      <c r="U1216" s="18" t="s">
        <v>187</v>
      </c>
      <c r="V1216" s="18" t="s">
        <v>40</v>
      </c>
      <c r="W1216" s="18" t="s">
        <v>371</v>
      </c>
      <c r="X1216" s="18" t="s">
        <v>372</v>
      </c>
      <c r="Y1216" s="18">
        <v>1</v>
      </c>
      <c r="Z1216" s="18">
        <v>185000</v>
      </c>
      <c r="AA1216" s="31" t="s">
        <v>1943</v>
      </c>
      <c r="AB1216" s="18" t="s">
        <v>1944</v>
      </c>
      <c r="AC1216" s="18" t="s">
        <v>200</v>
      </c>
    </row>
    <row r="1217" s="18" customFormat="1" ht="29" spans="1:29">
      <c r="A1217" s="18" t="s">
        <v>2842</v>
      </c>
      <c r="B1217" s="25" t="s">
        <v>2842</v>
      </c>
      <c r="C1217" s="26">
        <v>45699</v>
      </c>
      <c r="D1217" s="18" t="s">
        <v>1981</v>
      </c>
      <c r="E1217" s="18" t="str">
        <f t="shared" si="18"/>
        <v>Oriana Communications</v>
      </c>
      <c r="F1217" s="27" t="s">
        <v>1982</v>
      </c>
      <c r="G1217" s="18" t="s">
        <v>182</v>
      </c>
      <c r="H1217" s="18" t="s">
        <v>183</v>
      </c>
      <c r="I1217" s="18" t="s">
        <v>184</v>
      </c>
      <c r="J1217" s="18" t="s">
        <v>2319</v>
      </c>
      <c r="K1217" s="18" t="s">
        <v>56</v>
      </c>
      <c r="L1217" s="18" t="s">
        <v>36</v>
      </c>
      <c r="N1217" s="18">
        <v>6</v>
      </c>
      <c r="O1217" s="18" t="s">
        <v>57</v>
      </c>
      <c r="P1217" s="18" t="s">
        <v>38</v>
      </c>
      <c r="Q1217" s="18" t="s">
        <v>194</v>
      </c>
      <c r="R1217" s="18" t="s">
        <v>59</v>
      </c>
      <c r="S1217" s="18" t="s">
        <v>195</v>
      </c>
      <c r="T1217" s="18" t="b">
        <v>0</v>
      </c>
      <c r="U1217" s="18" t="s">
        <v>187</v>
      </c>
      <c r="V1217" s="18" t="s">
        <v>40</v>
      </c>
      <c r="W1217" s="18" t="s">
        <v>371</v>
      </c>
      <c r="X1217" s="18" t="s">
        <v>372</v>
      </c>
      <c r="Y1217" s="18">
        <v>1</v>
      </c>
      <c r="Z1217" s="18">
        <v>8500</v>
      </c>
      <c r="AA1217" s="31" t="s">
        <v>1943</v>
      </c>
      <c r="AB1217" s="18" t="s">
        <v>1944</v>
      </c>
      <c r="AC1217" s="18" t="s">
        <v>200</v>
      </c>
    </row>
    <row r="1218" s="18" customFormat="1" ht="29" spans="1:29">
      <c r="A1218" s="18" t="s">
        <v>2843</v>
      </c>
      <c r="B1218" s="25" t="s">
        <v>2843</v>
      </c>
      <c r="C1218" s="26">
        <v>45699</v>
      </c>
      <c r="D1218" s="18" t="s">
        <v>2753</v>
      </c>
      <c r="E1218" s="18" t="str">
        <f t="shared" si="18"/>
        <v>Mint Studio VJ Nirav (OPC) Pvt Ltd</v>
      </c>
      <c r="F1218" s="27" t="s">
        <v>2754</v>
      </c>
      <c r="G1218" s="18" t="s">
        <v>182</v>
      </c>
      <c r="H1218" s="18" t="s">
        <v>183</v>
      </c>
      <c r="I1218" s="18" t="s">
        <v>184</v>
      </c>
      <c r="J1218" s="18" t="s">
        <v>2319</v>
      </c>
      <c r="K1218" s="18" t="s">
        <v>56</v>
      </c>
      <c r="L1218" s="18" t="s">
        <v>36</v>
      </c>
      <c r="N1218" s="18">
        <v>6</v>
      </c>
      <c r="O1218" s="18" t="s">
        <v>88</v>
      </c>
      <c r="P1218" s="18" t="s">
        <v>38</v>
      </c>
      <c r="Q1218" s="18" t="s">
        <v>194</v>
      </c>
      <c r="R1218" s="18" t="s">
        <v>59</v>
      </c>
      <c r="S1218" s="18" t="s">
        <v>195</v>
      </c>
      <c r="T1218" s="18" t="b">
        <v>0</v>
      </c>
      <c r="U1218" s="18" t="s">
        <v>187</v>
      </c>
      <c r="V1218" s="18" t="s">
        <v>40</v>
      </c>
      <c r="W1218" s="18" t="s">
        <v>347</v>
      </c>
      <c r="X1218" s="18" t="s">
        <v>348</v>
      </c>
      <c r="Y1218" s="18">
        <v>1</v>
      </c>
      <c r="Z1218" s="18">
        <v>20000</v>
      </c>
      <c r="AA1218" s="31" t="s">
        <v>1943</v>
      </c>
      <c r="AB1218" s="18" t="s">
        <v>1944</v>
      </c>
      <c r="AC1218" s="18" t="s">
        <v>200</v>
      </c>
    </row>
    <row r="1219" s="18" customFormat="1" ht="29" spans="1:29">
      <c r="A1219" s="18" t="s">
        <v>2844</v>
      </c>
      <c r="B1219" s="25" t="s">
        <v>2844</v>
      </c>
      <c r="C1219" s="26">
        <v>45699</v>
      </c>
      <c r="D1219" s="18" t="s">
        <v>2845</v>
      </c>
      <c r="E1219" s="18" t="str">
        <f t="shared" ref="E1219:E1282" si="19">_xlfn.TEXTBEFORE(D1219,"-")</f>
        <v>Sudesh Patankar</v>
      </c>
      <c r="F1219" s="27" t="s">
        <v>2846</v>
      </c>
      <c r="G1219" s="18" t="s">
        <v>182</v>
      </c>
      <c r="H1219" s="18" t="s">
        <v>183</v>
      </c>
      <c r="I1219" s="18" t="s">
        <v>184</v>
      </c>
      <c r="J1219" s="18" t="s">
        <v>2319</v>
      </c>
      <c r="K1219" s="18" t="s">
        <v>56</v>
      </c>
      <c r="L1219" s="18" t="s">
        <v>36</v>
      </c>
      <c r="N1219" s="18">
        <v>6</v>
      </c>
      <c r="O1219" s="18" t="s">
        <v>57</v>
      </c>
      <c r="P1219" s="18" t="s">
        <v>38</v>
      </c>
      <c r="Q1219" s="18" t="s">
        <v>194</v>
      </c>
      <c r="R1219" s="18" t="s">
        <v>59</v>
      </c>
      <c r="S1219" s="18" t="s">
        <v>195</v>
      </c>
      <c r="T1219" s="18" t="b">
        <v>0</v>
      </c>
      <c r="U1219" s="18" t="s">
        <v>187</v>
      </c>
      <c r="V1219" s="18" t="s">
        <v>40</v>
      </c>
      <c r="W1219" s="18" t="s">
        <v>371</v>
      </c>
      <c r="X1219" s="18" t="s">
        <v>372</v>
      </c>
      <c r="Y1219" s="18">
        <v>1</v>
      </c>
      <c r="Z1219" s="18">
        <v>35000</v>
      </c>
      <c r="AA1219" s="31" t="s">
        <v>1943</v>
      </c>
      <c r="AB1219" s="18" t="s">
        <v>1944</v>
      </c>
      <c r="AC1219" s="18" t="e">
        <v>#N/A</v>
      </c>
    </row>
    <row r="1220" s="18" customFormat="1" ht="29" spans="1:29">
      <c r="A1220" s="18" t="s">
        <v>2847</v>
      </c>
      <c r="B1220" s="25" t="s">
        <v>2847</v>
      </c>
      <c r="C1220" s="26">
        <v>45699</v>
      </c>
      <c r="D1220" s="18" t="s">
        <v>2061</v>
      </c>
      <c r="E1220" s="18" t="str">
        <f t="shared" si="19"/>
        <v>Jayant K Shetty</v>
      </c>
      <c r="F1220" s="27" t="s">
        <v>2062</v>
      </c>
      <c r="G1220" s="18" t="s">
        <v>182</v>
      </c>
      <c r="H1220" s="18" t="s">
        <v>183</v>
      </c>
      <c r="I1220" s="18" t="s">
        <v>184</v>
      </c>
      <c r="J1220" s="18" t="s">
        <v>2319</v>
      </c>
      <c r="K1220" s="18" t="s">
        <v>56</v>
      </c>
      <c r="L1220" s="18" t="s">
        <v>36</v>
      </c>
      <c r="N1220" s="18">
        <v>6</v>
      </c>
      <c r="O1220" s="18" t="s">
        <v>88</v>
      </c>
      <c r="P1220" s="18" t="s">
        <v>38</v>
      </c>
      <c r="Q1220" s="18" t="s">
        <v>194</v>
      </c>
      <c r="R1220" s="18" t="s">
        <v>59</v>
      </c>
      <c r="S1220" s="18" t="s">
        <v>195</v>
      </c>
      <c r="T1220" s="18" t="b">
        <v>0</v>
      </c>
      <c r="U1220" s="18" t="s">
        <v>187</v>
      </c>
      <c r="V1220" s="18" t="s">
        <v>40</v>
      </c>
      <c r="W1220" s="18" t="s">
        <v>371</v>
      </c>
      <c r="X1220" s="18" t="s">
        <v>372</v>
      </c>
      <c r="Y1220" s="18">
        <v>1</v>
      </c>
      <c r="Z1220" s="18">
        <v>75000</v>
      </c>
      <c r="AA1220" s="31" t="s">
        <v>1943</v>
      </c>
      <c r="AB1220" s="18" t="s">
        <v>1944</v>
      </c>
      <c r="AC1220" s="18" t="s">
        <v>200</v>
      </c>
    </row>
    <row r="1221" s="18" customFormat="1" ht="29" spans="1:29">
      <c r="A1221" s="18" t="s">
        <v>2848</v>
      </c>
      <c r="B1221" s="25" t="s">
        <v>2848</v>
      </c>
      <c r="C1221" s="26">
        <v>45699</v>
      </c>
      <c r="D1221" s="18" t="s">
        <v>2849</v>
      </c>
      <c r="E1221" s="18" t="str">
        <f t="shared" si="19"/>
        <v>Esses Power System</v>
      </c>
      <c r="F1221" s="27" t="s">
        <v>2850</v>
      </c>
      <c r="G1221" s="18" t="s">
        <v>182</v>
      </c>
      <c r="H1221" s="18" t="s">
        <v>183</v>
      </c>
      <c r="I1221" s="18" t="s">
        <v>184</v>
      </c>
      <c r="J1221" s="18" t="s">
        <v>2319</v>
      </c>
      <c r="K1221" s="18" t="s">
        <v>56</v>
      </c>
      <c r="L1221" s="18" t="s">
        <v>36</v>
      </c>
      <c r="N1221" s="18">
        <v>6</v>
      </c>
      <c r="O1221" s="18" t="s">
        <v>57</v>
      </c>
      <c r="P1221" s="18" t="s">
        <v>38</v>
      </c>
      <c r="Q1221" s="18" t="s">
        <v>194</v>
      </c>
      <c r="R1221" s="18" t="s">
        <v>59</v>
      </c>
      <c r="S1221" s="18" t="s">
        <v>195</v>
      </c>
      <c r="T1221" s="18" t="b">
        <v>0</v>
      </c>
      <c r="U1221" s="18" t="s">
        <v>187</v>
      </c>
      <c r="V1221" s="18" t="s">
        <v>40</v>
      </c>
      <c r="W1221" s="18" t="s">
        <v>371</v>
      </c>
      <c r="X1221" s="18" t="s">
        <v>372</v>
      </c>
      <c r="Y1221" s="18">
        <v>1</v>
      </c>
      <c r="Z1221" s="18">
        <v>78000</v>
      </c>
      <c r="AA1221" s="31" t="s">
        <v>1943</v>
      </c>
      <c r="AB1221" s="18" t="s">
        <v>1944</v>
      </c>
      <c r="AC1221" s="18" t="s">
        <v>200</v>
      </c>
    </row>
    <row r="1222" s="18" customFormat="1" ht="29" spans="1:29">
      <c r="A1222" s="18" t="s">
        <v>2851</v>
      </c>
      <c r="B1222" s="25" t="s">
        <v>2851</v>
      </c>
      <c r="C1222" s="26">
        <v>45699</v>
      </c>
      <c r="D1222" s="18" t="s">
        <v>1066</v>
      </c>
      <c r="E1222" s="18" t="str">
        <f t="shared" si="19"/>
        <v>Events Power</v>
      </c>
      <c r="F1222" s="27" t="s">
        <v>1067</v>
      </c>
      <c r="G1222" s="18" t="s">
        <v>182</v>
      </c>
      <c r="H1222" s="18" t="s">
        <v>183</v>
      </c>
      <c r="I1222" s="18" t="s">
        <v>184</v>
      </c>
      <c r="J1222" s="18" t="s">
        <v>2319</v>
      </c>
      <c r="K1222" s="18" t="s">
        <v>56</v>
      </c>
      <c r="L1222" s="18" t="s">
        <v>36</v>
      </c>
      <c r="N1222" s="18">
        <v>6</v>
      </c>
      <c r="O1222" s="18" t="s">
        <v>88</v>
      </c>
      <c r="P1222" s="18" t="s">
        <v>38</v>
      </c>
      <c r="Q1222" s="18" t="s">
        <v>194</v>
      </c>
      <c r="R1222" s="18" t="s">
        <v>59</v>
      </c>
      <c r="S1222" s="18" t="s">
        <v>195</v>
      </c>
      <c r="T1222" s="18" t="b">
        <v>0</v>
      </c>
      <c r="U1222" s="18" t="s">
        <v>187</v>
      </c>
      <c r="V1222" s="18" t="s">
        <v>40</v>
      </c>
      <c r="W1222" s="18" t="s">
        <v>371</v>
      </c>
      <c r="X1222" s="18" t="s">
        <v>372</v>
      </c>
      <c r="Y1222" s="18">
        <v>1</v>
      </c>
      <c r="Z1222" s="18">
        <v>16000</v>
      </c>
      <c r="AA1222" s="31" t="s">
        <v>1943</v>
      </c>
      <c r="AB1222" s="18" t="s">
        <v>1944</v>
      </c>
      <c r="AC1222" s="18" t="s">
        <v>200</v>
      </c>
    </row>
    <row r="1223" s="18" customFormat="1" spans="1:29">
      <c r="A1223" s="18" t="s">
        <v>2852</v>
      </c>
      <c r="B1223" s="25" t="s">
        <v>2852</v>
      </c>
      <c r="C1223" s="26">
        <v>45699</v>
      </c>
      <c r="D1223" s="18" t="s">
        <v>2853</v>
      </c>
      <c r="E1223" s="18" t="str">
        <f t="shared" si="19"/>
        <v>Abhishek Jadhav  </v>
      </c>
      <c r="F1223" s="27" t="e">
        <v>#N/A</v>
      </c>
      <c r="G1223" s="18" t="s">
        <v>182</v>
      </c>
      <c r="H1223" s="18" t="s">
        <v>183</v>
      </c>
      <c r="I1223" s="18" t="s">
        <v>481</v>
      </c>
      <c r="J1223" s="18" t="s">
        <v>2854</v>
      </c>
      <c r="K1223" s="18" t="s">
        <v>56</v>
      </c>
      <c r="L1223" s="18" t="s">
        <v>36</v>
      </c>
      <c r="N1223" s="18">
        <v>6</v>
      </c>
      <c r="O1223" s="18" t="s">
        <v>93</v>
      </c>
      <c r="P1223" s="18" t="s">
        <v>38</v>
      </c>
      <c r="Q1223" s="18" t="s">
        <v>194</v>
      </c>
      <c r="R1223" s="18" t="s">
        <v>59</v>
      </c>
      <c r="S1223" s="18" t="s">
        <v>195</v>
      </c>
      <c r="T1223" s="18" t="b">
        <v>0</v>
      </c>
      <c r="U1223" s="18" t="s">
        <v>187</v>
      </c>
      <c r="V1223" s="18" t="s">
        <v>40</v>
      </c>
      <c r="W1223" s="18" t="s">
        <v>126</v>
      </c>
      <c r="X1223" s="18" t="s">
        <v>127</v>
      </c>
      <c r="Y1223" s="18">
        <v>1</v>
      </c>
      <c r="Z1223" s="18">
        <v>429</v>
      </c>
      <c r="AC1223" s="18" t="e">
        <v>#N/A</v>
      </c>
    </row>
    <row r="1224" s="18" customFormat="1" ht="29" spans="1:29">
      <c r="A1224" s="18" t="s">
        <v>2855</v>
      </c>
      <c r="B1224" s="25" t="s">
        <v>2855</v>
      </c>
      <c r="C1224" s="26">
        <v>45699</v>
      </c>
      <c r="D1224" s="18" t="s">
        <v>1960</v>
      </c>
      <c r="E1224" s="18" t="str">
        <f t="shared" si="19"/>
        <v>Shree Vision</v>
      </c>
      <c r="F1224" s="27" t="s">
        <v>1961</v>
      </c>
      <c r="G1224" s="18" t="s">
        <v>182</v>
      </c>
      <c r="H1224" s="18" t="s">
        <v>183</v>
      </c>
      <c r="I1224" s="18" t="s">
        <v>184</v>
      </c>
      <c r="J1224" s="18" t="s">
        <v>2319</v>
      </c>
      <c r="K1224" s="18" t="s">
        <v>56</v>
      </c>
      <c r="L1224" s="18" t="s">
        <v>36</v>
      </c>
      <c r="N1224" s="18">
        <v>6</v>
      </c>
      <c r="O1224" s="18" t="s">
        <v>88</v>
      </c>
      <c r="P1224" s="18" t="s">
        <v>38</v>
      </c>
      <c r="Q1224" s="18" t="s">
        <v>194</v>
      </c>
      <c r="R1224" s="18" t="s">
        <v>59</v>
      </c>
      <c r="S1224" s="18" t="s">
        <v>195</v>
      </c>
      <c r="T1224" s="18" t="b">
        <v>0</v>
      </c>
      <c r="U1224" s="18" t="s">
        <v>187</v>
      </c>
      <c r="V1224" s="18" t="s">
        <v>40</v>
      </c>
      <c r="W1224" s="18" t="s">
        <v>990</v>
      </c>
      <c r="X1224" s="18" t="s">
        <v>991</v>
      </c>
      <c r="Y1224" s="18">
        <v>1</v>
      </c>
      <c r="Z1224" s="18">
        <v>3400</v>
      </c>
      <c r="AA1224" s="31" t="s">
        <v>1943</v>
      </c>
      <c r="AB1224" s="18" t="s">
        <v>1944</v>
      </c>
      <c r="AC1224" s="18" t="s">
        <v>200</v>
      </c>
    </row>
    <row r="1225" s="18" customFormat="1" ht="43.5" spans="1:29">
      <c r="A1225" s="18" t="s">
        <v>2856</v>
      </c>
      <c r="B1225" s="25" t="s">
        <v>2856</v>
      </c>
      <c r="C1225" s="26">
        <v>45699</v>
      </c>
      <c r="D1225" s="18" t="s">
        <v>1811</v>
      </c>
      <c r="E1225" s="18" t="str">
        <f t="shared" si="19"/>
        <v>Fabrile Productions</v>
      </c>
      <c r="F1225" s="27" t="s">
        <v>1812</v>
      </c>
      <c r="G1225" s="18" t="s">
        <v>182</v>
      </c>
      <c r="H1225" s="18" t="s">
        <v>183</v>
      </c>
      <c r="I1225" s="18" t="s">
        <v>184</v>
      </c>
      <c r="J1225" s="18" t="s">
        <v>2319</v>
      </c>
      <c r="K1225" s="18" t="s">
        <v>56</v>
      </c>
      <c r="L1225" s="18" t="s">
        <v>36</v>
      </c>
      <c r="N1225" s="18">
        <v>6</v>
      </c>
      <c r="O1225" s="18" t="s">
        <v>88</v>
      </c>
      <c r="P1225" s="18" t="s">
        <v>38</v>
      </c>
      <c r="Q1225" s="18" t="s">
        <v>194</v>
      </c>
      <c r="R1225" s="18" t="s">
        <v>59</v>
      </c>
      <c r="S1225" s="18" t="s">
        <v>195</v>
      </c>
      <c r="T1225" s="18" t="b">
        <v>0</v>
      </c>
      <c r="U1225" s="18" t="s">
        <v>187</v>
      </c>
      <c r="V1225" s="18" t="s">
        <v>40</v>
      </c>
      <c r="W1225" s="18" t="s">
        <v>151</v>
      </c>
      <c r="X1225" s="18" t="s">
        <v>152</v>
      </c>
      <c r="Y1225" s="18">
        <v>1</v>
      </c>
      <c r="Z1225" s="18">
        <v>280000</v>
      </c>
      <c r="AA1225" s="31" t="s">
        <v>2857</v>
      </c>
      <c r="AB1225" s="18" t="s">
        <v>1944</v>
      </c>
      <c r="AC1225" s="18" t="s">
        <v>200</v>
      </c>
    </row>
    <row r="1226" s="18" customFormat="1" spans="1:29">
      <c r="A1226" s="18" t="s">
        <v>2858</v>
      </c>
      <c r="B1226" s="25" t="s">
        <v>2858</v>
      </c>
      <c r="C1226" s="26">
        <v>45699</v>
      </c>
      <c r="D1226" s="18" t="s">
        <v>2859</v>
      </c>
      <c r="E1226" s="18" t="str">
        <f t="shared" si="19"/>
        <v>Tryokart (Happay)</v>
      </c>
      <c r="F1226" s="27" t="s">
        <v>2860</v>
      </c>
      <c r="G1226" s="18" t="s">
        <v>182</v>
      </c>
      <c r="H1226" s="18" t="s">
        <v>183</v>
      </c>
      <c r="I1226" s="18" t="s">
        <v>184</v>
      </c>
      <c r="J1226" s="18" t="s">
        <v>2319</v>
      </c>
      <c r="K1226" s="18" t="s">
        <v>56</v>
      </c>
      <c r="L1226" s="18" t="s">
        <v>36</v>
      </c>
      <c r="N1226" s="18">
        <v>6</v>
      </c>
      <c r="O1226" s="18" t="s">
        <v>57</v>
      </c>
      <c r="P1226" s="18" t="s">
        <v>38</v>
      </c>
      <c r="Q1226" s="18" t="s">
        <v>194</v>
      </c>
      <c r="R1226" s="18" t="s">
        <v>59</v>
      </c>
      <c r="S1226" s="18" t="s">
        <v>195</v>
      </c>
      <c r="T1226" s="18" t="b">
        <v>0</v>
      </c>
      <c r="U1226" s="18" t="s">
        <v>187</v>
      </c>
      <c r="V1226" s="18" t="s">
        <v>40</v>
      </c>
      <c r="W1226" s="18" t="s">
        <v>140</v>
      </c>
      <c r="X1226" s="18" t="s">
        <v>141</v>
      </c>
      <c r="Y1226" s="18">
        <v>1</v>
      </c>
      <c r="Z1226" s="18">
        <v>23000</v>
      </c>
      <c r="AA1226" s="18" t="s">
        <v>469</v>
      </c>
      <c r="AB1226" s="18" t="s">
        <v>470</v>
      </c>
      <c r="AC1226" s="18" t="s">
        <v>200</v>
      </c>
    </row>
    <row r="1227" s="18" customFormat="1" spans="1:29">
      <c r="A1227" s="18" t="s">
        <v>2861</v>
      </c>
      <c r="B1227" s="25" t="s">
        <v>2861</v>
      </c>
      <c r="C1227" s="26">
        <v>45699</v>
      </c>
      <c r="D1227" s="18" t="s">
        <v>1984</v>
      </c>
      <c r="E1227" s="18" t="str">
        <f t="shared" si="19"/>
        <v>Razzmatazz Ventures Pvt Ltd</v>
      </c>
      <c r="F1227" s="27" t="s">
        <v>1985</v>
      </c>
      <c r="G1227" s="18" t="s">
        <v>182</v>
      </c>
      <c r="H1227" s="18" t="s">
        <v>183</v>
      </c>
      <c r="I1227" s="18" t="s">
        <v>184</v>
      </c>
      <c r="J1227" s="18" t="s">
        <v>2775</v>
      </c>
      <c r="K1227" s="18" t="s">
        <v>56</v>
      </c>
      <c r="L1227" s="18" t="s">
        <v>36</v>
      </c>
      <c r="N1227" s="18">
        <v>6</v>
      </c>
      <c r="O1227" s="18" t="s">
        <v>88</v>
      </c>
      <c r="P1227" s="18" t="s">
        <v>38</v>
      </c>
      <c r="Q1227" s="18" t="s">
        <v>117</v>
      </c>
      <c r="R1227" s="18" t="s">
        <v>59</v>
      </c>
      <c r="S1227" s="18" t="s">
        <v>186</v>
      </c>
      <c r="T1227" s="18" t="b">
        <v>0</v>
      </c>
      <c r="U1227" s="18" t="s">
        <v>187</v>
      </c>
      <c r="V1227" s="18" t="s">
        <v>40</v>
      </c>
      <c r="W1227" s="18" t="s">
        <v>317</v>
      </c>
      <c r="X1227" s="18" t="s">
        <v>318</v>
      </c>
      <c r="Y1227" s="18">
        <v>1</v>
      </c>
      <c r="Z1227" s="18">
        <v>2700900</v>
      </c>
      <c r="AA1227" s="18" t="s">
        <v>2776</v>
      </c>
      <c r="AB1227" s="18" t="s">
        <v>811</v>
      </c>
      <c r="AC1227" s="18" t="s">
        <v>216</v>
      </c>
    </row>
    <row r="1228" s="18" customFormat="1" spans="1:29">
      <c r="A1228" s="18" t="s">
        <v>2862</v>
      </c>
      <c r="B1228" s="25" t="s">
        <v>2862</v>
      </c>
      <c r="C1228" s="26">
        <v>45699</v>
      </c>
      <c r="D1228" s="18" t="s">
        <v>590</v>
      </c>
      <c r="E1228" s="18" t="str">
        <f t="shared" si="19"/>
        <v>Rak Lead Events</v>
      </c>
      <c r="F1228" s="27" t="s">
        <v>591</v>
      </c>
      <c r="G1228" s="18" t="s">
        <v>182</v>
      </c>
      <c r="H1228" s="18" t="s">
        <v>183</v>
      </c>
      <c r="I1228" s="18" t="s">
        <v>184</v>
      </c>
      <c r="J1228" s="18" t="s">
        <v>2775</v>
      </c>
      <c r="K1228" s="18" t="s">
        <v>56</v>
      </c>
      <c r="L1228" s="18" t="s">
        <v>36</v>
      </c>
      <c r="N1228" s="18">
        <v>6</v>
      </c>
      <c r="O1228" s="18" t="s">
        <v>88</v>
      </c>
      <c r="P1228" s="18" t="s">
        <v>38</v>
      </c>
      <c r="Q1228" s="18" t="s">
        <v>117</v>
      </c>
      <c r="R1228" s="18" t="s">
        <v>59</v>
      </c>
      <c r="S1228" s="18" t="s">
        <v>186</v>
      </c>
      <c r="T1228" s="18" t="b">
        <v>0</v>
      </c>
      <c r="U1228" s="18" t="s">
        <v>187</v>
      </c>
      <c r="V1228" s="18" t="s">
        <v>40</v>
      </c>
      <c r="W1228" s="18" t="s">
        <v>317</v>
      </c>
      <c r="X1228" s="18" t="s">
        <v>318</v>
      </c>
      <c r="Y1228" s="18">
        <v>1</v>
      </c>
      <c r="Z1228" s="18">
        <v>50700</v>
      </c>
      <c r="AA1228" s="18" t="s">
        <v>2776</v>
      </c>
      <c r="AB1228" s="18" t="s">
        <v>811</v>
      </c>
      <c r="AC1228" s="18" t="s">
        <v>216</v>
      </c>
    </row>
    <row r="1229" s="18" customFormat="1" spans="1:29">
      <c r="A1229" s="18" t="s">
        <v>2863</v>
      </c>
      <c r="B1229" s="25" t="s">
        <v>2863</v>
      </c>
      <c r="C1229" s="26">
        <v>45699</v>
      </c>
      <c r="D1229" s="18" t="s">
        <v>860</v>
      </c>
      <c r="E1229" s="18" t="str">
        <f t="shared" si="19"/>
        <v>Mahendra Mane </v>
      </c>
      <c r="F1229" s="27" t="e">
        <v>#N/A</v>
      </c>
      <c r="G1229" s="18" t="s">
        <v>182</v>
      </c>
      <c r="H1229" s="18" t="s">
        <v>183</v>
      </c>
      <c r="I1229" s="18" t="s">
        <v>481</v>
      </c>
      <c r="J1229" s="18" t="s">
        <v>1995</v>
      </c>
      <c r="K1229" s="18" t="s">
        <v>56</v>
      </c>
      <c r="L1229" s="18" t="s">
        <v>36</v>
      </c>
      <c r="N1229" s="18">
        <v>6</v>
      </c>
      <c r="O1229" s="18" t="s">
        <v>93</v>
      </c>
      <c r="P1229" s="18" t="s">
        <v>38</v>
      </c>
      <c r="Q1229" s="18" t="s">
        <v>194</v>
      </c>
      <c r="R1229" s="18" t="s">
        <v>59</v>
      </c>
      <c r="S1229" s="18" t="s">
        <v>195</v>
      </c>
      <c r="T1229" s="18" t="b">
        <v>0</v>
      </c>
      <c r="U1229" s="18" t="s">
        <v>187</v>
      </c>
      <c r="V1229" s="18" t="s">
        <v>40</v>
      </c>
      <c r="W1229" s="18" t="s">
        <v>317</v>
      </c>
      <c r="X1229" s="18" t="s">
        <v>318</v>
      </c>
      <c r="Y1229" s="18">
        <v>1</v>
      </c>
      <c r="Z1229" s="18">
        <v>12130</v>
      </c>
      <c r="AC1229" s="18" t="e">
        <v>#N/A</v>
      </c>
    </row>
    <row r="1230" s="18" customFormat="1" spans="1:29">
      <c r="A1230" s="18" t="s">
        <v>2864</v>
      </c>
      <c r="B1230" s="25" t="s">
        <v>2864</v>
      </c>
      <c r="C1230" s="26">
        <v>45699</v>
      </c>
      <c r="D1230" s="18" t="s">
        <v>860</v>
      </c>
      <c r="E1230" s="18" t="str">
        <f t="shared" si="19"/>
        <v>Mahendra Mane </v>
      </c>
      <c r="F1230" s="27" t="e">
        <v>#N/A</v>
      </c>
      <c r="G1230" s="18" t="s">
        <v>182</v>
      </c>
      <c r="H1230" s="18" t="s">
        <v>183</v>
      </c>
      <c r="I1230" s="18" t="s">
        <v>481</v>
      </c>
      <c r="J1230" s="18" t="s">
        <v>1995</v>
      </c>
      <c r="K1230" s="18" t="s">
        <v>56</v>
      </c>
      <c r="L1230" s="18" t="s">
        <v>36</v>
      </c>
      <c r="N1230" s="18">
        <v>6</v>
      </c>
      <c r="O1230" s="18" t="s">
        <v>93</v>
      </c>
      <c r="P1230" s="18" t="s">
        <v>38</v>
      </c>
      <c r="Q1230" s="18" t="s">
        <v>194</v>
      </c>
      <c r="R1230" s="18" t="s">
        <v>59</v>
      </c>
      <c r="S1230" s="18" t="s">
        <v>195</v>
      </c>
      <c r="T1230" s="18" t="b">
        <v>0</v>
      </c>
      <c r="U1230" s="18" t="s">
        <v>187</v>
      </c>
      <c r="V1230" s="18" t="s">
        <v>40</v>
      </c>
      <c r="W1230" s="18" t="s">
        <v>317</v>
      </c>
      <c r="X1230" s="18" t="s">
        <v>318</v>
      </c>
      <c r="Y1230" s="18">
        <v>1</v>
      </c>
      <c r="Z1230" s="18">
        <v>51722</v>
      </c>
      <c r="AC1230" s="18" t="e">
        <v>#N/A</v>
      </c>
    </row>
    <row r="1231" s="18" customFormat="1" spans="1:29">
      <c r="A1231" s="18" t="s">
        <v>2865</v>
      </c>
      <c r="B1231" s="25" t="s">
        <v>2865</v>
      </c>
      <c r="C1231" s="26">
        <v>45699</v>
      </c>
      <c r="D1231" s="18" t="s">
        <v>1404</v>
      </c>
      <c r="E1231" s="18" t="str">
        <f t="shared" si="19"/>
        <v>Mohammad Danish  </v>
      </c>
      <c r="F1231" s="27" t="s">
        <v>1405</v>
      </c>
      <c r="G1231" s="18" t="s">
        <v>182</v>
      </c>
      <c r="H1231" s="18" t="s">
        <v>183</v>
      </c>
      <c r="I1231" s="18" t="s">
        <v>481</v>
      </c>
      <c r="J1231" s="18" t="s">
        <v>1889</v>
      </c>
      <c r="K1231" s="18" t="s">
        <v>56</v>
      </c>
      <c r="L1231" s="18" t="s">
        <v>36</v>
      </c>
      <c r="N1231" s="18">
        <v>6</v>
      </c>
      <c r="O1231" s="18" t="s">
        <v>93</v>
      </c>
      <c r="P1231" s="18" t="s">
        <v>38</v>
      </c>
      <c r="Q1231" s="18" t="s">
        <v>194</v>
      </c>
      <c r="R1231" s="18" t="s">
        <v>59</v>
      </c>
      <c r="S1231" s="18" t="s">
        <v>195</v>
      </c>
      <c r="T1231" s="18" t="b">
        <v>0</v>
      </c>
      <c r="U1231" s="18" t="s">
        <v>187</v>
      </c>
      <c r="V1231" s="18" t="s">
        <v>40</v>
      </c>
      <c r="W1231" s="18" t="s">
        <v>126</v>
      </c>
      <c r="X1231" s="18" t="s">
        <v>127</v>
      </c>
      <c r="Y1231" s="18">
        <v>1</v>
      </c>
      <c r="Z1231" s="18">
        <v>860</v>
      </c>
      <c r="AC1231" s="18" t="e">
        <v>#N/A</v>
      </c>
    </row>
    <row r="1232" s="18" customFormat="1" spans="1:29">
      <c r="A1232" s="18" t="s">
        <v>2866</v>
      </c>
      <c r="B1232" s="25" t="s">
        <v>2866</v>
      </c>
      <c r="C1232" s="26">
        <v>45699</v>
      </c>
      <c r="D1232" s="18" t="s">
        <v>593</v>
      </c>
      <c r="E1232" s="18" t="str">
        <f t="shared" si="19"/>
        <v>Sportocraft Enterprises</v>
      </c>
      <c r="F1232" s="27" t="s">
        <v>594</v>
      </c>
      <c r="G1232" s="18" t="s">
        <v>182</v>
      </c>
      <c r="H1232" s="18" t="s">
        <v>183</v>
      </c>
      <c r="I1232" s="18" t="s">
        <v>184</v>
      </c>
      <c r="J1232" s="18" t="s">
        <v>2775</v>
      </c>
      <c r="K1232" s="18" t="s">
        <v>56</v>
      </c>
      <c r="L1232" s="18" t="s">
        <v>36</v>
      </c>
      <c r="N1232" s="18">
        <v>6</v>
      </c>
      <c r="O1232" s="18" t="s">
        <v>88</v>
      </c>
      <c r="P1232" s="18" t="s">
        <v>38</v>
      </c>
      <c r="Q1232" s="18" t="s">
        <v>117</v>
      </c>
      <c r="R1232" s="18" t="s">
        <v>59</v>
      </c>
      <c r="S1232" s="18" t="s">
        <v>186</v>
      </c>
      <c r="T1232" s="18" t="b">
        <v>0</v>
      </c>
      <c r="U1232" s="18" t="s">
        <v>187</v>
      </c>
      <c r="V1232" s="18" t="s">
        <v>40</v>
      </c>
      <c r="W1232" s="18" t="s">
        <v>317</v>
      </c>
      <c r="X1232" s="18" t="s">
        <v>318</v>
      </c>
      <c r="Y1232" s="18">
        <v>1</v>
      </c>
      <c r="Z1232" s="18">
        <v>50000</v>
      </c>
      <c r="AA1232" s="18" t="s">
        <v>2776</v>
      </c>
      <c r="AB1232" s="18" t="s">
        <v>811</v>
      </c>
      <c r="AC1232" s="18" t="s">
        <v>200</v>
      </c>
    </row>
    <row r="1233" s="18" customFormat="1" spans="1:29">
      <c r="A1233" s="18" t="s">
        <v>2867</v>
      </c>
      <c r="B1233" s="25" t="s">
        <v>2867</v>
      </c>
      <c r="C1233" s="26">
        <v>45699</v>
      </c>
      <c r="D1233" s="18" t="s">
        <v>732</v>
      </c>
      <c r="E1233" s="18" t="str">
        <f t="shared" si="19"/>
        <v>Musafir.Com India Pvt Ltd</v>
      </c>
      <c r="F1233" s="27" t="s">
        <v>733</v>
      </c>
      <c r="G1233" s="18" t="s">
        <v>182</v>
      </c>
      <c r="H1233" s="18" t="s">
        <v>183</v>
      </c>
      <c r="I1233" s="18" t="s">
        <v>184</v>
      </c>
      <c r="J1233" s="18" t="s">
        <v>139</v>
      </c>
      <c r="K1233" s="18" t="s">
        <v>56</v>
      </c>
      <c r="L1233" s="18" t="s">
        <v>36</v>
      </c>
      <c r="N1233" s="18">
        <v>6</v>
      </c>
      <c r="O1233" s="18" t="s">
        <v>57</v>
      </c>
      <c r="P1233" s="18" t="s">
        <v>38</v>
      </c>
      <c r="Q1233" s="18" t="s">
        <v>58</v>
      </c>
      <c r="R1233" s="18" t="s">
        <v>59</v>
      </c>
      <c r="S1233" s="18" t="s">
        <v>60</v>
      </c>
      <c r="T1233" s="18" t="b">
        <v>0</v>
      </c>
      <c r="U1233" s="18" t="s">
        <v>187</v>
      </c>
      <c r="V1233" s="18" t="s">
        <v>40</v>
      </c>
      <c r="W1233" s="18" t="s">
        <v>734</v>
      </c>
      <c r="X1233" s="18" t="s">
        <v>735</v>
      </c>
      <c r="Y1233" s="18">
        <v>1</v>
      </c>
      <c r="Z1233" s="18">
        <v>286794</v>
      </c>
      <c r="AA1233" s="18" t="s">
        <v>736</v>
      </c>
      <c r="AB1233" s="18" t="s">
        <v>737</v>
      </c>
      <c r="AC1233" s="18" t="e">
        <v>#N/A</v>
      </c>
    </row>
    <row r="1234" s="20" customFormat="1" spans="1:29">
      <c r="A1234" s="20" t="s">
        <v>2868</v>
      </c>
      <c r="B1234" s="33" t="s">
        <v>2868</v>
      </c>
      <c r="C1234" s="34">
        <v>45699</v>
      </c>
      <c r="D1234" s="20" t="s">
        <v>1404</v>
      </c>
      <c r="E1234" s="20" t="str">
        <f t="shared" si="19"/>
        <v>Mohammad Danish  </v>
      </c>
      <c r="F1234" s="27" t="s">
        <v>1405</v>
      </c>
      <c r="G1234" s="20" t="s">
        <v>182</v>
      </c>
      <c r="H1234" s="20" t="s">
        <v>183</v>
      </c>
      <c r="I1234" s="20" t="s">
        <v>2869</v>
      </c>
      <c r="J1234" s="20" t="s">
        <v>2319</v>
      </c>
      <c r="K1234" s="20" t="s">
        <v>56</v>
      </c>
      <c r="L1234" s="20" t="s">
        <v>36</v>
      </c>
      <c r="N1234" s="20">
        <v>6</v>
      </c>
      <c r="O1234" s="20" t="s">
        <v>93</v>
      </c>
      <c r="P1234" s="20" t="s">
        <v>38</v>
      </c>
      <c r="Q1234" s="20" t="s">
        <v>194</v>
      </c>
      <c r="R1234" s="20" t="s">
        <v>59</v>
      </c>
      <c r="S1234" s="20" t="s">
        <v>195</v>
      </c>
      <c r="T1234" s="20" t="b">
        <v>0</v>
      </c>
      <c r="U1234" s="20" t="s">
        <v>187</v>
      </c>
      <c r="V1234" s="20" t="s">
        <v>40</v>
      </c>
      <c r="W1234" s="20" t="s">
        <v>126</v>
      </c>
      <c r="X1234" s="20" t="s">
        <v>127</v>
      </c>
      <c r="Y1234" s="20">
        <v>1</v>
      </c>
      <c r="Z1234" s="20">
        <v>1307</v>
      </c>
      <c r="AC1234" s="20" t="e">
        <v>#N/A</v>
      </c>
    </row>
    <row r="1235" s="18" customFormat="1" ht="29" spans="1:29">
      <c r="A1235" s="18" t="s">
        <v>2870</v>
      </c>
      <c r="B1235" s="25" t="s">
        <v>2870</v>
      </c>
      <c r="C1235" s="26">
        <v>45699</v>
      </c>
      <c r="D1235" s="18" t="s">
        <v>775</v>
      </c>
      <c r="E1235" s="18" t="str">
        <f t="shared" si="19"/>
        <v>Login Enterprises</v>
      </c>
      <c r="F1235" s="27" t="s">
        <v>776</v>
      </c>
      <c r="G1235" s="18" t="s">
        <v>182</v>
      </c>
      <c r="H1235" s="18" t="s">
        <v>183</v>
      </c>
      <c r="I1235" s="18" t="s">
        <v>184</v>
      </c>
      <c r="J1235" s="18" t="s">
        <v>793</v>
      </c>
      <c r="K1235" s="18" t="s">
        <v>56</v>
      </c>
      <c r="L1235" s="18" t="s">
        <v>36</v>
      </c>
      <c r="N1235" s="18">
        <v>6</v>
      </c>
      <c r="O1235" s="18" t="s">
        <v>88</v>
      </c>
      <c r="P1235" s="18" t="s">
        <v>38</v>
      </c>
      <c r="Q1235" s="18" t="s">
        <v>194</v>
      </c>
      <c r="R1235" s="18" t="s">
        <v>59</v>
      </c>
      <c r="S1235" s="18" t="s">
        <v>195</v>
      </c>
      <c r="T1235" s="18" t="b">
        <v>0</v>
      </c>
      <c r="U1235" s="18" t="s">
        <v>187</v>
      </c>
      <c r="V1235" s="18" t="s">
        <v>40</v>
      </c>
      <c r="W1235" s="18" t="s">
        <v>196</v>
      </c>
      <c r="X1235" s="18" t="s">
        <v>197</v>
      </c>
      <c r="Y1235" s="18">
        <v>1</v>
      </c>
      <c r="Z1235" s="18">
        <v>27605.01</v>
      </c>
      <c r="AA1235" s="31" t="s">
        <v>1565</v>
      </c>
      <c r="AB1235" s="18" t="s">
        <v>1566</v>
      </c>
      <c r="AC1235" s="18" t="s">
        <v>200</v>
      </c>
    </row>
    <row r="1236" s="18" customFormat="1" ht="43.5" spans="1:29">
      <c r="A1236" s="18" t="s">
        <v>2871</v>
      </c>
      <c r="B1236" s="25" t="s">
        <v>2871</v>
      </c>
      <c r="C1236" s="26">
        <v>45700</v>
      </c>
      <c r="D1236" s="18" t="s">
        <v>2872</v>
      </c>
      <c r="E1236" s="18" t="str">
        <f t="shared" si="19"/>
        <v>Shashank Technologies</v>
      </c>
      <c r="F1236" s="27" t="s">
        <v>2873</v>
      </c>
      <c r="G1236" s="18" t="s">
        <v>32</v>
      </c>
      <c r="H1236" s="18" t="s">
        <v>33</v>
      </c>
      <c r="I1236" s="18" t="s">
        <v>184</v>
      </c>
      <c r="J1236" s="18" t="s">
        <v>2591</v>
      </c>
      <c r="K1236" s="18" t="s">
        <v>56</v>
      </c>
      <c r="L1236" s="18" t="s">
        <v>36</v>
      </c>
      <c r="N1236" s="18">
        <v>6</v>
      </c>
      <c r="O1236" s="18" t="s">
        <v>88</v>
      </c>
      <c r="P1236" s="18" t="s">
        <v>38</v>
      </c>
      <c r="Q1236" s="18" t="s">
        <v>194</v>
      </c>
      <c r="R1236" s="18" t="s">
        <v>59</v>
      </c>
      <c r="S1236" s="18" t="s">
        <v>195</v>
      </c>
      <c r="T1236" s="18" t="b">
        <v>1</v>
      </c>
      <c r="U1236" s="18" t="s">
        <v>39</v>
      </c>
      <c r="V1236" s="18" t="s">
        <v>40</v>
      </c>
      <c r="W1236" s="18" t="s">
        <v>196</v>
      </c>
      <c r="X1236" s="18" t="s">
        <v>197</v>
      </c>
      <c r="Y1236" s="18">
        <v>1</v>
      </c>
      <c r="Z1236" s="18">
        <v>11400</v>
      </c>
      <c r="AA1236" s="31" t="s">
        <v>2874</v>
      </c>
      <c r="AB1236" s="18" t="s">
        <v>90</v>
      </c>
      <c r="AC1236" s="18" t="s">
        <v>43</v>
      </c>
    </row>
    <row r="1237" s="18" customFormat="1" ht="43.5" spans="1:29">
      <c r="A1237" s="18" t="s">
        <v>2875</v>
      </c>
      <c r="B1237" s="25" t="s">
        <v>2875</v>
      </c>
      <c r="C1237" s="26">
        <v>45700</v>
      </c>
      <c r="D1237" s="18" t="s">
        <v>2872</v>
      </c>
      <c r="E1237" s="18" t="str">
        <f t="shared" si="19"/>
        <v>Shashank Technologies</v>
      </c>
      <c r="F1237" s="27" t="s">
        <v>2873</v>
      </c>
      <c r="G1237" s="18" t="s">
        <v>32</v>
      </c>
      <c r="H1237" s="18" t="s">
        <v>33</v>
      </c>
      <c r="I1237" s="18" t="s">
        <v>184</v>
      </c>
      <c r="J1237" s="18" t="s">
        <v>139</v>
      </c>
      <c r="K1237" s="18" t="s">
        <v>56</v>
      </c>
      <c r="L1237" s="18" t="s">
        <v>36</v>
      </c>
      <c r="N1237" s="18">
        <v>6</v>
      </c>
      <c r="O1237" s="18" t="s">
        <v>88</v>
      </c>
      <c r="P1237" s="18" t="s">
        <v>38</v>
      </c>
      <c r="Q1237" s="18" t="s">
        <v>58</v>
      </c>
      <c r="R1237" s="18" t="s">
        <v>59</v>
      </c>
      <c r="S1237" s="18" t="s">
        <v>60</v>
      </c>
      <c r="T1237" s="18" t="b">
        <v>1</v>
      </c>
      <c r="U1237" s="18" t="s">
        <v>39</v>
      </c>
      <c r="V1237" s="18" t="s">
        <v>40</v>
      </c>
      <c r="W1237" s="18" t="s">
        <v>196</v>
      </c>
      <c r="X1237" s="18" t="s">
        <v>197</v>
      </c>
      <c r="Y1237" s="18">
        <v>1</v>
      </c>
      <c r="Z1237" s="18">
        <v>2850</v>
      </c>
      <c r="AA1237" s="31" t="s">
        <v>2874</v>
      </c>
      <c r="AB1237" s="18" t="s">
        <v>90</v>
      </c>
      <c r="AC1237" s="18" t="s">
        <v>43</v>
      </c>
    </row>
    <row r="1238" s="18" customFormat="1" spans="1:29">
      <c r="A1238" s="18" t="s">
        <v>2876</v>
      </c>
      <c r="B1238" s="25" t="s">
        <v>2876</v>
      </c>
      <c r="C1238" s="26">
        <v>45700</v>
      </c>
      <c r="D1238" s="18" t="s">
        <v>284</v>
      </c>
      <c r="E1238" s="18" t="str">
        <f t="shared" si="19"/>
        <v>Abdul Rehman </v>
      </c>
      <c r="F1238" s="27" t="e">
        <v>#N/A</v>
      </c>
      <c r="G1238" s="18" t="s">
        <v>32</v>
      </c>
      <c r="H1238" s="18" t="s">
        <v>33</v>
      </c>
      <c r="I1238" s="18" t="s">
        <v>1246</v>
      </c>
      <c r="J1238" s="18" t="s">
        <v>139</v>
      </c>
      <c r="K1238" s="18" t="s">
        <v>56</v>
      </c>
      <c r="L1238" s="18" t="s">
        <v>36</v>
      </c>
      <c r="N1238" s="18">
        <v>6</v>
      </c>
      <c r="O1238" s="18" t="s">
        <v>93</v>
      </c>
      <c r="P1238" s="18" t="s">
        <v>38</v>
      </c>
      <c r="Q1238" s="18" t="s">
        <v>58</v>
      </c>
      <c r="R1238" s="18" t="s">
        <v>59</v>
      </c>
      <c r="S1238" s="18" t="s">
        <v>60</v>
      </c>
      <c r="T1238" s="18" t="b">
        <v>1</v>
      </c>
      <c r="U1238" s="18" t="s">
        <v>39</v>
      </c>
      <c r="V1238" s="18" t="s">
        <v>40</v>
      </c>
      <c r="W1238" s="18" t="s">
        <v>292</v>
      </c>
      <c r="X1238" s="18" t="s">
        <v>293</v>
      </c>
      <c r="Y1238" s="18">
        <v>1</v>
      </c>
      <c r="Z1238" s="18">
        <v>5500</v>
      </c>
      <c r="AA1238" s="18" t="s">
        <v>128</v>
      </c>
      <c r="AB1238" s="18" t="s">
        <v>129</v>
      </c>
      <c r="AC1238" s="18" t="e">
        <v>#N/A</v>
      </c>
    </row>
    <row r="1239" s="18" customFormat="1" spans="1:29">
      <c r="A1239" s="18" t="s">
        <v>2877</v>
      </c>
      <c r="B1239" s="25" t="s">
        <v>2877</v>
      </c>
      <c r="C1239" s="26">
        <v>45700</v>
      </c>
      <c r="D1239" s="18" t="s">
        <v>284</v>
      </c>
      <c r="E1239" s="18" t="str">
        <f t="shared" si="19"/>
        <v>Abdul Rehman </v>
      </c>
      <c r="F1239" s="27" t="e">
        <v>#N/A</v>
      </c>
      <c r="G1239" s="18" t="s">
        <v>32</v>
      </c>
      <c r="H1239" s="18" t="s">
        <v>33</v>
      </c>
      <c r="I1239" s="18" t="s">
        <v>1246</v>
      </c>
      <c r="J1239" s="18" t="s">
        <v>280</v>
      </c>
      <c r="K1239" s="18" t="s">
        <v>56</v>
      </c>
      <c r="L1239" s="18" t="s">
        <v>36</v>
      </c>
      <c r="N1239" s="18">
        <v>6</v>
      </c>
      <c r="O1239" s="18" t="s">
        <v>93</v>
      </c>
      <c r="P1239" s="18" t="s">
        <v>38</v>
      </c>
      <c r="Q1239" s="18" t="s">
        <v>194</v>
      </c>
      <c r="R1239" s="18" t="s">
        <v>59</v>
      </c>
      <c r="S1239" s="18" t="s">
        <v>195</v>
      </c>
      <c r="T1239" s="18" t="b">
        <v>1</v>
      </c>
      <c r="U1239" s="18" t="s">
        <v>39</v>
      </c>
      <c r="V1239" s="18" t="s">
        <v>40</v>
      </c>
      <c r="W1239" s="18" t="s">
        <v>292</v>
      </c>
      <c r="X1239" s="18" t="s">
        <v>293</v>
      </c>
      <c r="Y1239" s="18">
        <v>1</v>
      </c>
      <c r="Z1239" s="18">
        <v>8500</v>
      </c>
      <c r="AA1239" s="18" t="s">
        <v>128</v>
      </c>
      <c r="AB1239" s="18" t="s">
        <v>129</v>
      </c>
      <c r="AC1239" s="18" t="e">
        <v>#N/A</v>
      </c>
    </row>
    <row r="1240" s="18" customFormat="1" spans="1:29">
      <c r="A1240" s="18" t="s">
        <v>2878</v>
      </c>
      <c r="B1240" s="25" t="s">
        <v>2878</v>
      </c>
      <c r="C1240" s="26">
        <v>45700</v>
      </c>
      <c r="D1240" s="18" t="s">
        <v>284</v>
      </c>
      <c r="E1240" s="18" t="str">
        <f t="shared" si="19"/>
        <v>Abdul Rehman </v>
      </c>
      <c r="F1240" s="27" t="e">
        <v>#N/A</v>
      </c>
      <c r="G1240" s="18" t="s">
        <v>32</v>
      </c>
      <c r="H1240" s="18" t="s">
        <v>33</v>
      </c>
      <c r="I1240" s="18" t="s">
        <v>1246</v>
      </c>
      <c r="J1240" s="18" t="s">
        <v>1118</v>
      </c>
      <c r="K1240" s="18" t="s">
        <v>56</v>
      </c>
      <c r="L1240" s="18" t="s">
        <v>36</v>
      </c>
      <c r="N1240" s="18">
        <v>6</v>
      </c>
      <c r="O1240" s="18" t="s">
        <v>93</v>
      </c>
      <c r="P1240" s="18" t="s">
        <v>38</v>
      </c>
      <c r="Q1240" s="18" t="s">
        <v>58</v>
      </c>
      <c r="R1240" s="18" t="s">
        <v>59</v>
      </c>
      <c r="S1240" s="18" t="s">
        <v>60</v>
      </c>
      <c r="T1240" s="18" t="b">
        <v>1</v>
      </c>
      <c r="U1240" s="18" t="s">
        <v>39</v>
      </c>
      <c r="V1240" s="18" t="s">
        <v>40</v>
      </c>
      <c r="W1240" s="18" t="s">
        <v>292</v>
      </c>
      <c r="X1240" s="18" t="s">
        <v>293</v>
      </c>
      <c r="Y1240" s="18">
        <v>1</v>
      </c>
      <c r="Z1240" s="18">
        <v>4500</v>
      </c>
      <c r="AA1240" s="18" t="s">
        <v>128</v>
      </c>
      <c r="AB1240" s="18" t="s">
        <v>129</v>
      </c>
      <c r="AC1240" s="18" t="e">
        <v>#N/A</v>
      </c>
    </row>
    <row r="1241" s="18" customFormat="1" spans="1:29">
      <c r="A1241" s="18" t="s">
        <v>2879</v>
      </c>
      <c r="B1241" s="25" t="s">
        <v>2879</v>
      </c>
      <c r="C1241" s="26">
        <v>45700</v>
      </c>
      <c r="D1241" s="18" t="s">
        <v>284</v>
      </c>
      <c r="E1241" s="18" t="str">
        <f t="shared" si="19"/>
        <v>Abdul Rehman </v>
      </c>
      <c r="F1241" s="27" t="e">
        <v>#N/A</v>
      </c>
      <c r="G1241" s="18" t="s">
        <v>32</v>
      </c>
      <c r="H1241" s="18" t="s">
        <v>33</v>
      </c>
      <c r="I1241" s="18" t="s">
        <v>1246</v>
      </c>
      <c r="J1241" s="18" t="s">
        <v>2160</v>
      </c>
      <c r="K1241" s="18" t="s">
        <v>56</v>
      </c>
      <c r="L1241" s="18" t="s">
        <v>36</v>
      </c>
      <c r="N1241" s="18">
        <v>6</v>
      </c>
      <c r="O1241" s="18" t="s">
        <v>93</v>
      </c>
      <c r="P1241" s="18" t="s">
        <v>38</v>
      </c>
      <c r="Q1241" s="18" t="s">
        <v>194</v>
      </c>
      <c r="R1241" s="18" t="s">
        <v>59</v>
      </c>
      <c r="S1241" s="18" t="s">
        <v>195</v>
      </c>
      <c r="T1241" s="18" t="b">
        <v>1</v>
      </c>
      <c r="U1241" s="18" t="s">
        <v>39</v>
      </c>
      <c r="V1241" s="18" t="s">
        <v>40</v>
      </c>
      <c r="W1241" s="18" t="s">
        <v>126</v>
      </c>
      <c r="X1241" s="18" t="s">
        <v>127</v>
      </c>
      <c r="Y1241" s="18">
        <v>1</v>
      </c>
      <c r="Z1241" s="18">
        <v>6300</v>
      </c>
      <c r="AA1241" s="18" t="s">
        <v>2880</v>
      </c>
      <c r="AB1241" s="18" t="s">
        <v>2279</v>
      </c>
      <c r="AC1241" s="18" t="e">
        <v>#N/A</v>
      </c>
    </row>
    <row r="1242" s="18" customFormat="1" spans="1:29">
      <c r="A1242" s="18" t="s">
        <v>2881</v>
      </c>
      <c r="B1242" s="25" t="s">
        <v>2881</v>
      </c>
      <c r="C1242" s="26">
        <v>45700</v>
      </c>
      <c r="D1242" s="18" t="s">
        <v>284</v>
      </c>
      <c r="E1242" s="18" t="str">
        <f t="shared" si="19"/>
        <v>Abdul Rehman </v>
      </c>
      <c r="F1242" s="27" t="e">
        <v>#N/A</v>
      </c>
      <c r="G1242" s="18" t="s">
        <v>32</v>
      </c>
      <c r="H1242" s="18" t="s">
        <v>33</v>
      </c>
      <c r="I1242" s="18" t="s">
        <v>1246</v>
      </c>
      <c r="J1242" s="18" t="s">
        <v>989</v>
      </c>
      <c r="K1242" s="18" t="s">
        <v>56</v>
      </c>
      <c r="L1242" s="18" t="s">
        <v>36</v>
      </c>
      <c r="N1242" s="18">
        <v>6</v>
      </c>
      <c r="O1242" s="18" t="s">
        <v>93</v>
      </c>
      <c r="P1242" s="18" t="s">
        <v>38</v>
      </c>
      <c r="Q1242" s="18" t="s">
        <v>194</v>
      </c>
      <c r="R1242" s="18" t="s">
        <v>59</v>
      </c>
      <c r="S1242" s="18" t="s">
        <v>195</v>
      </c>
      <c r="T1242" s="18" t="b">
        <v>1</v>
      </c>
      <c r="U1242" s="18" t="s">
        <v>39</v>
      </c>
      <c r="V1242" s="18" t="s">
        <v>40</v>
      </c>
      <c r="W1242" s="18" t="s">
        <v>233</v>
      </c>
      <c r="X1242" s="18" t="s">
        <v>234</v>
      </c>
      <c r="Y1242" s="18">
        <v>1</v>
      </c>
      <c r="Z1242" s="18">
        <v>14250</v>
      </c>
      <c r="AA1242" s="18" t="s">
        <v>128</v>
      </c>
      <c r="AB1242" s="18" t="s">
        <v>129</v>
      </c>
      <c r="AC1242" s="18" t="e">
        <v>#N/A</v>
      </c>
    </row>
    <row r="1243" s="18" customFormat="1" spans="1:29">
      <c r="A1243" s="18" t="s">
        <v>2882</v>
      </c>
      <c r="B1243" s="25" t="s">
        <v>2882</v>
      </c>
      <c r="C1243" s="26">
        <v>45700</v>
      </c>
      <c r="D1243" s="18" t="s">
        <v>2883</v>
      </c>
      <c r="E1243" s="18" t="str">
        <f t="shared" si="19"/>
        <v>Jungle Lodges and Resorts Ltd._V</v>
      </c>
      <c r="F1243" s="27" t="e">
        <v>#N/A</v>
      </c>
      <c r="G1243" s="18" t="s">
        <v>32</v>
      </c>
      <c r="H1243" s="18" t="s">
        <v>33</v>
      </c>
      <c r="I1243" s="18" t="s">
        <v>34</v>
      </c>
      <c r="J1243" s="18" t="s">
        <v>2884</v>
      </c>
      <c r="K1243" s="18" t="s">
        <v>56</v>
      </c>
      <c r="L1243" s="18" t="s">
        <v>36</v>
      </c>
      <c r="N1243" s="18">
        <v>6</v>
      </c>
      <c r="O1243" s="18" t="s">
        <v>57</v>
      </c>
      <c r="P1243" s="18" t="s">
        <v>38</v>
      </c>
      <c r="Q1243" s="18" t="s">
        <v>117</v>
      </c>
      <c r="R1243" s="18" t="s">
        <v>59</v>
      </c>
      <c r="S1243" s="18" t="s">
        <v>118</v>
      </c>
      <c r="T1243" s="18" t="b">
        <v>1</v>
      </c>
      <c r="U1243" s="18" t="s">
        <v>39</v>
      </c>
      <c r="V1243" s="18" t="s">
        <v>40</v>
      </c>
      <c r="W1243" s="18" t="s">
        <v>61</v>
      </c>
      <c r="X1243" s="18" t="s">
        <v>62</v>
      </c>
      <c r="Y1243" s="18">
        <v>1</v>
      </c>
      <c r="Z1243" s="18">
        <v>219631.5</v>
      </c>
      <c r="AA1243" s="18" t="s">
        <v>832</v>
      </c>
      <c r="AB1243" s="18" t="s">
        <v>833</v>
      </c>
      <c r="AC1243" s="18" t="s">
        <v>43</v>
      </c>
    </row>
    <row r="1244" s="18" customFormat="1" spans="1:29">
      <c r="A1244" s="18" t="s">
        <v>2885</v>
      </c>
      <c r="B1244" s="25" t="s">
        <v>2885</v>
      </c>
      <c r="C1244" s="26">
        <v>45700</v>
      </c>
      <c r="D1244" s="18" t="s">
        <v>2886</v>
      </c>
      <c r="E1244" s="18" t="str">
        <f t="shared" si="19"/>
        <v>Detriangle LLP</v>
      </c>
      <c r="F1244" s="27" t="s">
        <v>2887</v>
      </c>
      <c r="G1244" s="18" t="s">
        <v>147</v>
      </c>
      <c r="H1244" s="18" t="s">
        <v>148</v>
      </c>
      <c r="I1244" s="18" t="s">
        <v>207</v>
      </c>
      <c r="J1244" s="18" t="s">
        <v>1426</v>
      </c>
      <c r="K1244" s="18" t="s">
        <v>56</v>
      </c>
      <c r="L1244" s="18" t="s">
        <v>36</v>
      </c>
      <c r="N1244" s="18">
        <v>6</v>
      </c>
      <c r="O1244" s="18" t="s">
        <v>57</v>
      </c>
      <c r="P1244" s="18" t="s">
        <v>38</v>
      </c>
      <c r="Q1244" s="18" t="s">
        <v>58</v>
      </c>
      <c r="R1244" s="18" t="s">
        <v>59</v>
      </c>
      <c r="S1244" s="18" t="s">
        <v>60</v>
      </c>
      <c r="T1244" s="18" t="b">
        <v>1</v>
      </c>
      <c r="U1244" s="18" t="s">
        <v>150</v>
      </c>
      <c r="V1244" s="18" t="s">
        <v>40</v>
      </c>
      <c r="W1244" s="18" t="s">
        <v>683</v>
      </c>
      <c r="X1244" s="18" t="s">
        <v>684</v>
      </c>
      <c r="Y1244" s="18">
        <v>1</v>
      </c>
      <c r="Z1244" s="18">
        <v>300000</v>
      </c>
      <c r="AA1244" s="18" t="s">
        <v>2888</v>
      </c>
      <c r="AB1244" s="18" t="s">
        <v>1182</v>
      </c>
      <c r="AC1244" s="18" t="s">
        <v>163</v>
      </c>
    </row>
    <row r="1245" s="18" customFormat="1" ht="43.5" spans="1:29">
      <c r="A1245" s="18" t="s">
        <v>2889</v>
      </c>
      <c r="B1245" s="25" t="s">
        <v>2889</v>
      </c>
      <c r="C1245" s="26">
        <v>45700</v>
      </c>
      <c r="D1245" s="18" t="s">
        <v>942</v>
      </c>
      <c r="E1245" s="18" t="str">
        <f t="shared" si="19"/>
        <v>Pandey Print Services</v>
      </c>
      <c r="F1245" s="27" t="s">
        <v>943</v>
      </c>
      <c r="G1245" s="18" t="s">
        <v>147</v>
      </c>
      <c r="H1245" s="18" t="s">
        <v>148</v>
      </c>
      <c r="I1245" s="18" t="s">
        <v>184</v>
      </c>
      <c r="J1245" s="18" t="s">
        <v>2429</v>
      </c>
      <c r="K1245" s="18" t="s">
        <v>56</v>
      </c>
      <c r="L1245" s="18" t="s">
        <v>36</v>
      </c>
      <c r="N1245" s="18">
        <v>6</v>
      </c>
      <c r="O1245" s="18" t="s">
        <v>88</v>
      </c>
      <c r="P1245" s="18" t="s">
        <v>38</v>
      </c>
      <c r="Q1245" s="18" t="s">
        <v>194</v>
      </c>
      <c r="R1245" s="18" t="s">
        <v>59</v>
      </c>
      <c r="S1245" s="18" t="s">
        <v>195</v>
      </c>
      <c r="T1245" s="18" t="b">
        <v>1</v>
      </c>
      <c r="U1245" s="18" t="s">
        <v>150</v>
      </c>
      <c r="V1245" s="18" t="s">
        <v>40</v>
      </c>
      <c r="W1245" s="18" t="s">
        <v>196</v>
      </c>
      <c r="X1245" s="18" t="s">
        <v>197</v>
      </c>
      <c r="Y1245" s="18">
        <v>1</v>
      </c>
      <c r="Z1245" s="18">
        <v>450</v>
      </c>
      <c r="AA1245" s="31" t="s">
        <v>2890</v>
      </c>
      <c r="AB1245" s="18" t="s">
        <v>948</v>
      </c>
      <c r="AC1245" s="18" t="s">
        <v>163</v>
      </c>
    </row>
    <row r="1246" s="18" customFormat="1" ht="43.5" spans="1:29">
      <c r="A1246" s="18" t="s">
        <v>2891</v>
      </c>
      <c r="B1246" s="25" t="s">
        <v>2891</v>
      </c>
      <c r="C1246" s="26">
        <v>45700</v>
      </c>
      <c r="D1246" s="18" t="s">
        <v>1267</v>
      </c>
      <c r="E1246" s="18" t="str">
        <f t="shared" si="19"/>
        <v>Black Pearl Production Pvt Ltd</v>
      </c>
      <c r="F1246" s="27" t="s">
        <v>1268</v>
      </c>
      <c r="G1246" s="18" t="s">
        <v>147</v>
      </c>
      <c r="H1246" s="18" t="s">
        <v>148</v>
      </c>
      <c r="I1246" s="18" t="s">
        <v>184</v>
      </c>
      <c r="J1246" s="18" t="s">
        <v>2429</v>
      </c>
      <c r="K1246" s="18" t="s">
        <v>56</v>
      </c>
      <c r="L1246" s="18" t="s">
        <v>36</v>
      </c>
      <c r="N1246" s="18">
        <v>6</v>
      </c>
      <c r="O1246" s="18" t="s">
        <v>88</v>
      </c>
      <c r="P1246" s="18" t="s">
        <v>38</v>
      </c>
      <c r="Q1246" s="18" t="s">
        <v>194</v>
      </c>
      <c r="R1246" s="18" t="s">
        <v>59</v>
      </c>
      <c r="S1246" s="18" t="s">
        <v>195</v>
      </c>
      <c r="T1246" s="18" t="b">
        <v>1</v>
      </c>
      <c r="U1246" s="18" t="s">
        <v>150</v>
      </c>
      <c r="V1246" s="18" t="s">
        <v>40</v>
      </c>
      <c r="W1246" s="18" t="s">
        <v>371</v>
      </c>
      <c r="X1246" s="18" t="s">
        <v>372</v>
      </c>
      <c r="Y1246" s="18">
        <v>1</v>
      </c>
      <c r="Z1246" s="18">
        <v>165000</v>
      </c>
      <c r="AA1246" s="31" t="s">
        <v>2890</v>
      </c>
      <c r="AB1246" s="18" t="s">
        <v>948</v>
      </c>
      <c r="AC1246" s="18" t="s">
        <v>163</v>
      </c>
    </row>
    <row r="1247" s="18" customFormat="1" spans="1:29">
      <c r="A1247" s="18" t="s">
        <v>2892</v>
      </c>
      <c r="B1247" s="25" t="s">
        <v>2892</v>
      </c>
      <c r="C1247" s="26">
        <v>45700</v>
      </c>
      <c r="D1247" s="18" t="s">
        <v>2375</v>
      </c>
      <c r="E1247" s="18" t="str">
        <f t="shared" si="19"/>
        <v>Royal Vacations Corporate Planners</v>
      </c>
      <c r="F1247" s="27" t="s">
        <v>2376</v>
      </c>
      <c r="G1247" s="18" t="s">
        <v>147</v>
      </c>
      <c r="H1247" s="18" t="s">
        <v>148</v>
      </c>
      <c r="I1247" s="18" t="s">
        <v>207</v>
      </c>
      <c r="J1247" s="18" t="s">
        <v>139</v>
      </c>
      <c r="K1247" s="18" t="s">
        <v>56</v>
      </c>
      <c r="L1247" s="18" t="s">
        <v>36</v>
      </c>
      <c r="N1247" s="18">
        <v>6</v>
      </c>
      <c r="O1247" s="18" t="s">
        <v>88</v>
      </c>
      <c r="P1247" s="18" t="s">
        <v>38</v>
      </c>
      <c r="Q1247" s="18" t="s">
        <v>58</v>
      </c>
      <c r="R1247" s="18" t="s">
        <v>59</v>
      </c>
      <c r="S1247" s="18" t="s">
        <v>60</v>
      </c>
      <c r="T1247" s="18" t="b">
        <v>1</v>
      </c>
      <c r="U1247" s="18" t="s">
        <v>150</v>
      </c>
      <c r="V1247" s="18" t="s">
        <v>40</v>
      </c>
      <c r="W1247" s="18" t="s">
        <v>2535</v>
      </c>
      <c r="X1247" s="18" t="s">
        <v>2536</v>
      </c>
      <c r="Y1247" s="18">
        <v>1</v>
      </c>
      <c r="Z1247" s="18">
        <v>582183</v>
      </c>
      <c r="AA1247" s="18" t="s">
        <v>2712</v>
      </c>
      <c r="AB1247" s="18" t="s">
        <v>763</v>
      </c>
      <c r="AC1247" s="18" t="s">
        <v>163</v>
      </c>
    </row>
    <row r="1248" s="18" customFormat="1" spans="1:29">
      <c r="A1248" s="18" t="s">
        <v>2893</v>
      </c>
      <c r="B1248" s="25" t="s">
        <v>2893</v>
      </c>
      <c r="C1248" s="26">
        <v>45700</v>
      </c>
      <c r="D1248" s="18" t="s">
        <v>2894</v>
      </c>
      <c r="E1248" s="18" t="str">
        <f t="shared" si="19"/>
        <v>Jatin Arora  </v>
      </c>
      <c r="F1248" s="27" t="s">
        <v>2895</v>
      </c>
      <c r="G1248" s="18" t="s">
        <v>147</v>
      </c>
      <c r="H1248" s="18" t="s">
        <v>148</v>
      </c>
      <c r="I1248" s="18" t="s">
        <v>207</v>
      </c>
      <c r="J1248" s="18" t="s">
        <v>1426</v>
      </c>
      <c r="K1248" s="18" t="s">
        <v>56</v>
      </c>
      <c r="L1248" s="18" t="s">
        <v>36</v>
      </c>
      <c r="N1248" s="18">
        <v>6</v>
      </c>
      <c r="O1248" s="18" t="s">
        <v>93</v>
      </c>
      <c r="P1248" s="18" t="s">
        <v>38</v>
      </c>
      <c r="Q1248" s="18" t="s">
        <v>58</v>
      </c>
      <c r="R1248" s="18" t="s">
        <v>59</v>
      </c>
      <c r="S1248" s="18" t="s">
        <v>60</v>
      </c>
      <c r="T1248" s="18" t="b">
        <v>1</v>
      </c>
      <c r="U1248" s="18" t="s">
        <v>150</v>
      </c>
      <c r="V1248" s="18" t="s">
        <v>40</v>
      </c>
      <c r="W1248" s="18" t="s">
        <v>126</v>
      </c>
      <c r="X1248" s="18" t="s">
        <v>127</v>
      </c>
      <c r="Y1248" s="18">
        <v>1</v>
      </c>
      <c r="Z1248" s="18">
        <v>415</v>
      </c>
      <c r="AA1248" s="18" t="s">
        <v>1181</v>
      </c>
      <c r="AB1248" s="18" t="s">
        <v>1182</v>
      </c>
      <c r="AC1248" s="18" t="e">
        <v>#N/A</v>
      </c>
    </row>
    <row r="1249" s="18" customFormat="1" spans="1:29">
      <c r="A1249" s="18" t="s">
        <v>2896</v>
      </c>
      <c r="B1249" s="25" t="s">
        <v>2896</v>
      </c>
      <c r="C1249" s="26">
        <v>45700</v>
      </c>
      <c r="D1249" s="18" t="s">
        <v>2894</v>
      </c>
      <c r="E1249" s="18" t="str">
        <f t="shared" si="19"/>
        <v>Jatin Arora  </v>
      </c>
      <c r="F1249" s="27" t="s">
        <v>2895</v>
      </c>
      <c r="G1249" s="18" t="s">
        <v>147</v>
      </c>
      <c r="H1249" s="18" t="s">
        <v>148</v>
      </c>
      <c r="I1249" s="18" t="s">
        <v>207</v>
      </c>
      <c r="J1249" s="18" t="s">
        <v>1426</v>
      </c>
      <c r="K1249" s="18" t="s">
        <v>56</v>
      </c>
      <c r="L1249" s="18" t="s">
        <v>36</v>
      </c>
      <c r="N1249" s="18">
        <v>6</v>
      </c>
      <c r="O1249" s="18" t="s">
        <v>93</v>
      </c>
      <c r="P1249" s="18" t="s">
        <v>38</v>
      </c>
      <c r="Q1249" s="18" t="s">
        <v>58</v>
      </c>
      <c r="R1249" s="18" t="s">
        <v>59</v>
      </c>
      <c r="S1249" s="18" t="s">
        <v>60</v>
      </c>
      <c r="T1249" s="18" t="b">
        <v>1</v>
      </c>
      <c r="U1249" s="18" t="s">
        <v>150</v>
      </c>
      <c r="V1249" s="18" t="s">
        <v>40</v>
      </c>
      <c r="W1249" s="18" t="s">
        <v>412</v>
      </c>
      <c r="X1249" s="18" t="s">
        <v>413</v>
      </c>
      <c r="Y1249" s="18">
        <v>1</v>
      </c>
      <c r="Z1249" s="18">
        <v>1880</v>
      </c>
      <c r="AA1249" s="18" t="s">
        <v>1181</v>
      </c>
      <c r="AB1249" s="18" t="s">
        <v>1182</v>
      </c>
      <c r="AC1249" s="18" t="e">
        <v>#N/A</v>
      </c>
    </row>
    <row r="1250" s="18" customFormat="1" spans="1:29">
      <c r="A1250" s="18" t="s">
        <v>2897</v>
      </c>
      <c r="B1250" s="25" t="s">
        <v>2897</v>
      </c>
      <c r="C1250" s="26">
        <v>45700</v>
      </c>
      <c r="D1250" s="18" t="s">
        <v>1155</v>
      </c>
      <c r="E1250" s="18" t="str">
        <f t="shared" si="19"/>
        <v>Ravi Kiroula </v>
      </c>
      <c r="F1250" s="27" t="e">
        <v>#N/A</v>
      </c>
      <c r="G1250" s="18" t="s">
        <v>147</v>
      </c>
      <c r="H1250" s="18" t="s">
        <v>148</v>
      </c>
      <c r="I1250" s="18" t="s">
        <v>207</v>
      </c>
      <c r="J1250" s="18" t="s">
        <v>1426</v>
      </c>
      <c r="K1250" s="18" t="s">
        <v>56</v>
      </c>
      <c r="L1250" s="18" t="s">
        <v>36</v>
      </c>
      <c r="N1250" s="18">
        <v>6</v>
      </c>
      <c r="O1250" s="18" t="s">
        <v>93</v>
      </c>
      <c r="P1250" s="18" t="s">
        <v>38</v>
      </c>
      <c r="Q1250" s="18" t="s">
        <v>58</v>
      </c>
      <c r="R1250" s="18" t="s">
        <v>59</v>
      </c>
      <c r="S1250" s="18" t="s">
        <v>60</v>
      </c>
      <c r="T1250" s="18" t="b">
        <v>1</v>
      </c>
      <c r="U1250" s="18" t="s">
        <v>150</v>
      </c>
      <c r="V1250" s="18" t="s">
        <v>40</v>
      </c>
      <c r="W1250" s="18" t="s">
        <v>233</v>
      </c>
      <c r="X1250" s="18" t="s">
        <v>234</v>
      </c>
      <c r="Y1250" s="18">
        <v>1</v>
      </c>
      <c r="Z1250" s="18">
        <v>3538</v>
      </c>
      <c r="AA1250" s="18" t="s">
        <v>153</v>
      </c>
      <c r="AB1250" s="18" t="s">
        <v>154</v>
      </c>
      <c r="AC1250" s="18" t="e">
        <v>#N/A</v>
      </c>
    </row>
    <row r="1251" s="18" customFormat="1" spans="1:29">
      <c r="A1251" s="18" t="s">
        <v>2898</v>
      </c>
      <c r="B1251" s="25" t="s">
        <v>2898</v>
      </c>
      <c r="C1251" s="26">
        <v>45700</v>
      </c>
      <c r="D1251" s="18" t="s">
        <v>1155</v>
      </c>
      <c r="E1251" s="18" t="str">
        <f t="shared" si="19"/>
        <v>Ravi Kiroula </v>
      </c>
      <c r="F1251" s="27" t="e">
        <v>#N/A</v>
      </c>
      <c r="G1251" s="18" t="s">
        <v>147</v>
      </c>
      <c r="H1251" s="18" t="s">
        <v>148</v>
      </c>
      <c r="I1251" s="18" t="s">
        <v>207</v>
      </c>
      <c r="J1251" s="18" t="s">
        <v>1426</v>
      </c>
      <c r="K1251" s="18" t="s">
        <v>56</v>
      </c>
      <c r="L1251" s="18" t="s">
        <v>36</v>
      </c>
      <c r="N1251" s="18">
        <v>6</v>
      </c>
      <c r="O1251" s="18" t="s">
        <v>93</v>
      </c>
      <c r="P1251" s="18" t="s">
        <v>38</v>
      </c>
      <c r="Q1251" s="18" t="s">
        <v>58</v>
      </c>
      <c r="R1251" s="18" t="s">
        <v>59</v>
      </c>
      <c r="S1251" s="18" t="s">
        <v>60</v>
      </c>
      <c r="T1251" s="18" t="b">
        <v>1</v>
      </c>
      <c r="U1251" s="18" t="s">
        <v>150</v>
      </c>
      <c r="V1251" s="18" t="s">
        <v>40</v>
      </c>
      <c r="W1251" s="18" t="s">
        <v>126</v>
      </c>
      <c r="X1251" s="18" t="s">
        <v>127</v>
      </c>
      <c r="Y1251" s="18">
        <v>1</v>
      </c>
      <c r="Z1251" s="18">
        <v>1116</v>
      </c>
      <c r="AA1251" s="18" t="s">
        <v>153</v>
      </c>
      <c r="AB1251" s="18" t="s">
        <v>154</v>
      </c>
      <c r="AC1251" s="18" t="e">
        <v>#N/A</v>
      </c>
    </row>
    <row r="1252" s="18" customFormat="1" spans="1:29">
      <c r="A1252" s="18" t="s">
        <v>2899</v>
      </c>
      <c r="B1252" s="25" t="s">
        <v>2899</v>
      </c>
      <c r="C1252" s="26">
        <v>45700</v>
      </c>
      <c r="D1252" s="18" t="s">
        <v>2894</v>
      </c>
      <c r="E1252" s="18" t="str">
        <f t="shared" si="19"/>
        <v>Jatin Arora  </v>
      </c>
      <c r="F1252" s="27" t="s">
        <v>2895</v>
      </c>
      <c r="G1252" s="18" t="s">
        <v>147</v>
      </c>
      <c r="H1252" s="18" t="s">
        <v>148</v>
      </c>
      <c r="I1252" s="18" t="s">
        <v>207</v>
      </c>
      <c r="J1252" s="18" t="s">
        <v>395</v>
      </c>
      <c r="K1252" s="18" t="s">
        <v>56</v>
      </c>
      <c r="L1252" s="18" t="s">
        <v>36</v>
      </c>
      <c r="N1252" s="18">
        <v>6</v>
      </c>
      <c r="O1252" s="18" t="s">
        <v>93</v>
      </c>
      <c r="P1252" s="18" t="s">
        <v>38</v>
      </c>
      <c r="Q1252" s="18" t="s">
        <v>58</v>
      </c>
      <c r="R1252" s="18" t="s">
        <v>59</v>
      </c>
      <c r="S1252" s="18" t="s">
        <v>60</v>
      </c>
      <c r="T1252" s="18" t="b">
        <v>1</v>
      </c>
      <c r="U1252" s="18" t="s">
        <v>150</v>
      </c>
      <c r="V1252" s="18" t="s">
        <v>40</v>
      </c>
      <c r="W1252" s="18" t="s">
        <v>126</v>
      </c>
      <c r="X1252" s="18" t="s">
        <v>127</v>
      </c>
      <c r="Y1252" s="18">
        <v>1</v>
      </c>
      <c r="Z1252" s="18">
        <v>14448</v>
      </c>
      <c r="AA1252" s="18" t="s">
        <v>2888</v>
      </c>
      <c r="AB1252" s="18" t="s">
        <v>1182</v>
      </c>
      <c r="AC1252" s="18" t="e">
        <v>#N/A</v>
      </c>
    </row>
    <row r="1253" s="18" customFormat="1" spans="1:29">
      <c r="A1253" s="18" t="s">
        <v>2900</v>
      </c>
      <c r="B1253" s="25" t="s">
        <v>2900</v>
      </c>
      <c r="C1253" s="26">
        <v>45700</v>
      </c>
      <c r="D1253" s="18" t="s">
        <v>468</v>
      </c>
      <c r="E1253" s="18" t="str">
        <f t="shared" si="19"/>
        <v>Sanjay Dutt Dobriyal  </v>
      </c>
      <c r="F1253" s="27" t="e">
        <v>#N/A</v>
      </c>
      <c r="G1253" s="18" t="s">
        <v>147</v>
      </c>
      <c r="H1253" s="18" t="s">
        <v>148</v>
      </c>
      <c r="I1253" s="18" t="s">
        <v>207</v>
      </c>
      <c r="J1253" s="18" t="s">
        <v>395</v>
      </c>
      <c r="K1253" s="18" t="s">
        <v>56</v>
      </c>
      <c r="L1253" s="18" t="s">
        <v>36</v>
      </c>
      <c r="N1253" s="18">
        <v>6</v>
      </c>
      <c r="O1253" s="18" t="s">
        <v>93</v>
      </c>
      <c r="P1253" s="18" t="s">
        <v>38</v>
      </c>
      <c r="Q1253" s="18" t="s">
        <v>58</v>
      </c>
      <c r="R1253" s="18" t="s">
        <v>59</v>
      </c>
      <c r="S1253" s="18" t="s">
        <v>60</v>
      </c>
      <c r="T1253" s="18" t="b">
        <v>1</v>
      </c>
      <c r="U1253" s="18" t="s">
        <v>150</v>
      </c>
      <c r="V1253" s="18" t="s">
        <v>40</v>
      </c>
      <c r="W1253" s="18" t="s">
        <v>126</v>
      </c>
      <c r="X1253" s="18" t="s">
        <v>127</v>
      </c>
      <c r="Y1253" s="18">
        <v>1</v>
      </c>
      <c r="Z1253" s="18">
        <v>2065</v>
      </c>
      <c r="AA1253" s="18" t="s">
        <v>2901</v>
      </c>
      <c r="AB1253" s="18" t="s">
        <v>470</v>
      </c>
      <c r="AC1253" s="18" t="e">
        <v>#N/A</v>
      </c>
    </row>
    <row r="1254" s="18" customFormat="1" spans="1:29">
      <c r="A1254" s="18" t="s">
        <v>2902</v>
      </c>
      <c r="B1254" s="25" t="s">
        <v>2902</v>
      </c>
      <c r="C1254" s="26">
        <v>45700</v>
      </c>
      <c r="D1254" s="18" t="s">
        <v>1029</v>
      </c>
      <c r="E1254" s="18" t="str">
        <f t="shared" si="19"/>
        <v>Pankaj Kumar Mishra  </v>
      </c>
      <c r="F1254" s="27" t="e">
        <v>#N/A</v>
      </c>
      <c r="G1254" s="18" t="s">
        <v>147</v>
      </c>
      <c r="H1254" s="18" t="s">
        <v>148</v>
      </c>
      <c r="I1254" s="18" t="s">
        <v>207</v>
      </c>
      <c r="J1254" s="18" t="s">
        <v>149</v>
      </c>
      <c r="K1254" s="18" t="s">
        <v>56</v>
      </c>
      <c r="L1254" s="18" t="s">
        <v>36</v>
      </c>
      <c r="N1254" s="18">
        <v>6</v>
      </c>
      <c r="O1254" s="18" t="s">
        <v>93</v>
      </c>
      <c r="P1254" s="18" t="s">
        <v>38</v>
      </c>
      <c r="Q1254" s="18" t="s">
        <v>58</v>
      </c>
      <c r="R1254" s="18" t="s">
        <v>59</v>
      </c>
      <c r="S1254" s="18" t="s">
        <v>60</v>
      </c>
      <c r="T1254" s="18" t="b">
        <v>1</v>
      </c>
      <c r="U1254" s="18" t="s">
        <v>150</v>
      </c>
      <c r="V1254" s="18" t="s">
        <v>40</v>
      </c>
      <c r="W1254" s="18" t="s">
        <v>126</v>
      </c>
      <c r="X1254" s="18" t="s">
        <v>127</v>
      </c>
      <c r="Y1254" s="18">
        <v>1</v>
      </c>
      <c r="Z1254" s="18">
        <v>390</v>
      </c>
      <c r="AA1254" s="18" t="s">
        <v>1524</v>
      </c>
      <c r="AB1254" s="18" t="s">
        <v>228</v>
      </c>
      <c r="AC1254" s="18" t="e">
        <v>#N/A</v>
      </c>
    </row>
    <row r="1255" s="18" customFormat="1" spans="1:29">
      <c r="A1255" s="18" t="s">
        <v>2903</v>
      </c>
      <c r="B1255" s="25" t="s">
        <v>2903</v>
      </c>
      <c r="C1255" s="26">
        <v>45700</v>
      </c>
      <c r="D1255" s="18" t="s">
        <v>1029</v>
      </c>
      <c r="E1255" s="18" t="str">
        <f t="shared" si="19"/>
        <v>Pankaj Kumar Mishra  </v>
      </c>
      <c r="F1255" s="27" t="e">
        <v>#N/A</v>
      </c>
      <c r="G1255" s="18" t="s">
        <v>147</v>
      </c>
      <c r="H1255" s="18" t="s">
        <v>148</v>
      </c>
      <c r="I1255" s="18" t="s">
        <v>207</v>
      </c>
      <c r="J1255" s="18" t="s">
        <v>149</v>
      </c>
      <c r="K1255" s="18" t="s">
        <v>56</v>
      </c>
      <c r="L1255" s="18" t="s">
        <v>36</v>
      </c>
      <c r="N1255" s="18">
        <v>6</v>
      </c>
      <c r="O1255" s="18" t="s">
        <v>93</v>
      </c>
      <c r="P1255" s="18" t="s">
        <v>38</v>
      </c>
      <c r="Q1255" s="18" t="s">
        <v>58</v>
      </c>
      <c r="R1255" s="18" t="s">
        <v>59</v>
      </c>
      <c r="S1255" s="18" t="s">
        <v>60</v>
      </c>
      <c r="T1255" s="18" t="b">
        <v>1</v>
      </c>
      <c r="U1255" s="18" t="s">
        <v>150</v>
      </c>
      <c r="V1255" s="18" t="s">
        <v>40</v>
      </c>
      <c r="W1255" s="18" t="s">
        <v>1055</v>
      </c>
      <c r="X1255" s="18" t="s">
        <v>1056</v>
      </c>
      <c r="Y1255" s="18">
        <v>1</v>
      </c>
      <c r="Z1255" s="18">
        <v>2200</v>
      </c>
      <c r="AA1255" s="18" t="s">
        <v>1524</v>
      </c>
      <c r="AB1255" s="18" t="s">
        <v>228</v>
      </c>
      <c r="AC1255" s="18" t="e">
        <v>#N/A</v>
      </c>
    </row>
    <row r="1256" s="18" customFormat="1" spans="1:29">
      <c r="A1256" s="18" t="s">
        <v>2904</v>
      </c>
      <c r="B1256" s="25" t="s">
        <v>2904</v>
      </c>
      <c r="C1256" s="26">
        <v>45700</v>
      </c>
      <c r="D1256" s="18" t="s">
        <v>378</v>
      </c>
      <c r="E1256" s="18" t="str">
        <f t="shared" si="19"/>
        <v>Ravi.........</v>
      </c>
      <c r="F1256" s="27" t="e">
        <v>#N/A</v>
      </c>
      <c r="G1256" s="18" t="s">
        <v>147</v>
      </c>
      <c r="H1256" s="18" t="s">
        <v>148</v>
      </c>
      <c r="I1256" s="18" t="s">
        <v>207</v>
      </c>
      <c r="J1256" s="18" t="s">
        <v>149</v>
      </c>
      <c r="K1256" s="18" t="s">
        <v>56</v>
      </c>
      <c r="L1256" s="18" t="s">
        <v>36</v>
      </c>
      <c r="N1256" s="18">
        <v>6</v>
      </c>
      <c r="O1256" s="18" t="s">
        <v>93</v>
      </c>
      <c r="P1256" s="18" t="s">
        <v>38</v>
      </c>
      <c r="Q1256" s="18" t="s">
        <v>58</v>
      </c>
      <c r="R1256" s="18" t="s">
        <v>59</v>
      </c>
      <c r="S1256" s="18" t="s">
        <v>60</v>
      </c>
      <c r="T1256" s="18" t="b">
        <v>1</v>
      </c>
      <c r="U1256" s="18" t="s">
        <v>150</v>
      </c>
      <c r="V1256" s="18" t="s">
        <v>40</v>
      </c>
      <c r="W1256" s="18" t="s">
        <v>126</v>
      </c>
      <c r="X1256" s="18" t="s">
        <v>127</v>
      </c>
      <c r="Y1256" s="18">
        <v>1</v>
      </c>
      <c r="Z1256" s="18">
        <v>1070</v>
      </c>
      <c r="AA1256" s="18" t="s">
        <v>379</v>
      </c>
      <c r="AC1256" s="18" t="e">
        <v>#N/A</v>
      </c>
    </row>
    <row r="1257" s="18" customFormat="1" spans="1:29">
      <c r="A1257" s="18" t="s">
        <v>2905</v>
      </c>
      <c r="B1257" s="25" t="s">
        <v>2905</v>
      </c>
      <c r="C1257" s="26">
        <v>45700</v>
      </c>
      <c r="D1257" s="18" t="s">
        <v>2528</v>
      </c>
      <c r="E1257" s="18" t="str">
        <f t="shared" si="19"/>
        <v>Sushil Nain  </v>
      </c>
      <c r="F1257" s="27" t="e">
        <v>#N/A</v>
      </c>
      <c r="G1257" s="18" t="s">
        <v>147</v>
      </c>
      <c r="H1257" s="18" t="s">
        <v>148</v>
      </c>
      <c r="I1257" s="18" t="s">
        <v>207</v>
      </c>
      <c r="J1257" s="18" t="s">
        <v>149</v>
      </c>
      <c r="K1257" s="18" t="s">
        <v>56</v>
      </c>
      <c r="L1257" s="18" t="s">
        <v>36</v>
      </c>
      <c r="N1257" s="18">
        <v>6</v>
      </c>
      <c r="O1257" s="18" t="s">
        <v>93</v>
      </c>
      <c r="P1257" s="18" t="s">
        <v>38</v>
      </c>
      <c r="Q1257" s="18" t="s">
        <v>58</v>
      </c>
      <c r="R1257" s="18" t="s">
        <v>59</v>
      </c>
      <c r="S1257" s="18" t="s">
        <v>60</v>
      </c>
      <c r="T1257" s="18" t="b">
        <v>1</v>
      </c>
      <c r="U1257" s="18" t="s">
        <v>150</v>
      </c>
      <c r="V1257" s="18" t="s">
        <v>40</v>
      </c>
      <c r="W1257" s="18" t="s">
        <v>126</v>
      </c>
      <c r="X1257" s="18" t="s">
        <v>127</v>
      </c>
      <c r="Y1257" s="18">
        <v>1</v>
      </c>
      <c r="Z1257" s="18">
        <v>999</v>
      </c>
      <c r="AA1257" s="18" t="s">
        <v>2906</v>
      </c>
      <c r="AB1257" s="18" t="s">
        <v>555</v>
      </c>
      <c r="AC1257" s="18" t="e">
        <v>#N/A</v>
      </c>
    </row>
    <row r="1258" s="18" customFormat="1" spans="1:29">
      <c r="A1258" s="18" t="s">
        <v>2907</v>
      </c>
      <c r="B1258" s="25" t="s">
        <v>2907</v>
      </c>
      <c r="C1258" s="26">
        <v>45700</v>
      </c>
      <c r="D1258" s="18" t="s">
        <v>697</v>
      </c>
      <c r="E1258" s="18" t="str">
        <f t="shared" si="19"/>
        <v>Pavni Enterprises</v>
      </c>
      <c r="F1258" s="27" t="s">
        <v>698</v>
      </c>
      <c r="G1258" s="18" t="s">
        <v>147</v>
      </c>
      <c r="H1258" s="18" t="s">
        <v>148</v>
      </c>
      <c r="I1258" s="18" t="s">
        <v>54</v>
      </c>
      <c r="J1258" s="18" t="s">
        <v>1238</v>
      </c>
      <c r="K1258" s="18" t="s">
        <v>56</v>
      </c>
      <c r="L1258" s="18" t="s">
        <v>36</v>
      </c>
      <c r="N1258" s="18">
        <v>6</v>
      </c>
      <c r="O1258" s="18" t="s">
        <v>57</v>
      </c>
      <c r="P1258" s="18" t="s">
        <v>38</v>
      </c>
      <c r="Q1258" s="18" t="s">
        <v>58</v>
      </c>
      <c r="R1258" s="18" t="s">
        <v>59</v>
      </c>
      <c r="S1258" s="18" t="s">
        <v>60</v>
      </c>
      <c r="T1258" s="18" t="b">
        <v>1</v>
      </c>
      <c r="U1258" s="18" t="s">
        <v>150</v>
      </c>
      <c r="V1258" s="18" t="s">
        <v>40</v>
      </c>
      <c r="W1258" s="18" t="s">
        <v>140</v>
      </c>
      <c r="X1258" s="18" t="s">
        <v>141</v>
      </c>
      <c r="Y1258" s="18">
        <v>1</v>
      </c>
      <c r="Z1258" s="18">
        <v>181800</v>
      </c>
      <c r="AA1258" s="18" t="s">
        <v>241</v>
      </c>
      <c r="AB1258" s="18" t="s">
        <v>242</v>
      </c>
      <c r="AC1258" s="18" t="s">
        <v>163</v>
      </c>
    </row>
    <row r="1259" s="18" customFormat="1" spans="1:29">
      <c r="A1259" s="18" t="s">
        <v>2908</v>
      </c>
      <c r="B1259" s="25" t="s">
        <v>2908</v>
      </c>
      <c r="C1259" s="26">
        <v>45700</v>
      </c>
      <c r="D1259" s="18" t="s">
        <v>2909</v>
      </c>
      <c r="E1259" s="18" t="str">
        <f t="shared" si="19"/>
        <v>Jmd Enterprises</v>
      </c>
      <c r="F1259" s="27" t="s">
        <v>2910</v>
      </c>
      <c r="G1259" s="18" t="s">
        <v>147</v>
      </c>
      <c r="H1259" s="18" t="s">
        <v>148</v>
      </c>
      <c r="I1259" s="18" t="s">
        <v>54</v>
      </c>
      <c r="J1259" s="18" t="s">
        <v>240</v>
      </c>
      <c r="K1259" s="18" t="s">
        <v>56</v>
      </c>
      <c r="L1259" s="18" t="s">
        <v>36</v>
      </c>
      <c r="N1259" s="18">
        <v>6</v>
      </c>
      <c r="O1259" s="18" t="s">
        <v>88</v>
      </c>
      <c r="P1259" s="18" t="s">
        <v>38</v>
      </c>
      <c r="Q1259" s="18" t="s">
        <v>58</v>
      </c>
      <c r="R1259" s="18" t="s">
        <v>59</v>
      </c>
      <c r="S1259" s="18" t="s">
        <v>60</v>
      </c>
      <c r="T1259" s="18" t="b">
        <v>1</v>
      </c>
      <c r="U1259" s="18" t="s">
        <v>150</v>
      </c>
      <c r="V1259" s="18" t="s">
        <v>40</v>
      </c>
      <c r="W1259" s="18" t="s">
        <v>837</v>
      </c>
      <c r="X1259" s="18" t="s">
        <v>205</v>
      </c>
      <c r="Y1259" s="18">
        <v>1</v>
      </c>
      <c r="Z1259" s="18">
        <v>2508</v>
      </c>
      <c r="AA1259" s="18" t="s">
        <v>1163</v>
      </c>
      <c r="AB1259" s="18" t="s">
        <v>228</v>
      </c>
      <c r="AC1259" s="18" t="s">
        <v>163</v>
      </c>
    </row>
    <row r="1260" s="18" customFormat="1" ht="43.5" spans="1:29">
      <c r="A1260" s="18" t="s">
        <v>2911</v>
      </c>
      <c r="B1260" s="25" t="s">
        <v>2911</v>
      </c>
      <c r="C1260" s="26">
        <v>45700</v>
      </c>
      <c r="D1260" s="18" t="s">
        <v>1754</v>
      </c>
      <c r="E1260" s="18" t="str">
        <f t="shared" si="19"/>
        <v>Hindustan Computer &amp; Communication Services</v>
      </c>
      <c r="F1260" s="27" t="s">
        <v>1755</v>
      </c>
      <c r="G1260" s="18" t="s">
        <v>182</v>
      </c>
      <c r="H1260" s="18" t="s">
        <v>183</v>
      </c>
      <c r="I1260" s="18" t="s">
        <v>184</v>
      </c>
      <c r="J1260" s="18" t="s">
        <v>2591</v>
      </c>
      <c r="K1260" s="18" t="s">
        <v>56</v>
      </c>
      <c r="L1260" s="18" t="s">
        <v>36</v>
      </c>
      <c r="N1260" s="18">
        <v>6</v>
      </c>
      <c r="O1260" s="18" t="s">
        <v>88</v>
      </c>
      <c r="P1260" s="18" t="s">
        <v>38</v>
      </c>
      <c r="Q1260" s="18" t="s">
        <v>194</v>
      </c>
      <c r="R1260" s="18" t="s">
        <v>59</v>
      </c>
      <c r="S1260" s="18" t="s">
        <v>195</v>
      </c>
      <c r="T1260" s="18" t="b">
        <v>0</v>
      </c>
      <c r="U1260" s="18" t="s">
        <v>187</v>
      </c>
      <c r="V1260" s="18" t="s">
        <v>40</v>
      </c>
      <c r="W1260" s="18" t="s">
        <v>990</v>
      </c>
      <c r="X1260" s="18" t="s">
        <v>991</v>
      </c>
      <c r="Y1260" s="18">
        <v>1</v>
      </c>
      <c r="Z1260" s="18">
        <v>8000</v>
      </c>
      <c r="AA1260" s="31" t="s">
        <v>2826</v>
      </c>
      <c r="AB1260" s="18" t="s">
        <v>993</v>
      </c>
      <c r="AC1260" s="18" t="s">
        <v>200</v>
      </c>
    </row>
    <row r="1261" s="18" customFormat="1" spans="1:29">
      <c r="A1261" s="18" t="s">
        <v>2912</v>
      </c>
      <c r="B1261" s="25" t="s">
        <v>2912</v>
      </c>
      <c r="C1261" s="26">
        <v>45700</v>
      </c>
      <c r="D1261" s="18" t="s">
        <v>915</v>
      </c>
      <c r="E1261" s="18" t="str">
        <f t="shared" si="19"/>
        <v>Santosh Bhogal Cash  </v>
      </c>
      <c r="F1261" s="27" t="e">
        <v>#N/A</v>
      </c>
      <c r="G1261" s="18" t="s">
        <v>182</v>
      </c>
      <c r="H1261" s="18" t="s">
        <v>183</v>
      </c>
      <c r="I1261" s="18" t="s">
        <v>481</v>
      </c>
      <c r="J1261" s="18" t="s">
        <v>2913</v>
      </c>
      <c r="K1261" s="18" t="s">
        <v>56</v>
      </c>
      <c r="L1261" s="18" t="s">
        <v>36</v>
      </c>
      <c r="N1261" s="18">
        <v>6</v>
      </c>
      <c r="O1261" s="18" t="s">
        <v>93</v>
      </c>
      <c r="P1261" s="18" t="s">
        <v>38</v>
      </c>
      <c r="Q1261" s="18" t="s">
        <v>58</v>
      </c>
      <c r="R1261" s="18" t="s">
        <v>59</v>
      </c>
      <c r="S1261" s="18" t="s">
        <v>60</v>
      </c>
      <c r="T1261" s="18" t="b">
        <v>0</v>
      </c>
      <c r="U1261" s="18" t="s">
        <v>187</v>
      </c>
      <c r="V1261" s="18" t="s">
        <v>40</v>
      </c>
      <c r="W1261" s="18" t="s">
        <v>126</v>
      </c>
      <c r="X1261" s="18" t="s">
        <v>127</v>
      </c>
      <c r="Y1261" s="18">
        <v>1</v>
      </c>
      <c r="Z1261" s="18">
        <v>1224</v>
      </c>
      <c r="AC1261" s="18" t="e">
        <v>#N/A</v>
      </c>
    </row>
    <row r="1262" s="18" customFormat="1" spans="1:29">
      <c r="A1262" s="18" t="s">
        <v>2914</v>
      </c>
      <c r="B1262" s="25" t="s">
        <v>2914</v>
      </c>
      <c r="C1262" s="26">
        <v>45700</v>
      </c>
      <c r="D1262" s="18" t="s">
        <v>915</v>
      </c>
      <c r="E1262" s="18" t="str">
        <f t="shared" si="19"/>
        <v>Santosh Bhogal Cash  </v>
      </c>
      <c r="F1262" s="27" t="e">
        <v>#N/A</v>
      </c>
      <c r="G1262" s="18" t="s">
        <v>182</v>
      </c>
      <c r="H1262" s="18" t="s">
        <v>183</v>
      </c>
      <c r="I1262" s="18" t="s">
        <v>481</v>
      </c>
      <c r="J1262" s="18" t="s">
        <v>2915</v>
      </c>
      <c r="K1262" s="18" t="s">
        <v>56</v>
      </c>
      <c r="L1262" s="18" t="s">
        <v>36</v>
      </c>
      <c r="N1262" s="18">
        <v>6</v>
      </c>
      <c r="O1262" s="18" t="s">
        <v>93</v>
      </c>
      <c r="P1262" s="18" t="s">
        <v>38</v>
      </c>
      <c r="Q1262" s="18" t="s">
        <v>194</v>
      </c>
      <c r="R1262" s="18" t="s">
        <v>59</v>
      </c>
      <c r="S1262" s="18" t="s">
        <v>195</v>
      </c>
      <c r="T1262" s="18" t="b">
        <v>0</v>
      </c>
      <c r="U1262" s="18" t="s">
        <v>187</v>
      </c>
      <c r="V1262" s="18" t="s">
        <v>40</v>
      </c>
      <c r="W1262" s="18" t="s">
        <v>126</v>
      </c>
      <c r="X1262" s="18" t="s">
        <v>127</v>
      </c>
      <c r="Y1262" s="18">
        <v>1</v>
      </c>
      <c r="Z1262" s="18">
        <v>461</v>
      </c>
      <c r="AC1262" s="18" t="e">
        <v>#N/A</v>
      </c>
    </row>
    <row r="1263" s="18" customFormat="1" spans="1:29">
      <c r="A1263" s="18" t="s">
        <v>2916</v>
      </c>
      <c r="B1263" s="25" t="s">
        <v>2916</v>
      </c>
      <c r="C1263" s="26">
        <v>45700</v>
      </c>
      <c r="D1263" s="18" t="s">
        <v>472</v>
      </c>
      <c r="E1263" s="18" t="e">
        <f t="shared" si="19"/>
        <v>#N/A</v>
      </c>
      <c r="F1263" s="27" t="e">
        <v>#N/A</v>
      </c>
      <c r="G1263" s="18" t="s">
        <v>182</v>
      </c>
      <c r="H1263" s="18" t="s">
        <v>183</v>
      </c>
      <c r="I1263" s="18" t="s">
        <v>184</v>
      </c>
      <c r="K1263" s="18" t="s">
        <v>35</v>
      </c>
      <c r="L1263" s="18" t="s">
        <v>36</v>
      </c>
      <c r="N1263" s="18">
        <v>6</v>
      </c>
      <c r="P1263" s="18" t="s">
        <v>38</v>
      </c>
      <c r="T1263" s="18" t="b">
        <v>0</v>
      </c>
      <c r="U1263" s="18" t="s">
        <v>187</v>
      </c>
      <c r="V1263" s="18" t="s">
        <v>40</v>
      </c>
      <c r="W1263" s="18" t="e">
        <v>#N/A</v>
      </c>
      <c r="X1263" s="18" t="e">
        <v>#N/A</v>
      </c>
      <c r="Y1263" s="18" t="e">
        <v>#N/A</v>
      </c>
      <c r="Z1263" s="18" t="e">
        <v>#N/A</v>
      </c>
      <c r="AC1263" s="18" t="e">
        <v>#N/A</v>
      </c>
    </row>
    <row r="1264" s="18" customFormat="1" ht="43.5" spans="1:29">
      <c r="A1264" s="18" t="s">
        <v>2917</v>
      </c>
      <c r="B1264" s="25" t="s">
        <v>2917</v>
      </c>
      <c r="C1264" s="26">
        <v>45700</v>
      </c>
      <c r="D1264" s="18" t="s">
        <v>192</v>
      </c>
      <c r="E1264" s="18" t="str">
        <f t="shared" si="19"/>
        <v>Noaman Digital Partnership Firm</v>
      </c>
      <c r="F1264" s="27" t="e">
        <v>#N/A</v>
      </c>
      <c r="G1264" s="18" t="s">
        <v>182</v>
      </c>
      <c r="H1264" s="18" t="s">
        <v>183</v>
      </c>
      <c r="I1264" s="18" t="s">
        <v>184</v>
      </c>
      <c r="J1264" s="18" t="s">
        <v>1535</v>
      </c>
      <c r="K1264" s="18" t="s">
        <v>56</v>
      </c>
      <c r="L1264" s="18" t="s">
        <v>36</v>
      </c>
      <c r="N1264" s="18">
        <v>6</v>
      </c>
      <c r="O1264" s="18" t="s">
        <v>88</v>
      </c>
      <c r="P1264" s="18" t="s">
        <v>38</v>
      </c>
      <c r="Q1264" s="18" t="s">
        <v>194</v>
      </c>
      <c r="R1264" s="18" t="s">
        <v>59</v>
      </c>
      <c r="S1264" s="18" t="s">
        <v>195</v>
      </c>
      <c r="T1264" s="18" t="b">
        <v>0</v>
      </c>
      <c r="U1264" s="18" t="s">
        <v>187</v>
      </c>
      <c r="V1264" s="18" t="s">
        <v>40</v>
      </c>
      <c r="W1264" s="18" t="s">
        <v>196</v>
      </c>
      <c r="X1264" s="18" t="s">
        <v>197</v>
      </c>
      <c r="Y1264" s="18">
        <v>1</v>
      </c>
      <c r="Z1264" s="18">
        <v>2040</v>
      </c>
      <c r="AA1264" s="31" t="s">
        <v>2918</v>
      </c>
      <c r="AB1264" s="18" t="s">
        <v>963</v>
      </c>
      <c r="AC1264" s="18" t="s">
        <v>200</v>
      </c>
    </row>
    <row r="1265" s="18" customFormat="1" ht="43.5" spans="1:29">
      <c r="A1265" s="18" t="s">
        <v>2919</v>
      </c>
      <c r="B1265" s="25" t="s">
        <v>2919</v>
      </c>
      <c r="C1265" s="26">
        <v>45700</v>
      </c>
      <c r="D1265" s="18" t="s">
        <v>192</v>
      </c>
      <c r="E1265" s="18" t="str">
        <f t="shared" si="19"/>
        <v>Noaman Digital Partnership Firm</v>
      </c>
      <c r="F1265" s="27" t="e">
        <v>#N/A</v>
      </c>
      <c r="G1265" s="18" t="s">
        <v>182</v>
      </c>
      <c r="H1265" s="18" t="s">
        <v>183</v>
      </c>
      <c r="I1265" s="18" t="s">
        <v>184</v>
      </c>
      <c r="J1265" s="18" t="s">
        <v>2319</v>
      </c>
      <c r="K1265" s="18" t="s">
        <v>56</v>
      </c>
      <c r="L1265" s="18" t="s">
        <v>36</v>
      </c>
      <c r="N1265" s="18">
        <v>6</v>
      </c>
      <c r="O1265" s="18" t="s">
        <v>88</v>
      </c>
      <c r="P1265" s="18" t="s">
        <v>38</v>
      </c>
      <c r="Q1265" s="18" t="s">
        <v>194</v>
      </c>
      <c r="R1265" s="18" t="s">
        <v>59</v>
      </c>
      <c r="S1265" s="18" t="s">
        <v>195</v>
      </c>
      <c r="T1265" s="18" t="b">
        <v>0</v>
      </c>
      <c r="U1265" s="18" t="s">
        <v>187</v>
      </c>
      <c r="V1265" s="18" t="s">
        <v>40</v>
      </c>
      <c r="W1265" s="18" t="s">
        <v>196</v>
      </c>
      <c r="X1265" s="18" t="s">
        <v>197</v>
      </c>
      <c r="Y1265" s="18">
        <v>1</v>
      </c>
      <c r="Z1265" s="18">
        <v>32635</v>
      </c>
      <c r="AA1265" s="31" t="s">
        <v>2918</v>
      </c>
      <c r="AB1265" s="18" t="s">
        <v>963</v>
      </c>
      <c r="AC1265" s="18" t="s">
        <v>200</v>
      </c>
    </row>
    <row r="1266" s="18" customFormat="1" ht="43.5" spans="1:29">
      <c r="A1266" s="18" t="s">
        <v>2920</v>
      </c>
      <c r="B1266" s="25" t="s">
        <v>2920</v>
      </c>
      <c r="C1266" s="26">
        <v>45700</v>
      </c>
      <c r="D1266" s="18" t="s">
        <v>264</v>
      </c>
      <c r="E1266" s="18" t="str">
        <f t="shared" si="19"/>
        <v>The Indian Performing Right Society Ltd.</v>
      </c>
      <c r="F1266" s="27" t="e">
        <v>#N/A</v>
      </c>
      <c r="G1266" s="18" t="s">
        <v>182</v>
      </c>
      <c r="H1266" s="18" t="s">
        <v>183</v>
      </c>
      <c r="I1266" s="18" t="s">
        <v>184</v>
      </c>
      <c r="J1266" s="18" t="s">
        <v>2775</v>
      </c>
      <c r="K1266" s="18" t="s">
        <v>56</v>
      </c>
      <c r="L1266" s="18" t="s">
        <v>36</v>
      </c>
      <c r="N1266" s="18">
        <v>6</v>
      </c>
      <c r="O1266" s="18" t="s">
        <v>57</v>
      </c>
      <c r="P1266" s="18" t="s">
        <v>38</v>
      </c>
      <c r="Q1266" s="18" t="s">
        <v>117</v>
      </c>
      <c r="R1266" s="18" t="s">
        <v>59</v>
      </c>
      <c r="S1266" s="18" t="s">
        <v>186</v>
      </c>
      <c r="T1266" s="18" t="b">
        <v>0</v>
      </c>
      <c r="U1266" s="18" t="s">
        <v>187</v>
      </c>
      <c r="V1266" s="18" t="s">
        <v>40</v>
      </c>
      <c r="W1266" s="18" t="s">
        <v>256</v>
      </c>
      <c r="X1266" s="18" t="s">
        <v>257</v>
      </c>
      <c r="Y1266" s="18">
        <v>1</v>
      </c>
      <c r="Z1266" s="18">
        <v>75000</v>
      </c>
      <c r="AA1266" s="31" t="s">
        <v>2834</v>
      </c>
      <c r="AB1266" s="18" t="s">
        <v>259</v>
      </c>
      <c r="AC1266" s="18" t="s">
        <v>200</v>
      </c>
    </row>
    <row r="1267" s="18" customFormat="1" ht="43.5" spans="1:29">
      <c r="A1267" s="18" t="s">
        <v>2921</v>
      </c>
      <c r="B1267" s="25" t="s">
        <v>2921</v>
      </c>
      <c r="C1267" s="26">
        <v>45700</v>
      </c>
      <c r="D1267" s="18" t="s">
        <v>255</v>
      </c>
      <c r="E1267" s="18" t="str">
        <f t="shared" si="19"/>
        <v>Phonographic Performance Limited</v>
      </c>
      <c r="F1267" s="27" t="e">
        <v>#N/A</v>
      </c>
      <c r="G1267" s="18" t="s">
        <v>182</v>
      </c>
      <c r="H1267" s="18" t="s">
        <v>183</v>
      </c>
      <c r="I1267" s="18" t="s">
        <v>184</v>
      </c>
      <c r="J1267" s="18" t="s">
        <v>2775</v>
      </c>
      <c r="K1267" s="18" t="s">
        <v>56</v>
      </c>
      <c r="L1267" s="18" t="s">
        <v>36</v>
      </c>
      <c r="N1267" s="18">
        <v>6</v>
      </c>
      <c r="O1267" s="18" t="s">
        <v>88</v>
      </c>
      <c r="P1267" s="18" t="s">
        <v>38</v>
      </c>
      <c r="Q1267" s="18" t="s">
        <v>117</v>
      </c>
      <c r="R1267" s="18" t="s">
        <v>59</v>
      </c>
      <c r="S1267" s="18" t="s">
        <v>186</v>
      </c>
      <c r="T1267" s="18" t="b">
        <v>0</v>
      </c>
      <c r="U1267" s="18" t="s">
        <v>187</v>
      </c>
      <c r="V1267" s="18" t="s">
        <v>40</v>
      </c>
      <c r="W1267" s="18" t="s">
        <v>256</v>
      </c>
      <c r="X1267" s="18" t="s">
        <v>257</v>
      </c>
      <c r="Y1267" s="18">
        <v>1</v>
      </c>
      <c r="Z1267" s="18">
        <v>46249.5</v>
      </c>
      <c r="AA1267" s="31" t="s">
        <v>2834</v>
      </c>
      <c r="AB1267" s="18" t="s">
        <v>259</v>
      </c>
      <c r="AC1267" s="18" t="s">
        <v>200</v>
      </c>
    </row>
    <row r="1268" s="18" customFormat="1" ht="43.5" spans="1:29">
      <c r="A1268" s="18" t="s">
        <v>2922</v>
      </c>
      <c r="B1268" s="25" t="s">
        <v>2922</v>
      </c>
      <c r="C1268" s="26">
        <v>45700</v>
      </c>
      <c r="D1268" s="18" t="s">
        <v>261</v>
      </c>
      <c r="E1268" s="18" t="str">
        <f t="shared" si="19"/>
        <v>Novex Communications Pvt. Ltd.</v>
      </c>
      <c r="F1268" s="27" t="e">
        <v>#N/A</v>
      </c>
      <c r="G1268" s="18" t="s">
        <v>182</v>
      </c>
      <c r="H1268" s="18" t="s">
        <v>183</v>
      </c>
      <c r="I1268" s="18" t="s">
        <v>184</v>
      </c>
      <c r="J1268" s="18" t="s">
        <v>2775</v>
      </c>
      <c r="K1268" s="18" t="s">
        <v>56</v>
      </c>
      <c r="L1268" s="18" t="s">
        <v>36</v>
      </c>
      <c r="N1268" s="18">
        <v>6</v>
      </c>
      <c r="O1268" s="18" t="s">
        <v>88</v>
      </c>
      <c r="P1268" s="18" t="s">
        <v>38</v>
      </c>
      <c r="Q1268" s="18" t="s">
        <v>117</v>
      </c>
      <c r="R1268" s="18" t="s">
        <v>59</v>
      </c>
      <c r="S1268" s="18" t="s">
        <v>186</v>
      </c>
      <c r="T1268" s="18" t="b">
        <v>0</v>
      </c>
      <c r="U1268" s="18" t="s">
        <v>187</v>
      </c>
      <c r="V1268" s="18" t="s">
        <v>40</v>
      </c>
      <c r="W1268" s="18" t="s">
        <v>256</v>
      </c>
      <c r="X1268" s="18" t="s">
        <v>257</v>
      </c>
      <c r="Y1268" s="18">
        <v>1</v>
      </c>
      <c r="Z1268" s="18">
        <v>57000</v>
      </c>
      <c r="AA1268" s="31" t="s">
        <v>2834</v>
      </c>
      <c r="AB1268" s="18" t="s">
        <v>259</v>
      </c>
      <c r="AC1268" s="18" t="s">
        <v>200</v>
      </c>
    </row>
    <row r="1269" s="18" customFormat="1" ht="43.5" spans="1:29">
      <c r="A1269" s="18" t="s">
        <v>2923</v>
      </c>
      <c r="B1269" s="25" t="s">
        <v>2923</v>
      </c>
      <c r="C1269" s="26">
        <v>45700</v>
      </c>
      <c r="D1269" s="18" t="s">
        <v>264</v>
      </c>
      <c r="E1269" s="18" t="str">
        <f t="shared" si="19"/>
        <v>The Indian Performing Right Society Ltd.</v>
      </c>
      <c r="F1269" s="27" t="e">
        <v>#N/A</v>
      </c>
      <c r="G1269" s="18" t="s">
        <v>182</v>
      </c>
      <c r="H1269" s="18" t="s">
        <v>183</v>
      </c>
      <c r="I1269" s="18" t="s">
        <v>184</v>
      </c>
      <c r="J1269" s="18" t="s">
        <v>2775</v>
      </c>
      <c r="K1269" s="18" t="s">
        <v>56</v>
      </c>
      <c r="L1269" s="18" t="s">
        <v>36</v>
      </c>
      <c r="N1269" s="18">
        <v>6</v>
      </c>
      <c r="O1269" s="18" t="s">
        <v>57</v>
      </c>
      <c r="P1269" s="18" t="s">
        <v>38</v>
      </c>
      <c r="Q1269" s="18" t="s">
        <v>117</v>
      </c>
      <c r="R1269" s="18" t="s">
        <v>59</v>
      </c>
      <c r="S1269" s="18" t="s">
        <v>186</v>
      </c>
      <c r="T1269" s="18" t="b">
        <v>0</v>
      </c>
      <c r="U1269" s="18" t="s">
        <v>187</v>
      </c>
      <c r="V1269" s="18" t="s">
        <v>40</v>
      </c>
      <c r="W1269" s="18" t="s">
        <v>256</v>
      </c>
      <c r="X1269" s="18" t="s">
        <v>257</v>
      </c>
      <c r="Y1269" s="18">
        <v>1</v>
      </c>
      <c r="Z1269" s="18">
        <v>75000</v>
      </c>
      <c r="AA1269" s="31" t="s">
        <v>2834</v>
      </c>
      <c r="AB1269" s="18" t="s">
        <v>259</v>
      </c>
      <c r="AC1269" s="18" t="s">
        <v>200</v>
      </c>
    </row>
    <row r="1270" s="18" customFormat="1" ht="43.5" spans="1:29">
      <c r="A1270" s="18" t="s">
        <v>2924</v>
      </c>
      <c r="B1270" s="25" t="s">
        <v>2924</v>
      </c>
      <c r="C1270" s="26">
        <v>45700</v>
      </c>
      <c r="D1270" s="18" t="s">
        <v>255</v>
      </c>
      <c r="E1270" s="18" t="str">
        <f t="shared" si="19"/>
        <v>Phonographic Performance Limited</v>
      </c>
      <c r="F1270" s="27" t="e">
        <v>#N/A</v>
      </c>
      <c r="G1270" s="18" t="s">
        <v>182</v>
      </c>
      <c r="H1270" s="18" t="s">
        <v>183</v>
      </c>
      <c r="I1270" s="18" t="s">
        <v>184</v>
      </c>
      <c r="J1270" s="18" t="s">
        <v>2775</v>
      </c>
      <c r="K1270" s="18" t="s">
        <v>56</v>
      </c>
      <c r="L1270" s="18" t="s">
        <v>36</v>
      </c>
      <c r="N1270" s="18">
        <v>6</v>
      </c>
      <c r="O1270" s="18" t="s">
        <v>88</v>
      </c>
      <c r="P1270" s="18" t="s">
        <v>38</v>
      </c>
      <c r="Q1270" s="18" t="s">
        <v>117</v>
      </c>
      <c r="R1270" s="18" t="s">
        <v>59</v>
      </c>
      <c r="S1270" s="18" t="s">
        <v>186</v>
      </c>
      <c r="T1270" s="18" t="b">
        <v>0</v>
      </c>
      <c r="U1270" s="18" t="s">
        <v>187</v>
      </c>
      <c r="V1270" s="18" t="s">
        <v>40</v>
      </c>
      <c r="W1270" s="18" t="s">
        <v>256</v>
      </c>
      <c r="X1270" s="18" t="s">
        <v>257</v>
      </c>
      <c r="Y1270" s="18">
        <v>1</v>
      </c>
      <c r="Z1270" s="18">
        <v>189162.5</v>
      </c>
      <c r="AA1270" s="31" t="s">
        <v>2834</v>
      </c>
      <c r="AB1270" s="18" t="s">
        <v>259</v>
      </c>
      <c r="AC1270" s="18" t="s">
        <v>200</v>
      </c>
    </row>
    <row r="1271" s="18" customFormat="1" ht="43.5" spans="1:29">
      <c r="A1271" s="18" t="s">
        <v>2925</v>
      </c>
      <c r="B1271" s="25" t="s">
        <v>2925</v>
      </c>
      <c r="C1271" s="26">
        <v>45700</v>
      </c>
      <c r="D1271" s="18" t="s">
        <v>261</v>
      </c>
      <c r="E1271" s="18" t="str">
        <f t="shared" si="19"/>
        <v>Novex Communications Pvt. Ltd.</v>
      </c>
      <c r="F1271" s="27" t="e">
        <v>#N/A</v>
      </c>
      <c r="G1271" s="18" t="s">
        <v>182</v>
      </c>
      <c r="H1271" s="18" t="s">
        <v>183</v>
      </c>
      <c r="I1271" s="18" t="s">
        <v>184</v>
      </c>
      <c r="J1271" s="18" t="s">
        <v>2775</v>
      </c>
      <c r="K1271" s="18" t="s">
        <v>56</v>
      </c>
      <c r="L1271" s="18" t="s">
        <v>36</v>
      </c>
      <c r="N1271" s="18">
        <v>6</v>
      </c>
      <c r="O1271" s="18" t="s">
        <v>88</v>
      </c>
      <c r="P1271" s="18" t="s">
        <v>38</v>
      </c>
      <c r="Q1271" s="18" t="s">
        <v>117</v>
      </c>
      <c r="R1271" s="18" t="s">
        <v>59</v>
      </c>
      <c r="S1271" s="18" t="s">
        <v>186</v>
      </c>
      <c r="T1271" s="18" t="b">
        <v>0</v>
      </c>
      <c r="U1271" s="18" t="s">
        <v>187</v>
      </c>
      <c r="V1271" s="18" t="s">
        <v>40</v>
      </c>
      <c r="W1271" s="18" t="s">
        <v>256</v>
      </c>
      <c r="X1271" s="18" t="s">
        <v>257</v>
      </c>
      <c r="Y1271" s="18">
        <v>1</v>
      </c>
      <c r="Z1271" s="18">
        <v>215650</v>
      </c>
      <c r="AA1271" s="31" t="s">
        <v>2834</v>
      </c>
      <c r="AB1271" s="18" t="s">
        <v>259</v>
      </c>
      <c r="AC1271" s="18" t="s">
        <v>200</v>
      </c>
    </row>
    <row r="1272" s="18" customFormat="1" spans="1:29">
      <c r="A1272" s="18" t="s">
        <v>2926</v>
      </c>
      <c r="B1272" s="25" t="s">
        <v>2926</v>
      </c>
      <c r="C1272" s="26">
        <v>45700</v>
      </c>
      <c r="D1272" s="18" t="s">
        <v>1349</v>
      </c>
      <c r="E1272" s="18" t="str">
        <f t="shared" si="19"/>
        <v>Success Promos &amp; Events Pvt Ltd</v>
      </c>
      <c r="F1272" s="27" t="s">
        <v>1350</v>
      </c>
      <c r="G1272" s="18" t="s">
        <v>182</v>
      </c>
      <c r="H1272" s="18" t="s">
        <v>183</v>
      </c>
      <c r="I1272" s="18" t="s">
        <v>159</v>
      </c>
      <c r="J1272" s="18" t="s">
        <v>395</v>
      </c>
      <c r="K1272" s="18" t="s">
        <v>56</v>
      </c>
      <c r="L1272" s="18" t="s">
        <v>36</v>
      </c>
      <c r="N1272" s="18">
        <v>6</v>
      </c>
      <c r="O1272" s="18" t="s">
        <v>88</v>
      </c>
      <c r="P1272" s="18" t="s">
        <v>38</v>
      </c>
      <c r="Q1272" s="18" t="s">
        <v>58</v>
      </c>
      <c r="R1272" s="18" t="s">
        <v>59</v>
      </c>
      <c r="S1272" s="18" t="s">
        <v>60</v>
      </c>
      <c r="T1272" s="18" t="b">
        <v>0</v>
      </c>
      <c r="U1272" s="18" t="s">
        <v>187</v>
      </c>
      <c r="V1272" s="18" t="s">
        <v>40</v>
      </c>
      <c r="W1272" s="18" t="s">
        <v>317</v>
      </c>
      <c r="X1272" s="18" t="s">
        <v>318</v>
      </c>
      <c r="Y1272" s="18">
        <v>1</v>
      </c>
      <c r="Z1272" s="18">
        <v>100000</v>
      </c>
      <c r="AA1272" s="18" t="s">
        <v>2255</v>
      </c>
      <c r="AB1272" s="18" t="s">
        <v>844</v>
      </c>
      <c r="AC1272" s="18" t="s">
        <v>216</v>
      </c>
    </row>
    <row r="1273" s="18" customFormat="1" spans="1:29">
      <c r="A1273" s="18" t="s">
        <v>2927</v>
      </c>
      <c r="B1273" s="25" t="s">
        <v>2927</v>
      </c>
      <c r="C1273" s="26">
        <v>45700</v>
      </c>
      <c r="D1273" s="18" t="s">
        <v>1667</v>
      </c>
      <c r="E1273" s="18" t="str">
        <f t="shared" si="19"/>
        <v>Proelectro Ltd</v>
      </c>
      <c r="F1273" s="27" t="s">
        <v>1668</v>
      </c>
      <c r="G1273" s="18" t="s">
        <v>182</v>
      </c>
      <c r="H1273" s="18" t="s">
        <v>183</v>
      </c>
      <c r="I1273" s="18" t="s">
        <v>207</v>
      </c>
      <c r="J1273" s="18" t="s">
        <v>139</v>
      </c>
      <c r="K1273" s="18" t="s">
        <v>56</v>
      </c>
      <c r="L1273" s="18" t="s">
        <v>36</v>
      </c>
      <c r="N1273" s="18">
        <v>6</v>
      </c>
      <c r="O1273" s="18" t="s">
        <v>57</v>
      </c>
      <c r="P1273" s="18" t="s">
        <v>38</v>
      </c>
      <c r="Q1273" s="18" t="s">
        <v>58</v>
      </c>
      <c r="R1273" s="18" t="s">
        <v>59</v>
      </c>
      <c r="S1273" s="18" t="s">
        <v>60</v>
      </c>
      <c r="T1273" s="18" t="b">
        <v>0</v>
      </c>
      <c r="U1273" s="18" t="s">
        <v>187</v>
      </c>
      <c r="V1273" s="18" t="s">
        <v>40</v>
      </c>
      <c r="W1273" s="18" t="s">
        <v>1221</v>
      </c>
      <c r="X1273" s="18" t="s">
        <v>234</v>
      </c>
      <c r="Y1273" s="18">
        <v>1</v>
      </c>
      <c r="Z1273" s="18">
        <v>4369920</v>
      </c>
      <c r="AA1273" s="18" t="s">
        <v>1015</v>
      </c>
      <c r="AB1273" s="18" t="s">
        <v>1016</v>
      </c>
      <c r="AC1273" s="18" t="e">
        <v>#N/A</v>
      </c>
    </row>
    <row r="1274" s="18" customFormat="1" spans="1:29">
      <c r="A1274" s="18" t="s">
        <v>2928</v>
      </c>
      <c r="B1274" s="25" t="s">
        <v>2928</v>
      </c>
      <c r="C1274" s="26">
        <v>45700</v>
      </c>
      <c r="D1274" s="18" t="s">
        <v>1667</v>
      </c>
      <c r="E1274" s="18" t="str">
        <f t="shared" si="19"/>
        <v>Proelectro Ltd</v>
      </c>
      <c r="F1274" s="27" t="s">
        <v>1668</v>
      </c>
      <c r="G1274" s="18" t="s">
        <v>182</v>
      </c>
      <c r="H1274" s="18" t="s">
        <v>183</v>
      </c>
      <c r="I1274" s="18" t="s">
        <v>207</v>
      </c>
      <c r="J1274" s="18" t="s">
        <v>139</v>
      </c>
      <c r="K1274" s="18" t="s">
        <v>56</v>
      </c>
      <c r="L1274" s="18" t="s">
        <v>36</v>
      </c>
      <c r="N1274" s="18">
        <v>6</v>
      </c>
      <c r="O1274" s="18" t="s">
        <v>57</v>
      </c>
      <c r="P1274" s="18" t="s">
        <v>38</v>
      </c>
      <c r="Q1274" s="18" t="s">
        <v>58</v>
      </c>
      <c r="R1274" s="18" t="s">
        <v>59</v>
      </c>
      <c r="S1274" s="18" t="s">
        <v>60</v>
      </c>
      <c r="T1274" s="18" t="b">
        <v>0</v>
      </c>
      <c r="U1274" s="18" t="s">
        <v>187</v>
      </c>
      <c r="V1274" s="18" t="s">
        <v>40</v>
      </c>
      <c r="W1274" s="18" t="s">
        <v>1221</v>
      </c>
      <c r="X1274" s="18" t="s">
        <v>234</v>
      </c>
      <c r="Y1274" s="18">
        <v>1</v>
      </c>
      <c r="Z1274" s="18">
        <v>583566.4</v>
      </c>
      <c r="AA1274" s="18" t="s">
        <v>1015</v>
      </c>
      <c r="AB1274" s="18" t="s">
        <v>1016</v>
      </c>
      <c r="AC1274" s="18" t="e">
        <v>#N/A</v>
      </c>
    </row>
    <row r="1275" s="18" customFormat="1" ht="43.5" spans="1:29">
      <c r="A1275" s="18" t="s">
        <v>2929</v>
      </c>
      <c r="B1275" s="25" t="s">
        <v>2929</v>
      </c>
      <c r="C1275" s="26">
        <v>45700</v>
      </c>
      <c r="D1275" s="18" t="s">
        <v>1811</v>
      </c>
      <c r="E1275" s="18" t="str">
        <f t="shared" si="19"/>
        <v>Fabrile Productions</v>
      </c>
      <c r="F1275" s="27" t="s">
        <v>1812</v>
      </c>
      <c r="G1275" s="18" t="s">
        <v>182</v>
      </c>
      <c r="H1275" s="18" t="s">
        <v>183</v>
      </c>
      <c r="I1275" s="18" t="s">
        <v>184</v>
      </c>
      <c r="J1275" s="18" t="s">
        <v>2930</v>
      </c>
      <c r="K1275" s="18" t="s">
        <v>56</v>
      </c>
      <c r="L1275" s="18" t="s">
        <v>36</v>
      </c>
      <c r="N1275" s="18">
        <v>6</v>
      </c>
      <c r="O1275" s="18" t="s">
        <v>88</v>
      </c>
      <c r="P1275" s="18" t="s">
        <v>38</v>
      </c>
      <c r="Q1275" s="18" t="s">
        <v>194</v>
      </c>
      <c r="R1275" s="18" t="s">
        <v>59</v>
      </c>
      <c r="S1275" s="18" t="s">
        <v>195</v>
      </c>
      <c r="T1275" s="18" t="b">
        <v>0</v>
      </c>
      <c r="U1275" s="18" t="s">
        <v>187</v>
      </c>
      <c r="V1275" s="18" t="s">
        <v>40</v>
      </c>
      <c r="W1275" s="18" t="s">
        <v>151</v>
      </c>
      <c r="X1275" s="18" t="s">
        <v>152</v>
      </c>
      <c r="Y1275" s="18">
        <v>1</v>
      </c>
      <c r="Z1275" s="18">
        <v>749500</v>
      </c>
      <c r="AA1275" s="31" t="s">
        <v>2931</v>
      </c>
      <c r="AB1275" s="18" t="s">
        <v>2299</v>
      </c>
      <c r="AC1275" s="18" t="s">
        <v>200</v>
      </c>
    </row>
    <row r="1276" s="18" customFormat="1" ht="43.5" spans="1:29">
      <c r="A1276" s="18" t="s">
        <v>2932</v>
      </c>
      <c r="B1276" s="25" t="s">
        <v>2932</v>
      </c>
      <c r="C1276" s="26">
        <v>45700</v>
      </c>
      <c r="D1276" s="18" t="s">
        <v>192</v>
      </c>
      <c r="E1276" s="18" t="str">
        <f t="shared" si="19"/>
        <v>Noaman Digital Partnership Firm</v>
      </c>
      <c r="F1276" s="27" t="e">
        <v>#N/A</v>
      </c>
      <c r="G1276" s="18" t="s">
        <v>182</v>
      </c>
      <c r="H1276" s="18" t="s">
        <v>183</v>
      </c>
      <c r="I1276" s="18" t="s">
        <v>184</v>
      </c>
      <c r="J1276" s="18" t="s">
        <v>2160</v>
      </c>
      <c r="K1276" s="18" t="s">
        <v>56</v>
      </c>
      <c r="L1276" s="18" t="s">
        <v>36</v>
      </c>
      <c r="N1276" s="18">
        <v>6</v>
      </c>
      <c r="O1276" s="18" t="s">
        <v>88</v>
      </c>
      <c r="P1276" s="18" t="s">
        <v>38</v>
      </c>
      <c r="Q1276" s="18" t="s">
        <v>194</v>
      </c>
      <c r="R1276" s="18" t="s">
        <v>59</v>
      </c>
      <c r="S1276" s="18" t="s">
        <v>195</v>
      </c>
      <c r="T1276" s="18" t="b">
        <v>0</v>
      </c>
      <c r="U1276" s="18" t="s">
        <v>187</v>
      </c>
      <c r="V1276" s="18" t="s">
        <v>40</v>
      </c>
      <c r="W1276" s="18" t="s">
        <v>196</v>
      </c>
      <c r="X1276" s="18" t="s">
        <v>197</v>
      </c>
      <c r="Y1276" s="18">
        <v>1</v>
      </c>
      <c r="Z1276" s="18">
        <v>10975</v>
      </c>
      <c r="AA1276" s="31" t="s">
        <v>2933</v>
      </c>
      <c r="AB1276" s="18" t="s">
        <v>1566</v>
      </c>
      <c r="AC1276" s="18" t="s">
        <v>200</v>
      </c>
    </row>
    <row r="1277" s="18" customFormat="1" ht="43.5" spans="1:29">
      <c r="A1277" s="18" t="s">
        <v>2934</v>
      </c>
      <c r="B1277" s="25" t="s">
        <v>2934</v>
      </c>
      <c r="C1277" s="26">
        <v>45700</v>
      </c>
      <c r="D1277" s="18" t="s">
        <v>2003</v>
      </c>
      <c r="E1277" s="18" t="str">
        <f t="shared" si="19"/>
        <v>Vista Services (Sainath Govind Shirke)</v>
      </c>
      <c r="F1277" s="27" t="s">
        <v>2004</v>
      </c>
      <c r="G1277" s="18" t="s">
        <v>182</v>
      </c>
      <c r="H1277" s="18" t="s">
        <v>183</v>
      </c>
      <c r="I1277" s="18" t="s">
        <v>184</v>
      </c>
      <c r="J1277" s="18" t="s">
        <v>2591</v>
      </c>
      <c r="K1277" s="18" t="s">
        <v>56</v>
      </c>
      <c r="L1277" s="18" t="s">
        <v>36</v>
      </c>
      <c r="N1277" s="18">
        <v>6</v>
      </c>
      <c r="O1277" s="18" t="s">
        <v>57</v>
      </c>
      <c r="P1277" s="18" t="s">
        <v>38</v>
      </c>
      <c r="Q1277" s="18" t="s">
        <v>194</v>
      </c>
      <c r="R1277" s="18" t="s">
        <v>59</v>
      </c>
      <c r="S1277" s="18" t="s">
        <v>195</v>
      </c>
      <c r="T1277" s="18" t="b">
        <v>0</v>
      </c>
      <c r="U1277" s="18" t="s">
        <v>187</v>
      </c>
      <c r="V1277" s="18" t="s">
        <v>40</v>
      </c>
      <c r="W1277" s="18" t="s">
        <v>256</v>
      </c>
      <c r="X1277" s="18" t="s">
        <v>257</v>
      </c>
      <c r="Y1277" s="18">
        <v>1</v>
      </c>
      <c r="Z1277" s="18">
        <v>32000</v>
      </c>
      <c r="AA1277" s="31" t="s">
        <v>2834</v>
      </c>
      <c r="AB1277" s="18" t="s">
        <v>259</v>
      </c>
      <c r="AC1277" s="18" t="s">
        <v>200</v>
      </c>
    </row>
    <row r="1278" s="18" customFormat="1" ht="43.5" spans="1:29">
      <c r="A1278" s="18" t="s">
        <v>2935</v>
      </c>
      <c r="B1278" s="25" t="s">
        <v>2935</v>
      </c>
      <c r="C1278" s="26">
        <v>45700</v>
      </c>
      <c r="D1278" s="18" t="s">
        <v>2936</v>
      </c>
      <c r="E1278" s="18" t="str">
        <f t="shared" si="19"/>
        <v>Gopi Decorators</v>
      </c>
      <c r="F1278" s="27" t="s">
        <v>2937</v>
      </c>
      <c r="G1278" s="18" t="s">
        <v>182</v>
      </c>
      <c r="H1278" s="18" t="s">
        <v>183</v>
      </c>
      <c r="I1278" s="18" t="s">
        <v>184</v>
      </c>
      <c r="J1278" s="18" t="s">
        <v>1889</v>
      </c>
      <c r="K1278" s="18" t="s">
        <v>56</v>
      </c>
      <c r="L1278" s="18" t="s">
        <v>36</v>
      </c>
      <c r="N1278" s="18">
        <v>6</v>
      </c>
      <c r="O1278" s="18" t="s">
        <v>57</v>
      </c>
      <c r="P1278" s="18" t="s">
        <v>38</v>
      </c>
      <c r="Q1278" s="18" t="s">
        <v>194</v>
      </c>
      <c r="R1278" s="18" t="s">
        <v>59</v>
      </c>
      <c r="S1278" s="18" t="s">
        <v>195</v>
      </c>
      <c r="T1278" s="18" t="b">
        <v>0</v>
      </c>
      <c r="U1278" s="18" t="s">
        <v>187</v>
      </c>
      <c r="V1278" s="18" t="s">
        <v>40</v>
      </c>
      <c r="W1278" s="18" t="s">
        <v>151</v>
      </c>
      <c r="X1278" s="18" t="s">
        <v>152</v>
      </c>
      <c r="Y1278" s="18">
        <v>1</v>
      </c>
      <c r="Z1278" s="18">
        <v>7500</v>
      </c>
      <c r="AA1278" s="31" t="s">
        <v>2733</v>
      </c>
      <c r="AB1278" s="18" t="s">
        <v>2734</v>
      </c>
      <c r="AC1278" s="18" t="e">
        <v>#N/A</v>
      </c>
    </row>
    <row r="1279" s="18" customFormat="1" ht="43.5" spans="1:29">
      <c r="A1279" s="18" t="s">
        <v>2938</v>
      </c>
      <c r="B1279" s="25" t="s">
        <v>2938</v>
      </c>
      <c r="C1279" s="26">
        <v>45700</v>
      </c>
      <c r="D1279" s="18" t="s">
        <v>977</v>
      </c>
      <c r="E1279" s="18" t="str">
        <f t="shared" si="19"/>
        <v>Videowaves</v>
      </c>
      <c r="F1279" s="27" t="e">
        <v>#N/A</v>
      </c>
      <c r="G1279" s="18" t="s">
        <v>182</v>
      </c>
      <c r="H1279" s="18" t="s">
        <v>183</v>
      </c>
      <c r="I1279" s="18" t="s">
        <v>184</v>
      </c>
      <c r="J1279" s="18" t="s">
        <v>1889</v>
      </c>
      <c r="K1279" s="18" t="s">
        <v>56</v>
      </c>
      <c r="L1279" s="18" t="s">
        <v>36</v>
      </c>
      <c r="N1279" s="18">
        <v>6</v>
      </c>
      <c r="O1279" s="18" t="s">
        <v>88</v>
      </c>
      <c r="P1279" s="18" t="s">
        <v>38</v>
      </c>
      <c r="Q1279" s="18" t="s">
        <v>194</v>
      </c>
      <c r="R1279" s="18" t="s">
        <v>59</v>
      </c>
      <c r="S1279" s="18" t="s">
        <v>195</v>
      </c>
      <c r="T1279" s="18" t="b">
        <v>0</v>
      </c>
      <c r="U1279" s="18" t="s">
        <v>187</v>
      </c>
      <c r="V1279" s="18" t="s">
        <v>40</v>
      </c>
      <c r="W1279" s="18" t="s">
        <v>371</v>
      </c>
      <c r="X1279" s="18" t="s">
        <v>372</v>
      </c>
      <c r="Y1279" s="18">
        <v>1</v>
      </c>
      <c r="Z1279" s="18">
        <v>10000</v>
      </c>
      <c r="AA1279" s="31" t="s">
        <v>2733</v>
      </c>
      <c r="AB1279" s="18" t="s">
        <v>2734</v>
      </c>
      <c r="AC1279" s="18" t="s">
        <v>200</v>
      </c>
    </row>
    <row r="1280" s="18" customFormat="1" spans="1:29">
      <c r="A1280" s="18" t="s">
        <v>2939</v>
      </c>
      <c r="B1280" s="25" t="s">
        <v>2939</v>
      </c>
      <c r="C1280" s="26">
        <v>45700</v>
      </c>
      <c r="D1280" s="18" t="s">
        <v>2940</v>
      </c>
      <c r="E1280" s="18" t="str">
        <f t="shared" si="19"/>
        <v>CV Cuan Event Indonesia</v>
      </c>
      <c r="F1280" s="27" t="s">
        <v>2941</v>
      </c>
      <c r="G1280" s="18" t="s">
        <v>182</v>
      </c>
      <c r="H1280" s="18" t="s">
        <v>183</v>
      </c>
      <c r="I1280" s="18" t="s">
        <v>207</v>
      </c>
      <c r="J1280" s="18" t="s">
        <v>1426</v>
      </c>
      <c r="K1280" s="18" t="s">
        <v>56</v>
      </c>
      <c r="L1280" s="18" t="s">
        <v>36</v>
      </c>
      <c r="N1280" s="18">
        <v>6</v>
      </c>
      <c r="O1280" s="18" t="s">
        <v>57</v>
      </c>
      <c r="P1280" s="18" t="s">
        <v>38</v>
      </c>
      <c r="Q1280" s="18" t="s">
        <v>58</v>
      </c>
      <c r="R1280" s="18" t="s">
        <v>59</v>
      </c>
      <c r="S1280" s="18" t="s">
        <v>60</v>
      </c>
      <c r="T1280" s="18" t="b">
        <v>0</v>
      </c>
      <c r="U1280" s="18" t="s">
        <v>187</v>
      </c>
      <c r="V1280" s="18" t="s">
        <v>40</v>
      </c>
      <c r="W1280" s="18" t="s">
        <v>1221</v>
      </c>
      <c r="X1280" s="18" t="s">
        <v>234</v>
      </c>
      <c r="Y1280" s="18">
        <v>1</v>
      </c>
      <c r="Z1280" s="18">
        <v>81049.5</v>
      </c>
      <c r="AA1280" s="18" t="s">
        <v>1181</v>
      </c>
      <c r="AB1280" s="18" t="s">
        <v>1182</v>
      </c>
      <c r="AC1280" s="18" t="e">
        <v>#N/A</v>
      </c>
    </row>
    <row r="1281" s="18" customFormat="1" ht="43.5" spans="1:29">
      <c r="A1281" s="18" t="s">
        <v>2942</v>
      </c>
      <c r="B1281" s="25" t="s">
        <v>2942</v>
      </c>
      <c r="C1281" s="26">
        <v>45700</v>
      </c>
      <c r="D1281" s="18" t="s">
        <v>2174</v>
      </c>
      <c r="E1281" s="18" t="str">
        <f t="shared" si="19"/>
        <v>Mumbai Shree Garjana (Ajay Adsule)</v>
      </c>
      <c r="F1281" s="27" t="s">
        <v>2175</v>
      </c>
      <c r="G1281" s="18" t="s">
        <v>182</v>
      </c>
      <c r="H1281" s="18" t="s">
        <v>183</v>
      </c>
      <c r="I1281" s="18" t="s">
        <v>184</v>
      </c>
      <c r="J1281" s="18" t="s">
        <v>2683</v>
      </c>
      <c r="K1281" s="18" t="s">
        <v>56</v>
      </c>
      <c r="L1281" s="18" t="s">
        <v>36</v>
      </c>
      <c r="N1281" s="18">
        <v>6</v>
      </c>
      <c r="O1281" s="18" t="s">
        <v>57</v>
      </c>
      <c r="P1281" s="18" t="s">
        <v>38</v>
      </c>
      <c r="Q1281" s="18" t="s">
        <v>194</v>
      </c>
      <c r="R1281" s="18" t="s">
        <v>59</v>
      </c>
      <c r="S1281" s="18" t="s">
        <v>195</v>
      </c>
      <c r="T1281" s="18" t="b">
        <v>0</v>
      </c>
      <c r="U1281" s="18" t="s">
        <v>187</v>
      </c>
      <c r="V1281" s="18" t="s">
        <v>40</v>
      </c>
      <c r="W1281" s="18" t="s">
        <v>250</v>
      </c>
      <c r="X1281" s="18" t="s">
        <v>251</v>
      </c>
      <c r="Y1281" s="18">
        <v>1</v>
      </c>
      <c r="Z1281" s="18">
        <v>22000</v>
      </c>
      <c r="AA1281" s="31" t="s">
        <v>2834</v>
      </c>
      <c r="AB1281" s="18" t="s">
        <v>259</v>
      </c>
      <c r="AC1281" s="18" t="e">
        <v>#N/A</v>
      </c>
    </row>
    <row r="1282" s="18" customFormat="1" ht="43.5" spans="1:29">
      <c r="A1282" s="18" t="s">
        <v>2943</v>
      </c>
      <c r="B1282" s="25" t="s">
        <v>2943</v>
      </c>
      <c r="C1282" s="26">
        <v>45700</v>
      </c>
      <c r="D1282" s="18" t="s">
        <v>2944</v>
      </c>
      <c r="E1282" s="18" t="str">
        <f t="shared" si="19"/>
        <v>Devoba Arts Frame Makers</v>
      </c>
      <c r="F1282" s="27" t="s">
        <v>2945</v>
      </c>
      <c r="G1282" s="18" t="s">
        <v>182</v>
      </c>
      <c r="H1282" s="18" t="s">
        <v>183</v>
      </c>
      <c r="I1282" s="18" t="s">
        <v>184</v>
      </c>
      <c r="J1282" s="18" t="s">
        <v>2946</v>
      </c>
      <c r="K1282" s="18" t="s">
        <v>56</v>
      </c>
      <c r="L1282" s="18" t="s">
        <v>36</v>
      </c>
      <c r="N1282" s="18">
        <v>6</v>
      </c>
      <c r="O1282" s="18" t="s">
        <v>57</v>
      </c>
      <c r="P1282" s="18" t="s">
        <v>38</v>
      </c>
      <c r="Q1282" s="18" t="s">
        <v>194</v>
      </c>
      <c r="R1282" s="18" t="s">
        <v>59</v>
      </c>
      <c r="S1282" s="18" t="s">
        <v>195</v>
      </c>
      <c r="T1282" s="18" t="b">
        <v>0</v>
      </c>
      <c r="U1282" s="18" t="s">
        <v>187</v>
      </c>
      <c r="V1282" s="18" t="s">
        <v>40</v>
      </c>
      <c r="W1282" s="18" t="s">
        <v>140</v>
      </c>
      <c r="X1282" s="18" t="s">
        <v>141</v>
      </c>
      <c r="Y1282" s="18">
        <v>1</v>
      </c>
      <c r="Z1282" s="18">
        <v>20000</v>
      </c>
      <c r="AA1282" s="31" t="s">
        <v>2834</v>
      </c>
      <c r="AB1282" s="18" t="s">
        <v>259</v>
      </c>
      <c r="AC1282" s="18" t="s">
        <v>200</v>
      </c>
    </row>
    <row r="1283" s="18" customFormat="1" ht="43.5" spans="1:29">
      <c r="A1283" s="18" t="s">
        <v>2947</v>
      </c>
      <c r="B1283" s="25" t="s">
        <v>2947</v>
      </c>
      <c r="C1283" s="26">
        <v>45700</v>
      </c>
      <c r="D1283" s="18" t="s">
        <v>2948</v>
      </c>
      <c r="E1283" s="18" t="str">
        <f t="shared" ref="E1283:E1346" si="20">_xlfn.TEXTBEFORE(D1283,"-")</f>
        <v>Nirav Tours &amp; Travels Pvt Ltd</v>
      </c>
      <c r="F1283" s="27" t="s">
        <v>2949</v>
      </c>
      <c r="G1283" s="18" t="s">
        <v>182</v>
      </c>
      <c r="H1283" s="18" t="s">
        <v>183</v>
      </c>
      <c r="I1283" s="18" t="s">
        <v>184</v>
      </c>
      <c r="J1283" s="18" t="s">
        <v>2160</v>
      </c>
      <c r="K1283" s="18" t="s">
        <v>56</v>
      </c>
      <c r="L1283" s="18" t="s">
        <v>36</v>
      </c>
      <c r="N1283" s="18">
        <v>6</v>
      </c>
      <c r="O1283" s="18" t="s">
        <v>57</v>
      </c>
      <c r="P1283" s="18" t="s">
        <v>38</v>
      </c>
      <c r="Q1283" s="18" t="s">
        <v>194</v>
      </c>
      <c r="R1283" s="18" t="s">
        <v>59</v>
      </c>
      <c r="S1283" s="18" t="s">
        <v>195</v>
      </c>
      <c r="T1283" s="18" t="b">
        <v>0</v>
      </c>
      <c r="U1283" s="18" t="s">
        <v>187</v>
      </c>
      <c r="V1283" s="18" t="s">
        <v>40</v>
      </c>
      <c r="W1283" s="18" t="s">
        <v>119</v>
      </c>
      <c r="X1283" s="18" t="s">
        <v>120</v>
      </c>
      <c r="Y1283" s="18">
        <v>1</v>
      </c>
      <c r="Z1283" s="18">
        <v>23000</v>
      </c>
      <c r="AA1283" s="31" t="s">
        <v>2834</v>
      </c>
      <c r="AB1283" s="18" t="s">
        <v>259</v>
      </c>
      <c r="AC1283" s="18" t="s">
        <v>676</v>
      </c>
    </row>
    <row r="1284" s="18" customFormat="1" ht="43.5" spans="1:29">
      <c r="A1284" s="18" t="s">
        <v>2950</v>
      </c>
      <c r="B1284" s="25" t="s">
        <v>2950</v>
      </c>
      <c r="C1284" s="26">
        <v>45700</v>
      </c>
      <c r="D1284" s="18" t="s">
        <v>572</v>
      </c>
      <c r="E1284" s="18" t="str">
        <f t="shared" si="20"/>
        <v>Emblaze Events (Sunita Harihar Sharma)</v>
      </c>
      <c r="F1284" s="27" t="s">
        <v>573</v>
      </c>
      <c r="G1284" s="18" t="s">
        <v>182</v>
      </c>
      <c r="H1284" s="18" t="s">
        <v>183</v>
      </c>
      <c r="I1284" s="18" t="s">
        <v>184</v>
      </c>
      <c r="J1284" s="18" t="s">
        <v>1968</v>
      </c>
      <c r="K1284" s="18" t="s">
        <v>56</v>
      </c>
      <c r="L1284" s="18" t="s">
        <v>36</v>
      </c>
      <c r="N1284" s="18">
        <v>6</v>
      </c>
      <c r="O1284" s="18" t="s">
        <v>88</v>
      </c>
      <c r="P1284" s="18" t="s">
        <v>38</v>
      </c>
      <c r="Q1284" s="18" t="s">
        <v>194</v>
      </c>
      <c r="R1284" s="18" t="s">
        <v>59</v>
      </c>
      <c r="S1284" s="18" t="s">
        <v>195</v>
      </c>
      <c r="T1284" s="18" t="b">
        <v>0</v>
      </c>
      <c r="U1284" s="18" t="s">
        <v>187</v>
      </c>
      <c r="V1284" s="18" t="s">
        <v>40</v>
      </c>
      <c r="W1284" s="18" t="s">
        <v>292</v>
      </c>
      <c r="X1284" s="18" t="s">
        <v>293</v>
      </c>
      <c r="Y1284" s="18">
        <v>1</v>
      </c>
      <c r="Z1284" s="18">
        <v>70000</v>
      </c>
      <c r="AA1284" s="31" t="s">
        <v>2951</v>
      </c>
      <c r="AB1284" s="18" t="s">
        <v>1228</v>
      </c>
      <c r="AC1284" s="18" t="s">
        <v>200</v>
      </c>
    </row>
    <row r="1285" s="18" customFormat="1" ht="43.5" spans="1:29">
      <c r="A1285" s="18" t="s">
        <v>2952</v>
      </c>
      <c r="B1285" s="25" t="s">
        <v>2952</v>
      </c>
      <c r="C1285" s="26">
        <v>45700</v>
      </c>
      <c r="D1285" s="18" t="s">
        <v>2003</v>
      </c>
      <c r="E1285" s="18" t="str">
        <f t="shared" si="20"/>
        <v>Vista Services (Sainath Govind Shirke)</v>
      </c>
      <c r="F1285" s="27" t="s">
        <v>2004</v>
      </c>
      <c r="G1285" s="18" t="s">
        <v>182</v>
      </c>
      <c r="H1285" s="18" t="s">
        <v>183</v>
      </c>
      <c r="I1285" s="18" t="s">
        <v>184</v>
      </c>
      <c r="J1285" s="18" t="s">
        <v>2953</v>
      </c>
      <c r="K1285" s="18" t="s">
        <v>56</v>
      </c>
      <c r="L1285" s="18" t="s">
        <v>36</v>
      </c>
      <c r="N1285" s="18">
        <v>6</v>
      </c>
      <c r="O1285" s="18" t="s">
        <v>57</v>
      </c>
      <c r="P1285" s="18" t="s">
        <v>38</v>
      </c>
      <c r="Q1285" s="18" t="s">
        <v>194</v>
      </c>
      <c r="R1285" s="18" t="s">
        <v>59</v>
      </c>
      <c r="S1285" s="18" t="s">
        <v>195</v>
      </c>
      <c r="T1285" s="18" t="b">
        <v>0</v>
      </c>
      <c r="U1285" s="18" t="s">
        <v>187</v>
      </c>
      <c r="V1285" s="18" t="s">
        <v>40</v>
      </c>
      <c r="W1285" s="18" t="s">
        <v>256</v>
      </c>
      <c r="X1285" s="18" t="s">
        <v>257</v>
      </c>
      <c r="Y1285" s="18">
        <v>1</v>
      </c>
      <c r="Z1285" s="18">
        <v>148000</v>
      </c>
      <c r="AA1285" s="31" t="s">
        <v>2834</v>
      </c>
      <c r="AB1285" s="18" t="s">
        <v>259</v>
      </c>
      <c r="AC1285" s="18" t="s">
        <v>200</v>
      </c>
    </row>
    <row r="1286" s="18" customFormat="1" spans="1:29">
      <c r="A1286" s="18" t="s">
        <v>2954</v>
      </c>
      <c r="B1286" s="25" t="s">
        <v>2954</v>
      </c>
      <c r="C1286" s="26">
        <v>45700</v>
      </c>
      <c r="D1286" s="18" t="s">
        <v>1219</v>
      </c>
      <c r="E1286" s="18" t="str">
        <f t="shared" si="20"/>
        <v>Victoria SA (ASIT Travel Agency)</v>
      </c>
      <c r="F1286" s="27" t="s">
        <v>1220</v>
      </c>
      <c r="G1286" s="18" t="s">
        <v>182</v>
      </c>
      <c r="H1286" s="18" t="s">
        <v>183</v>
      </c>
      <c r="I1286" s="18" t="s">
        <v>54</v>
      </c>
      <c r="J1286" s="18" t="s">
        <v>139</v>
      </c>
      <c r="K1286" s="18" t="s">
        <v>56</v>
      </c>
      <c r="L1286" s="18" t="s">
        <v>36</v>
      </c>
      <c r="N1286" s="18">
        <v>6</v>
      </c>
      <c r="O1286" s="18" t="s">
        <v>57</v>
      </c>
      <c r="P1286" s="18" t="s">
        <v>38</v>
      </c>
      <c r="Q1286" s="18" t="s">
        <v>58</v>
      </c>
      <c r="R1286" s="18" t="s">
        <v>59</v>
      </c>
      <c r="S1286" s="18" t="s">
        <v>60</v>
      </c>
      <c r="T1286" s="18" t="b">
        <v>0</v>
      </c>
      <c r="U1286" s="18" t="s">
        <v>187</v>
      </c>
      <c r="V1286" s="18" t="s">
        <v>40</v>
      </c>
      <c r="W1286" s="18" t="s">
        <v>1221</v>
      </c>
      <c r="X1286" s="18" t="s">
        <v>234</v>
      </c>
      <c r="Y1286" s="18">
        <v>1</v>
      </c>
      <c r="Z1286" s="18">
        <v>2083555.7</v>
      </c>
      <c r="AA1286" s="18" t="s">
        <v>1015</v>
      </c>
      <c r="AB1286" s="18" t="s">
        <v>1016</v>
      </c>
      <c r="AC1286" s="18" t="e">
        <v>#N/A</v>
      </c>
    </row>
    <row r="1287" s="18" customFormat="1" ht="43.5" spans="1:29">
      <c r="A1287" s="18" t="s">
        <v>2955</v>
      </c>
      <c r="B1287" s="25" t="s">
        <v>2955</v>
      </c>
      <c r="C1287" s="26">
        <v>45701</v>
      </c>
      <c r="D1287" s="18" t="s">
        <v>1078</v>
      </c>
      <c r="E1287" s="18" t="str">
        <f t="shared" si="20"/>
        <v>Mass Vision</v>
      </c>
      <c r="F1287" s="27" t="s">
        <v>1079</v>
      </c>
      <c r="G1287" s="18" t="s">
        <v>32</v>
      </c>
      <c r="H1287" s="18" t="s">
        <v>33</v>
      </c>
      <c r="I1287" s="18" t="s">
        <v>184</v>
      </c>
      <c r="J1287" s="18" t="s">
        <v>2956</v>
      </c>
      <c r="K1287" s="18" t="s">
        <v>56</v>
      </c>
      <c r="L1287" s="18" t="s">
        <v>36</v>
      </c>
      <c r="N1287" s="18">
        <v>6</v>
      </c>
      <c r="O1287" s="18" t="s">
        <v>88</v>
      </c>
      <c r="P1287" s="18" t="s">
        <v>38</v>
      </c>
      <c r="Q1287" s="18" t="s">
        <v>194</v>
      </c>
      <c r="R1287" s="18" t="s">
        <v>59</v>
      </c>
      <c r="S1287" s="18" t="s">
        <v>195</v>
      </c>
      <c r="T1287" s="18" t="b">
        <v>1</v>
      </c>
      <c r="U1287" s="18" t="s">
        <v>39</v>
      </c>
      <c r="V1287" s="18" t="s">
        <v>40</v>
      </c>
      <c r="W1287" s="18" t="s">
        <v>371</v>
      </c>
      <c r="X1287" s="18" t="s">
        <v>372</v>
      </c>
      <c r="Y1287" s="18">
        <v>1</v>
      </c>
      <c r="Z1287" s="18">
        <v>10000</v>
      </c>
      <c r="AA1287" s="31" t="s">
        <v>2760</v>
      </c>
      <c r="AB1287" s="18" t="s">
        <v>282</v>
      </c>
      <c r="AC1287" s="18" t="s">
        <v>43</v>
      </c>
    </row>
    <row r="1288" s="18" customFormat="1" ht="43.5" spans="1:29">
      <c r="A1288" s="18" t="s">
        <v>2957</v>
      </c>
      <c r="B1288" s="25" t="s">
        <v>2957</v>
      </c>
      <c r="C1288" s="26">
        <v>45701</v>
      </c>
      <c r="D1288" s="18" t="s">
        <v>827</v>
      </c>
      <c r="E1288" s="18" t="str">
        <f t="shared" si="20"/>
        <v>Infutech Solutions</v>
      </c>
      <c r="F1288" s="27" t="s">
        <v>828</v>
      </c>
      <c r="G1288" s="18" t="s">
        <v>32</v>
      </c>
      <c r="H1288" s="18" t="s">
        <v>33</v>
      </c>
      <c r="I1288" s="18" t="s">
        <v>184</v>
      </c>
      <c r="J1288" s="18" t="s">
        <v>2956</v>
      </c>
      <c r="K1288" s="18" t="s">
        <v>56</v>
      </c>
      <c r="L1288" s="18" t="s">
        <v>36</v>
      </c>
      <c r="N1288" s="18">
        <v>6</v>
      </c>
      <c r="O1288" s="18" t="s">
        <v>88</v>
      </c>
      <c r="P1288" s="18" t="s">
        <v>38</v>
      </c>
      <c r="Q1288" s="18" t="s">
        <v>194</v>
      </c>
      <c r="R1288" s="18" t="s">
        <v>59</v>
      </c>
      <c r="S1288" s="18" t="s">
        <v>195</v>
      </c>
      <c r="T1288" s="18" t="b">
        <v>1</v>
      </c>
      <c r="U1288" s="18" t="s">
        <v>39</v>
      </c>
      <c r="V1288" s="18" t="s">
        <v>40</v>
      </c>
      <c r="W1288" s="18" t="s">
        <v>990</v>
      </c>
      <c r="X1288" s="18" t="s">
        <v>991</v>
      </c>
      <c r="Y1288" s="18">
        <v>1</v>
      </c>
      <c r="Z1288" s="18">
        <v>1000</v>
      </c>
      <c r="AA1288" s="31" t="s">
        <v>2760</v>
      </c>
      <c r="AB1288" s="18" t="s">
        <v>282</v>
      </c>
      <c r="AC1288" s="18" t="s">
        <v>43</v>
      </c>
    </row>
    <row r="1289" s="18" customFormat="1" spans="1:29">
      <c r="A1289" s="18" t="s">
        <v>2958</v>
      </c>
      <c r="B1289" s="25" t="s">
        <v>2958</v>
      </c>
      <c r="C1289" s="26">
        <v>45701</v>
      </c>
      <c r="D1289" s="18" t="s">
        <v>2959</v>
      </c>
      <c r="E1289" s="18" t="str">
        <f t="shared" si="20"/>
        <v>Felicity Detailing Studio</v>
      </c>
      <c r="F1289" s="27" t="s">
        <v>2960</v>
      </c>
      <c r="G1289" s="18" t="s">
        <v>32</v>
      </c>
      <c r="H1289" s="18" t="s">
        <v>33</v>
      </c>
      <c r="I1289" s="18" t="s">
        <v>207</v>
      </c>
      <c r="J1289" s="18" t="s">
        <v>1118</v>
      </c>
      <c r="K1289" s="18" t="s">
        <v>56</v>
      </c>
      <c r="L1289" s="18" t="s">
        <v>36</v>
      </c>
      <c r="N1289" s="18">
        <v>6</v>
      </c>
      <c r="O1289" s="18" t="s">
        <v>57</v>
      </c>
      <c r="P1289" s="18" t="s">
        <v>38</v>
      </c>
      <c r="Q1289" s="18" t="s">
        <v>58</v>
      </c>
      <c r="R1289" s="18" t="s">
        <v>59</v>
      </c>
      <c r="S1289" s="18" t="s">
        <v>60</v>
      </c>
      <c r="T1289" s="18" t="b">
        <v>1</v>
      </c>
      <c r="U1289" s="18" t="s">
        <v>39</v>
      </c>
      <c r="V1289" s="18" t="s">
        <v>40</v>
      </c>
      <c r="W1289" s="18" t="s">
        <v>140</v>
      </c>
      <c r="X1289" s="18" t="s">
        <v>141</v>
      </c>
      <c r="Y1289" s="18">
        <v>1</v>
      </c>
      <c r="Z1289" s="18">
        <v>296610.2</v>
      </c>
      <c r="AA1289" s="18" t="s">
        <v>1015</v>
      </c>
      <c r="AB1289" s="18" t="s">
        <v>1016</v>
      </c>
      <c r="AC1289" s="18" t="s">
        <v>43</v>
      </c>
    </row>
    <row r="1290" s="18" customFormat="1" spans="1:29">
      <c r="A1290" s="18" t="s">
        <v>2961</v>
      </c>
      <c r="B1290" s="25" t="s">
        <v>2961</v>
      </c>
      <c r="C1290" s="26">
        <v>45701</v>
      </c>
      <c r="D1290" s="18" t="s">
        <v>284</v>
      </c>
      <c r="E1290" s="18" t="str">
        <f t="shared" si="20"/>
        <v>Abdul Rehman </v>
      </c>
      <c r="F1290" s="27" t="e">
        <v>#N/A</v>
      </c>
      <c r="G1290" s="18" t="s">
        <v>32</v>
      </c>
      <c r="H1290" s="18" t="s">
        <v>33</v>
      </c>
      <c r="I1290" s="18" t="s">
        <v>34</v>
      </c>
      <c r="J1290" s="18" t="s">
        <v>55</v>
      </c>
      <c r="K1290" s="18" t="s">
        <v>56</v>
      </c>
      <c r="L1290" s="18" t="s">
        <v>36</v>
      </c>
      <c r="N1290" s="18">
        <v>6</v>
      </c>
      <c r="O1290" s="18" t="s">
        <v>93</v>
      </c>
      <c r="P1290" s="18" t="s">
        <v>38</v>
      </c>
      <c r="Q1290" s="18" t="s">
        <v>58</v>
      </c>
      <c r="R1290" s="18" t="s">
        <v>59</v>
      </c>
      <c r="S1290" s="18" t="s">
        <v>60</v>
      </c>
      <c r="T1290" s="18" t="b">
        <v>1</v>
      </c>
      <c r="U1290" s="18" t="s">
        <v>39</v>
      </c>
      <c r="V1290" s="18" t="s">
        <v>40</v>
      </c>
      <c r="W1290" s="18" t="s">
        <v>292</v>
      </c>
      <c r="X1290" s="18" t="s">
        <v>293</v>
      </c>
      <c r="Y1290" s="18">
        <v>1</v>
      </c>
      <c r="Z1290" s="18">
        <v>7500</v>
      </c>
      <c r="AA1290" s="18" t="s">
        <v>603</v>
      </c>
      <c r="AB1290" s="18" t="s">
        <v>600</v>
      </c>
      <c r="AC1290" s="18" t="e">
        <v>#N/A</v>
      </c>
    </row>
    <row r="1291" s="18" customFormat="1" spans="1:29">
      <c r="A1291" s="18" t="s">
        <v>2962</v>
      </c>
      <c r="B1291" s="25" t="s">
        <v>2962</v>
      </c>
      <c r="C1291" s="26">
        <v>45701</v>
      </c>
      <c r="D1291" s="18" t="s">
        <v>284</v>
      </c>
      <c r="E1291" s="18" t="str">
        <f t="shared" si="20"/>
        <v>Abdul Rehman </v>
      </c>
      <c r="F1291" s="27" t="e">
        <v>#N/A</v>
      </c>
      <c r="G1291" s="18" t="s">
        <v>32</v>
      </c>
      <c r="H1291" s="18" t="s">
        <v>33</v>
      </c>
      <c r="I1291" s="18" t="s">
        <v>1246</v>
      </c>
      <c r="J1291" s="18" t="s">
        <v>310</v>
      </c>
      <c r="K1291" s="18" t="s">
        <v>56</v>
      </c>
      <c r="L1291" s="18" t="s">
        <v>36</v>
      </c>
      <c r="N1291" s="18">
        <v>6</v>
      </c>
      <c r="O1291" s="18" t="s">
        <v>93</v>
      </c>
      <c r="P1291" s="18" t="s">
        <v>38</v>
      </c>
      <c r="Q1291" s="18" t="s">
        <v>58</v>
      </c>
      <c r="R1291" s="18" t="s">
        <v>59</v>
      </c>
      <c r="S1291" s="18" t="s">
        <v>60</v>
      </c>
      <c r="T1291" s="18" t="b">
        <v>1</v>
      </c>
      <c r="U1291" s="18" t="s">
        <v>39</v>
      </c>
      <c r="V1291" s="18" t="s">
        <v>40</v>
      </c>
      <c r="W1291" s="18" t="s">
        <v>126</v>
      </c>
      <c r="X1291" s="18" t="s">
        <v>127</v>
      </c>
      <c r="Y1291" s="18">
        <v>1</v>
      </c>
      <c r="Z1291" s="18">
        <v>1750</v>
      </c>
      <c r="AA1291" s="18" t="s">
        <v>603</v>
      </c>
      <c r="AB1291" s="18" t="s">
        <v>600</v>
      </c>
      <c r="AC1291" s="18" t="e">
        <v>#N/A</v>
      </c>
    </row>
    <row r="1292" s="18" customFormat="1" ht="43.5" spans="1:29">
      <c r="A1292" s="18" t="s">
        <v>2963</v>
      </c>
      <c r="B1292" s="25" t="s">
        <v>2963</v>
      </c>
      <c r="C1292" s="26">
        <v>45701</v>
      </c>
      <c r="D1292" s="18" t="s">
        <v>2964</v>
      </c>
      <c r="E1292" s="18" t="str">
        <f t="shared" si="20"/>
        <v>Ben and Flow</v>
      </c>
      <c r="F1292" s="27" t="s">
        <v>2965</v>
      </c>
      <c r="G1292" s="18" t="s">
        <v>32</v>
      </c>
      <c r="H1292" s="18" t="s">
        <v>33</v>
      </c>
      <c r="I1292" s="18" t="s">
        <v>184</v>
      </c>
      <c r="J1292" s="18" t="s">
        <v>2319</v>
      </c>
      <c r="K1292" s="18" t="s">
        <v>56</v>
      </c>
      <c r="L1292" s="18" t="s">
        <v>36</v>
      </c>
      <c r="N1292" s="18">
        <v>6</v>
      </c>
      <c r="O1292" s="18" t="s">
        <v>57</v>
      </c>
      <c r="P1292" s="18" t="s">
        <v>38</v>
      </c>
      <c r="Q1292" s="18" t="s">
        <v>194</v>
      </c>
      <c r="R1292" s="18" t="s">
        <v>59</v>
      </c>
      <c r="S1292" s="18" t="s">
        <v>195</v>
      </c>
      <c r="T1292" s="18" t="b">
        <v>1</v>
      </c>
      <c r="U1292" s="18" t="s">
        <v>39</v>
      </c>
      <c r="V1292" s="18" t="s">
        <v>40</v>
      </c>
      <c r="W1292" s="18" t="s">
        <v>233</v>
      </c>
      <c r="X1292" s="18" t="s">
        <v>234</v>
      </c>
      <c r="Y1292" s="18">
        <v>1</v>
      </c>
      <c r="Z1292" s="18">
        <v>175000</v>
      </c>
      <c r="AA1292" s="31" t="s">
        <v>2966</v>
      </c>
      <c r="AB1292" s="18" t="s">
        <v>2967</v>
      </c>
      <c r="AC1292" s="18" t="s">
        <v>43</v>
      </c>
    </row>
    <row r="1293" s="18" customFormat="1" spans="1:29">
      <c r="A1293" s="18" t="s">
        <v>2968</v>
      </c>
      <c r="B1293" s="25" t="s">
        <v>2968</v>
      </c>
      <c r="C1293" s="26">
        <v>45701</v>
      </c>
      <c r="D1293" s="18" t="s">
        <v>2969</v>
      </c>
      <c r="E1293" s="18" t="str">
        <f t="shared" si="20"/>
        <v>Mahesh D  </v>
      </c>
      <c r="F1293" s="27" t="e">
        <v>#N/A</v>
      </c>
      <c r="G1293" s="18" t="s">
        <v>32</v>
      </c>
      <c r="H1293" s="18" t="s">
        <v>33</v>
      </c>
      <c r="I1293" s="18" t="s">
        <v>1246</v>
      </c>
      <c r="J1293" s="18" t="s">
        <v>2764</v>
      </c>
      <c r="K1293" s="18" t="s">
        <v>56</v>
      </c>
      <c r="L1293" s="18" t="s">
        <v>36</v>
      </c>
      <c r="N1293" s="18">
        <v>6</v>
      </c>
      <c r="O1293" s="18" t="s">
        <v>93</v>
      </c>
      <c r="P1293" s="18" t="s">
        <v>38</v>
      </c>
      <c r="Q1293" s="18" t="s">
        <v>117</v>
      </c>
      <c r="R1293" s="18" t="s">
        <v>59</v>
      </c>
      <c r="S1293" s="18" t="s">
        <v>118</v>
      </c>
      <c r="T1293" s="18" t="b">
        <v>1</v>
      </c>
      <c r="U1293" s="18" t="s">
        <v>39</v>
      </c>
      <c r="V1293" s="18" t="s">
        <v>40</v>
      </c>
      <c r="W1293" s="18" t="s">
        <v>126</v>
      </c>
      <c r="X1293" s="18" t="s">
        <v>127</v>
      </c>
      <c r="Y1293" s="18">
        <v>1</v>
      </c>
      <c r="Z1293" s="18">
        <v>1298</v>
      </c>
      <c r="AA1293" s="18" t="s">
        <v>501</v>
      </c>
      <c r="AB1293" s="18" t="s">
        <v>502</v>
      </c>
      <c r="AC1293" s="18" t="e">
        <v>#N/A</v>
      </c>
    </row>
    <row r="1294" s="18" customFormat="1" spans="1:29">
      <c r="A1294" s="18" t="s">
        <v>2970</v>
      </c>
      <c r="B1294" s="25" t="s">
        <v>2970</v>
      </c>
      <c r="C1294" s="26">
        <v>45701</v>
      </c>
      <c r="D1294" s="18" t="s">
        <v>1825</v>
      </c>
      <c r="E1294" s="18" t="str">
        <f t="shared" si="20"/>
        <v>Nandini Nair </v>
      </c>
      <c r="F1294" s="27" t="e">
        <v>#N/A</v>
      </c>
      <c r="G1294" s="18" t="s">
        <v>32</v>
      </c>
      <c r="H1294" s="18" t="s">
        <v>33</v>
      </c>
      <c r="I1294" s="18" t="s">
        <v>1246</v>
      </c>
      <c r="J1294" s="18" t="s">
        <v>2971</v>
      </c>
      <c r="K1294" s="18" t="s">
        <v>56</v>
      </c>
      <c r="L1294" s="18" t="s">
        <v>36</v>
      </c>
      <c r="N1294" s="18">
        <v>6</v>
      </c>
      <c r="O1294" s="18" t="s">
        <v>93</v>
      </c>
      <c r="P1294" s="18" t="s">
        <v>38</v>
      </c>
      <c r="Q1294" s="18" t="s">
        <v>117</v>
      </c>
      <c r="R1294" s="18" t="s">
        <v>59</v>
      </c>
      <c r="S1294" s="18" t="s">
        <v>118</v>
      </c>
      <c r="T1294" s="18" t="b">
        <v>1</v>
      </c>
      <c r="U1294" s="18" t="s">
        <v>39</v>
      </c>
      <c r="V1294" s="18" t="s">
        <v>40</v>
      </c>
      <c r="W1294" s="18" t="s">
        <v>126</v>
      </c>
      <c r="X1294" s="18" t="s">
        <v>127</v>
      </c>
      <c r="Y1294" s="18">
        <v>1</v>
      </c>
      <c r="Z1294" s="18">
        <v>2259</v>
      </c>
      <c r="AA1294" s="18" t="s">
        <v>128</v>
      </c>
      <c r="AB1294" s="18" t="s">
        <v>129</v>
      </c>
      <c r="AC1294" s="18" t="e">
        <v>#N/A</v>
      </c>
    </row>
    <row r="1295" s="18" customFormat="1" spans="1:29">
      <c r="A1295" s="18" t="s">
        <v>2972</v>
      </c>
      <c r="B1295" s="25" t="s">
        <v>2972</v>
      </c>
      <c r="C1295" s="26">
        <v>45701</v>
      </c>
      <c r="D1295" s="18" t="s">
        <v>113</v>
      </c>
      <c r="E1295" s="18" t="str">
        <f t="shared" si="20"/>
        <v>Siva Sankar Cabs</v>
      </c>
      <c r="F1295" s="27" t="s">
        <v>114</v>
      </c>
      <c r="G1295" s="18" t="s">
        <v>32</v>
      </c>
      <c r="H1295" s="18" t="s">
        <v>33</v>
      </c>
      <c r="I1295" s="18" t="s">
        <v>34</v>
      </c>
      <c r="J1295" s="18" t="s">
        <v>1609</v>
      </c>
      <c r="K1295" s="18" t="s">
        <v>56</v>
      </c>
      <c r="L1295" s="18" t="s">
        <v>36</v>
      </c>
      <c r="N1295" s="18">
        <v>6</v>
      </c>
      <c r="O1295" s="18" t="s">
        <v>57</v>
      </c>
      <c r="P1295" s="18" t="s">
        <v>38</v>
      </c>
      <c r="Q1295" s="18" t="s">
        <v>58</v>
      </c>
      <c r="R1295" s="18" t="s">
        <v>59</v>
      </c>
      <c r="S1295" s="18" t="s">
        <v>60</v>
      </c>
      <c r="T1295" s="18" t="b">
        <v>1</v>
      </c>
      <c r="U1295" s="18" t="s">
        <v>39</v>
      </c>
      <c r="V1295" s="18" t="s">
        <v>40</v>
      </c>
      <c r="W1295" s="18" t="s">
        <v>119</v>
      </c>
      <c r="X1295" s="18" t="s">
        <v>120</v>
      </c>
      <c r="Y1295" s="18">
        <v>1</v>
      </c>
      <c r="Z1295" s="18">
        <v>3535</v>
      </c>
      <c r="AA1295" s="18" t="s">
        <v>2694</v>
      </c>
      <c r="AB1295" s="18" t="s">
        <v>650</v>
      </c>
      <c r="AC1295" s="18" t="e">
        <v>#N/A</v>
      </c>
    </row>
    <row r="1296" s="18" customFormat="1" spans="1:29">
      <c r="A1296" s="18" t="s">
        <v>2973</v>
      </c>
      <c r="B1296" s="25" t="s">
        <v>2973</v>
      </c>
      <c r="C1296" s="26">
        <v>45701</v>
      </c>
      <c r="D1296" s="18" t="s">
        <v>113</v>
      </c>
      <c r="E1296" s="18" t="str">
        <f t="shared" si="20"/>
        <v>Siva Sankar Cabs</v>
      </c>
      <c r="F1296" s="27" t="s">
        <v>114</v>
      </c>
      <c r="G1296" s="18" t="s">
        <v>32</v>
      </c>
      <c r="H1296" s="18" t="s">
        <v>33</v>
      </c>
      <c r="I1296" s="18" t="s">
        <v>34</v>
      </c>
      <c r="J1296" s="18" t="s">
        <v>1126</v>
      </c>
      <c r="K1296" s="18" t="s">
        <v>56</v>
      </c>
      <c r="L1296" s="18" t="s">
        <v>36</v>
      </c>
      <c r="N1296" s="18">
        <v>6</v>
      </c>
      <c r="O1296" s="18" t="s">
        <v>57</v>
      </c>
      <c r="P1296" s="18" t="s">
        <v>38</v>
      </c>
      <c r="Q1296" s="18" t="s">
        <v>117</v>
      </c>
      <c r="R1296" s="18" t="s">
        <v>59</v>
      </c>
      <c r="S1296" s="18" t="s">
        <v>118</v>
      </c>
      <c r="T1296" s="18" t="b">
        <v>1</v>
      </c>
      <c r="U1296" s="18" t="s">
        <v>39</v>
      </c>
      <c r="V1296" s="18" t="s">
        <v>40</v>
      </c>
      <c r="W1296" s="18" t="s">
        <v>119</v>
      </c>
      <c r="X1296" s="18" t="s">
        <v>120</v>
      </c>
      <c r="Y1296" s="18">
        <v>1</v>
      </c>
      <c r="Z1296" s="18">
        <v>3600</v>
      </c>
      <c r="AA1296" s="18" t="s">
        <v>1330</v>
      </c>
      <c r="AB1296" s="18" t="s">
        <v>1331</v>
      </c>
      <c r="AC1296" s="18" t="e">
        <v>#N/A</v>
      </c>
    </row>
    <row r="1297" s="18" customFormat="1" spans="1:29">
      <c r="A1297" s="18" t="s">
        <v>2974</v>
      </c>
      <c r="B1297" s="25" t="s">
        <v>2974</v>
      </c>
      <c r="C1297" s="26">
        <v>45701</v>
      </c>
      <c r="D1297" s="18" t="s">
        <v>113</v>
      </c>
      <c r="E1297" s="18" t="str">
        <f t="shared" si="20"/>
        <v>Siva Sankar Cabs</v>
      </c>
      <c r="F1297" s="27" t="s">
        <v>114</v>
      </c>
      <c r="G1297" s="18" t="s">
        <v>32</v>
      </c>
      <c r="H1297" s="18" t="s">
        <v>33</v>
      </c>
      <c r="I1297" s="18" t="s">
        <v>34</v>
      </c>
      <c r="J1297" s="18" t="s">
        <v>499</v>
      </c>
      <c r="K1297" s="18" t="s">
        <v>56</v>
      </c>
      <c r="L1297" s="18" t="s">
        <v>36</v>
      </c>
      <c r="N1297" s="18">
        <v>6</v>
      </c>
      <c r="O1297" s="18" t="s">
        <v>57</v>
      </c>
      <c r="P1297" s="18" t="s">
        <v>38</v>
      </c>
      <c r="Q1297" s="18" t="s">
        <v>117</v>
      </c>
      <c r="R1297" s="18" t="s">
        <v>59</v>
      </c>
      <c r="S1297" s="18" t="s">
        <v>186</v>
      </c>
      <c r="T1297" s="18" t="b">
        <v>1</v>
      </c>
      <c r="U1297" s="18" t="s">
        <v>39</v>
      </c>
      <c r="V1297" s="18" t="s">
        <v>40</v>
      </c>
      <c r="W1297" s="18" t="s">
        <v>119</v>
      </c>
      <c r="X1297" s="18" t="s">
        <v>120</v>
      </c>
      <c r="Y1297" s="18">
        <v>1</v>
      </c>
      <c r="Z1297" s="18">
        <v>10700</v>
      </c>
      <c r="AA1297" s="18" t="s">
        <v>501</v>
      </c>
      <c r="AB1297" s="18" t="s">
        <v>502</v>
      </c>
      <c r="AC1297" s="18" t="e">
        <v>#N/A</v>
      </c>
    </row>
    <row r="1298" s="18" customFormat="1" ht="43.5" spans="1:29">
      <c r="A1298" s="18" t="s">
        <v>2975</v>
      </c>
      <c r="B1298" s="25" t="s">
        <v>2975</v>
      </c>
      <c r="C1298" s="26">
        <v>45701</v>
      </c>
      <c r="D1298" s="18" t="s">
        <v>2976</v>
      </c>
      <c r="E1298" s="18" t="str">
        <f t="shared" si="20"/>
        <v>Ideation Avenue LLP</v>
      </c>
      <c r="F1298" s="27" t="s">
        <v>2977</v>
      </c>
      <c r="G1298" s="18" t="s">
        <v>99</v>
      </c>
      <c r="H1298" s="18" t="s">
        <v>100</v>
      </c>
      <c r="I1298" s="18" t="s">
        <v>184</v>
      </c>
      <c r="J1298" s="18" t="s">
        <v>2775</v>
      </c>
      <c r="K1298" s="18" t="s">
        <v>56</v>
      </c>
      <c r="L1298" s="18" t="s">
        <v>36</v>
      </c>
      <c r="N1298" s="18">
        <v>6</v>
      </c>
      <c r="O1298" s="18" t="s">
        <v>88</v>
      </c>
      <c r="P1298" s="18" t="s">
        <v>38</v>
      </c>
      <c r="Q1298" s="18" t="s">
        <v>117</v>
      </c>
      <c r="R1298" s="18" t="s">
        <v>59</v>
      </c>
      <c r="S1298" s="18" t="s">
        <v>186</v>
      </c>
      <c r="T1298" s="18" t="b">
        <v>1</v>
      </c>
      <c r="U1298" s="18" t="s">
        <v>101</v>
      </c>
      <c r="V1298" s="18" t="s">
        <v>40</v>
      </c>
      <c r="W1298" s="18" t="s">
        <v>683</v>
      </c>
      <c r="X1298" s="18" t="s">
        <v>684</v>
      </c>
      <c r="Y1298" s="18">
        <v>1</v>
      </c>
      <c r="Z1298" s="18">
        <v>20000</v>
      </c>
      <c r="AA1298" s="31" t="s">
        <v>2978</v>
      </c>
      <c r="AB1298" s="18" t="s">
        <v>103</v>
      </c>
      <c r="AC1298" s="18" t="s">
        <v>111</v>
      </c>
    </row>
    <row r="1299" s="18" customFormat="1" spans="1:29">
      <c r="A1299" s="18" t="s">
        <v>2979</v>
      </c>
      <c r="B1299" s="25" t="s">
        <v>2979</v>
      </c>
      <c r="C1299" s="26">
        <v>45701</v>
      </c>
      <c r="D1299" s="18" t="s">
        <v>2980</v>
      </c>
      <c r="E1299" s="18" t="str">
        <f t="shared" si="20"/>
        <v>Shakthisree Gopalan</v>
      </c>
      <c r="F1299" s="27" t="s">
        <v>2981</v>
      </c>
      <c r="G1299" s="18" t="s">
        <v>99</v>
      </c>
      <c r="H1299" s="18" t="s">
        <v>100</v>
      </c>
      <c r="I1299" s="18" t="s">
        <v>34</v>
      </c>
      <c r="J1299" s="18" t="s">
        <v>2775</v>
      </c>
      <c r="K1299" s="18" t="s">
        <v>56</v>
      </c>
      <c r="L1299" s="18" t="s">
        <v>36</v>
      </c>
      <c r="N1299" s="18">
        <v>6</v>
      </c>
      <c r="O1299" s="18" t="s">
        <v>57</v>
      </c>
      <c r="P1299" s="18" t="s">
        <v>38</v>
      </c>
      <c r="Q1299" s="18" t="s">
        <v>117</v>
      </c>
      <c r="R1299" s="18" t="s">
        <v>59</v>
      </c>
      <c r="S1299" s="18" t="s">
        <v>186</v>
      </c>
      <c r="T1299" s="18" t="b">
        <v>1</v>
      </c>
      <c r="U1299" s="18" t="s">
        <v>101</v>
      </c>
      <c r="V1299" s="18" t="s">
        <v>40</v>
      </c>
      <c r="W1299" s="18" t="s">
        <v>250</v>
      </c>
      <c r="X1299" s="18" t="s">
        <v>251</v>
      </c>
      <c r="Y1299" s="18">
        <v>1</v>
      </c>
      <c r="Z1299" s="18">
        <v>350000</v>
      </c>
      <c r="AA1299" s="18" t="s">
        <v>2982</v>
      </c>
      <c r="AB1299" s="18" t="s">
        <v>1008</v>
      </c>
      <c r="AC1299" s="18" t="s">
        <v>111</v>
      </c>
    </row>
    <row r="1300" s="18" customFormat="1" spans="1:29">
      <c r="A1300" s="18" t="s">
        <v>2983</v>
      </c>
      <c r="B1300" s="25" t="s">
        <v>2983</v>
      </c>
      <c r="C1300" s="26">
        <v>45701</v>
      </c>
      <c r="D1300" s="18" t="s">
        <v>754</v>
      </c>
      <c r="E1300" s="18" t="str">
        <f t="shared" si="20"/>
        <v>Airtel Ltd(Bill Booking)</v>
      </c>
      <c r="F1300" s="27" t="s">
        <v>755</v>
      </c>
      <c r="G1300" s="18" t="s">
        <v>99</v>
      </c>
      <c r="H1300" s="18" t="s">
        <v>100</v>
      </c>
      <c r="I1300" s="18" t="s">
        <v>34</v>
      </c>
      <c r="K1300" s="18" t="s">
        <v>35</v>
      </c>
      <c r="L1300" s="18" t="s">
        <v>36</v>
      </c>
      <c r="N1300" s="18">
        <v>6</v>
      </c>
      <c r="O1300" s="18" t="s">
        <v>93</v>
      </c>
      <c r="P1300" s="18" t="s">
        <v>38</v>
      </c>
      <c r="T1300" s="18" t="b">
        <v>1</v>
      </c>
      <c r="U1300" s="18" t="s">
        <v>101</v>
      </c>
      <c r="V1300" s="18" t="s">
        <v>40</v>
      </c>
      <c r="W1300" s="18" t="s">
        <v>94</v>
      </c>
      <c r="X1300" s="18" t="s">
        <v>95</v>
      </c>
      <c r="Y1300" s="18">
        <v>1</v>
      </c>
      <c r="Z1300" s="18">
        <v>614</v>
      </c>
      <c r="AA1300" s="18" t="s">
        <v>89</v>
      </c>
      <c r="AB1300" s="18" t="s">
        <v>90</v>
      </c>
      <c r="AC1300" s="18" t="s">
        <v>111</v>
      </c>
    </row>
    <row r="1301" s="18" customFormat="1" ht="43.5" spans="1:29">
      <c r="A1301" s="18" t="s">
        <v>2984</v>
      </c>
      <c r="B1301" s="25" t="s">
        <v>2984</v>
      </c>
      <c r="C1301" s="26">
        <v>45701</v>
      </c>
      <c r="D1301" s="18" t="s">
        <v>511</v>
      </c>
      <c r="E1301" s="18" t="str">
        <f t="shared" si="20"/>
        <v>Pro Audio Solutions India Pvt Ltd</v>
      </c>
      <c r="F1301" s="27" t="s">
        <v>512</v>
      </c>
      <c r="G1301" s="18" t="s">
        <v>99</v>
      </c>
      <c r="H1301" s="18" t="s">
        <v>100</v>
      </c>
      <c r="I1301" s="18" t="s">
        <v>184</v>
      </c>
      <c r="J1301" s="18" t="s">
        <v>2345</v>
      </c>
      <c r="K1301" s="18" t="s">
        <v>56</v>
      </c>
      <c r="L1301" s="18" t="s">
        <v>36</v>
      </c>
      <c r="N1301" s="18">
        <v>6</v>
      </c>
      <c r="O1301" s="18" t="s">
        <v>88</v>
      </c>
      <c r="P1301" s="18" t="s">
        <v>38</v>
      </c>
      <c r="Q1301" s="18" t="s">
        <v>117</v>
      </c>
      <c r="R1301" s="18" t="s">
        <v>59</v>
      </c>
      <c r="S1301" s="18" t="s">
        <v>186</v>
      </c>
      <c r="T1301" s="18" t="b">
        <v>1</v>
      </c>
      <c r="U1301" s="18" t="s">
        <v>101</v>
      </c>
      <c r="V1301" s="18" t="s">
        <v>40</v>
      </c>
      <c r="W1301" s="18" t="s">
        <v>371</v>
      </c>
      <c r="X1301" s="18" t="s">
        <v>372</v>
      </c>
      <c r="Y1301" s="18">
        <v>1</v>
      </c>
      <c r="Z1301" s="18">
        <v>30000</v>
      </c>
      <c r="AA1301" s="31" t="s">
        <v>2985</v>
      </c>
      <c r="AB1301" s="18" t="s">
        <v>514</v>
      </c>
      <c r="AC1301" s="18" t="s">
        <v>111</v>
      </c>
    </row>
    <row r="1302" s="18" customFormat="1" ht="43.5" spans="1:29">
      <c r="A1302" s="18" t="s">
        <v>2986</v>
      </c>
      <c r="B1302" s="25" t="s">
        <v>2986</v>
      </c>
      <c r="C1302" s="26">
        <v>45701</v>
      </c>
      <c r="D1302" s="18" t="s">
        <v>1921</v>
      </c>
      <c r="E1302" s="18" t="str">
        <f t="shared" si="20"/>
        <v>Expressions Enlivened</v>
      </c>
      <c r="F1302" s="27" t="s">
        <v>1922</v>
      </c>
      <c r="G1302" s="18" t="s">
        <v>99</v>
      </c>
      <c r="H1302" s="18" t="s">
        <v>100</v>
      </c>
      <c r="I1302" s="18" t="s">
        <v>184</v>
      </c>
      <c r="J1302" s="18" t="s">
        <v>2345</v>
      </c>
      <c r="K1302" s="18" t="s">
        <v>56</v>
      </c>
      <c r="L1302" s="18" t="s">
        <v>36</v>
      </c>
      <c r="N1302" s="18">
        <v>6</v>
      </c>
      <c r="O1302" s="18" t="s">
        <v>57</v>
      </c>
      <c r="P1302" s="18" t="s">
        <v>38</v>
      </c>
      <c r="Q1302" s="18" t="s">
        <v>117</v>
      </c>
      <c r="R1302" s="18" t="s">
        <v>59</v>
      </c>
      <c r="S1302" s="18" t="s">
        <v>186</v>
      </c>
      <c r="T1302" s="18" t="b">
        <v>1</v>
      </c>
      <c r="U1302" s="18" t="s">
        <v>101</v>
      </c>
      <c r="V1302" s="18" t="s">
        <v>40</v>
      </c>
      <c r="W1302" s="18" t="s">
        <v>151</v>
      </c>
      <c r="X1302" s="18" t="s">
        <v>152</v>
      </c>
      <c r="Y1302" s="18">
        <v>1</v>
      </c>
      <c r="Z1302" s="18">
        <v>24435</v>
      </c>
      <c r="AA1302" s="31" t="s">
        <v>2985</v>
      </c>
      <c r="AB1302" s="18" t="s">
        <v>514</v>
      </c>
      <c r="AC1302" s="18" t="s">
        <v>111</v>
      </c>
    </row>
    <row r="1303" s="18" customFormat="1" spans="1:29">
      <c r="A1303" s="18" t="s">
        <v>2987</v>
      </c>
      <c r="B1303" s="25" t="s">
        <v>2987</v>
      </c>
      <c r="C1303" s="26">
        <v>45701</v>
      </c>
      <c r="D1303" s="18" t="s">
        <v>702</v>
      </c>
      <c r="E1303" s="18" t="str">
        <f t="shared" si="20"/>
        <v>Shree Ram Computers</v>
      </c>
      <c r="F1303" s="27" t="s">
        <v>703</v>
      </c>
      <c r="G1303" s="18" t="s">
        <v>147</v>
      </c>
      <c r="H1303" s="18" t="s">
        <v>148</v>
      </c>
      <c r="I1303" s="18" t="s">
        <v>159</v>
      </c>
      <c r="J1303" s="18" t="s">
        <v>1238</v>
      </c>
      <c r="K1303" s="18" t="s">
        <v>56</v>
      </c>
      <c r="L1303" s="18" t="s">
        <v>36</v>
      </c>
      <c r="N1303" s="18">
        <v>6</v>
      </c>
      <c r="O1303" s="18" t="s">
        <v>57</v>
      </c>
      <c r="P1303" s="18" t="s">
        <v>38</v>
      </c>
      <c r="Q1303" s="18" t="s">
        <v>58</v>
      </c>
      <c r="R1303" s="18" t="s">
        <v>59</v>
      </c>
      <c r="S1303" s="18" t="s">
        <v>60</v>
      </c>
      <c r="T1303" s="18" t="b">
        <v>1</v>
      </c>
      <c r="U1303" s="18" t="s">
        <v>150</v>
      </c>
      <c r="V1303" s="18" t="s">
        <v>40</v>
      </c>
      <c r="W1303" s="18" t="s">
        <v>704</v>
      </c>
      <c r="X1303" s="18" t="s">
        <v>704</v>
      </c>
      <c r="Y1303" s="18">
        <v>1</v>
      </c>
      <c r="Z1303" s="18">
        <v>1000</v>
      </c>
      <c r="AA1303" s="18" t="s">
        <v>516</v>
      </c>
      <c r="AB1303" s="18" t="s">
        <v>173</v>
      </c>
      <c r="AC1303" s="18" t="s">
        <v>163</v>
      </c>
    </row>
    <row r="1304" s="18" customFormat="1" spans="1:29">
      <c r="A1304" s="18" t="s">
        <v>2988</v>
      </c>
      <c r="B1304" s="25" t="s">
        <v>2988</v>
      </c>
      <c r="C1304" s="26">
        <v>45701</v>
      </c>
      <c r="D1304" s="18" t="s">
        <v>702</v>
      </c>
      <c r="E1304" s="18" t="str">
        <f t="shared" si="20"/>
        <v>Shree Ram Computers</v>
      </c>
      <c r="F1304" s="27" t="s">
        <v>703</v>
      </c>
      <c r="G1304" s="18" t="s">
        <v>147</v>
      </c>
      <c r="H1304" s="18" t="s">
        <v>148</v>
      </c>
      <c r="I1304" s="18" t="s">
        <v>159</v>
      </c>
      <c r="J1304" s="18" t="s">
        <v>2913</v>
      </c>
      <c r="K1304" s="18" t="s">
        <v>56</v>
      </c>
      <c r="L1304" s="18" t="s">
        <v>36</v>
      </c>
      <c r="N1304" s="18">
        <v>6</v>
      </c>
      <c r="O1304" s="18" t="s">
        <v>57</v>
      </c>
      <c r="P1304" s="18" t="s">
        <v>38</v>
      </c>
      <c r="Q1304" s="18" t="s">
        <v>58</v>
      </c>
      <c r="R1304" s="18" t="s">
        <v>59</v>
      </c>
      <c r="S1304" s="18" t="s">
        <v>60</v>
      </c>
      <c r="T1304" s="18" t="b">
        <v>1</v>
      </c>
      <c r="U1304" s="18" t="s">
        <v>150</v>
      </c>
      <c r="V1304" s="18" t="s">
        <v>40</v>
      </c>
      <c r="W1304" s="18" t="s">
        <v>704</v>
      </c>
      <c r="X1304" s="18" t="s">
        <v>704</v>
      </c>
      <c r="Y1304" s="18">
        <v>1</v>
      </c>
      <c r="Z1304" s="18">
        <v>6610</v>
      </c>
      <c r="AA1304" s="18" t="s">
        <v>176</v>
      </c>
      <c r="AB1304" s="18" t="s">
        <v>173</v>
      </c>
      <c r="AC1304" s="18" t="s">
        <v>163</v>
      </c>
    </row>
    <row r="1305" s="18" customFormat="1" spans="1:29">
      <c r="A1305" s="18" t="s">
        <v>2989</v>
      </c>
      <c r="B1305" s="25" t="s">
        <v>2989</v>
      </c>
      <c r="C1305" s="26">
        <v>45701</v>
      </c>
      <c r="D1305" s="18" t="s">
        <v>2528</v>
      </c>
      <c r="E1305" s="18" t="str">
        <f t="shared" si="20"/>
        <v>Sushil Nain  </v>
      </c>
      <c r="F1305" s="27" t="e">
        <v>#N/A</v>
      </c>
      <c r="G1305" s="18" t="s">
        <v>147</v>
      </c>
      <c r="H1305" s="18" t="s">
        <v>148</v>
      </c>
      <c r="I1305" s="18" t="s">
        <v>207</v>
      </c>
      <c r="J1305" s="18" t="s">
        <v>149</v>
      </c>
      <c r="K1305" s="18" t="s">
        <v>56</v>
      </c>
      <c r="L1305" s="18" t="s">
        <v>36</v>
      </c>
      <c r="N1305" s="18">
        <v>6</v>
      </c>
      <c r="O1305" s="18" t="s">
        <v>93</v>
      </c>
      <c r="P1305" s="18" t="s">
        <v>38</v>
      </c>
      <c r="Q1305" s="18" t="s">
        <v>58</v>
      </c>
      <c r="R1305" s="18" t="s">
        <v>59</v>
      </c>
      <c r="S1305" s="18" t="s">
        <v>60</v>
      </c>
      <c r="T1305" s="18" t="b">
        <v>1</v>
      </c>
      <c r="U1305" s="18" t="s">
        <v>150</v>
      </c>
      <c r="V1305" s="18" t="s">
        <v>40</v>
      </c>
      <c r="W1305" s="18" t="s">
        <v>126</v>
      </c>
      <c r="X1305" s="18" t="s">
        <v>127</v>
      </c>
      <c r="Y1305" s="18">
        <v>1</v>
      </c>
      <c r="Z1305" s="18">
        <v>343</v>
      </c>
      <c r="AA1305" s="18" t="s">
        <v>554</v>
      </c>
      <c r="AB1305" s="18" t="s">
        <v>555</v>
      </c>
      <c r="AC1305" s="18" t="e">
        <v>#N/A</v>
      </c>
    </row>
    <row r="1306" s="18" customFormat="1" spans="1:29">
      <c r="A1306" s="18" t="s">
        <v>2990</v>
      </c>
      <c r="B1306" s="25" t="s">
        <v>2990</v>
      </c>
      <c r="C1306" s="26">
        <v>45701</v>
      </c>
      <c r="D1306" s="18" t="s">
        <v>1029</v>
      </c>
      <c r="E1306" s="18" t="str">
        <f t="shared" si="20"/>
        <v>Pankaj Kumar Mishra  </v>
      </c>
      <c r="F1306" s="27" t="e">
        <v>#N/A</v>
      </c>
      <c r="G1306" s="18" t="s">
        <v>147</v>
      </c>
      <c r="H1306" s="18" t="s">
        <v>148</v>
      </c>
      <c r="I1306" s="18" t="s">
        <v>207</v>
      </c>
      <c r="J1306" s="18" t="s">
        <v>139</v>
      </c>
      <c r="K1306" s="18" t="s">
        <v>56</v>
      </c>
      <c r="L1306" s="18" t="s">
        <v>36</v>
      </c>
      <c r="N1306" s="18">
        <v>6</v>
      </c>
      <c r="O1306" s="18" t="s">
        <v>93</v>
      </c>
      <c r="P1306" s="18" t="s">
        <v>38</v>
      </c>
      <c r="Q1306" s="18" t="s">
        <v>58</v>
      </c>
      <c r="R1306" s="18" t="s">
        <v>59</v>
      </c>
      <c r="S1306" s="18" t="s">
        <v>60</v>
      </c>
      <c r="T1306" s="18" t="b">
        <v>1</v>
      </c>
      <c r="U1306" s="18" t="s">
        <v>150</v>
      </c>
      <c r="V1306" s="18" t="s">
        <v>40</v>
      </c>
      <c r="W1306" s="18" t="s">
        <v>126</v>
      </c>
      <c r="X1306" s="18" t="s">
        <v>127</v>
      </c>
      <c r="Y1306" s="18">
        <v>1</v>
      </c>
      <c r="Z1306" s="18">
        <v>708</v>
      </c>
      <c r="AA1306" s="18" t="s">
        <v>1163</v>
      </c>
      <c r="AB1306" s="18" t="s">
        <v>228</v>
      </c>
      <c r="AC1306" s="18" t="e">
        <v>#N/A</v>
      </c>
    </row>
    <row r="1307" s="18" customFormat="1" spans="1:29">
      <c r="A1307" s="18" t="s">
        <v>2991</v>
      </c>
      <c r="B1307" s="25" t="s">
        <v>2991</v>
      </c>
      <c r="C1307" s="26">
        <v>45701</v>
      </c>
      <c r="D1307" s="18" t="s">
        <v>2517</v>
      </c>
      <c r="E1307" s="18" t="str">
        <f t="shared" si="20"/>
        <v>Amarpreet Singh........... </v>
      </c>
      <c r="F1307" s="27" t="e">
        <v>#N/A</v>
      </c>
      <c r="G1307" s="18" t="s">
        <v>147</v>
      </c>
      <c r="H1307" s="18" t="s">
        <v>148</v>
      </c>
      <c r="I1307" s="18" t="s">
        <v>207</v>
      </c>
      <c r="J1307" s="18" t="s">
        <v>139</v>
      </c>
      <c r="K1307" s="18" t="s">
        <v>56</v>
      </c>
      <c r="L1307" s="18" t="s">
        <v>36</v>
      </c>
      <c r="N1307" s="18">
        <v>6</v>
      </c>
      <c r="O1307" s="18" t="s">
        <v>93</v>
      </c>
      <c r="P1307" s="18" t="s">
        <v>38</v>
      </c>
      <c r="Q1307" s="18" t="s">
        <v>58</v>
      </c>
      <c r="R1307" s="18" t="s">
        <v>59</v>
      </c>
      <c r="S1307" s="18" t="s">
        <v>60</v>
      </c>
      <c r="T1307" s="18" t="b">
        <v>1</v>
      </c>
      <c r="U1307" s="18" t="s">
        <v>150</v>
      </c>
      <c r="V1307" s="18" t="s">
        <v>40</v>
      </c>
      <c r="W1307" s="18" t="s">
        <v>233</v>
      </c>
      <c r="X1307" s="18" t="s">
        <v>234</v>
      </c>
      <c r="Y1307" s="18">
        <v>1</v>
      </c>
      <c r="Z1307" s="18">
        <v>3598</v>
      </c>
      <c r="AA1307" s="18" t="s">
        <v>463</v>
      </c>
      <c r="AB1307" s="18" t="s">
        <v>464</v>
      </c>
      <c r="AC1307" s="18" t="e">
        <v>#N/A</v>
      </c>
    </row>
    <row r="1308" s="18" customFormat="1" spans="1:29">
      <c r="A1308" s="18" t="s">
        <v>2992</v>
      </c>
      <c r="B1308" s="25" t="s">
        <v>2992</v>
      </c>
      <c r="C1308" s="26">
        <v>45701</v>
      </c>
      <c r="D1308" s="18" t="s">
        <v>2528</v>
      </c>
      <c r="E1308" s="18" t="str">
        <f t="shared" si="20"/>
        <v>Sushil Nain  </v>
      </c>
      <c r="F1308" s="27" t="e">
        <v>#N/A</v>
      </c>
      <c r="G1308" s="18" t="s">
        <v>147</v>
      </c>
      <c r="H1308" s="18" t="s">
        <v>148</v>
      </c>
      <c r="I1308" s="18" t="s">
        <v>207</v>
      </c>
      <c r="J1308" s="18" t="s">
        <v>139</v>
      </c>
      <c r="K1308" s="18" t="s">
        <v>56</v>
      </c>
      <c r="L1308" s="18" t="s">
        <v>36</v>
      </c>
      <c r="N1308" s="18">
        <v>6</v>
      </c>
      <c r="O1308" s="18" t="s">
        <v>93</v>
      </c>
      <c r="P1308" s="18" t="s">
        <v>38</v>
      </c>
      <c r="Q1308" s="18" t="s">
        <v>58</v>
      </c>
      <c r="R1308" s="18" t="s">
        <v>59</v>
      </c>
      <c r="S1308" s="18" t="s">
        <v>60</v>
      </c>
      <c r="T1308" s="18" t="b">
        <v>1</v>
      </c>
      <c r="U1308" s="18" t="s">
        <v>150</v>
      </c>
      <c r="V1308" s="18" t="s">
        <v>40</v>
      </c>
      <c r="W1308" s="18" t="s">
        <v>126</v>
      </c>
      <c r="X1308" s="18" t="s">
        <v>127</v>
      </c>
      <c r="Y1308" s="18">
        <v>1</v>
      </c>
      <c r="Z1308" s="18">
        <v>1020</v>
      </c>
      <c r="AA1308" s="18" t="s">
        <v>554</v>
      </c>
      <c r="AB1308" s="18" t="s">
        <v>555</v>
      </c>
      <c r="AC1308" s="18" t="e">
        <v>#N/A</v>
      </c>
    </row>
    <row r="1309" s="18" customFormat="1" spans="1:29">
      <c r="A1309" s="18" t="s">
        <v>2993</v>
      </c>
      <c r="B1309" s="25" t="s">
        <v>2993</v>
      </c>
      <c r="C1309" s="26">
        <v>45701</v>
      </c>
      <c r="D1309" s="18" t="s">
        <v>1733</v>
      </c>
      <c r="E1309" s="18" t="str">
        <f t="shared" si="20"/>
        <v>Sachin Vaid  </v>
      </c>
      <c r="F1309" s="27" t="s">
        <v>1734</v>
      </c>
      <c r="G1309" s="18" t="s">
        <v>147</v>
      </c>
      <c r="H1309" s="18" t="s">
        <v>148</v>
      </c>
      <c r="I1309" s="18" t="s">
        <v>207</v>
      </c>
      <c r="J1309" s="18" t="s">
        <v>466</v>
      </c>
      <c r="K1309" s="18" t="s">
        <v>56</v>
      </c>
      <c r="L1309" s="18" t="s">
        <v>36</v>
      </c>
      <c r="N1309" s="18">
        <v>6</v>
      </c>
      <c r="O1309" s="18" t="s">
        <v>93</v>
      </c>
      <c r="P1309" s="18" t="s">
        <v>38</v>
      </c>
      <c r="Q1309" s="18" t="s">
        <v>58</v>
      </c>
      <c r="R1309" s="18" t="s">
        <v>59</v>
      </c>
      <c r="S1309" s="18" t="s">
        <v>60</v>
      </c>
      <c r="T1309" s="18" t="b">
        <v>1</v>
      </c>
      <c r="U1309" s="18" t="s">
        <v>150</v>
      </c>
      <c r="V1309" s="18" t="s">
        <v>40</v>
      </c>
      <c r="W1309" s="18" t="s">
        <v>126</v>
      </c>
      <c r="X1309" s="18" t="s">
        <v>127</v>
      </c>
      <c r="Y1309" s="18">
        <v>1</v>
      </c>
      <c r="Z1309" s="18">
        <v>19742</v>
      </c>
      <c r="AA1309" s="18" t="s">
        <v>523</v>
      </c>
      <c r="AB1309" s="18" t="s">
        <v>521</v>
      </c>
      <c r="AC1309" s="18" t="e">
        <v>#N/A</v>
      </c>
    </row>
    <row r="1310" s="18" customFormat="1" spans="1:29">
      <c r="A1310" s="18" t="s">
        <v>2994</v>
      </c>
      <c r="B1310" s="25" t="s">
        <v>2994</v>
      </c>
      <c r="C1310" s="26">
        <v>45701</v>
      </c>
      <c r="D1310" s="18" t="s">
        <v>394</v>
      </c>
      <c r="E1310" s="18" t="str">
        <f t="shared" si="20"/>
        <v>Kunwar Singh Chauhan  </v>
      </c>
      <c r="F1310" s="27" t="e">
        <v>#N/A</v>
      </c>
      <c r="G1310" s="18" t="s">
        <v>147</v>
      </c>
      <c r="H1310" s="18" t="s">
        <v>148</v>
      </c>
      <c r="I1310" s="18" t="s">
        <v>207</v>
      </c>
      <c r="J1310" s="18" t="s">
        <v>2264</v>
      </c>
      <c r="K1310" s="18" t="s">
        <v>56</v>
      </c>
      <c r="L1310" s="18" t="s">
        <v>36</v>
      </c>
      <c r="N1310" s="18">
        <v>6</v>
      </c>
      <c r="O1310" s="18" t="s">
        <v>93</v>
      </c>
      <c r="P1310" s="18" t="s">
        <v>38</v>
      </c>
      <c r="Q1310" s="18" t="s">
        <v>58</v>
      </c>
      <c r="R1310" s="18" t="s">
        <v>59</v>
      </c>
      <c r="S1310" s="18" t="s">
        <v>60</v>
      </c>
      <c r="T1310" s="18" t="b">
        <v>1</v>
      </c>
      <c r="U1310" s="18" t="s">
        <v>150</v>
      </c>
      <c r="V1310" s="18" t="s">
        <v>40</v>
      </c>
      <c r="W1310" s="18" t="s">
        <v>126</v>
      </c>
      <c r="X1310" s="18" t="s">
        <v>127</v>
      </c>
      <c r="Y1310" s="18">
        <v>1</v>
      </c>
      <c r="Z1310" s="18">
        <v>584</v>
      </c>
      <c r="AA1310" s="18" t="s">
        <v>685</v>
      </c>
      <c r="AB1310" s="18" t="s">
        <v>397</v>
      </c>
      <c r="AC1310" s="18" t="e">
        <v>#N/A</v>
      </c>
    </row>
    <row r="1311" s="18" customFormat="1" spans="1:29">
      <c r="A1311" s="18" t="s">
        <v>2995</v>
      </c>
      <c r="B1311" s="25" t="s">
        <v>2995</v>
      </c>
      <c r="C1311" s="26">
        <v>45701</v>
      </c>
      <c r="D1311" s="18" t="s">
        <v>426</v>
      </c>
      <c r="E1311" s="18" t="str">
        <f t="shared" si="20"/>
        <v>Garv Aggarwal  </v>
      </c>
      <c r="F1311" s="27" t="e">
        <v>#N/A</v>
      </c>
      <c r="G1311" s="18" t="s">
        <v>147</v>
      </c>
      <c r="H1311" s="18" t="s">
        <v>148</v>
      </c>
      <c r="I1311" s="18" t="s">
        <v>207</v>
      </c>
      <c r="J1311" s="18" t="s">
        <v>2996</v>
      </c>
      <c r="K1311" s="18" t="s">
        <v>56</v>
      </c>
      <c r="L1311" s="18" t="s">
        <v>36</v>
      </c>
      <c r="N1311" s="18">
        <v>6</v>
      </c>
      <c r="O1311" s="18" t="s">
        <v>93</v>
      </c>
      <c r="P1311" s="18" t="s">
        <v>38</v>
      </c>
      <c r="Q1311" s="18" t="s">
        <v>58</v>
      </c>
      <c r="R1311" s="18" t="s">
        <v>59</v>
      </c>
      <c r="S1311" s="18" t="s">
        <v>60</v>
      </c>
      <c r="T1311" s="18" t="b">
        <v>1</v>
      </c>
      <c r="U1311" s="18" t="s">
        <v>150</v>
      </c>
      <c r="V1311" s="18" t="s">
        <v>40</v>
      </c>
      <c r="W1311" s="18" t="s">
        <v>126</v>
      </c>
      <c r="X1311" s="18" t="s">
        <v>127</v>
      </c>
      <c r="Y1311" s="18">
        <v>1</v>
      </c>
      <c r="Z1311" s="18">
        <v>3212</v>
      </c>
      <c r="AA1311" s="18" t="s">
        <v>781</v>
      </c>
      <c r="AB1311" s="18" t="s">
        <v>428</v>
      </c>
      <c r="AC1311" s="18" t="e">
        <v>#N/A</v>
      </c>
    </row>
    <row r="1312" s="18" customFormat="1" spans="1:29">
      <c r="A1312" s="18" t="s">
        <v>2997</v>
      </c>
      <c r="B1312" s="25" t="s">
        <v>2997</v>
      </c>
      <c r="C1312" s="26">
        <v>45701</v>
      </c>
      <c r="D1312" s="18" t="s">
        <v>426</v>
      </c>
      <c r="E1312" s="18" t="str">
        <f t="shared" si="20"/>
        <v>Garv Aggarwal  </v>
      </c>
      <c r="F1312" s="27" t="e">
        <v>#N/A</v>
      </c>
      <c r="G1312" s="18" t="s">
        <v>147</v>
      </c>
      <c r="H1312" s="18" t="s">
        <v>148</v>
      </c>
      <c r="I1312" s="18" t="s">
        <v>207</v>
      </c>
      <c r="J1312" s="18" t="s">
        <v>1502</v>
      </c>
      <c r="K1312" s="18" t="s">
        <v>56</v>
      </c>
      <c r="L1312" s="18" t="s">
        <v>36</v>
      </c>
      <c r="N1312" s="18">
        <v>6</v>
      </c>
      <c r="O1312" s="18" t="s">
        <v>93</v>
      </c>
      <c r="P1312" s="18" t="s">
        <v>38</v>
      </c>
      <c r="Q1312" s="18" t="s">
        <v>58</v>
      </c>
      <c r="R1312" s="18" t="s">
        <v>59</v>
      </c>
      <c r="S1312" s="18" t="s">
        <v>60</v>
      </c>
      <c r="T1312" s="18" t="b">
        <v>1</v>
      </c>
      <c r="U1312" s="18" t="s">
        <v>150</v>
      </c>
      <c r="V1312" s="18" t="s">
        <v>40</v>
      </c>
      <c r="W1312" s="18" t="s">
        <v>126</v>
      </c>
      <c r="X1312" s="18" t="s">
        <v>127</v>
      </c>
      <c r="Y1312" s="18">
        <v>1</v>
      </c>
      <c r="Z1312" s="18">
        <v>1985</v>
      </c>
      <c r="AA1312" s="18" t="s">
        <v>781</v>
      </c>
      <c r="AB1312" s="18" t="s">
        <v>428</v>
      </c>
      <c r="AC1312" s="18" t="e">
        <v>#N/A</v>
      </c>
    </row>
    <row r="1313" s="18" customFormat="1" spans="1:29">
      <c r="A1313" s="18" t="s">
        <v>2998</v>
      </c>
      <c r="B1313" s="25" t="s">
        <v>2998</v>
      </c>
      <c r="C1313" s="26">
        <v>45701</v>
      </c>
      <c r="D1313" s="18" t="s">
        <v>411</v>
      </c>
      <c r="E1313" s="18" t="str">
        <f t="shared" si="20"/>
        <v>Vijender  </v>
      </c>
      <c r="F1313" s="27" t="e">
        <v>#N/A</v>
      </c>
      <c r="G1313" s="18" t="s">
        <v>147</v>
      </c>
      <c r="H1313" s="18" t="s">
        <v>148</v>
      </c>
      <c r="I1313" s="18" t="s">
        <v>207</v>
      </c>
      <c r="J1313" s="18" t="s">
        <v>395</v>
      </c>
      <c r="K1313" s="18" t="s">
        <v>56</v>
      </c>
      <c r="L1313" s="18" t="s">
        <v>36</v>
      </c>
      <c r="N1313" s="18">
        <v>6</v>
      </c>
      <c r="O1313" s="18" t="s">
        <v>93</v>
      </c>
      <c r="P1313" s="18" t="s">
        <v>38</v>
      </c>
      <c r="Q1313" s="18" t="s">
        <v>58</v>
      </c>
      <c r="R1313" s="18" t="s">
        <v>59</v>
      </c>
      <c r="S1313" s="18" t="s">
        <v>60</v>
      </c>
      <c r="T1313" s="18" t="b">
        <v>1</v>
      </c>
      <c r="U1313" s="18" t="s">
        <v>150</v>
      </c>
      <c r="V1313" s="18" t="s">
        <v>40</v>
      </c>
      <c r="W1313" s="18" t="s">
        <v>412</v>
      </c>
      <c r="X1313" s="18" t="s">
        <v>413</v>
      </c>
      <c r="Y1313" s="18">
        <v>1</v>
      </c>
      <c r="Z1313" s="18">
        <v>20821</v>
      </c>
      <c r="AA1313" s="18" t="s">
        <v>1108</v>
      </c>
      <c r="AB1313" s="18" t="s">
        <v>1109</v>
      </c>
      <c r="AC1313" s="18" t="e">
        <v>#N/A</v>
      </c>
    </row>
    <row r="1314" s="18" customFormat="1" spans="1:29">
      <c r="A1314" s="18" t="s">
        <v>2999</v>
      </c>
      <c r="B1314" s="25" t="s">
        <v>2999</v>
      </c>
      <c r="C1314" s="26">
        <v>45701</v>
      </c>
      <c r="D1314" s="18" t="s">
        <v>3000</v>
      </c>
      <c r="E1314" s="18" t="str">
        <f t="shared" si="20"/>
        <v>Kalka Confectioners</v>
      </c>
      <c r="F1314" s="27" t="s">
        <v>3001</v>
      </c>
      <c r="G1314" s="18" t="s">
        <v>147</v>
      </c>
      <c r="H1314" s="18" t="s">
        <v>148</v>
      </c>
      <c r="I1314" s="18" t="s">
        <v>207</v>
      </c>
      <c r="J1314" s="18" t="s">
        <v>3002</v>
      </c>
      <c r="K1314" s="18" t="s">
        <v>56</v>
      </c>
      <c r="L1314" s="18" t="s">
        <v>36</v>
      </c>
      <c r="N1314" s="18">
        <v>6</v>
      </c>
      <c r="O1314" s="18" t="s">
        <v>57</v>
      </c>
      <c r="P1314" s="18" t="s">
        <v>38</v>
      </c>
      <c r="Q1314" s="18" t="s">
        <v>58</v>
      </c>
      <c r="R1314" s="18" t="s">
        <v>59</v>
      </c>
      <c r="S1314" s="18" t="s">
        <v>60</v>
      </c>
      <c r="T1314" s="18" t="b">
        <v>1</v>
      </c>
      <c r="U1314" s="18" t="s">
        <v>150</v>
      </c>
      <c r="V1314" s="18" t="s">
        <v>40</v>
      </c>
      <c r="W1314" s="18" t="s">
        <v>140</v>
      </c>
      <c r="X1314" s="18" t="s">
        <v>141</v>
      </c>
      <c r="Y1314" s="18">
        <v>1</v>
      </c>
      <c r="Z1314" s="18">
        <v>1000</v>
      </c>
      <c r="AA1314" s="18" t="s">
        <v>343</v>
      </c>
      <c r="AC1314" s="18" t="s">
        <v>699</v>
      </c>
    </row>
    <row r="1315" s="18" customFormat="1" spans="1:29">
      <c r="A1315" s="18" t="s">
        <v>3003</v>
      </c>
      <c r="B1315" s="25" t="s">
        <v>3003</v>
      </c>
      <c r="C1315" s="26">
        <v>45701</v>
      </c>
      <c r="D1315" s="18" t="s">
        <v>2517</v>
      </c>
      <c r="E1315" s="18" t="str">
        <f t="shared" si="20"/>
        <v>Amarpreet Singh........... </v>
      </c>
      <c r="F1315" s="27" t="e">
        <v>#N/A</v>
      </c>
      <c r="G1315" s="18" t="s">
        <v>147</v>
      </c>
      <c r="H1315" s="18" t="s">
        <v>148</v>
      </c>
      <c r="I1315" s="18" t="s">
        <v>207</v>
      </c>
      <c r="J1315" s="18" t="s">
        <v>2464</v>
      </c>
      <c r="K1315" s="18" t="s">
        <v>56</v>
      </c>
      <c r="L1315" s="18" t="s">
        <v>36</v>
      </c>
      <c r="N1315" s="18">
        <v>6</v>
      </c>
      <c r="O1315" s="18" t="s">
        <v>93</v>
      </c>
      <c r="P1315" s="18" t="s">
        <v>38</v>
      </c>
      <c r="Q1315" s="18" t="s">
        <v>58</v>
      </c>
      <c r="R1315" s="18" t="s">
        <v>59</v>
      </c>
      <c r="S1315" s="18" t="s">
        <v>60</v>
      </c>
      <c r="T1315" s="18" t="b">
        <v>1</v>
      </c>
      <c r="U1315" s="18" t="s">
        <v>150</v>
      </c>
      <c r="V1315" s="18" t="s">
        <v>40</v>
      </c>
      <c r="W1315" s="18" t="s">
        <v>126</v>
      </c>
      <c r="X1315" s="18" t="s">
        <v>127</v>
      </c>
      <c r="Y1315" s="18">
        <v>1</v>
      </c>
      <c r="Z1315" s="18">
        <v>1980</v>
      </c>
      <c r="AA1315" s="18" t="s">
        <v>463</v>
      </c>
      <c r="AB1315" s="18" t="s">
        <v>464</v>
      </c>
      <c r="AC1315" s="18" t="e">
        <v>#N/A</v>
      </c>
    </row>
    <row r="1316" s="18" customFormat="1" spans="1:29">
      <c r="A1316" s="18" t="s">
        <v>3004</v>
      </c>
      <c r="B1316" s="25" t="s">
        <v>3004</v>
      </c>
      <c r="C1316" s="26">
        <v>45701</v>
      </c>
      <c r="D1316" s="18" t="s">
        <v>688</v>
      </c>
      <c r="E1316" s="18" t="str">
        <f t="shared" si="20"/>
        <v>Inked</v>
      </c>
      <c r="F1316" s="27" t="e">
        <v>#N/A</v>
      </c>
      <c r="G1316" s="18" t="s">
        <v>147</v>
      </c>
      <c r="H1316" s="18" t="s">
        <v>148</v>
      </c>
      <c r="I1316" s="18" t="s">
        <v>54</v>
      </c>
      <c r="J1316" s="18" t="s">
        <v>310</v>
      </c>
      <c r="K1316" s="18" t="s">
        <v>56</v>
      </c>
      <c r="L1316" s="18" t="s">
        <v>36</v>
      </c>
      <c r="N1316" s="18">
        <v>6</v>
      </c>
      <c r="O1316" s="18" t="s">
        <v>88</v>
      </c>
      <c r="P1316" s="18" t="s">
        <v>38</v>
      </c>
      <c r="Q1316" s="18" t="s">
        <v>58</v>
      </c>
      <c r="R1316" s="18" t="s">
        <v>59</v>
      </c>
      <c r="S1316" s="18" t="s">
        <v>60</v>
      </c>
      <c r="T1316" s="18" t="b">
        <v>1</v>
      </c>
      <c r="U1316" s="18" t="s">
        <v>150</v>
      </c>
      <c r="V1316" s="18" t="s">
        <v>40</v>
      </c>
      <c r="W1316" s="18" t="s">
        <v>196</v>
      </c>
      <c r="X1316" s="18" t="s">
        <v>197</v>
      </c>
      <c r="Y1316" s="18">
        <v>1</v>
      </c>
      <c r="Z1316" s="18">
        <v>3450</v>
      </c>
      <c r="AA1316" s="18" t="s">
        <v>463</v>
      </c>
      <c r="AB1316" s="18" t="s">
        <v>464</v>
      </c>
      <c r="AC1316" s="18" t="s">
        <v>163</v>
      </c>
    </row>
    <row r="1317" s="18" customFormat="1" spans="1:29">
      <c r="A1317" s="18" t="s">
        <v>3005</v>
      </c>
      <c r="B1317" s="25" t="s">
        <v>3005</v>
      </c>
      <c r="C1317" s="26">
        <v>45701</v>
      </c>
      <c r="D1317" s="18" t="s">
        <v>451</v>
      </c>
      <c r="E1317" s="18" t="str">
        <f t="shared" si="20"/>
        <v>Ajeet Singh  </v>
      </c>
      <c r="F1317" s="27" t="s">
        <v>452</v>
      </c>
      <c r="G1317" s="18" t="s">
        <v>147</v>
      </c>
      <c r="H1317" s="18" t="s">
        <v>148</v>
      </c>
      <c r="I1317" s="18" t="s">
        <v>207</v>
      </c>
      <c r="J1317" s="18" t="s">
        <v>2464</v>
      </c>
      <c r="K1317" s="18" t="s">
        <v>56</v>
      </c>
      <c r="L1317" s="18" t="s">
        <v>36</v>
      </c>
      <c r="N1317" s="18">
        <v>6</v>
      </c>
      <c r="O1317" s="18" t="s">
        <v>93</v>
      </c>
      <c r="P1317" s="18" t="s">
        <v>38</v>
      </c>
      <c r="Q1317" s="18" t="s">
        <v>58</v>
      </c>
      <c r="R1317" s="18" t="s">
        <v>59</v>
      </c>
      <c r="S1317" s="18" t="s">
        <v>60</v>
      </c>
      <c r="T1317" s="18" t="b">
        <v>1</v>
      </c>
      <c r="U1317" s="18" t="s">
        <v>150</v>
      </c>
      <c r="V1317" s="18" t="s">
        <v>40</v>
      </c>
      <c r="W1317" s="18" t="s">
        <v>126</v>
      </c>
      <c r="X1317" s="18" t="s">
        <v>127</v>
      </c>
      <c r="Y1317" s="18">
        <v>1</v>
      </c>
      <c r="Z1317" s="18">
        <v>4264</v>
      </c>
      <c r="AA1317" s="18" t="s">
        <v>3006</v>
      </c>
      <c r="AB1317" s="18" t="s">
        <v>454</v>
      </c>
      <c r="AC1317" s="18" t="e">
        <v>#N/A</v>
      </c>
    </row>
    <row r="1318" s="18" customFormat="1" spans="1:29">
      <c r="A1318" s="18" t="s">
        <v>3007</v>
      </c>
      <c r="B1318" s="25" t="s">
        <v>3007</v>
      </c>
      <c r="C1318" s="26">
        <v>45701</v>
      </c>
      <c r="D1318" s="18" t="s">
        <v>1029</v>
      </c>
      <c r="E1318" s="18" t="str">
        <f t="shared" si="20"/>
        <v>Pankaj Kumar Mishra  </v>
      </c>
      <c r="F1318" s="27" t="e">
        <v>#N/A</v>
      </c>
      <c r="G1318" s="18" t="s">
        <v>147</v>
      </c>
      <c r="H1318" s="18" t="s">
        <v>148</v>
      </c>
      <c r="I1318" s="18" t="s">
        <v>207</v>
      </c>
      <c r="J1318" s="18" t="s">
        <v>2464</v>
      </c>
      <c r="K1318" s="18" t="s">
        <v>56</v>
      </c>
      <c r="L1318" s="18" t="s">
        <v>36</v>
      </c>
      <c r="N1318" s="18">
        <v>6</v>
      </c>
      <c r="O1318" s="18" t="s">
        <v>93</v>
      </c>
      <c r="P1318" s="18" t="s">
        <v>38</v>
      </c>
      <c r="Q1318" s="18" t="s">
        <v>58</v>
      </c>
      <c r="R1318" s="18" t="s">
        <v>59</v>
      </c>
      <c r="S1318" s="18" t="s">
        <v>60</v>
      </c>
      <c r="T1318" s="18" t="b">
        <v>1</v>
      </c>
      <c r="U1318" s="18" t="s">
        <v>150</v>
      </c>
      <c r="V1318" s="18" t="s">
        <v>40</v>
      </c>
      <c r="W1318" s="18" t="s">
        <v>126</v>
      </c>
      <c r="X1318" s="18" t="s">
        <v>127</v>
      </c>
      <c r="Y1318" s="18">
        <v>1</v>
      </c>
      <c r="Z1318" s="18">
        <v>490</v>
      </c>
      <c r="AA1318" s="18" t="s">
        <v>1163</v>
      </c>
      <c r="AB1318" s="18" t="s">
        <v>228</v>
      </c>
      <c r="AC1318" s="18" t="e">
        <v>#N/A</v>
      </c>
    </row>
    <row r="1319" s="18" customFormat="1" spans="1:29">
      <c r="A1319" s="18" t="s">
        <v>3008</v>
      </c>
      <c r="B1319" s="25" t="s">
        <v>3008</v>
      </c>
      <c r="C1319" s="26">
        <v>45701</v>
      </c>
      <c r="D1319" s="18" t="s">
        <v>688</v>
      </c>
      <c r="E1319" s="18" t="str">
        <f t="shared" si="20"/>
        <v>Inked</v>
      </c>
      <c r="F1319" s="27" t="e">
        <v>#N/A</v>
      </c>
      <c r="G1319" s="18" t="s">
        <v>147</v>
      </c>
      <c r="H1319" s="18" t="s">
        <v>148</v>
      </c>
      <c r="I1319" s="18" t="s">
        <v>54</v>
      </c>
      <c r="J1319" s="18" t="s">
        <v>55</v>
      </c>
      <c r="K1319" s="18" t="s">
        <v>56</v>
      </c>
      <c r="L1319" s="18" t="s">
        <v>36</v>
      </c>
      <c r="N1319" s="18">
        <v>6</v>
      </c>
      <c r="O1319" s="18" t="s">
        <v>88</v>
      </c>
      <c r="P1319" s="18" t="s">
        <v>38</v>
      </c>
      <c r="Q1319" s="18" t="s">
        <v>58</v>
      </c>
      <c r="R1319" s="18" t="s">
        <v>59</v>
      </c>
      <c r="S1319" s="18" t="s">
        <v>60</v>
      </c>
      <c r="T1319" s="18" t="b">
        <v>1</v>
      </c>
      <c r="U1319" s="18" t="s">
        <v>150</v>
      </c>
      <c r="V1319" s="18" t="s">
        <v>40</v>
      </c>
      <c r="W1319" s="18" t="s">
        <v>196</v>
      </c>
      <c r="X1319" s="18" t="s">
        <v>197</v>
      </c>
      <c r="Y1319" s="18">
        <v>1</v>
      </c>
      <c r="Z1319" s="18">
        <v>2500</v>
      </c>
      <c r="AA1319" s="18" t="s">
        <v>1104</v>
      </c>
      <c r="AB1319" s="18" t="s">
        <v>464</v>
      </c>
      <c r="AC1319" s="18" t="s">
        <v>163</v>
      </c>
    </row>
    <row r="1320" s="18" customFormat="1" ht="43.5" spans="1:29">
      <c r="A1320" s="18" t="s">
        <v>3009</v>
      </c>
      <c r="B1320" s="25" t="s">
        <v>3009</v>
      </c>
      <c r="C1320" s="26">
        <v>45701</v>
      </c>
      <c r="D1320" s="18" t="s">
        <v>541</v>
      </c>
      <c r="E1320" s="18" t="str">
        <f t="shared" si="20"/>
        <v>Dream Factory Pvt. Ltd.</v>
      </c>
      <c r="F1320" s="27" t="e">
        <v>#N/A</v>
      </c>
      <c r="G1320" s="18" t="s">
        <v>147</v>
      </c>
      <c r="H1320" s="18" t="s">
        <v>148</v>
      </c>
      <c r="I1320" s="18" t="s">
        <v>184</v>
      </c>
      <c r="J1320" s="18" t="s">
        <v>1968</v>
      </c>
      <c r="K1320" s="18" t="s">
        <v>56</v>
      </c>
      <c r="L1320" s="18" t="s">
        <v>36</v>
      </c>
      <c r="N1320" s="18">
        <v>6</v>
      </c>
      <c r="O1320" s="18" t="s">
        <v>88</v>
      </c>
      <c r="P1320" s="18" t="s">
        <v>38</v>
      </c>
      <c r="Q1320" s="18" t="s">
        <v>194</v>
      </c>
      <c r="R1320" s="18" t="s">
        <v>59</v>
      </c>
      <c r="S1320" s="18" t="s">
        <v>195</v>
      </c>
      <c r="T1320" s="18" t="b">
        <v>1</v>
      </c>
      <c r="U1320" s="18" t="s">
        <v>150</v>
      </c>
      <c r="V1320" s="18" t="s">
        <v>40</v>
      </c>
      <c r="W1320" s="18" t="s">
        <v>151</v>
      </c>
      <c r="X1320" s="18" t="s">
        <v>152</v>
      </c>
      <c r="Y1320" s="18">
        <v>1</v>
      </c>
      <c r="Z1320" s="18">
        <v>100000</v>
      </c>
      <c r="AA1320" s="31" t="s">
        <v>3010</v>
      </c>
      <c r="AB1320" s="18" t="s">
        <v>1354</v>
      </c>
      <c r="AC1320" s="18" t="s">
        <v>155</v>
      </c>
    </row>
    <row r="1321" s="18" customFormat="1" spans="1:29">
      <c r="A1321" s="18" t="s">
        <v>3011</v>
      </c>
      <c r="B1321" s="25" t="s">
        <v>3011</v>
      </c>
      <c r="C1321" s="26">
        <v>45701</v>
      </c>
      <c r="D1321" s="18" t="s">
        <v>1029</v>
      </c>
      <c r="E1321" s="18" t="str">
        <f t="shared" si="20"/>
        <v>Pankaj Kumar Mishra  </v>
      </c>
      <c r="F1321" s="27" t="e">
        <v>#N/A</v>
      </c>
      <c r="G1321" s="18" t="s">
        <v>147</v>
      </c>
      <c r="H1321" s="18" t="s">
        <v>148</v>
      </c>
      <c r="I1321" s="18" t="s">
        <v>207</v>
      </c>
      <c r="J1321" s="18" t="s">
        <v>2464</v>
      </c>
      <c r="K1321" s="18" t="s">
        <v>56</v>
      </c>
      <c r="L1321" s="18" t="s">
        <v>36</v>
      </c>
      <c r="N1321" s="18">
        <v>6</v>
      </c>
      <c r="O1321" s="18" t="s">
        <v>93</v>
      </c>
      <c r="P1321" s="18" t="s">
        <v>38</v>
      </c>
      <c r="Q1321" s="18" t="s">
        <v>58</v>
      </c>
      <c r="R1321" s="18" t="s">
        <v>59</v>
      </c>
      <c r="S1321" s="18" t="s">
        <v>60</v>
      </c>
      <c r="T1321" s="18" t="b">
        <v>1</v>
      </c>
      <c r="U1321" s="18" t="s">
        <v>150</v>
      </c>
      <c r="V1321" s="18" t="s">
        <v>40</v>
      </c>
      <c r="W1321" s="18" t="s">
        <v>233</v>
      </c>
      <c r="X1321" s="18" t="s">
        <v>234</v>
      </c>
      <c r="Y1321" s="18">
        <v>1</v>
      </c>
      <c r="Z1321" s="18">
        <v>2121</v>
      </c>
      <c r="AA1321" s="18" t="s">
        <v>1163</v>
      </c>
      <c r="AB1321" s="18" t="s">
        <v>228</v>
      </c>
      <c r="AC1321" s="18" t="e">
        <v>#N/A</v>
      </c>
    </row>
    <row r="1322" s="18" customFormat="1" spans="1:29">
      <c r="A1322" s="18" t="s">
        <v>3012</v>
      </c>
      <c r="B1322" s="25" t="s">
        <v>3012</v>
      </c>
      <c r="C1322" s="26">
        <v>45701</v>
      </c>
      <c r="D1322" s="18" t="s">
        <v>678</v>
      </c>
      <c r="E1322" s="18" t="str">
        <f t="shared" si="20"/>
        <v>Corporate Gift</v>
      </c>
      <c r="F1322" s="27" t="s">
        <v>679</v>
      </c>
      <c r="G1322" s="18" t="s">
        <v>147</v>
      </c>
      <c r="H1322" s="18" t="s">
        <v>148</v>
      </c>
      <c r="I1322" s="18" t="s">
        <v>54</v>
      </c>
      <c r="J1322" s="18" t="s">
        <v>395</v>
      </c>
      <c r="K1322" s="18" t="s">
        <v>56</v>
      </c>
      <c r="L1322" s="18" t="s">
        <v>36</v>
      </c>
      <c r="N1322" s="18">
        <v>6</v>
      </c>
      <c r="O1322" s="18" t="s">
        <v>88</v>
      </c>
      <c r="P1322" s="18" t="s">
        <v>38</v>
      </c>
      <c r="Q1322" s="18" t="s">
        <v>58</v>
      </c>
      <c r="R1322" s="18" t="s">
        <v>59</v>
      </c>
      <c r="S1322" s="18" t="s">
        <v>60</v>
      </c>
      <c r="T1322" s="18" t="b">
        <v>1</v>
      </c>
      <c r="U1322" s="18" t="s">
        <v>150</v>
      </c>
      <c r="V1322" s="18" t="s">
        <v>40</v>
      </c>
      <c r="W1322" s="18" t="s">
        <v>196</v>
      </c>
      <c r="X1322" s="18" t="s">
        <v>197</v>
      </c>
      <c r="Y1322" s="18">
        <v>1</v>
      </c>
      <c r="Z1322" s="18">
        <v>19800</v>
      </c>
      <c r="AA1322" s="18" t="s">
        <v>1104</v>
      </c>
      <c r="AB1322" s="18" t="s">
        <v>464</v>
      </c>
      <c r="AC1322" s="18" t="s">
        <v>163</v>
      </c>
    </row>
    <row r="1323" s="18" customFormat="1" spans="1:29">
      <c r="A1323" s="18" t="s">
        <v>3013</v>
      </c>
      <c r="B1323" s="25" t="s">
        <v>3013</v>
      </c>
      <c r="C1323" s="26">
        <v>45701</v>
      </c>
      <c r="D1323" s="18" t="s">
        <v>1029</v>
      </c>
      <c r="E1323" s="18" t="str">
        <f t="shared" si="20"/>
        <v>Pankaj Kumar Mishra  </v>
      </c>
      <c r="F1323" s="27" t="e">
        <v>#N/A</v>
      </c>
      <c r="G1323" s="18" t="s">
        <v>147</v>
      </c>
      <c r="H1323" s="18" t="s">
        <v>148</v>
      </c>
      <c r="I1323" s="18" t="s">
        <v>207</v>
      </c>
      <c r="J1323" s="18" t="s">
        <v>2514</v>
      </c>
      <c r="K1323" s="18" t="s">
        <v>56</v>
      </c>
      <c r="L1323" s="18" t="s">
        <v>36</v>
      </c>
      <c r="N1323" s="18">
        <v>6</v>
      </c>
      <c r="O1323" s="18" t="s">
        <v>93</v>
      </c>
      <c r="P1323" s="18" t="s">
        <v>38</v>
      </c>
      <c r="Q1323" s="18" t="s">
        <v>58</v>
      </c>
      <c r="R1323" s="18" t="s">
        <v>59</v>
      </c>
      <c r="S1323" s="18" t="s">
        <v>60</v>
      </c>
      <c r="T1323" s="18" t="b">
        <v>1</v>
      </c>
      <c r="U1323" s="18" t="s">
        <v>150</v>
      </c>
      <c r="V1323" s="18" t="s">
        <v>40</v>
      </c>
      <c r="W1323" s="18" t="s">
        <v>1055</v>
      </c>
      <c r="X1323" s="18" t="s">
        <v>1056</v>
      </c>
      <c r="Y1323" s="18">
        <v>1</v>
      </c>
      <c r="Z1323" s="18">
        <v>6800</v>
      </c>
      <c r="AA1323" s="18" t="s">
        <v>1163</v>
      </c>
      <c r="AB1323" s="18" t="s">
        <v>228</v>
      </c>
      <c r="AC1323" s="18" t="e">
        <v>#N/A</v>
      </c>
    </row>
    <row r="1324" s="18" customFormat="1" spans="1:29">
      <c r="A1324" s="18" t="s">
        <v>3014</v>
      </c>
      <c r="B1324" s="25" t="s">
        <v>3014</v>
      </c>
      <c r="C1324" s="26">
        <v>45701</v>
      </c>
      <c r="D1324" s="18" t="s">
        <v>688</v>
      </c>
      <c r="E1324" s="18" t="str">
        <f t="shared" si="20"/>
        <v>Inked</v>
      </c>
      <c r="F1324" s="27" t="e">
        <v>#N/A</v>
      </c>
      <c r="G1324" s="18" t="s">
        <v>147</v>
      </c>
      <c r="H1324" s="18" t="s">
        <v>148</v>
      </c>
      <c r="I1324" s="18" t="s">
        <v>54</v>
      </c>
      <c r="J1324" s="18" t="s">
        <v>249</v>
      </c>
      <c r="K1324" s="18" t="s">
        <v>56</v>
      </c>
      <c r="L1324" s="18" t="s">
        <v>36</v>
      </c>
      <c r="N1324" s="18">
        <v>6</v>
      </c>
      <c r="O1324" s="18" t="s">
        <v>88</v>
      </c>
      <c r="P1324" s="18" t="s">
        <v>38</v>
      </c>
      <c r="Q1324" s="18" t="s">
        <v>58</v>
      </c>
      <c r="R1324" s="18" t="s">
        <v>59</v>
      </c>
      <c r="S1324" s="18" t="s">
        <v>60</v>
      </c>
      <c r="T1324" s="18" t="b">
        <v>1</v>
      </c>
      <c r="U1324" s="18" t="s">
        <v>150</v>
      </c>
      <c r="V1324" s="18" t="s">
        <v>40</v>
      </c>
      <c r="W1324" s="18" t="s">
        <v>196</v>
      </c>
      <c r="X1324" s="18" t="s">
        <v>197</v>
      </c>
      <c r="Y1324" s="18">
        <v>1</v>
      </c>
      <c r="Z1324" s="18">
        <v>43800</v>
      </c>
      <c r="AA1324" s="18" t="s">
        <v>463</v>
      </c>
      <c r="AB1324" s="18" t="s">
        <v>464</v>
      </c>
      <c r="AC1324" s="18" t="s">
        <v>163</v>
      </c>
    </row>
    <row r="1325" s="18" customFormat="1" spans="1:29">
      <c r="A1325" s="18" t="s">
        <v>3015</v>
      </c>
      <c r="B1325" s="25" t="s">
        <v>3015</v>
      </c>
      <c r="C1325" s="26">
        <v>45701</v>
      </c>
      <c r="D1325" s="18" t="s">
        <v>1265</v>
      </c>
      <c r="E1325" s="18" t="str">
        <f t="shared" si="20"/>
        <v>Parvesh Mahalwal............... </v>
      </c>
      <c r="F1325" s="27" t="e">
        <v>#N/A</v>
      </c>
      <c r="G1325" s="18" t="s">
        <v>147</v>
      </c>
      <c r="H1325" s="18" t="s">
        <v>148</v>
      </c>
      <c r="I1325" s="18" t="s">
        <v>207</v>
      </c>
      <c r="J1325" s="18" t="s">
        <v>249</v>
      </c>
      <c r="K1325" s="18" t="s">
        <v>56</v>
      </c>
      <c r="L1325" s="18" t="s">
        <v>36</v>
      </c>
      <c r="N1325" s="18">
        <v>6</v>
      </c>
      <c r="O1325" s="18" t="s">
        <v>93</v>
      </c>
      <c r="P1325" s="18" t="s">
        <v>38</v>
      </c>
      <c r="Q1325" s="18" t="s">
        <v>58</v>
      </c>
      <c r="R1325" s="18" t="s">
        <v>59</v>
      </c>
      <c r="S1325" s="18" t="s">
        <v>60</v>
      </c>
      <c r="T1325" s="18" t="b">
        <v>1</v>
      </c>
      <c r="U1325" s="18" t="s">
        <v>150</v>
      </c>
      <c r="V1325" s="18" t="s">
        <v>40</v>
      </c>
      <c r="W1325" s="18" t="s">
        <v>126</v>
      </c>
      <c r="X1325" s="18" t="s">
        <v>127</v>
      </c>
      <c r="Y1325" s="18">
        <v>1</v>
      </c>
      <c r="Z1325" s="18">
        <v>1833</v>
      </c>
      <c r="AA1325" s="18" t="s">
        <v>1768</v>
      </c>
      <c r="AB1325" s="18" t="s">
        <v>295</v>
      </c>
      <c r="AC1325" s="18" t="e">
        <v>#N/A</v>
      </c>
    </row>
    <row r="1326" s="18" customFormat="1" spans="1:29">
      <c r="A1326" s="18" t="s">
        <v>3016</v>
      </c>
      <c r="B1326" s="25" t="s">
        <v>3016</v>
      </c>
      <c r="C1326" s="26">
        <v>45701</v>
      </c>
      <c r="D1326" s="18" t="s">
        <v>460</v>
      </c>
      <c r="E1326" s="18" t="str">
        <f t="shared" si="20"/>
        <v>Innovative Gifting Solutions</v>
      </c>
      <c r="F1326" s="27" t="s">
        <v>461</v>
      </c>
      <c r="G1326" s="18" t="s">
        <v>147</v>
      </c>
      <c r="H1326" s="18" t="s">
        <v>148</v>
      </c>
      <c r="I1326" s="18" t="s">
        <v>54</v>
      </c>
      <c r="J1326" s="18" t="s">
        <v>466</v>
      </c>
      <c r="K1326" s="18" t="s">
        <v>56</v>
      </c>
      <c r="L1326" s="18" t="s">
        <v>36</v>
      </c>
      <c r="N1326" s="18">
        <v>6</v>
      </c>
      <c r="O1326" s="18" t="s">
        <v>88</v>
      </c>
      <c r="P1326" s="18" t="s">
        <v>38</v>
      </c>
      <c r="Q1326" s="18" t="s">
        <v>58</v>
      </c>
      <c r="R1326" s="18" t="s">
        <v>59</v>
      </c>
      <c r="S1326" s="18" t="s">
        <v>60</v>
      </c>
      <c r="T1326" s="18" t="b">
        <v>1</v>
      </c>
      <c r="U1326" s="18" t="s">
        <v>150</v>
      </c>
      <c r="V1326" s="18" t="s">
        <v>40</v>
      </c>
      <c r="W1326" s="18" t="s">
        <v>196</v>
      </c>
      <c r="X1326" s="18" t="s">
        <v>197</v>
      </c>
      <c r="Y1326" s="18">
        <v>1</v>
      </c>
      <c r="Z1326" s="18">
        <v>5400</v>
      </c>
      <c r="AA1326" s="18" t="s">
        <v>1104</v>
      </c>
      <c r="AB1326" s="18" t="s">
        <v>464</v>
      </c>
      <c r="AC1326" s="18" t="s">
        <v>163</v>
      </c>
    </row>
    <row r="1327" s="18" customFormat="1" spans="1:29">
      <c r="A1327" s="18" t="s">
        <v>3017</v>
      </c>
      <c r="B1327" s="25" t="s">
        <v>3017</v>
      </c>
      <c r="C1327" s="26">
        <v>45701</v>
      </c>
      <c r="D1327" s="18" t="s">
        <v>460</v>
      </c>
      <c r="E1327" s="18" t="str">
        <f t="shared" si="20"/>
        <v>Innovative Gifting Solutions</v>
      </c>
      <c r="F1327" s="27" t="s">
        <v>461</v>
      </c>
      <c r="G1327" s="18" t="s">
        <v>147</v>
      </c>
      <c r="H1327" s="18" t="s">
        <v>148</v>
      </c>
      <c r="I1327" s="18" t="s">
        <v>54</v>
      </c>
      <c r="J1327" s="18" t="s">
        <v>139</v>
      </c>
      <c r="K1327" s="18" t="s">
        <v>56</v>
      </c>
      <c r="L1327" s="18" t="s">
        <v>36</v>
      </c>
      <c r="N1327" s="18">
        <v>6</v>
      </c>
      <c r="O1327" s="18" t="s">
        <v>57</v>
      </c>
      <c r="P1327" s="18" t="s">
        <v>38</v>
      </c>
      <c r="Q1327" s="18" t="s">
        <v>58</v>
      </c>
      <c r="R1327" s="18" t="s">
        <v>59</v>
      </c>
      <c r="S1327" s="18" t="s">
        <v>60</v>
      </c>
      <c r="T1327" s="18" t="b">
        <v>1</v>
      </c>
      <c r="U1327" s="18" t="s">
        <v>150</v>
      </c>
      <c r="V1327" s="18" t="s">
        <v>40</v>
      </c>
      <c r="W1327" s="18" t="s">
        <v>196</v>
      </c>
      <c r="X1327" s="18" t="s">
        <v>197</v>
      </c>
      <c r="Y1327" s="18">
        <v>1</v>
      </c>
      <c r="Z1327" s="18">
        <v>24700</v>
      </c>
      <c r="AA1327" s="18" t="s">
        <v>463</v>
      </c>
      <c r="AB1327" s="18" t="s">
        <v>464</v>
      </c>
      <c r="AC1327" s="18" t="s">
        <v>163</v>
      </c>
    </row>
    <row r="1328" s="18" customFormat="1" spans="1:29">
      <c r="A1328" s="18" t="s">
        <v>3018</v>
      </c>
      <c r="B1328" s="25" t="s">
        <v>3018</v>
      </c>
      <c r="C1328" s="26">
        <v>45701</v>
      </c>
      <c r="D1328" s="18" t="s">
        <v>688</v>
      </c>
      <c r="E1328" s="18" t="str">
        <f t="shared" si="20"/>
        <v>Inked</v>
      </c>
      <c r="F1328" s="27" t="e">
        <v>#N/A</v>
      </c>
      <c r="G1328" s="18" t="s">
        <v>147</v>
      </c>
      <c r="H1328" s="18" t="s">
        <v>148</v>
      </c>
      <c r="I1328" s="18" t="s">
        <v>54</v>
      </c>
      <c r="J1328" s="18" t="s">
        <v>139</v>
      </c>
      <c r="K1328" s="18" t="s">
        <v>56</v>
      </c>
      <c r="L1328" s="18" t="s">
        <v>36</v>
      </c>
      <c r="N1328" s="18">
        <v>6</v>
      </c>
      <c r="O1328" s="18" t="s">
        <v>88</v>
      </c>
      <c r="P1328" s="18" t="s">
        <v>38</v>
      </c>
      <c r="Q1328" s="18" t="s">
        <v>58</v>
      </c>
      <c r="R1328" s="18" t="s">
        <v>59</v>
      </c>
      <c r="S1328" s="18" t="s">
        <v>60</v>
      </c>
      <c r="T1328" s="18" t="b">
        <v>1</v>
      </c>
      <c r="U1328" s="18" t="s">
        <v>150</v>
      </c>
      <c r="V1328" s="18" t="s">
        <v>40</v>
      </c>
      <c r="W1328" s="18" t="s">
        <v>196</v>
      </c>
      <c r="X1328" s="18" t="s">
        <v>197</v>
      </c>
      <c r="Y1328" s="18">
        <v>1</v>
      </c>
      <c r="Z1328" s="18">
        <v>23330</v>
      </c>
      <c r="AA1328" s="18" t="s">
        <v>1104</v>
      </c>
      <c r="AB1328" s="18" t="s">
        <v>464</v>
      </c>
      <c r="AC1328" s="18" t="s">
        <v>163</v>
      </c>
    </row>
    <row r="1329" s="18" customFormat="1" spans="1:29">
      <c r="A1329" s="18" t="s">
        <v>3019</v>
      </c>
      <c r="B1329" s="25" t="s">
        <v>3019</v>
      </c>
      <c r="C1329" s="26">
        <v>45701</v>
      </c>
      <c r="D1329" s="18" t="s">
        <v>3020</v>
      </c>
      <c r="E1329" s="18" t="str">
        <f t="shared" si="20"/>
        <v>Aura Ideas Pvt Ltd</v>
      </c>
      <c r="F1329" s="27" t="s">
        <v>3021</v>
      </c>
      <c r="G1329" s="18" t="s">
        <v>147</v>
      </c>
      <c r="H1329" s="18" t="s">
        <v>148</v>
      </c>
      <c r="I1329" s="18" t="s">
        <v>54</v>
      </c>
      <c r="J1329" s="18" t="s">
        <v>139</v>
      </c>
      <c r="K1329" s="18" t="s">
        <v>56</v>
      </c>
      <c r="L1329" s="18" t="s">
        <v>36</v>
      </c>
      <c r="N1329" s="18">
        <v>6</v>
      </c>
      <c r="O1329" s="18" t="s">
        <v>88</v>
      </c>
      <c r="P1329" s="18" t="s">
        <v>38</v>
      </c>
      <c r="Q1329" s="18" t="s">
        <v>58</v>
      </c>
      <c r="R1329" s="18" t="s">
        <v>59</v>
      </c>
      <c r="S1329" s="18" t="s">
        <v>60</v>
      </c>
      <c r="T1329" s="18" t="b">
        <v>1</v>
      </c>
      <c r="U1329" s="18" t="s">
        <v>150</v>
      </c>
      <c r="V1329" s="18" t="s">
        <v>40</v>
      </c>
      <c r="W1329" s="18" t="s">
        <v>196</v>
      </c>
      <c r="X1329" s="18" t="s">
        <v>197</v>
      </c>
      <c r="Y1329" s="18">
        <v>1</v>
      </c>
      <c r="Z1329" s="18">
        <v>12700</v>
      </c>
      <c r="AA1329" s="18" t="s">
        <v>1104</v>
      </c>
      <c r="AB1329" s="18" t="s">
        <v>464</v>
      </c>
      <c r="AC1329" s="18" t="s">
        <v>163</v>
      </c>
    </row>
    <row r="1330" s="18" customFormat="1" spans="1:29">
      <c r="A1330" s="18" t="s">
        <v>3022</v>
      </c>
      <c r="B1330" s="25" t="s">
        <v>3022</v>
      </c>
      <c r="C1330" s="26">
        <v>45701</v>
      </c>
      <c r="D1330" s="18" t="s">
        <v>688</v>
      </c>
      <c r="E1330" s="18" t="str">
        <f t="shared" si="20"/>
        <v>Inked</v>
      </c>
      <c r="F1330" s="27" t="e">
        <v>#N/A</v>
      </c>
      <c r="G1330" s="18" t="s">
        <v>147</v>
      </c>
      <c r="H1330" s="18" t="s">
        <v>148</v>
      </c>
      <c r="I1330" s="18" t="s">
        <v>54</v>
      </c>
      <c r="J1330" s="18" t="s">
        <v>1426</v>
      </c>
      <c r="K1330" s="18" t="s">
        <v>56</v>
      </c>
      <c r="L1330" s="18" t="s">
        <v>36</v>
      </c>
      <c r="N1330" s="18">
        <v>6</v>
      </c>
      <c r="O1330" s="18" t="s">
        <v>88</v>
      </c>
      <c r="P1330" s="18" t="s">
        <v>38</v>
      </c>
      <c r="Q1330" s="18" t="s">
        <v>58</v>
      </c>
      <c r="R1330" s="18" t="s">
        <v>59</v>
      </c>
      <c r="S1330" s="18" t="s">
        <v>60</v>
      </c>
      <c r="T1330" s="18" t="b">
        <v>1</v>
      </c>
      <c r="U1330" s="18" t="s">
        <v>150</v>
      </c>
      <c r="V1330" s="18" t="s">
        <v>40</v>
      </c>
      <c r="W1330" s="18" t="s">
        <v>196</v>
      </c>
      <c r="X1330" s="18" t="s">
        <v>197</v>
      </c>
      <c r="Y1330" s="18">
        <v>1</v>
      </c>
      <c r="Z1330" s="18">
        <v>4200</v>
      </c>
      <c r="AA1330" s="18" t="s">
        <v>1104</v>
      </c>
      <c r="AB1330" s="18" t="s">
        <v>464</v>
      </c>
      <c r="AC1330" s="18" t="s">
        <v>163</v>
      </c>
    </row>
    <row r="1331" s="18" customFormat="1" spans="1:29">
      <c r="A1331" s="18" t="s">
        <v>3023</v>
      </c>
      <c r="B1331" s="25" t="s">
        <v>3023</v>
      </c>
      <c r="C1331" s="26">
        <v>45701</v>
      </c>
      <c r="D1331" s="18" t="s">
        <v>460</v>
      </c>
      <c r="E1331" s="18" t="str">
        <f t="shared" si="20"/>
        <v>Innovative Gifting Solutions</v>
      </c>
      <c r="F1331" s="27" t="s">
        <v>461</v>
      </c>
      <c r="G1331" s="18" t="s">
        <v>147</v>
      </c>
      <c r="H1331" s="18" t="s">
        <v>148</v>
      </c>
      <c r="I1331" s="18" t="s">
        <v>54</v>
      </c>
      <c r="J1331" s="18" t="s">
        <v>149</v>
      </c>
      <c r="K1331" s="18" t="s">
        <v>56</v>
      </c>
      <c r="L1331" s="18" t="s">
        <v>36</v>
      </c>
      <c r="N1331" s="18">
        <v>6</v>
      </c>
      <c r="O1331" s="18" t="s">
        <v>57</v>
      </c>
      <c r="P1331" s="18" t="s">
        <v>38</v>
      </c>
      <c r="Q1331" s="18" t="s">
        <v>58</v>
      </c>
      <c r="R1331" s="18" t="s">
        <v>59</v>
      </c>
      <c r="S1331" s="18" t="s">
        <v>60</v>
      </c>
      <c r="T1331" s="18" t="b">
        <v>1</v>
      </c>
      <c r="U1331" s="18" t="s">
        <v>150</v>
      </c>
      <c r="V1331" s="18" t="s">
        <v>40</v>
      </c>
      <c r="W1331" s="18" t="s">
        <v>196</v>
      </c>
      <c r="X1331" s="18" t="s">
        <v>197</v>
      </c>
      <c r="Y1331" s="18">
        <v>1</v>
      </c>
      <c r="Z1331" s="18">
        <v>5400</v>
      </c>
      <c r="AA1331" s="18" t="s">
        <v>1104</v>
      </c>
      <c r="AB1331" s="18" t="s">
        <v>464</v>
      </c>
      <c r="AC1331" s="18" t="s">
        <v>163</v>
      </c>
    </row>
    <row r="1332" s="18" customFormat="1" spans="1:29">
      <c r="A1332" s="18" t="s">
        <v>3024</v>
      </c>
      <c r="B1332" s="25" t="s">
        <v>3024</v>
      </c>
      <c r="C1332" s="26">
        <v>45701</v>
      </c>
      <c r="D1332" s="18" t="s">
        <v>2250</v>
      </c>
      <c r="E1332" s="18" t="str">
        <f t="shared" si="20"/>
        <v>Zing Creations</v>
      </c>
      <c r="F1332" s="27" t="s">
        <v>2251</v>
      </c>
      <c r="G1332" s="18" t="s">
        <v>147</v>
      </c>
      <c r="H1332" s="18" t="s">
        <v>148</v>
      </c>
      <c r="I1332" s="18" t="s">
        <v>54</v>
      </c>
      <c r="J1332" s="18" t="s">
        <v>275</v>
      </c>
      <c r="K1332" s="18" t="s">
        <v>56</v>
      </c>
      <c r="L1332" s="18" t="s">
        <v>36</v>
      </c>
      <c r="N1332" s="18">
        <v>6</v>
      </c>
      <c r="O1332" s="18" t="s">
        <v>88</v>
      </c>
      <c r="P1332" s="18" t="s">
        <v>38</v>
      </c>
      <c r="Q1332" s="18" t="s">
        <v>58</v>
      </c>
      <c r="R1332" s="18" t="s">
        <v>59</v>
      </c>
      <c r="S1332" s="18" t="s">
        <v>60</v>
      </c>
      <c r="T1332" s="18" t="b">
        <v>1</v>
      </c>
      <c r="U1332" s="18" t="s">
        <v>150</v>
      </c>
      <c r="V1332" s="18" t="s">
        <v>40</v>
      </c>
      <c r="W1332" s="18" t="s">
        <v>151</v>
      </c>
      <c r="X1332" s="18" t="s">
        <v>152</v>
      </c>
      <c r="Y1332" s="18">
        <v>1</v>
      </c>
      <c r="Z1332" s="18">
        <v>110000</v>
      </c>
      <c r="AA1332" s="18" t="s">
        <v>299</v>
      </c>
      <c r="AB1332" s="18" t="s">
        <v>295</v>
      </c>
      <c r="AC1332" s="18" t="s">
        <v>163</v>
      </c>
    </row>
    <row r="1333" s="18" customFormat="1" spans="1:29">
      <c r="A1333" s="18" t="s">
        <v>3025</v>
      </c>
      <c r="B1333" s="25" t="s">
        <v>3025</v>
      </c>
      <c r="C1333" s="26">
        <v>45701</v>
      </c>
      <c r="D1333" s="18" t="s">
        <v>1462</v>
      </c>
      <c r="E1333" s="18" t="str">
        <f t="shared" si="20"/>
        <v>99 Online</v>
      </c>
      <c r="F1333" s="27" t="s">
        <v>1463</v>
      </c>
      <c r="G1333" s="18" t="s">
        <v>147</v>
      </c>
      <c r="H1333" s="18" t="s">
        <v>148</v>
      </c>
      <c r="I1333" s="18" t="s">
        <v>54</v>
      </c>
      <c r="J1333" s="18" t="s">
        <v>275</v>
      </c>
      <c r="K1333" s="18" t="s">
        <v>56</v>
      </c>
      <c r="L1333" s="18" t="s">
        <v>36</v>
      </c>
      <c r="N1333" s="18">
        <v>6</v>
      </c>
      <c r="O1333" s="18" t="s">
        <v>88</v>
      </c>
      <c r="P1333" s="18" t="s">
        <v>38</v>
      </c>
      <c r="Q1333" s="18" t="s">
        <v>58</v>
      </c>
      <c r="R1333" s="18" t="s">
        <v>59</v>
      </c>
      <c r="S1333" s="18" t="s">
        <v>60</v>
      </c>
      <c r="T1333" s="18" t="b">
        <v>1</v>
      </c>
      <c r="U1333" s="18" t="s">
        <v>150</v>
      </c>
      <c r="V1333" s="18" t="s">
        <v>40</v>
      </c>
      <c r="W1333" s="18" t="s">
        <v>371</v>
      </c>
      <c r="X1333" s="18" t="s">
        <v>372</v>
      </c>
      <c r="Y1333" s="18">
        <v>1</v>
      </c>
      <c r="Z1333" s="18">
        <v>141500</v>
      </c>
      <c r="AA1333" s="18" t="s">
        <v>1768</v>
      </c>
      <c r="AB1333" s="18" t="s">
        <v>295</v>
      </c>
      <c r="AC1333" s="18" t="s">
        <v>163</v>
      </c>
    </row>
    <row r="1334" s="18" customFormat="1" spans="1:29">
      <c r="A1334" s="18" t="s">
        <v>3026</v>
      </c>
      <c r="B1334" s="25" t="s">
        <v>3026</v>
      </c>
      <c r="C1334" s="26">
        <v>45701</v>
      </c>
      <c r="D1334" s="18" t="s">
        <v>533</v>
      </c>
      <c r="E1334" s="18" t="str">
        <f t="shared" si="20"/>
        <v>Powerpro</v>
      </c>
      <c r="F1334" s="27" t="e">
        <v>#N/A</v>
      </c>
      <c r="G1334" s="18" t="s">
        <v>147</v>
      </c>
      <c r="H1334" s="18" t="s">
        <v>148</v>
      </c>
      <c r="I1334" s="18" t="s">
        <v>54</v>
      </c>
      <c r="J1334" s="18" t="s">
        <v>275</v>
      </c>
      <c r="K1334" s="18" t="s">
        <v>56</v>
      </c>
      <c r="L1334" s="18" t="s">
        <v>36</v>
      </c>
      <c r="N1334" s="18">
        <v>6</v>
      </c>
      <c r="O1334" s="18" t="s">
        <v>88</v>
      </c>
      <c r="P1334" s="18" t="s">
        <v>38</v>
      </c>
      <c r="Q1334" s="18" t="s">
        <v>58</v>
      </c>
      <c r="R1334" s="18" t="s">
        <v>59</v>
      </c>
      <c r="S1334" s="18" t="s">
        <v>60</v>
      </c>
      <c r="T1334" s="18" t="b">
        <v>1</v>
      </c>
      <c r="U1334" s="18" t="s">
        <v>150</v>
      </c>
      <c r="V1334" s="18" t="s">
        <v>40</v>
      </c>
      <c r="W1334" s="18" t="s">
        <v>371</v>
      </c>
      <c r="X1334" s="18" t="s">
        <v>372</v>
      </c>
      <c r="Y1334" s="18">
        <v>1</v>
      </c>
      <c r="Z1334" s="18">
        <v>16350</v>
      </c>
      <c r="AA1334" s="18" t="s">
        <v>299</v>
      </c>
      <c r="AB1334" s="18" t="s">
        <v>295</v>
      </c>
      <c r="AC1334" s="18" t="s">
        <v>163</v>
      </c>
    </row>
    <row r="1335" s="18" customFormat="1" spans="1:29">
      <c r="A1335" s="18" t="s">
        <v>3027</v>
      </c>
      <c r="B1335" s="25" t="s">
        <v>3027</v>
      </c>
      <c r="C1335" s="26">
        <v>45701</v>
      </c>
      <c r="D1335" s="18" t="s">
        <v>559</v>
      </c>
      <c r="E1335" s="18" t="str">
        <f t="shared" si="20"/>
        <v>Red Carpet Events And Entertainment</v>
      </c>
      <c r="F1335" s="27" t="s">
        <v>560</v>
      </c>
      <c r="G1335" s="18" t="s">
        <v>147</v>
      </c>
      <c r="H1335" s="18" t="s">
        <v>148</v>
      </c>
      <c r="I1335" s="18" t="s">
        <v>54</v>
      </c>
      <c r="J1335" s="18" t="s">
        <v>275</v>
      </c>
      <c r="K1335" s="18" t="s">
        <v>56</v>
      </c>
      <c r="L1335" s="18" t="s">
        <v>36</v>
      </c>
      <c r="N1335" s="18">
        <v>6</v>
      </c>
      <c r="O1335" s="18" t="s">
        <v>88</v>
      </c>
      <c r="P1335" s="18" t="s">
        <v>38</v>
      </c>
      <c r="Q1335" s="18" t="s">
        <v>58</v>
      </c>
      <c r="R1335" s="18" t="s">
        <v>59</v>
      </c>
      <c r="S1335" s="18" t="s">
        <v>60</v>
      </c>
      <c r="T1335" s="18" t="b">
        <v>1</v>
      </c>
      <c r="U1335" s="18" t="s">
        <v>150</v>
      </c>
      <c r="V1335" s="18" t="s">
        <v>40</v>
      </c>
      <c r="W1335" s="18" t="s">
        <v>292</v>
      </c>
      <c r="X1335" s="18" t="s">
        <v>293</v>
      </c>
      <c r="Y1335" s="18">
        <v>1</v>
      </c>
      <c r="Z1335" s="18">
        <v>10534</v>
      </c>
      <c r="AA1335" s="18" t="s">
        <v>1768</v>
      </c>
      <c r="AB1335" s="18" t="s">
        <v>295</v>
      </c>
      <c r="AC1335" s="18" t="e">
        <v>#N/A</v>
      </c>
    </row>
    <row r="1336" s="18" customFormat="1" spans="1:29">
      <c r="A1336" s="18" t="s">
        <v>3028</v>
      </c>
      <c r="B1336" s="25" t="s">
        <v>3028</v>
      </c>
      <c r="C1336" s="26">
        <v>45701</v>
      </c>
      <c r="D1336" s="18" t="s">
        <v>942</v>
      </c>
      <c r="E1336" s="18" t="str">
        <f t="shared" si="20"/>
        <v>Pandey Print Services</v>
      </c>
      <c r="F1336" s="27" t="s">
        <v>943</v>
      </c>
      <c r="G1336" s="18" t="s">
        <v>147</v>
      </c>
      <c r="H1336" s="18" t="s">
        <v>148</v>
      </c>
      <c r="I1336" s="18" t="s">
        <v>54</v>
      </c>
      <c r="J1336" s="18" t="s">
        <v>275</v>
      </c>
      <c r="K1336" s="18" t="s">
        <v>56</v>
      </c>
      <c r="L1336" s="18" t="s">
        <v>36</v>
      </c>
      <c r="N1336" s="18">
        <v>6</v>
      </c>
      <c r="O1336" s="18" t="s">
        <v>88</v>
      </c>
      <c r="P1336" s="18" t="s">
        <v>38</v>
      </c>
      <c r="Q1336" s="18" t="s">
        <v>58</v>
      </c>
      <c r="R1336" s="18" t="s">
        <v>59</v>
      </c>
      <c r="S1336" s="18" t="s">
        <v>60</v>
      </c>
      <c r="T1336" s="18" t="b">
        <v>1</v>
      </c>
      <c r="U1336" s="18" t="s">
        <v>150</v>
      </c>
      <c r="V1336" s="18" t="s">
        <v>40</v>
      </c>
      <c r="W1336" s="18" t="s">
        <v>196</v>
      </c>
      <c r="X1336" s="18" t="s">
        <v>197</v>
      </c>
      <c r="Y1336" s="18">
        <v>1</v>
      </c>
      <c r="Z1336" s="18">
        <v>3040</v>
      </c>
      <c r="AA1336" s="18" t="s">
        <v>299</v>
      </c>
      <c r="AB1336" s="18" t="s">
        <v>295</v>
      </c>
      <c r="AC1336" s="18" t="s">
        <v>163</v>
      </c>
    </row>
    <row r="1337" s="18" customFormat="1" spans="1:29">
      <c r="A1337" s="18" t="s">
        <v>3029</v>
      </c>
      <c r="B1337" s="25" t="s">
        <v>3029</v>
      </c>
      <c r="C1337" s="26">
        <v>45701</v>
      </c>
      <c r="D1337" s="18" t="s">
        <v>678</v>
      </c>
      <c r="E1337" s="18" t="str">
        <f t="shared" si="20"/>
        <v>Corporate Gift</v>
      </c>
      <c r="F1337" s="27" t="s">
        <v>679</v>
      </c>
      <c r="G1337" s="18" t="s">
        <v>147</v>
      </c>
      <c r="H1337" s="18" t="s">
        <v>148</v>
      </c>
      <c r="I1337" s="18" t="s">
        <v>54</v>
      </c>
      <c r="J1337" s="18" t="s">
        <v>275</v>
      </c>
      <c r="K1337" s="18" t="s">
        <v>56</v>
      </c>
      <c r="L1337" s="18" t="s">
        <v>36</v>
      </c>
      <c r="N1337" s="18">
        <v>6</v>
      </c>
      <c r="O1337" s="18" t="s">
        <v>88</v>
      </c>
      <c r="P1337" s="18" t="s">
        <v>38</v>
      </c>
      <c r="Q1337" s="18" t="s">
        <v>58</v>
      </c>
      <c r="R1337" s="18" t="s">
        <v>59</v>
      </c>
      <c r="S1337" s="18" t="s">
        <v>60</v>
      </c>
      <c r="T1337" s="18" t="b">
        <v>1</v>
      </c>
      <c r="U1337" s="18" t="s">
        <v>150</v>
      </c>
      <c r="V1337" s="18" t="s">
        <v>40</v>
      </c>
      <c r="W1337" s="18" t="s">
        <v>196</v>
      </c>
      <c r="X1337" s="18" t="s">
        <v>197</v>
      </c>
      <c r="Y1337" s="18">
        <v>1</v>
      </c>
      <c r="Z1337" s="18">
        <v>5600</v>
      </c>
      <c r="AA1337" s="18" t="s">
        <v>299</v>
      </c>
      <c r="AB1337" s="18" t="s">
        <v>295</v>
      </c>
      <c r="AC1337" s="18" t="s">
        <v>163</v>
      </c>
    </row>
    <row r="1338" s="18" customFormat="1" spans="1:29">
      <c r="A1338" s="18" t="s">
        <v>3030</v>
      </c>
      <c r="B1338" s="25" t="s">
        <v>3030</v>
      </c>
      <c r="C1338" s="26">
        <v>45701</v>
      </c>
      <c r="D1338" s="18" t="s">
        <v>424</v>
      </c>
      <c r="E1338" s="18" t="str">
        <f t="shared" si="20"/>
        <v>Minter Cstech Pvt.Ltd.</v>
      </c>
      <c r="F1338" s="27" t="e">
        <v>#N/A</v>
      </c>
      <c r="G1338" s="18" t="s">
        <v>147</v>
      </c>
      <c r="H1338" s="18" t="s">
        <v>148</v>
      </c>
      <c r="I1338" s="18" t="s">
        <v>54</v>
      </c>
      <c r="J1338" s="18" t="s">
        <v>275</v>
      </c>
      <c r="K1338" s="18" t="s">
        <v>56</v>
      </c>
      <c r="L1338" s="18" t="s">
        <v>36</v>
      </c>
      <c r="N1338" s="18">
        <v>6</v>
      </c>
      <c r="O1338" s="18" t="s">
        <v>88</v>
      </c>
      <c r="P1338" s="18" t="s">
        <v>38</v>
      </c>
      <c r="Q1338" s="18" t="s">
        <v>58</v>
      </c>
      <c r="R1338" s="18" t="s">
        <v>59</v>
      </c>
      <c r="S1338" s="18" t="s">
        <v>60</v>
      </c>
      <c r="T1338" s="18" t="b">
        <v>1</v>
      </c>
      <c r="U1338" s="18" t="s">
        <v>150</v>
      </c>
      <c r="V1338" s="18" t="s">
        <v>40</v>
      </c>
      <c r="W1338" s="18" t="s">
        <v>990</v>
      </c>
      <c r="X1338" s="18" t="s">
        <v>991</v>
      </c>
      <c r="Y1338" s="18">
        <v>1</v>
      </c>
      <c r="Z1338" s="18">
        <v>5500</v>
      </c>
      <c r="AA1338" s="18" t="s">
        <v>299</v>
      </c>
      <c r="AB1338" s="18" t="s">
        <v>295</v>
      </c>
      <c r="AC1338" s="18" t="s">
        <v>163</v>
      </c>
    </row>
    <row r="1339" s="18" customFormat="1" spans="1:29">
      <c r="A1339" s="18" t="s">
        <v>3031</v>
      </c>
      <c r="B1339" s="25" t="s">
        <v>3031</v>
      </c>
      <c r="C1339" s="26">
        <v>45701</v>
      </c>
      <c r="D1339" s="18" t="s">
        <v>541</v>
      </c>
      <c r="E1339" s="18" t="str">
        <f t="shared" si="20"/>
        <v>Dream Factory Pvt. Ltd.</v>
      </c>
      <c r="F1339" s="27" t="e">
        <v>#N/A</v>
      </c>
      <c r="G1339" s="18" t="s">
        <v>147</v>
      </c>
      <c r="H1339" s="18" t="s">
        <v>148</v>
      </c>
      <c r="I1339" s="18" t="s">
        <v>207</v>
      </c>
      <c r="J1339" s="18" t="s">
        <v>3032</v>
      </c>
      <c r="K1339" s="18" t="s">
        <v>56</v>
      </c>
      <c r="L1339" s="18" t="s">
        <v>36</v>
      </c>
      <c r="N1339" s="18">
        <v>6</v>
      </c>
      <c r="O1339" s="18" t="s">
        <v>88</v>
      </c>
      <c r="P1339" s="18" t="s">
        <v>38</v>
      </c>
      <c r="Q1339" s="18" t="s">
        <v>58</v>
      </c>
      <c r="R1339" s="18" t="s">
        <v>59</v>
      </c>
      <c r="S1339" s="18" t="s">
        <v>60</v>
      </c>
      <c r="T1339" s="18" t="b">
        <v>1</v>
      </c>
      <c r="U1339" s="18" t="s">
        <v>150</v>
      </c>
      <c r="V1339" s="18" t="s">
        <v>40</v>
      </c>
      <c r="W1339" s="18" t="s">
        <v>151</v>
      </c>
      <c r="X1339" s="18" t="s">
        <v>152</v>
      </c>
      <c r="Y1339" s="18">
        <v>1</v>
      </c>
      <c r="Z1339" s="18">
        <v>457000</v>
      </c>
      <c r="AA1339" s="18" t="s">
        <v>1181</v>
      </c>
      <c r="AB1339" s="18" t="s">
        <v>1182</v>
      </c>
      <c r="AC1339" s="18" t="s">
        <v>155</v>
      </c>
    </row>
    <row r="1340" s="20" customFormat="1" spans="1:29">
      <c r="A1340" s="20" t="s">
        <v>3033</v>
      </c>
      <c r="B1340" s="33" t="s">
        <v>3033</v>
      </c>
      <c r="C1340" s="34">
        <v>45701</v>
      </c>
      <c r="D1340" s="20" t="s">
        <v>666</v>
      </c>
      <c r="E1340" s="20" t="str">
        <f t="shared" si="20"/>
        <v>M &amp; G Associates</v>
      </c>
      <c r="F1340" s="27" t="s">
        <v>667</v>
      </c>
      <c r="G1340" s="20" t="s">
        <v>147</v>
      </c>
      <c r="H1340" s="20" t="s">
        <v>148</v>
      </c>
      <c r="I1340" s="20" t="s">
        <v>207</v>
      </c>
      <c r="J1340" s="20" t="s">
        <v>3032</v>
      </c>
      <c r="K1340" s="20" t="s">
        <v>56</v>
      </c>
      <c r="L1340" s="20" t="s">
        <v>36</v>
      </c>
      <c r="N1340" s="20">
        <v>6</v>
      </c>
      <c r="O1340" s="20" t="s">
        <v>88</v>
      </c>
      <c r="P1340" s="20" t="s">
        <v>38</v>
      </c>
      <c r="Q1340" s="20" t="s">
        <v>58</v>
      </c>
      <c r="R1340" s="20" t="s">
        <v>59</v>
      </c>
      <c r="S1340" s="20" t="s">
        <v>60</v>
      </c>
      <c r="T1340" s="20" t="b">
        <v>1</v>
      </c>
      <c r="U1340" s="20" t="s">
        <v>150</v>
      </c>
      <c r="V1340" s="20" t="s">
        <v>40</v>
      </c>
      <c r="W1340" s="20" t="s">
        <v>140</v>
      </c>
      <c r="X1340" s="20" t="s">
        <v>141</v>
      </c>
      <c r="Y1340" s="20">
        <v>1</v>
      </c>
      <c r="Z1340" s="20">
        <v>682500</v>
      </c>
      <c r="AA1340" s="20" t="s">
        <v>3034</v>
      </c>
      <c r="AB1340" s="20" t="e">
        <v>#N/A</v>
      </c>
      <c r="AC1340" s="20" t="s">
        <v>163</v>
      </c>
    </row>
    <row r="1341" s="18" customFormat="1" spans="1:29">
      <c r="A1341" s="18" t="s">
        <v>3035</v>
      </c>
      <c r="B1341" s="25" t="s">
        <v>3035</v>
      </c>
      <c r="C1341" s="26">
        <v>45701</v>
      </c>
      <c r="D1341" s="18" t="s">
        <v>3020</v>
      </c>
      <c r="E1341" s="18" t="str">
        <f t="shared" si="20"/>
        <v>Aura Ideas Pvt Ltd</v>
      </c>
      <c r="F1341" s="27" t="s">
        <v>3021</v>
      </c>
      <c r="G1341" s="18" t="s">
        <v>147</v>
      </c>
      <c r="H1341" s="18" t="s">
        <v>148</v>
      </c>
      <c r="I1341" s="18" t="s">
        <v>207</v>
      </c>
      <c r="J1341" s="18" t="s">
        <v>3032</v>
      </c>
      <c r="K1341" s="18" t="s">
        <v>56</v>
      </c>
      <c r="L1341" s="18" t="s">
        <v>36</v>
      </c>
      <c r="N1341" s="18">
        <v>6</v>
      </c>
      <c r="O1341" s="18" t="s">
        <v>88</v>
      </c>
      <c r="P1341" s="18" t="s">
        <v>38</v>
      </c>
      <c r="Q1341" s="18" t="s">
        <v>58</v>
      </c>
      <c r="R1341" s="18" t="s">
        <v>59</v>
      </c>
      <c r="S1341" s="18" t="s">
        <v>60</v>
      </c>
      <c r="T1341" s="18" t="b">
        <v>1</v>
      </c>
      <c r="U1341" s="18" t="s">
        <v>150</v>
      </c>
      <c r="V1341" s="18" t="s">
        <v>40</v>
      </c>
      <c r="W1341" s="18" t="s">
        <v>196</v>
      </c>
      <c r="X1341" s="18" t="s">
        <v>197</v>
      </c>
      <c r="Y1341" s="18">
        <v>1</v>
      </c>
      <c r="Z1341" s="18">
        <v>14868</v>
      </c>
      <c r="AA1341" s="18" t="s">
        <v>2888</v>
      </c>
      <c r="AB1341" s="18" t="s">
        <v>1182</v>
      </c>
      <c r="AC1341" s="18" t="s">
        <v>163</v>
      </c>
    </row>
    <row r="1342" s="18" customFormat="1" spans="1:29">
      <c r="A1342" s="18" t="s">
        <v>3036</v>
      </c>
      <c r="B1342" s="25" t="s">
        <v>3036</v>
      </c>
      <c r="C1342" s="26">
        <v>45701</v>
      </c>
      <c r="D1342" s="18" t="s">
        <v>3037</v>
      </c>
      <c r="E1342" s="18" t="str">
        <f t="shared" si="20"/>
        <v>Bharat Sharma  </v>
      </c>
      <c r="F1342" s="27" t="e">
        <v>#N/A</v>
      </c>
      <c r="G1342" s="18" t="s">
        <v>147</v>
      </c>
      <c r="H1342" s="18" t="s">
        <v>148</v>
      </c>
      <c r="I1342" s="18" t="s">
        <v>54</v>
      </c>
      <c r="J1342" s="18" t="s">
        <v>149</v>
      </c>
      <c r="K1342" s="18" t="s">
        <v>56</v>
      </c>
      <c r="L1342" s="18" t="s">
        <v>36</v>
      </c>
      <c r="N1342" s="18">
        <v>6</v>
      </c>
      <c r="O1342" s="18" t="s">
        <v>93</v>
      </c>
      <c r="P1342" s="18" t="s">
        <v>38</v>
      </c>
      <c r="Q1342" s="18" t="s">
        <v>58</v>
      </c>
      <c r="R1342" s="18" t="s">
        <v>59</v>
      </c>
      <c r="S1342" s="18" t="s">
        <v>60</v>
      </c>
      <c r="T1342" s="18" t="b">
        <v>1</v>
      </c>
      <c r="U1342" s="18" t="s">
        <v>150</v>
      </c>
      <c r="V1342" s="18" t="s">
        <v>40</v>
      </c>
      <c r="W1342" s="18" t="s">
        <v>126</v>
      </c>
      <c r="X1342" s="18" t="s">
        <v>127</v>
      </c>
      <c r="Y1342" s="18">
        <v>1</v>
      </c>
      <c r="Z1342" s="18">
        <v>13547</v>
      </c>
      <c r="AA1342" s="18" t="s">
        <v>3038</v>
      </c>
      <c r="AB1342" s="18" t="s">
        <v>1187</v>
      </c>
      <c r="AC1342" s="18" t="e">
        <v>#N/A</v>
      </c>
    </row>
    <row r="1343" s="18" customFormat="1" ht="43.5" spans="1:29">
      <c r="A1343" s="18" t="s">
        <v>3039</v>
      </c>
      <c r="B1343" s="25" t="s">
        <v>3039</v>
      </c>
      <c r="C1343" s="26">
        <v>45701</v>
      </c>
      <c r="D1343" s="18" t="s">
        <v>3040</v>
      </c>
      <c r="E1343" s="18" t="str">
        <f t="shared" si="20"/>
        <v>Magictap Solutions Pvt Ltd</v>
      </c>
      <c r="F1343" s="27" t="s">
        <v>3041</v>
      </c>
      <c r="G1343" s="18" t="s">
        <v>147</v>
      </c>
      <c r="H1343" s="18" t="s">
        <v>148</v>
      </c>
      <c r="I1343" s="18" t="s">
        <v>184</v>
      </c>
      <c r="J1343" s="18" t="s">
        <v>2345</v>
      </c>
      <c r="K1343" s="18" t="s">
        <v>56</v>
      </c>
      <c r="L1343" s="18" t="s">
        <v>36</v>
      </c>
      <c r="N1343" s="18">
        <v>6</v>
      </c>
      <c r="O1343" s="18" t="s">
        <v>88</v>
      </c>
      <c r="P1343" s="18" t="s">
        <v>38</v>
      </c>
      <c r="Q1343" s="18" t="s">
        <v>117</v>
      </c>
      <c r="R1343" s="18" t="s">
        <v>59</v>
      </c>
      <c r="S1343" s="18" t="s">
        <v>186</v>
      </c>
      <c r="T1343" s="18" t="b">
        <v>1</v>
      </c>
      <c r="U1343" s="18" t="s">
        <v>150</v>
      </c>
      <c r="V1343" s="18" t="s">
        <v>40</v>
      </c>
      <c r="W1343" s="18" t="s">
        <v>401</v>
      </c>
      <c r="X1343" s="18" t="s">
        <v>402</v>
      </c>
      <c r="Y1343" s="18">
        <v>1</v>
      </c>
      <c r="Z1343" s="18">
        <v>150000</v>
      </c>
      <c r="AA1343" s="31" t="s">
        <v>2985</v>
      </c>
      <c r="AB1343" s="18" t="s">
        <v>514</v>
      </c>
      <c r="AC1343" s="18" t="s">
        <v>155</v>
      </c>
    </row>
    <row r="1344" s="18" customFormat="1" spans="1:29">
      <c r="A1344" s="18" t="s">
        <v>3042</v>
      </c>
      <c r="B1344" s="25" t="s">
        <v>3042</v>
      </c>
      <c r="C1344" s="26">
        <v>45701</v>
      </c>
      <c r="D1344" s="18" t="s">
        <v>688</v>
      </c>
      <c r="E1344" s="18" t="str">
        <f t="shared" si="20"/>
        <v>Inked</v>
      </c>
      <c r="F1344" s="27" t="e">
        <v>#N/A</v>
      </c>
      <c r="G1344" s="18" t="s">
        <v>147</v>
      </c>
      <c r="H1344" s="18" t="s">
        <v>148</v>
      </c>
      <c r="I1344" s="18" t="s">
        <v>54</v>
      </c>
      <c r="J1344" s="18" t="s">
        <v>486</v>
      </c>
      <c r="K1344" s="18" t="s">
        <v>56</v>
      </c>
      <c r="L1344" s="18" t="s">
        <v>36</v>
      </c>
      <c r="N1344" s="18">
        <v>6</v>
      </c>
      <c r="O1344" s="18" t="s">
        <v>88</v>
      </c>
      <c r="P1344" s="18" t="s">
        <v>38</v>
      </c>
      <c r="Q1344" s="18" t="s">
        <v>58</v>
      </c>
      <c r="R1344" s="18" t="s">
        <v>59</v>
      </c>
      <c r="S1344" s="18" t="s">
        <v>60</v>
      </c>
      <c r="T1344" s="18" t="b">
        <v>1</v>
      </c>
      <c r="U1344" s="18" t="s">
        <v>150</v>
      </c>
      <c r="V1344" s="18" t="s">
        <v>40</v>
      </c>
      <c r="W1344" s="18" t="s">
        <v>196</v>
      </c>
      <c r="X1344" s="18" t="s">
        <v>197</v>
      </c>
      <c r="Y1344" s="18">
        <v>1</v>
      </c>
      <c r="Z1344" s="18">
        <v>2800</v>
      </c>
      <c r="AA1344" s="18" t="s">
        <v>1104</v>
      </c>
      <c r="AB1344" s="18" t="s">
        <v>464</v>
      </c>
      <c r="AC1344" s="18" t="s">
        <v>163</v>
      </c>
    </row>
    <row r="1345" s="18" customFormat="1" spans="1:29">
      <c r="A1345" s="18" t="s">
        <v>3043</v>
      </c>
      <c r="B1345" s="25" t="s">
        <v>3043</v>
      </c>
      <c r="C1345" s="26">
        <v>45701</v>
      </c>
      <c r="D1345" s="18" t="s">
        <v>3044</v>
      </c>
      <c r="E1345" s="18" t="str">
        <f t="shared" si="20"/>
        <v>Chamunda Traders</v>
      </c>
      <c r="F1345" s="27" t="s">
        <v>3045</v>
      </c>
      <c r="G1345" s="18" t="s">
        <v>147</v>
      </c>
      <c r="H1345" s="18" t="s">
        <v>148</v>
      </c>
      <c r="I1345" s="18" t="s">
        <v>159</v>
      </c>
      <c r="J1345" s="18" t="s">
        <v>149</v>
      </c>
      <c r="K1345" s="18" t="s">
        <v>56</v>
      </c>
      <c r="L1345" s="18" t="s">
        <v>36</v>
      </c>
      <c r="N1345" s="18">
        <v>6</v>
      </c>
      <c r="O1345" s="18" t="s">
        <v>88</v>
      </c>
      <c r="P1345" s="18" t="s">
        <v>38</v>
      </c>
      <c r="Q1345" s="18" t="s">
        <v>58</v>
      </c>
      <c r="R1345" s="18" t="s">
        <v>59</v>
      </c>
      <c r="S1345" s="18" t="s">
        <v>60</v>
      </c>
      <c r="T1345" s="18" t="b">
        <v>1</v>
      </c>
      <c r="U1345" s="18" t="s">
        <v>150</v>
      </c>
      <c r="V1345" s="18" t="s">
        <v>40</v>
      </c>
      <c r="W1345" s="18" t="s">
        <v>233</v>
      </c>
      <c r="X1345" s="18" t="s">
        <v>234</v>
      </c>
      <c r="Y1345" s="18">
        <v>1</v>
      </c>
      <c r="Z1345" s="18">
        <v>5260</v>
      </c>
      <c r="AA1345" s="18" t="s">
        <v>3046</v>
      </c>
      <c r="AB1345" s="18" t="s">
        <v>228</v>
      </c>
      <c r="AC1345" s="18" t="e">
        <v>#N/A</v>
      </c>
    </row>
    <row r="1346" s="19" customFormat="1" spans="1:29">
      <c r="A1346" s="19" t="s">
        <v>3047</v>
      </c>
      <c r="B1346" s="28" t="s">
        <v>3047</v>
      </c>
      <c r="C1346" s="29">
        <v>45701</v>
      </c>
      <c r="D1346" s="19" t="s">
        <v>475</v>
      </c>
      <c r="E1346" s="19" t="str">
        <f t="shared" si="20"/>
        <v>Ventura Lifestyles Pvt Ltd</v>
      </c>
      <c r="F1346" s="30" t="s">
        <v>476</v>
      </c>
      <c r="G1346" s="19" t="s">
        <v>182</v>
      </c>
      <c r="H1346" s="19" t="s">
        <v>473</v>
      </c>
      <c r="I1346" s="19" t="s">
        <v>184</v>
      </c>
      <c r="K1346" s="19" t="s">
        <v>35</v>
      </c>
      <c r="L1346" s="19" t="s">
        <v>36</v>
      </c>
      <c r="N1346" s="19">
        <v>6</v>
      </c>
      <c r="O1346" s="19" t="s">
        <v>88</v>
      </c>
      <c r="P1346" s="19" t="s">
        <v>38</v>
      </c>
      <c r="T1346" s="19" t="b">
        <v>0</v>
      </c>
      <c r="U1346" s="19" t="s">
        <v>187</v>
      </c>
      <c r="V1346" s="19" t="s">
        <v>40</v>
      </c>
      <c r="W1346" s="19" t="s">
        <v>477</v>
      </c>
      <c r="X1346" s="19" t="e">
        <v>#N/A</v>
      </c>
      <c r="Y1346" s="19">
        <v>1</v>
      </c>
      <c r="Z1346" s="19">
        <v>6000</v>
      </c>
      <c r="AA1346" s="19" t="s">
        <v>3048</v>
      </c>
      <c r="AB1346" s="19" t="s">
        <v>3049</v>
      </c>
      <c r="AC1346" s="19" t="s">
        <v>200</v>
      </c>
    </row>
    <row r="1347" s="18" customFormat="1" spans="1:29">
      <c r="A1347" s="18" t="s">
        <v>3050</v>
      </c>
      <c r="B1347" s="25" t="s">
        <v>3050</v>
      </c>
      <c r="C1347" s="26">
        <v>45701</v>
      </c>
      <c r="D1347" s="18" t="s">
        <v>1209</v>
      </c>
      <c r="E1347" s="18" t="str">
        <f t="shared" ref="E1347:E1410" si="21">_xlfn.TEXTBEFORE(D1347,"-")</f>
        <v>Hemanshu Sawant  </v>
      </c>
      <c r="F1347" s="27" t="e">
        <v>#N/A</v>
      </c>
      <c r="G1347" s="18" t="s">
        <v>182</v>
      </c>
      <c r="H1347" s="18" t="s">
        <v>183</v>
      </c>
      <c r="I1347" s="18" t="s">
        <v>481</v>
      </c>
      <c r="J1347" s="18" t="s">
        <v>2946</v>
      </c>
      <c r="K1347" s="18" t="s">
        <v>56</v>
      </c>
      <c r="L1347" s="18" t="s">
        <v>36</v>
      </c>
      <c r="N1347" s="18">
        <v>6</v>
      </c>
      <c r="O1347" s="18" t="s">
        <v>93</v>
      </c>
      <c r="P1347" s="18" t="s">
        <v>38</v>
      </c>
      <c r="Q1347" s="18" t="s">
        <v>194</v>
      </c>
      <c r="R1347" s="18" t="s">
        <v>59</v>
      </c>
      <c r="S1347" s="18" t="s">
        <v>195</v>
      </c>
      <c r="T1347" s="18" t="b">
        <v>0</v>
      </c>
      <c r="U1347" s="18" t="s">
        <v>187</v>
      </c>
      <c r="V1347" s="18" t="s">
        <v>40</v>
      </c>
      <c r="W1347" s="18" t="s">
        <v>126</v>
      </c>
      <c r="X1347" s="18" t="s">
        <v>127</v>
      </c>
      <c r="Y1347" s="18">
        <v>1</v>
      </c>
      <c r="Z1347" s="18">
        <v>4238.01</v>
      </c>
      <c r="AC1347" s="18" t="e">
        <v>#N/A</v>
      </c>
    </row>
    <row r="1348" s="18" customFormat="1" spans="1:29">
      <c r="A1348" s="18" t="s">
        <v>3051</v>
      </c>
      <c r="B1348" s="25" t="s">
        <v>3051</v>
      </c>
      <c r="C1348" s="26">
        <v>45701</v>
      </c>
      <c r="D1348" s="18" t="s">
        <v>3052</v>
      </c>
      <c r="E1348" s="18" t="str">
        <f t="shared" si="21"/>
        <v>Amir Merchant  </v>
      </c>
      <c r="F1348" s="27" t="e">
        <v>#N/A</v>
      </c>
      <c r="G1348" s="18" t="s">
        <v>182</v>
      </c>
      <c r="H1348" s="18" t="s">
        <v>183</v>
      </c>
      <c r="I1348" s="18" t="s">
        <v>481</v>
      </c>
      <c r="J1348" s="18" t="s">
        <v>1238</v>
      </c>
      <c r="K1348" s="18" t="s">
        <v>56</v>
      </c>
      <c r="L1348" s="18" t="s">
        <v>36</v>
      </c>
      <c r="N1348" s="18">
        <v>6</v>
      </c>
      <c r="O1348" s="18" t="s">
        <v>93</v>
      </c>
      <c r="P1348" s="18" t="s">
        <v>38</v>
      </c>
      <c r="Q1348" s="18" t="s">
        <v>58</v>
      </c>
      <c r="R1348" s="18" t="s">
        <v>59</v>
      </c>
      <c r="S1348" s="18" t="s">
        <v>60</v>
      </c>
      <c r="T1348" s="18" t="b">
        <v>0</v>
      </c>
      <c r="U1348" s="18" t="s">
        <v>187</v>
      </c>
      <c r="V1348" s="18" t="s">
        <v>40</v>
      </c>
      <c r="W1348" s="18" t="s">
        <v>126</v>
      </c>
      <c r="X1348" s="18" t="s">
        <v>127</v>
      </c>
      <c r="Y1348" s="18">
        <v>1</v>
      </c>
      <c r="Z1348" s="18">
        <v>523</v>
      </c>
      <c r="AC1348" s="18" t="e">
        <v>#N/A</v>
      </c>
    </row>
    <row r="1349" s="18" customFormat="1" spans="1:29">
      <c r="A1349" s="18" t="s">
        <v>3053</v>
      </c>
      <c r="B1349" s="25" t="s">
        <v>3053</v>
      </c>
      <c r="C1349" s="26">
        <v>45701</v>
      </c>
      <c r="D1349" s="18" t="s">
        <v>907</v>
      </c>
      <c r="E1349" s="18" t="str">
        <f t="shared" si="21"/>
        <v>Mangesh Waghmare </v>
      </c>
      <c r="F1349" s="27" t="e">
        <v>#N/A</v>
      </c>
      <c r="G1349" s="18" t="s">
        <v>182</v>
      </c>
      <c r="H1349" s="18" t="s">
        <v>183</v>
      </c>
      <c r="I1349" s="18" t="s">
        <v>481</v>
      </c>
      <c r="J1349" s="18" t="s">
        <v>2160</v>
      </c>
      <c r="K1349" s="18" t="s">
        <v>56</v>
      </c>
      <c r="L1349" s="18" t="s">
        <v>36</v>
      </c>
      <c r="N1349" s="18">
        <v>6</v>
      </c>
      <c r="O1349" s="18" t="s">
        <v>93</v>
      </c>
      <c r="P1349" s="18" t="s">
        <v>38</v>
      </c>
      <c r="Q1349" s="18" t="s">
        <v>194</v>
      </c>
      <c r="R1349" s="18" t="s">
        <v>59</v>
      </c>
      <c r="S1349" s="18" t="s">
        <v>195</v>
      </c>
      <c r="T1349" s="18" t="b">
        <v>0</v>
      </c>
      <c r="U1349" s="18" t="s">
        <v>187</v>
      </c>
      <c r="V1349" s="18" t="s">
        <v>40</v>
      </c>
      <c r="W1349" s="18" t="s">
        <v>61</v>
      </c>
      <c r="X1349" s="18" t="s">
        <v>62</v>
      </c>
      <c r="Y1349" s="18">
        <v>1</v>
      </c>
      <c r="Z1349" s="18">
        <v>5200</v>
      </c>
      <c r="AC1349" s="18" t="e">
        <v>#N/A</v>
      </c>
    </row>
    <row r="1350" s="18" customFormat="1" spans="1:29">
      <c r="A1350" s="18" t="s">
        <v>3054</v>
      </c>
      <c r="B1350" s="25" t="s">
        <v>3054</v>
      </c>
      <c r="C1350" s="26">
        <v>45701</v>
      </c>
      <c r="D1350" s="18" t="s">
        <v>2674</v>
      </c>
      <c r="E1350" s="18" t="str">
        <f t="shared" si="21"/>
        <v>Justin Francis Vadakkan  </v>
      </c>
      <c r="F1350" s="27" t="e">
        <v>#N/A</v>
      </c>
      <c r="G1350" s="18" t="s">
        <v>182</v>
      </c>
      <c r="H1350" s="18" t="s">
        <v>183</v>
      </c>
      <c r="I1350" s="18" t="s">
        <v>481</v>
      </c>
      <c r="J1350" s="18" t="s">
        <v>1549</v>
      </c>
      <c r="K1350" s="18" t="s">
        <v>56</v>
      </c>
      <c r="L1350" s="18" t="s">
        <v>36</v>
      </c>
      <c r="N1350" s="18">
        <v>6</v>
      </c>
      <c r="O1350" s="18" t="s">
        <v>93</v>
      </c>
      <c r="P1350" s="18" t="s">
        <v>38</v>
      </c>
      <c r="Q1350" s="18" t="s">
        <v>194</v>
      </c>
      <c r="R1350" s="18" t="s">
        <v>59</v>
      </c>
      <c r="S1350" s="18" t="s">
        <v>195</v>
      </c>
      <c r="T1350" s="18" t="b">
        <v>0</v>
      </c>
      <c r="U1350" s="18" t="s">
        <v>187</v>
      </c>
      <c r="V1350" s="18" t="s">
        <v>40</v>
      </c>
      <c r="W1350" s="18" t="s">
        <v>126</v>
      </c>
      <c r="X1350" s="18" t="s">
        <v>127</v>
      </c>
      <c r="Y1350" s="18">
        <v>1</v>
      </c>
      <c r="Z1350" s="18">
        <v>950</v>
      </c>
      <c r="AC1350" s="18" t="e">
        <v>#N/A</v>
      </c>
    </row>
    <row r="1351" s="18" customFormat="1" spans="1:29">
      <c r="A1351" s="18" t="s">
        <v>3055</v>
      </c>
      <c r="B1351" s="25" t="s">
        <v>3055</v>
      </c>
      <c r="C1351" s="26">
        <v>45701</v>
      </c>
      <c r="D1351" s="18" t="s">
        <v>860</v>
      </c>
      <c r="E1351" s="18" t="str">
        <f t="shared" si="21"/>
        <v>Mahendra Mane </v>
      </c>
      <c r="F1351" s="27" t="e">
        <v>#N/A</v>
      </c>
      <c r="G1351" s="18" t="s">
        <v>182</v>
      </c>
      <c r="H1351" s="18" t="s">
        <v>183</v>
      </c>
      <c r="I1351" s="18" t="s">
        <v>481</v>
      </c>
      <c r="J1351" s="18" t="s">
        <v>1535</v>
      </c>
      <c r="K1351" s="18" t="s">
        <v>56</v>
      </c>
      <c r="L1351" s="18" t="s">
        <v>36</v>
      </c>
      <c r="N1351" s="18">
        <v>6</v>
      </c>
      <c r="O1351" s="18" t="s">
        <v>93</v>
      </c>
      <c r="P1351" s="18" t="s">
        <v>38</v>
      </c>
      <c r="Q1351" s="18" t="s">
        <v>194</v>
      </c>
      <c r="R1351" s="18" t="s">
        <v>59</v>
      </c>
      <c r="S1351" s="18" t="s">
        <v>195</v>
      </c>
      <c r="T1351" s="18" t="b">
        <v>0</v>
      </c>
      <c r="U1351" s="18" t="s">
        <v>187</v>
      </c>
      <c r="V1351" s="18" t="s">
        <v>40</v>
      </c>
      <c r="W1351" s="18" t="s">
        <v>126</v>
      </c>
      <c r="X1351" s="18" t="s">
        <v>127</v>
      </c>
      <c r="Y1351" s="18">
        <v>1</v>
      </c>
      <c r="Z1351" s="18">
        <v>358</v>
      </c>
      <c r="AC1351" s="18" t="e">
        <v>#N/A</v>
      </c>
    </row>
    <row r="1352" s="18" customFormat="1" spans="1:29">
      <c r="A1352" s="18" t="s">
        <v>3056</v>
      </c>
      <c r="B1352" s="25" t="s">
        <v>3056</v>
      </c>
      <c r="C1352" s="26">
        <v>45701</v>
      </c>
      <c r="D1352" s="18" t="s">
        <v>1480</v>
      </c>
      <c r="E1352" s="18" t="str">
        <f t="shared" si="21"/>
        <v>Gulfaam Shaikh  </v>
      </c>
      <c r="F1352" s="27" t="e">
        <v>#N/A</v>
      </c>
      <c r="G1352" s="18" t="s">
        <v>182</v>
      </c>
      <c r="H1352" s="18" t="s">
        <v>183</v>
      </c>
      <c r="I1352" s="18" t="s">
        <v>481</v>
      </c>
      <c r="J1352" s="18" t="s">
        <v>1535</v>
      </c>
      <c r="K1352" s="18" t="s">
        <v>56</v>
      </c>
      <c r="L1352" s="18" t="s">
        <v>36</v>
      </c>
      <c r="N1352" s="18">
        <v>6</v>
      </c>
      <c r="O1352" s="18" t="s">
        <v>93</v>
      </c>
      <c r="P1352" s="18" t="s">
        <v>38</v>
      </c>
      <c r="Q1352" s="18" t="s">
        <v>194</v>
      </c>
      <c r="R1352" s="18" t="s">
        <v>59</v>
      </c>
      <c r="S1352" s="18" t="s">
        <v>195</v>
      </c>
      <c r="T1352" s="18" t="b">
        <v>0</v>
      </c>
      <c r="U1352" s="18" t="s">
        <v>187</v>
      </c>
      <c r="V1352" s="18" t="s">
        <v>40</v>
      </c>
      <c r="W1352" s="18" t="s">
        <v>126</v>
      </c>
      <c r="X1352" s="18" t="s">
        <v>127</v>
      </c>
      <c r="Y1352" s="18">
        <v>1</v>
      </c>
      <c r="Z1352" s="18">
        <v>2614</v>
      </c>
      <c r="AC1352" s="18" t="e">
        <v>#N/A</v>
      </c>
    </row>
    <row r="1353" s="18" customFormat="1" spans="1:29">
      <c r="A1353" s="18" t="s">
        <v>3057</v>
      </c>
      <c r="B1353" s="25" t="s">
        <v>3057</v>
      </c>
      <c r="C1353" s="26">
        <v>45701</v>
      </c>
      <c r="D1353" s="18" t="s">
        <v>1203</v>
      </c>
      <c r="E1353" s="18" t="str">
        <f t="shared" si="21"/>
        <v>Padmakar Jadhav </v>
      </c>
      <c r="F1353" s="27" t="e">
        <v>#N/A</v>
      </c>
      <c r="G1353" s="18" t="s">
        <v>182</v>
      </c>
      <c r="H1353" s="18" t="s">
        <v>183</v>
      </c>
      <c r="I1353" s="18" t="s">
        <v>481</v>
      </c>
      <c r="J1353" s="18" t="s">
        <v>139</v>
      </c>
      <c r="K1353" s="18" t="s">
        <v>56</v>
      </c>
      <c r="L1353" s="18" t="s">
        <v>36</v>
      </c>
      <c r="N1353" s="18">
        <v>6</v>
      </c>
      <c r="O1353" s="18" t="s">
        <v>93</v>
      </c>
      <c r="P1353" s="18" t="s">
        <v>38</v>
      </c>
      <c r="Q1353" s="18" t="s">
        <v>58</v>
      </c>
      <c r="R1353" s="18" t="s">
        <v>59</v>
      </c>
      <c r="S1353" s="18" t="s">
        <v>60</v>
      </c>
      <c r="T1353" s="18" t="b">
        <v>0</v>
      </c>
      <c r="U1353" s="18" t="s">
        <v>187</v>
      </c>
      <c r="V1353" s="18" t="s">
        <v>40</v>
      </c>
      <c r="W1353" s="18" t="s">
        <v>317</v>
      </c>
      <c r="X1353" s="18" t="s">
        <v>318</v>
      </c>
      <c r="Y1353" s="18">
        <v>1</v>
      </c>
      <c r="Z1353" s="18">
        <v>5990</v>
      </c>
      <c r="AC1353" s="18" t="e">
        <v>#N/A</v>
      </c>
    </row>
    <row r="1354" s="18" customFormat="1" spans="1:29">
      <c r="A1354" s="18" t="s">
        <v>3058</v>
      </c>
      <c r="B1354" s="25" t="s">
        <v>3058</v>
      </c>
      <c r="C1354" s="26">
        <v>45701</v>
      </c>
      <c r="D1354" s="18" t="s">
        <v>1203</v>
      </c>
      <c r="E1354" s="18" t="str">
        <f t="shared" si="21"/>
        <v>Padmakar Jadhav </v>
      </c>
      <c r="F1354" s="27" t="e">
        <v>#N/A</v>
      </c>
      <c r="G1354" s="18" t="s">
        <v>182</v>
      </c>
      <c r="H1354" s="18" t="s">
        <v>183</v>
      </c>
      <c r="I1354" s="18" t="s">
        <v>481</v>
      </c>
      <c r="J1354" s="18" t="s">
        <v>139</v>
      </c>
      <c r="K1354" s="18" t="s">
        <v>56</v>
      </c>
      <c r="L1354" s="18" t="s">
        <v>36</v>
      </c>
      <c r="N1354" s="18">
        <v>6</v>
      </c>
      <c r="O1354" s="18" t="s">
        <v>93</v>
      </c>
      <c r="P1354" s="18" t="s">
        <v>38</v>
      </c>
      <c r="Q1354" s="18" t="s">
        <v>58</v>
      </c>
      <c r="R1354" s="18" t="s">
        <v>59</v>
      </c>
      <c r="S1354" s="18" t="s">
        <v>60</v>
      </c>
      <c r="T1354" s="18" t="b">
        <v>0</v>
      </c>
      <c r="U1354" s="18" t="s">
        <v>187</v>
      </c>
      <c r="V1354" s="18" t="s">
        <v>40</v>
      </c>
      <c r="W1354" s="18" t="s">
        <v>126</v>
      </c>
      <c r="X1354" s="18" t="s">
        <v>127</v>
      </c>
      <c r="Y1354" s="18">
        <v>1</v>
      </c>
      <c r="Z1354" s="18">
        <v>559</v>
      </c>
      <c r="AC1354" s="18" t="e">
        <v>#N/A</v>
      </c>
    </row>
    <row r="1355" s="18" customFormat="1" spans="1:29">
      <c r="A1355" s="18" t="s">
        <v>3059</v>
      </c>
      <c r="B1355" s="25" t="s">
        <v>3059</v>
      </c>
      <c r="C1355" s="26">
        <v>45701</v>
      </c>
      <c r="D1355" s="18" t="s">
        <v>2033</v>
      </c>
      <c r="E1355" s="18" t="str">
        <f t="shared" si="21"/>
        <v>Pinky Sharma  </v>
      </c>
      <c r="F1355" s="27" t="e">
        <v>#N/A</v>
      </c>
      <c r="G1355" s="18" t="s">
        <v>182</v>
      </c>
      <c r="H1355" s="18" t="s">
        <v>183</v>
      </c>
      <c r="I1355" s="18" t="s">
        <v>481</v>
      </c>
      <c r="J1355" s="18" t="s">
        <v>2319</v>
      </c>
      <c r="K1355" s="18" t="s">
        <v>56</v>
      </c>
      <c r="L1355" s="18" t="s">
        <v>36</v>
      </c>
      <c r="N1355" s="18">
        <v>6</v>
      </c>
      <c r="O1355" s="18" t="s">
        <v>93</v>
      </c>
      <c r="P1355" s="18" t="s">
        <v>38</v>
      </c>
      <c r="Q1355" s="18" t="s">
        <v>194</v>
      </c>
      <c r="R1355" s="18" t="s">
        <v>59</v>
      </c>
      <c r="S1355" s="18" t="s">
        <v>195</v>
      </c>
      <c r="T1355" s="18" t="b">
        <v>0</v>
      </c>
      <c r="U1355" s="18" t="s">
        <v>187</v>
      </c>
      <c r="V1355" s="18" t="s">
        <v>40</v>
      </c>
      <c r="W1355" s="18" t="s">
        <v>126</v>
      </c>
      <c r="X1355" s="18" t="s">
        <v>127</v>
      </c>
      <c r="Y1355" s="18">
        <v>1</v>
      </c>
      <c r="Z1355" s="18">
        <v>2370</v>
      </c>
      <c r="AC1355" s="18" t="e">
        <v>#N/A</v>
      </c>
    </row>
    <row r="1356" s="18" customFormat="1" spans="1:29">
      <c r="A1356" s="18" t="s">
        <v>3060</v>
      </c>
      <c r="B1356" s="25" t="s">
        <v>3060</v>
      </c>
      <c r="C1356" s="26">
        <v>45701</v>
      </c>
      <c r="D1356" s="18" t="s">
        <v>2674</v>
      </c>
      <c r="E1356" s="18" t="str">
        <f t="shared" si="21"/>
        <v>Justin Francis Vadakkan  </v>
      </c>
      <c r="F1356" s="27" t="e">
        <v>#N/A</v>
      </c>
      <c r="G1356" s="18" t="s">
        <v>182</v>
      </c>
      <c r="H1356" s="18" t="s">
        <v>183</v>
      </c>
      <c r="I1356" s="18" t="s">
        <v>481</v>
      </c>
      <c r="J1356" s="18" t="s">
        <v>2319</v>
      </c>
      <c r="K1356" s="18" t="s">
        <v>56</v>
      </c>
      <c r="L1356" s="18" t="s">
        <v>36</v>
      </c>
      <c r="N1356" s="18">
        <v>6</v>
      </c>
      <c r="O1356" s="18" t="s">
        <v>93</v>
      </c>
      <c r="P1356" s="18" t="s">
        <v>38</v>
      </c>
      <c r="Q1356" s="18" t="s">
        <v>194</v>
      </c>
      <c r="R1356" s="18" t="s">
        <v>59</v>
      </c>
      <c r="S1356" s="18" t="s">
        <v>195</v>
      </c>
      <c r="T1356" s="18" t="b">
        <v>0</v>
      </c>
      <c r="U1356" s="18" t="s">
        <v>187</v>
      </c>
      <c r="V1356" s="18" t="s">
        <v>40</v>
      </c>
      <c r="W1356" s="18" t="s">
        <v>126</v>
      </c>
      <c r="X1356" s="18" t="s">
        <v>127</v>
      </c>
      <c r="Y1356" s="18">
        <v>1</v>
      </c>
      <c r="Z1356" s="18">
        <v>1284</v>
      </c>
      <c r="AC1356" s="18" t="e">
        <v>#N/A</v>
      </c>
    </row>
    <row r="1357" s="18" customFormat="1" spans="1:29">
      <c r="A1357" s="18" t="s">
        <v>3061</v>
      </c>
      <c r="B1357" s="25" t="s">
        <v>3061</v>
      </c>
      <c r="C1357" s="26">
        <v>45701</v>
      </c>
      <c r="D1357" s="18" t="s">
        <v>2329</v>
      </c>
      <c r="E1357" s="18" t="str">
        <f t="shared" si="21"/>
        <v>Aalhad Bavkar  </v>
      </c>
      <c r="F1357" s="27" t="e">
        <v>#N/A</v>
      </c>
      <c r="G1357" s="18" t="s">
        <v>182</v>
      </c>
      <c r="H1357" s="18" t="s">
        <v>183</v>
      </c>
      <c r="I1357" s="18" t="s">
        <v>481</v>
      </c>
      <c r="J1357" s="18" t="s">
        <v>2319</v>
      </c>
      <c r="K1357" s="18" t="s">
        <v>56</v>
      </c>
      <c r="L1357" s="18" t="s">
        <v>36</v>
      </c>
      <c r="N1357" s="18">
        <v>6</v>
      </c>
      <c r="O1357" s="18" t="s">
        <v>93</v>
      </c>
      <c r="P1357" s="18" t="s">
        <v>38</v>
      </c>
      <c r="Q1357" s="18" t="s">
        <v>194</v>
      </c>
      <c r="R1357" s="18" t="s">
        <v>59</v>
      </c>
      <c r="S1357" s="18" t="s">
        <v>195</v>
      </c>
      <c r="T1357" s="18" t="b">
        <v>0</v>
      </c>
      <c r="U1357" s="18" t="s">
        <v>187</v>
      </c>
      <c r="V1357" s="18" t="s">
        <v>40</v>
      </c>
      <c r="W1357" s="18" t="s">
        <v>126</v>
      </c>
      <c r="X1357" s="18" t="s">
        <v>127</v>
      </c>
      <c r="Y1357" s="18">
        <v>1</v>
      </c>
      <c r="Z1357" s="18">
        <v>170</v>
      </c>
      <c r="AC1357" s="18" t="e">
        <v>#N/A</v>
      </c>
    </row>
    <row r="1358" s="18" customFormat="1" spans="1:29">
      <c r="A1358" s="18" t="s">
        <v>3062</v>
      </c>
      <c r="B1358" s="25" t="s">
        <v>3062</v>
      </c>
      <c r="C1358" s="26">
        <v>45701</v>
      </c>
      <c r="D1358" s="18" t="s">
        <v>3063</v>
      </c>
      <c r="E1358" s="18" t="str">
        <f t="shared" si="21"/>
        <v>Sameer Doshi  </v>
      </c>
      <c r="F1358" s="27" t="e">
        <v>#N/A</v>
      </c>
      <c r="G1358" s="18" t="s">
        <v>182</v>
      </c>
      <c r="H1358" s="18" t="s">
        <v>183</v>
      </c>
      <c r="I1358" s="18" t="s">
        <v>481</v>
      </c>
      <c r="J1358" s="18" t="s">
        <v>2756</v>
      </c>
      <c r="K1358" s="18" t="s">
        <v>56</v>
      </c>
      <c r="L1358" s="18" t="s">
        <v>36</v>
      </c>
      <c r="N1358" s="18">
        <v>6</v>
      </c>
      <c r="O1358" s="18" t="s">
        <v>93</v>
      </c>
      <c r="P1358" s="18" t="s">
        <v>38</v>
      </c>
      <c r="Q1358" s="18" t="s">
        <v>194</v>
      </c>
      <c r="R1358" s="18" t="s">
        <v>59</v>
      </c>
      <c r="S1358" s="18" t="s">
        <v>195</v>
      </c>
      <c r="T1358" s="18" t="b">
        <v>0</v>
      </c>
      <c r="U1358" s="18" t="s">
        <v>187</v>
      </c>
      <c r="V1358" s="18" t="s">
        <v>40</v>
      </c>
      <c r="W1358" s="18" t="s">
        <v>126</v>
      </c>
      <c r="X1358" s="18" t="s">
        <v>127</v>
      </c>
      <c r="Y1358" s="18">
        <v>1</v>
      </c>
      <c r="Z1358" s="18">
        <v>2464</v>
      </c>
      <c r="AC1358" s="18" t="e">
        <v>#N/A</v>
      </c>
    </row>
    <row r="1359" s="18" customFormat="1" spans="1:29">
      <c r="A1359" s="18" t="s">
        <v>3064</v>
      </c>
      <c r="B1359" s="25" t="s">
        <v>3064</v>
      </c>
      <c r="C1359" s="26">
        <v>45701</v>
      </c>
      <c r="D1359" s="18" t="s">
        <v>2329</v>
      </c>
      <c r="E1359" s="18" t="str">
        <f t="shared" si="21"/>
        <v>Aalhad Bavkar  </v>
      </c>
      <c r="F1359" s="27" t="e">
        <v>#N/A</v>
      </c>
      <c r="G1359" s="18" t="s">
        <v>182</v>
      </c>
      <c r="H1359" s="18" t="s">
        <v>183</v>
      </c>
      <c r="I1359" s="18" t="s">
        <v>481</v>
      </c>
      <c r="J1359" s="18" t="s">
        <v>2319</v>
      </c>
      <c r="K1359" s="18" t="s">
        <v>56</v>
      </c>
      <c r="L1359" s="18" t="s">
        <v>36</v>
      </c>
      <c r="N1359" s="18">
        <v>6</v>
      </c>
      <c r="O1359" s="18" t="s">
        <v>93</v>
      </c>
      <c r="P1359" s="18" t="s">
        <v>38</v>
      </c>
      <c r="Q1359" s="18" t="s">
        <v>194</v>
      </c>
      <c r="R1359" s="18" t="s">
        <v>59</v>
      </c>
      <c r="S1359" s="18" t="s">
        <v>195</v>
      </c>
      <c r="T1359" s="18" t="b">
        <v>0</v>
      </c>
      <c r="U1359" s="18" t="s">
        <v>187</v>
      </c>
      <c r="V1359" s="18" t="s">
        <v>40</v>
      </c>
      <c r="W1359" s="18" t="s">
        <v>126</v>
      </c>
      <c r="X1359" s="18" t="s">
        <v>127</v>
      </c>
      <c r="Y1359" s="18">
        <v>1</v>
      </c>
      <c r="Z1359" s="18">
        <v>529.94</v>
      </c>
      <c r="AC1359" s="18" t="e">
        <v>#N/A</v>
      </c>
    </row>
    <row r="1360" s="18" customFormat="1" spans="1:29">
      <c r="A1360" s="18" t="s">
        <v>3065</v>
      </c>
      <c r="B1360" s="25" t="s">
        <v>3065</v>
      </c>
      <c r="C1360" s="26">
        <v>45701</v>
      </c>
      <c r="D1360" s="18" t="s">
        <v>2033</v>
      </c>
      <c r="E1360" s="18" t="str">
        <f t="shared" si="21"/>
        <v>Pinky Sharma  </v>
      </c>
      <c r="F1360" s="27" t="e">
        <v>#N/A</v>
      </c>
      <c r="G1360" s="18" t="s">
        <v>182</v>
      </c>
      <c r="H1360" s="18" t="s">
        <v>183</v>
      </c>
      <c r="I1360" s="18" t="s">
        <v>481</v>
      </c>
      <c r="J1360" s="18" t="s">
        <v>1968</v>
      </c>
      <c r="K1360" s="18" t="s">
        <v>56</v>
      </c>
      <c r="L1360" s="18" t="s">
        <v>36</v>
      </c>
      <c r="N1360" s="18">
        <v>6</v>
      </c>
      <c r="O1360" s="18" t="s">
        <v>93</v>
      </c>
      <c r="P1360" s="18" t="s">
        <v>38</v>
      </c>
      <c r="Q1360" s="18" t="s">
        <v>194</v>
      </c>
      <c r="R1360" s="18" t="s">
        <v>59</v>
      </c>
      <c r="S1360" s="18" t="s">
        <v>195</v>
      </c>
      <c r="T1360" s="18" t="b">
        <v>0</v>
      </c>
      <c r="U1360" s="18" t="s">
        <v>187</v>
      </c>
      <c r="V1360" s="18" t="s">
        <v>40</v>
      </c>
      <c r="W1360" s="18" t="s">
        <v>126</v>
      </c>
      <c r="X1360" s="18" t="s">
        <v>127</v>
      </c>
      <c r="Y1360" s="18">
        <v>1</v>
      </c>
      <c r="Z1360" s="18">
        <v>1794.66</v>
      </c>
      <c r="AC1360" s="18" t="e">
        <v>#N/A</v>
      </c>
    </row>
    <row r="1361" s="18" customFormat="1" ht="43.5" spans="1:29">
      <c r="A1361" s="18" t="s">
        <v>3066</v>
      </c>
      <c r="B1361" s="25" t="s">
        <v>3066</v>
      </c>
      <c r="C1361" s="26">
        <v>45701</v>
      </c>
      <c r="D1361" s="18" t="s">
        <v>3067</v>
      </c>
      <c r="E1361" s="18" t="str">
        <f t="shared" si="21"/>
        <v>CheChi Media</v>
      </c>
      <c r="F1361" s="27" t="s">
        <v>3068</v>
      </c>
      <c r="G1361" s="18" t="s">
        <v>182</v>
      </c>
      <c r="H1361" s="18" t="s">
        <v>183</v>
      </c>
      <c r="I1361" s="18" t="s">
        <v>184</v>
      </c>
      <c r="J1361" s="18" t="s">
        <v>864</v>
      </c>
      <c r="K1361" s="18" t="s">
        <v>56</v>
      </c>
      <c r="L1361" s="18" t="s">
        <v>36</v>
      </c>
      <c r="N1361" s="18">
        <v>6</v>
      </c>
      <c r="O1361" s="18" t="s">
        <v>88</v>
      </c>
      <c r="P1361" s="18" t="s">
        <v>38</v>
      </c>
      <c r="Q1361" s="18" t="s">
        <v>194</v>
      </c>
      <c r="R1361" s="18" t="s">
        <v>59</v>
      </c>
      <c r="S1361" s="18" t="s">
        <v>195</v>
      </c>
      <c r="T1361" s="18" t="b">
        <v>0</v>
      </c>
      <c r="U1361" s="18" t="s">
        <v>187</v>
      </c>
      <c r="V1361" s="18" t="s">
        <v>40</v>
      </c>
      <c r="W1361" s="18" t="s">
        <v>317</v>
      </c>
      <c r="X1361" s="18" t="s">
        <v>318</v>
      </c>
      <c r="Y1361" s="18">
        <v>1</v>
      </c>
      <c r="Z1361" s="18">
        <v>105000</v>
      </c>
      <c r="AA1361" s="31" t="s">
        <v>3069</v>
      </c>
      <c r="AB1361" s="18" t="s">
        <v>1457</v>
      </c>
      <c r="AC1361" s="18" t="s">
        <v>200</v>
      </c>
    </row>
    <row r="1362" s="18" customFormat="1" ht="43.5" spans="1:29">
      <c r="A1362" s="18" t="s">
        <v>3070</v>
      </c>
      <c r="B1362" s="25" t="s">
        <v>3070</v>
      </c>
      <c r="C1362" s="26">
        <v>45701</v>
      </c>
      <c r="D1362" s="18" t="s">
        <v>192</v>
      </c>
      <c r="E1362" s="18" t="str">
        <f t="shared" si="21"/>
        <v>Noaman Digital Partnership Firm</v>
      </c>
      <c r="F1362" s="27" t="e">
        <v>#N/A</v>
      </c>
      <c r="G1362" s="18" t="s">
        <v>182</v>
      </c>
      <c r="H1362" s="18" t="s">
        <v>183</v>
      </c>
      <c r="I1362" s="18" t="s">
        <v>184</v>
      </c>
      <c r="J1362" s="18" t="s">
        <v>2683</v>
      </c>
      <c r="K1362" s="18" t="s">
        <v>56</v>
      </c>
      <c r="L1362" s="18" t="s">
        <v>36</v>
      </c>
      <c r="N1362" s="18">
        <v>6</v>
      </c>
      <c r="O1362" s="18" t="s">
        <v>88</v>
      </c>
      <c r="P1362" s="18" t="s">
        <v>38</v>
      </c>
      <c r="Q1362" s="18" t="s">
        <v>194</v>
      </c>
      <c r="R1362" s="18" t="s">
        <v>59</v>
      </c>
      <c r="S1362" s="18" t="s">
        <v>195</v>
      </c>
      <c r="T1362" s="18" t="b">
        <v>0</v>
      </c>
      <c r="U1362" s="18" t="s">
        <v>187</v>
      </c>
      <c r="V1362" s="18" t="s">
        <v>40</v>
      </c>
      <c r="W1362" s="18" t="s">
        <v>196</v>
      </c>
      <c r="X1362" s="18" t="s">
        <v>197</v>
      </c>
      <c r="Y1362" s="18">
        <v>1</v>
      </c>
      <c r="Z1362" s="18">
        <v>110155</v>
      </c>
      <c r="AA1362" s="31" t="s">
        <v>3071</v>
      </c>
      <c r="AB1362" s="18" t="s">
        <v>1554</v>
      </c>
      <c r="AC1362" s="18" t="s">
        <v>200</v>
      </c>
    </row>
    <row r="1363" s="18" customFormat="1" ht="43.5" spans="1:29">
      <c r="A1363" s="18" t="s">
        <v>3072</v>
      </c>
      <c r="B1363" s="25" t="s">
        <v>3072</v>
      </c>
      <c r="C1363" s="26">
        <v>45701</v>
      </c>
      <c r="D1363" s="18" t="s">
        <v>2089</v>
      </c>
      <c r="E1363" s="18" t="str">
        <f t="shared" si="21"/>
        <v>Twintech Entertainment LLP</v>
      </c>
      <c r="F1363" s="27" t="s">
        <v>2090</v>
      </c>
      <c r="G1363" s="18" t="s">
        <v>182</v>
      </c>
      <c r="H1363" s="18" t="s">
        <v>183</v>
      </c>
      <c r="I1363" s="18" t="s">
        <v>184</v>
      </c>
      <c r="J1363" s="18" t="s">
        <v>2683</v>
      </c>
      <c r="K1363" s="18" t="s">
        <v>56</v>
      </c>
      <c r="L1363" s="18" t="s">
        <v>36</v>
      </c>
      <c r="N1363" s="18">
        <v>6</v>
      </c>
      <c r="O1363" s="18" t="s">
        <v>57</v>
      </c>
      <c r="P1363" s="18" t="s">
        <v>38</v>
      </c>
      <c r="Q1363" s="18" t="s">
        <v>194</v>
      </c>
      <c r="R1363" s="18" t="s">
        <v>59</v>
      </c>
      <c r="S1363" s="18" t="s">
        <v>195</v>
      </c>
      <c r="T1363" s="18" t="b">
        <v>0</v>
      </c>
      <c r="U1363" s="18" t="s">
        <v>187</v>
      </c>
      <c r="V1363" s="18" t="s">
        <v>40</v>
      </c>
      <c r="W1363" s="18" t="s">
        <v>250</v>
      </c>
      <c r="X1363" s="18" t="s">
        <v>251</v>
      </c>
      <c r="Y1363" s="18">
        <v>1</v>
      </c>
      <c r="Z1363" s="18">
        <v>25000</v>
      </c>
      <c r="AA1363" s="31" t="s">
        <v>3071</v>
      </c>
      <c r="AB1363" s="18" t="s">
        <v>1554</v>
      </c>
      <c r="AC1363" s="18" t="e">
        <v>#N/A</v>
      </c>
    </row>
    <row r="1364" s="18" customFormat="1" ht="43.5" spans="1:29">
      <c r="A1364" s="18" t="s">
        <v>3073</v>
      </c>
      <c r="B1364" s="25" t="s">
        <v>3073</v>
      </c>
      <c r="C1364" s="26">
        <v>45701</v>
      </c>
      <c r="D1364" s="18" t="s">
        <v>1650</v>
      </c>
      <c r="E1364" s="18" t="str">
        <f t="shared" si="21"/>
        <v>A A Fur1044835 Neetu Prakash Poojaryre(Abbas Abdul Hussain Ujjainwala)</v>
      </c>
      <c r="F1364" s="27" t="s">
        <v>1651</v>
      </c>
      <c r="G1364" s="18" t="s">
        <v>182</v>
      </c>
      <c r="H1364" s="18" t="s">
        <v>183</v>
      </c>
      <c r="I1364" s="18" t="s">
        <v>184</v>
      </c>
      <c r="J1364" s="18" t="s">
        <v>2683</v>
      </c>
      <c r="K1364" s="18" t="s">
        <v>56</v>
      </c>
      <c r="L1364" s="18" t="s">
        <v>36</v>
      </c>
      <c r="N1364" s="18">
        <v>6</v>
      </c>
      <c r="O1364" s="18" t="s">
        <v>57</v>
      </c>
      <c r="P1364" s="18" t="s">
        <v>38</v>
      </c>
      <c r="Q1364" s="18" t="s">
        <v>194</v>
      </c>
      <c r="R1364" s="18" t="s">
        <v>59</v>
      </c>
      <c r="S1364" s="18" t="s">
        <v>195</v>
      </c>
      <c r="T1364" s="18" t="b">
        <v>0</v>
      </c>
      <c r="U1364" s="18" t="s">
        <v>187</v>
      </c>
      <c r="V1364" s="18" t="s">
        <v>40</v>
      </c>
      <c r="W1364" s="18" t="s">
        <v>151</v>
      </c>
      <c r="X1364" s="18" t="s">
        <v>152</v>
      </c>
      <c r="Y1364" s="18">
        <v>1</v>
      </c>
      <c r="Z1364" s="18">
        <v>25000</v>
      </c>
      <c r="AA1364" s="31" t="s">
        <v>3071</v>
      </c>
      <c r="AB1364" s="18" t="s">
        <v>1554</v>
      </c>
      <c r="AC1364" s="18" t="s">
        <v>200</v>
      </c>
    </row>
    <row r="1365" s="18" customFormat="1" ht="43.5" spans="1:29">
      <c r="A1365" s="18" t="s">
        <v>3074</v>
      </c>
      <c r="B1365" s="25" t="s">
        <v>3074</v>
      </c>
      <c r="C1365" s="26">
        <v>45701</v>
      </c>
      <c r="D1365" s="18" t="s">
        <v>3075</v>
      </c>
      <c r="E1365" s="18" t="str">
        <f t="shared" si="21"/>
        <v>Kenil Sanghvi</v>
      </c>
      <c r="F1365" s="27" t="s">
        <v>3076</v>
      </c>
      <c r="G1365" s="18" t="s">
        <v>182</v>
      </c>
      <c r="H1365" s="18" t="s">
        <v>183</v>
      </c>
      <c r="I1365" s="18" t="s">
        <v>184</v>
      </c>
      <c r="J1365" s="18" t="s">
        <v>2683</v>
      </c>
      <c r="K1365" s="18" t="s">
        <v>56</v>
      </c>
      <c r="L1365" s="18" t="s">
        <v>36</v>
      </c>
      <c r="N1365" s="18">
        <v>6</v>
      </c>
      <c r="O1365" s="18" t="s">
        <v>57</v>
      </c>
      <c r="P1365" s="18" t="s">
        <v>38</v>
      </c>
      <c r="Q1365" s="18" t="s">
        <v>194</v>
      </c>
      <c r="R1365" s="18" t="s">
        <v>59</v>
      </c>
      <c r="S1365" s="18" t="s">
        <v>195</v>
      </c>
      <c r="T1365" s="18" t="b">
        <v>0</v>
      </c>
      <c r="U1365" s="18" t="s">
        <v>187</v>
      </c>
      <c r="V1365" s="18" t="s">
        <v>40</v>
      </c>
      <c r="W1365" s="18" t="s">
        <v>347</v>
      </c>
      <c r="X1365" s="18" t="s">
        <v>348</v>
      </c>
      <c r="Y1365" s="18">
        <v>1</v>
      </c>
      <c r="Z1365" s="18">
        <v>50000</v>
      </c>
      <c r="AA1365" s="31" t="s">
        <v>3071</v>
      </c>
      <c r="AB1365" s="18" t="s">
        <v>1554</v>
      </c>
      <c r="AC1365" s="18" t="e">
        <v>#N/A</v>
      </c>
    </row>
    <row r="1366" s="18" customFormat="1" ht="29" spans="1:29">
      <c r="A1366" s="18" t="s">
        <v>3077</v>
      </c>
      <c r="B1366" s="25" t="s">
        <v>3077</v>
      </c>
      <c r="C1366" s="26">
        <v>45701</v>
      </c>
      <c r="D1366" s="18" t="s">
        <v>1627</v>
      </c>
      <c r="E1366" s="18" t="str">
        <f t="shared" si="21"/>
        <v>Blink Entertainment</v>
      </c>
      <c r="F1366" s="27" t="s">
        <v>1628</v>
      </c>
      <c r="G1366" s="18" t="s">
        <v>182</v>
      </c>
      <c r="H1366" s="18" t="s">
        <v>183</v>
      </c>
      <c r="I1366" s="18" t="s">
        <v>184</v>
      </c>
      <c r="J1366" s="18" t="s">
        <v>2277</v>
      </c>
      <c r="K1366" s="18" t="s">
        <v>56</v>
      </c>
      <c r="L1366" s="18" t="s">
        <v>36</v>
      </c>
      <c r="N1366" s="18">
        <v>6</v>
      </c>
      <c r="O1366" s="18" t="s">
        <v>57</v>
      </c>
      <c r="P1366" s="18" t="s">
        <v>38</v>
      </c>
      <c r="Q1366" s="18" t="s">
        <v>194</v>
      </c>
      <c r="R1366" s="18" t="s">
        <v>59</v>
      </c>
      <c r="S1366" s="18" t="s">
        <v>195</v>
      </c>
      <c r="T1366" s="18" t="b">
        <v>0</v>
      </c>
      <c r="U1366" s="18" t="s">
        <v>187</v>
      </c>
      <c r="V1366" s="18" t="s">
        <v>40</v>
      </c>
      <c r="W1366" s="18" t="s">
        <v>250</v>
      </c>
      <c r="X1366" s="18" t="s">
        <v>251</v>
      </c>
      <c r="Y1366" s="18">
        <v>1</v>
      </c>
      <c r="Z1366" s="18">
        <v>50000</v>
      </c>
      <c r="AA1366" s="31" t="s">
        <v>3078</v>
      </c>
      <c r="AB1366" s="18" t="s">
        <v>570</v>
      </c>
      <c r="AC1366" s="18" t="s">
        <v>200</v>
      </c>
    </row>
    <row r="1367" s="18" customFormat="1" spans="1:29">
      <c r="A1367" s="18" t="s">
        <v>3079</v>
      </c>
      <c r="B1367" s="25" t="s">
        <v>3079</v>
      </c>
      <c r="C1367" s="26">
        <v>45701</v>
      </c>
      <c r="D1367" s="18" t="s">
        <v>2674</v>
      </c>
      <c r="E1367" s="18" t="str">
        <f t="shared" si="21"/>
        <v>Justin Francis Vadakkan  </v>
      </c>
      <c r="F1367" s="27" t="e">
        <v>#N/A</v>
      </c>
      <c r="G1367" s="18" t="s">
        <v>182</v>
      </c>
      <c r="H1367" s="18" t="s">
        <v>183</v>
      </c>
      <c r="I1367" s="18" t="s">
        <v>481</v>
      </c>
      <c r="J1367" s="18" t="s">
        <v>1535</v>
      </c>
      <c r="K1367" s="18" t="s">
        <v>56</v>
      </c>
      <c r="L1367" s="18" t="s">
        <v>36</v>
      </c>
      <c r="N1367" s="18">
        <v>6</v>
      </c>
      <c r="O1367" s="18" t="s">
        <v>93</v>
      </c>
      <c r="P1367" s="18" t="s">
        <v>38</v>
      </c>
      <c r="Q1367" s="18" t="s">
        <v>194</v>
      </c>
      <c r="R1367" s="18" t="s">
        <v>59</v>
      </c>
      <c r="S1367" s="18" t="s">
        <v>195</v>
      </c>
      <c r="T1367" s="18" t="b">
        <v>0</v>
      </c>
      <c r="U1367" s="18" t="s">
        <v>187</v>
      </c>
      <c r="V1367" s="18" t="s">
        <v>40</v>
      </c>
      <c r="W1367" s="18" t="s">
        <v>126</v>
      </c>
      <c r="X1367" s="18" t="s">
        <v>127</v>
      </c>
      <c r="Y1367" s="18">
        <v>1</v>
      </c>
      <c r="Z1367" s="18">
        <v>1594</v>
      </c>
      <c r="AC1367" s="18" t="e">
        <v>#N/A</v>
      </c>
    </row>
    <row r="1368" s="18" customFormat="1" spans="1:29">
      <c r="A1368" s="18" t="s">
        <v>3080</v>
      </c>
      <c r="B1368" s="25" t="s">
        <v>3080</v>
      </c>
      <c r="C1368" s="26">
        <v>45701</v>
      </c>
      <c r="D1368" s="18" t="s">
        <v>907</v>
      </c>
      <c r="E1368" s="18" t="str">
        <f t="shared" si="21"/>
        <v>Mangesh Waghmare </v>
      </c>
      <c r="F1368" s="27" t="e">
        <v>#N/A</v>
      </c>
      <c r="G1368" s="18" t="s">
        <v>182</v>
      </c>
      <c r="H1368" s="18" t="s">
        <v>183</v>
      </c>
      <c r="I1368" s="18" t="s">
        <v>481</v>
      </c>
      <c r="J1368" s="18" t="s">
        <v>793</v>
      </c>
      <c r="K1368" s="18" t="s">
        <v>56</v>
      </c>
      <c r="L1368" s="18" t="s">
        <v>36</v>
      </c>
      <c r="N1368" s="18">
        <v>6</v>
      </c>
      <c r="O1368" s="18" t="s">
        <v>93</v>
      </c>
      <c r="P1368" s="18" t="s">
        <v>38</v>
      </c>
      <c r="Q1368" s="18" t="s">
        <v>194</v>
      </c>
      <c r="R1368" s="18" t="s">
        <v>59</v>
      </c>
      <c r="S1368" s="18" t="s">
        <v>195</v>
      </c>
      <c r="T1368" s="18" t="b">
        <v>0</v>
      </c>
      <c r="U1368" s="18" t="s">
        <v>187</v>
      </c>
      <c r="V1368" s="18" t="s">
        <v>40</v>
      </c>
      <c r="W1368" s="18" t="s">
        <v>126</v>
      </c>
      <c r="X1368" s="18" t="s">
        <v>127</v>
      </c>
      <c r="Y1368" s="18">
        <v>1</v>
      </c>
      <c r="Z1368" s="18">
        <v>2336</v>
      </c>
      <c r="AC1368" s="18" t="e">
        <v>#N/A</v>
      </c>
    </row>
    <row r="1369" s="18" customFormat="1" spans="1:29">
      <c r="A1369" s="18" t="s">
        <v>3081</v>
      </c>
      <c r="B1369" s="25" t="s">
        <v>3081</v>
      </c>
      <c r="C1369" s="26">
        <v>45701</v>
      </c>
      <c r="D1369" s="18" t="s">
        <v>1054</v>
      </c>
      <c r="E1369" s="18" t="str">
        <f t="shared" si="21"/>
        <v>Suresh Pardhle  </v>
      </c>
      <c r="F1369" s="27" t="e">
        <v>#N/A</v>
      </c>
      <c r="G1369" s="18" t="s">
        <v>182</v>
      </c>
      <c r="H1369" s="18" t="s">
        <v>183</v>
      </c>
      <c r="I1369" s="18" t="s">
        <v>481</v>
      </c>
      <c r="J1369" s="18" t="s">
        <v>2319</v>
      </c>
      <c r="K1369" s="18" t="s">
        <v>56</v>
      </c>
      <c r="L1369" s="18" t="s">
        <v>36</v>
      </c>
      <c r="N1369" s="18">
        <v>6</v>
      </c>
      <c r="O1369" s="18" t="s">
        <v>93</v>
      </c>
      <c r="P1369" s="18" t="s">
        <v>38</v>
      </c>
      <c r="Q1369" s="18" t="s">
        <v>194</v>
      </c>
      <c r="R1369" s="18" t="s">
        <v>59</v>
      </c>
      <c r="S1369" s="18" t="s">
        <v>195</v>
      </c>
      <c r="T1369" s="18" t="b">
        <v>0</v>
      </c>
      <c r="U1369" s="18" t="s">
        <v>187</v>
      </c>
      <c r="V1369" s="18" t="s">
        <v>40</v>
      </c>
      <c r="W1369" s="18" t="s">
        <v>317</v>
      </c>
      <c r="X1369" s="18" t="s">
        <v>318</v>
      </c>
      <c r="Y1369" s="18">
        <v>1</v>
      </c>
      <c r="Z1369" s="18">
        <v>1470</v>
      </c>
      <c r="AC1369" s="18" t="e">
        <v>#N/A</v>
      </c>
    </row>
    <row r="1370" s="18" customFormat="1" spans="1:29">
      <c r="A1370" s="18" t="s">
        <v>3082</v>
      </c>
      <c r="B1370" s="25" t="s">
        <v>3082</v>
      </c>
      <c r="C1370" s="26">
        <v>45701</v>
      </c>
      <c r="D1370" s="18" t="s">
        <v>2154</v>
      </c>
      <c r="E1370" s="18" t="str">
        <f t="shared" si="21"/>
        <v>Asif Khan  </v>
      </c>
      <c r="F1370" s="27" t="e">
        <v>#N/A</v>
      </c>
      <c r="G1370" s="18" t="s">
        <v>182</v>
      </c>
      <c r="H1370" s="18" t="s">
        <v>183</v>
      </c>
      <c r="I1370" s="18" t="s">
        <v>481</v>
      </c>
      <c r="J1370" s="18" t="s">
        <v>793</v>
      </c>
      <c r="K1370" s="18" t="s">
        <v>56</v>
      </c>
      <c r="L1370" s="18" t="s">
        <v>36</v>
      </c>
      <c r="N1370" s="18">
        <v>6</v>
      </c>
      <c r="O1370" s="18" t="s">
        <v>93</v>
      </c>
      <c r="P1370" s="18" t="s">
        <v>38</v>
      </c>
      <c r="Q1370" s="18" t="s">
        <v>194</v>
      </c>
      <c r="R1370" s="18" t="s">
        <v>59</v>
      </c>
      <c r="S1370" s="18" t="s">
        <v>195</v>
      </c>
      <c r="T1370" s="18" t="b">
        <v>0</v>
      </c>
      <c r="U1370" s="18" t="s">
        <v>187</v>
      </c>
      <c r="V1370" s="18" t="s">
        <v>40</v>
      </c>
      <c r="W1370" s="18" t="s">
        <v>126</v>
      </c>
      <c r="X1370" s="18" t="s">
        <v>127</v>
      </c>
      <c r="Y1370" s="18">
        <v>1</v>
      </c>
      <c r="Z1370" s="18">
        <v>1308</v>
      </c>
      <c r="AC1370" s="18" t="e">
        <v>#N/A</v>
      </c>
    </row>
    <row r="1371" s="18" customFormat="1" ht="43.5" spans="1:29">
      <c r="A1371" s="18" t="s">
        <v>3083</v>
      </c>
      <c r="B1371" s="25" t="s">
        <v>3083</v>
      </c>
      <c r="C1371" s="26">
        <v>45701</v>
      </c>
      <c r="D1371" s="18" t="s">
        <v>2178</v>
      </c>
      <c r="E1371" s="18" t="str">
        <f t="shared" si="21"/>
        <v>Sagar Traders</v>
      </c>
      <c r="F1371" s="27" t="s">
        <v>2179</v>
      </c>
      <c r="G1371" s="18" t="s">
        <v>182</v>
      </c>
      <c r="H1371" s="18" t="s">
        <v>183</v>
      </c>
      <c r="I1371" s="18" t="s">
        <v>184</v>
      </c>
      <c r="J1371" s="18" t="s">
        <v>2319</v>
      </c>
      <c r="K1371" s="18" t="s">
        <v>56</v>
      </c>
      <c r="L1371" s="18" t="s">
        <v>36</v>
      </c>
      <c r="N1371" s="18">
        <v>6</v>
      </c>
      <c r="O1371" s="18" t="s">
        <v>57</v>
      </c>
      <c r="P1371" s="18" t="s">
        <v>38</v>
      </c>
      <c r="Q1371" s="18" t="s">
        <v>194</v>
      </c>
      <c r="R1371" s="18" t="s">
        <v>59</v>
      </c>
      <c r="S1371" s="18" t="s">
        <v>195</v>
      </c>
      <c r="T1371" s="18" t="b">
        <v>0</v>
      </c>
      <c r="U1371" s="18" t="s">
        <v>187</v>
      </c>
      <c r="V1371" s="18" t="s">
        <v>40</v>
      </c>
      <c r="W1371" s="18" t="s">
        <v>140</v>
      </c>
      <c r="X1371" s="18" t="s">
        <v>141</v>
      </c>
      <c r="Y1371" s="18">
        <v>1</v>
      </c>
      <c r="Z1371" s="18">
        <v>1600</v>
      </c>
      <c r="AA1371" s="31" t="s">
        <v>2918</v>
      </c>
      <c r="AB1371" s="18" t="s">
        <v>963</v>
      </c>
      <c r="AC1371" s="18" t="s">
        <v>582</v>
      </c>
    </row>
    <row r="1372" s="18" customFormat="1" spans="1:29">
      <c r="A1372" s="18" t="s">
        <v>3084</v>
      </c>
      <c r="B1372" s="25" t="s">
        <v>3084</v>
      </c>
      <c r="C1372" s="26">
        <v>45701</v>
      </c>
      <c r="D1372" s="18" t="s">
        <v>3085</v>
      </c>
      <c r="E1372" s="18" t="str">
        <f t="shared" si="21"/>
        <v>Shahida Farooqui (Multi Game Zone) (OTV)</v>
      </c>
      <c r="F1372" s="27" t="s">
        <v>3086</v>
      </c>
      <c r="G1372" s="18" t="s">
        <v>182</v>
      </c>
      <c r="H1372" s="18" t="s">
        <v>183</v>
      </c>
      <c r="I1372" s="18" t="s">
        <v>184</v>
      </c>
      <c r="J1372" s="18" t="s">
        <v>2930</v>
      </c>
      <c r="K1372" s="18" t="s">
        <v>56</v>
      </c>
      <c r="L1372" s="18" t="s">
        <v>36</v>
      </c>
      <c r="N1372" s="18">
        <v>6</v>
      </c>
      <c r="O1372" s="18" t="s">
        <v>88</v>
      </c>
      <c r="P1372" s="18" t="s">
        <v>38</v>
      </c>
      <c r="Q1372" s="18" t="s">
        <v>194</v>
      </c>
      <c r="R1372" s="18" t="s">
        <v>59</v>
      </c>
      <c r="S1372" s="18" t="s">
        <v>195</v>
      </c>
      <c r="T1372" s="18" t="b">
        <v>0</v>
      </c>
      <c r="U1372" s="18" t="s">
        <v>187</v>
      </c>
      <c r="V1372" s="18" t="s">
        <v>40</v>
      </c>
      <c r="W1372" s="18" t="s">
        <v>371</v>
      </c>
      <c r="X1372" s="18" t="s">
        <v>372</v>
      </c>
      <c r="Y1372" s="18">
        <v>1</v>
      </c>
      <c r="Z1372" s="18">
        <v>45000</v>
      </c>
      <c r="AA1372" s="18" t="s">
        <v>3087</v>
      </c>
      <c r="AB1372" s="18" t="s">
        <v>963</v>
      </c>
      <c r="AC1372" s="18" t="s">
        <v>200</v>
      </c>
    </row>
    <row r="1373" s="18" customFormat="1" ht="43.5" spans="1:29">
      <c r="A1373" s="18" t="s">
        <v>3088</v>
      </c>
      <c r="B1373" s="25" t="s">
        <v>3088</v>
      </c>
      <c r="C1373" s="26">
        <v>45701</v>
      </c>
      <c r="D1373" s="18" t="s">
        <v>3089</v>
      </c>
      <c r="E1373" s="18" t="str">
        <f t="shared" si="21"/>
        <v>Mumbai Food Truck Society (Roysten Misquitta)</v>
      </c>
      <c r="F1373" s="27" t="s">
        <v>3090</v>
      </c>
      <c r="G1373" s="18" t="s">
        <v>182</v>
      </c>
      <c r="H1373" s="18" t="s">
        <v>183</v>
      </c>
      <c r="I1373" s="18" t="s">
        <v>184</v>
      </c>
      <c r="J1373" s="18" t="s">
        <v>2930</v>
      </c>
      <c r="K1373" s="18" t="s">
        <v>56</v>
      </c>
      <c r="L1373" s="18" t="s">
        <v>36</v>
      </c>
      <c r="N1373" s="18">
        <v>6</v>
      </c>
      <c r="O1373" s="18" t="s">
        <v>57</v>
      </c>
      <c r="P1373" s="18" t="s">
        <v>38</v>
      </c>
      <c r="Q1373" s="18" t="s">
        <v>194</v>
      </c>
      <c r="R1373" s="18" t="s">
        <v>59</v>
      </c>
      <c r="S1373" s="18" t="s">
        <v>195</v>
      </c>
      <c r="T1373" s="18" t="b">
        <v>0</v>
      </c>
      <c r="U1373" s="18" t="s">
        <v>187</v>
      </c>
      <c r="V1373" s="18" t="s">
        <v>40</v>
      </c>
      <c r="W1373" s="18" t="s">
        <v>233</v>
      </c>
      <c r="X1373" s="18" t="s">
        <v>234</v>
      </c>
      <c r="Y1373" s="18">
        <v>1</v>
      </c>
      <c r="Z1373" s="18">
        <v>66000</v>
      </c>
      <c r="AA1373" s="31" t="s">
        <v>2918</v>
      </c>
      <c r="AB1373" s="18" t="s">
        <v>963</v>
      </c>
      <c r="AC1373" s="18" t="e">
        <v>#N/A</v>
      </c>
    </row>
    <row r="1374" s="20" customFormat="1" spans="1:29">
      <c r="A1374" s="20" t="s">
        <v>3091</v>
      </c>
      <c r="B1374" s="33" t="s">
        <v>3091</v>
      </c>
      <c r="C1374" s="34">
        <v>45701</v>
      </c>
      <c r="D1374" s="20" t="s">
        <v>2163</v>
      </c>
      <c r="E1374" s="20" t="str">
        <f t="shared" si="21"/>
        <v>360 Bright Media</v>
      </c>
      <c r="F1374" s="27" t="s">
        <v>2164</v>
      </c>
      <c r="G1374" s="20" t="s">
        <v>182</v>
      </c>
      <c r="H1374" s="20" t="s">
        <v>183</v>
      </c>
      <c r="I1374" s="20" t="s">
        <v>184</v>
      </c>
      <c r="J1374" s="20" t="s">
        <v>2683</v>
      </c>
      <c r="K1374" s="20" t="s">
        <v>56</v>
      </c>
      <c r="L1374" s="20" t="s">
        <v>36</v>
      </c>
      <c r="N1374" s="20">
        <v>6</v>
      </c>
      <c r="O1374" s="20" t="s">
        <v>57</v>
      </c>
      <c r="P1374" s="20" t="s">
        <v>38</v>
      </c>
      <c r="Q1374" s="20" t="s">
        <v>194</v>
      </c>
      <c r="R1374" s="20" t="s">
        <v>59</v>
      </c>
      <c r="S1374" s="20" t="s">
        <v>195</v>
      </c>
      <c r="T1374" s="20" t="b">
        <v>0</v>
      </c>
      <c r="U1374" s="20" t="s">
        <v>187</v>
      </c>
      <c r="V1374" s="20" t="s">
        <v>40</v>
      </c>
      <c r="W1374" s="20" t="s">
        <v>317</v>
      </c>
      <c r="X1374" s="20" t="s">
        <v>318</v>
      </c>
      <c r="Y1374" s="20">
        <v>1</v>
      </c>
      <c r="Z1374" s="20">
        <v>100000</v>
      </c>
      <c r="AA1374" s="20" t="s">
        <v>2684</v>
      </c>
      <c r="AB1374" s="20" t="e">
        <v>#N/A</v>
      </c>
      <c r="AC1374" s="20" t="s">
        <v>200</v>
      </c>
    </row>
    <row r="1375" s="18" customFormat="1" ht="43.5" spans="1:29">
      <c r="A1375" s="18" t="s">
        <v>3092</v>
      </c>
      <c r="B1375" s="25" t="s">
        <v>3092</v>
      </c>
      <c r="C1375" s="26">
        <v>45701</v>
      </c>
      <c r="D1375" s="18" t="s">
        <v>264</v>
      </c>
      <c r="E1375" s="18" t="str">
        <f t="shared" si="21"/>
        <v>The Indian Performing Right Society Ltd.</v>
      </c>
      <c r="F1375" s="27" t="e">
        <v>#N/A</v>
      </c>
      <c r="G1375" s="18" t="s">
        <v>182</v>
      </c>
      <c r="H1375" s="18" t="s">
        <v>183</v>
      </c>
      <c r="I1375" s="18" t="s">
        <v>184</v>
      </c>
      <c r="J1375" s="18" t="s">
        <v>2277</v>
      </c>
      <c r="K1375" s="18" t="s">
        <v>56</v>
      </c>
      <c r="L1375" s="18" t="s">
        <v>36</v>
      </c>
      <c r="N1375" s="18">
        <v>6</v>
      </c>
      <c r="O1375" s="18" t="s">
        <v>57</v>
      </c>
      <c r="P1375" s="18" t="s">
        <v>38</v>
      </c>
      <c r="Q1375" s="18" t="s">
        <v>194</v>
      </c>
      <c r="R1375" s="18" t="s">
        <v>59</v>
      </c>
      <c r="S1375" s="18" t="s">
        <v>195</v>
      </c>
      <c r="T1375" s="18" t="b">
        <v>0</v>
      </c>
      <c r="U1375" s="18" t="s">
        <v>187</v>
      </c>
      <c r="V1375" s="18" t="s">
        <v>40</v>
      </c>
      <c r="W1375" s="18" t="s">
        <v>256</v>
      </c>
      <c r="X1375" s="18" t="s">
        <v>257</v>
      </c>
      <c r="Y1375" s="18">
        <v>1</v>
      </c>
      <c r="Z1375" s="18">
        <v>75000</v>
      </c>
      <c r="AA1375" s="31" t="s">
        <v>2834</v>
      </c>
      <c r="AB1375" s="18" t="s">
        <v>259</v>
      </c>
      <c r="AC1375" s="18" t="s">
        <v>200</v>
      </c>
    </row>
    <row r="1376" s="18" customFormat="1" ht="43.5" spans="1:29">
      <c r="A1376" s="18" t="s">
        <v>3093</v>
      </c>
      <c r="B1376" s="25" t="s">
        <v>3093</v>
      </c>
      <c r="C1376" s="26">
        <v>45701</v>
      </c>
      <c r="D1376" s="18" t="s">
        <v>2003</v>
      </c>
      <c r="E1376" s="18" t="str">
        <f t="shared" si="21"/>
        <v>Vista Services (Sainath Govind Shirke)</v>
      </c>
      <c r="F1376" s="27" t="s">
        <v>2004</v>
      </c>
      <c r="G1376" s="18" t="s">
        <v>182</v>
      </c>
      <c r="H1376" s="18" t="s">
        <v>183</v>
      </c>
      <c r="I1376" s="18" t="s">
        <v>184</v>
      </c>
      <c r="J1376" s="18" t="s">
        <v>2277</v>
      </c>
      <c r="K1376" s="18" t="s">
        <v>56</v>
      </c>
      <c r="L1376" s="18" t="s">
        <v>36</v>
      </c>
      <c r="N1376" s="18">
        <v>6</v>
      </c>
      <c r="O1376" s="18" t="s">
        <v>57</v>
      </c>
      <c r="P1376" s="18" t="s">
        <v>38</v>
      </c>
      <c r="Q1376" s="18" t="s">
        <v>194</v>
      </c>
      <c r="R1376" s="18" t="s">
        <v>59</v>
      </c>
      <c r="S1376" s="18" t="s">
        <v>195</v>
      </c>
      <c r="T1376" s="18" t="b">
        <v>0</v>
      </c>
      <c r="U1376" s="18" t="s">
        <v>187</v>
      </c>
      <c r="V1376" s="18" t="s">
        <v>40</v>
      </c>
      <c r="W1376" s="18" t="s">
        <v>256</v>
      </c>
      <c r="X1376" s="18" t="s">
        <v>257</v>
      </c>
      <c r="Y1376" s="18">
        <v>1</v>
      </c>
      <c r="Z1376" s="18">
        <v>18000</v>
      </c>
      <c r="AA1376" s="31" t="s">
        <v>2834</v>
      </c>
      <c r="AB1376" s="18" t="s">
        <v>259</v>
      </c>
      <c r="AC1376" s="18" t="s">
        <v>200</v>
      </c>
    </row>
    <row r="1377" s="18" customFormat="1" ht="43.5" spans="1:29">
      <c r="A1377" s="18" t="s">
        <v>3094</v>
      </c>
      <c r="B1377" s="25" t="s">
        <v>3094</v>
      </c>
      <c r="C1377" s="26">
        <v>45701</v>
      </c>
      <c r="D1377" s="18" t="s">
        <v>1811</v>
      </c>
      <c r="E1377" s="18" t="str">
        <f t="shared" si="21"/>
        <v>Fabrile Productions</v>
      </c>
      <c r="F1377" s="27" t="s">
        <v>1812</v>
      </c>
      <c r="G1377" s="18" t="s">
        <v>182</v>
      </c>
      <c r="H1377" s="18" t="s">
        <v>183</v>
      </c>
      <c r="I1377" s="18" t="s">
        <v>184</v>
      </c>
      <c r="J1377" s="18" t="s">
        <v>2707</v>
      </c>
      <c r="K1377" s="18" t="s">
        <v>56</v>
      </c>
      <c r="L1377" s="18" t="s">
        <v>36</v>
      </c>
      <c r="N1377" s="18">
        <v>6</v>
      </c>
      <c r="O1377" s="18" t="s">
        <v>88</v>
      </c>
      <c r="P1377" s="18" t="s">
        <v>38</v>
      </c>
      <c r="Q1377" s="18" t="s">
        <v>194</v>
      </c>
      <c r="R1377" s="18" t="s">
        <v>59</v>
      </c>
      <c r="S1377" s="18" t="s">
        <v>195</v>
      </c>
      <c r="T1377" s="18" t="b">
        <v>0</v>
      </c>
      <c r="U1377" s="18" t="s">
        <v>187</v>
      </c>
      <c r="V1377" s="18" t="s">
        <v>40</v>
      </c>
      <c r="W1377" s="18" t="s">
        <v>151</v>
      </c>
      <c r="X1377" s="18" t="s">
        <v>152</v>
      </c>
      <c r="Y1377" s="18">
        <v>1</v>
      </c>
      <c r="Z1377" s="18">
        <v>500000</v>
      </c>
      <c r="AA1377" s="31" t="s">
        <v>3095</v>
      </c>
      <c r="AB1377" s="18" t="s">
        <v>1978</v>
      </c>
      <c r="AC1377" s="18" t="s">
        <v>200</v>
      </c>
    </row>
    <row r="1378" s="18" customFormat="1" ht="43.5" spans="1:29">
      <c r="A1378" s="18" t="s">
        <v>3096</v>
      </c>
      <c r="B1378" s="25" t="s">
        <v>3096</v>
      </c>
      <c r="C1378" s="26">
        <v>45701</v>
      </c>
      <c r="D1378" s="18" t="s">
        <v>1886</v>
      </c>
      <c r="E1378" s="18" t="str">
        <f t="shared" si="21"/>
        <v>Kalasiddha Creations</v>
      </c>
      <c r="F1378" s="27" t="s">
        <v>1887</v>
      </c>
      <c r="G1378" s="18" t="s">
        <v>182</v>
      </c>
      <c r="H1378" s="18" t="s">
        <v>183</v>
      </c>
      <c r="I1378" s="18" t="s">
        <v>184</v>
      </c>
      <c r="J1378" s="18" t="s">
        <v>2707</v>
      </c>
      <c r="K1378" s="18" t="s">
        <v>56</v>
      </c>
      <c r="L1378" s="18" t="s">
        <v>36</v>
      </c>
      <c r="N1378" s="18">
        <v>6</v>
      </c>
      <c r="O1378" s="18" t="s">
        <v>88</v>
      </c>
      <c r="P1378" s="18" t="s">
        <v>38</v>
      </c>
      <c r="Q1378" s="18" t="s">
        <v>194</v>
      </c>
      <c r="R1378" s="18" t="s">
        <v>59</v>
      </c>
      <c r="S1378" s="18" t="s">
        <v>195</v>
      </c>
      <c r="T1378" s="18" t="b">
        <v>0</v>
      </c>
      <c r="U1378" s="18" t="s">
        <v>187</v>
      </c>
      <c r="V1378" s="18" t="s">
        <v>40</v>
      </c>
      <c r="W1378" s="18" t="s">
        <v>317</v>
      </c>
      <c r="X1378" s="18" t="s">
        <v>318</v>
      </c>
      <c r="Y1378" s="18">
        <v>1</v>
      </c>
      <c r="Z1378" s="18">
        <v>65000</v>
      </c>
      <c r="AA1378" s="31" t="s">
        <v>3095</v>
      </c>
      <c r="AB1378" s="18" t="s">
        <v>1978</v>
      </c>
      <c r="AC1378" s="18" t="s">
        <v>200</v>
      </c>
    </row>
    <row r="1379" s="18" customFormat="1" ht="43.5" spans="1:29">
      <c r="A1379" s="18" t="s">
        <v>3097</v>
      </c>
      <c r="B1379" s="25" t="s">
        <v>3097</v>
      </c>
      <c r="C1379" s="26">
        <v>45701</v>
      </c>
      <c r="D1379" s="18" t="s">
        <v>3098</v>
      </c>
      <c r="E1379" s="18" t="str">
        <f t="shared" si="21"/>
        <v>Melting Mints</v>
      </c>
      <c r="F1379" s="27" t="s">
        <v>3099</v>
      </c>
      <c r="G1379" s="18" t="s">
        <v>182</v>
      </c>
      <c r="H1379" s="18" t="s">
        <v>183</v>
      </c>
      <c r="I1379" s="18" t="s">
        <v>184</v>
      </c>
      <c r="J1379" s="18" t="s">
        <v>2690</v>
      </c>
      <c r="K1379" s="18" t="s">
        <v>56</v>
      </c>
      <c r="L1379" s="18" t="s">
        <v>36</v>
      </c>
      <c r="N1379" s="18">
        <v>6</v>
      </c>
      <c r="O1379" s="18" t="s">
        <v>88</v>
      </c>
      <c r="P1379" s="18" t="s">
        <v>38</v>
      </c>
      <c r="Q1379" s="18" t="s">
        <v>194</v>
      </c>
      <c r="R1379" s="18" t="s">
        <v>59</v>
      </c>
      <c r="S1379" s="18" t="s">
        <v>195</v>
      </c>
      <c r="T1379" s="18" t="b">
        <v>0</v>
      </c>
      <c r="U1379" s="18" t="s">
        <v>187</v>
      </c>
      <c r="V1379" s="18" t="s">
        <v>40</v>
      </c>
      <c r="W1379" s="18" t="s">
        <v>347</v>
      </c>
      <c r="X1379" s="18" t="s">
        <v>348</v>
      </c>
      <c r="Y1379" s="18">
        <v>1</v>
      </c>
      <c r="Z1379" s="18">
        <v>12000</v>
      </c>
      <c r="AA1379" s="31" t="s">
        <v>2834</v>
      </c>
      <c r="AB1379" s="18" t="s">
        <v>259</v>
      </c>
      <c r="AC1379" s="18" t="s">
        <v>200</v>
      </c>
    </row>
    <row r="1380" s="18" customFormat="1" ht="43.5" spans="1:29">
      <c r="A1380" s="18" t="s">
        <v>3100</v>
      </c>
      <c r="B1380" s="25" t="s">
        <v>3100</v>
      </c>
      <c r="C1380" s="26">
        <v>45701</v>
      </c>
      <c r="D1380" s="18" t="s">
        <v>922</v>
      </c>
      <c r="E1380" s="18" t="str">
        <f t="shared" si="21"/>
        <v>Bappa Creation</v>
      </c>
      <c r="F1380" s="27" t="s">
        <v>923</v>
      </c>
      <c r="G1380" s="18" t="s">
        <v>182</v>
      </c>
      <c r="H1380" s="18" t="s">
        <v>183</v>
      </c>
      <c r="I1380" s="18" t="s">
        <v>184</v>
      </c>
      <c r="J1380" s="18" t="s">
        <v>924</v>
      </c>
      <c r="K1380" s="18" t="s">
        <v>56</v>
      </c>
      <c r="L1380" s="18" t="s">
        <v>36</v>
      </c>
      <c r="N1380" s="18">
        <v>6</v>
      </c>
      <c r="O1380" s="18" t="s">
        <v>57</v>
      </c>
      <c r="P1380" s="18" t="s">
        <v>38</v>
      </c>
      <c r="Q1380" s="18" t="s">
        <v>194</v>
      </c>
      <c r="R1380" s="18" t="s">
        <v>59</v>
      </c>
      <c r="S1380" s="18" t="s">
        <v>195</v>
      </c>
      <c r="T1380" s="18" t="b">
        <v>0</v>
      </c>
      <c r="U1380" s="18" t="s">
        <v>187</v>
      </c>
      <c r="V1380" s="18" t="s">
        <v>40</v>
      </c>
      <c r="W1380" s="18" t="s">
        <v>140</v>
      </c>
      <c r="X1380" s="18" t="s">
        <v>141</v>
      </c>
      <c r="Y1380" s="18">
        <v>1</v>
      </c>
      <c r="Z1380" s="18">
        <v>72552</v>
      </c>
      <c r="AA1380" s="31" t="s">
        <v>2834</v>
      </c>
      <c r="AB1380" s="18" t="s">
        <v>259</v>
      </c>
      <c r="AC1380" s="18" t="s">
        <v>200</v>
      </c>
    </row>
    <row r="1381" s="18" customFormat="1" ht="43.5" spans="1:29">
      <c r="A1381" s="18" t="s">
        <v>3101</v>
      </c>
      <c r="B1381" s="25" t="s">
        <v>3101</v>
      </c>
      <c r="C1381" s="26">
        <v>45701</v>
      </c>
      <c r="D1381" s="18" t="s">
        <v>1960</v>
      </c>
      <c r="E1381" s="18" t="str">
        <f t="shared" si="21"/>
        <v>Shree Vision</v>
      </c>
      <c r="F1381" s="27" t="s">
        <v>1961</v>
      </c>
      <c r="G1381" s="18" t="s">
        <v>182</v>
      </c>
      <c r="H1381" s="18" t="s">
        <v>183</v>
      </c>
      <c r="I1381" s="18" t="s">
        <v>184</v>
      </c>
      <c r="J1381" s="18" t="s">
        <v>2683</v>
      </c>
      <c r="K1381" s="18" t="s">
        <v>56</v>
      </c>
      <c r="L1381" s="18" t="s">
        <v>36</v>
      </c>
      <c r="N1381" s="18">
        <v>6</v>
      </c>
      <c r="O1381" s="18" t="s">
        <v>88</v>
      </c>
      <c r="P1381" s="18" t="s">
        <v>38</v>
      </c>
      <c r="Q1381" s="18" t="s">
        <v>194</v>
      </c>
      <c r="R1381" s="18" t="s">
        <v>59</v>
      </c>
      <c r="S1381" s="18" t="s">
        <v>195</v>
      </c>
      <c r="T1381" s="18" t="b">
        <v>0</v>
      </c>
      <c r="U1381" s="18" t="s">
        <v>187</v>
      </c>
      <c r="V1381" s="18" t="s">
        <v>40</v>
      </c>
      <c r="W1381" s="18" t="s">
        <v>990</v>
      </c>
      <c r="X1381" s="18" t="s">
        <v>991</v>
      </c>
      <c r="Y1381" s="18">
        <v>1</v>
      </c>
      <c r="Z1381" s="18">
        <v>2400</v>
      </c>
      <c r="AA1381" s="31" t="s">
        <v>3102</v>
      </c>
      <c r="AB1381" s="18" t="s">
        <v>969</v>
      </c>
      <c r="AC1381" s="18" t="s">
        <v>200</v>
      </c>
    </row>
    <row r="1382" s="18" customFormat="1" ht="43.5" spans="1:29">
      <c r="A1382" s="18" t="s">
        <v>3103</v>
      </c>
      <c r="B1382" s="25" t="s">
        <v>3103</v>
      </c>
      <c r="C1382" s="26">
        <v>45701</v>
      </c>
      <c r="D1382" s="18" t="s">
        <v>1066</v>
      </c>
      <c r="E1382" s="18" t="str">
        <f t="shared" si="21"/>
        <v>Events Power</v>
      </c>
      <c r="F1382" s="27" t="s">
        <v>1067</v>
      </c>
      <c r="G1382" s="18" t="s">
        <v>182</v>
      </c>
      <c r="H1382" s="18" t="s">
        <v>183</v>
      </c>
      <c r="I1382" s="18" t="s">
        <v>184</v>
      </c>
      <c r="J1382" s="18" t="s">
        <v>2683</v>
      </c>
      <c r="K1382" s="18" t="s">
        <v>56</v>
      </c>
      <c r="L1382" s="18" t="s">
        <v>36</v>
      </c>
      <c r="N1382" s="18">
        <v>6</v>
      </c>
      <c r="O1382" s="18" t="s">
        <v>88</v>
      </c>
      <c r="P1382" s="18" t="s">
        <v>38</v>
      </c>
      <c r="Q1382" s="18" t="s">
        <v>194</v>
      </c>
      <c r="R1382" s="18" t="s">
        <v>59</v>
      </c>
      <c r="S1382" s="18" t="s">
        <v>195</v>
      </c>
      <c r="T1382" s="18" t="b">
        <v>0</v>
      </c>
      <c r="U1382" s="18" t="s">
        <v>187</v>
      </c>
      <c r="V1382" s="18" t="s">
        <v>40</v>
      </c>
      <c r="W1382" s="18" t="s">
        <v>371</v>
      </c>
      <c r="X1382" s="18" t="s">
        <v>372</v>
      </c>
      <c r="Y1382" s="18">
        <v>1</v>
      </c>
      <c r="Z1382" s="18">
        <v>98875</v>
      </c>
      <c r="AA1382" s="31" t="s">
        <v>3102</v>
      </c>
      <c r="AB1382" s="18" t="s">
        <v>969</v>
      </c>
      <c r="AC1382" s="18" t="s">
        <v>200</v>
      </c>
    </row>
    <row r="1383" s="18" customFormat="1" spans="1:29">
      <c r="A1383" s="18" t="s">
        <v>3104</v>
      </c>
      <c r="B1383" s="25" t="s">
        <v>3104</v>
      </c>
      <c r="C1383" s="26">
        <v>45701</v>
      </c>
      <c r="D1383" s="18" t="s">
        <v>3105</v>
      </c>
      <c r="E1383" s="18" t="str">
        <f t="shared" si="21"/>
        <v>Diya Event and Promotions</v>
      </c>
      <c r="F1383" s="27" t="s">
        <v>3106</v>
      </c>
      <c r="G1383" s="18" t="s">
        <v>182</v>
      </c>
      <c r="H1383" s="18" t="s">
        <v>183</v>
      </c>
      <c r="I1383" s="18" t="s">
        <v>54</v>
      </c>
      <c r="J1383" s="18" t="s">
        <v>275</v>
      </c>
      <c r="K1383" s="18" t="s">
        <v>56</v>
      </c>
      <c r="L1383" s="18" t="s">
        <v>36</v>
      </c>
      <c r="N1383" s="18">
        <v>6</v>
      </c>
      <c r="O1383" s="18" t="s">
        <v>88</v>
      </c>
      <c r="P1383" s="18" t="s">
        <v>38</v>
      </c>
      <c r="Q1383" s="18" t="s">
        <v>58</v>
      </c>
      <c r="R1383" s="18" t="s">
        <v>59</v>
      </c>
      <c r="S1383" s="18" t="s">
        <v>60</v>
      </c>
      <c r="T1383" s="18" t="b">
        <v>0</v>
      </c>
      <c r="U1383" s="18" t="s">
        <v>187</v>
      </c>
      <c r="V1383" s="18" t="s">
        <v>40</v>
      </c>
      <c r="W1383" s="18" t="s">
        <v>317</v>
      </c>
      <c r="X1383" s="18" t="s">
        <v>318</v>
      </c>
      <c r="Y1383" s="18">
        <v>1</v>
      </c>
      <c r="Z1383" s="18">
        <v>20000</v>
      </c>
      <c r="AA1383" s="18" t="s">
        <v>299</v>
      </c>
      <c r="AB1383" s="18" t="s">
        <v>295</v>
      </c>
      <c r="AC1383" s="18" t="s">
        <v>216</v>
      </c>
    </row>
    <row r="1384" s="18" customFormat="1" ht="43.5" spans="1:29">
      <c r="A1384" s="18" t="s">
        <v>3107</v>
      </c>
      <c r="B1384" s="25" t="s">
        <v>3107</v>
      </c>
      <c r="C1384" s="26">
        <v>45701</v>
      </c>
      <c r="D1384" s="18" t="s">
        <v>1279</v>
      </c>
      <c r="E1384" s="18" t="str">
        <f t="shared" si="21"/>
        <v>Pro MFG Media Pvt Ltd</v>
      </c>
      <c r="F1384" s="27" t="s">
        <v>1280</v>
      </c>
      <c r="G1384" s="18" t="s">
        <v>182</v>
      </c>
      <c r="H1384" s="18" t="s">
        <v>183</v>
      </c>
      <c r="I1384" s="18" t="s">
        <v>184</v>
      </c>
      <c r="J1384" s="18" t="s">
        <v>3108</v>
      </c>
      <c r="K1384" s="18" t="s">
        <v>56</v>
      </c>
      <c r="L1384" s="18" t="s">
        <v>36</v>
      </c>
      <c r="N1384" s="18">
        <v>6</v>
      </c>
      <c r="O1384" s="18" t="s">
        <v>88</v>
      </c>
      <c r="P1384" s="18" t="s">
        <v>38</v>
      </c>
      <c r="Q1384" s="18" t="s">
        <v>194</v>
      </c>
      <c r="R1384" s="18" t="s">
        <v>59</v>
      </c>
      <c r="S1384" s="18" t="s">
        <v>195</v>
      </c>
      <c r="T1384" s="18" t="b">
        <v>0</v>
      </c>
      <c r="U1384" s="18" t="s">
        <v>187</v>
      </c>
      <c r="V1384" s="18" t="s">
        <v>40</v>
      </c>
      <c r="W1384" s="18" t="s">
        <v>317</v>
      </c>
      <c r="X1384" s="18" t="s">
        <v>318</v>
      </c>
      <c r="Y1384" s="18">
        <v>1</v>
      </c>
      <c r="Z1384" s="18">
        <v>1200000</v>
      </c>
      <c r="AA1384" s="31" t="s">
        <v>3109</v>
      </c>
      <c r="AB1384" s="18" t="s">
        <v>730</v>
      </c>
      <c r="AC1384" s="18" t="s">
        <v>200</v>
      </c>
    </row>
    <row r="1385" s="18" customFormat="1" ht="43.5" spans="1:29">
      <c r="A1385" s="18" t="s">
        <v>3110</v>
      </c>
      <c r="B1385" s="25" t="s">
        <v>3110</v>
      </c>
      <c r="C1385" s="26">
        <v>45701</v>
      </c>
      <c r="D1385" s="18" t="s">
        <v>3111</v>
      </c>
      <c r="E1385" s="18" t="str">
        <f t="shared" si="21"/>
        <v>Magical Instincts</v>
      </c>
      <c r="F1385" s="27" t="s">
        <v>3112</v>
      </c>
      <c r="G1385" s="18" t="s">
        <v>182</v>
      </c>
      <c r="H1385" s="18" t="s">
        <v>183</v>
      </c>
      <c r="I1385" s="18" t="s">
        <v>184</v>
      </c>
      <c r="J1385" s="18" t="s">
        <v>1197</v>
      </c>
      <c r="K1385" s="18" t="s">
        <v>56</v>
      </c>
      <c r="L1385" s="18" t="s">
        <v>36</v>
      </c>
      <c r="N1385" s="18">
        <v>6</v>
      </c>
      <c r="O1385" s="18" t="s">
        <v>57</v>
      </c>
      <c r="P1385" s="18" t="s">
        <v>38</v>
      </c>
      <c r="Q1385" s="18" t="s">
        <v>194</v>
      </c>
      <c r="R1385" s="18" t="s">
        <v>59</v>
      </c>
      <c r="S1385" s="18" t="s">
        <v>195</v>
      </c>
      <c r="T1385" s="18" t="b">
        <v>0</v>
      </c>
      <c r="U1385" s="18" t="s">
        <v>187</v>
      </c>
      <c r="V1385" s="18" t="s">
        <v>40</v>
      </c>
      <c r="W1385" s="18" t="s">
        <v>250</v>
      </c>
      <c r="X1385" s="18" t="s">
        <v>251</v>
      </c>
      <c r="Y1385" s="18">
        <v>1</v>
      </c>
      <c r="Z1385" s="18">
        <v>298884</v>
      </c>
      <c r="AA1385" s="31" t="s">
        <v>2951</v>
      </c>
      <c r="AB1385" s="18" t="s">
        <v>1228</v>
      </c>
      <c r="AC1385" s="18" t="s">
        <v>216</v>
      </c>
    </row>
    <row r="1386" s="18" customFormat="1" spans="1:29">
      <c r="A1386" s="18" t="s">
        <v>3113</v>
      </c>
      <c r="B1386" s="25" t="s">
        <v>3113</v>
      </c>
      <c r="C1386" s="26">
        <v>45701</v>
      </c>
      <c r="D1386" s="18" t="s">
        <v>264</v>
      </c>
      <c r="E1386" s="18" t="str">
        <f t="shared" si="21"/>
        <v>The Indian Performing Right Society Ltd.</v>
      </c>
      <c r="F1386" s="27" t="e">
        <v>#N/A</v>
      </c>
      <c r="G1386" s="18" t="s">
        <v>182</v>
      </c>
      <c r="H1386" s="18" t="s">
        <v>183</v>
      </c>
      <c r="I1386" s="18" t="s">
        <v>184</v>
      </c>
      <c r="J1386" s="18" t="s">
        <v>3114</v>
      </c>
      <c r="K1386" s="18" t="s">
        <v>56</v>
      </c>
      <c r="L1386" s="18" t="s">
        <v>36</v>
      </c>
      <c r="N1386" s="18">
        <v>6</v>
      </c>
      <c r="O1386" s="18" t="s">
        <v>57</v>
      </c>
      <c r="P1386" s="18" t="s">
        <v>38</v>
      </c>
      <c r="Q1386" s="18" t="s">
        <v>194</v>
      </c>
      <c r="R1386" s="18" t="s">
        <v>59</v>
      </c>
      <c r="S1386" s="18" t="s">
        <v>195</v>
      </c>
      <c r="T1386" s="18" t="b">
        <v>0</v>
      </c>
      <c r="U1386" s="18" t="s">
        <v>187</v>
      </c>
      <c r="V1386" s="18" t="s">
        <v>40</v>
      </c>
      <c r="W1386" s="18" t="s">
        <v>256</v>
      </c>
      <c r="X1386" s="18" t="s">
        <v>257</v>
      </c>
      <c r="Y1386" s="18">
        <v>1</v>
      </c>
      <c r="Z1386" s="18">
        <v>30000</v>
      </c>
      <c r="AA1386" s="18" t="s">
        <v>258</v>
      </c>
      <c r="AB1386" s="18" t="s">
        <v>259</v>
      </c>
      <c r="AC1386" s="18" t="s">
        <v>200</v>
      </c>
    </row>
    <row r="1387" s="18" customFormat="1" spans="1:29">
      <c r="A1387" s="18" t="s">
        <v>3115</v>
      </c>
      <c r="B1387" s="25" t="s">
        <v>3115</v>
      </c>
      <c r="C1387" s="26">
        <v>45701</v>
      </c>
      <c r="D1387" s="18" t="s">
        <v>255</v>
      </c>
      <c r="E1387" s="18" t="str">
        <f t="shared" si="21"/>
        <v>Phonographic Performance Limited</v>
      </c>
      <c r="F1387" s="27" t="e">
        <v>#N/A</v>
      </c>
      <c r="G1387" s="18" t="s">
        <v>182</v>
      </c>
      <c r="H1387" s="18" t="s">
        <v>183</v>
      </c>
      <c r="I1387" s="18" t="s">
        <v>184</v>
      </c>
      <c r="J1387" s="18" t="s">
        <v>3114</v>
      </c>
      <c r="K1387" s="18" t="s">
        <v>56</v>
      </c>
      <c r="L1387" s="18" t="s">
        <v>36</v>
      </c>
      <c r="N1387" s="18">
        <v>6</v>
      </c>
      <c r="O1387" s="18" t="s">
        <v>88</v>
      </c>
      <c r="P1387" s="18" t="s">
        <v>38</v>
      </c>
      <c r="Q1387" s="18" t="s">
        <v>194</v>
      </c>
      <c r="R1387" s="18" t="s">
        <v>59</v>
      </c>
      <c r="S1387" s="18" t="s">
        <v>195</v>
      </c>
      <c r="T1387" s="18" t="b">
        <v>0</v>
      </c>
      <c r="U1387" s="18" t="s">
        <v>187</v>
      </c>
      <c r="V1387" s="18" t="s">
        <v>40</v>
      </c>
      <c r="W1387" s="18" t="s">
        <v>256</v>
      </c>
      <c r="X1387" s="18" t="s">
        <v>257</v>
      </c>
      <c r="Y1387" s="18">
        <v>1</v>
      </c>
      <c r="Z1387" s="18">
        <v>50875</v>
      </c>
      <c r="AA1387" s="18" t="s">
        <v>258</v>
      </c>
      <c r="AB1387" s="18" t="s">
        <v>259</v>
      </c>
      <c r="AC1387" s="18" t="s">
        <v>200</v>
      </c>
    </row>
    <row r="1388" s="18" customFormat="1" spans="1:29">
      <c r="A1388" s="18" t="s">
        <v>3116</v>
      </c>
      <c r="B1388" s="25" t="s">
        <v>3116</v>
      </c>
      <c r="C1388" s="26">
        <v>45701</v>
      </c>
      <c r="D1388" s="18" t="s">
        <v>261</v>
      </c>
      <c r="E1388" s="18" t="str">
        <f t="shared" si="21"/>
        <v>Novex Communications Pvt. Ltd.</v>
      </c>
      <c r="F1388" s="27" t="e">
        <v>#N/A</v>
      </c>
      <c r="G1388" s="18" t="s">
        <v>182</v>
      </c>
      <c r="H1388" s="18" t="s">
        <v>183</v>
      </c>
      <c r="I1388" s="18" t="s">
        <v>184</v>
      </c>
      <c r="J1388" s="18" t="s">
        <v>3114</v>
      </c>
      <c r="K1388" s="18" t="s">
        <v>56</v>
      </c>
      <c r="L1388" s="18" t="s">
        <v>36</v>
      </c>
      <c r="N1388" s="18">
        <v>6</v>
      </c>
      <c r="O1388" s="18" t="s">
        <v>57</v>
      </c>
      <c r="P1388" s="18" t="s">
        <v>38</v>
      </c>
      <c r="Q1388" s="18" t="s">
        <v>194</v>
      </c>
      <c r="R1388" s="18" t="s">
        <v>59</v>
      </c>
      <c r="S1388" s="18" t="s">
        <v>195</v>
      </c>
      <c r="T1388" s="18" t="b">
        <v>0</v>
      </c>
      <c r="U1388" s="18" t="s">
        <v>187</v>
      </c>
      <c r="V1388" s="18" t="s">
        <v>40</v>
      </c>
      <c r="W1388" s="18" t="s">
        <v>256</v>
      </c>
      <c r="X1388" s="18" t="s">
        <v>257</v>
      </c>
      <c r="Y1388" s="18">
        <v>1</v>
      </c>
      <c r="Z1388" s="18">
        <v>46500</v>
      </c>
      <c r="AA1388" s="18" t="s">
        <v>258</v>
      </c>
      <c r="AB1388" s="18" t="s">
        <v>259</v>
      </c>
      <c r="AC1388" s="18" t="s">
        <v>200</v>
      </c>
    </row>
    <row r="1389" s="18" customFormat="1" ht="43.5" spans="1:29">
      <c r="A1389" s="18" t="s">
        <v>3117</v>
      </c>
      <c r="B1389" s="25" t="s">
        <v>3117</v>
      </c>
      <c r="C1389" s="26">
        <v>45702</v>
      </c>
      <c r="D1389" s="18" t="s">
        <v>3118</v>
      </c>
      <c r="E1389" s="18" t="str">
        <f t="shared" si="21"/>
        <v>Idesign Awards &amp; Trophies Pvt Ltd</v>
      </c>
      <c r="F1389" s="27" t="s">
        <v>3119</v>
      </c>
      <c r="G1389" s="18" t="s">
        <v>32</v>
      </c>
      <c r="H1389" s="18" t="s">
        <v>33</v>
      </c>
      <c r="I1389" s="18" t="s">
        <v>184</v>
      </c>
      <c r="J1389" s="18" t="s">
        <v>2345</v>
      </c>
      <c r="K1389" s="18" t="s">
        <v>56</v>
      </c>
      <c r="L1389" s="18" t="s">
        <v>36</v>
      </c>
      <c r="N1389" s="18">
        <v>6</v>
      </c>
      <c r="O1389" s="18" t="s">
        <v>57</v>
      </c>
      <c r="P1389" s="18" t="s">
        <v>38</v>
      </c>
      <c r="Q1389" s="18" t="s">
        <v>117</v>
      </c>
      <c r="R1389" s="18" t="s">
        <v>59</v>
      </c>
      <c r="S1389" s="18" t="s">
        <v>186</v>
      </c>
      <c r="T1389" s="18" t="b">
        <v>1</v>
      </c>
      <c r="U1389" s="18" t="s">
        <v>39</v>
      </c>
      <c r="V1389" s="18" t="s">
        <v>40</v>
      </c>
      <c r="W1389" s="18" t="s">
        <v>140</v>
      </c>
      <c r="X1389" s="18" t="s">
        <v>141</v>
      </c>
      <c r="Y1389" s="18">
        <v>1</v>
      </c>
      <c r="Z1389" s="18">
        <v>49000</v>
      </c>
      <c r="AA1389" s="31" t="s">
        <v>2985</v>
      </c>
      <c r="AB1389" s="18" t="s">
        <v>514</v>
      </c>
      <c r="AC1389" s="18" t="s">
        <v>43</v>
      </c>
    </row>
    <row r="1390" s="18" customFormat="1" ht="43.5" spans="1:29">
      <c r="A1390" s="18" t="s">
        <v>3120</v>
      </c>
      <c r="B1390" s="25" t="s">
        <v>3120</v>
      </c>
      <c r="C1390" s="26">
        <v>45702</v>
      </c>
      <c r="D1390" s="18" t="s">
        <v>3121</v>
      </c>
      <c r="E1390" s="18" t="str">
        <f t="shared" si="21"/>
        <v>The Uniq Co (Meghana Bhat)</v>
      </c>
      <c r="F1390" s="27" t="s">
        <v>3122</v>
      </c>
      <c r="G1390" s="18" t="s">
        <v>32</v>
      </c>
      <c r="H1390" s="18" t="s">
        <v>33</v>
      </c>
      <c r="I1390" s="18" t="s">
        <v>184</v>
      </c>
      <c r="J1390" s="18" t="s">
        <v>3123</v>
      </c>
      <c r="K1390" s="18" t="s">
        <v>56</v>
      </c>
      <c r="L1390" s="18" t="s">
        <v>36</v>
      </c>
      <c r="N1390" s="18">
        <v>6</v>
      </c>
      <c r="O1390" s="18" t="s">
        <v>57</v>
      </c>
      <c r="P1390" s="18" t="s">
        <v>38</v>
      </c>
      <c r="Q1390" s="18" t="s">
        <v>194</v>
      </c>
      <c r="R1390" s="18" t="s">
        <v>59</v>
      </c>
      <c r="S1390" s="18" t="s">
        <v>195</v>
      </c>
      <c r="T1390" s="18" t="b">
        <v>1</v>
      </c>
      <c r="U1390" s="18" t="s">
        <v>39</v>
      </c>
      <c r="V1390" s="18" t="s">
        <v>40</v>
      </c>
      <c r="W1390" s="18" t="s">
        <v>151</v>
      </c>
      <c r="X1390" s="18" t="s">
        <v>152</v>
      </c>
      <c r="Y1390" s="18">
        <v>1</v>
      </c>
      <c r="Z1390" s="18">
        <v>1001000</v>
      </c>
      <c r="AA1390" s="31" t="s">
        <v>3124</v>
      </c>
      <c r="AB1390" s="18" t="s">
        <v>570</v>
      </c>
      <c r="AC1390" s="18" t="e">
        <v>#N/A</v>
      </c>
    </row>
    <row r="1391" s="18" customFormat="1" spans="1:29">
      <c r="A1391" s="18" t="s">
        <v>3125</v>
      </c>
      <c r="B1391" s="25" t="s">
        <v>3125</v>
      </c>
      <c r="C1391" s="26">
        <v>45702</v>
      </c>
      <c r="D1391" s="18" t="s">
        <v>835</v>
      </c>
      <c r="E1391" s="18" t="str">
        <f t="shared" si="21"/>
        <v>Sri Venkateshwara Enterprises</v>
      </c>
      <c r="F1391" s="27" t="s">
        <v>836</v>
      </c>
      <c r="G1391" s="18" t="s">
        <v>32</v>
      </c>
      <c r="H1391" s="18" t="s">
        <v>33</v>
      </c>
      <c r="I1391" s="18" t="s">
        <v>34</v>
      </c>
      <c r="K1391" s="18" t="s">
        <v>35</v>
      </c>
      <c r="L1391" s="18" t="s">
        <v>36</v>
      </c>
      <c r="N1391" s="18">
        <v>6</v>
      </c>
      <c r="O1391" s="18" t="s">
        <v>57</v>
      </c>
      <c r="P1391" s="18" t="s">
        <v>38</v>
      </c>
      <c r="T1391" s="18" t="b">
        <v>1</v>
      </c>
      <c r="U1391" s="18" t="s">
        <v>39</v>
      </c>
      <c r="V1391" s="18" t="s">
        <v>40</v>
      </c>
      <c r="W1391" s="18" t="s">
        <v>837</v>
      </c>
      <c r="X1391" s="18" t="s">
        <v>205</v>
      </c>
      <c r="Y1391" s="18">
        <v>1</v>
      </c>
      <c r="Z1391" s="18">
        <v>3118.5</v>
      </c>
      <c r="AA1391" s="18" t="s">
        <v>71</v>
      </c>
      <c r="AB1391" s="18" t="s">
        <v>72</v>
      </c>
      <c r="AC1391" s="18" t="s">
        <v>43</v>
      </c>
    </row>
    <row r="1392" s="18" customFormat="1" spans="1:29">
      <c r="A1392" s="18" t="s">
        <v>3126</v>
      </c>
      <c r="B1392" s="25" t="s">
        <v>3126</v>
      </c>
      <c r="C1392" s="26">
        <v>45702</v>
      </c>
      <c r="D1392" s="18" t="s">
        <v>1135</v>
      </c>
      <c r="E1392" s="18" t="str">
        <f t="shared" si="21"/>
        <v>Megha Mittal </v>
      </c>
      <c r="F1392" s="27" t="e">
        <v>#N/A</v>
      </c>
      <c r="G1392" s="18" t="s">
        <v>32</v>
      </c>
      <c r="H1392" s="18" t="s">
        <v>33</v>
      </c>
      <c r="I1392" s="18" t="s">
        <v>34</v>
      </c>
      <c r="K1392" s="18" t="s">
        <v>35</v>
      </c>
      <c r="L1392" s="18" t="s">
        <v>36</v>
      </c>
      <c r="N1392" s="18">
        <v>6</v>
      </c>
      <c r="O1392" s="18" t="s">
        <v>93</v>
      </c>
      <c r="P1392" s="18" t="s">
        <v>38</v>
      </c>
      <c r="T1392" s="18" t="b">
        <v>1</v>
      </c>
      <c r="U1392" s="18" t="s">
        <v>39</v>
      </c>
      <c r="V1392" s="18" t="s">
        <v>40</v>
      </c>
      <c r="W1392" s="18" t="s">
        <v>134</v>
      </c>
      <c r="X1392" s="18" t="s">
        <v>135</v>
      </c>
      <c r="Y1392" s="18">
        <v>1</v>
      </c>
      <c r="Z1392" s="18">
        <v>5022</v>
      </c>
      <c r="AA1392" s="18" t="s">
        <v>334</v>
      </c>
      <c r="AB1392" s="18" t="s">
        <v>335</v>
      </c>
      <c r="AC1392" s="18" t="e">
        <v>#N/A</v>
      </c>
    </row>
    <row r="1393" s="18" customFormat="1" spans="1:29">
      <c r="A1393" s="18" t="s">
        <v>3127</v>
      </c>
      <c r="B1393" s="25" t="s">
        <v>3127</v>
      </c>
      <c r="C1393" s="26">
        <v>45702</v>
      </c>
      <c r="D1393" s="18" t="s">
        <v>284</v>
      </c>
      <c r="E1393" s="18" t="str">
        <f t="shared" si="21"/>
        <v>Abdul Rehman </v>
      </c>
      <c r="F1393" s="27" t="e">
        <v>#N/A</v>
      </c>
      <c r="G1393" s="18" t="s">
        <v>32</v>
      </c>
      <c r="H1393" s="18" t="s">
        <v>33</v>
      </c>
      <c r="I1393" s="18" t="s">
        <v>133</v>
      </c>
      <c r="J1393" s="18" t="s">
        <v>240</v>
      </c>
      <c r="K1393" s="18" t="s">
        <v>56</v>
      </c>
      <c r="L1393" s="18" t="s">
        <v>36</v>
      </c>
      <c r="N1393" s="18">
        <v>6</v>
      </c>
      <c r="O1393" s="18" t="s">
        <v>93</v>
      </c>
      <c r="P1393" s="18" t="s">
        <v>38</v>
      </c>
      <c r="Q1393" s="18" t="s">
        <v>58</v>
      </c>
      <c r="R1393" s="18" t="s">
        <v>59</v>
      </c>
      <c r="S1393" s="18" t="s">
        <v>60</v>
      </c>
      <c r="T1393" s="18" t="b">
        <v>1</v>
      </c>
      <c r="U1393" s="18" t="s">
        <v>39</v>
      </c>
      <c r="V1393" s="18" t="s">
        <v>40</v>
      </c>
      <c r="W1393" s="18" t="s">
        <v>1055</v>
      </c>
      <c r="X1393" s="18" t="s">
        <v>1056</v>
      </c>
      <c r="Y1393" s="18">
        <v>1</v>
      </c>
      <c r="Z1393" s="18">
        <v>6500</v>
      </c>
      <c r="AA1393" s="18" t="s">
        <v>241</v>
      </c>
      <c r="AB1393" s="18" t="s">
        <v>242</v>
      </c>
      <c r="AC1393" s="18" t="e">
        <v>#N/A</v>
      </c>
    </row>
    <row r="1394" s="18" customFormat="1" spans="1:29">
      <c r="A1394" s="18" t="s">
        <v>3128</v>
      </c>
      <c r="B1394" s="25" t="s">
        <v>3128</v>
      </c>
      <c r="C1394" s="26">
        <v>45702</v>
      </c>
      <c r="D1394" s="18" t="s">
        <v>1133</v>
      </c>
      <c r="E1394" s="18" t="str">
        <f t="shared" si="21"/>
        <v>Anurama V  </v>
      </c>
      <c r="F1394" s="27" t="e">
        <v>#N/A</v>
      </c>
      <c r="G1394" s="18" t="s">
        <v>32</v>
      </c>
      <c r="H1394" s="18" t="s">
        <v>33</v>
      </c>
      <c r="I1394" s="18" t="s">
        <v>133</v>
      </c>
      <c r="K1394" s="18" t="s">
        <v>35</v>
      </c>
      <c r="L1394" s="18" t="s">
        <v>36</v>
      </c>
      <c r="N1394" s="18">
        <v>6</v>
      </c>
      <c r="O1394" s="18" t="s">
        <v>93</v>
      </c>
      <c r="P1394" s="18" t="s">
        <v>38</v>
      </c>
      <c r="T1394" s="18" t="b">
        <v>1</v>
      </c>
      <c r="U1394" s="18" t="s">
        <v>39</v>
      </c>
      <c r="V1394" s="18" t="s">
        <v>40</v>
      </c>
      <c r="W1394" s="18" t="s">
        <v>134</v>
      </c>
      <c r="X1394" s="18" t="s">
        <v>135</v>
      </c>
      <c r="Y1394" s="18">
        <v>1</v>
      </c>
      <c r="Z1394" s="18">
        <v>2824</v>
      </c>
      <c r="AA1394" s="18" t="s">
        <v>334</v>
      </c>
      <c r="AB1394" s="18" t="s">
        <v>335</v>
      </c>
      <c r="AC1394" s="18" t="e">
        <v>#N/A</v>
      </c>
    </row>
    <row r="1395" s="18" customFormat="1" ht="43.5" spans="1:29">
      <c r="A1395" s="18" t="s">
        <v>3129</v>
      </c>
      <c r="B1395" s="25" t="s">
        <v>3129</v>
      </c>
      <c r="C1395" s="26">
        <v>45702</v>
      </c>
      <c r="D1395" s="18" t="s">
        <v>3130</v>
      </c>
      <c r="E1395" s="18" t="str">
        <f t="shared" si="21"/>
        <v>M.M.Blossoms</v>
      </c>
      <c r="F1395" s="27" t="e">
        <v>#N/A</v>
      </c>
      <c r="G1395" s="18" t="s">
        <v>99</v>
      </c>
      <c r="H1395" s="18" t="s">
        <v>100</v>
      </c>
      <c r="I1395" s="18" t="s">
        <v>184</v>
      </c>
      <c r="J1395" s="18" t="s">
        <v>2345</v>
      </c>
      <c r="K1395" s="18" t="s">
        <v>56</v>
      </c>
      <c r="L1395" s="18" t="s">
        <v>36</v>
      </c>
      <c r="N1395" s="18">
        <v>6</v>
      </c>
      <c r="O1395" s="18" t="s">
        <v>57</v>
      </c>
      <c r="P1395" s="18" t="s">
        <v>38</v>
      </c>
      <c r="Q1395" s="18" t="s">
        <v>117</v>
      </c>
      <c r="R1395" s="18" t="s">
        <v>59</v>
      </c>
      <c r="S1395" s="18" t="s">
        <v>186</v>
      </c>
      <c r="T1395" s="18" t="b">
        <v>1</v>
      </c>
      <c r="U1395" s="18" t="s">
        <v>101</v>
      </c>
      <c r="V1395" s="18" t="s">
        <v>40</v>
      </c>
      <c r="W1395" s="18" t="s">
        <v>151</v>
      </c>
      <c r="X1395" s="18" t="s">
        <v>152</v>
      </c>
      <c r="Y1395" s="18">
        <v>1</v>
      </c>
      <c r="Z1395" s="18">
        <v>25000</v>
      </c>
      <c r="AA1395" s="31" t="s">
        <v>2985</v>
      </c>
      <c r="AB1395" s="18" t="s">
        <v>514</v>
      </c>
      <c r="AC1395" s="18" t="s">
        <v>111</v>
      </c>
    </row>
    <row r="1396" s="18" customFormat="1" ht="43.5" spans="1:29">
      <c r="A1396" s="18" t="s">
        <v>3131</v>
      </c>
      <c r="B1396" s="25" t="s">
        <v>3131</v>
      </c>
      <c r="C1396" s="26">
        <v>45702</v>
      </c>
      <c r="D1396" s="18" t="s">
        <v>3132</v>
      </c>
      <c r="E1396" s="18" t="str">
        <f t="shared" si="21"/>
        <v>Bilimbe Digital</v>
      </c>
      <c r="F1396" s="27" t="s">
        <v>3133</v>
      </c>
      <c r="G1396" s="18" t="s">
        <v>99</v>
      </c>
      <c r="H1396" s="18" t="s">
        <v>100</v>
      </c>
      <c r="I1396" s="18" t="s">
        <v>184</v>
      </c>
      <c r="J1396" s="18" t="s">
        <v>2345</v>
      </c>
      <c r="K1396" s="18" t="s">
        <v>56</v>
      </c>
      <c r="L1396" s="18" t="s">
        <v>36</v>
      </c>
      <c r="N1396" s="18">
        <v>6</v>
      </c>
      <c r="O1396" s="18" t="s">
        <v>88</v>
      </c>
      <c r="P1396" s="18" t="s">
        <v>38</v>
      </c>
      <c r="Q1396" s="18" t="s">
        <v>117</v>
      </c>
      <c r="R1396" s="18" t="s">
        <v>59</v>
      </c>
      <c r="S1396" s="18" t="s">
        <v>186</v>
      </c>
      <c r="T1396" s="18" t="b">
        <v>1</v>
      </c>
      <c r="U1396" s="18" t="s">
        <v>101</v>
      </c>
      <c r="V1396" s="18" t="s">
        <v>40</v>
      </c>
      <c r="W1396" s="18" t="s">
        <v>401</v>
      </c>
      <c r="X1396" s="18" t="s">
        <v>402</v>
      </c>
      <c r="Y1396" s="18">
        <v>1</v>
      </c>
      <c r="Z1396" s="18">
        <v>65000</v>
      </c>
      <c r="AA1396" s="31" t="s">
        <v>2985</v>
      </c>
      <c r="AB1396" s="18" t="s">
        <v>514</v>
      </c>
      <c r="AC1396" s="18" t="s">
        <v>111</v>
      </c>
    </row>
    <row r="1397" s="18" customFormat="1" ht="43.5" spans="1:29">
      <c r="A1397" s="18" t="s">
        <v>3134</v>
      </c>
      <c r="B1397" s="25" t="s">
        <v>3134</v>
      </c>
      <c r="C1397" s="26">
        <v>45702</v>
      </c>
      <c r="D1397" s="18" t="s">
        <v>2217</v>
      </c>
      <c r="E1397" s="18" t="str">
        <f t="shared" si="21"/>
        <v>Shanmugam J</v>
      </c>
      <c r="F1397" s="27" t="s">
        <v>2218</v>
      </c>
      <c r="G1397" s="18" t="s">
        <v>99</v>
      </c>
      <c r="H1397" s="18" t="s">
        <v>100</v>
      </c>
      <c r="I1397" s="18" t="s">
        <v>184</v>
      </c>
      <c r="J1397" s="18" t="s">
        <v>2345</v>
      </c>
      <c r="K1397" s="18" t="s">
        <v>56</v>
      </c>
      <c r="L1397" s="18" t="s">
        <v>36</v>
      </c>
      <c r="N1397" s="18">
        <v>6</v>
      </c>
      <c r="O1397" s="18" t="s">
        <v>57</v>
      </c>
      <c r="P1397" s="18" t="s">
        <v>38</v>
      </c>
      <c r="Q1397" s="18" t="s">
        <v>117</v>
      </c>
      <c r="R1397" s="18" t="s">
        <v>59</v>
      </c>
      <c r="S1397" s="18" t="s">
        <v>186</v>
      </c>
      <c r="T1397" s="18" t="b">
        <v>1</v>
      </c>
      <c r="U1397" s="18" t="s">
        <v>101</v>
      </c>
      <c r="V1397" s="18" t="s">
        <v>40</v>
      </c>
      <c r="W1397" s="18" t="s">
        <v>292</v>
      </c>
      <c r="X1397" s="18" t="s">
        <v>293</v>
      </c>
      <c r="Y1397" s="18">
        <v>1</v>
      </c>
      <c r="Z1397" s="18">
        <v>40000</v>
      </c>
      <c r="AA1397" s="31" t="s">
        <v>2985</v>
      </c>
      <c r="AB1397" s="18" t="s">
        <v>514</v>
      </c>
      <c r="AC1397" s="18" t="e">
        <v>#N/A</v>
      </c>
    </row>
    <row r="1398" s="18" customFormat="1" ht="43.5" spans="1:29">
      <c r="A1398" s="18" t="s">
        <v>3135</v>
      </c>
      <c r="B1398" s="25" t="s">
        <v>3135</v>
      </c>
      <c r="C1398" s="26">
        <v>45702</v>
      </c>
      <c r="D1398" s="18" t="s">
        <v>2214</v>
      </c>
      <c r="E1398" s="18" t="str">
        <f t="shared" si="21"/>
        <v>Mj Digital</v>
      </c>
      <c r="F1398" s="27" t="s">
        <v>2215</v>
      </c>
      <c r="G1398" s="18" t="s">
        <v>99</v>
      </c>
      <c r="H1398" s="18" t="s">
        <v>100</v>
      </c>
      <c r="I1398" s="18" t="s">
        <v>184</v>
      </c>
      <c r="J1398" s="18" t="s">
        <v>2345</v>
      </c>
      <c r="K1398" s="18" t="s">
        <v>56</v>
      </c>
      <c r="L1398" s="18" t="s">
        <v>36</v>
      </c>
      <c r="N1398" s="18">
        <v>6</v>
      </c>
      <c r="O1398" s="18" t="s">
        <v>88</v>
      </c>
      <c r="P1398" s="18" t="s">
        <v>38</v>
      </c>
      <c r="Q1398" s="18" t="s">
        <v>117</v>
      </c>
      <c r="R1398" s="18" t="s">
        <v>59</v>
      </c>
      <c r="S1398" s="18" t="s">
        <v>186</v>
      </c>
      <c r="T1398" s="18" t="b">
        <v>1</v>
      </c>
      <c r="U1398" s="18" t="s">
        <v>101</v>
      </c>
      <c r="V1398" s="18" t="s">
        <v>40</v>
      </c>
      <c r="W1398" s="18" t="s">
        <v>401</v>
      </c>
      <c r="X1398" s="18" t="s">
        <v>402</v>
      </c>
      <c r="Y1398" s="18">
        <v>1</v>
      </c>
      <c r="Z1398" s="18">
        <v>52000</v>
      </c>
      <c r="AA1398" s="31" t="s">
        <v>2985</v>
      </c>
      <c r="AB1398" s="18" t="s">
        <v>514</v>
      </c>
      <c r="AC1398" s="18" t="s">
        <v>111</v>
      </c>
    </row>
    <row r="1399" s="18" customFormat="1" ht="43.5" spans="1:29">
      <c r="A1399" s="18" t="s">
        <v>3136</v>
      </c>
      <c r="B1399" s="25" t="s">
        <v>3136</v>
      </c>
      <c r="C1399" s="26">
        <v>45702</v>
      </c>
      <c r="D1399" s="18" t="s">
        <v>1141</v>
      </c>
      <c r="E1399" s="18" t="str">
        <f t="shared" si="21"/>
        <v>Eco Prints</v>
      </c>
      <c r="F1399" s="27" t="s">
        <v>1142</v>
      </c>
      <c r="G1399" s="18" t="s">
        <v>99</v>
      </c>
      <c r="H1399" s="18" t="s">
        <v>100</v>
      </c>
      <c r="I1399" s="18" t="s">
        <v>184</v>
      </c>
      <c r="J1399" s="18" t="s">
        <v>2345</v>
      </c>
      <c r="K1399" s="18" t="s">
        <v>56</v>
      </c>
      <c r="L1399" s="18" t="s">
        <v>36</v>
      </c>
      <c r="N1399" s="18">
        <v>6</v>
      </c>
      <c r="O1399" s="18" t="s">
        <v>88</v>
      </c>
      <c r="P1399" s="18" t="s">
        <v>38</v>
      </c>
      <c r="Q1399" s="18" t="s">
        <v>117</v>
      </c>
      <c r="R1399" s="18" t="s">
        <v>59</v>
      </c>
      <c r="S1399" s="18" t="s">
        <v>186</v>
      </c>
      <c r="T1399" s="18" t="b">
        <v>1</v>
      </c>
      <c r="U1399" s="18" t="s">
        <v>101</v>
      </c>
      <c r="V1399" s="18" t="s">
        <v>40</v>
      </c>
      <c r="W1399" s="18" t="s">
        <v>196</v>
      </c>
      <c r="X1399" s="18" t="s">
        <v>197</v>
      </c>
      <c r="Y1399" s="18">
        <v>1</v>
      </c>
      <c r="Z1399" s="18">
        <v>29200</v>
      </c>
      <c r="AA1399" s="31" t="s">
        <v>2985</v>
      </c>
      <c r="AB1399" s="18" t="s">
        <v>514</v>
      </c>
      <c r="AC1399" s="18" t="s">
        <v>111</v>
      </c>
    </row>
    <row r="1400" s="18" customFormat="1" spans="1:29">
      <c r="A1400" s="18" t="s">
        <v>3137</v>
      </c>
      <c r="B1400" s="25" t="s">
        <v>3137</v>
      </c>
      <c r="C1400" s="26">
        <v>45702</v>
      </c>
      <c r="D1400" s="18" t="s">
        <v>1014</v>
      </c>
      <c r="E1400" s="18" t="str">
        <f t="shared" si="21"/>
        <v>Zpay Solutions Private Limited</v>
      </c>
      <c r="F1400" s="27" t="e">
        <v>#N/A</v>
      </c>
      <c r="G1400" s="18" t="s">
        <v>147</v>
      </c>
      <c r="H1400" s="18" t="s">
        <v>148</v>
      </c>
      <c r="I1400" s="18" t="s">
        <v>207</v>
      </c>
      <c r="J1400" s="18" t="s">
        <v>1147</v>
      </c>
      <c r="K1400" s="18" t="s">
        <v>56</v>
      </c>
      <c r="L1400" s="18" t="s">
        <v>36</v>
      </c>
      <c r="N1400" s="18">
        <v>6</v>
      </c>
      <c r="O1400" s="18" t="s">
        <v>88</v>
      </c>
      <c r="P1400" s="18" t="s">
        <v>38</v>
      </c>
      <c r="Q1400" s="18" t="s">
        <v>58</v>
      </c>
      <c r="R1400" s="18" t="s">
        <v>59</v>
      </c>
      <c r="S1400" s="18" t="s">
        <v>60</v>
      </c>
      <c r="T1400" s="18" t="b">
        <v>1</v>
      </c>
      <c r="U1400" s="18" t="s">
        <v>150</v>
      </c>
      <c r="V1400" s="18" t="s">
        <v>40</v>
      </c>
      <c r="W1400" s="18" t="s">
        <v>140</v>
      </c>
      <c r="X1400" s="18" t="s">
        <v>141</v>
      </c>
      <c r="Y1400" s="18">
        <v>1</v>
      </c>
      <c r="Z1400" s="18">
        <v>142100</v>
      </c>
      <c r="AA1400" s="18" t="s">
        <v>603</v>
      </c>
      <c r="AB1400" s="18" t="s">
        <v>600</v>
      </c>
      <c r="AC1400" s="18" t="e">
        <v>#N/A</v>
      </c>
    </row>
    <row r="1401" s="18" customFormat="1" spans="1:29">
      <c r="A1401" s="18" t="s">
        <v>3138</v>
      </c>
      <c r="B1401" s="25" t="s">
        <v>3138</v>
      </c>
      <c r="C1401" s="26">
        <v>45702</v>
      </c>
      <c r="D1401" s="18" t="s">
        <v>678</v>
      </c>
      <c r="E1401" s="18" t="str">
        <f t="shared" si="21"/>
        <v>Corporate Gift</v>
      </c>
      <c r="F1401" s="27" t="s">
        <v>679</v>
      </c>
      <c r="G1401" s="18" t="s">
        <v>147</v>
      </c>
      <c r="H1401" s="18" t="s">
        <v>148</v>
      </c>
      <c r="I1401" s="18" t="s">
        <v>54</v>
      </c>
      <c r="J1401" s="18" t="s">
        <v>240</v>
      </c>
      <c r="K1401" s="18" t="s">
        <v>56</v>
      </c>
      <c r="L1401" s="18" t="s">
        <v>36</v>
      </c>
      <c r="N1401" s="18">
        <v>6</v>
      </c>
      <c r="O1401" s="18" t="s">
        <v>88</v>
      </c>
      <c r="P1401" s="18" t="s">
        <v>38</v>
      </c>
      <c r="Q1401" s="18" t="s">
        <v>58</v>
      </c>
      <c r="R1401" s="18" t="s">
        <v>59</v>
      </c>
      <c r="S1401" s="18" t="s">
        <v>60</v>
      </c>
      <c r="T1401" s="18" t="b">
        <v>1</v>
      </c>
      <c r="U1401" s="18" t="s">
        <v>150</v>
      </c>
      <c r="V1401" s="18" t="s">
        <v>40</v>
      </c>
      <c r="W1401" s="18" t="s">
        <v>196</v>
      </c>
      <c r="X1401" s="18" t="s">
        <v>197</v>
      </c>
      <c r="Y1401" s="18">
        <v>1</v>
      </c>
      <c r="Z1401" s="18">
        <v>9800</v>
      </c>
      <c r="AA1401" s="18" t="s">
        <v>343</v>
      </c>
      <c r="AC1401" s="18" t="s">
        <v>163</v>
      </c>
    </row>
    <row r="1402" s="18" customFormat="1" spans="1:29">
      <c r="A1402" s="18" t="s">
        <v>3139</v>
      </c>
      <c r="B1402" s="25" t="s">
        <v>3139</v>
      </c>
      <c r="C1402" s="26">
        <v>45702</v>
      </c>
      <c r="D1402" s="18" t="s">
        <v>678</v>
      </c>
      <c r="E1402" s="18" t="str">
        <f t="shared" si="21"/>
        <v>Corporate Gift</v>
      </c>
      <c r="F1402" s="27" t="s">
        <v>679</v>
      </c>
      <c r="G1402" s="18" t="s">
        <v>147</v>
      </c>
      <c r="H1402" s="18" t="s">
        <v>148</v>
      </c>
      <c r="I1402" s="18" t="s">
        <v>54</v>
      </c>
      <c r="J1402" s="18" t="s">
        <v>149</v>
      </c>
      <c r="K1402" s="18" t="s">
        <v>56</v>
      </c>
      <c r="L1402" s="18" t="s">
        <v>36</v>
      </c>
      <c r="N1402" s="18">
        <v>6</v>
      </c>
      <c r="O1402" s="18" t="s">
        <v>88</v>
      </c>
      <c r="P1402" s="18" t="s">
        <v>38</v>
      </c>
      <c r="Q1402" s="18" t="s">
        <v>58</v>
      </c>
      <c r="R1402" s="18" t="s">
        <v>59</v>
      </c>
      <c r="S1402" s="18" t="s">
        <v>60</v>
      </c>
      <c r="T1402" s="18" t="b">
        <v>1</v>
      </c>
      <c r="U1402" s="18" t="s">
        <v>150</v>
      </c>
      <c r="V1402" s="18" t="s">
        <v>40</v>
      </c>
      <c r="W1402" s="18" t="s">
        <v>196</v>
      </c>
      <c r="X1402" s="18" t="s">
        <v>197</v>
      </c>
      <c r="Y1402" s="18">
        <v>1</v>
      </c>
      <c r="Z1402" s="18">
        <v>595510</v>
      </c>
      <c r="AA1402" s="18" t="s">
        <v>343</v>
      </c>
      <c r="AC1402" s="18" t="s">
        <v>163</v>
      </c>
    </row>
    <row r="1403" s="18" customFormat="1" spans="1:29">
      <c r="A1403" s="18" t="s">
        <v>3140</v>
      </c>
      <c r="B1403" s="25" t="s">
        <v>3140</v>
      </c>
      <c r="C1403" s="26">
        <v>45702</v>
      </c>
      <c r="D1403" s="18" t="s">
        <v>3141</v>
      </c>
      <c r="E1403" s="18" t="str">
        <f t="shared" si="21"/>
        <v>Fortune Print Services</v>
      </c>
      <c r="F1403" s="27" t="s">
        <v>3142</v>
      </c>
      <c r="G1403" s="18" t="s">
        <v>147</v>
      </c>
      <c r="H1403" s="18" t="s">
        <v>148</v>
      </c>
      <c r="I1403" s="18" t="s">
        <v>54</v>
      </c>
      <c r="J1403" s="18" t="s">
        <v>149</v>
      </c>
      <c r="K1403" s="18" t="s">
        <v>56</v>
      </c>
      <c r="L1403" s="18" t="s">
        <v>36</v>
      </c>
      <c r="N1403" s="18">
        <v>6</v>
      </c>
      <c r="O1403" s="18" t="s">
        <v>88</v>
      </c>
      <c r="P1403" s="18" t="s">
        <v>38</v>
      </c>
      <c r="Q1403" s="18" t="s">
        <v>58</v>
      </c>
      <c r="R1403" s="18" t="s">
        <v>59</v>
      </c>
      <c r="S1403" s="18" t="s">
        <v>60</v>
      </c>
      <c r="T1403" s="18" t="b">
        <v>1</v>
      </c>
      <c r="U1403" s="18" t="s">
        <v>150</v>
      </c>
      <c r="V1403" s="18" t="s">
        <v>40</v>
      </c>
      <c r="W1403" s="18" t="s">
        <v>196</v>
      </c>
      <c r="X1403" s="18" t="s">
        <v>197</v>
      </c>
      <c r="Y1403" s="18">
        <v>1</v>
      </c>
      <c r="Z1403" s="18">
        <v>82200</v>
      </c>
      <c r="AA1403" s="18" t="s">
        <v>343</v>
      </c>
      <c r="AC1403" s="18" t="s">
        <v>163</v>
      </c>
    </row>
    <row r="1404" s="18" customFormat="1" spans="1:29">
      <c r="A1404" s="18" t="s">
        <v>3143</v>
      </c>
      <c r="B1404" s="25" t="s">
        <v>3143</v>
      </c>
      <c r="C1404" s="26">
        <v>45702</v>
      </c>
      <c r="D1404" s="18" t="s">
        <v>3144</v>
      </c>
      <c r="E1404" s="18" t="str">
        <f t="shared" si="21"/>
        <v>Vanshika Malhotra </v>
      </c>
      <c r="F1404" s="27" t="e">
        <v>#N/A</v>
      </c>
      <c r="G1404" s="18" t="s">
        <v>147</v>
      </c>
      <c r="H1404" s="18" t="s">
        <v>148</v>
      </c>
      <c r="I1404" s="18" t="s">
        <v>54</v>
      </c>
      <c r="J1404" s="18" t="s">
        <v>395</v>
      </c>
      <c r="K1404" s="18" t="s">
        <v>56</v>
      </c>
      <c r="L1404" s="18" t="s">
        <v>36</v>
      </c>
      <c r="N1404" s="18">
        <v>6</v>
      </c>
      <c r="O1404" s="18" t="s">
        <v>93</v>
      </c>
      <c r="P1404" s="18" t="s">
        <v>38</v>
      </c>
      <c r="Q1404" s="18" t="s">
        <v>58</v>
      </c>
      <c r="R1404" s="18" t="s">
        <v>59</v>
      </c>
      <c r="S1404" s="18" t="s">
        <v>60</v>
      </c>
      <c r="T1404" s="18" t="b">
        <v>1</v>
      </c>
      <c r="U1404" s="18" t="s">
        <v>150</v>
      </c>
      <c r="V1404" s="18" t="s">
        <v>40</v>
      </c>
      <c r="W1404" s="18" t="s">
        <v>126</v>
      </c>
      <c r="X1404" s="18" t="s">
        <v>127</v>
      </c>
      <c r="Y1404" s="18">
        <v>1</v>
      </c>
      <c r="Z1404" s="18">
        <v>8429</v>
      </c>
      <c r="AA1404" s="18" t="s">
        <v>3145</v>
      </c>
      <c r="AB1404" s="18" t="s">
        <v>3146</v>
      </c>
      <c r="AC1404" s="18" t="e">
        <v>#N/A</v>
      </c>
    </row>
    <row r="1405" s="18" customFormat="1" spans="1:29">
      <c r="A1405" s="18" t="s">
        <v>3147</v>
      </c>
      <c r="B1405" s="25" t="s">
        <v>3147</v>
      </c>
      <c r="C1405" s="26">
        <v>45702</v>
      </c>
      <c r="D1405" s="18" t="s">
        <v>770</v>
      </c>
      <c r="E1405" s="18" t="str">
        <f t="shared" si="21"/>
        <v>Kalu Halder............. </v>
      </c>
      <c r="F1405" s="27" t="e">
        <v>#N/A</v>
      </c>
      <c r="G1405" s="18" t="s">
        <v>147</v>
      </c>
      <c r="H1405" s="18" t="s">
        <v>148</v>
      </c>
      <c r="I1405" s="18" t="s">
        <v>54</v>
      </c>
      <c r="J1405" s="18" t="s">
        <v>240</v>
      </c>
      <c r="K1405" s="18" t="s">
        <v>56</v>
      </c>
      <c r="L1405" s="18" t="s">
        <v>36</v>
      </c>
      <c r="N1405" s="18">
        <v>6</v>
      </c>
      <c r="O1405" s="18" t="s">
        <v>93</v>
      </c>
      <c r="P1405" s="18" t="s">
        <v>38</v>
      </c>
      <c r="Q1405" s="18" t="s">
        <v>58</v>
      </c>
      <c r="R1405" s="18" t="s">
        <v>59</v>
      </c>
      <c r="S1405" s="18" t="s">
        <v>60</v>
      </c>
      <c r="T1405" s="18" t="b">
        <v>1</v>
      </c>
      <c r="U1405" s="18" t="s">
        <v>150</v>
      </c>
      <c r="V1405" s="18" t="s">
        <v>40</v>
      </c>
      <c r="W1405" s="18" t="s">
        <v>126</v>
      </c>
      <c r="X1405" s="18" t="s">
        <v>127</v>
      </c>
      <c r="Y1405" s="18">
        <v>1</v>
      </c>
      <c r="Z1405" s="18">
        <v>1750</v>
      </c>
      <c r="AA1405" s="18" t="s">
        <v>1377</v>
      </c>
      <c r="AB1405" s="18" t="s">
        <v>1378</v>
      </c>
      <c r="AC1405" s="18" t="e">
        <v>#N/A</v>
      </c>
    </row>
    <row r="1406" s="18" customFormat="1" spans="1:29">
      <c r="A1406" s="18" t="s">
        <v>3148</v>
      </c>
      <c r="B1406" s="25" t="s">
        <v>3148</v>
      </c>
      <c r="C1406" s="26">
        <v>45702</v>
      </c>
      <c r="D1406" s="18" t="s">
        <v>770</v>
      </c>
      <c r="E1406" s="18" t="str">
        <f t="shared" si="21"/>
        <v>Kalu Halder............. </v>
      </c>
      <c r="F1406" s="27" t="e">
        <v>#N/A</v>
      </c>
      <c r="G1406" s="18" t="s">
        <v>147</v>
      </c>
      <c r="H1406" s="18" t="s">
        <v>148</v>
      </c>
      <c r="I1406" s="18" t="s">
        <v>54</v>
      </c>
      <c r="J1406" s="18" t="s">
        <v>466</v>
      </c>
      <c r="K1406" s="18" t="s">
        <v>56</v>
      </c>
      <c r="L1406" s="18" t="s">
        <v>36</v>
      </c>
      <c r="N1406" s="18">
        <v>6</v>
      </c>
      <c r="O1406" s="18" t="s">
        <v>93</v>
      </c>
      <c r="P1406" s="18" t="s">
        <v>38</v>
      </c>
      <c r="Q1406" s="18" t="s">
        <v>58</v>
      </c>
      <c r="R1406" s="18" t="s">
        <v>59</v>
      </c>
      <c r="S1406" s="18" t="s">
        <v>60</v>
      </c>
      <c r="T1406" s="18" t="b">
        <v>1</v>
      </c>
      <c r="U1406" s="18" t="s">
        <v>150</v>
      </c>
      <c r="V1406" s="18" t="s">
        <v>40</v>
      </c>
      <c r="W1406" s="18" t="s">
        <v>126</v>
      </c>
      <c r="X1406" s="18" t="s">
        <v>127</v>
      </c>
      <c r="Y1406" s="18">
        <v>1</v>
      </c>
      <c r="Z1406" s="18">
        <v>5775</v>
      </c>
      <c r="AA1406" s="18" t="s">
        <v>1377</v>
      </c>
      <c r="AB1406" s="18" t="s">
        <v>1378</v>
      </c>
      <c r="AC1406" s="18" t="e">
        <v>#N/A</v>
      </c>
    </row>
    <row r="1407" s="18" customFormat="1" spans="1:29">
      <c r="A1407" s="18" t="s">
        <v>3149</v>
      </c>
      <c r="B1407" s="25" t="s">
        <v>3149</v>
      </c>
      <c r="C1407" s="26">
        <v>45702</v>
      </c>
      <c r="D1407" s="18" t="s">
        <v>3150</v>
      </c>
      <c r="E1407" s="18" t="str">
        <f t="shared" si="21"/>
        <v>Karan Sharma  </v>
      </c>
      <c r="F1407" s="27" t="e">
        <v>#N/A</v>
      </c>
      <c r="G1407" s="18" t="s">
        <v>147</v>
      </c>
      <c r="H1407" s="18" t="s">
        <v>148</v>
      </c>
      <c r="I1407" s="18" t="s">
        <v>54</v>
      </c>
      <c r="J1407" s="18" t="s">
        <v>149</v>
      </c>
      <c r="K1407" s="18" t="s">
        <v>56</v>
      </c>
      <c r="L1407" s="18" t="s">
        <v>36</v>
      </c>
      <c r="N1407" s="18">
        <v>6</v>
      </c>
      <c r="O1407" s="18" t="s">
        <v>93</v>
      </c>
      <c r="P1407" s="18" t="s">
        <v>38</v>
      </c>
      <c r="Q1407" s="18" t="s">
        <v>58</v>
      </c>
      <c r="R1407" s="18" t="s">
        <v>59</v>
      </c>
      <c r="S1407" s="18" t="s">
        <v>60</v>
      </c>
      <c r="T1407" s="18" t="b">
        <v>1</v>
      </c>
      <c r="U1407" s="18" t="s">
        <v>150</v>
      </c>
      <c r="V1407" s="18" t="s">
        <v>40</v>
      </c>
      <c r="W1407" s="18" t="s">
        <v>126</v>
      </c>
      <c r="X1407" s="18" t="s">
        <v>127</v>
      </c>
      <c r="Y1407" s="18">
        <v>1</v>
      </c>
      <c r="Z1407" s="18">
        <v>4950</v>
      </c>
      <c r="AA1407" s="18" t="s">
        <v>2549</v>
      </c>
      <c r="AB1407" s="18" t="s">
        <v>2550</v>
      </c>
      <c r="AC1407" s="18" t="e">
        <v>#N/A</v>
      </c>
    </row>
    <row r="1408" s="18" customFormat="1" spans="1:29">
      <c r="A1408" s="18" t="s">
        <v>3151</v>
      </c>
      <c r="B1408" s="25" t="s">
        <v>3151</v>
      </c>
      <c r="C1408" s="26">
        <v>45702</v>
      </c>
      <c r="D1408" s="18" t="s">
        <v>3150</v>
      </c>
      <c r="E1408" s="18" t="str">
        <f t="shared" si="21"/>
        <v>Karan Sharma  </v>
      </c>
      <c r="F1408" s="27" t="e">
        <v>#N/A</v>
      </c>
      <c r="G1408" s="18" t="s">
        <v>147</v>
      </c>
      <c r="H1408" s="18" t="s">
        <v>148</v>
      </c>
      <c r="I1408" s="18" t="s">
        <v>54</v>
      </c>
      <c r="J1408" s="18" t="s">
        <v>139</v>
      </c>
      <c r="K1408" s="18" t="s">
        <v>56</v>
      </c>
      <c r="L1408" s="18" t="s">
        <v>36</v>
      </c>
      <c r="N1408" s="18">
        <v>6</v>
      </c>
      <c r="O1408" s="18" t="s">
        <v>93</v>
      </c>
      <c r="P1408" s="18" t="s">
        <v>38</v>
      </c>
      <c r="Q1408" s="18" t="s">
        <v>58</v>
      </c>
      <c r="R1408" s="18" t="s">
        <v>59</v>
      </c>
      <c r="S1408" s="18" t="s">
        <v>60</v>
      </c>
      <c r="T1408" s="18" t="b">
        <v>1</v>
      </c>
      <c r="U1408" s="18" t="s">
        <v>150</v>
      </c>
      <c r="V1408" s="18" t="s">
        <v>40</v>
      </c>
      <c r="W1408" s="18" t="s">
        <v>126</v>
      </c>
      <c r="X1408" s="18" t="s">
        <v>127</v>
      </c>
      <c r="Y1408" s="18">
        <v>1</v>
      </c>
      <c r="Z1408" s="18">
        <v>1650</v>
      </c>
      <c r="AA1408" s="18" t="s">
        <v>227</v>
      </c>
      <c r="AB1408" s="18" t="s">
        <v>228</v>
      </c>
      <c r="AC1408" s="18" t="e">
        <v>#N/A</v>
      </c>
    </row>
    <row r="1409" s="18" customFormat="1" spans="1:29">
      <c r="A1409" s="18" t="s">
        <v>3152</v>
      </c>
      <c r="B1409" s="25" t="s">
        <v>3152</v>
      </c>
      <c r="C1409" s="26">
        <v>45702</v>
      </c>
      <c r="D1409" s="18" t="s">
        <v>3153</v>
      </c>
      <c r="E1409" s="18" t="str">
        <f t="shared" si="21"/>
        <v>Nanhe Masih...... </v>
      </c>
      <c r="F1409" s="27" t="e">
        <v>#N/A</v>
      </c>
      <c r="G1409" s="18" t="s">
        <v>147</v>
      </c>
      <c r="H1409" s="18" t="s">
        <v>148</v>
      </c>
      <c r="I1409" s="18" t="s">
        <v>54</v>
      </c>
      <c r="J1409" s="18" t="s">
        <v>1426</v>
      </c>
      <c r="K1409" s="18" t="s">
        <v>56</v>
      </c>
      <c r="L1409" s="18" t="s">
        <v>36</v>
      </c>
      <c r="N1409" s="18">
        <v>6</v>
      </c>
      <c r="O1409" s="18" t="s">
        <v>93</v>
      </c>
      <c r="P1409" s="18" t="s">
        <v>38</v>
      </c>
      <c r="Q1409" s="18" t="s">
        <v>58</v>
      </c>
      <c r="R1409" s="18" t="s">
        <v>59</v>
      </c>
      <c r="S1409" s="18" t="s">
        <v>60</v>
      </c>
      <c r="T1409" s="18" t="b">
        <v>1</v>
      </c>
      <c r="U1409" s="18" t="s">
        <v>150</v>
      </c>
      <c r="V1409" s="18" t="s">
        <v>40</v>
      </c>
      <c r="W1409" s="18" t="s">
        <v>126</v>
      </c>
      <c r="X1409" s="18" t="s">
        <v>127</v>
      </c>
      <c r="Y1409" s="18">
        <v>1</v>
      </c>
      <c r="Z1409" s="18">
        <v>1050</v>
      </c>
      <c r="AA1409" s="18" t="s">
        <v>227</v>
      </c>
      <c r="AB1409" s="18" t="s">
        <v>228</v>
      </c>
      <c r="AC1409" s="18" t="e">
        <v>#N/A</v>
      </c>
    </row>
    <row r="1410" s="18" customFormat="1" spans="1:29">
      <c r="A1410" s="18" t="s">
        <v>3154</v>
      </c>
      <c r="B1410" s="25" t="s">
        <v>3154</v>
      </c>
      <c r="C1410" s="26">
        <v>45702</v>
      </c>
      <c r="D1410" s="18" t="s">
        <v>3155</v>
      </c>
      <c r="E1410" s="18" t="str">
        <f t="shared" si="21"/>
        <v>Manoj Chand Joshi  </v>
      </c>
      <c r="F1410" s="27" t="e">
        <v>#N/A</v>
      </c>
      <c r="G1410" s="18" t="s">
        <v>147</v>
      </c>
      <c r="H1410" s="18" t="s">
        <v>148</v>
      </c>
      <c r="I1410" s="18" t="s">
        <v>54</v>
      </c>
      <c r="J1410" s="18" t="s">
        <v>149</v>
      </c>
      <c r="K1410" s="18" t="s">
        <v>56</v>
      </c>
      <c r="L1410" s="18" t="s">
        <v>36</v>
      </c>
      <c r="N1410" s="18">
        <v>6</v>
      </c>
      <c r="O1410" s="18" t="s">
        <v>93</v>
      </c>
      <c r="P1410" s="18" t="s">
        <v>38</v>
      </c>
      <c r="Q1410" s="18" t="s">
        <v>58</v>
      </c>
      <c r="R1410" s="18" t="s">
        <v>59</v>
      </c>
      <c r="S1410" s="18" t="s">
        <v>60</v>
      </c>
      <c r="T1410" s="18" t="b">
        <v>1</v>
      </c>
      <c r="U1410" s="18" t="s">
        <v>150</v>
      </c>
      <c r="V1410" s="18" t="s">
        <v>40</v>
      </c>
      <c r="W1410" s="18" t="s">
        <v>126</v>
      </c>
      <c r="X1410" s="18" t="s">
        <v>127</v>
      </c>
      <c r="Y1410" s="18">
        <v>1</v>
      </c>
      <c r="Z1410" s="18">
        <v>4898</v>
      </c>
      <c r="AA1410" s="18" t="s">
        <v>3156</v>
      </c>
      <c r="AB1410" s="18" t="s">
        <v>3157</v>
      </c>
      <c r="AC1410" s="18" t="e">
        <v>#N/A</v>
      </c>
    </row>
    <row r="1411" s="18" customFormat="1" spans="1:29">
      <c r="A1411" s="18" t="s">
        <v>3158</v>
      </c>
      <c r="B1411" s="25" t="s">
        <v>3158</v>
      </c>
      <c r="C1411" s="26">
        <v>45702</v>
      </c>
      <c r="D1411" s="18" t="s">
        <v>3155</v>
      </c>
      <c r="E1411" s="18" t="str">
        <f t="shared" ref="E1411:E1474" si="22">_xlfn.TEXTBEFORE(D1411,"-")</f>
        <v>Manoj Chand Joshi  </v>
      </c>
      <c r="F1411" s="27" t="e">
        <v>#N/A</v>
      </c>
      <c r="G1411" s="18" t="s">
        <v>147</v>
      </c>
      <c r="H1411" s="18" t="s">
        <v>148</v>
      </c>
      <c r="I1411" s="18" t="s">
        <v>54</v>
      </c>
      <c r="J1411" s="18" t="s">
        <v>1426</v>
      </c>
      <c r="K1411" s="18" t="s">
        <v>56</v>
      </c>
      <c r="L1411" s="18" t="s">
        <v>36</v>
      </c>
      <c r="N1411" s="18">
        <v>6</v>
      </c>
      <c r="O1411" s="18" t="s">
        <v>93</v>
      </c>
      <c r="P1411" s="18" t="s">
        <v>38</v>
      </c>
      <c r="Q1411" s="18" t="s">
        <v>58</v>
      </c>
      <c r="R1411" s="18" t="s">
        <v>59</v>
      </c>
      <c r="S1411" s="18" t="s">
        <v>60</v>
      </c>
      <c r="T1411" s="18" t="b">
        <v>1</v>
      </c>
      <c r="U1411" s="18" t="s">
        <v>150</v>
      </c>
      <c r="V1411" s="18" t="s">
        <v>40</v>
      </c>
      <c r="W1411" s="18" t="s">
        <v>126</v>
      </c>
      <c r="X1411" s="18" t="s">
        <v>127</v>
      </c>
      <c r="Y1411" s="18">
        <v>1</v>
      </c>
      <c r="Z1411" s="18">
        <v>18862</v>
      </c>
      <c r="AA1411" s="18" t="s">
        <v>3159</v>
      </c>
      <c r="AB1411" s="18" t="s">
        <v>3157</v>
      </c>
      <c r="AC1411" s="18" t="e">
        <v>#N/A</v>
      </c>
    </row>
    <row r="1412" s="18" customFormat="1" ht="43.5" spans="1:29">
      <c r="A1412" s="18" t="s">
        <v>3160</v>
      </c>
      <c r="B1412" s="25" t="s">
        <v>3160</v>
      </c>
      <c r="C1412" s="26">
        <v>45702</v>
      </c>
      <c r="D1412" s="18" t="s">
        <v>1749</v>
      </c>
      <c r="E1412" s="18" t="str">
        <f t="shared" si="22"/>
        <v>Show Supporters LLP</v>
      </c>
      <c r="F1412" s="27" t="s">
        <v>1750</v>
      </c>
      <c r="G1412" s="18" t="s">
        <v>147</v>
      </c>
      <c r="H1412" s="18" t="s">
        <v>148</v>
      </c>
      <c r="I1412" s="18" t="s">
        <v>184</v>
      </c>
      <c r="J1412" s="18" t="s">
        <v>3161</v>
      </c>
      <c r="K1412" s="18" t="s">
        <v>56</v>
      </c>
      <c r="L1412" s="18" t="s">
        <v>36</v>
      </c>
      <c r="N1412" s="18">
        <v>6</v>
      </c>
      <c r="O1412" s="18" t="s">
        <v>88</v>
      </c>
      <c r="P1412" s="18" t="s">
        <v>38</v>
      </c>
      <c r="Q1412" s="18" t="s">
        <v>194</v>
      </c>
      <c r="R1412" s="18" t="s">
        <v>59</v>
      </c>
      <c r="S1412" s="18" t="s">
        <v>195</v>
      </c>
      <c r="T1412" s="18" t="b">
        <v>1</v>
      </c>
      <c r="U1412" s="18" t="s">
        <v>150</v>
      </c>
      <c r="V1412" s="18" t="s">
        <v>40</v>
      </c>
      <c r="W1412" s="18" t="s">
        <v>347</v>
      </c>
      <c r="X1412" s="18" t="s">
        <v>348</v>
      </c>
      <c r="Y1412" s="18">
        <v>1</v>
      </c>
      <c r="Z1412" s="18">
        <v>9500</v>
      </c>
      <c r="AA1412" s="31" t="s">
        <v>3069</v>
      </c>
      <c r="AB1412" s="18" t="s">
        <v>1457</v>
      </c>
      <c r="AC1412" s="18" t="s">
        <v>163</v>
      </c>
    </row>
    <row r="1413" s="18" customFormat="1" spans="1:29">
      <c r="A1413" s="18" t="s">
        <v>3162</v>
      </c>
      <c r="B1413" s="25" t="s">
        <v>3162</v>
      </c>
      <c r="C1413" s="26">
        <v>45702</v>
      </c>
      <c r="D1413" s="18" t="s">
        <v>770</v>
      </c>
      <c r="E1413" s="18" t="str">
        <f t="shared" si="22"/>
        <v>Kalu Halder............. </v>
      </c>
      <c r="F1413" s="27" t="e">
        <v>#N/A</v>
      </c>
      <c r="G1413" s="18" t="s">
        <v>147</v>
      </c>
      <c r="H1413" s="18" t="s">
        <v>148</v>
      </c>
      <c r="I1413" s="18" t="s">
        <v>54</v>
      </c>
      <c r="J1413" s="18" t="s">
        <v>1426</v>
      </c>
      <c r="K1413" s="18" t="s">
        <v>56</v>
      </c>
      <c r="L1413" s="18" t="s">
        <v>36</v>
      </c>
      <c r="N1413" s="18">
        <v>6</v>
      </c>
      <c r="O1413" s="18" t="s">
        <v>93</v>
      </c>
      <c r="P1413" s="18" t="s">
        <v>38</v>
      </c>
      <c r="Q1413" s="18" t="s">
        <v>58</v>
      </c>
      <c r="R1413" s="18" t="s">
        <v>59</v>
      </c>
      <c r="S1413" s="18" t="s">
        <v>60</v>
      </c>
      <c r="T1413" s="18" t="b">
        <v>1</v>
      </c>
      <c r="U1413" s="18" t="s">
        <v>150</v>
      </c>
      <c r="V1413" s="18" t="s">
        <v>40</v>
      </c>
      <c r="W1413" s="18" t="s">
        <v>412</v>
      </c>
      <c r="X1413" s="18" t="s">
        <v>413</v>
      </c>
      <c r="Y1413" s="18">
        <v>1</v>
      </c>
      <c r="Z1413" s="18">
        <v>13361</v>
      </c>
      <c r="AA1413" s="18" t="s">
        <v>3163</v>
      </c>
      <c r="AB1413" s="18" t="s">
        <v>1378</v>
      </c>
      <c r="AC1413" s="18" t="e">
        <v>#N/A</v>
      </c>
    </row>
    <row r="1414" s="18" customFormat="1" spans="1:29">
      <c r="A1414" s="18" t="s">
        <v>3164</v>
      </c>
      <c r="B1414" s="25" t="s">
        <v>3164</v>
      </c>
      <c r="C1414" s="26">
        <v>45702</v>
      </c>
      <c r="D1414" s="18" t="s">
        <v>770</v>
      </c>
      <c r="E1414" s="18" t="str">
        <f t="shared" si="22"/>
        <v>Kalu Halder............. </v>
      </c>
      <c r="F1414" s="27" t="e">
        <v>#N/A</v>
      </c>
      <c r="G1414" s="18" t="s">
        <v>147</v>
      </c>
      <c r="H1414" s="18" t="s">
        <v>148</v>
      </c>
      <c r="I1414" s="18" t="s">
        <v>54</v>
      </c>
      <c r="J1414" s="18" t="s">
        <v>1426</v>
      </c>
      <c r="K1414" s="18" t="s">
        <v>56</v>
      </c>
      <c r="L1414" s="18" t="s">
        <v>36</v>
      </c>
      <c r="N1414" s="18">
        <v>6</v>
      </c>
      <c r="O1414" s="18" t="s">
        <v>93</v>
      </c>
      <c r="P1414" s="18" t="s">
        <v>38</v>
      </c>
      <c r="Q1414" s="18" t="s">
        <v>58</v>
      </c>
      <c r="R1414" s="18" t="s">
        <v>59</v>
      </c>
      <c r="S1414" s="18" t="s">
        <v>60</v>
      </c>
      <c r="T1414" s="18" t="b">
        <v>1</v>
      </c>
      <c r="U1414" s="18" t="s">
        <v>150</v>
      </c>
      <c r="V1414" s="18" t="s">
        <v>40</v>
      </c>
      <c r="W1414" s="18" t="s">
        <v>412</v>
      </c>
      <c r="X1414" s="18" t="s">
        <v>413</v>
      </c>
      <c r="Y1414" s="18">
        <v>1</v>
      </c>
      <c r="Z1414" s="18">
        <v>9837</v>
      </c>
      <c r="AA1414" s="18" t="s">
        <v>1377</v>
      </c>
      <c r="AB1414" s="18" t="s">
        <v>1378</v>
      </c>
      <c r="AC1414" s="18" t="e">
        <v>#N/A</v>
      </c>
    </row>
    <row r="1415" s="18" customFormat="1" spans="1:29">
      <c r="A1415" s="18" t="s">
        <v>3165</v>
      </c>
      <c r="B1415" s="25" t="s">
        <v>3165</v>
      </c>
      <c r="C1415" s="26">
        <v>45702</v>
      </c>
      <c r="D1415" s="18" t="s">
        <v>3166</v>
      </c>
      <c r="E1415" s="18" t="str">
        <f t="shared" si="22"/>
        <v>Cococart Ventures Pvt Ltd</v>
      </c>
      <c r="F1415" s="27" t="s">
        <v>3167</v>
      </c>
      <c r="G1415" s="18" t="s">
        <v>147</v>
      </c>
      <c r="H1415" s="18" t="s">
        <v>148</v>
      </c>
      <c r="I1415" s="18" t="s">
        <v>54</v>
      </c>
      <c r="J1415" s="18" t="s">
        <v>2913</v>
      </c>
      <c r="K1415" s="18" t="s">
        <v>56</v>
      </c>
      <c r="L1415" s="18" t="s">
        <v>36</v>
      </c>
      <c r="N1415" s="18">
        <v>6</v>
      </c>
      <c r="O1415" s="18" t="s">
        <v>88</v>
      </c>
      <c r="P1415" s="18" t="s">
        <v>38</v>
      </c>
      <c r="Q1415" s="18" t="s">
        <v>58</v>
      </c>
      <c r="R1415" s="18" t="s">
        <v>59</v>
      </c>
      <c r="S1415" s="18" t="s">
        <v>60</v>
      </c>
      <c r="T1415" s="18" t="b">
        <v>1</v>
      </c>
      <c r="U1415" s="18" t="s">
        <v>150</v>
      </c>
      <c r="V1415" s="18" t="s">
        <v>40</v>
      </c>
      <c r="W1415" s="18" t="s">
        <v>140</v>
      </c>
      <c r="X1415" s="18" t="s">
        <v>141</v>
      </c>
      <c r="Y1415" s="18">
        <v>1</v>
      </c>
      <c r="Z1415" s="18">
        <v>272699.18</v>
      </c>
      <c r="AA1415" s="18" t="s">
        <v>1471</v>
      </c>
      <c r="AB1415" s="18" t="s">
        <v>406</v>
      </c>
      <c r="AC1415" s="18" t="s">
        <v>155</v>
      </c>
    </row>
    <row r="1416" s="18" customFormat="1" spans="1:29">
      <c r="A1416" s="18" t="s">
        <v>3168</v>
      </c>
      <c r="B1416" s="25" t="s">
        <v>3168</v>
      </c>
      <c r="C1416" s="26">
        <v>45702</v>
      </c>
      <c r="D1416" s="18" t="s">
        <v>702</v>
      </c>
      <c r="E1416" s="18" t="str">
        <f t="shared" si="22"/>
        <v>Shree Ram Computers</v>
      </c>
      <c r="F1416" s="27" t="s">
        <v>703</v>
      </c>
      <c r="G1416" s="18" t="s">
        <v>147</v>
      </c>
      <c r="H1416" s="18" t="s">
        <v>148</v>
      </c>
      <c r="I1416" s="18" t="s">
        <v>159</v>
      </c>
      <c r="J1416" s="18" t="s">
        <v>1426</v>
      </c>
      <c r="K1416" s="18" t="s">
        <v>56</v>
      </c>
      <c r="L1416" s="18" t="s">
        <v>36</v>
      </c>
      <c r="N1416" s="18">
        <v>6</v>
      </c>
      <c r="O1416" s="18" t="s">
        <v>57</v>
      </c>
      <c r="P1416" s="18" t="s">
        <v>38</v>
      </c>
      <c r="Q1416" s="18" t="s">
        <v>58</v>
      </c>
      <c r="R1416" s="18" t="s">
        <v>59</v>
      </c>
      <c r="S1416" s="18" t="s">
        <v>60</v>
      </c>
      <c r="T1416" s="18" t="b">
        <v>1</v>
      </c>
      <c r="U1416" s="18" t="s">
        <v>150</v>
      </c>
      <c r="V1416" s="18" t="s">
        <v>40</v>
      </c>
      <c r="W1416" s="18" t="s">
        <v>704</v>
      </c>
      <c r="X1416" s="18" t="s">
        <v>704</v>
      </c>
      <c r="Y1416" s="18">
        <v>1</v>
      </c>
      <c r="Z1416" s="18">
        <v>13983</v>
      </c>
      <c r="AA1416" s="18" t="s">
        <v>176</v>
      </c>
      <c r="AB1416" s="18" t="s">
        <v>173</v>
      </c>
      <c r="AC1416" s="18" t="s">
        <v>163</v>
      </c>
    </row>
    <row r="1417" s="18" customFormat="1" spans="1:29">
      <c r="A1417" s="18" t="s">
        <v>3169</v>
      </c>
      <c r="B1417" s="25" t="s">
        <v>3169</v>
      </c>
      <c r="C1417" s="26">
        <v>45702</v>
      </c>
      <c r="D1417" s="18" t="s">
        <v>384</v>
      </c>
      <c r="E1417" s="18" t="str">
        <f t="shared" si="22"/>
        <v>Anurag Jadli  </v>
      </c>
      <c r="F1417" s="27" t="e">
        <v>#N/A</v>
      </c>
      <c r="G1417" s="18" t="s">
        <v>147</v>
      </c>
      <c r="H1417" s="18" t="s">
        <v>148</v>
      </c>
      <c r="I1417" s="18" t="s">
        <v>159</v>
      </c>
      <c r="J1417" s="18" t="s">
        <v>1426</v>
      </c>
      <c r="K1417" s="18" t="s">
        <v>56</v>
      </c>
      <c r="L1417" s="18" t="s">
        <v>36</v>
      </c>
      <c r="N1417" s="18">
        <v>6</v>
      </c>
      <c r="O1417" s="18" t="s">
        <v>93</v>
      </c>
      <c r="P1417" s="18" t="s">
        <v>38</v>
      </c>
      <c r="Q1417" s="18" t="s">
        <v>58</v>
      </c>
      <c r="R1417" s="18" t="s">
        <v>59</v>
      </c>
      <c r="S1417" s="18" t="s">
        <v>60</v>
      </c>
      <c r="T1417" s="18" t="b">
        <v>1</v>
      </c>
      <c r="U1417" s="18" t="s">
        <v>150</v>
      </c>
      <c r="V1417" s="18" t="s">
        <v>40</v>
      </c>
      <c r="W1417" s="18" t="s">
        <v>126</v>
      </c>
      <c r="X1417" s="18" t="s">
        <v>127</v>
      </c>
      <c r="Y1417" s="18">
        <v>1</v>
      </c>
      <c r="Z1417" s="18">
        <v>1002</v>
      </c>
      <c r="AA1417" s="18" t="s">
        <v>1715</v>
      </c>
      <c r="AB1417" s="18" t="s">
        <v>386</v>
      </c>
      <c r="AC1417" s="18" t="e">
        <v>#N/A</v>
      </c>
    </row>
    <row r="1418" s="18" customFormat="1" spans="1:29">
      <c r="A1418" s="18" t="s">
        <v>3170</v>
      </c>
      <c r="B1418" s="25" t="s">
        <v>3170</v>
      </c>
      <c r="C1418" s="26">
        <v>45702</v>
      </c>
      <c r="D1418" s="18" t="s">
        <v>3171</v>
      </c>
      <c r="E1418" s="18" t="str">
        <f t="shared" si="22"/>
        <v>Shoeb Kadri  </v>
      </c>
      <c r="F1418" s="27" t="e">
        <v>#N/A</v>
      </c>
      <c r="G1418" s="18" t="s">
        <v>182</v>
      </c>
      <c r="H1418" s="18" t="s">
        <v>183</v>
      </c>
      <c r="I1418" s="18" t="s">
        <v>481</v>
      </c>
      <c r="J1418" s="18" t="s">
        <v>1968</v>
      </c>
      <c r="K1418" s="18" t="s">
        <v>56</v>
      </c>
      <c r="L1418" s="18" t="s">
        <v>36</v>
      </c>
      <c r="N1418" s="18">
        <v>6</v>
      </c>
      <c r="O1418" s="18" t="s">
        <v>93</v>
      </c>
      <c r="P1418" s="18" t="s">
        <v>38</v>
      </c>
      <c r="Q1418" s="18" t="s">
        <v>194</v>
      </c>
      <c r="R1418" s="18" t="s">
        <v>59</v>
      </c>
      <c r="S1418" s="18" t="s">
        <v>195</v>
      </c>
      <c r="T1418" s="18" t="b">
        <v>0</v>
      </c>
      <c r="U1418" s="18" t="s">
        <v>187</v>
      </c>
      <c r="V1418" s="18" t="s">
        <v>40</v>
      </c>
      <c r="W1418" s="18" t="s">
        <v>126</v>
      </c>
      <c r="X1418" s="18" t="s">
        <v>127</v>
      </c>
      <c r="Y1418" s="18">
        <v>1</v>
      </c>
      <c r="Z1418" s="18">
        <v>4850.73</v>
      </c>
      <c r="AC1418" s="18" t="e">
        <v>#N/A</v>
      </c>
    </row>
    <row r="1419" s="18" customFormat="1" ht="43.5" spans="1:29">
      <c r="A1419" s="18" t="s">
        <v>3172</v>
      </c>
      <c r="B1419" s="25" t="s">
        <v>3172</v>
      </c>
      <c r="C1419" s="26">
        <v>45702</v>
      </c>
      <c r="D1419" s="18" t="s">
        <v>268</v>
      </c>
      <c r="E1419" s="18" t="str">
        <f t="shared" si="22"/>
        <v>Rentastic</v>
      </c>
      <c r="F1419" s="27" t="e">
        <v>#N/A</v>
      </c>
      <c r="G1419" s="18" t="s">
        <v>182</v>
      </c>
      <c r="H1419" s="18" t="s">
        <v>183</v>
      </c>
      <c r="I1419" s="18" t="s">
        <v>184</v>
      </c>
      <c r="J1419" s="18" t="s">
        <v>2690</v>
      </c>
      <c r="K1419" s="18" t="s">
        <v>56</v>
      </c>
      <c r="L1419" s="18" t="s">
        <v>36</v>
      </c>
      <c r="N1419" s="18">
        <v>6</v>
      </c>
      <c r="O1419" s="18" t="s">
        <v>88</v>
      </c>
      <c r="P1419" s="18" t="s">
        <v>38</v>
      </c>
      <c r="Q1419" s="18" t="s">
        <v>194</v>
      </c>
      <c r="R1419" s="18" t="s">
        <v>59</v>
      </c>
      <c r="S1419" s="18" t="s">
        <v>195</v>
      </c>
      <c r="T1419" s="18" t="b">
        <v>0</v>
      </c>
      <c r="U1419" s="18" t="s">
        <v>187</v>
      </c>
      <c r="V1419" s="18" t="s">
        <v>40</v>
      </c>
      <c r="W1419" s="18" t="s">
        <v>151</v>
      </c>
      <c r="X1419" s="18" t="s">
        <v>152</v>
      </c>
      <c r="Y1419" s="18">
        <v>1</v>
      </c>
      <c r="Z1419" s="18">
        <v>15000</v>
      </c>
      <c r="AA1419" s="31" t="s">
        <v>2933</v>
      </c>
      <c r="AB1419" s="18" t="s">
        <v>1566</v>
      </c>
      <c r="AC1419" s="18" t="s">
        <v>200</v>
      </c>
    </row>
    <row r="1420" s="18" customFormat="1" ht="43.5" spans="1:29">
      <c r="A1420" s="18" t="s">
        <v>3173</v>
      </c>
      <c r="B1420" s="25" t="s">
        <v>3173</v>
      </c>
      <c r="C1420" s="26">
        <v>45702</v>
      </c>
      <c r="D1420" s="18" t="s">
        <v>3174</v>
      </c>
      <c r="E1420" s="18" t="str">
        <f t="shared" si="22"/>
        <v>Olive Nest Pvt Ltd</v>
      </c>
      <c r="F1420" s="27" t="s">
        <v>3175</v>
      </c>
      <c r="G1420" s="18" t="s">
        <v>182</v>
      </c>
      <c r="H1420" s="18" t="s">
        <v>183</v>
      </c>
      <c r="I1420" s="18" t="s">
        <v>184</v>
      </c>
      <c r="J1420" s="18" t="s">
        <v>2775</v>
      </c>
      <c r="K1420" s="18" t="s">
        <v>56</v>
      </c>
      <c r="L1420" s="18" t="s">
        <v>36</v>
      </c>
      <c r="N1420" s="18">
        <v>6</v>
      </c>
      <c r="O1420" s="18" t="s">
        <v>88</v>
      </c>
      <c r="P1420" s="18" t="s">
        <v>38</v>
      </c>
      <c r="Q1420" s="18" t="s">
        <v>117</v>
      </c>
      <c r="R1420" s="18" t="s">
        <v>59</v>
      </c>
      <c r="S1420" s="18" t="s">
        <v>186</v>
      </c>
      <c r="T1420" s="18" t="b">
        <v>0</v>
      </c>
      <c r="U1420" s="18" t="s">
        <v>187</v>
      </c>
      <c r="V1420" s="18" t="s">
        <v>40</v>
      </c>
      <c r="W1420" s="18" t="s">
        <v>61</v>
      </c>
      <c r="X1420" s="18" t="s">
        <v>62</v>
      </c>
      <c r="Y1420" s="18">
        <v>1</v>
      </c>
      <c r="Z1420" s="18">
        <v>54550</v>
      </c>
      <c r="AA1420" s="31" t="s">
        <v>3176</v>
      </c>
      <c r="AB1420" s="18" t="s">
        <v>1424</v>
      </c>
      <c r="AC1420" s="18" t="s">
        <v>764</v>
      </c>
    </row>
    <row r="1421" s="18" customFormat="1" ht="43.5" spans="1:29">
      <c r="A1421" s="18" t="s">
        <v>3177</v>
      </c>
      <c r="B1421" s="25" t="s">
        <v>3177</v>
      </c>
      <c r="C1421" s="26">
        <v>45702</v>
      </c>
      <c r="D1421" s="18" t="s">
        <v>1627</v>
      </c>
      <c r="E1421" s="18" t="str">
        <f t="shared" si="22"/>
        <v>Blink Entertainment</v>
      </c>
      <c r="F1421" s="27" t="s">
        <v>1628</v>
      </c>
      <c r="G1421" s="18" t="s">
        <v>182</v>
      </c>
      <c r="H1421" s="18" t="s">
        <v>183</v>
      </c>
      <c r="I1421" s="18" t="s">
        <v>184</v>
      </c>
      <c r="J1421" s="18" t="s">
        <v>3123</v>
      </c>
      <c r="K1421" s="18" t="s">
        <v>56</v>
      </c>
      <c r="L1421" s="18" t="s">
        <v>36</v>
      </c>
      <c r="N1421" s="18">
        <v>6</v>
      </c>
      <c r="O1421" s="18" t="s">
        <v>57</v>
      </c>
      <c r="P1421" s="18" t="s">
        <v>38</v>
      </c>
      <c r="Q1421" s="18" t="s">
        <v>194</v>
      </c>
      <c r="R1421" s="18" t="s">
        <v>59</v>
      </c>
      <c r="S1421" s="18" t="s">
        <v>195</v>
      </c>
      <c r="T1421" s="18" t="b">
        <v>0</v>
      </c>
      <c r="U1421" s="18" t="s">
        <v>187</v>
      </c>
      <c r="V1421" s="18" t="s">
        <v>40</v>
      </c>
      <c r="W1421" s="18" t="s">
        <v>250</v>
      </c>
      <c r="X1421" s="18" t="s">
        <v>251</v>
      </c>
      <c r="Y1421" s="18">
        <v>1</v>
      </c>
      <c r="Z1421" s="18">
        <v>125000</v>
      </c>
      <c r="AA1421" s="31" t="s">
        <v>3124</v>
      </c>
      <c r="AB1421" s="18" t="s">
        <v>570</v>
      </c>
      <c r="AC1421" s="18" t="s">
        <v>200</v>
      </c>
    </row>
    <row r="1422" s="18" customFormat="1" ht="43.5" spans="1:29">
      <c r="A1422" s="18" t="s">
        <v>3178</v>
      </c>
      <c r="B1422" s="25" t="s">
        <v>3178</v>
      </c>
      <c r="C1422" s="26">
        <v>45702</v>
      </c>
      <c r="D1422" s="18" t="s">
        <v>3179</v>
      </c>
      <c r="E1422" s="18" t="str">
        <f t="shared" si="22"/>
        <v>Nacre Studios</v>
      </c>
      <c r="F1422" s="27" t="s">
        <v>3180</v>
      </c>
      <c r="G1422" s="18" t="s">
        <v>182</v>
      </c>
      <c r="H1422" s="18" t="s">
        <v>183</v>
      </c>
      <c r="I1422" s="18" t="s">
        <v>184</v>
      </c>
      <c r="J1422" s="18" t="s">
        <v>3123</v>
      </c>
      <c r="K1422" s="18" t="s">
        <v>56</v>
      </c>
      <c r="L1422" s="18" t="s">
        <v>36</v>
      </c>
      <c r="N1422" s="18">
        <v>6</v>
      </c>
      <c r="O1422" s="18" t="s">
        <v>88</v>
      </c>
      <c r="P1422" s="18" t="s">
        <v>38</v>
      </c>
      <c r="Q1422" s="18" t="s">
        <v>194</v>
      </c>
      <c r="R1422" s="18" t="s">
        <v>59</v>
      </c>
      <c r="S1422" s="18" t="s">
        <v>195</v>
      </c>
      <c r="T1422" s="18" t="b">
        <v>0</v>
      </c>
      <c r="U1422" s="18" t="s">
        <v>187</v>
      </c>
      <c r="V1422" s="18" t="s">
        <v>40</v>
      </c>
      <c r="W1422" s="18" t="s">
        <v>140</v>
      </c>
      <c r="X1422" s="18" t="s">
        <v>141</v>
      </c>
      <c r="Y1422" s="18">
        <v>1</v>
      </c>
      <c r="Z1422" s="18">
        <v>1279030</v>
      </c>
      <c r="AA1422" s="31" t="s">
        <v>3124</v>
      </c>
      <c r="AB1422" s="18" t="s">
        <v>570</v>
      </c>
      <c r="AC1422" s="18" t="s">
        <v>200</v>
      </c>
    </row>
    <row r="1423" s="18" customFormat="1" ht="43.5" spans="1:29">
      <c r="A1423" s="18" t="s">
        <v>3181</v>
      </c>
      <c r="B1423" s="25" t="s">
        <v>3181</v>
      </c>
      <c r="C1423" s="26">
        <v>45702</v>
      </c>
      <c r="D1423" s="18" t="s">
        <v>3182</v>
      </c>
      <c r="E1423" s="18" t="str">
        <f t="shared" si="22"/>
        <v>Daffodils</v>
      </c>
      <c r="F1423" s="27" t="e">
        <v>#N/A</v>
      </c>
      <c r="G1423" s="18" t="s">
        <v>182</v>
      </c>
      <c r="H1423" s="18" t="s">
        <v>183</v>
      </c>
      <c r="I1423" s="18" t="s">
        <v>184</v>
      </c>
      <c r="J1423" s="18" t="s">
        <v>2277</v>
      </c>
      <c r="K1423" s="18" t="s">
        <v>56</v>
      </c>
      <c r="L1423" s="18" t="s">
        <v>36</v>
      </c>
      <c r="N1423" s="18">
        <v>6</v>
      </c>
      <c r="O1423" s="18" t="s">
        <v>88</v>
      </c>
      <c r="P1423" s="18" t="s">
        <v>38</v>
      </c>
      <c r="Q1423" s="18" t="s">
        <v>194</v>
      </c>
      <c r="R1423" s="18" t="s">
        <v>59</v>
      </c>
      <c r="S1423" s="18" t="s">
        <v>195</v>
      </c>
      <c r="T1423" s="18" t="b">
        <v>0</v>
      </c>
      <c r="U1423" s="18" t="s">
        <v>187</v>
      </c>
      <c r="V1423" s="18" t="s">
        <v>40</v>
      </c>
      <c r="W1423" s="18" t="s">
        <v>317</v>
      </c>
      <c r="X1423" s="18" t="s">
        <v>318</v>
      </c>
      <c r="Y1423" s="18">
        <v>1</v>
      </c>
      <c r="Z1423" s="18">
        <v>1060000</v>
      </c>
      <c r="AA1423" s="31" t="s">
        <v>3124</v>
      </c>
      <c r="AB1423" s="18" t="s">
        <v>570</v>
      </c>
      <c r="AC1423" s="18" t="s">
        <v>200</v>
      </c>
    </row>
    <row r="1424" s="18" customFormat="1" ht="43.5" spans="1:29">
      <c r="A1424" s="18" t="s">
        <v>3183</v>
      </c>
      <c r="B1424" s="25" t="s">
        <v>3183</v>
      </c>
      <c r="C1424" s="26">
        <v>45702</v>
      </c>
      <c r="D1424" s="18" t="s">
        <v>3184</v>
      </c>
      <c r="E1424" s="18" t="str">
        <f t="shared" si="22"/>
        <v>Hunger Inc Hospitality Pvt Ltd</v>
      </c>
      <c r="F1424" s="27" t="s">
        <v>3185</v>
      </c>
      <c r="G1424" s="18" t="s">
        <v>182</v>
      </c>
      <c r="H1424" s="18" t="s">
        <v>183</v>
      </c>
      <c r="I1424" s="18" t="s">
        <v>184</v>
      </c>
      <c r="J1424" s="18" t="s">
        <v>3123</v>
      </c>
      <c r="K1424" s="18" t="s">
        <v>56</v>
      </c>
      <c r="L1424" s="18" t="s">
        <v>36</v>
      </c>
      <c r="N1424" s="18">
        <v>6</v>
      </c>
      <c r="O1424" s="18" t="s">
        <v>88</v>
      </c>
      <c r="P1424" s="18" t="s">
        <v>38</v>
      </c>
      <c r="Q1424" s="18" t="s">
        <v>194</v>
      </c>
      <c r="R1424" s="18" t="s">
        <v>59</v>
      </c>
      <c r="S1424" s="18" t="s">
        <v>195</v>
      </c>
      <c r="T1424" s="18" t="b">
        <v>0</v>
      </c>
      <c r="U1424" s="18" t="s">
        <v>187</v>
      </c>
      <c r="V1424" s="18" t="s">
        <v>40</v>
      </c>
      <c r="W1424" s="18" t="s">
        <v>140</v>
      </c>
      <c r="X1424" s="18" t="s">
        <v>141</v>
      </c>
      <c r="Y1424" s="18">
        <v>1</v>
      </c>
      <c r="Z1424" s="18">
        <v>17389.44</v>
      </c>
      <c r="AA1424" s="31" t="s">
        <v>3124</v>
      </c>
      <c r="AB1424" s="18" t="s">
        <v>570</v>
      </c>
      <c r="AC1424" s="18" t="s">
        <v>200</v>
      </c>
    </row>
    <row r="1425" s="18" customFormat="1" ht="43.5" spans="1:29">
      <c r="A1425" s="18" t="s">
        <v>3186</v>
      </c>
      <c r="B1425" s="25" t="s">
        <v>3186</v>
      </c>
      <c r="C1425" s="26">
        <v>45702</v>
      </c>
      <c r="D1425" s="18" t="s">
        <v>2166</v>
      </c>
      <c r="E1425" s="18" t="str">
        <f t="shared" si="22"/>
        <v>Prince Graphics Pvt Ltd</v>
      </c>
      <c r="F1425" s="27" t="s">
        <v>2167</v>
      </c>
      <c r="G1425" s="18" t="s">
        <v>182</v>
      </c>
      <c r="H1425" s="18" t="s">
        <v>183</v>
      </c>
      <c r="I1425" s="18" t="s">
        <v>184</v>
      </c>
      <c r="J1425" s="18" t="s">
        <v>2707</v>
      </c>
      <c r="K1425" s="18" t="s">
        <v>56</v>
      </c>
      <c r="L1425" s="18" t="s">
        <v>36</v>
      </c>
      <c r="N1425" s="18">
        <v>6</v>
      </c>
      <c r="O1425" s="18" t="s">
        <v>57</v>
      </c>
      <c r="P1425" s="18" t="s">
        <v>38</v>
      </c>
      <c r="Q1425" s="18" t="s">
        <v>194</v>
      </c>
      <c r="R1425" s="18" t="s">
        <v>59</v>
      </c>
      <c r="S1425" s="18" t="s">
        <v>195</v>
      </c>
      <c r="T1425" s="18" t="b">
        <v>0</v>
      </c>
      <c r="U1425" s="18" t="s">
        <v>187</v>
      </c>
      <c r="V1425" s="18" t="s">
        <v>40</v>
      </c>
      <c r="W1425" s="18" t="s">
        <v>196</v>
      </c>
      <c r="X1425" s="18" t="s">
        <v>197</v>
      </c>
      <c r="Y1425" s="18">
        <v>1</v>
      </c>
      <c r="Z1425" s="18">
        <v>39450</v>
      </c>
      <c r="AA1425" s="31" t="s">
        <v>2708</v>
      </c>
      <c r="AB1425" s="18" t="s">
        <v>2169</v>
      </c>
      <c r="AC1425" s="18" t="s">
        <v>200</v>
      </c>
    </row>
    <row r="1426" s="18" customFormat="1" ht="43.5" spans="1:29">
      <c r="A1426" s="18" t="s">
        <v>3187</v>
      </c>
      <c r="B1426" s="25" t="s">
        <v>3187</v>
      </c>
      <c r="C1426" s="26">
        <v>45702</v>
      </c>
      <c r="D1426" s="18" t="s">
        <v>3188</v>
      </c>
      <c r="E1426" s="18" t="str">
        <f t="shared" si="22"/>
        <v>Nepa Rai Choudhary</v>
      </c>
      <c r="F1426" s="27" t="s">
        <v>3189</v>
      </c>
      <c r="G1426" s="18" t="s">
        <v>182</v>
      </c>
      <c r="H1426" s="18" t="s">
        <v>183</v>
      </c>
      <c r="I1426" s="18" t="s">
        <v>184</v>
      </c>
      <c r="J1426" s="18" t="s">
        <v>2707</v>
      </c>
      <c r="K1426" s="18" t="s">
        <v>56</v>
      </c>
      <c r="L1426" s="18" t="s">
        <v>36</v>
      </c>
      <c r="N1426" s="18">
        <v>6</v>
      </c>
      <c r="O1426" s="18" t="s">
        <v>57</v>
      </c>
      <c r="P1426" s="18" t="s">
        <v>38</v>
      </c>
      <c r="Q1426" s="18" t="s">
        <v>194</v>
      </c>
      <c r="R1426" s="18" t="s">
        <v>59</v>
      </c>
      <c r="S1426" s="18" t="s">
        <v>195</v>
      </c>
      <c r="T1426" s="18" t="b">
        <v>0</v>
      </c>
      <c r="U1426" s="18" t="s">
        <v>187</v>
      </c>
      <c r="V1426" s="18" t="s">
        <v>40</v>
      </c>
      <c r="W1426" s="18" t="s">
        <v>347</v>
      </c>
      <c r="X1426" s="18" t="s">
        <v>348</v>
      </c>
      <c r="Y1426" s="18">
        <v>1</v>
      </c>
      <c r="Z1426" s="18">
        <v>40000</v>
      </c>
      <c r="AA1426" s="31" t="s">
        <v>2708</v>
      </c>
      <c r="AB1426" s="18" t="s">
        <v>2169</v>
      </c>
      <c r="AC1426" s="18" t="e">
        <v>#N/A</v>
      </c>
    </row>
    <row r="1427" s="18" customFormat="1" ht="43.5" spans="1:29">
      <c r="A1427" s="18" t="s">
        <v>3190</v>
      </c>
      <c r="B1427" s="25" t="s">
        <v>3190</v>
      </c>
      <c r="C1427" s="26">
        <v>45702</v>
      </c>
      <c r="D1427" s="18" t="s">
        <v>3191</v>
      </c>
      <c r="E1427" s="18" t="str">
        <f t="shared" si="22"/>
        <v>Blushfox Studios LLP</v>
      </c>
      <c r="F1427" s="27" t="s">
        <v>3192</v>
      </c>
      <c r="G1427" s="18" t="s">
        <v>182</v>
      </c>
      <c r="H1427" s="18" t="s">
        <v>183</v>
      </c>
      <c r="I1427" s="18" t="s">
        <v>184</v>
      </c>
      <c r="J1427" s="18" t="s">
        <v>2171</v>
      </c>
      <c r="K1427" s="18" t="s">
        <v>56</v>
      </c>
      <c r="L1427" s="18" t="s">
        <v>36</v>
      </c>
      <c r="N1427" s="18">
        <v>6</v>
      </c>
      <c r="O1427" s="18" t="s">
        <v>57</v>
      </c>
      <c r="P1427" s="18" t="s">
        <v>38</v>
      </c>
      <c r="Q1427" s="18" t="s">
        <v>194</v>
      </c>
      <c r="R1427" s="18" t="s">
        <v>59</v>
      </c>
      <c r="S1427" s="18" t="s">
        <v>195</v>
      </c>
      <c r="T1427" s="18" t="b">
        <v>0</v>
      </c>
      <c r="U1427" s="18" t="s">
        <v>187</v>
      </c>
      <c r="V1427" s="18" t="s">
        <v>40</v>
      </c>
      <c r="W1427" s="18" t="s">
        <v>401</v>
      </c>
      <c r="X1427" s="18" t="s">
        <v>402</v>
      </c>
      <c r="Y1427" s="18">
        <v>1</v>
      </c>
      <c r="Z1427" s="18">
        <v>5000</v>
      </c>
      <c r="AA1427" s="31" t="s">
        <v>3193</v>
      </c>
      <c r="AB1427" s="18" t="s">
        <v>199</v>
      </c>
      <c r="AC1427" s="18" t="e">
        <v>#N/A</v>
      </c>
    </row>
    <row r="1428" s="18" customFormat="1" ht="43.5" spans="1:29">
      <c r="A1428" s="18" t="s">
        <v>3194</v>
      </c>
      <c r="B1428" s="25" t="s">
        <v>3194</v>
      </c>
      <c r="C1428" s="26">
        <v>45702</v>
      </c>
      <c r="D1428" s="18" t="s">
        <v>3195</v>
      </c>
      <c r="E1428" s="18" t="str">
        <f t="shared" si="22"/>
        <v>Sula Vineyards Ltd</v>
      </c>
      <c r="F1428" s="27" t="s">
        <v>3196</v>
      </c>
      <c r="G1428" s="18" t="s">
        <v>182</v>
      </c>
      <c r="H1428" s="18" t="s">
        <v>183</v>
      </c>
      <c r="I1428" s="18" t="s">
        <v>184</v>
      </c>
      <c r="J1428" s="18" t="s">
        <v>3114</v>
      </c>
      <c r="K1428" s="18" t="s">
        <v>56</v>
      </c>
      <c r="L1428" s="18" t="s">
        <v>36</v>
      </c>
      <c r="N1428" s="18">
        <v>6</v>
      </c>
      <c r="O1428" s="18" t="s">
        <v>57</v>
      </c>
      <c r="P1428" s="18" t="s">
        <v>38</v>
      </c>
      <c r="Q1428" s="18" t="s">
        <v>194</v>
      </c>
      <c r="R1428" s="18" t="s">
        <v>59</v>
      </c>
      <c r="S1428" s="18" t="s">
        <v>195</v>
      </c>
      <c r="T1428" s="18" t="b">
        <v>0</v>
      </c>
      <c r="U1428" s="18" t="s">
        <v>187</v>
      </c>
      <c r="V1428" s="18" t="s">
        <v>40</v>
      </c>
      <c r="W1428" s="18" t="s">
        <v>276</v>
      </c>
      <c r="X1428" s="18" t="s">
        <v>276</v>
      </c>
      <c r="Y1428" s="18">
        <v>1</v>
      </c>
      <c r="Z1428" s="18">
        <v>49500</v>
      </c>
      <c r="AA1428" s="31" t="s">
        <v>3176</v>
      </c>
      <c r="AB1428" s="18" t="s">
        <v>1424</v>
      </c>
      <c r="AC1428" s="18" t="s">
        <v>676</v>
      </c>
    </row>
    <row r="1429" s="18" customFormat="1" ht="43.5" spans="1:29">
      <c r="A1429" s="18" t="s">
        <v>3197</v>
      </c>
      <c r="B1429" s="25" t="s">
        <v>3197</v>
      </c>
      <c r="C1429" s="26">
        <v>45702</v>
      </c>
      <c r="D1429" s="18" t="s">
        <v>1277</v>
      </c>
      <c r="E1429" s="18" t="str">
        <f t="shared" si="22"/>
        <v>Pradeep Golak Das </v>
      </c>
      <c r="F1429" s="27" t="e">
        <v>#N/A</v>
      </c>
      <c r="G1429" s="18" t="s">
        <v>182</v>
      </c>
      <c r="H1429" s="18" t="s">
        <v>183</v>
      </c>
      <c r="I1429" s="18" t="s">
        <v>184</v>
      </c>
      <c r="J1429" s="18" t="s">
        <v>3198</v>
      </c>
      <c r="K1429" s="18" t="s">
        <v>56</v>
      </c>
      <c r="L1429" s="18" t="s">
        <v>36</v>
      </c>
      <c r="N1429" s="18">
        <v>6</v>
      </c>
      <c r="O1429" s="18" t="s">
        <v>57</v>
      </c>
      <c r="P1429" s="18" t="s">
        <v>38</v>
      </c>
      <c r="Q1429" s="18" t="s">
        <v>194</v>
      </c>
      <c r="R1429" s="18" t="s">
        <v>59</v>
      </c>
      <c r="S1429" s="18" t="s">
        <v>195</v>
      </c>
      <c r="T1429" s="18" t="b">
        <v>0</v>
      </c>
      <c r="U1429" s="18" t="s">
        <v>187</v>
      </c>
      <c r="V1429" s="18" t="s">
        <v>40</v>
      </c>
      <c r="W1429" s="18" t="s">
        <v>250</v>
      </c>
      <c r="X1429" s="18" t="s">
        <v>251</v>
      </c>
      <c r="Y1429" s="18">
        <v>1</v>
      </c>
      <c r="Z1429" s="18">
        <v>185000</v>
      </c>
      <c r="AA1429" s="31" t="s">
        <v>2890</v>
      </c>
      <c r="AB1429" s="18" t="s">
        <v>948</v>
      </c>
      <c r="AC1429" s="18" t="e">
        <v>#N/A</v>
      </c>
    </row>
    <row r="1430" s="18" customFormat="1" ht="43.5" spans="1:29">
      <c r="A1430" s="18" t="s">
        <v>3199</v>
      </c>
      <c r="B1430" s="25" t="s">
        <v>3199</v>
      </c>
      <c r="C1430" s="26">
        <v>45702</v>
      </c>
      <c r="D1430" s="18" t="s">
        <v>3200</v>
      </c>
      <c r="E1430" s="18" t="str">
        <f t="shared" si="22"/>
        <v>Gaurstic</v>
      </c>
      <c r="F1430" s="27" t="e">
        <v>#N/A</v>
      </c>
      <c r="G1430" s="18" t="s">
        <v>182</v>
      </c>
      <c r="H1430" s="18" t="s">
        <v>183</v>
      </c>
      <c r="I1430" s="18" t="s">
        <v>184</v>
      </c>
      <c r="J1430" s="18" t="s">
        <v>3161</v>
      </c>
      <c r="K1430" s="18" t="s">
        <v>56</v>
      </c>
      <c r="L1430" s="18" t="s">
        <v>36</v>
      </c>
      <c r="N1430" s="18">
        <v>6</v>
      </c>
      <c r="O1430" s="18" t="s">
        <v>57</v>
      </c>
      <c r="P1430" s="18" t="s">
        <v>38</v>
      </c>
      <c r="Q1430" s="18" t="s">
        <v>194</v>
      </c>
      <c r="R1430" s="18" t="s">
        <v>59</v>
      </c>
      <c r="S1430" s="18" t="s">
        <v>195</v>
      </c>
      <c r="T1430" s="18" t="b">
        <v>0</v>
      </c>
      <c r="U1430" s="18" t="s">
        <v>187</v>
      </c>
      <c r="V1430" s="18" t="s">
        <v>40</v>
      </c>
      <c r="W1430" s="18" t="s">
        <v>347</v>
      </c>
      <c r="X1430" s="18" t="s">
        <v>348</v>
      </c>
      <c r="Y1430" s="18">
        <v>1</v>
      </c>
      <c r="Z1430" s="18">
        <v>20000</v>
      </c>
      <c r="AA1430" s="31" t="s">
        <v>3069</v>
      </c>
      <c r="AB1430" s="18" t="s">
        <v>1457</v>
      </c>
      <c r="AC1430" s="18" t="s">
        <v>200</v>
      </c>
    </row>
    <row r="1431" s="18" customFormat="1" ht="43.5" spans="1:29">
      <c r="A1431" s="18" t="s">
        <v>3201</v>
      </c>
      <c r="B1431" s="25" t="s">
        <v>3201</v>
      </c>
      <c r="C1431" s="26">
        <v>45702</v>
      </c>
      <c r="D1431" s="18" t="s">
        <v>3202</v>
      </c>
      <c r="E1431" s="18" t="str">
        <f t="shared" si="22"/>
        <v>Unekha</v>
      </c>
      <c r="F1431" s="27" t="e">
        <v>#N/A</v>
      </c>
      <c r="G1431" s="18" t="s">
        <v>182</v>
      </c>
      <c r="H1431" s="18" t="s">
        <v>183</v>
      </c>
      <c r="I1431" s="18" t="s">
        <v>184</v>
      </c>
      <c r="J1431" s="18" t="s">
        <v>2736</v>
      </c>
      <c r="K1431" s="18" t="s">
        <v>56</v>
      </c>
      <c r="L1431" s="18" t="s">
        <v>36</v>
      </c>
      <c r="N1431" s="18">
        <v>6</v>
      </c>
      <c r="O1431" s="18" t="s">
        <v>88</v>
      </c>
      <c r="P1431" s="18" t="s">
        <v>38</v>
      </c>
      <c r="Q1431" s="18" t="s">
        <v>194</v>
      </c>
      <c r="R1431" s="18" t="s">
        <v>59</v>
      </c>
      <c r="S1431" s="18" t="s">
        <v>195</v>
      </c>
      <c r="T1431" s="18" t="b">
        <v>0</v>
      </c>
      <c r="U1431" s="18" t="s">
        <v>187</v>
      </c>
      <c r="V1431" s="18" t="s">
        <v>40</v>
      </c>
      <c r="W1431" s="18" t="s">
        <v>250</v>
      </c>
      <c r="X1431" s="18" t="s">
        <v>251</v>
      </c>
      <c r="Y1431" s="18">
        <v>1</v>
      </c>
      <c r="Z1431" s="18">
        <v>80000</v>
      </c>
      <c r="AA1431" s="31" t="s">
        <v>3203</v>
      </c>
      <c r="AB1431" s="18" t="s">
        <v>902</v>
      </c>
      <c r="AC1431" s="18" t="s">
        <v>216</v>
      </c>
    </row>
    <row r="1432" s="18" customFormat="1" spans="1:29">
      <c r="A1432" s="18" t="s">
        <v>3204</v>
      </c>
      <c r="B1432" s="25" t="s">
        <v>3204</v>
      </c>
      <c r="C1432" s="26">
        <v>45702</v>
      </c>
      <c r="D1432" s="18" t="s">
        <v>3205</v>
      </c>
      <c r="E1432" s="18" t="str">
        <f t="shared" si="22"/>
        <v>The Indian Express Private Limited</v>
      </c>
      <c r="F1432" s="27" t="e">
        <v>#N/A</v>
      </c>
      <c r="G1432" s="18" t="s">
        <v>182</v>
      </c>
      <c r="H1432" s="18" t="s">
        <v>183</v>
      </c>
      <c r="I1432" s="18" t="s">
        <v>207</v>
      </c>
      <c r="J1432" s="18" t="s">
        <v>1370</v>
      </c>
      <c r="K1432" s="18" t="s">
        <v>56</v>
      </c>
      <c r="L1432" s="18" t="s">
        <v>36</v>
      </c>
      <c r="N1432" s="18">
        <v>6</v>
      </c>
      <c r="O1432" s="18" t="s">
        <v>57</v>
      </c>
      <c r="P1432" s="18" t="s">
        <v>38</v>
      </c>
      <c r="Q1432" s="18" t="s">
        <v>58</v>
      </c>
      <c r="R1432" s="18" t="s">
        <v>59</v>
      </c>
      <c r="S1432" s="18" t="s">
        <v>60</v>
      </c>
      <c r="T1432" s="18" t="b">
        <v>0</v>
      </c>
      <c r="U1432" s="18" t="s">
        <v>187</v>
      </c>
      <c r="V1432" s="18" t="s">
        <v>40</v>
      </c>
      <c r="W1432" s="18" t="s">
        <v>233</v>
      </c>
      <c r="X1432" s="18" t="s">
        <v>234</v>
      </c>
      <c r="Y1432" s="18">
        <v>1</v>
      </c>
      <c r="Z1432" s="18">
        <v>1600000</v>
      </c>
      <c r="AA1432" s="18" t="s">
        <v>241</v>
      </c>
      <c r="AB1432" s="18" t="s">
        <v>242</v>
      </c>
      <c r="AC1432" s="18" t="s">
        <v>200</v>
      </c>
    </row>
    <row r="1433" s="18" customFormat="1" spans="1:29">
      <c r="A1433" s="18" t="s">
        <v>3206</v>
      </c>
      <c r="B1433" s="25" t="s">
        <v>3206</v>
      </c>
      <c r="C1433" s="26">
        <v>45702</v>
      </c>
      <c r="D1433" s="18" t="s">
        <v>3205</v>
      </c>
      <c r="E1433" s="18" t="str">
        <f t="shared" si="22"/>
        <v>The Indian Express Private Limited</v>
      </c>
      <c r="F1433" s="27" t="e">
        <v>#N/A</v>
      </c>
      <c r="G1433" s="18" t="s">
        <v>182</v>
      </c>
      <c r="H1433" s="18" t="s">
        <v>183</v>
      </c>
      <c r="I1433" s="18" t="s">
        <v>207</v>
      </c>
      <c r="J1433" s="18" t="s">
        <v>3207</v>
      </c>
      <c r="K1433" s="18" t="s">
        <v>56</v>
      </c>
      <c r="L1433" s="18" t="s">
        <v>36</v>
      </c>
      <c r="N1433" s="18">
        <v>6</v>
      </c>
      <c r="O1433" s="18" t="s">
        <v>57</v>
      </c>
      <c r="P1433" s="18" t="s">
        <v>38</v>
      </c>
      <c r="Q1433" s="18" t="s">
        <v>58</v>
      </c>
      <c r="R1433" s="18" t="s">
        <v>59</v>
      </c>
      <c r="S1433" s="18" t="s">
        <v>60</v>
      </c>
      <c r="T1433" s="18" t="b">
        <v>0</v>
      </c>
      <c r="U1433" s="18" t="s">
        <v>187</v>
      </c>
      <c r="V1433" s="18" t="s">
        <v>40</v>
      </c>
      <c r="W1433" s="18" t="s">
        <v>233</v>
      </c>
      <c r="X1433" s="18" t="s">
        <v>234</v>
      </c>
      <c r="Y1433" s="18">
        <v>1</v>
      </c>
      <c r="Z1433" s="18">
        <v>800000</v>
      </c>
      <c r="AA1433" s="18" t="s">
        <v>241</v>
      </c>
      <c r="AB1433" s="18" t="s">
        <v>242</v>
      </c>
      <c r="AC1433" s="18" t="s">
        <v>200</v>
      </c>
    </row>
    <row r="1434" s="18" customFormat="1" ht="43.5" spans="1:29">
      <c r="A1434" s="18" t="s">
        <v>3208</v>
      </c>
      <c r="B1434" s="25" t="s">
        <v>3208</v>
      </c>
      <c r="C1434" s="26">
        <v>45702</v>
      </c>
      <c r="D1434" s="18" t="s">
        <v>572</v>
      </c>
      <c r="E1434" s="18" t="str">
        <f t="shared" si="22"/>
        <v>Emblaze Events (Sunita Harihar Sharma)</v>
      </c>
      <c r="F1434" s="27" t="s">
        <v>573</v>
      </c>
      <c r="G1434" s="18" t="s">
        <v>182</v>
      </c>
      <c r="H1434" s="18" t="s">
        <v>183</v>
      </c>
      <c r="I1434" s="18" t="s">
        <v>184</v>
      </c>
      <c r="J1434" s="18" t="s">
        <v>3209</v>
      </c>
      <c r="K1434" s="18" t="s">
        <v>56</v>
      </c>
      <c r="L1434" s="18" t="s">
        <v>36</v>
      </c>
      <c r="N1434" s="18">
        <v>6</v>
      </c>
      <c r="O1434" s="18" t="s">
        <v>88</v>
      </c>
      <c r="P1434" s="18" t="s">
        <v>38</v>
      </c>
      <c r="Q1434" s="18" t="s">
        <v>194</v>
      </c>
      <c r="R1434" s="18" t="s">
        <v>59</v>
      </c>
      <c r="S1434" s="18" t="s">
        <v>195</v>
      </c>
      <c r="T1434" s="18" t="b">
        <v>0</v>
      </c>
      <c r="U1434" s="18" t="s">
        <v>187</v>
      </c>
      <c r="V1434" s="18" t="s">
        <v>40</v>
      </c>
      <c r="W1434" s="18" t="s">
        <v>292</v>
      </c>
      <c r="X1434" s="18" t="s">
        <v>293</v>
      </c>
      <c r="Y1434" s="18">
        <v>1</v>
      </c>
      <c r="Z1434" s="18">
        <v>45000</v>
      </c>
      <c r="AA1434" s="31" t="s">
        <v>2951</v>
      </c>
      <c r="AB1434" s="18" t="s">
        <v>1228</v>
      </c>
      <c r="AC1434" s="18" t="s">
        <v>200</v>
      </c>
    </row>
    <row r="1435" s="18" customFormat="1" spans="1:29">
      <c r="A1435" s="18" t="s">
        <v>3210</v>
      </c>
      <c r="B1435" s="25" t="s">
        <v>3210</v>
      </c>
      <c r="C1435" s="26">
        <v>45702</v>
      </c>
      <c r="D1435" s="18" t="s">
        <v>2083</v>
      </c>
      <c r="E1435" s="18" t="str">
        <f t="shared" si="22"/>
        <v>Jw Marriot Sahar Mumbai</v>
      </c>
      <c r="F1435" s="27" t="s">
        <v>2084</v>
      </c>
      <c r="G1435" s="18" t="s">
        <v>182</v>
      </c>
      <c r="H1435" s="18" t="s">
        <v>183</v>
      </c>
      <c r="I1435" s="18" t="s">
        <v>54</v>
      </c>
      <c r="J1435" s="18" t="s">
        <v>2913</v>
      </c>
      <c r="K1435" s="18" t="s">
        <v>56</v>
      </c>
      <c r="L1435" s="18" t="s">
        <v>36</v>
      </c>
      <c r="N1435" s="18">
        <v>6</v>
      </c>
      <c r="O1435" s="18" t="s">
        <v>93</v>
      </c>
      <c r="P1435" s="18" t="s">
        <v>38</v>
      </c>
      <c r="Q1435" s="18" t="s">
        <v>58</v>
      </c>
      <c r="R1435" s="18" t="s">
        <v>59</v>
      </c>
      <c r="S1435" s="18" t="s">
        <v>60</v>
      </c>
      <c r="T1435" s="18" t="b">
        <v>0</v>
      </c>
      <c r="U1435" s="18" t="s">
        <v>187</v>
      </c>
      <c r="V1435" s="18" t="s">
        <v>40</v>
      </c>
      <c r="W1435" s="18" t="s">
        <v>1176</v>
      </c>
      <c r="X1435" s="18" t="s">
        <v>1177</v>
      </c>
      <c r="Y1435" s="18">
        <v>1</v>
      </c>
      <c r="Z1435" s="18">
        <v>28000</v>
      </c>
      <c r="AA1435" s="18" t="s">
        <v>63</v>
      </c>
      <c r="AB1435" s="18" t="s">
        <v>64</v>
      </c>
      <c r="AC1435" s="18" t="s">
        <v>200</v>
      </c>
    </row>
    <row r="1436" s="18" customFormat="1" spans="1:29">
      <c r="A1436" s="18" t="s">
        <v>3211</v>
      </c>
      <c r="B1436" s="25" t="s">
        <v>3211</v>
      </c>
      <c r="C1436" s="26">
        <v>45702</v>
      </c>
      <c r="D1436" s="18" t="s">
        <v>483</v>
      </c>
      <c r="E1436" s="18" t="str">
        <f t="shared" si="22"/>
        <v>The Comptment Hotel Pvt Ltd</v>
      </c>
      <c r="F1436" s="27" t="s">
        <v>484</v>
      </c>
      <c r="G1436" s="18" t="s">
        <v>182</v>
      </c>
      <c r="H1436" s="18" t="s">
        <v>183</v>
      </c>
      <c r="I1436" s="18" t="s">
        <v>54</v>
      </c>
      <c r="J1436" s="18" t="s">
        <v>2913</v>
      </c>
      <c r="K1436" s="18" t="s">
        <v>56</v>
      </c>
      <c r="L1436" s="18" t="s">
        <v>36</v>
      </c>
      <c r="N1436" s="18">
        <v>6</v>
      </c>
      <c r="O1436" s="18" t="s">
        <v>93</v>
      </c>
      <c r="P1436" s="18" t="s">
        <v>38</v>
      </c>
      <c r="Q1436" s="18" t="s">
        <v>58</v>
      </c>
      <c r="R1436" s="18" t="s">
        <v>59</v>
      </c>
      <c r="S1436" s="18" t="s">
        <v>60</v>
      </c>
      <c r="T1436" s="18" t="b">
        <v>0</v>
      </c>
      <c r="U1436" s="18" t="s">
        <v>187</v>
      </c>
      <c r="V1436" s="18" t="s">
        <v>40</v>
      </c>
      <c r="W1436" s="18" t="s">
        <v>61</v>
      </c>
      <c r="X1436" s="18" t="s">
        <v>62</v>
      </c>
      <c r="Y1436" s="18">
        <v>1</v>
      </c>
      <c r="Z1436" s="18">
        <v>9000</v>
      </c>
      <c r="AA1436" s="18" t="s">
        <v>63</v>
      </c>
      <c r="AB1436" s="18" t="s">
        <v>64</v>
      </c>
      <c r="AC1436" s="18" t="s">
        <v>200</v>
      </c>
    </row>
    <row r="1437" s="18" customFormat="1" ht="43.5" spans="1:29">
      <c r="A1437" s="18" t="s">
        <v>3212</v>
      </c>
      <c r="B1437" s="25" t="s">
        <v>3212</v>
      </c>
      <c r="C1437" s="26">
        <v>45703</v>
      </c>
      <c r="D1437" s="18" t="s">
        <v>325</v>
      </c>
      <c r="E1437" s="18" t="str">
        <f t="shared" si="22"/>
        <v>Gala Event Solutions</v>
      </c>
      <c r="F1437" s="27" t="s">
        <v>326</v>
      </c>
      <c r="G1437" s="18" t="s">
        <v>99</v>
      </c>
      <c r="H1437" s="18" t="s">
        <v>100</v>
      </c>
      <c r="I1437" s="18" t="s">
        <v>184</v>
      </c>
      <c r="J1437" s="18" t="s">
        <v>2775</v>
      </c>
      <c r="K1437" s="18" t="s">
        <v>56</v>
      </c>
      <c r="L1437" s="18" t="s">
        <v>36</v>
      </c>
      <c r="N1437" s="18">
        <v>6</v>
      </c>
      <c r="O1437" s="18" t="s">
        <v>88</v>
      </c>
      <c r="P1437" s="18" t="s">
        <v>38</v>
      </c>
      <c r="Q1437" s="18" t="s">
        <v>117</v>
      </c>
      <c r="R1437" s="18" t="s">
        <v>59</v>
      </c>
      <c r="S1437" s="18" t="s">
        <v>186</v>
      </c>
      <c r="T1437" s="18" t="b">
        <v>1</v>
      </c>
      <c r="U1437" s="18" t="s">
        <v>101</v>
      </c>
      <c r="V1437" s="18" t="s">
        <v>40</v>
      </c>
      <c r="W1437" s="18" t="s">
        <v>317</v>
      </c>
      <c r="X1437" s="18" t="s">
        <v>318</v>
      </c>
      <c r="Y1437" s="18">
        <v>1</v>
      </c>
      <c r="Z1437" s="18">
        <v>222000</v>
      </c>
      <c r="AA1437" s="31" t="s">
        <v>3213</v>
      </c>
      <c r="AB1437" s="18" t="s">
        <v>811</v>
      </c>
      <c r="AC1437" s="18" t="s">
        <v>111</v>
      </c>
    </row>
    <row r="1438" s="18" customFormat="1" spans="1:29">
      <c r="A1438" s="18" t="s">
        <v>3214</v>
      </c>
      <c r="B1438" s="25" t="s">
        <v>3214</v>
      </c>
      <c r="C1438" s="26">
        <v>45703</v>
      </c>
      <c r="D1438" s="18" t="s">
        <v>1670</v>
      </c>
      <c r="E1438" s="18" t="str">
        <f t="shared" si="22"/>
        <v>Grand Hyatt Athens (Sygroy 115 Hotel Enterprises Single Member S A)</v>
      </c>
      <c r="F1438" s="27" t="s">
        <v>1671</v>
      </c>
      <c r="G1438" s="18" t="s">
        <v>182</v>
      </c>
      <c r="H1438" s="18" t="s">
        <v>183</v>
      </c>
      <c r="I1438" s="18" t="s">
        <v>54</v>
      </c>
      <c r="J1438" s="18" t="s">
        <v>139</v>
      </c>
      <c r="K1438" s="18" t="s">
        <v>56</v>
      </c>
      <c r="L1438" s="18" t="s">
        <v>36</v>
      </c>
      <c r="N1438" s="18">
        <v>6</v>
      </c>
      <c r="O1438" s="18" t="s">
        <v>57</v>
      </c>
      <c r="P1438" s="18" t="s">
        <v>38</v>
      </c>
      <c r="Q1438" s="18" t="s">
        <v>58</v>
      </c>
      <c r="R1438" s="18" t="s">
        <v>59</v>
      </c>
      <c r="S1438" s="18" t="s">
        <v>60</v>
      </c>
      <c r="T1438" s="18" t="b">
        <v>0</v>
      </c>
      <c r="U1438" s="18" t="s">
        <v>187</v>
      </c>
      <c r="V1438" s="18" t="s">
        <v>40</v>
      </c>
      <c r="W1438" s="18" t="s">
        <v>1672</v>
      </c>
      <c r="X1438" s="18" t="s">
        <v>1177</v>
      </c>
      <c r="Y1438" s="18">
        <v>1</v>
      </c>
      <c r="Z1438" s="18">
        <v>2418627</v>
      </c>
      <c r="AA1438" s="18" t="s">
        <v>322</v>
      </c>
      <c r="AB1438" s="18" t="s">
        <v>323</v>
      </c>
      <c r="AC1438" s="18" t="e">
        <v>#N/A</v>
      </c>
    </row>
    <row r="1439" s="18" customFormat="1" ht="43.5" spans="1:29">
      <c r="A1439" s="18" t="s">
        <v>3215</v>
      </c>
      <c r="B1439" s="25" t="s">
        <v>3215</v>
      </c>
      <c r="C1439" s="26">
        <v>45703</v>
      </c>
      <c r="D1439" s="18" t="s">
        <v>3216</v>
      </c>
      <c r="E1439" s="18" t="str">
        <f t="shared" si="22"/>
        <v>Taransh Hospitality Services</v>
      </c>
      <c r="F1439" s="27" t="s">
        <v>3217</v>
      </c>
      <c r="G1439" s="18" t="s">
        <v>182</v>
      </c>
      <c r="H1439" s="18" t="s">
        <v>183</v>
      </c>
      <c r="I1439" s="18" t="s">
        <v>184</v>
      </c>
      <c r="J1439" s="18" t="s">
        <v>3218</v>
      </c>
      <c r="K1439" s="18" t="s">
        <v>56</v>
      </c>
      <c r="L1439" s="18" t="s">
        <v>36</v>
      </c>
      <c r="N1439" s="18">
        <v>6</v>
      </c>
      <c r="O1439" s="18" t="s">
        <v>57</v>
      </c>
      <c r="P1439" s="18" t="s">
        <v>38</v>
      </c>
      <c r="Q1439" s="18" t="s">
        <v>117</v>
      </c>
      <c r="R1439" s="18" t="s">
        <v>59</v>
      </c>
      <c r="S1439" s="18" t="s">
        <v>186</v>
      </c>
      <c r="T1439" s="18" t="b">
        <v>0</v>
      </c>
      <c r="U1439" s="18" t="s">
        <v>187</v>
      </c>
      <c r="V1439" s="18" t="s">
        <v>40</v>
      </c>
      <c r="W1439" s="18" t="s">
        <v>276</v>
      </c>
      <c r="X1439" s="18" t="s">
        <v>276</v>
      </c>
      <c r="Y1439" s="18">
        <v>1</v>
      </c>
      <c r="Z1439" s="18">
        <v>53571</v>
      </c>
      <c r="AA1439" s="31" t="s">
        <v>3176</v>
      </c>
      <c r="AB1439" s="18" t="s">
        <v>1424</v>
      </c>
      <c r="AC1439" s="18" t="s">
        <v>676</v>
      </c>
    </row>
    <row r="1440" s="18" customFormat="1" ht="43.5" spans="1:29">
      <c r="A1440" s="18" t="s">
        <v>3219</v>
      </c>
      <c r="B1440" s="25" t="s">
        <v>3219</v>
      </c>
      <c r="C1440" s="26">
        <v>45704</v>
      </c>
      <c r="D1440" s="18" t="s">
        <v>745</v>
      </c>
      <c r="E1440" s="18" t="str">
        <f t="shared" si="22"/>
        <v>Radisson Blu Bengaluru (A unit of Charishma Hotels Pvt Ltd)</v>
      </c>
      <c r="F1440" s="27" t="s">
        <v>746</v>
      </c>
      <c r="G1440" s="18" t="s">
        <v>32</v>
      </c>
      <c r="H1440" s="18" t="s">
        <v>33</v>
      </c>
      <c r="I1440" s="18" t="s">
        <v>184</v>
      </c>
      <c r="J1440" s="18" t="s">
        <v>2930</v>
      </c>
      <c r="K1440" s="18" t="s">
        <v>56</v>
      </c>
      <c r="L1440" s="18" t="s">
        <v>36</v>
      </c>
      <c r="N1440" s="18">
        <v>6</v>
      </c>
      <c r="O1440" s="18" t="s">
        <v>57</v>
      </c>
      <c r="P1440" s="18" t="s">
        <v>38</v>
      </c>
      <c r="Q1440" s="18" t="s">
        <v>194</v>
      </c>
      <c r="R1440" s="18" t="s">
        <v>59</v>
      </c>
      <c r="S1440" s="18" t="s">
        <v>195</v>
      </c>
      <c r="T1440" s="18" t="b">
        <v>1</v>
      </c>
      <c r="U1440" s="18" t="s">
        <v>39</v>
      </c>
      <c r="V1440" s="18" t="s">
        <v>40</v>
      </c>
      <c r="W1440" s="18" t="s">
        <v>61</v>
      </c>
      <c r="X1440" s="18" t="s">
        <v>62</v>
      </c>
      <c r="Y1440" s="18">
        <v>1</v>
      </c>
      <c r="Z1440" s="18">
        <v>18000</v>
      </c>
      <c r="AA1440" s="31" t="s">
        <v>3220</v>
      </c>
      <c r="AB1440" s="18" t="s">
        <v>737</v>
      </c>
      <c r="AC1440" s="18" t="s">
        <v>43</v>
      </c>
    </row>
    <row r="1441" s="18" customFormat="1" spans="1:29">
      <c r="A1441" s="18" t="s">
        <v>3221</v>
      </c>
      <c r="B1441" s="25" t="s">
        <v>3221</v>
      </c>
      <c r="C1441" s="26">
        <v>45704</v>
      </c>
      <c r="D1441" s="18" t="s">
        <v>238</v>
      </c>
      <c r="E1441" s="18" t="str">
        <f t="shared" si="22"/>
        <v>Studio Merchandise Pvt Ltd</v>
      </c>
      <c r="F1441" s="27" t="s">
        <v>239</v>
      </c>
      <c r="G1441" s="18" t="s">
        <v>147</v>
      </c>
      <c r="H1441" s="18" t="s">
        <v>148</v>
      </c>
      <c r="I1441" s="18" t="s">
        <v>159</v>
      </c>
      <c r="J1441" s="18" t="s">
        <v>1238</v>
      </c>
      <c r="K1441" s="18" t="s">
        <v>56</v>
      </c>
      <c r="L1441" s="18" t="s">
        <v>36</v>
      </c>
      <c r="N1441" s="18">
        <v>6</v>
      </c>
      <c r="O1441" s="18" t="s">
        <v>88</v>
      </c>
      <c r="P1441" s="18" t="s">
        <v>38</v>
      </c>
      <c r="Q1441" s="18" t="s">
        <v>58</v>
      </c>
      <c r="R1441" s="18" t="s">
        <v>59</v>
      </c>
      <c r="S1441" s="18" t="s">
        <v>60</v>
      </c>
      <c r="T1441" s="18" t="b">
        <v>1</v>
      </c>
      <c r="U1441" s="18" t="s">
        <v>150</v>
      </c>
      <c r="V1441" s="18" t="s">
        <v>40</v>
      </c>
      <c r="W1441" s="18" t="s">
        <v>140</v>
      </c>
      <c r="X1441" s="18" t="s">
        <v>141</v>
      </c>
      <c r="Y1441" s="18">
        <v>1</v>
      </c>
      <c r="Z1441" s="18">
        <v>124800</v>
      </c>
      <c r="AA1441" s="18" t="s">
        <v>1718</v>
      </c>
      <c r="AB1441" s="18" t="s">
        <v>242</v>
      </c>
      <c r="AC1441" s="18" t="s">
        <v>163</v>
      </c>
    </row>
    <row r="1442" s="18" customFormat="1" ht="43.5" spans="1:29">
      <c r="A1442" s="18" t="s">
        <v>3222</v>
      </c>
      <c r="B1442" s="25" t="s">
        <v>3222</v>
      </c>
      <c r="C1442" s="26">
        <v>45705</v>
      </c>
      <c r="D1442" s="18" t="s">
        <v>3223</v>
      </c>
      <c r="E1442" s="18" t="str">
        <f t="shared" si="22"/>
        <v>Drum Events India Pvt Ltd</v>
      </c>
      <c r="F1442" s="27" t="s">
        <v>3224</v>
      </c>
      <c r="G1442" s="18" t="s">
        <v>32</v>
      </c>
      <c r="H1442" s="18" t="s">
        <v>33</v>
      </c>
      <c r="I1442" s="18" t="s">
        <v>184</v>
      </c>
      <c r="J1442" s="18" t="s">
        <v>2319</v>
      </c>
      <c r="K1442" s="18" t="s">
        <v>56</v>
      </c>
      <c r="L1442" s="18" t="s">
        <v>36</v>
      </c>
      <c r="N1442" s="18">
        <v>6</v>
      </c>
      <c r="O1442" s="18" t="s">
        <v>88</v>
      </c>
      <c r="P1442" s="18" t="s">
        <v>38</v>
      </c>
      <c r="Q1442" s="18" t="s">
        <v>194</v>
      </c>
      <c r="R1442" s="18" t="s">
        <v>59</v>
      </c>
      <c r="S1442" s="18" t="s">
        <v>195</v>
      </c>
      <c r="T1442" s="18" t="b">
        <v>1</v>
      </c>
      <c r="U1442" s="18" t="s">
        <v>39</v>
      </c>
      <c r="V1442" s="18" t="s">
        <v>40</v>
      </c>
      <c r="W1442" s="18" t="s">
        <v>250</v>
      </c>
      <c r="X1442" s="18" t="s">
        <v>251</v>
      </c>
      <c r="Y1442" s="18">
        <v>1</v>
      </c>
      <c r="Z1442" s="18">
        <v>150000</v>
      </c>
      <c r="AA1442" s="31" t="s">
        <v>2966</v>
      </c>
      <c r="AB1442" s="18" t="s">
        <v>2967</v>
      </c>
      <c r="AC1442" s="18" t="s">
        <v>43</v>
      </c>
    </row>
    <row r="1443" s="18" customFormat="1" ht="43.5" spans="1:29">
      <c r="A1443" s="18" t="s">
        <v>3225</v>
      </c>
      <c r="B1443" s="25" t="s">
        <v>3225</v>
      </c>
      <c r="C1443" s="26">
        <v>45705</v>
      </c>
      <c r="D1443" s="18" t="s">
        <v>1233</v>
      </c>
      <c r="E1443" s="18" t="str">
        <f t="shared" si="22"/>
        <v>Megascule</v>
      </c>
      <c r="F1443" s="27" t="e">
        <v>#N/A</v>
      </c>
      <c r="G1443" s="18" t="s">
        <v>32</v>
      </c>
      <c r="H1443" s="18" t="s">
        <v>33</v>
      </c>
      <c r="I1443" s="18" t="s">
        <v>184</v>
      </c>
      <c r="J1443" s="18" t="s">
        <v>3226</v>
      </c>
      <c r="K1443" s="18" t="s">
        <v>56</v>
      </c>
      <c r="L1443" s="18" t="s">
        <v>36</v>
      </c>
      <c r="N1443" s="18">
        <v>6</v>
      </c>
      <c r="O1443" s="18" t="s">
        <v>88</v>
      </c>
      <c r="P1443" s="18" t="s">
        <v>38</v>
      </c>
      <c r="Q1443" s="18" t="s">
        <v>194</v>
      </c>
      <c r="R1443" s="18" t="s">
        <v>59</v>
      </c>
      <c r="S1443" s="18" t="s">
        <v>195</v>
      </c>
      <c r="T1443" s="18" t="b">
        <v>1</v>
      </c>
      <c r="U1443" s="18" t="s">
        <v>39</v>
      </c>
      <c r="V1443" s="18" t="s">
        <v>40</v>
      </c>
      <c r="W1443" s="18" t="s">
        <v>140</v>
      </c>
      <c r="X1443" s="18" t="s">
        <v>141</v>
      </c>
      <c r="Y1443" s="18">
        <v>1</v>
      </c>
      <c r="Z1443" s="18">
        <v>50000</v>
      </c>
      <c r="AA1443" s="31" t="s">
        <v>3109</v>
      </c>
      <c r="AB1443" s="18" t="s">
        <v>730</v>
      </c>
      <c r="AC1443" s="18" t="s">
        <v>43</v>
      </c>
    </row>
    <row r="1444" s="18" customFormat="1" ht="29" spans="1:29">
      <c r="A1444" s="18" t="s">
        <v>3227</v>
      </c>
      <c r="B1444" s="25" t="s">
        <v>3227</v>
      </c>
      <c r="C1444" s="26">
        <v>45705</v>
      </c>
      <c r="D1444" s="18" t="s">
        <v>632</v>
      </c>
      <c r="E1444" s="18" t="str">
        <f t="shared" si="22"/>
        <v>Event Life</v>
      </c>
      <c r="F1444" s="27" t="s">
        <v>633</v>
      </c>
      <c r="G1444" s="18" t="s">
        <v>32</v>
      </c>
      <c r="H1444" s="18" t="s">
        <v>33</v>
      </c>
      <c r="I1444" s="18" t="s">
        <v>184</v>
      </c>
      <c r="J1444" s="18" t="s">
        <v>2319</v>
      </c>
      <c r="K1444" s="18" t="s">
        <v>56</v>
      </c>
      <c r="L1444" s="18" t="s">
        <v>36</v>
      </c>
      <c r="N1444" s="18">
        <v>6</v>
      </c>
      <c r="O1444" s="18" t="s">
        <v>88</v>
      </c>
      <c r="P1444" s="18" t="s">
        <v>38</v>
      </c>
      <c r="Q1444" s="18" t="s">
        <v>194</v>
      </c>
      <c r="R1444" s="18" t="s">
        <v>59</v>
      </c>
      <c r="S1444" s="18" t="s">
        <v>195</v>
      </c>
      <c r="T1444" s="18" t="b">
        <v>1</v>
      </c>
      <c r="U1444" s="18" t="s">
        <v>39</v>
      </c>
      <c r="V1444" s="18" t="s">
        <v>40</v>
      </c>
      <c r="W1444" s="18" t="s">
        <v>371</v>
      </c>
      <c r="X1444" s="18" t="s">
        <v>372</v>
      </c>
      <c r="Y1444" s="18">
        <v>1</v>
      </c>
      <c r="Z1444" s="18">
        <v>450000</v>
      </c>
      <c r="AA1444" s="31" t="s">
        <v>968</v>
      </c>
      <c r="AB1444" s="18" t="s">
        <v>969</v>
      </c>
      <c r="AC1444" s="18" t="s">
        <v>43</v>
      </c>
    </row>
    <row r="1445" s="18" customFormat="1" ht="29" spans="1:29">
      <c r="A1445" s="18" t="s">
        <v>3228</v>
      </c>
      <c r="B1445" s="25" t="s">
        <v>3228</v>
      </c>
      <c r="C1445" s="26">
        <v>45705</v>
      </c>
      <c r="D1445" s="18" t="s">
        <v>1085</v>
      </c>
      <c r="E1445" s="18" t="str">
        <f t="shared" si="22"/>
        <v>Thinking Brahma</v>
      </c>
      <c r="F1445" s="27" t="s">
        <v>1086</v>
      </c>
      <c r="G1445" s="18" t="s">
        <v>32</v>
      </c>
      <c r="H1445" s="18" t="s">
        <v>33</v>
      </c>
      <c r="I1445" s="18" t="s">
        <v>184</v>
      </c>
      <c r="J1445" s="18" t="s">
        <v>2319</v>
      </c>
      <c r="K1445" s="18" t="s">
        <v>56</v>
      </c>
      <c r="L1445" s="18" t="s">
        <v>36</v>
      </c>
      <c r="N1445" s="18">
        <v>6</v>
      </c>
      <c r="O1445" s="18" t="s">
        <v>88</v>
      </c>
      <c r="P1445" s="18" t="s">
        <v>38</v>
      </c>
      <c r="Q1445" s="18" t="s">
        <v>194</v>
      </c>
      <c r="R1445" s="18" t="s">
        <v>59</v>
      </c>
      <c r="S1445" s="18" t="s">
        <v>195</v>
      </c>
      <c r="T1445" s="18" t="b">
        <v>1</v>
      </c>
      <c r="U1445" s="18" t="s">
        <v>39</v>
      </c>
      <c r="V1445" s="18" t="s">
        <v>40</v>
      </c>
      <c r="W1445" s="18" t="s">
        <v>401</v>
      </c>
      <c r="X1445" s="18" t="s">
        <v>402</v>
      </c>
      <c r="Y1445" s="18">
        <v>1</v>
      </c>
      <c r="Z1445" s="18">
        <v>60000</v>
      </c>
      <c r="AA1445" s="31" t="s">
        <v>968</v>
      </c>
      <c r="AB1445" s="18" t="s">
        <v>969</v>
      </c>
      <c r="AC1445" s="18" t="s">
        <v>43</v>
      </c>
    </row>
    <row r="1446" s="18" customFormat="1" ht="43.5" spans="1:29">
      <c r="A1446" s="18" t="s">
        <v>3229</v>
      </c>
      <c r="B1446" s="25" t="s">
        <v>3229</v>
      </c>
      <c r="C1446" s="26">
        <v>45705</v>
      </c>
      <c r="D1446" s="18" t="s">
        <v>2872</v>
      </c>
      <c r="E1446" s="18" t="str">
        <f t="shared" si="22"/>
        <v>Shashank Technologies</v>
      </c>
      <c r="F1446" s="27" t="s">
        <v>2873</v>
      </c>
      <c r="G1446" s="18" t="s">
        <v>32</v>
      </c>
      <c r="H1446" s="18" t="s">
        <v>33</v>
      </c>
      <c r="I1446" s="18" t="s">
        <v>184</v>
      </c>
      <c r="J1446" s="18" t="s">
        <v>3123</v>
      </c>
      <c r="K1446" s="18" t="s">
        <v>56</v>
      </c>
      <c r="L1446" s="18" t="s">
        <v>36</v>
      </c>
      <c r="N1446" s="18">
        <v>6</v>
      </c>
      <c r="O1446" s="18" t="s">
        <v>88</v>
      </c>
      <c r="P1446" s="18" t="s">
        <v>38</v>
      </c>
      <c r="Q1446" s="18" t="s">
        <v>194</v>
      </c>
      <c r="R1446" s="18" t="s">
        <v>59</v>
      </c>
      <c r="S1446" s="18" t="s">
        <v>195</v>
      </c>
      <c r="T1446" s="18" t="b">
        <v>1</v>
      </c>
      <c r="U1446" s="18" t="s">
        <v>39</v>
      </c>
      <c r="V1446" s="18" t="s">
        <v>40</v>
      </c>
      <c r="W1446" s="18" t="s">
        <v>196</v>
      </c>
      <c r="X1446" s="18" t="s">
        <v>197</v>
      </c>
      <c r="Y1446" s="18">
        <v>1</v>
      </c>
      <c r="Z1446" s="18">
        <v>4200</v>
      </c>
      <c r="AA1446" s="31" t="s">
        <v>2826</v>
      </c>
      <c r="AB1446" s="18" t="s">
        <v>993</v>
      </c>
      <c r="AC1446" s="18" t="s">
        <v>43</v>
      </c>
    </row>
    <row r="1447" s="18" customFormat="1" spans="1:29">
      <c r="A1447" s="18" t="s">
        <v>3230</v>
      </c>
      <c r="B1447" s="25" t="s">
        <v>3230</v>
      </c>
      <c r="C1447" s="26">
        <v>45705</v>
      </c>
      <c r="D1447" s="18" t="s">
        <v>742</v>
      </c>
      <c r="E1447" s="18" t="str">
        <f t="shared" si="22"/>
        <v>Courier International Services</v>
      </c>
      <c r="F1447" s="27" t="s">
        <v>743</v>
      </c>
      <c r="G1447" s="18" t="s">
        <v>32</v>
      </c>
      <c r="H1447" s="18" t="s">
        <v>33</v>
      </c>
      <c r="I1447" s="18" t="s">
        <v>54</v>
      </c>
      <c r="J1447" s="18" t="s">
        <v>240</v>
      </c>
      <c r="K1447" s="18" t="s">
        <v>56</v>
      </c>
      <c r="L1447" s="18" t="s">
        <v>36</v>
      </c>
      <c r="N1447" s="18">
        <v>6</v>
      </c>
      <c r="O1447" s="18" t="s">
        <v>88</v>
      </c>
      <c r="P1447" s="18" t="s">
        <v>38</v>
      </c>
      <c r="Q1447" s="18" t="s">
        <v>58</v>
      </c>
      <c r="R1447" s="18" t="s">
        <v>59</v>
      </c>
      <c r="S1447" s="18" t="s">
        <v>60</v>
      </c>
      <c r="T1447" s="18" t="b">
        <v>1</v>
      </c>
      <c r="U1447" s="18" t="s">
        <v>39</v>
      </c>
      <c r="V1447" s="18" t="s">
        <v>40</v>
      </c>
      <c r="W1447" s="18" t="s">
        <v>205</v>
      </c>
      <c r="X1447" s="18" t="s">
        <v>205</v>
      </c>
      <c r="Y1447" s="18">
        <v>1</v>
      </c>
      <c r="Z1447" s="18">
        <v>9500</v>
      </c>
      <c r="AA1447" s="18" t="s">
        <v>303</v>
      </c>
      <c r="AB1447" s="18" t="s">
        <v>282</v>
      </c>
      <c r="AC1447" s="18" t="s">
        <v>43</v>
      </c>
    </row>
    <row r="1448" s="18" customFormat="1" spans="1:29">
      <c r="A1448" s="18" t="s">
        <v>3231</v>
      </c>
      <c r="B1448" s="25" t="s">
        <v>3231</v>
      </c>
      <c r="C1448" s="26">
        <v>45705</v>
      </c>
      <c r="D1448" s="18" t="s">
        <v>742</v>
      </c>
      <c r="E1448" s="18" t="str">
        <f t="shared" si="22"/>
        <v>Courier International Services</v>
      </c>
      <c r="F1448" s="27" t="s">
        <v>743</v>
      </c>
      <c r="G1448" s="18" t="s">
        <v>32</v>
      </c>
      <c r="H1448" s="18" t="s">
        <v>33</v>
      </c>
      <c r="I1448" s="18" t="s">
        <v>54</v>
      </c>
      <c r="J1448" s="18" t="s">
        <v>1370</v>
      </c>
      <c r="K1448" s="18" t="s">
        <v>56</v>
      </c>
      <c r="L1448" s="18" t="s">
        <v>36</v>
      </c>
      <c r="N1448" s="18">
        <v>6</v>
      </c>
      <c r="O1448" s="18" t="s">
        <v>88</v>
      </c>
      <c r="P1448" s="18" t="s">
        <v>38</v>
      </c>
      <c r="Q1448" s="18" t="s">
        <v>58</v>
      </c>
      <c r="R1448" s="18" t="s">
        <v>59</v>
      </c>
      <c r="S1448" s="18" t="s">
        <v>60</v>
      </c>
      <c r="T1448" s="18" t="b">
        <v>1</v>
      </c>
      <c r="U1448" s="18" t="s">
        <v>39</v>
      </c>
      <c r="V1448" s="18" t="s">
        <v>40</v>
      </c>
      <c r="W1448" s="18" t="s">
        <v>205</v>
      </c>
      <c r="X1448" s="18" t="s">
        <v>205</v>
      </c>
      <c r="Y1448" s="18">
        <v>1</v>
      </c>
      <c r="Z1448" s="18">
        <v>8400</v>
      </c>
      <c r="AA1448" s="18" t="s">
        <v>303</v>
      </c>
      <c r="AB1448" s="18" t="s">
        <v>282</v>
      </c>
      <c r="AC1448" s="18" t="s">
        <v>43</v>
      </c>
    </row>
    <row r="1449" s="18" customFormat="1" spans="1:29">
      <c r="A1449" s="18" t="s">
        <v>3232</v>
      </c>
      <c r="B1449" s="25" t="s">
        <v>3232</v>
      </c>
      <c r="C1449" s="26">
        <v>45705</v>
      </c>
      <c r="D1449" s="18" t="s">
        <v>1580</v>
      </c>
      <c r="E1449" s="18" t="str">
        <f t="shared" si="22"/>
        <v>Empee Hotels Limited (Hilton Chennai)</v>
      </c>
      <c r="F1449" s="27" t="e">
        <v>#N/A</v>
      </c>
      <c r="G1449" s="18" t="s">
        <v>99</v>
      </c>
      <c r="H1449" s="18" t="s">
        <v>100</v>
      </c>
      <c r="I1449" s="18" t="s">
        <v>54</v>
      </c>
      <c r="J1449" s="18" t="s">
        <v>1253</v>
      </c>
      <c r="K1449" s="18" t="s">
        <v>56</v>
      </c>
      <c r="L1449" s="18" t="s">
        <v>36</v>
      </c>
      <c r="N1449" s="18">
        <v>6</v>
      </c>
      <c r="O1449" s="18" t="s">
        <v>93</v>
      </c>
      <c r="P1449" s="18" t="s">
        <v>38</v>
      </c>
      <c r="Q1449" s="18" t="s">
        <v>58</v>
      </c>
      <c r="R1449" s="18" t="s">
        <v>59</v>
      </c>
      <c r="S1449" s="18" t="s">
        <v>60</v>
      </c>
      <c r="T1449" s="18" t="b">
        <v>1</v>
      </c>
      <c r="U1449" s="18" t="s">
        <v>101</v>
      </c>
      <c r="V1449" s="18" t="s">
        <v>40</v>
      </c>
      <c r="W1449" s="18" t="s">
        <v>1176</v>
      </c>
      <c r="X1449" s="18" t="s">
        <v>1177</v>
      </c>
      <c r="Y1449" s="18">
        <v>1</v>
      </c>
      <c r="Z1449" s="18">
        <v>500000</v>
      </c>
      <c r="AA1449" s="18" t="s">
        <v>63</v>
      </c>
      <c r="AB1449" s="18" t="s">
        <v>64</v>
      </c>
      <c r="AC1449" s="18" t="s">
        <v>111</v>
      </c>
    </row>
    <row r="1450" s="18" customFormat="1" ht="43.5" spans="1:29">
      <c r="A1450" s="18" t="s">
        <v>3233</v>
      </c>
      <c r="B1450" s="25" t="s">
        <v>3233</v>
      </c>
      <c r="C1450" s="26">
        <v>45705</v>
      </c>
      <c r="D1450" s="18" t="s">
        <v>3234</v>
      </c>
      <c r="E1450" s="18" t="str">
        <f t="shared" si="22"/>
        <v>Fireflies Entertainment</v>
      </c>
      <c r="F1450" s="27" t="s">
        <v>3235</v>
      </c>
      <c r="G1450" s="18" t="s">
        <v>99</v>
      </c>
      <c r="H1450" s="18" t="s">
        <v>100</v>
      </c>
      <c r="I1450" s="18" t="s">
        <v>184</v>
      </c>
      <c r="J1450" s="18" t="s">
        <v>2345</v>
      </c>
      <c r="K1450" s="18" t="s">
        <v>56</v>
      </c>
      <c r="L1450" s="18" t="s">
        <v>36</v>
      </c>
      <c r="N1450" s="18">
        <v>6</v>
      </c>
      <c r="O1450" s="18" t="s">
        <v>57</v>
      </c>
      <c r="P1450" s="18" t="s">
        <v>38</v>
      </c>
      <c r="Q1450" s="18" t="s">
        <v>117</v>
      </c>
      <c r="R1450" s="18" t="s">
        <v>59</v>
      </c>
      <c r="S1450" s="18" t="s">
        <v>186</v>
      </c>
      <c r="T1450" s="18" t="b">
        <v>1</v>
      </c>
      <c r="U1450" s="18" t="s">
        <v>101</v>
      </c>
      <c r="V1450" s="18" t="s">
        <v>40</v>
      </c>
      <c r="W1450" s="18" t="s">
        <v>250</v>
      </c>
      <c r="X1450" s="18" t="s">
        <v>251</v>
      </c>
      <c r="Y1450" s="18">
        <v>1</v>
      </c>
      <c r="Z1450" s="18">
        <v>25000</v>
      </c>
      <c r="AA1450" s="31" t="s">
        <v>2985</v>
      </c>
      <c r="AB1450" s="18" t="s">
        <v>514</v>
      </c>
      <c r="AC1450" s="18" t="s">
        <v>111</v>
      </c>
    </row>
    <row r="1451" s="18" customFormat="1" ht="43.5" spans="1:29">
      <c r="A1451" s="18" t="s">
        <v>3236</v>
      </c>
      <c r="B1451" s="25" t="s">
        <v>3236</v>
      </c>
      <c r="C1451" s="26">
        <v>45705</v>
      </c>
      <c r="D1451" s="18" t="s">
        <v>674</v>
      </c>
      <c r="E1451" s="18" t="str">
        <f t="shared" si="22"/>
        <v>Rastey Commuting Services Pvt Ltd</v>
      </c>
      <c r="F1451" s="27" t="s">
        <v>675</v>
      </c>
      <c r="G1451" s="18" t="s">
        <v>147</v>
      </c>
      <c r="H1451" s="18" t="s">
        <v>148</v>
      </c>
      <c r="I1451" s="18" t="s">
        <v>184</v>
      </c>
      <c r="J1451" s="18" t="s">
        <v>1889</v>
      </c>
      <c r="K1451" s="18" t="s">
        <v>56</v>
      </c>
      <c r="L1451" s="18" t="s">
        <v>36</v>
      </c>
      <c r="N1451" s="18">
        <v>6</v>
      </c>
      <c r="O1451" s="18" t="s">
        <v>88</v>
      </c>
      <c r="P1451" s="18" t="s">
        <v>38</v>
      </c>
      <c r="Q1451" s="18" t="s">
        <v>194</v>
      </c>
      <c r="R1451" s="18" t="s">
        <v>59</v>
      </c>
      <c r="S1451" s="18" t="s">
        <v>195</v>
      </c>
      <c r="T1451" s="18" t="b">
        <v>1</v>
      </c>
      <c r="U1451" s="18" t="s">
        <v>150</v>
      </c>
      <c r="V1451" s="18" t="s">
        <v>40</v>
      </c>
      <c r="W1451" s="18" t="s">
        <v>119</v>
      </c>
      <c r="X1451" s="18" t="s">
        <v>120</v>
      </c>
      <c r="Y1451" s="18">
        <v>1</v>
      </c>
      <c r="Z1451" s="18">
        <v>25074</v>
      </c>
      <c r="AA1451" s="31" t="s">
        <v>3237</v>
      </c>
      <c r="AB1451" s="18" t="s">
        <v>798</v>
      </c>
      <c r="AC1451" s="18" t="s">
        <v>676</v>
      </c>
    </row>
    <row r="1452" s="18" customFormat="1" spans="1:29">
      <c r="A1452" s="18" t="s">
        <v>3238</v>
      </c>
      <c r="B1452" s="25" t="s">
        <v>3238</v>
      </c>
      <c r="C1452" s="26">
        <v>45705</v>
      </c>
      <c r="D1452" s="18" t="s">
        <v>1010</v>
      </c>
      <c r="E1452" s="18" t="str">
        <f t="shared" si="22"/>
        <v>Anchor Connect</v>
      </c>
      <c r="F1452" s="27" t="s">
        <v>1011</v>
      </c>
      <c r="G1452" s="18" t="s">
        <v>147</v>
      </c>
      <c r="H1452" s="18" t="s">
        <v>148</v>
      </c>
      <c r="I1452" s="18" t="s">
        <v>207</v>
      </c>
      <c r="J1452" s="18" t="s">
        <v>139</v>
      </c>
      <c r="K1452" s="18" t="s">
        <v>56</v>
      </c>
      <c r="L1452" s="18" t="s">
        <v>36</v>
      </c>
      <c r="N1452" s="18">
        <v>6</v>
      </c>
      <c r="O1452" s="18" t="s">
        <v>57</v>
      </c>
      <c r="P1452" s="18" t="s">
        <v>38</v>
      </c>
      <c r="Q1452" s="18" t="s">
        <v>58</v>
      </c>
      <c r="R1452" s="18" t="s">
        <v>59</v>
      </c>
      <c r="S1452" s="18" t="s">
        <v>60</v>
      </c>
      <c r="T1452" s="18" t="b">
        <v>1</v>
      </c>
      <c r="U1452" s="18" t="s">
        <v>150</v>
      </c>
      <c r="V1452" s="18" t="s">
        <v>40</v>
      </c>
      <c r="W1452" s="18" t="s">
        <v>250</v>
      </c>
      <c r="X1452" s="18" t="s">
        <v>251</v>
      </c>
      <c r="Y1452" s="18">
        <v>1</v>
      </c>
      <c r="Z1452" s="18">
        <v>233000</v>
      </c>
      <c r="AA1452" s="18" t="s">
        <v>322</v>
      </c>
      <c r="AB1452" s="18" t="s">
        <v>323</v>
      </c>
      <c r="AC1452" s="18" t="s">
        <v>163</v>
      </c>
    </row>
    <row r="1453" s="19" customFormat="1" spans="1:29">
      <c r="A1453" s="19" t="s">
        <v>3239</v>
      </c>
      <c r="B1453" s="28" t="s">
        <v>3239</v>
      </c>
      <c r="C1453" s="29">
        <v>45705</v>
      </c>
      <c r="D1453" s="19" t="s">
        <v>157</v>
      </c>
      <c r="E1453" s="19" t="str">
        <f t="shared" si="22"/>
        <v>Rishi Computers</v>
      </c>
      <c r="F1453" s="30" t="s">
        <v>158</v>
      </c>
      <c r="G1453" s="19" t="s">
        <v>147</v>
      </c>
      <c r="H1453" s="19" t="s">
        <v>148</v>
      </c>
      <c r="I1453" s="19" t="s">
        <v>159</v>
      </c>
      <c r="K1453" s="19" t="s">
        <v>35</v>
      </c>
      <c r="L1453" s="19" t="s">
        <v>36</v>
      </c>
      <c r="N1453" s="19">
        <v>6</v>
      </c>
      <c r="O1453" s="19" t="s">
        <v>88</v>
      </c>
      <c r="P1453" s="19" t="s">
        <v>38</v>
      </c>
      <c r="T1453" s="19" t="b">
        <v>1</v>
      </c>
      <c r="U1453" s="19" t="s">
        <v>150</v>
      </c>
      <c r="V1453" s="19" t="s">
        <v>40</v>
      </c>
      <c r="W1453" s="19" t="s">
        <v>3240</v>
      </c>
      <c r="X1453" s="19" t="e">
        <v>#N/A</v>
      </c>
      <c r="Y1453" s="19">
        <v>3</v>
      </c>
      <c r="Z1453" s="19">
        <v>34576.27</v>
      </c>
      <c r="AA1453" s="19" t="s">
        <v>176</v>
      </c>
      <c r="AB1453" s="19" t="s">
        <v>173</v>
      </c>
      <c r="AC1453" s="19" t="s">
        <v>163</v>
      </c>
    </row>
    <row r="1454" s="18" customFormat="1" spans="1:29">
      <c r="A1454" s="18" t="s">
        <v>3241</v>
      </c>
      <c r="B1454" s="25" t="s">
        <v>3241</v>
      </c>
      <c r="C1454" s="26">
        <v>45705</v>
      </c>
      <c r="D1454" s="18" t="s">
        <v>3242</v>
      </c>
      <c r="E1454" s="18" t="str">
        <f t="shared" si="22"/>
        <v>Udaan India Pvt Ltd</v>
      </c>
      <c r="F1454" s="27" t="s">
        <v>3243</v>
      </c>
      <c r="G1454" s="18" t="s">
        <v>147</v>
      </c>
      <c r="H1454" s="18" t="s">
        <v>148</v>
      </c>
      <c r="I1454" s="18" t="s">
        <v>207</v>
      </c>
      <c r="J1454" s="18" t="s">
        <v>139</v>
      </c>
      <c r="K1454" s="18" t="s">
        <v>56</v>
      </c>
      <c r="L1454" s="18" t="s">
        <v>36</v>
      </c>
      <c r="N1454" s="18">
        <v>6</v>
      </c>
      <c r="O1454" s="18" t="s">
        <v>57</v>
      </c>
      <c r="P1454" s="18" t="s">
        <v>38</v>
      </c>
      <c r="Q1454" s="18" t="s">
        <v>58</v>
      </c>
      <c r="R1454" s="18" t="s">
        <v>59</v>
      </c>
      <c r="S1454" s="18" t="s">
        <v>60</v>
      </c>
      <c r="T1454" s="18" t="b">
        <v>1</v>
      </c>
      <c r="U1454" s="18" t="s">
        <v>150</v>
      </c>
      <c r="V1454" s="18" t="s">
        <v>40</v>
      </c>
      <c r="W1454" s="18" t="s">
        <v>2535</v>
      </c>
      <c r="X1454" s="18" t="s">
        <v>2536</v>
      </c>
      <c r="Y1454" s="18">
        <v>1</v>
      </c>
      <c r="Z1454" s="18">
        <v>751570</v>
      </c>
      <c r="AA1454" s="18" t="s">
        <v>322</v>
      </c>
      <c r="AB1454" s="18" t="s">
        <v>323</v>
      </c>
      <c r="AC1454" s="18" t="s">
        <v>163</v>
      </c>
    </row>
    <row r="1455" s="18" customFormat="1" spans="1:29">
      <c r="A1455" s="18" t="s">
        <v>3244</v>
      </c>
      <c r="B1455" s="25" t="s">
        <v>3244</v>
      </c>
      <c r="C1455" s="26">
        <v>45705</v>
      </c>
      <c r="D1455" s="18" t="s">
        <v>697</v>
      </c>
      <c r="E1455" s="18" t="str">
        <f t="shared" si="22"/>
        <v>Pavni Enterprises</v>
      </c>
      <c r="F1455" s="27" t="s">
        <v>698</v>
      </c>
      <c r="G1455" s="18" t="s">
        <v>147</v>
      </c>
      <c r="H1455" s="18" t="s">
        <v>148</v>
      </c>
      <c r="I1455" s="18" t="s">
        <v>207</v>
      </c>
      <c r="J1455" s="18" t="s">
        <v>240</v>
      </c>
      <c r="K1455" s="18" t="s">
        <v>56</v>
      </c>
      <c r="L1455" s="18" t="s">
        <v>36</v>
      </c>
      <c r="N1455" s="18">
        <v>6</v>
      </c>
      <c r="O1455" s="18" t="s">
        <v>57</v>
      </c>
      <c r="P1455" s="18" t="s">
        <v>38</v>
      </c>
      <c r="Q1455" s="18" t="s">
        <v>58</v>
      </c>
      <c r="R1455" s="18" t="s">
        <v>59</v>
      </c>
      <c r="S1455" s="18" t="s">
        <v>60</v>
      </c>
      <c r="T1455" s="18" t="b">
        <v>1</v>
      </c>
      <c r="U1455" s="18" t="s">
        <v>150</v>
      </c>
      <c r="V1455" s="18" t="s">
        <v>40</v>
      </c>
      <c r="W1455" s="18" t="s">
        <v>140</v>
      </c>
      <c r="X1455" s="18" t="s">
        <v>141</v>
      </c>
      <c r="Y1455" s="18">
        <v>1</v>
      </c>
      <c r="Z1455" s="18">
        <v>1687090</v>
      </c>
      <c r="AA1455" s="18" t="s">
        <v>322</v>
      </c>
      <c r="AB1455" s="18" t="s">
        <v>323</v>
      </c>
      <c r="AC1455" s="18" t="s">
        <v>163</v>
      </c>
    </row>
    <row r="1456" s="18" customFormat="1" ht="43.5" spans="1:29">
      <c r="A1456" s="18" t="s">
        <v>3245</v>
      </c>
      <c r="B1456" s="25" t="s">
        <v>3245</v>
      </c>
      <c r="C1456" s="26">
        <v>45705</v>
      </c>
      <c r="D1456" s="18" t="s">
        <v>1014</v>
      </c>
      <c r="E1456" s="18" t="str">
        <f t="shared" si="22"/>
        <v>Zpay Solutions Private Limited</v>
      </c>
      <c r="F1456" s="27" t="e">
        <v>#N/A</v>
      </c>
      <c r="G1456" s="18" t="s">
        <v>147</v>
      </c>
      <c r="H1456" s="18" t="s">
        <v>148</v>
      </c>
      <c r="I1456" s="18" t="s">
        <v>184</v>
      </c>
      <c r="J1456" s="18" t="s">
        <v>3246</v>
      </c>
      <c r="K1456" s="18" t="s">
        <v>56</v>
      </c>
      <c r="L1456" s="18" t="s">
        <v>36</v>
      </c>
      <c r="N1456" s="18">
        <v>6</v>
      </c>
      <c r="O1456" s="18" t="s">
        <v>88</v>
      </c>
      <c r="P1456" s="18" t="s">
        <v>38</v>
      </c>
      <c r="Q1456" s="18" t="s">
        <v>194</v>
      </c>
      <c r="R1456" s="18" t="s">
        <v>59</v>
      </c>
      <c r="S1456" s="18" t="s">
        <v>195</v>
      </c>
      <c r="T1456" s="18" t="b">
        <v>1</v>
      </c>
      <c r="U1456" s="18" t="s">
        <v>150</v>
      </c>
      <c r="V1456" s="18" t="s">
        <v>40</v>
      </c>
      <c r="W1456" s="18" t="s">
        <v>140</v>
      </c>
      <c r="X1456" s="18" t="s">
        <v>141</v>
      </c>
      <c r="Y1456" s="18">
        <v>1</v>
      </c>
      <c r="Z1456" s="18">
        <v>90250</v>
      </c>
      <c r="AA1456" s="31" t="s">
        <v>3193</v>
      </c>
      <c r="AB1456" s="18" t="s">
        <v>199</v>
      </c>
      <c r="AC1456" s="18" t="e">
        <v>#N/A</v>
      </c>
    </row>
    <row r="1457" s="18" customFormat="1" spans="1:29">
      <c r="A1457" s="18" t="s">
        <v>3247</v>
      </c>
      <c r="B1457" s="25" t="s">
        <v>3247</v>
      </c>
      <c r="C1457" s="26">
        <v>45705</v>
      </c>
      <c r="D1457" s="18" t="s">
        <v>3248</v>
      </c>
      <c r="E1457" s="18" t="str">
        <f t="shared" si="22"/>
        <v>The Travelage</v>
      </c>
      <c r="F1457" s="27" t="s">
        <v>3249</v>
      </c>
      <c r="G1457" s="18" t="s">
        <v>147</v>
      </c>
      <c r="H1457" s="18" t="s">
        <v>148</v>
      </c>
      <c r="I1457" s="18" t="s">
        <v>54</v>
      </c>
      <c r="J1457" s="18" t="s">
        <v>2264</v>
      </c>
      <c r="K1457" s="18" t="s">
        <v>56</v>
      </c>
      <c r="L1457" s="18" t="s">
        <v>36</v>
      </c>
      <c r="N1457" s="18">
        <v>6</v>
      </c>
      <c r="O1457" s="18" t="s">
        <v>93</v>
      </c>
      <c r="P1457" s="18" t="s">
        <v>38</v>
      </c>
      <c r="Q1457" s="18" t="s">
        <v>58</v>
      </c>
      <c r="R1457" s="18" t="s">
        <v>59</v>
      </c>
      <c r="S1457" s="18" t="s">
        <v>60</v>
      </c>
      <c r="T1457" s="18" t="b">
        <v>1</v>
      </c>
      <c r="U1457" s="18" t="s">
        <v>150</v>
      </c>
      <c r="V1457" s="18" t="s">
        <v>40</v>
      </c>
      <c r="W1457" s="18" t="s">
        <v>61</v>
      </c>
      <c r="X1457" s="18" t="s">
        <v>62</v>
      </c>
      <c r="Y1457" s="18">
        <v>1</v>
      </c>
      <c r="Z1457" s="18">
        <v>170500</v>
      </c>
      <c r="AA1457" s="18" t="s">
        <v>3250</v>
      </c>
      <c r="AB1457" s="18" t="s">
        <v>3251</v>
      </c>
      <c r="AC1457" s="18" t="s">
        <v>676</v>
      </c>
    </row>
    <row r="1458" s="18" customFormat="1" spans="1:29">
      <c r="A1458" s="18" t="s">
        <v>3252</v>
      </c>
      <c r="B1458" s="25" t="s">
        <v>3252</v>
      </c>
      <c r="C1458" s="26">
        <v>45705</v>
      </c>
      <c r="D1458" s="18" t="s">
        <v>3253</v>
      </c>
      <c r="E1458" s="18" t="str">
        <f t="shared" si="22"/>
        <v>The Oberoi New Delhi (EIH Ltd)</v>
      </c>
      <c r="F1458" s="27" t="s">
        <v>3254</v>
      </c>
      <c r="G1458" s="18" t="s">
        <v>147</v>
      </c>
      <c r="H1458" s="18" t="s">
        <v>148</v>
      </c>
      <c r="I1458" s="18" t="s">
        <v>184</v>
      </c>
      <c r="J1458" s="18" t="s">
        <v>2264</v>
      </c>
      <c r="K1458" s="18" t="s">
        <v>56</v>
      </c>
      <c r="L1458" s="18" t="s">
        <v>36</v>
      </c>
      <c r="N1458" s="18">
        <v>6</v>
      </c>
      <c r="O1458" s="18" t="s">
        <v>57</v>
      </c>
      <c r="P1458" s="18" t="s">
        <v>38</v>
      </c>
      <c r="Q1458" s="18" t="s">
        <v>58</v>
      </c>
      <c r="R1458" s="18" t="s">
        <v>59</v>
      </c>
      <c r="S1458" s="18" t="s">
        <v>60</v>
      </c>
      <c r="T1458" s="18" t="b">
        <v>1</v>
      </c>
      <c r="U1458" s="18" t="s">
        <v>150</v>
      </c>
      <c r="V1458" s="18" t="s">
        <v>40</v>
      </c>
      <c r="W1458" s="18" t="s">
        <v>61</v>
      </c>
      <c r="X1458" s="18" t="s">
        <v>62</v>
      </c>
      <c r="Y1458" s="18">
        <v>1</v>
      </c>
      <c r="Z1458" s="18">
        <v>164820</v>
      </c>
      <c r="AA1458" s="18" t="s">
        <v>1487</v>
      </c>
      <c r="AB1458" s="18" t="s">
        <v>1488</v>
      </c>
      <c r="AC1458" s="18" t="s">
        <v>163</v>
      </c>
    </row>
    <row r="1459" s="18" customFormat="1" spans="1:29">
      <c r="A1459" s="18" t="s">
        <v>3255</v>
      </c>
      <c r="B1459" s="25" t="s">
        <v>3255</v>
      </c>
      <c r="C1459" s="26">
        <v>45705</v>
      </c>
      <c r="D1459" s="18" t="s">
        <v>942</v>
      </c>
      <c r="E1459" s="18" t="str">
        <f t="shared" si="22"/>
        <v>Pandey Print Services</v>
      </c>
      <c r="F1459" s="27" t="s">
        <v>943</v>
      </c>
      <c r="G1459" s="18" t="s">
        <v>147</v>
      </c>
      <c r="H1459" s="18" t="s">
        <v>148</v>
      </c>
      <c r="I1459" s="18" t="s">
        <v>54</v>
      </c>
      <c r="J1459" s="18" t="s">
        <v>1238</v>
      </c>
      <c r="K1459" s="18" t="s">
        <v>56</v>
      </c>
      <c r="L1459" s="18" t="s">
        <v>36</v>
      </c>
      <c r="N1459" s="18">
        <v>6</v>
      </c>
      <c r="O1459" s="18" t="s">
        <v>88</v>
      </c>
      <c r="P1459" s="18" t="s">
        <v>38</v>
      </c>
      <c r="Q1459" s="18" t="s">
        <v>58</v>
      </c>
      <c r="R1459" s="18" t="s">
        <v>59</v>
      </c>
      <c r="S1459" s="18" t="s">
        <v>60</v>
      </c>
      <c r="T1459" s="18" t="b">
        <v>1</v>
      </c>
      <c r="U1459" s="18" t="s">
        <v>150</v>
      </c>
      <c r="V1459" s="18" t="s">
        <v>40</v>
      </c>
      <c r="W1459" s="18" t="s">
        <v>196</v>
      </c>
      <c r="X1459" s="18" t="s">
        <v>197</v>
      </c>
      <c r="Y1459" s="18">
        <v>1</v>
      </c>
      <c r="Z1459" s="18">
        <v>1955</v>
      </c>
      <c r="AA1459" s="18" t="s">
        <v>299</v>
      </c>
      <c r="AB1459" s="18" t="s">
        <v>295</v>
      </c>
      <c r="AC1459" s="18" t="s">
        <v>163</v>
      </c>
    </row>
    <row r="1460" s="18" customFormat="1" spans="1:29">
      <c r="A1460" s="18" t="s">
        <v>3256</v>
      </c>
      <c r="B1460" s="25" t="s">
        <v>3256</v>
      </c>
      <c r="C1460" s="26">
        <v>45705</v>
      </c>
      <c r="D1460" s="18" t="s">
        <v>417</v>
      </c>
      <c r="E1460" s="18" t="str">
        <f t="shared" si="22"/>
        <v>Brief Cab</v>
      </c>
      <c r="F1460" s="27" t="s">
        <v>418</v>
      </c>
      <c r="G1460" s="18" t="s">
        <v>147</v>
      </c>
      <c r="H1460" s="18" t="s">
        <v>148</v>
      </c>
      <c r="I1460" s="18" t="s">
        <v>54</v>
      </c>
      <c r="J1460" s="18" t="s">
        <v>2364</v>
      </c>
      <c r="K1460" s="18" t="s">
        <v>56</v>
      </c>
      <c r="L1460" s="18" t="s">
        <v>36</v>
      </c>
      <c r="N1460" s="18">
        <v>6</v>
      </c>
      <c r="O1460" s="18" t="s">
        <v>88</v>
      </c>
      <c r="P1460" s="18" t="s">
        <v>38</v>
      </c>
      <c r="Q1460" s="18" t="s">
        <v>58</v>
      </c>
      <c r="R1460" s="18" t="s">
        <v>59</v>
      </c>
      <c r="S1460" s="18" t="s">
        <v>60</v>
      </c>
      <c r="T1460" s="18" t="b">
        <v>1</v>
      </c>
      <c r="U1460" s="18" t="s">
        <v>150</v>
      </c>
      <c r="V1460" s="18" t="s">
        <v>40</v>
      </c>
      <c r="W1460" s="18" t="s">
        <v>347</v>
      </c>
      <c r="X1460" s="18" t="s">
        <v>348</v>
      </c>
      <c r="Y1460" s="18">
        <v>1</v>
      </c>
      <c r="Z1460" s="18">
        <v>10000</v>
      </c>
      <c r="AA1460" s="18" t="s">
        <v>3257</v>
      </c>
      <c r="AB1460" s="18" t="s">
        <v>1990</v>
      </c>
      <c r="AC1460" s="18" t="s">
        <v>155</v>
      </c>
    </row>
    <row r="1461" s="18" customFormat="1" spans="1:29">
      <c r="A1461" s="18" t="s">
        <v>3258</v>
      </c>
      <c r="B1461" s="25" t="s">
        <v>3258</v>
      </c>
      <c r="C1461" s="26">
        <v>45705</v>
      </c>
      <c r="D1461" s="18" t="s">
        <v>1014</v>
      </c>
      <c r="E1461" s="18" t="str">
        <f t="shared" si="22"/>
        <v>Zpay Solutions Private Limited</v>
      </c>
      <c r="F1461" s="27" t="e">
        <v>#N/A</v>
      </c>
      <c r="G1461" s="18" t="s">
        <v>147</v>
      </c>
      <c r="H1461" s="18" t="s">
        <v>148</v>
      </c>
      <c r="I1461" s="18" t="s">
        <v>207</v>
      </c>
      <c r="J1461" s="18" t="s">
        <v>1238</v>
      </c>
      <c r="K1461" s="18" t="s">
        <v>56</v>
      </c>
      <c r="L1461" s="18" t="s">
        <v>36</v>
      </c>
      <c r="N1461" s="18">
        <v>6</v>
      </c>
      <c r="O1461" s="18" t="s">
        <v>88</v>
      </c>
      <c r="P1461" s="18" t="s">
        <v>38</v>
      </c>
      <c r="Q1461" s="18" t="s">
        <v>58</v>
      </c>
      <c r="R1461" s="18" t="s">
        <v>59</v>
      </c>
      <c r="S1461" s="18" t="s">
        <v>60</v>
      </c>
      <c r="T1461" s="18" t="b">
        <v>1</v>
      </c>
      <c r="U1461" s="18" t="s">
        <v>150</v>
      </c>
      <c r="V1461" s="18" t="s">
        <v>40</v>
      </c>
      <c r="W1461" s="18" t="s">
        <v>140</v>
      </c>
      <c r="X1461" s="18" t="s">
        <v>141</v>
      </c>
      <c r="Y1461" s="18">
        <v>1</v>
      </c>
      <c r="Z1461" s="18">
        <v>4000000</v>
      </c>
      <c r="AA1461" s="18" t="s">
        <v>241</v>
      </c>
      <c r="AB1461" s="18" t="s">
        <v>242</v>
      </c>
      <c r="AC1461" s="18" t="e">
        <v>#N/A</v>
      </c>
    </row>
    <row r="1462" s="18" customFormat="1" ht="43.5" spans="1:29">
      <c r="A1462" s="18" t="s">
        <v>3259</v>
      </c>
      <c r="B1462" s="25" t="s">
        <v>3259</v>
      </c>
      <c r="C1462" s="26">
        <v>45705</v>
      </c>
      <c r="D1462" s="18" t="s">
        <v>3260</v>
      </c>
      <c r="E1462" s="18" t="str">
        <f t="shared" si="22"/>
        <v>Courtyard by Marriott, Nashik (Shweta Infrastructure &amp; Housing India Pvt Ltd)</v>
      </c>
      <c r="F1462" s="27" t="e">
        <v>#N/A</v>
      </c>
      <c r="G1462" s="18" t="s">
        <v>182</v>
      </c>
      <c r="H1462" s="18" t="s">
        <v>183</v>
      </c>
      <c r="I1462" s="18" t="s">
        <v>184</v>
      </c>
      <c r="J1462" s="18" t="s">
        <v>728</v>
      </c>
      <c r="K1462" s="18" t="s">
        <v>56</v>
      </c>
      <c r="L1462" s="18" t="s">
        <v>36</v>
      </c>
      <c r="N1462" s="18">
        <v>6</v>
      </c>
      <c r="O1462" s="18" t="s">
        <v>88</v>
      </c>
      <c r="P1462" s="18" t="s">
        <v>38</v>
      </c>
      <c r="Q1462" s="18" t="s">
        <v>194</v>
      </c>
      <c r="R1462" s="18" t="s">
        <v>59</v>
      </c>
      <c r="S1462" s="18" t="s">
        <v>195</v>
      </c>
      <c r="T1462" s="18" t="b">
        <v>0</v>
      </c>
      <c r="U1462" s="18" t="s">
        <v>187</v>
      </c>
      <c r="V1462" s="18" t="s">
        <v>40</v>
      </c>
      <c r="W1462" s="18" t="s">
        <v>1176</v>
      </c>
      <c r="X1462" s="18" t="s">
        <v>1177</v>
      </c>
      <c r="Y1462" s="18">
        <v>1</v>
      </c>
      <c r="Z1462" s="18">
        <v>11000</v>
      </c>
      <c r="AA1462" s="31" t="s">
        <v>3261</v>
      </c>
      <c r="AB1462" s="18" t="s">
        <v>2343</v>
      </c>
      <c r="AC1462" s="18" t="s">
        <v>200</v>
      </c>
    </row>
    <row r="1463" s="18" customFormat="1" spans="1:29">
      <c r="A1463" s="18" t="s">
        <v>3262</v>
      </c>
      <c r="B1463" s="25" t="s">
        <v>3262</v>
      </c>
      <c r="C1463" s="26">
        <v>45705</v>
      </c>
      <c r="D1463" s="18" t="s">
        <v>247</v>
      </c>
      <c r="E1463" s="18" t="str">
        <f t="shared" si="22"/>
        <v>Black Hat Talent Solutions &amp; Consulting Pvt Ltd</v>
      </c>
      <c r="F1463" s="27" t="s">
        <v>248</v>
      </c>
      <c r="G1463" s="18" t="s">
        <v>182</v>
      </c>
      <c r="H1463" s="18" t="s">
        <v>183</v>
      </c>
      <c r="I1463" s="18" t="s">
        <v>207</v>
      </c>
      <c r="J1463" s="18" t="s">
        <v>1370</v>
      </c>
      <c r="K1463" s="18" t="s">
        <v>56</v>
      </c>
      <c r="L1463" s="18" t="s">
        <v>36</v>
      </c>
      <c r="N1463" s="18">
        <v>6</v>
      </c>
      <c r="O1463" s="18" t="s">
        <v>57</v>
      </c>
      <c r="P1463" s="18" t="s">
        <v>38</v>
      </c>
      <c r="Q1463" s="18" t="s">
        <v>58</v>
      </c>
      <c r="R1463" s="18" t="s">
        <v>59</v>
      </c>
      <c r="S1463" s="18" t="s">
        <v>60</v>
      </c>
      <c r="T1463" s="18" t="b">
        <v>0</v>
      </c>
      <c r="U1463" s="18" t="s">
        <v>187</v>
      </c>
      <c r="V1463" s="18" t="s">
        <v>40</v>
      </c>
      <c r="W1463" s="18" t="s">
        <v>250</v>
      </c>
      <c r="X1463" s="18" t="s">
        <v>251</v>
      </c>
      <c r="Y1463" s="18">
        <v>1</v>
      </c>
      <c r="Z1463" s="18">
        <v>485000</v>
      </c>
      <c r="AA1463" s="18" t="s">
        <v>1015</v>
      </c>
      <c r="AB1463" s="18" t="s">
        <v>1016</v>
      </c>
      <c r="AC1463" s="18" t="s">
        <v>200</v>
      </c>
    </row>
    <row r="1464" s="18" customFormat="1" ht="43.5" spans="1:29">
      <c r="A1464" s="18" t="s">
        <v>3263</v>
      </c>
      <c r="B1464" s="25" t="s">
        <v>3263</v>
      </c>
      <c r="C1464" s="26">
        <v>45705</v>
      </c>
      <c r="D1464" s="18" t="s">
        <v>3264</v>
      </c>
      <c r="E1464" s="18" t="str">
        <f t="shared" si="22"/>
        <v>Foxel Media &amp; Entertainment LLP</v>
      </c>
      <c r="F1464" s="27" t="s">
        <v>3265</v>
      </c>
      <c r="G1464" s="18" t="s">
        <v>182</v>
      </c>
      <c r="H1464" s="18" t="s">
        <v>183</v>
      </c>
      <c r="I1464" s="18" t="s">
        <v>184</v>
      </c>
      <c r="J1464" s="18" t="s">
        <v>2953</v>
      </c>
      <c r="K1464" s="18" t="s">
        <v>56</v>
      </c>
      <c r="L1464" s="18" t="s">
        <v>36</v>
      </c>
      <c r="N1464" s="18">
        <v>6</v>
      </c>
      <c r="O1464" s="18" t="s">
        <v>57</v>
      </c>
      <c r="P1464" s="18" t="s">
        <v>38</v>
      </c>
      <c r="Q1464" s="18" t="s">
        <v>194</v>
      </c>
      <c r="R1464" s="18" t="s">
        <v>59</v>
      </c>
      <c r="S1464" s="18" t="s">
        <v>195</v>
      </c>
      <c r="T1464" s="18" t="b">
        <v>0</v>
      </c>
      <c r="U1464" s="18" t="s">
        <v>187</v>
      </c>
      <c r="V1464" s="18" t="s">
        <v>40</v>
      </c>
      <c r="W1464" s="18" t="s">
        <v>317</v>
      </c>
      <c r="X1464" s="18" t="s">
        <v>318</v>
      </c>
      <c r="Y1464" s="18">
        <v>1</v>
      </c>
      <c r="Z1464" s="18">
        <v>28000</v>
      </c>
      <c r="AA1464" s="31" t="s">
        <v>3266</v>
      </c>
      <c r="AB1464" s="18" t="s">
        <v>985</v>
      </c>
      <c r="AC1464" s="18" t="s">
        <v>200</v>
      </c>
    </row>
    <row r="1465" s="18" customFormat="1" ht="43.5" spans="1:29">
      <c r="A1465" s="18" t="s">
        <v>3267</v>
      </c>
      <c r="B1465" s="25" t="s">
        <v>3267</v>
      </c>
      <c r="C1465" s="26">
        <v>45705</v>
      </c>
      <c r="D1465" s="18" t="s">
        <v>1811</v>
      </c>
      <c r="E1465" s="18" t="str">
        <f t="shared" si="22"/>
        <v>Fabrile Productions</v>
      </c>
      <c r="F1465" s="27" t="s">
        <v>1812</v>
      </c>
      <c r="G1465" s="18" t="s">
        <v>182</v>
      </c>
      <c r="H1465" s="18" t="s">
        <v>183</v>
      </c>
      <c r="I1465" s="18" t="s">
        <v>184</v>
      </c>
      <c r="J1465" s="18" t="s">
        <v>2683</v>
      </c>
      <c r="K1465" s="18" t="s">
        <v>56</v>
      </c>
      <c r="L1465" s="18" t="s">
        <v>36</v>
      </c>
      <c r="N1465" s="18">
        <v>6</v>
      </c>
      <c r="O1465" s="18" t="s">
        <v>88</v>
      </c>
      <c r="P1465" s="18" t="s">
        <v>38</v>
      </c>
      <c r="Q1465" s="18" t="s">
        <v>194</v>
      </c>
      <c r="R1465" s="18" t="s">
        <v>59</v>
      </c>
      <c r="S1465" s="18" t="s">
        <v>195</v>
      </c>
      <c r="T1465" s="18" t="b">
        <v>0</v>
      </c>
      <c r="U1465" s="18" t="s">
        <v>187</v>
      </c>
      <c r="V1465" s="18" t="s">
        <v>40</v>
      </c>
      <c r="W1465" s="18" t="s">
        <v>151</v>
      </c>
      <c r="X1465" s="18" t="s">
        <v>152</v>
      </c>
      <c r="Y1465" s="18">
        <v>1</v>
      </c>
      <c r="Z1465" s="18">
        <v>350000</v>
      </c>
      <c r="AA1465" s="31" t="s">
        <v>2931</v>
      </c>
      <c r="AB1465" s="18" t="s">
        <v>2299</v>
      </c>
      <c r="AC1465" s="18" t="s">
        <v>200</v>
      </c>
    </row>
    <row r="1466" s="18" customFormat="1" spans="1:29">
      <c r="A1466" s="18" t="s">
        <v>3268</v>
      </c>
      <c r="B1466" s="25" t="s">
        <v>3268</v>
      </c>
      <c r="C1466" s="26">
        <v>45705</v>
      </c>
      <c r="D1466" s="18" t="s">
        <v>881</v>
      </c>
      <c r="E1466" s="18" t="str">
        <f t="shared" si="22"/>
        <v>Abdul Shahid Shaikh</v>
      </c>
      <c r="F1466" s="27" t="s">
        <v>882</v>
      </c>
      <c r="G1466" s="18" t="s">
        <v>182</v>
      </c>
      <c r="H1466" s="18" t="s">
        <v>183</v>
      </c>
      <c r="I1466" s="18" t="s">
        <v>54</v>
      </c>
      <c r="J1466" s="18" t="s">
        <v>2913</v>
      </c>
      <c r="K1466" s="18" t="s">
        <v>56</v>
      </c>
      <c r="L1466" s="18" t="s">
        <v>36</v>
      </c>
      <c r="N1466" s="18">
        <v>6</v>
      </c>
      <c r="O1466" s="18" t="s">
        <v>57</v>
      </c>
      <c r="P1466" s="18" t="s">
        <v>38</v>
      </c>
      <c r="Q1466" s="18" t="s">
        <v>58</v>
      </c>
      <c r="R1466" s="18" t="s">
        <v>59</v>
      </c>
      <c r="S1466" s="18" t="s">
        <v>60</v>
      </c>
      <c r="T1466" s="18" t="b">
        <v>0</v>
      </c>
      <c r="U1466" s="18" t="s">
        <v>187</v>
      </c>
      <c r="V1466" s="18" t="s">
        <v>40</v>
      </c>
      <c r="W1466" s="18" t="s">
        <v>292</v>
      </c>
      <c r="X1466" s="18" t="s">
        <v>293</v>
      </c>
      <c r="Y1466" s="18">
        <v>1</v>
      </c>
      <c r="Z1466" s="18">
        <v>52000</v>
      </c>
      <c r="AA1466" s="18" t="s">
        <v>463</v>
      </c>
      <c r="AB1466" s="18" t="s">
        <v>464</v>
      </c>
      <c r="AC1466" s="18" t="e">
        <v>#N/A</v>
      </c>
    </row>
    <row r="1467" s="18" customFormat="1" spans="1:29">
      <c r="A1467" s="18" t="s">
        <v>3269</v>
      </c>
      <c r="B1467" s="25" t="s">
        <v>3269</v>
      </c>
      <c r="C1467" s="26">
        <v>45705</v>
      </c>
      <c r="D1467" s="18" t="s">
        <v>2310</v>
      </c>
      <c r="E1467" s="18" t="str">
        <f t="shared" si="22"/>
        <v>PT Iplanner Bali Jaya</v>
      </c>
      <c r="F1467" s="27" t="s">
        <v>2311</v>
      </c>
      <c r="G1467" s="18" t="s">
        <v>182</v>
      </c>
      <c r="H1467" s="18" t="s">
        <v>183</v>
      </c>
      <c r="I1467" s="18" t="s">
        <v>207</v>
      </c>
      <c r="J1467" s="18" t="s">
        <v>1426</v>
      </c>
      <c r="K1467" s="18" t="s">
        <v>56</v>
      </c>
      <c r="L1467" s="18" t="s">
        <v>36</v>
      </c>
      <c r="N1467" s="18">
        <v>6</v>
      </c>
      <c r="O1467" s="18" t="s">
        <v>57</v>
      </c>
      <c r="P1467" s="18" t="s">
        <v>38</v>
      </c>
      <c r="Q1467" s="18" t="s">
        <v>58</v>
      </c>
      <c r="R1467" s="18" t="s">
        <v>59</v>
      </c>
      <c r="S1467" s="18" t="s">
        <v>60</v>
      </c>
      <c r="T1467" s="18" t="b">
        <v>0</v>
      </c>
      <c r="U1467" s="18" t="s">
        <v>187</v>
      </c>
      <c r="V1467" s="18" t="s">
        <v>40</v>
      </c>
      <c r="W1467" s="18" t="s">
        <v>1221</v>
      </c>
      <c r="X1467" s="18" t="s">
        <v>234</v>
      </c>
      <c r="Y1467" s="18">
        <v>1</v>
      </c>
      <c r="Z1467" s="18">
        <v>34860</v>
      </c>
      <c r="AA1467" s="18" t="s">
        <v>3270</v>
      </c>
      <c r="AB1467" s="18" t="s">
        <v>1246</v>
      </c>
      <c r="AC1467" s="18" t="e">
        <v>#N/A</v>
      </c>
    </row>
    <row r="1468" s="18" customFormat="1" ht="43.5" spans="1:29">
      <c r="A1468" s="18" t="s">
        <v>3271</v>
      </c>
      <c r="B1468" s="25" t="s">
        <v>3271</v>
      </c>
      <c r="C1468" s="26">
        <v>45705</v>
      </c>
      <c r="D1468" s="18" t="s">
        <v>1225</v>
      </c>
      <c r="E1468" s="18" t="str">
        <f t="shared" si="22"/>
        <v>Pyramid Production</v>
      </c>
      <c r="F1468" s="27" t="s">
        <v>1226</v>
      </c>
      <c r="G1468" s="18" t="s">
        <v>182</v>
      </c>
      <c r="H1468" s="18" t="s">
        <v>183</v>
      </c>
      <c r="I1468" s="18" t="s">
        <v>184</v>
      </c>
      <c r="J1468" s="18" t="s">
        <v>2683</v>
      </c>
      <c r="K1468" s="18" t="s">
        <v>56</v>
      </c>
      <c r="L1468" s="18" t="s">
        <v>36</v>
      </c>
      <c r="N1468" s="18">
        <v>6</v>
      </c>
      <c r="O1468" s="18" t="s">
        <v>88</v>
      </c>
      <c r="P1468" s="18" t="s">
        <v>38</v>
      </c>
      <c r="Q1468" s="18" t="s">
        <v>194</v>
      </c>
      <c r="R1468" s="18" t="s">
        <v>59</v>
      </c>
      <c r="S1468" s="18" t="s">
        <v>195</v>
      </c>
      <c r="T1468" s="18" t="b">
        <v>0</v>
      </c>
      <c r="U1468" s="18" t="s">
        <v>187</v>
      </c>
      <c r="V1468" s="18" t="s">
        <v>40</v>
      </c>
      <c r="W1468" s="18" t="s">
        <v>151</v>
      </c>
      <c r="X1468" s="18" t="s">
        <v>152</v>
      </c>
      <c r="Y1468" s="18">
        <v>1</v>
      </c>
      <c r="Z1468" s="18">
        <v>200000</v>
      </c>
      <c r="AA1468" s="31" t="s">
        <v>2931</v>
      </c>
      <c r="AB1468" s="18" t="s">
        <v>2299</v>
      </c>
      <c r="AC1468" s="18" t="s">
        <v>200</v>
      </c>
    </row>
    <row r="1469" s="18" customFormat="1" ht="43.5" spans="1:29">
      <c r="A1469" s="18" t="s">
        <v>3272</v>
      </c>
      <c r="B1469" s="25" t="s">
        <v>3272</v>
      </c>
      <c r="C1469" s="26">
        <v>45705</v>
      </c>
      <c r="D1469" s="18" t="s">
        <v>2304</v>
      </c>
      <c r="E1469" s="18" t="str">
        <f t="shared" si="22"/>
        <v>KVS Rostam Hires</v>
      </c>
      <c r="F1469" s="27" t="s">
        <v>2305</v>
      </c>
      <c r="G1469" s="18" t="s">
        <v>182</v>
      </c>
      <c r="H1469" s="18" t="s">
        <v>183</v>
      </c>
      <c r="I1469" s="18" t="s">
        <v>184</v>
      </c>
      <c r="J1469" s="18" t="s">
        <v>2683</v>
      </c>
      <c r="K1469" s="18" t="s">
        <v>56</v>
      </c>
      <c r="L1469" s="18" t="s">
        <v>36</v>
      </c>
      <c r="N1469" s="18">
        <v>6</v>
      </c>
      <c r="O1469" s="18" t="s">
        <v>88</v>
      </c>
      <c r="P1469" s="18" t="s">
        <v>38</v>
      </c>
      <c r="Q1469" s="18" t="s">
        <v>194</v>
      </c>
      <c r="R1469" s="18" t="s">
        <v>59</v>
      </c>
      <c r="S1469" s="18" t="s">
        <v>195</v>
      </c>
      <c r="T1469" s="18" t="b">
        <v>0</v>
      </c>
      <c r="U1469" s="18" t="s">
        <v>187</v>
      </c>
      <c r="V1469" s="18" t="s">
        <v>40</v>
      </c>
      <c r="W1469" s="18" t="s">
        <v>151</v>
      </c>
      <c r="X1469" s="18" t="s">
        <v>152</v>
      </c>
      <c r="Y1469" s="18">
        <v>1</v>
      </c>
      <c r="Z1469" s="18">
        <v>20000</v>
      </c>
      <c r="AA1469" s="31" t="s">
        <v>2931</v>
      </c>
      <c r="AB1469" s="18" t="s">
        <v>2299</v>
      </c>
      <c r="AC1469" s="18" t="s">
        <v>200</v>
      </c>
    </row>
    <row r="1470" s="18" customFormat="1" ht="43.5" spans="1:29">
      <c r="A1470" s="18" t="s">
        <v>3273</v>
      </c>
      <c r="B1470" s="25" t="s">
        <v>3273</v>
      </c>
      <c r="C1470" s="26">
        <v>45705</v>
      </c>
      <c r="D1470" s="18" t="s">
        <v>3274</v>
      </c>
      <c r="E1470" s="18" t="str">
        <f t="shared" si="22"/>
        <v>Basal Studio</v>
      </c>
      <c r="F1470" s="27" t="s">
        <v>3275</v>
      </c>
      <c r="G1470" s="18" t="s">
        <v>182</v>
      </c>
      <c r="H1470" s="18" t="s">
        <v>183</v>
      </c>
      <c r="I1470" s="18" t="s">
        <v>184</v>
      </c>
      <c r="J1470" s="18" t="s">
        <v>3123</v>
      </c>
      <c r="K1470" s="18" t="s">
        <v>56</v>
      </c>
      <c r="L1470" s="18" t="s">
        <v>36</v>
      </c>
      <c r="N1470" s="18">
        <v>6</v>
      </c>
      <c r="O1470" s="18" t="s">
        <v>57</v>
      </c>
      <c r="P1470" s="18" t="s">
        <v>38</v>
      </c>
      <c r="Q1470" s="18" t="s">
        <v>194</v>
      </c>
      <c r="R1470" s="18" t="s">
        <v>59</v>
      </c>
      <c r="S1470" s="18" t="s">
        <v>195</v>
      </c>
      <c r="T1470" s="18" t="b">
        <v>0</v>
      </c>
      <c r="U1470" s="18" t="s">
        <v>187</v>
      </c>
      <c r="V1470" s="18" t="s">
        <v>40</v>
      </c>
      <c r="W1470" s="18" t="s">
        <v>140</v>
      </c>
      <c r="X1470" s="18" t="s">
        <v>141</v>
      </c>
      <c r="Y1470" s="18">
        <v>1</v>
      </c>
      <c r="Z1470" s="18">
        <v>67000</v>
      </c>
      <c r="AA1470" s="31" t="s">
        <v>3124</v>
      </c>
      <c r="AB1470" s="18" t="s">
        <v>570</v>
      </c>
      <c r="AC1470" s="18" t="s">
        <v>190</v>
      </c>
    </row>
    <row r="1471" s="18" customFormat="1" ht="29" spans="1:29">
      <c r="A1471" s="18" t="s">
        <v>3276</v>
      </c>
      <c r="B1471" s="25" t="s">
        <v>3276</v>
      </c>
      <c r="C1471" s="26">
        <v>45705</v>
      </c>
      <c r="D1471" s="18" t="s">
        <v>1960</v>
      </c>
      <c r="E1471" s="18" t="str">
        <f t="shared" si="22"/>
        <v>Shree Vision</v>
      </c>
      <c r="F1471" s="27" t="s">
        <v>1961</v>
      </c>
      <c r="G1471" s="18" t="s">
        <v>182</v>
      </c>
      <c r="H1471" s="18" t="s">
        <v>183</v>
      </c>
      <c r="I1471" s="18" t="s">
        <v>184</v>
      </c>
      <c r="J1471" s="18" t="s">
        <v>2319</v>
      </c>
      <c r="K1471" s="18" t="s">
        <v>56</v>
      </c>
      <c r="L1471" s="18" t="s">
        <v>36</v>
      </c>
      <c r="N1471" s="18">
        <v>6</v>
      </c>
      <c r="O1471" s="18" t="s">
        <v>88</v>
      </c>
      <c r="P1471" s="18" t="s">
        <v>38</v>
      </c>
      <c r="Q1471" s="18" t="s">
        <v>194</v>
      </c>
      <c r="R1471" s="18" t="s">
        <v>59</v>
      </c>
      <c r="S1471" s="18" t="s">
        <v>195</v>
      </c>
      <c r="T1471" s="18" t="b">
        <v>0</v>
      </c>
      <c r="U1471" s="18" t="s">
        <v>187</v>
      </c>
      <c r="V1471" s="18" t="s">
        <v>40</v>
      </c>
      <c r="W1471" s="18" t="s">
        <v>990</v>
      </c>
      <c r="X1471" s="18" t="s">
        <v>991</v>
      </c>
      <c r="Y1471" s="18">
        <v>1</v>
      </c>
      <c r="Z1471" s="18">
        <v>3000</v>
      </c>
      <c r="AA1471" s="31" t="s">
        <v>968</v>
      </c>
      <c r="AB1471" s="18" t="s">
        <v>969</v>
      </c>
      <c r="AC1471" s="18" t="s">
        <v>200</v>
      </c>
    </row>
    <row r="1472" s="18" customFormat="1" ht="43.5" spans="1:29">
      <c r="A1472" s="18" t="s">
        <v>3277</v>
      </c>
      <c r="B1472" s="25" t="s">
        <v>3277</v>
      </c>
      <c r="C1472" s="26">
        <v>45705</v>
      </c>
      <c r="D1472" s="18" t="s">
        <v>1754</v>
      </c>
      <c r="E1472" s="18" t="str">
        <f t="shared" si="22"/>
        <v>Hindustan Computer &amp; Communication Services</v>
      </c>
      <c r="F1472" s="27" t="s">
        <v>1755</v>
      </c>
      <c r="G1472" s="18" t="s">
        <v>182</v>
      </c>
      <c r="H1472" s="18" t="s">
        <v>183</v>
      </c>
      <c r="I1472" s="18" t="s">
        <v>184</v>
      </c>
      <c r="J1472" s="18" t="s">
        <v>2953</v>
      </c>
      <c r="K1472" s="18" t="s">
        <v>56</v>
      </c>
      <c r="L1472" s="18" t="s">
        <v>36</v>
      </c>
      <c r="N1472" s="18">
        <v>6</v>
      </c>
      <c r="O1472" s="18" t="s">
        <v>88</v>
      </c>
      <c r="P1472" s="18" t="s">
        <v>38</v>
      </c>
      <c r="Q1472" s="18" t="s">
        <v>194</v>
      </c>
      <c r="R1472" s="18" t="s">
        <v>59</v>
      </c>
      <c r="S1472" s="18" t="s">
        <v>195</v>
      </c>
      <c r="T1472" s="18" t="b">
        <v>0</v>
      </c>
      <c r="U1472" s="18" t="s">
        <v>187</v>
      </c>
      <c r="V1472" s="18" t="s">
        <v>40</v>
      </c>
      <c r="W1472" s="18" t="s">
        <v>990</v>
      </c>
      <c r="X1472" s="18" t="s">
        <v>991</v>
      </c>
      <c r="Y1472" s="18">
        <v>1</v>
      </c>
      <c r="Z1472" s="18">
        <v>9600</v>
      </c>
      <c r="AA1472" s="31" t="s">
        <v>2826</v>
      </c>
      <c r="AB1472" s="18" t="s">
        <v>993</v>
      </c>
      <c r="AC1472" s="18" t="s">
        <v>200</v>
      </c>
    </row>
    <row r="1473" s="18" customFormat="1" ht="43.5" spans="1:29">
      <c r="A1473" s="18" t="s">
        <v>3278</v>
      </c>
      <c r="B1473" s="25" t="s">
        <v>3278</v>
      </c>
      <c r="C1473" s="26">
        <v>45705</v>
      </c>
      <c r="D1473" s="18" t="s">
        <v>754</v>
      </c>
      <c r="E1473" s="18" t="str">
        <f t="shared" si="22"/>
        <v>Airtel Ltd(Bill Booking)</v>
      </c>
      <c r="F1473" s="27" t="s">
        <v>755</v>
      </c>
      <c r="G1473" s="18" t="s">
        <v>182</v>
      </c>
      <c r="H1473" s="18" t="s">
        <v>183</v>
      </c>
      <c r="I1473" s="18" t="s">
        <v>184</v>
      </c>
      <c r="J1473" s="18" t="s">
        <v>2953</v>
      </c>
      <c r="K1473" s="18" t="s">
        <v>56</v>
      </c>
      <c r="L1473" s="18" t="s">
        <v>36</v>
      </c>
      <c r="N1473" s="18">
        <v>6</v>
      </c>
      <c r="O1473" s="18" t="s">
        <v>93</v>
      </c>
      <c r="P1473" s="18" t="s">
        <v>38</v>
      </c>
      <c r="Q1473" s="18" t="s">
        <v>194</v>
      </c>
      <c r="R1473" s="18" t="s">
        <v>59</v>
      </c>
      <c r="S1473" s="18" t="s">
        <v>195</v>
      </c>
      <c r="T1473" s="18" t="b">
        <v>0</v>
      </c>
      <c r="U1473" s="18" t="s">
        <v>187</v>
      </c>
      <c r="V1473" s="18" t="s">
        <v>40</v>
      </c>
      <c r="W1473" s="18" t="s">
        <v>311</v>
      </c>
      <c r="X1473" s="18" t="s">
        <v>95</v>
      </c>
      <c r="Y1473" s="18">
        <v>1</v>
      </c>
      <c r="Z1473" s="18">
        <v>4237.29</v>
      </c>
      <c r="AA1473" s="31" t="s">
        <v>2826</v>
      </c>
      <c r="AB1473" s="18" t="s">
        <v>993</v>
      </c>
      <c r="AC1473" s="18" t="s">
        <v>200</v>
      </c>
    </row>
    <row r="1474" s="18" customFormat="1" spans="1:29">
      <c r="A1474" s="18" t="s">
        <v>3279</v>
      </c>
      <c r="B1474" s="25" t="s">
        <v>3279</v>
      </c>
      <c r="C1474" s="26">
        <v>45705</v>
      </c>
      <c r="D1474" s="18" t="s">
        <v>723</v>
      </c>
      <c r="E1474" s="18" t="str">
        <f t="shared" si="22"/>
        <v>Greenix Experience Pvt Ltd</v>
      </c>
      <c r="F1474" s="27" t="s">
        <v>724</v>
      </c>
      <c r="G1474" s="18" t="s">
        <v>182</v>
      </c>
      <c r="H1474" s="18" t="s">
        <v>183</v>
      </c>
      <c r="I1474" s="18" t="s">
        <v>54</v>
      </c>
      <c r="J1474" s="18" t="s">
        <v>1275</v>
      </c>
      <c r="K1474" s="18" t="s">
        <v>56</v>
      </c>
      <c r="L1474" s="18" t="s">
        <v>36</v>
      </c>
      <c r="N1474" s="18">
        <v>6</v>
      </c>
      <c r="O1474" s="18" t="s">
        <v>93</v>
      </c>
      <c r="P1474" s="18" t="s">
        <v>38</v>
      </c>
      <c r="Q1474" s="18" t="s">
        <v>58</v>
      </c>
      <c r="R1474" s="18" t="s">
        <v>59</v>
      </c>
      <c r="S1474" s="18" t="s">
        <v>60</v>
      </c>
      <c r="T1474" s="18" t="b">
        <v>0</v>
      </c>
      <c r="U1474" s="18" t="s">
        <v>187</v>
      </c>
      <c r="V1474" s="18" t="s">
        <v>40</v>
      </c>
      <c r="W1474" s="18" t="s">
        <v>233</v>
      </c>
      <c r="X1474" s="18" t="s">
        <v>234</v>
      </c>
      <c r="Y1474" s="18">
        <v>1</v>
      </c>
      <c r="Z1474" s="18">
        <v>500000</v>
      </c>
      <c r="AA1474" s="18" t="s">
        <v>63</v>
      </c>
      <c r="AB1474" s="18" t="s">
        <v>64</v>
      </c>
      <c r="AC1474" s="18" t="s">
        <v>216</v>
      </c>
    </row>
    <row r="1475" s="18" customFormat="1" ht="43.5" spans="1:29">
      <c r="A1475" s="18" t="s">
        <v>3280</v>
      </c>
      <c r="B1475" s="25" t="s">
        <v>3280</v>
      </c>
      <c r="C1475" s="26">
        <v>45705</v>
      </c>
      <c r="D1475" s="18" t="s">
        <v>1754</v>
      </c>
      <c r="E1475" s="18" t="str">
        <f t="shared" ref="E1475:E1538" si="23">_xlfn.TEXTBEFORE(D1475,"-")</f>
        <v>Hindustan Computer &amp; Communication Services</v>
      </c>
      <c r="F1475" s="27" t="s">
        <v>1755</v>
      </c>
      <c r="G1475" s="18" t="s">
        <v>182</v>
      </c>
      <c r="H1475" s="18" t="s">
        <v>183</v>
      </c>
      <c r="I1475" s="18" t="s">
        <v>184</v>
      </c>
      <c r="J1475" s="18" t="s">
        <v>3123</v>
      </c>
      <c r="K1475" s="18" t="s">
        <v>56</v>
      </c>
      <c r="L1475" s="18" t="s">
        <v>36</v>
      </c>
      <c r="N1475" s="18">
        <v>6</v>
      </c>
      <c r="O1475" s="18" t="s">
        <v>88</v>
      </c>
      <c r="P1475" s="18" t="s">
        <v>38</v>
      </c>
      <c r="Q1475" s="18" t="s">
        <v>194</v>
      </c>
      <c r="R1475" s="18" t="s">
        <v>59</v>
      </c>
      <c r="S1475" s="18" t="s">
        <v>195</v>
      </c>
      <c r="T1475" s="18" t="b">
        <v>0</v>
      </c>
      <c r="U1475" s="18" t="s">
        <v>187</v>
      </c>
      <c r="V1475" s="18" t="s">
        <v>40</v>
      </c>
      <c r="W1475" s="18" t="s">
        <v>990</v>
      </c>
      <c r="X1475" s="18" t="s">
        <v>991</v>
      </c>
      <c r="Y1475" s="18">
        <v>1</v>
      </c>
      <c r="Z1475" s="18">
        <v>14000</v>
      </c>
      <c r="AA1475" s="31" t="s">
        <v>2826</v>
      </c>
      <c r="AB1475" s="18" t="s">
        <v>993</v>
      </c>
      <c r="AC1475" s="18" t="s">
        <v>200</v>
      </c>
    </row>
    <row r="1476" s="18" customFormat="1" ht="43.5" spans="1:29">
      <c r="A1476" s="18" t="s">
        <v>3281</v>
      </c>
      <c r="B1476" s="25" t="s">
        <v>3281</v>
      </c>
      <c r="C1476" s="26">
        <v>45705</v>
      </c>
      <c r="D1476" s="18" t="s">
        <v>3282</v>
      </c>
      <c r="E1476" s="18" t="str">
        <f t="shared" si="23"/>
        <v>Shree Raj Systems</v>
      </c>
      <c r="F1476" s="27" t="s">
        <v>3283</v>
      </c>
      <c r="G1476" s="18" t="s">
        <v>182</v>
      </c>
      <c r="H1476" s="18" t="s">
        <v>183</v>
      </c>
      <c r="I1476" s="18" t="s">
        <v>184</v>
      </c>
      <c r="J1476" s="18" t="s">
        <v>3123</v>
      </c>
      <c r="K1476" s="18" t="s">
        <v>56</v>
      </c>
      <c r="L1476" s="18" t="s">
        <v>36</v>
      </c>
      <c r="N1476" s="18">
        <v>6</v>
      </c>
      <c r="O1476" s="18" t="s">
        <v>57</v>
      </c>
      <c r="P1476" s="18" t="s">
        <v>38</v>
      </c>
      <c r="Q1476" s="18" t="s">
        <v>194</v>
      </c>
      <c r="R1476" s="18" t="s">
        <v>59</v>
      </c>
      <c r="S1476" s="18" t="s">
        <v>195</v>
      </c>
      <c r="T1476" s="18" t="b">
        <v>0</v>
      </c>
      <c r="U1476" s="18" t="s">
        <v>187</v>
      </c>
      <c r="V1476" s="18" t="s">
        <v>40</v>
      </c>
      <c r="W1476" s="18" t="s">
        <v>704</v>
      </c>
      <c r="X1476" s="18" t="s">
        <v>704</v>
      </c>
      <c r="Y1476" s="18">
        <v>1</v>
      </c>
      <c r="Z1476" s="18">
        <v>1050</v>
      </c>
      <c r="AA1476" s="31" t="s">
        <v>2826</v>
      </c>
      <c r="AB1476" s="18" t="s">
        <v>993</v>
      </c>
      <c r="AC1476" s="18" t="s">
        <v>200</v>
      </c>
    </row>
    <row r="1477" s="18" customFormat="1" ht="43.5" spans="1:29">
      <c r="A1477" s="18" t="s">
        <v>3284</v>
      </c>
      <c r="B1477" s="25" t="s">
        <v>3284</v>
      </c>
      <c r="C1477" s="26">
        <v>45705</v>
      </c>
      <c r="D1477" s="18" t="s">
        <v>3282</v>
      </c>
      <c r="E1477" s="18" t="str">
        <f t="shared" si="23"/>
        <v>Shree Raj Systems</v>
      </c>
      <c r="F1477" s="27" t="s">
        <v>3283</v>
      </c>
      <c r="G1477" s="18" t="s">
        <v>182</v>
      </c>
      <c r="H1477" s="18" t="s">
        <v>183</v>
      </c>
      <c r="I1477" s="18" t="s">
        <v>184</v>
      </c>
      <c r="J1477" s="18" t="s">
        <v>2591</v>
      </c>
      <c r="K1477" s="18" t="s">
        <v>56</v>
      </c>
      <c r="L1477" s="18" t="s">
        <v>36</v>
      </c>
      <c r="N1477" s="18">
        <v>6</v>
      </c>
      <c r="O1477" s="18" t="s">
        <v>57</v>
      </c>
      <c r="P1477" s="18" t="s">
        <v>38</v>
      </c>
      <c r="Q1477" s="18" t="s">
        <v>194</v>
      </c>
      <c r="R1477" s="18" t="s">
        <v>59</v>
      </c>
      <c r="S1477" s="18" t="s">
        <v>195</v>
      </c>
      <c r="T1477" s="18" t="b">
        <v>0</v>
      </c>
      <c r="U1477" s="18" t="s">
        <v>187</v>
      </c>
      <c r="V1477" s="18" t="s">
        <v>40</v>
      </c>
      <c r="W1477" s="18" t="s">
        <v>704</v>
      </c>
      <c r="X1477" s="18" t="s">
        <v>704</v>
      </c>
      <c r="Y1477" s="18">
        <v>1</v>
      </c>
      <c r="Z1477" s="18">
        <v>19300</v>
      </c>
      <c r="AA1477" s="31" t="s">
        <v>2826</v>
      </c>
      <c r="AB1477" s="18" t="s">
        <v>993</v>
      </c>
      <c r="AC1477" s="18" t="s">
        <v>200</v>
      </c>
    </row>
    <row r="1478" s="18" customFormat="1" ht="43.5" spans="1:29">
      <c r="A1478" s="18" t="s">
        <v>3285</v>
      </c>
      <c r="B1478" s="25" t="s">
        <v>3285</v>
      </c>
      <c r="C1478" s="26">
        <v>45705</v>
      </c>
      <c r="D1478" s="18" t="s">
        <v>3282</v>
      </c>
      <c r="E1478" s="18" t="str">
        <f t="shared" si="23"/>
        <v>Shree Raj Systems</v>
      </c>
      <c r="F1478" s="27" t="s">
        <v>3283</v>
      </c>
      <c r="G1478" s="18" t="s">
        <v>182</v>
      </c>
      <c r="H1478" s="18" t="s">
        <v>183</v>
      </c>
      <c r="I1478" s="18" t="s">
        <v>184</v>
      </c>
      <c r="J1478" s="18" t="s">
        <v>2591</v>
      </c>
      <c r="K1478" s="18" t="s">
        <v>56</v>
      </c>
      <c r="L1478" s="18" t="s">
        <v>36</v>
      </c>
      <c r="N1478" s="18">
        <v>6</v>
      </c>
      <c r="O1478" s="18" t="s">
        <v>57</v>
      </c>
      <c r="P1478" s="18" t="s">
        <v>38</v>
      </c>
      <c r="Q1478" s="18" t="s">
        <v>194</v>
      </c>
      <c r="R1478" s="18" t="s">
        <v>59</v>
      </c>
      <c r="S1478" s="18" t="s">
        <v>195</v>
      </c>
      <c r="T1478" s="18" t="b">
        <v>0</v>
      </c>
      <c r="U1478" s="18" t="s">
        <v>187</v>
      </c>
      <c r="V1478" s="18" t="s">
        <v>40</v>
      </c>
      <c r="W1478" s="18" t="s">
        <v>704</v>
      </c>
      <c r="X1478" s="18" t="s">
        <v>704</v>
      </c>
      <c r="Y1478" s="18">
        <v>1</v>
      </c>
      <c r="Z1478" s="18">
        <v>8500</v>
      </c>
      <c r="AA1478" s="31" t="s">
        <v>2826</v>
      </c>
      <c r="AB1478" s="18" t="s">
        <v>993</v>
      </c>
      <c r="AC1478" s="18" t="s">
        <v>200</v>
      </c>
    </row>
    <row r="1479" s="18" customFormat="1" ht="43.5" spans="1:29">
      <c r="A1479" s="18" t="s">
        <v>3286</v>
      </c>
      <c r="B1479" s="25" t="s">
        <v>3286</v>
      </c>
      <c r="C1479" s="26">
        <v>45705</v>
      </c>
      <c r="D1479" s="18" t="s">
        <v>264</v>
      </c>
      <c r="E1479" s="18" t="str">
        <f t="shared" si="23"/>
        <v>The Indian Performing Right Society Ltd.</v>
      </c>
      <c r="F1479" s="27" t="e">
        <v>#N/A</v>
      </c>
      <c r="G1479" s="18" t="s">
        <v>182</v>
      </c>
      <c r="H1479" s="18" t="s">
        <v>183</v>
      </c>
      <c r="I1479" s="18" t="s">
        <v>184</v>
      </c>
      <c r="J1479" s="18" t="s">
        <v>3123</v>
      </c>
      <c r="K1479" s="18" t="s">
        <v>56</v>
      </c>
      <c r="L1479" s="18" t="s">
        <v>36</v>
      </c>
      <c r="N1479" s="18">
        <v>6</v>
      </c>
      <c r="O1479" s="18" t="s">
        <v>57</v>
      </c>
      <c r="P1479" s="18" t="s">
        <v>38</v>
      </c>
      <c r="Q1479" s="18" t="s">
        <v>194</v>
      </c>
      <c r="R1479" s="18" t="s">
        <v>59</v>
      </c>
      <c r="S1479" s="18" t="s">
        <v>195</v>
      </c>
      <c r="T1479" s="18" t="b">
        <v>0</v>
      </c>
      <c r="U1479" s="18" t="s">
        <v>187</v>
      </c>
      <c r="V1479" s="18" t="s">
        <v>40</v>
      </c>
      <c r="W1479" s="18" t="s">
        <v>256</v>
      </c>
      <c r="X1479" s="18" t="s">
        <v>257</v>
      </c>
      <c r="Y1479" s="18">
        <v>1</v>
      </c>
      <c r="Z1479" s="18">
        <v>75000</v>
      </c>
      <c r="AA1479" s="31" t="s">
        <v>2834</v>
      </c>
      <c r="AB1479" s="18" t="s">
        <v>259</v>
      </c>
      <c r="AC1479" s="18" t="s">
        <v>200</v>
      </c>
    </row>
    <row r="1480" s="18" customFormat="1" ht="43.5" spans="1:29">
      <c r="A1480" s="18" t="s">
        <v>3287</v>
      </c>
      <c r="B1480" s="25" t="s">
        <v>3287</v>
      </c>
      <c r="C1480" s="26">
        <v>45705</v>
      </c>
      <c r="D1480" s="18" t="s">
        <v>264</v>
      </c>
      <c r="E1480" s="18" t="str">
        <f t="shared" si="23"/>
        <v>The Indian Performing Right Society Ltd.</v>
      </c>
      <c r="F1480" s="27" t="e">
        <v>#N/A</v>
      </c>
      <c r="G1480" s="18" t="s">
        <v>182</v>
      </c>
      <c r="H1480" s="18" t="s">
        <v>183</v>
      </c>
      <c r="I1480" s="18" t="s">
        <v>184</v>
      </c>
      <c r="J1480" s="18" t="s">
        <v>3123</v>
      </c>
      <c r="K1480" s="18" t="s">
        <v>56</v>
      </c>
      <c r="L1480" s="18" t="s">
        <v>36</v>
      </c>
      <c r="N1480" s="18">
        <v>6</v>
      </c>
      <c r="O1480" s="18" t="s">
        <v>57</v>
      </c>
      <c r="P1480" s="18" t="s">
        <v>38</v>
      </c>
      <c r="Q1480" s="18" t="s">
        <v>194</v>
      </c>
      <c r="R1480" s="18" t="s">
        <v>59</v>
      </c>
      <c r="S1480" s="18" t="s">
        <v>195</v>
      </c>
      <c r="T1480" s="18" t="b">
        <v>0</v>
      </c>
      <c r="U1480" s="18" t="s">
        <v>187</v>
      </c>
      <c r="V1480" s="18" t="s">
        <v>40</v>
      </c>
      <c r="W1480" s="18" t="s">
        <v>256</v>
      </c>
      <c r="X1480" s="18" t="s">
        <v>257</v>
      </c>
      <c r="Y1480" s="18">
        <v>1</v>
      </c>
      <c r="Z1480" s="18">
        <v>30000</v>
      </c>
      <c r="AA1480" s="31" t="s">
        <v>2834</v>
      </c>
      <c r="AB1480" s="18" t="s">
        <v>259</v>
      </c>
      <c r="AC1480" s="18" t="s">
        <v>200</v>
      </c>
    </row>
    <row r="1481" s="18" customFormat="1" ht="43.5" spans="1:29">
      <c r="A1481" s="18" t="s">
        <v>3288</v>
      </c>
      <c r="B1481" s="25" t="s">
        <v>3288</v>
      </c>
      <c r="C1481" s="26">
        <v>45705</v>
      </c>
      <c r="D1481" s="18" t="s">
        <v>2003</v>
      </c>
      <c r="E1481" s="18" t="str">
        <f t="shared" si="23"/>
        <v>Vista Services (Sainath Govind Shirke)</v>
      </c>
      <c r="F1481" s="27" t="s">
        <v>2004</v>
      </c>
      <c r="G1481" s="18" t="s">
        <v>182</v>
      </c>
      <c r="H1481" s="18" t="s">
        <v>183</v>
      </c>
      <c r="I1481" s="18" t="s">
        <v>184</v>
      </c>
      <c r="J1481" s="18" t="s">
        <v>3123</v>
      </c>
      <c r="K1481" s="18" t="s">
        <v>56</v>
      </c>
      <c r="L1481" s="18" t="s">
        <v>36</v>
      </c>
      <c r="N1481" s="18">
        <v>6</v>
      </c>
      <c r="O1481" s="18" t="s">
        <v>57</v>
      </c>
      <c r="P1481" s="18" t="s">
        <v>38</v>
      </c>
      <c r="Q1481" s="18" t="s">
        <v>194</v>
      </c>
      <c r="R1481" s="18" t="s">
        <v>59</v>
      </c>
      <c r="S1481" s="18" t="s">
        <v>195</v>
      </c>
      <c r="T1481" s="18" t="b">
        <v>0</v>
      </c>
      <c r="U1481" s="18" t="s">
        <v>187</v>
      </c>
      <c r="V1481" s="18" t="s">
        <v>40</v>
      </c>
      <c r="W1481" s="18" t="s">
        <v>256</v>
      </c>
      <c r="X1481" s="18" t="s">
        <v>257</v>
      </c>
      <c r="Y1481" s="18">
        <v>1</v>
      </c>
      <c r="Z1481" s="18">
        <v>32000</v>
      </c>
      <c r="AA1481" s="31" t="s">
        <v>2834</v>
      </c>
      <c r="AB1481" s="18" t="s">
        <v>259</v>
      </c>
      <c r="AC1481" s="18" t="s">
        <v>200</v>
      </c>
    </row>
    <row r="1482" s="18" customFormat="1" ht="43.5" spans="1:29">
      <c r="A1482" s="18" t="s">
        <v>3289</v>
      </c>
      <c r="B1482" s="25" t="s">
        <v>3289</v>
      </c>
      <c r="C1482" s="26">
        <v>45705</v>
      </c>
      <c r="D1482" s="18" t="s">
        <v>264</v>
      </c>
      <c r="E1482" s="18" t="str">
        <f t="shared" si="23"/>
        <v>The Indian Performing Right Society Ltd.</v>
      </c>
      <c r="F1482" s="27" t="e">
        <v>#N/A</v>
      </c>
      <c r="G1482" s="18" t="s">
        <v>182</v>
      </c>
      <c r="H1482" s="18" t="s">
        <v>183</v>
      </c>
      <c r="I1482" s="18" t="s">
        <v>184</v>
      </c>
      <c r="J1482" s="18" t="s">
        <v>3290</v>
      </c>
      <c r="K1482" s="18" t="s">
        <v>56</v>
      </c>
      <c r="L1482" s="18" t="s">
        <v>36</v>
      </c>
      <c r="N1482" s="18">
        <v>6</v>
      </c>
      <c r="O1482" s="18" t="s">
        <v>57</v>
      </c>
      <c r="P1482" s="18" t="s">
        <v>38</v>
      </c>
      <c r="Q1482" s="18" t="s">
        <v>117</v>
      </c>
      <c r="R1482" s="18" t="s">
        <v>59</v>
      </c>
      <c r="S1482" s="18" t="s">
        <v>118</v>
      </c>
      <c r="T1482" s="18" t="b">
        <v>0</v>
      </c>
      <c r="U1482" s="18" t="s">
        <v>187</v>
      </c>
      <c r="V1482" s="18" t="s">
        <v>40</v>
      </c>
      <c r="W1482" s="18" t="s">
        <v>256</v>
      </c>
      <c r="X1482" s="18" t="s">
        <v>257</v>
      </c>
      <c r="Y1482" s="18">
        <v>1</v>
      </c>
      <c r="Z1482" s="18">
        <v>30000</v>
      </c>
      <c r="AA1482" s="31" t="s">
        <v>2834</v>
      </c>
      <c r="AB1482" s="18" t="s">
        <v>259</v>
      </c>
      <c r="AC1482" s="18" t="s">
        <v>200</v>
      </c>
    </row>
    <row r="1483" s="18" customFormat="1" spans="1:29">
      <c r="A1483" s="18" t="s">
        <v>3291</v>
      </c>
      <c r="B1483" s="25" t="s">
        <v>3291</v>
      </c>
      <c r="C1483" s="26">
        <v>45705</v>
      </c>
      <c r="D1483" s="18" t="s">
        <v>869</v>
      </c>
      <c r="E1483" s="18" t="str">
        <f t="shared" si="23"/>
        <v>6Th Wall Production Pvt Ltd</v>
      </c>
      <c r="F1483" s="27" t="s">
        <v>870</v>
      </c>
      <c r="G1483" s="18" t="s">
        <v>182</v>
      </c>
      <c r="H1483" s="18" t="s">
        <v>183</v>
      </c>
      <c r="I1483" s="18" t="s">
        <v>54</v>
      </c>
      <c r="J1483" s="18" t="s">
        <v>1238</v>
      </c>
      <c r="K1483" s="18" t="s">
        <v>56</v>
      </c>
      <c r="L1483" s="18" t="s">
        <v>36</v>
      </c>
      <c r="N1483" s="18">
        <v>6</v>
      </c>
      <c r="O1483" s="18" t="s">
        <v>88</v>
      </c>
      <c r="P1483" s="18" t="s">
        <v>38</v>
      </c>
      <c r="Q1483" s="18" t="s">
        <v>58</v>
      </c>
      <c r="R1483" s="18" t="s">
        <v>59</v>
      </c>
      <c r="S1483" s="18" t="s">
        <v>60</v>
      </c>
      <c r="T1483" s="18" t="b">
        <v>0</v>
      </c>
      <c r="U1483" s="18" t="s">
        <v>187</v>
      </c>
      <c r="V1483" s="18" t="s">
        <v>40</v>
      </c>
      <c r="W1483" s="18" t="s">
        <v>151</v>
      </c>
      <c r="X1483" s="18" t="s">
        <v>152</v>
      </c>
      <c r="Y1483" s="18">
        <v>1</v>
      </c>
      <c r="Z1483" s="18">
        <v>80000</v>
      </c>
      <c r="AA1483" s="18" t="s">
        <v>299</v>
      </c>
      <c r="AB1483" s="18" t="s">
        <v>295</v>
      </c>
      <c r="AC1483" s="18" t="s">
        <v>200</v>
      </c>
    </row>
    <row r="1484" s="18" customFormat="1" spans="1:29">
      <c r="A1484" s="18" t="s">
        <v>3292</v>
      </c>
      <c r="B1484" s="25" t="s">
        <v>3292</v>
      </c>
      <c r="C1484" s="26">
        <v>45705</v>
      </c>
      <c r="D1484" s="18" t="s">
        <v>1650</v>
      </c>
      <c r="E1484" s="18" t="str">
        <f t="shared" si="23"/>
        <v>A A Fur1044835 Neetu Prakash Poojaryre(Abbas Abdul Hussain Ujjainwala)</v>
      </c>
      <c r="F1484" s="27" t="s">
        <v>1651</v>
      </c>
      <c r="G1484" s="18" t="s">
        <v>182</v>
      </c>
      <c r="H1484" s="18" t="s">
        <v>183</v>
      </c>
      <c r="I1484" s="18" t="s">
        <v>54</v>
      </c>
      <c r="J1484" s="18" t="s">
        <v>1238</v>
      </c>
      <c r="K1484" s="18" t="s">
        <v>56</v>
      </c>
      <c r="L1484" s="18" t="s">
        <v>36</v>
      </c>
      <c r="N1484" s="18">
        <v>6</v>
      </c>
      <c r="O1484" s="18" t="s">
        <v>57</v>
      </c>
      <c r="P1484" s="18" t="s">
        <v>38</v>
      </c>
      <c r="Q1484" s="18" t="s">
        <v>58</v>
      </c>
      <c r="R1484" s="18" t="s">
        <v>59</v>
      </c>
      <c r="S1484" s="18" t="s">
        <v>60</v>
      </c>
      <c r="T1484" s="18" t="b">
        <v>0</v>
      </c>
      <c r="U1484" s="18" t="s">
        <v>187</v>
      </c>
      <c r="V1484" s="18" t="s">
        <v>40</v>
      </c>
      <c r="W1484" s="18" t="s">
        <v>151</v>
      </c>
      <c r="X1484" s="18" t="s">
        <v>152</v>
      </c>
      <c r="Y1484" s="18">
        <v>1</v>
      </c>
      <c r="Z1484" s="18">
        <v>9000</v>
      </c>
      <c r="AA1484" s="18" t="s">
        <v>299</v>
      </c>
      <c r="AB1484" s="18" t="s">
        <v>295</v>
      </c>
      <c r="AC1484" s="18" t="s">
        <v>200</v>
      </c>
    </row>
    <row r="1485" s="18" customFormat="1" spans="1:29">
      <c r="A1485" s="18" t="s">
        <v>3293</v>
      </c>
      <c r="B1485" s="25" t="s">
        <v>3293</v>
      </c>
      <c r="C1485" s="26">
        <v>45705</v>
      </c>
      <c r="D1485" s="18" t="s">
        <v>872</v>
      </c>
      <c r="E1485" s="18" t="str">
        <f t="shared" si="23"/>
        <v>Specs Care Audio Visual Pvt Ltd</v>
      </c>
      <c r="F1485" s="27" t="s">
        <v>873</v>
      </c>
      <c r="G1485" s="18" t="s">
        <v>182</v>
      </c>
      <c r="H1485" s="18" t="s">
        <v>183</v>
      </c>
      <c r="I1485" s="18" t="s">
        <v>54</v>
      </c>
      <c r="J1485" s="18" t="s">
        <v>1238</v>
      </c>
      <c r="K1485" s="18" t="s">
        <v>56</v>
      </c>
      <c r="L1485" s="18" t="s">
        <v>36</v>
      </c>
      <c r="N1485" s="18">
        <v>6</v>
      </c>
      <c r="O1485" s="18" t="s">
        <v>88</v>
      </c>
      <c r="P1485" s="18" t="s">
        <v>38</v>
      </c>
      <c r="Q1485" s="18" t="s">
        <v>58</v>
      </c>
      <c r="R1485" s="18" t="s">
        <v>59</v>
      </c>
      <c r="S1485" s="18" t="s">
        <v>60</v>
      </c>
      <c r="T1485" s="18" t="b">
        <v>0</v>
      </c>
      <c r="U1485" s="18" t="s">
        <v>187</v>
      </c>
      <c r="V1485" s="18" t="s">
        <v>40</v>
      </c>
      <c r="W1485" s="18" t="s">
        <v>371</v>
      </c>
      <c r="X1485" s="18" t="s">
        <v>372</v>
      </c>
      <c r="Y1485" s="18">
        <v>1</v>
      </c>
      <c r="Z1485" s="18">
        <v>170000</v>
      </c>
      <c r="AA1485" s="18" t="s">
        <v>299</v>
      </c>
      <c r="AB1485" s="18" t="s">
        <v>295</v>
      </c>
      <c r="AC1485" s="18" t="s">
        <v>200</v>
      </c>
    </row>
    <row r="1486" s="18" customFormat="1" spans="1:29">
      <c r="A1486" s="18" t="s">
        <v>3294</v>
      </c>
      <c r="B1486" s="25" t="s">
        <v>3294</v>
      </c>
      <c r="C1486" s="26">
        <v>45705</v>
      </c>
      <c r="D1486" s="18" t="s">
        <v>881</v>
      </c>
      <c r="E1486" s="18" t="str">
        <f t="shared" si="23"/>
        <v>Abdul Shahid Shaikh</v>
      </c>
      <c r="F1486" s="27" t="s">
        <v>882</v>
      </c>
      <c r="G1486" s="18" t="s">
        <v>182</v>
      </c>
      <c r="H1486" s="18" t="s">
        <v>183</v>
      </c>
      <c r="I1486" s="18" t="s">
        <v>54</v>
      </c>
      <c r="J1486" s="18" t="s">
        <v>1238</v>
      </c>
      <c r="K1486" s="18" t="s">
        <v>56</v>
      </c>
      <c r="L1486" s="18" t="s">
        <v>36</v>
      </c>
      <c r="N1486" s="18">
        <v>6</v>
      </c>
      <c r="O1486" s="18" t="s">
        <v>88</v>
      </c>
      <c r="P1486" s="18" t="s">
        <v>38</v>
      </c>
      <c r="Q1486" s="18" t="s">
        <v>58</v>
      </c>
      <c r="R1486" s="18" t="s">
        <v>59</v>
      </c>
      <c r="S1486" s="18" t="s">
        <v>60</v>
      </c>
      <c r="T1486" s="18" t="b">
        <v>0</v>
      </c>
      <c r="U1486" s="18" t="s">
        <v>187</v>
      </c>
      <c r="V1486" s="18" t="s">
        <v>40</v>
      </c>
      <c r="W1486" s="18" t="s">
        <v>292</v>
      </c>
      <c r="X1486" s="18" t="s">
        <v>293</v>
      </c>
      <c r="Y1486" s="18">
        <v>1</v>
      </c>
      <c r="Z1486" s="18">
        <v>9500</v>
      </c>
      <c r="AA1486" s="18" t="s">
        <v>299</v>
      </c>
      <c r="AB1486" s="18" t="s">
        <v>295</v>
      </c>
      <c r="AC1486" s="18" t="e">
        <v>#N/A</v>
      </c>
    </row>
    <row r="1487" s="18" customFormat="1" spans="1:29">
      <c r="A1487" s="18" t="s">
        <v>3295</v>
      </c>
      <c r="B1487" s="25" t="s">
        <v>3295</v>
      </c>
      <c r="C1487" s="26">
        <v>45705</v>
      </c>
      <c r="D1487" s="18" t="s">
        <v>884</v>
      </c>
      <c r="E1487" s="18" t="str">
        <f t="shared" si="23"/>
        <v>Vinit Video Vision</v>
      </c>
      <c r="F1487" s="27" t="s">
        <v>885</v>
      </c>
      <c r="G1487" s="18" t="s">
        <v>182</v>
      </c>
      <c r="H1487" s="18" t="s">
        <v>183</v>
      </c>
      <c r="I1487" s="18" t="s">
        <v>54</v>
      </c>
      <c r="J1487" s="18" t="s">
        <v>1238</v>
      </c>
      <c r="K1487" s="18" t="s">
        <v>56</v>
      </c>
      <c r="L1487" s="18" t="s">
        <v>36</v>
      </c>
      <c r="N1487" s="18">
        <v>6</v>
      </c>
      <c r="O1487" s="18" t="s">
        <v>57</v>
      </c>
      <c r="P1487" s="18" t="s">
        <v>38</v>
      </c>
      <c r="Q1487" s="18" t="s">
        <v>58</v>
      </c>
      <c r="R1487" s="18" t="s">
        <v>59</v>
      </c>
      <c r="S1487" s="18" t="s">
        <v>60</v>
      </c>
      <c r="T1487" s="18" t="b">
        <v>0</v>
      </c>
      <c r="U1487" s="18" t="s">
        <v>187</v>
      </c>
      <c r="V1487" s="18" t="s">
        <v>40</v>
      </c>
      <c r="W1487" s="18" t="s">
        <v>401</v>
      </c>
      <c r="X1487" s="18" t="s">
        <v>402</v>
      </c>
      <c r="Y1487" s="18">
        <v>1</v>
      </c>
      <c r="Z1487" s="18">
        <v>9500</v>
      </c>
      <c r="AA1487" s="18" t="s">
        <v>299</v>
      </c>
      <c r="AB1487" s="18" t="s">
        <v>295</v>
      </c>
      <c r="AC1487" s="18" t="s">
        <v>200</v>
      </c>
    </row>
    <row r="1488" s="18" customFormat="1" spans="1:29">
      <c r="A1488" s="18" t="s">
        <v>3296</v>
      </c>
      <c r="B1488" s="25" t="s">
        <v>3296</v>
      </c>
      <c r="C1488" s="26">
        <v>45705</v>
      </c>
      <c r="D1488" s="18" t="s">
        <v>3297</v>
      </c>
      <c r="E1488" s="18" t="str">
        <f t="shared" si="23"/>
        <v>V Touch Business Solution</v>
      </c>
      <c r="F1488" s="27" t="s">
        <v>3298</v>
      </c>
      <c r="G1488" s="18" t="s">
        <v>182</v>
      </c>
      <c r="H1488" s="18" t="s">
        <v>183</v>
      </c>
      <c r="I1488" s="18" t="s">
        <v>159</v>
      </c>
      <c r="J1488" s="18" t="s">
        <v>3299</v>
      </c>
      <c r="K1488" s="18" t="s">
        <v>56</v>
      </c>
      <c r="L1488" s="18" t="s">
        <v>36</v>
      </c>
      <c r="N1488" s="18">
        <v>6</v>
      </c>
      <c r="O1488" s="18" t="s">
        <v>88</v>
      </c>
      <c r="P1488" s="18" t="s">
        <v>38</v>
      </c>
      <c r="Q1488" s="18" t="s">
        <v>194</v>
      </c>
      <c r="R1488" s="18" t="s">
        <v>59</v>
      </c>
      <c r="S1488" s="18" t="s">
        <v>195</v>
      </c>
      <c r="T1488" s="18" t="b">
        <v>0</v>
      </c>
      <c r="U1488" s="18" t="s">
        <v>187</v>
      </c>
      <c r="V1488" s="18" t="s">
        <v>40</v>
      </c>
      <c r="W1488" s="18" t="s">
        <v>140</v>
      </c>
      <c r="X1488" s="18" t="s">
        <v>141</v>
      </c>
      <c r="Y1488" s="18">
        <v>1</v>
      </c>
      <c r="Z1488" s="18">
        <v>1100000</v>
      </c>
      <c r="AA1488" s="18" t="s">
        <v>3300</v>
      </c>
      <c r="AB1488" s="18" t="s">
        <v>1594</v>
      </c>
      <c r="AC1488" s="18" t="s">
        <v>200</v>
      </c>
    </row>
    <row r="1489" s="18" customFormat="1" spans="1:29">
      <c r="A1489" s="18" t="s">
        <v>3301</v>
      </c>
      <c r="B1489" s="25" t="s">
        <v>3301</v>
      </c>
      <c r="C1489" s="26">
        <v>45705</v>
      </c>
      <c r="D1489" s="18" t="s">
        <v>2578</v>
      </c>
      <c r="E1489" s="18" t="str">
        <f t="shared" si="23"/>
        <v>Pranil Buva  </v>
      </c>
      <c r="F1489" s="27" t="e">
        <v>#N/A</v>
      </c>
      <c r="G1489" s="18" t="s">
        <v>182</v>
      </c>
      <c r="H1489" s="18" t="s">
        <v>183</v>
      </c>
      <c r="I1489" s="18" t="s">
        <v>481</v>
      </c>
      <c r="J1489" s="18" t="s">
        <v>2591</v>
      </c>
      <c r="K1489" s="18" t="s">
        <v>56</v>
      </c>
      <c r="L1489" s="18" t="s">
        <v>36</v>
      </c>
      <c r="N1489" s="18">
        <v>6</v>
      </c>
      <c r="O1489" s="18" t="s">
        <v>93</v>
      </c>
      <c r="P1489" s="18" t="s">
        <v>38</v>
      </c>
      <c r="Q1489" s="18" t="s">
        <v>194</v>
      </c>
      <c r="R1489" s="18" t="s">
        <v>59</v>
      </c>
      <c r="S1489" s="18" t="s">
        <v>195</v>
      </c>
      <c r="T1489" s="18" t="b">
        <v>0</v>
      </c>
      <c r="U1489" s="18" t="s">
        <v>187</v>
      </c>
      <c r="V1489" s="18" t="s">
        <v>40</v>
      </c>
      <c r="W1489" s="18" t="s">
        <v>126</v>
      </c>
      <c r="X1489" s="18" t="s">
        <v>127</v>
      </c>
      <c r="Y1489" s="18">
        <v>1</v>
      </c>
      <c r="Z1489" s="18">
        <v>450</v>
      </c>
      <c r="AC1489" s="18" t="e">
        <v>#N/A</v>
      </c>
    </row>
    <row r="1490" s="18" customFormat="1" spans="1:29">
      <c r="A1490" s="18" t="s">
        <v>3302</v>
      </c>
      <c r="B1490" s="25" t="s">
        <v>3302</v>
      </c>
      <c r="C1490" s="26">
        <v>45705</v>
      </c>
      <c r="D1490" s="18" t="s">
        <v>3303</v>
      </c>
      <c r="E1490" s="18" t="str">
        <f t="shared" si="23"/>
        <v>Anita Singh  </v>
      </c>
      <c r="F1490" s="27" t="e">
        <v>#N/A</v>
      </c>
      <c r="G1490" s="18" t="s">
        <v>182</v>
      </c>
      <c r="H1490" s="18" t="s">
        <v>183</v>
      </c>
      <c r="I1490" s="18" t="s">
        <v>481</v>
      </c>
      <c r="J1490" s="18" t="s">
        <v>2277</v>
      </c>
      <c r="K1490" s="18" t="s">
        <v>56</v>
      </c>
      <c r="L1490" s="18" t="s">
        <v>36</v>
      </c>
      <c r="N1490" s="18">
        <v>6</v>
      </c>
      <c r="O1490" s="18" t="s">
        <v>93</v>
      </c>
      <c r="P1490" s="18" t="s">
        <v>38</v>
      </c>
      <c r="Q1490" s="18" t="s">
        <v>194</v>
      </c>
      <c r="R1490" s="18" t="s">
        <v>59</v>
      </c>
      <c r="S1490" s="18" t="s">
        <v>195</v>
      </c>
      <c r="T1490" s="18" t="b">
        <v>0</v>
      </c>
      <c r="U1490" s="18" t="s">
        <v>187</v>
      </c>
      <c r="V1490" s="18" t="s">
        <v>40</v>
      </c>
      <c r="W1490" s="18" t="s">
        <v>126</v>
      </c>
      <c r="X1490" s="18" t="s">
        <v>127</v>
      </c>
      <c r="Y1490" s="18">
        <v>1</v>
      </c>
      <c r="Z1490" s="18">
        <v>3856.45</v>
      </c>
      <c r="AC1490" s="18" t="e">
        <v>#N/A</v>
      </c>
    </row>
    <row r="1491" s="18" customFormat="1" spans="1:29">
      <c r="A1491" s="18" t="s">
        <v>3304</v>
      </c>
      <c r="B1491" s="25" t="s">
        <v>3304</v>
      </c>
      <c r="C1491" s="26">
        <v>45705</v>
      </c>
      <c r="D1491" s="18" t="s">
        <v>2321</v>
      </c>
      <c r="E1491" s="18" t="str">
        <f t="shared" si="23"/>
        <v>Krisha Chheda  </v>
      </c>
      <c r="F1491" s="27" t="e">
        <v>#N/A</v>
      </c>
      <c r="G1491" s="18" t="s">
        <v>182</v>
      </c>
      <c r="H1491" s="18" t="s">
        <v>183</v>
      </c>
      <c r="I1491" s="18" t="s">
        <v>481</v>
      </c>
      <c r="J1491" s="18" t="s">
        <v>2707</v>
      </c>
      <c r="K1491" s="18" t="s">
        <v>56</v>
      </c>
      <c r="L1491" s="18" t="s">
        <v>36</v>
      </c>
      <c r="N1491" s="18">
        <v>6</v>
      </c>
      <c r="O1491" s="18" t="s">
        <v>93</v>
      </c>
      <c r="P1491" s="18" t="s">
        <v>38</v>
      </c>
      <c r="Q1491" s="18" t="s">
        <v>194</v>
      </c>
      <c r="R1491" s="18" t="s">
        <v>59</v>
      </c>
      <c r="S1491" s="18" t="s">
        <v>195</v>
      </c>
      <c r="T1491" s="18" t="b">
        <v>0</v>
      </c>
      <c r="U1491" s="18" t="s">
        <v>187</v>
      </c>
      <c r="V1491" s="18" t="s">
        <v>40</v>
      </c>
      <c r="W1491" s="18" t="s">
        <v>126</v>
      </c>
      <c r="X1491" s="18" t="s">
        <v>127</v>
      </c>
      <c r="Y1491" s="18">
        <v>1</v>
      </c>
      <c r="Z1491" s="18">
        <v>5948</v>
      </c>
      <c r="AC1491" s="18" t="e">
        <v>#N/A</v>
      </c>
    </row>
    <row r="1492" s="18" customFormat="1" spans="1:29">
      <c r="A1492" s="18" t="s">
        <v>3305</v>
      </c>
      <c r="B1492" s="25" t="s">
        <v>3305</v>
      </c>
      <c r="C1492" s="26">
        <v>45705</v>
      </c>
      <c r="D1492" s="18" t="s">
        <v>2030</v>
      </c>
      <c r="E1492" s="18" t="str">
        <f t="shared" si="23"/>
        <v>Sanil Thombare </v>
      </c>
      <c r="F1492" s="27" t="e">
        <v>#N/A</v>
      </c>
      <c r="G1492" s="18" t="s">
        <v>182</v>
      </c>
      <c r="H1492" s="18" t="s">
        <v>183</v>
      </c>
      <c r="I1492" s="18" t="s">
        <v>481</v>
      </c>
      <c r="J1492" s="18" t="s">
        <v>2319</v>
      </c>
      <c r="K1492" s="18" t="s">
        <v>56</v>
      </c>
      <c r="L1492" s="18" t="s">
        <v>36</v>
      </c>
      <c r="N1492" s="18">
        <v>6</v>
      </c>
      <c r="O1492" s="18" t="s">
        <v>93</v>
      </c>
      <c r="P1492" s="18" t="s">
        <v>38</v>
      </c>
      <c r="Q1492" s="18" t="s">
        <v>194</v>
      </c>
      <c r="R1492" s="18" t="s">
        <v>59</v>
      </c>
      <c r="S1492" s="18" t="s">
        <v>195</v>
      </c>
      <c r="T1492" s="18" t="b">
        <v>0</v>
      </c>
      <c r="U1492" s="18" t="s">
        <v>187</v>
      </c>
      <c r="V1492" s="18" t="s">
        <v>40</v>
      </c>
      <c r="W1492" s="18" t="s">
        <v>317</v>
      </c>
      <c r="X1492" s="18" t="s">
        <v>318</v>
      </c>
      <c r="Y1492" s="18">
        <v>1</v>
      </c>
      <c r="Z1492" s="18">
        <v>6500</v>
      </c>
      <c r="AC1492" s="18" t="e">
        <v>#N/A</v>
      </c>
    </row>
    <row r="1493" s="18" customFormat="1" spans="1:29">
      <c r="A1493" s="18" t="s">
        <v>3306</v>
      </c>
      <c r="B1493" s="25" t="s">
        <v>3306</v>
      </c>
      <c r="C1493" s="26">
        <v>45705</v>
      </c>
      <c r="D1493" s="18" t="s">
        <v>915</v>
      </c>
      <c r="E1493" s="18" t="str">
        <f t="shared" si="23"/>
        <v>Santosh Bhogal Cash  </v>
      </c>
      <c r="F1493" s="27" t="e">
        <v>#N/A</v>
      </c>
      <c r="G1493" s="18" t="s">
        <v>182</v>
      </c>
      <c r="H1493" s="18" t="s">
        <v>183</v>
      </c>
      <c r="I1493" s="18" t="s">
        <v>481</v>
      </c>
      <c r="J1493" s="18" t="s">
        <v>1889</v>
      </c>
      <c r="K1493" s="18" t="s">
        <v>56</v>
      </c>
      <c r="L1493" s="18" t="s">
        <v>36</v>
      </c>
      <c r="N1493" s="18">
        <v>6</v>
      </c>
      <c r="O1493" s="18" t="s">
        <v>93</v>
      </c>
      <c r="P1493" s="18" t="s">
        <v>38</v>
      </c>
      <c r="Q1493" s="18" t="s">
        <v>194</v>
      </c>
      <c r="R1493" s="18" t="s">
        <v>59</v>
      </c>
      <c r="S1493" s="18" t="s">
        <v>195</v>
      </c>
      <c r="T1493" s="18" t="b">
        <v>0</v>
      </c>
      <c r="U1493" s="18" t="s">
        <v>187</v>
      </c>
      <c r="V1493" s="18" t="s">
        <v>40</v>
      </c>
      <c r="W1493" s="18" t="s">
        <v>317</v>
      </c>
      <c r="X1493" s="18" t="s">
        <v>318</v>
      </c>
      <c r="Y1493" s="18">
        <v>1</v>
      </c>
      <c r="Z1493" s="18">
        <v>3365</v>
      </c>
      <c r="AC1493" s="18" t="e">
        <v>#N/A</v>
      </c>
    </row>
    <row r="1494" s="18" customFormat="1" spans="1:29">
      <c r="A1494" s="18" t="s">
        <v>3307</v>
      </c>
      <c r="B1494" s="25" t="s">
        <v>3307</v>
      </c>
      <c r="C1494" s="26">
        <v>45705</v>
      </c>
      <c r="D1494" s="18" t="s">
        <v>565</v>
      </c>
      <c r="E1494" s="18" t="str">
        <f t="shared" si="23"/>
        <v>Abhimanyu Awate </v>
      </c>
      <c r="F1494" s="27" t="e">
        <v>#N/A</v>
      </c>
      <c r="G1494" s="18" t="s">
        <v>182</v>
      </c>
      <c r="H1494" s="18" t="s">
        <v>183</v>
      </c>
      <c r="I1494" s="18" t="s">
        <v>481</v>
      </c>
      <c r="J1494" s="18" t="s">
        <v>2690</v>
      </c>
      <c r="K1494" s="18" t="s">
        <v>56</v>
      </c>
      <c r="L1494" s="18" t="s">
        <v>36</v>
      </c>
      <c r="N1494" s="18">
        <v>6</v>
      </c>
      <c r="O1494" s="18" t="s">
        <v>93</v>
      </c>
      <c r="P1494" s="18" t="s">
        <v>38</v>
      </c>
      <c r="Q1494" s="18" t="s">
        <v>194</v>
      </c>
      <c r="R1494" s="18" t="s">
        <v>59</v>
      </c>
      <c r="S1494" s="18" t="s">
        <v>195</v>
      </c>
      <c r="T1494" s="18" t="b">
        <v>0</v>
      </c>
      <c r="U1494" s="18" t="s">
        <v>187</v>
      </c>
      <c r="V1494" s="18" t="s">
        <v>40</v>
      </c>
      <c r="W1494" s="18" t="s">
        <v>126</v>
      </c>
      <c r="X1494" s="18" t="s">
        <v>127</v>
      </c>
      <c r="Y1494" s="18">
        <v>1</v>
      </c>
      <c r="Z1494" s="18">
        <v>6159</v>
      </c>
      <c r="AC1494" s="18" t="e">
        <v>#N/A</v>
      </c>
    </row>
    <row r="1495" s="18" customFormat="1" ht="43.5" spans="1:29">
      <c r="A1495" s="18" t="s">
        <v>3308</v>
      </c>
      <c r="B1495" s="25" t="s">
        <v>3308</v>
      </c>
      <c r="C1495" s="26">
        <v>45705</v>
      </c>
      <c r="D1495" s="18" t="s">
        <v>255</v>
      </c>
      <c r="E1495" s="18" t="str">
        <f t="shared" si="23"/>
        <v>Phonographic Performance Limited</v>
      </c>
      <c r="F1495" s="27" t="e">
        <v>#N/A</v>
      </c>
      <c r="G1495" s="18" t="s">
        <v>182</v>
      </c>
      <c r="H1495" s="18" t="s">
        <v>183</v>
      </c>
      <c r="I1495" s="18" t="s">
        <v>184</v>
      </c>
      <c r="J1495" s="18" t="s">
        <v>3290</v>
      </c>
      <c r="K1495" s="18" t="s">
        <v>56</v>
      </c>
      <c r="L1495" s="18" t="s">
        <v>36</v>
      </c>
      <c r="N1495" s="18">
        <v>6</v>
      </c>
      <c r="O1495" s="18" t="s">
        <v>88</v>
      </c>
      <c r="P1495" s="18" t="s">
        <v>38</v>
      </c>
      <c r="Q1495" s="18" t="s">
        <v>117</v>
      </c>
      <c r="R1495" s="18" t="s">
        <v>59</v>
      </c>
      <c r="S1495" s="18" t="s">
        <v>118</v>
      </c>
      <c r="T1495" s="18" t="b">
        <v>0</v>
      </c>
      <c r="U1495" s="18" t="s">
        <v>187</v>
      </c>
      <c r="V1495" s="18" t="s">
        <v>40</v>
      </c>
      <c r="W1495" s="18" t="s">
        <v>256</v>
      </c>
      <c r="X1495" s="18" t="s">
        <v>257</v>
      </c>
      <c r="Y1495" s="18">
        <v>1</v>
      </c>
      <c r="Z1495" s="18">
        <v>55500</v>
      </c>
      <c r="AA1495" s="31" t="s">
        <v>2834</v>
      </c>
      <c r="AB1495" s="18" t="s">
        <v>259</v>
      </c>
      <c r="AC1495" s="18" t="s">
        <v>200</v>
      </c>
    </row>
    <row r="1496" s="18" customFormat="1" ht="43.5" spans="1:29">
      <c r="A1496" s="18" t="s">
        <v>3309</v>
      </c>
      <c r="B1496" s="25" t="s">
        <v>3309</v>
      </c>
      <c r="C1496" s="26">
        <v>45705</v>
      </c>
      <c r="D1496" s="18" t="s">
        <v>261</v>
      </c>
      <c r="E1496" s="18" t="str">
        <f t="shared" si="23"/>
        <v>Novex Communications Pvt. Ltd.</v>
      </c>
      <c r="F1496" s="27" t="e">
        <v>#N/A</v>
      </c>
      <c r="G1496" s="18" t="s">
        <v>182</v>
      </c>
      <c r="H1496" s="18" t="s">
        <v>183</v>
      </c>
      <c r="I1496" s="18" t="s">
        <v>184</v>
      </c>
      <c r="J1496" s="18" t="s">
        <v>3290</v>
      </c>
      <c r="K1496" s="18" t="s">
        <v>56</v>
      </c>
      <c r="L1496" s="18" t="s">
        <v>36</v>
      </c>
      <c r="N1496" s="18">
        <v>6</v>
      </c>
      <c r="O1496" s="18" t="s">
        <v>88</v>
      </c>
      <c r="P1496" s="18" t="s">
        <v>38</v>
      </c>
      <c r="Q1496" s="18" t="s">
        <v>117</v>
      </c>
      <c r="R1496" s="18" t="s">
        <v>59</v>
      </c>
      <c r="S1496" s="18" t="s">
        <v>118</v>
      </c>
      <c r="T1496" s="18" t="b">
        <v>0</v>
      </c>
      <c r="U1496" s="18" t="s">
        <v>187</v>
      </c>
      <c r="V1496" s="18" t="s">
        <v>40</v>
      </c>
      <c r="W1496" s="18" t="s">
        <v>256</v>
      </c>
      <c r="X1496" s="18" t="s">
        <v>257</v>
      </c>
      <c r="Y1496" s="18">
        <v>1</v>
      </c>
      <c r="Z1496" s="18">
        <v>60000</v>
      </c>
      <c r="AA1496" s="31" t="s">
        <v>2834</v>
      </c>
      <c r="AB1496" s="18" t="s">
        <v>259</v>
      </c>
      <c r="AC1496" s="18" t="s">
        <v>200</v>
      </c>
    </row>
    <row r="1497" s="18" customFormat="1" ht="43.5" spans="1:29">
      <c r="A1497" s="18" t="s">
        <v>3310</v>
      </c>
      <c r="B1497" s="25" t="s">
        <v>3310</v>
      </c>
      <c r="C1497" s="26">
        <v>45705</v>
      </c>
      <c r="D1497" s="18" t="s">
        <v>918</v>
      </c>
      <c r="E1497" s="18" t="str">
        <f t="shared" si="23"/>
        <v>Recorded Music Performance Ltd</v>
      </c>
      <c r="F1497" s="27" t="s">
        <v>919</v>
      </c>
      <c r="G1497" s="18" t="s">
        <v>182</v>
      </c>
      <c r="H1497" s="18" t="s">
        <v>183</v>
      </c>
      <c r="I1497" s="18" t="s">
        <v>184</v>
      </c>
      <c r="J1497" s="18" t="s">
        <v>3290</v>
      </c>
      <c r="K1497" s="18" t="s">
        <v>56</v>
      </c>
      <c r="L1497" s="18" t="s">
        <v>36</v>
      </c>
      <c r="N1497" s="18">
        <v>6</v>
      </c>
      <c r="O1497" s="18" t="s">
        <v>57</v>
      </c>
      <c r="P1497" s="18" t="s">
        <v>38</v>
      </c>
      <c r="Q1497" s="18" t="s">
        <v>117</v>
      </c>
      <c r="R1497" s="18" t="s">
        <v>59</v>
      </c>
      <c r="S1497" s="18" t="s">
        <v>118</v>
      </c>
      <c r="T1497" s="18" t="b">
        <v>0</v>
      </c>
      <c r="U1497" s="18" t="s">
        <v>187</v>
      </c>
      <c r="V1497" s="18" t="s">
        <v>40</v>
      </c>
      <c r="W1497" s="18" t="s">
        <v>256</v>
      </c>
      <c r="X1497" s="18" t="s">
        <v>257</v>
      </c>
      <c r="Y1497" s="18">
        <v>1</v>
      </c>
      <c r="Z1497" s="18">
        <v>25000</v>
      </c>
      <c r="AA1497" s="31" t="s">
        <v>2834</v>
      </c>
      <c r="AB1497" s="18" t="s">
        <v>259</v>
      </c>
      <c r="AC1497" s="18" t="s">
        <v>200</v>
      </c>
    </row>
    <row r="1498" s="18" customFormat="1" ht="43.5" spans="1:29">
      <c r="A1498" s="18" t="s">
        <v>3311</v>
      </c>
      <c r="B1498" s="25" t="s">
        <v>3311</v>
      </c>
      <c r="C1498" s="26">
        <v>45705</v>
      </c>
      <c r="D1498" s="18" t="s">
        <v>918</v>
      </c>
      <c r="E1498" s="18" t="str">
        <f t="shared" si="23"/>
        <v>Recorded Music Performance Ltd</v>
      </c>
      <c r="F1498" s="27" t="s">
        <v>919</v>
      </c>
      <c r="G1498" s="18" t="s">
        <v>182</v>
      </c>
      <c r="H1498" s="18" t="s">
        <v>183</v>
      </c>
      <c r="I1498" s="18" t="s">
        <v>184</v>
      </c>
      <c r="J1498" s="18" t="s">
        <v>3312</v>
      </c>
      <c r="K1498" s="18" t="s">
        <v>56</v>
      </c>
      <c r="L1498" s="18" t="s">
        <v>36</v>
      </c>
      <c r="N1498" s="18">
        <v>6</v>
      </c>
      <c r="O1498" s="18" t="s">
        <v>57</v>
      </c>
      <c r="P1498" s="18" t="s">
        <v>38</v>
      </c>
      <c r="Q1498" s="18" t="s">
        <v>117</v>
      </c>
      <c r="R1498" s="18" t="s">
        <v>59</v>
      </c>
      <c r="S1498" s="18" t="s">
        <v>118</v>
      </c>
      <c r="T1498" s="18" t="b">
        <v>0</v>
      </c>
      <c r="U1498" s="18" t="s">
        <v>187</v>
      </c>
      <c r="V1498" s="18" t="s">
        <v>40</v>
      </c>
      <c r="W1498" s="18" t="s">
        <v>256</v>
      </c>
      <c r="X1498" s="18" t="s">
        <v>257</v>
      </c>
      <c r="Y1498" s="18">
        <v>1</v>
      </c>
      <c r="Z1498" s="18">
        <v>25000</v>
      </c>
      <c r="AA1498" s="31" t="s">
        <v>2834</v>
      </c>
      <c r="AB1498" s="18" t="s">
        <v>259</v>
      </c>
      <c r="AC1498" s="18" t="s">
        <v>200</v>
      </c>
    </row>
    <row r="1499" s="18" customFormat="1" ht="43.5" spans="1:29">
      <c r="A1499" s="18" t="s">
        <v>3313</v>
      </c>
      <c r="B1499" s="25" t="s">
        <v>3313</v>
      </c>
      <c r="C1499" s="26">
        <v>45705</v>
      </c>
      <c r="D1499" s="18" t="s">
        <v>264</v>
      </c>
      <c r="E1499" s="18" t="str">
        <f t="shared" si="23"/>
        <v>The Indian Performing Right Society Ltd.</v>
      </c>
      <c r="F1499" s="27" t="e">
        <v>#N/A</v>
      </c>
      <c r="G1499" s="18" t="s">
        <v>182</v>
      </c>
      <c r="H1499" s="18" t="s">
        <v>183</v>
      </c>
      <c r="I1499" s="18" t="s">
        <v>184</v>
      </c>
      <c r="J1499" s="18" t="s">
        <v>3312</v>
      </c>
      <c r="K1499" s="18" t="s">
        <v>56</v>
      </c>
      <c r="L1499" s="18" t="s">
        <v>36</v>
      </c>
      <c r="N1499" s="18">
        <v>6</v>
      </c>
      <c r="O1499" s="18" t="s">
        <v>57</v>
      </c>
      <c r="P1499" s="18" t="s">
        <v>38</v>
      </c>
      <c r="Q1499" s="18" t="s">
        <v>117</v>
      </c>
      <c r="R1499" s="18" t="s">
        <v>59</v>
      </c>
      <c r="S1499" s="18" t="s">
        <v>118</v>
      </c>
      <c r="T1499" s="18" t="b">
        <v>0</v>
      </c>
      <c r="U1499" s="18" t="s">
        <v>187</v>
      </c>
      <c r="V1499" s="18" t="s">
        <v>40</v>
      </c>
      <c r="W1499" s="18" t="s">
        <v>256</v>
      </c>
      <c r="X1499" s="18" t="s">
        <v>257</v>
      </c>
      <c r="Y1499" s="18">
        <v>1</v>
      </c>
      <c r="Z1499" s="18">
        <v>30000</v>
      </c>
      <c r="AA1499" s="31" t="s">
        <v>2834</v>
      </c>
      <c r="AB1499" s="18" t="s">
        <v>259</v>
      </c>
      <c r="AC1499" s="18" t="s">
        <v>200</v>
      </c>
    </row>
    <row r="1500" s="18" customFormat="1" ht="43.5" spans="1:29">
      <c r="A1500" s="18" t="s">
        <v>3314</v>
      </c>
      <c r="B1500" s="25" t="s">
        <v>3314</v>
      </c>
      <c r="C1500" s="26">
        <v>45705</v>
      </c>
      <c r="D1500" s="18" t="s">
        <v>255</v>
      </c>
      <c r="E1500" s="18" t="str">
        <f t="shared" si="23"/>
        <v>Phonographic Performance Limited</v>
      </c>
      <c r="F1500" s="27" t="e">
        <v>#N/A</v>
      </c>
      <c r="G1500" s="18" t="s">
        <v>182</v>
      </c>
      <c r="H1500" s="18" t="s">
        <v>183</v>
      </c>
      <c r="I1500" s="18" t="s">
        <v>184</v>
      </c>
      <c r="J1500" s="18" t="s">
        <v>3312</v>
      </c>
      <c r="K1500" s="18" t="s">
        <v>56</v>
      </c>
      <c r="L1500" s="18" t="s">
        <v>36</v>
      </c>
      <c r="N1500" s="18">
        <v>6</v>
      </c>
      <c r="O1500" s="18" t="s">
        <v>88</v>
      </c>
      <c r="P1500" s="18" t="s">
        <v>38</v>
      </c>
      <c r="Q1500" s="18" t="s">
        <v>117</v>
      </c>
      <c r="R1500" s="18" t="s">
        <v>59</v>
      </c>
      <c r="S1500" s="18" t="s">
        <v>118</v>
      </c>
      <c r="T1500" s="18" t="b">
        <v>0</v>
      </c>
      <c r="U1500" s="18" t="s">
        <v>187</v>
      </c>
      <c r="V1500" s="18" t="s">
        <v>40</v>
      </c>
      <c r="W1500" s="18" t="s">
        <v>256</v>
      </c>
      <c r="X1500" s="18" t="s">
        <v>257</v>
      </c>
      <c r="Y1500" s="18">
        <v>1</v>
      </c>
      <c r="Z1500" s="18">
        <v>55500</v>
      </c>
      <c r="AA1500" s="31" t="s">
        <v>2834</v>
      </c>
      <c r="AB1500" s="18" t="s">
        <v>259</v>
      </c>
      <c r="AC1500" s="18" t="s">
        <v>200</v>
      </c>
    </row>
    <row r="1501" s="18" customFormat="1" ht="43.5" spans="1:29">
      <c r="A1501" s="18" t="s">
        <v>3315</v>
      </c>
      <c r="B1501" s="25" t="s">
        <v>3315</v>
      </c>
      <c r="C1501" s="26">
        <v>45705</v>
      </c>
      <c r="D1501" s="18" t="s">
        <v>261</v>
      </c>
      <c r="E1501" s="18" t="str">
        <f t="shared" si="23"/>
        <v>Novex Communications Pvt. Ltd.</v>
      </c>
      <c r="F1501" s="27" t="e">
        <v>#N/A</v>
      </c>
      <c r="G1501" s="18" t="s">
        <v>182</v>
      </c>
      <c r="H1501" s="18" t="s">
        <v>183</v>
      </c>
      <c r="I1501" s="18" t="s">
        <v>184</v>
      </c>
      <c r="J1501" s="18" t="s">
        <v>3312</v>
      </c>
      <c r="K1501" s="18" t="s">
        <v>56</v>
      </c>
      <c r="L1501" s="18" t="s">
        <v>36</v>
      </c>
      <c r="N1501" s="18">
        <v>6</v>
      </c>
      <c r="O1501" s="18" t="s">
        <v>88</v>
      </c>
      <c r="P1501" s="18" t="s">
        <v>38</v>
      </c>
      <c r="Q1501" s="18" t="s">
        <v>117</v>
      </c>
      <c r="R1501" s="18" t="s">
        <v>59</v>
      </c>
      <c r="S1501" s="18" t="s">
        <v>118</v>
      </c>
      <c r="T1501" s="18" t="b">
        <v>0</v>
      </c>
      <c r="U1501" s="18" t="s">
        <v>187</v>
      </c>
      <c r="V1501" s="18" t="s">
        <v>40</v>
      </c>
      <c r="W1501" s="18" t="s">
        <v>256</v>
      </c>
      <c r="X1501" s="18" t="s">
        <v>257</v>
      </c>
      <c r="Y1501" s="18">
        <v>1</v>
      </c>
      <c r="Z1501" s="18">
        <v>46500</v>
      </c>
      <c r="AA1501" s="31" t="s">
        <v>2834</v>
      </c>
      <c r="AB1501" s="18" t="s">
        <v>259</v>
      </c>
      <c r="AC1501" s="18" t="s">
        <v>200</v>
      </c>
    </row>
    <row r="1502" s="18" customFormat="1" ht="43.5" spans="1:29">
      <c r="A1502" s="18" t="s">
        <v>3316</v>
      </c>
      <c r="B1502" s="25" t="s">
        <v>3316</v>
      </c>
      <c r="C1502" s="26">
        <v>45706</v>
      </c>
      <c r="D1502" s="18" t="s">
        <v>1233</v>
      </c>
      <c r="E1502" s="18" t="str">
        <f t="shared" si="23"/>
        <v>Megascule</v>
      </c>
      <c r="F1502" s="27" t="e">
        <v>#N/A</v>
      </c>
      <c r="G1502" s="18" t="s">
        <v>32</v>
      </c>
      <c r="H1502" s="18" t="s">
        <v>33</v>
      </c>
      <c r="I1502" s="18" t="s">
        <v>184</v>
      </c>
      <c r="J1502" s="18" t="s">
        <v>1234</v>
      </c>
      <c r="K1502" s="18" t="s">
        <v>56</v>
      </c>
      <c r="L1502" s="18" t="s">
        <v>36</v>
      </c>
      <c r="N1502" s="18">
        <v>6</v>
      </c>
      <c r="O1502" s="18" t="s">
        <v>88</v>
      </c>
      <c r="P1502" s="18" t="s">
        <v>38</v>
      </c>
      <c r="Q1502" s="18" t="s">
        <v>194</v>
      </c>
      <c r="R1502" s="18" t="s">
        <v>59</v>
      </c>
      <c r="S1502" s="18" t="s">
        <v>195</v>
      </c>
      <c r="T1502" s="18" t="b">
        <v>1</v>
      </c>
      <c r="U1502" s="18" t="s">
        <v>39</v>
      </c>
      <c r="V1502" s="18" t="s">
        <v>40</v>
      </c>
      <c r="W1502" s="18" t="s">
        <v>140</v>
      </c>
      <c r="X1502" s="18" t="s">
        <v>141</v>
      </c>
      <c r="Y1502" s="18">
        <v>1</v>
      </c>
      <c r="Z1502" s="18">
        <v>120000</v>
      </c>
      <c r="AA1502" s="31" t="s">
        <v>3109</v>
      </c>
      <c r="AB1502" s="18" t="s">
        <v>730</v>
      </c>
      <c r="AC1502" s="18" t="s">
        <v>43</v>
      </c>
    </row>
    <row r="1503" s="18" customFormat="1" ht="43.5" spans="1:29">
      <c r="A1503" s="18" t="s">
        <v>3317</v>
      </c>
      <c r="B1503" s="25" t="s">
        <v>3317</v>
      </c>
      <c r="C1503" s="26">
        <v>45706</v>
      </c>
      <c r="D1503" s="18" t="s">
        <v>3318</v>
      </c>
      <c r="E1503" s="18" t="str">
        <f t="shared" si="23"/>
        <v>Narsingh Events Pvt Ltd</v>
      </c>
      <c r="F1503" s="27" t="s">
        <v>3319</v>
      </c>
      <c r="G1503" s="18" t="s">
        <v>32</v>
      </c>
      <c r="H1503" s="18" t="s">
        <v>33</v>
      </c>
      <c r="I1503" s="18" t="s">
        <v>184</v>
      </c>
      <c r="J1503" s="18" t="s">
        <v>1851</v>
      </c>
      <c r="K1503" s="18" t="s">
        <v>56</v>
      </c>
      <c r="L1503" s="18" t="s">
        <v>36</v>
      </c>
      <c r="N1503" s="18">
        <v>6</v>
      </c>
      <c r="O1503" s="18" t="s">
        <v>88</v>
      </c>
      <c r="P1503" s="18" t="s">
        <v>38</v>
      </c>
      <c r="Q1503" s="18" t="s">
        <v>194</v>
      </c>
      <c r="R1503" s="18" t="s">
        <v>59</v>
      </c>
      <c r="S1503" s="18" t="s">
        <v>195</v>
      </c>
      <c r="T1503" s="18" t="b">
        <v>1</v>
      </c>
      <c r="U1503" s="18" t="s">
        <v>39</v>
      </c>
      <c r="V1503" s="18" t="s">
        <v>40</v>
      </c>
      <c r="W1503" s="18" t="s">
        <v>151</v>
      </c>
      <c r="X1503" s="18" t="s">
        <v>152</v>
      </c>
      <c r="Y1503" s="18">
        <v>1</v>
      </c>
      <c r="Z1503" s="18">
        <v>23000</v>
      </c>
      <c r="AA1503" s="31" t="s">
        <v>2760</v>
      </c>
      <c r="AB1503" s="18" t="s">
        <v>282</v>
      </c>
      <c r="AC1503" s="18" t="s">
        <v>43</v>
      </c>
    </row>
    <row r="1504" s="18" customFormat="1" ht="43.5" spans="1:29">
      <c r="A1504" s="18" t="s">
        <v>3320</v>
      </c>
      <c r="B1504" s="25" t="s">
        <v>3320</v>
      </c>
      <c r="C1504" s="26">
        <v>45706</v>
      </c>
      <c r="D1504" s="18" t="s">
        <v>1075</v>
      </c>
      <c r="E1504" s="18" t="str">
        <f t="shared" si="23"/>
        <v>Sri Gangothri Video</v>
      </c>
      <c r="F1504" s="27" t="s">
        <v>1076</v>
      </c>
      <c r="G1504" s="18" t="s">
        <v>32</v>
      </c>
      <c r="H1504" s="18" t="s">
        <v>33</v>
      </c>
      <c r="I1504" s="18" t="s">
        <v>184</v>
      </c>
      <c r="J1504" s="18" t="s">
        <v>1851</v>
      </c>
      <c r="K1504" s="18" t="s">
        <v>56</v>
      </c>
      <c r="L1504" s="18" t="s">
        <v>36</v>
      </c>
      <c r="N1504" s="18">
        <v>6</v>
      </c>
      <c r="O1504" s="18" t="s">
        <v>88</v>
      </c>
      <c r="P1504" s="18" t="s">
        <v>38</v>
      </c>
      <c r="Q1504" s="18" t="s">
        <v>194</v>
      </c>
      <c r="R1504" s="18" t="s">
        <v>59</v>
      </c>
      <c r="S1504" s="18" t="s">
        <v>195</v>
      </c>
      <c r="T1504" s="18" t="b">
        <v>1</v>
      </c>
      <c r="U1504" s="18" t="s">
        <v>39</v>
      </c>
      <c r="V1504" s="18" t="s">
        <v>40</v>
      </c>
      <c r="W1504" s="18" t="s">
        <v>371</v>
      </c>
      <c r="X1504" s="18" t="s">
        <v>372</v>
      </c>
      <c r="Y1504" s="18">
        <v>1</v>
      </c>
      <c r="Z1504" s="18">
        <v>120000</v>
      </c>
      <c r="AA1504" s="31" t="s">
        <v>2760</v>
      </c>
      <c r="AB1504" s="18" t="s">
        <v>282</v>
      </c>
      <c r="AC1504" s="18" t="s">
        <v>43</v>
      </c>
    </row>
    <row r="1505" s="18" customFormat="1" ht="43.5" spans="1:29">
      <c r="A1505" s="18" t="s">
        <v>3321</v>
      </c>
      <c r="B1505" s="25" t="s">
        <v>3321</v>
      </c>
      <c r="C1505" s="26">
        <v>45706</v>
      </c>
      <c r="D1505" s="18" t="s">
        <v>827</v>
      </c>
      <c r="E1505" s="18" t="str">
        <f t="shared" si="23"/>
        <v>Infutech Solutions</v>
      </c>
      <c r="F1505" s="27" t="s">
        <v>828</v>
      </c>
      <c r="G1505" s="18" t="s">
        <v>32</v>
      </c>
      <c r="H1505" s="18" t="s">
        <v>33</v>
      </c>
      <c r="I1505" s="18" t="s">
        <v>184</v>
      </c>
      <c r="J1505" s="18" t="s">
        <v>1851</v>
      </c>
      <c r="K1505" s="18" t="s">
        <v>56</v>
      </c>
      <c r="L1505" s="18" t="s">
        <v>36</v>
      </c>
      <c r="N1505" s="18">
        <v>6</v>
      </c>
      <c r="O1505" s="18" t="s">
        <v>88</v>
      </c>
      <c r="P1505" s="18" t="s">
        <v>38</v>
      </c>
      <c r="Q1505" s="18" t="s">
        <v>194</v>
      </c>
      <c r="R1505" s="18" t="s">
        <v>59</v>
      </c>
      <c r="S1505" s="18" t="s">
        <v>195</v>
      </c>
      <c r="T1505" s="18" t="b">
        <v>1</v>
      </c>
      <c r="U1505" s="18" t="s">
        <v>39</v>
      </c>
      <c r="V1505" s="18" t="s">
        <v>40</v>
      </c>
      <c r="W1505" s="18" t="s">
        <v>990</v>
      </c>
      <c r="X1505" s="18" t="s">
        <v>991</v>
      </c>
      <c r="Y1505" s="18">
        <v>1</v>
      </c>
      <c r="Z1505" s="18">
        <v>1500</v>
      </c>
      <c r="AA1505" s="31" t="s">
        <v>2760</v>
      </c>
      <c r="AB1505" s="18" t="s">
        <v>282</v>
      </c>
      <c r="AC1505" s="18" t="s">
        <v>43</v>
      </c>
    </row>
    <row r="1506" s="18" customFormat="1" spans="1:29">
      <c r="A1506" s="18" t="s">
        <v>3322</v>
      </c>
      <c r="B1506" s="25" t="s">
        <v>3322</v>
      </c>
      <c r="C1506" s="26">
        <v>45706</v>
      </c>
      <c r="D1506" s="18" t="s">
        <v>1429</v>
      </c>
      <c r="E1506" s="18" t="str">
        <f t="shared" si="23"/>
        <v>A V Links</v>
      </c>
      <c r="F1506" s="27" t="s">
        <v>1430</v>
      </c>
      <c r="G1506" s="18" t="s">
        <v>32</v>
      </c>
      <c r="H1506" s="18" t="s">
        <v>33</v>
      </c>
      <c r="I1506" s="18" t="s">
        <v>207</v>
      </c>
      <c r="J1506" s="18" t="s">
        <v>3002</v>
      </c>
      <c r="K1506" s="18" t="s">
        <v>56</v>
      </c>
      <c r="L1506" s="18" t="s">
        <v>36</v>
      </c>
      <c r="N1506" s="18">
        <v>6</v>
      </c>
      <c r="O1506" s="18" t="s">
        <v>57</v>
      </c>
      <c r="P1506" s="18" t="s">
        <v>38</v>
      </c>
      <c r="Q1506" s="18" t="s">
        <v>58</v>
      </c>
      <c r="R1506" s="18" t="s">
        <v>59</v>
      </c>
      <c r="S1506" s="18" t="s">
        <v>60</v>
      </c>
      <c r="T1506" s="18" t="b">
        <v>1</v>
      </c>
      <c r="U1506" s="18" t="s">
        <v>39</v>
      </c>
      <c r="V1506" s="18" t="s">
        <v>40</v>
      </c>
      <c r="W1506" s="18" t="s">
        <v>371</v>
      </c>
      <c r="X1506" s="18" t="s">
        <v>372</v>
      </c>
      <c r="Y1506" s="18">
        <v>1</v>
      </c>
      <c r="Z1506" s="18">
        <v>560000</v>
      </c>
      <c r="AA1506" s="18" t="s">
        <v>153</v>
      </c>
      <c r="AB1506" s="18" t="s">
        <v>154</v>
      </c>
      <c r="AC1506" s="18" t="s">
        <v>43</v>
      </c>
    </row>
    <row r="1507" s="18" customFormat="1" ht="29" spans="1:29">
      <c r="A1507" s="18" t="s">
        <v>3323</v>
      </c>
      <c r="B1507" s="25" t="s">
        <v>3323</v>
      </c>
      <c r="C1507" s="26">
        <v>45706</v>
      </c>
      <c r="D1507" s="18" t="s">
        <v>3318</v>
      </c>
      <c r="E1507" s="18" t="str">
        <f t="shared" si="23"/>
        <v>Narsingh Events Pvt Ltd</v>
      </c>
      <c r="F1507" s="27" t="s">
        <v>3319</v>
      </c>
      <c r="G1507" s="18" t="s">
        <v>32</v>
      </c>
      <c r="H1507" s="18" t="s">
        <v>33</v>
      </c>
      <c r="I1507" s="18" t="s">
        <v>184</v>
      </c>
      <c r="J1507" s="18" t="s">
        <v>2160</v>
      </c>
      <c r="K1507" s="18" t="s">
        <v>56</v>
      </c>
      <c r="L1507" s="18" t="s">
        <v>36</v>
      </c>
      <c r="N1507" s="18">
        <v>6</v>
      </c>
      <c r="O1507" s="18" t="s">
        <v>88</v>
      </c>
      <c r="P1507" s="18" t="s">
        <v>38</v>
      </c>
      <c r="Q1507" s="18" t="s">
        <v>194</v>
      </c>
      <c r="R1507" s="18" t="s">
        <v>59</v>
      </c>
      <c r="S1507" s="18" t="s">
        <v>195</v>
      </c>
      <c r="T1507" s="18" t="b">
        <v>1</v>
      </c>
      <c r="U1507" s="18" t="s">
        <v>39</v>
      </c>
      <c r="V1507" s="18" t="s">
        <v>40</v>
      </c>
      <c r="W1507" s="18" t="s">
        <v>151</v>
      </c>
      <c r="X1507" s="18" t="s">
        <v>152</v>
      </c>
      <c r="Y1507" s="18">
        <v>1</v>
      </c>
      <c r="Z1507" s="18">
        <v>13500</v>
      </c>
      <c r="AA1507" s="31" t="s">
        <v>3324</v>
      </c>
      <c r="AB1507" s="18" t="s">
        <v>282</v>
      </c>
      <c r="AC1507" s="18" t="s">
        <v>43</v>
      </c>
    </row>
    <row r="1508" s="18" customFormat="1" ht="29" spans="1:29">
      <c r="A1508" s="18" t="s">
        <v>3325</v>
      </c>
      <c r="B1508" s="25" t="s">
        <v>3325</v>
      </c>
      <c r="C1508" s="26">
        <v>45706</v>
      </c>
      <c r="D1508" s="18" t="s">
        <v>3318</v>
      </c>
      <c r="E1508" s="18" t="str">
        <f t="shared" si="23"/>
        <v>Narsingh Events Pvt Ltd</v>
      </c>
      <c r="F1508" s="27" t="s">
        <v>3319</v>
      </c>
      <c r="G1508" s="18" t="s">
        <v>32</v>
      </c>
      <c r="H1508" s="18" t="s">
        <v>33</v>
      </c>
      <c r="I1508" s="18" t="s">
        <v>184</v>
      </c>
      <c r="J1508" s="18" t="s">
        <v>2956</v>
      </c>
      <c r="K1508" s="18" t="s">
        <v>56</v>
      </c>
      <c r="L1508" s="18" t="s">
        <v>36</v>
      </c>
      <c r="N1508" s="18">
        <v>6</v>
      </c>
      <c r="O1508" s="18" t="s">
        <v>88</v>
      </c>
      <c r="P1508" s="18" t="s">
        <v>38</v>
      </c>
      <c r="Q1508" s="18" t="s">
        <v>194</v>
      </c>
      <c r="R1508" s="18" t="s">
        <v>59</v>
      </c>
      <c r="S1508" s="18" t="s">
        <v>195</v>
      </c>
      <c r="T1508" s="18" t="b">
        <v>1</v>
      </c>
      <c r="U1508" s="18" t="s">
        <v>39</v>
      </c>
      <c r="V1508" s="18" t="s">
        <v>40</v>
      </c>
      <c r="W1508" s="18" t="s">
        <v>151</v>
      </c>
      <c r="X1508" s="18" t="s">
        <v>152</v>
      </c>
      <c r="Y1508" s="18">
        <v>1</v>
      </c>
      <c r="Z1508" s="18">
        <v>30000</v>
      </c>
      <c r="AA1508" s="31" t="s">
        <v>3324</v>
      </c>
      <c r="AB1508" s="18" t="s">
        <v>282</v>
      </c>
      <c r="AC1508" s="18" t="s">
        <v>43</v>
      </c>
    </row>
    <row r="1509" s="18" customFormat="1" spans="1:29">
      <c r="A1509" s="18" t="s">
        <v>3326</v>
      </c>
      <c r="B1509" s="25" t="s">
        <v>3326</v>
      </c>
      <c r="C1509" s="26">
        <v>45706</v>
      </c>
      <c r="D1509" s="18" t="s">
        <v>541</v>
      </c>
      <c r="E1509" s="18" t="str">
        <f t="shared" si="23"/>
        <v>Dream Factory Pvt. Ltd.</v>
      </c>
      <c r="F1509" s="27" t="e">
        <v>#N/A</v>
      </c>
      <c r="G1509" s="18" t="s">
        <v>32</v>
      </c>
      <c r="H1509" s="18" t="s">
        <v>33</v>
      </c>
      <c r="I1509" s="18" t="s">
        <v>207</v>
      </c>
      <c r="J1509" s="18" t="s">
        <v>3002</v>
      </c>
      <c r="K1509" s="18" t="s">
        <v>56</v>
      </c>
      <c r="L1509" s="18" t="s">
        <v>36</v>
      </c>
      <c r="N1509" s="18">
        <v>6</v>
      </c>
      <c r="O1509" s="18" t="s">
        <v>88</v>
      </c>
      <c r="P1509" s="18" t="s">
        <v>38</v>
      </c>
      <c r="Q1509" s="18" t="s">
        <v>58</v>
      </c>
      <c r="R1509" s="18" t="s">
        <v>59</v>
      </c>
      <c r="S1509" s="18" t="s">
        <v>60</v>
      </c>
      <c r="T1509" s="18" t="b">
        <v>1</v>
      </c>
      <c r="U1509" s="18" t="s">
        <v>39</v>
      </c>
      <c r="V1509" s="18" t="s">
        <v>40</v>
      </c>
      <c r="W1509" s="18" t="s">
        <v>151</v>
      </c>
      <c r="X1509" s="18" t="s">
        <v>152</v>
      </c>
      <c r="Y1509" s="18">
        <v>1</v>
      </c>
      <c r="Z1509" s="18">
        <v>965000</v>
      </c>
      <c r="AA1509" s="18" t="s">
        <v>153</v>
      </c>
      <c r="AB1509" s="18" t="s">
        <v>154</v>
      </c>
      <c r="AC1509" s="18" t="s">
        <v>43</v>
      </c>
    </row>
    <row r="1510" s="18" customFormat="1" spans="1:29">
      <c r="A1510" s="18" t="s">
        <v>3327</v>
      </c>
      <c r="B1510" s="25" t="s">
        <v>3327</v>
      </c>
      <c r="C1510" s="26">
        <v>45706</v>
      </c>
      <c r="D1510" s="18" t="s">
        <v>3318</v>
      </c>
      <c r="E1510" s="18" t="str">
        <f t="shared" si="23"/>
        <v>Narsingh Events Pvt Ltd</v>
      </c>
      <c r="F1510" s="27" t="s">
        <v>3319</v>
      </c>
      <c r="G1510" s="18" t="s">
        <v>32</v>
      </c>
      <c r="H1510" s="18" t="s">
        <v>33</v>
      </c>
      <c r="I1510" s="18" t="s">
        <v>184</v>
      </c>
      <c r="J1510" s="18" t="s">
        <v>3328</v>
      </c>
      <c r="K1510" s="18" t="s">
        <v>56</v>
      </c>
      <c r="L1510" s="18" t="s">
        <v>36</v>
      </c>
      <c r="N1510" s="18">
        <v>6</v>
      </c>
      <c r="O1510" s="18" t="s">
        <v>88</v>
      </c>
      <c r="P1510" s="18" t="s">
        <v>38</v>
      </c>
      <c r="Q1510" s="18" t="s">
        <v>194</v>
      </c>
      <c r="R1510" s="18" t="s">
        <v>59</v>
      </c>
      <c r="S1510" s="18" t="s">
        <v>195</v>
      </c>
      <c r="T1510" s="18" t="b">
        <v>1</v>
      </c>
      <c r="U1510" s="18" t="s">
        <v>39</v>
      </c>
      <c r="V1510" s="18" t="s">
        <v>40</v>
      </c>
      <c r="W1510" s="18" t="s">
        <v>151</v>
      </c>
      <c r="X1510" s="18" t="s">
        <v>152</v>
      </c>
      <c r="Y1510" s="18">
        <v>1</v>
      </c>
      <c r="Z1510" s="18">
        <v>35500</v>
      </c>
      <c r="AA1510" s="18" t="s">
        <v>303</v>
      </c>
      <c r="AB1510" s="18" t="s">
        <v>282</v>
      </c>
      <c r="AC1510" s="18" t="s">
        <v>43</v>
      </c>
    </row>
    <row r="1511" s="18" customFormat="1" ht="43.5" spans="1:29">
      <c r="A1511" s="18" t="s">
        <v>3329</v>
      </c>
      <c r="B1511" s="25" t="s">
        <v>3329</v>
      </c>
      <c r="C1511" s="26">
        <v>45706</v>
      </c>
      <c r="D1511" s="18" t="s">
        <v>1078</v>
      </c>
      <c r="E1511" s="18" t="str">
        <f t="shared" si="23"/>
        <v>Mass Vision</v>
      </c>
      <c r="F1511" s="27" t="s">
        <v>1079</v>
      </c>
      <c r="G1511" s="18" t="s">
        <v>32</v>
      </c>
      <c r="H1511" s="18" t="s">
        <v>33</v>
      </c>
      <c r="I1511" s="18" t="s">
        <v>184</v>
      </c>
      <c r="J1511" s="18" t="s">
        <v>3328</v>
      </c>
      <c r="K1511" s="18" t="s">
        <v>56</v>
      </c>
      <c r="L1511" s="18" t="s">
        <v>36</v>
      </c>
      <c r="N1511" s="18">
        <v>6</v>
      </c>
      <c r="O1511" s="18" t="s">
        <v>88</v>
      </c>
      <c r="P1511" s="18" t="s">
        <v>38</v>
      </c>
      <c r="Q1511" s="18" t="s">
        <v>194</v>
      </c>
      <c r="R1511" s="18" t="s">
        <v>59</v>
      </c>
      <c r="S1511" s="18" t="s">
        <v>195</v>
      </c>
      <c r="T1511" s="18" t="b">
        <v>1</v>
      </c>
      <c r="U1511" s="18" t="s">
        <v>39</v>
      </c>
      <c r="V1511" s="18" t="s">
        <v>40</v>
      </c>
      <c r="W1511" s="18" t="s">
        <v>371</v>
      </c>
      <c r="X1511" s="18" t="s">
        <v>372</v>
      </c>
      <c r="Y1511" s="18">
        <v>1</v>
      </c>
      <c r="Z1511" s="18">
        <v>29000</v>
      </c>
      <c r="AA1511" s="31" t="s">
        <v>2760</v>
      </c>
      <c r="AB1511" s="18" t="s">
        <v>282</v>
      </c>
      <c r="AC1511" s="18" t="s">
        <v>43</v>
      </c>
    </row>
    <row r="1512" s="18" customFormat="1" ht="43.5" spans="1:29">
      <c r="A1512" s="18" t="s">
        <v>3330</v>
      </c>
      <c r="B1512" s="25" t="s">
        <v>3330</v>
      </c>
      <c r="C1512" s="26">
        <v>45706</v>
      </c>
      <c r="D1512" s="18" t="s">
        <v>2440</v>
      </c>
      <c r="E1512" s="18" t="str">
        <f t="shared" si="23"/>
        <v>Rea Studio</v>
      </c>
      <c r="F1512" s="27" t="s">
        <v>2441</v>
      </c>
      <c r="G1512" s="18" t="s">
        <v>32</v>
      </c>
      <c r="H1512" s="18" t="s">
        <v>33</v>
      </c>
      <c r="I1512" s="18" t="s">
        <v>184</v>
      </c>
      <c r="J1512" s="18" t="s">
        <v>3328</v>
      </c>
      <c r="K1512" s="18" t="s">
        <v>56</v>
      </c>
      <c r="L1512" s="18" t="s">
        <v>36</v>
      </c>
      <c r="N1512" s="18">
        <v>6</v>
      </c>
      <c r="O1512" s="18" t="s">
        <v>57</v>
      </c>
      <c r="P1512" s="18" t="s">
        <v>38</v>
      </c>
      <c r="Q1512" s="18" t="s">
        <v>194</v>
      </c>
      <c r="R1512" s="18" t="s">
        <v>59</v>
      </c>
      <c r="S1512" s="18" t="s">
        <v>195</v>
      </c>
      <c r="T1512" s="18" t="b">
        <v>1</v>
      </c>
      <c r="U1512" s="18" t="s">
        <v>39</v>
      </c>
      <c r="V1512" s="18" t="s">
        <v>40</v>
      </c>
      <c r="W1512" s="18" t="s">
        <v>401</v>
      </c>
      <c r="X1512" s="18" t="s">
        <v>402</v>
      </c>
      <c r="Y1512" s="18">
        <v>1</v>
      </c>
      <c r="Z1512" s="18">
        <v>5000</v>
      </c>
      <c r="AA1512" s="31" t="s">
        <v>2760</v>
      </c>
      <c r="AB1512" s="18" t="s">
        <v>282</v>
      </c>
      <c r="AC1512" s="18" t="s">
        <v>43</v>
      </c>
    </row>
    <row r="1513" s="18" customFormat="1" ht="43.5" spans="1:29">
      <c r="A1513" s="18" t="s">
        <v>3331</v>
      </c>
      <c r="B1513" s="25" t="s">
        <v>3331</v>
      </c>
      <c r="C1513" s="26">
        <v>45706</v>
      </c>
      <c r="D1513" s="18" t="s">
        <v>305</v>
      </c>
      <c r="E1513" s="18" t="str">
        <f t="shared" si="23"/>
        <v>Sumair Shariff</v>
      </c>
      <c r="F1513" s="27" t="s">
        <v>306</v>
      </c>
      <c r="G1513" s="18" t="s">
        <v>32</v>
      </c>
      <c r="H1513" s="18" t="s">
        <v>33</v>
      </c>
      <c r="I1513" s="18" t="s">
        <v>184</v>
      </c>
      <c r="J1513" s="18" t="s">
        <v>3328</v>
      </c>
      <c r="K1513" s="18" t="s">
        <v>56</v>
      </c>
      <c r="L1513" s="18" t="s">
        <v>36</v>
      </c>
      <c r="N1513" s="18">
        <v>6</v>
      </c>
      <c r="O1513" s="18" t="s">
        <v>57</v>
      </c>
      <c r="P1513" s="18" t="s">
        <v>38</v>
      </c>
      <c r="Q1513" s="18" t="s">
        <v>194</v>
      </c>
      <c r="R1513" s="18" t="s">
        <v>59</v>
      </c>
      <c r="S1513" s="18" t="s">
        <v>195</v>
      </c>
      <c r="T1513" s="18" t="b">
        <v>1</v>
      </c>
      <c r="U1513" s="18" t="s">
        <v>39</v>
      </c>
      <c r="V1513" s="18" t="s">
        <v>40</v>
      </c>
      <c r="W1513" s="18" t="s">
        <v>292</v>
      </c>
      <c r="X1513" s="18" t="s">
        <v>293</v>
      </c>
      <c r="Y1513" s="18">
        <v>1</v>
      </c>
      <c r="Z1513" s="18">
        <v>21500</v>
      </c>
      <c r="AA1513" s="31" t="s">
        <v>2760</v>
      </c>
      <c r="AB1513" s="18" t="s">
        <v>282</v>
      </c>
      <c r="AC1513" s="18" t="e">
        <v>#N/A</v>
      </c>
    </row>
    <row r="1514" s="18" customFormat="1" ht="43.5" spans="1:29">
      <c r="A1514" s="18" t="s">
        <v>3332</v>
      </c>
      <c r="B1514" s="25" t="s">
        <v>3332</v>
      </c>
      <c r="C1514" s="26">
        <v>45706</v>
      </c>
      <c r="D1514" s="18" t="s">
        <v>3333</v>
      </c>
      <c r="E1514" s="18" t="str">
        <f t="shared" si="23"/>
        <v>Shabbirs Furnishing Centre</v>
      </c>
      <c r="F1514" s="27" t="s">
        <v>3334</v>
      </c>
      <c r="G1514" s="18" t="s">
        <v>32</v>
      </c>
      <c r="H1514" s="18" t="s">
        <v>33</v>
      </c>
      <c r="I1514" s="18" t="s">
        <v>184</v>
      </c>
      <c r="J1514" s="18" t="s">
        <v>3328</v>
      </c>
      <c r="K1514" s="18" t="s">
        <v>56</v>
      </c>
      <c r="L1514" s="18" t="s">
        <v>36</v>
      </c>
      <c r="N1514" s="18">
        <v>6</v>
      </c>
      <c r="O1514" s="18" t="s">
        <v>57</v>
      </c>
      <c r="P1514" s="18" t="s">
        <v>38</v>
      </c>
      <c r="Q1514" s="18" t="s">
        <v>194</v>
      </c>
      <c r="R1514" s="18" t="s">
        <v>59</v>
      </c>
      <c r="S1514" s="18" t="s">
        <v>195</v>
      </c>
      <c r="T1514" s="18" t="b">
        <v>1</v>
      </c>
      <c r="U1514" s="18" t="s">
        <v>39</v>
      </c>
      <c r="V1514" s="18" t="s">
        <v>40</v>
      </c>
      <c r="W1514" s="18" t="s">
        <v>151</v>
      </c>
      <c r="X1514" s="18" t="s">
        <v>152</v>
      </c>
      <c r="Y1514" s="18">
        <v>1</v>
      </c>
      <c r="Z1514" s="18">
        <v>1200</v>
      </c>
      <c r="AA1514" s="31" t="s">
        <v>2760</v>
      </c>
      <c r="AB1514" s="18" t="s">
        <v>282</v>
      </c>
      <c r="AC1514" s="18" t="s">
        <v>43</v>
      </c>
    </row>
    <row r="1515" s="18" customFormat="1" ht="43.5" spans="1:29">
      <c r="A1515" s="18" t="s">
        <v>3335</v>
      </c>
      <c r="B1515" s="25" t="s">
        <v>3335</v>
      </c>
      <c r="C1515" s="26">
        <v>45706</v>
      </c>
      <c r="D1515" s="18" t="s">
        <v>827</v>
      </c>
      <c r="E1515" s="18" t="str">
        <f t="shared" si="23"/>
        <v>Infutech Solutions</v>
      </c>
      <c r="F1515" s="27" t="s">
        <v>828</v>
      </c>
      <c r="G1515" s="18" t="s">
        <v>32</v>
      </c>
      <c r="H1515" s="18" t="s">
        <v>33</v>
      </c>
      <c r="I1515" s="18" t="s">
        <v>184</v>
      </c>
      <c r="J1515" s="18" t="s">
        <v>275</v>
      </c>
      <c r="K1515" s="18" t="s">
        <v>56</v>
      </c>
      <c r="L1515" s="18" t="s">
        <v>36</v>
      </c>
      <c r="N1515" s="18">
        <v>6</v>
      </c>
      <c r="O1515" s="18" t="s">
        <v>88</v>
      </c>
      <c r="P1515" s="18" t="s">
        <v>38</v>
      </c>
      <c r="Q1515" s="18" t="s">
        <v>58</v>
      </c>
      <c r="R1515" s="18" t="s">
        <v>59</v>
      </c>
      <c r="S1515" s="18" t="s">
        <v>60</v>
      </c>
      <c r="T1515" s="18" t="b">
        <v>1</v>
      </c>
      <c r="U1515" s="18" t="s">
        <v>39</v>
      </c>
      <c r="V1515" s="18" t="s">
        <v>40</v>
      </c>
      <c r="W1515" s="18" t="s">
        <v>990</v>
      </c>
      <c r="X1515" s="18" t="s">
        <v>991</v>
      </c>
      <c r="Y1515" s="18">
        <v>1</v>
      </c>
      <c r="Z1515" s="18">
        <v>3700</v>
      </c>
      <c r="AA1515" s="31" t="s">
        <v>2874</v>
      </c>
      <c r="AB1515" s="18" t="s">
        <v>90</v>
      </c>
      <c r="AC1515" s="18" t="s">
        <v>43</v>
      </c>
    </row>
    <row r="1516" s="18" customFormat="1" spans="1:29">
      <c r="A1516" s="18" t="s">
        <v>3336</v>
      </c>
      <c r="B1516" s="25" t="s">
        <v>3336</v>
      </c>
      <c r="C1516" s="26">
        <v>45706</v>
      </c>
      <c r="D1516" s="18" t="s">
        <v>1289</v>
      </c>
      <c r="E1516" s="18" t="str">
        <f t="shared" si="23"/>
        <v>Prismscale Pvt Ltd</v>
      </c>
      <c r="F1516" s="27" t="s">
        <v>1290</v>
      </c>
      <c r="G1516" s="18" t="s">
        <v>32</v>
      </c>
      <c r="H1516" s="18" t="s">
        <v>33</v>
      </c>
      <c r="I1516" s="18" t="s">
        <v>1246</v>
      </c>
      <c r="J1516" s="18" t="s">
        <v>3337</v>
      </c>
      <c r="K1516" s="18" t="s">
        <v>56</v>
      </c>
      <c r="L1516" s="18" t="s">
        <v>36</v>
      </c>
      <c r="N1516" s="18">
        <v>6</v>
      </c>
      <c r="O1516" s="18" t="s">
        <v>88</v>
      </c>
      <c r="P1516" s="18" t="s">
        <v>38</v>
      </c>
      <c r="Q1516" s="18" t="s">
        <v>117</v>
      </c>
      <c r="R1516" s="18" t="s">
        <v>59</v>
      </c>
      <c r="S1516" s="18" t="s">
        <v>118</v>
      </c>
      <c r="T1516" s="18" t="b">
        <v>1</v>
      </c>
      <c r="U1516" s="18" t="s">
        <v>39</v>
      </c>
      <c r="V1516" s="18" t="s">
        <v>40</v>
      </c>
      <c r="W1516" s="18" t="s">
        <v>347</v>
      </c>
      <c r="X1516" s="18" t="s">
        <v>348</v>
      </c>
      <c r="Y1516" s="18">
        <v>1</v>
      </c>
      <c r="Z1516" s="18">
        <v>10000</v>
      </c>
      <c r="AA1516" s="18" t="s">
        <v>2694</v>
      </c>
      <c r="AB1516" s="18" t="s">
        <v>650</v>
      </c>
      <c r="AC1516" s="18" t="s">
        <v>43</v>
      </c>
    </row>
    <row r="1517" s="18" customFormat="1" ht="43.5" spans="1:29">
      <c r="A1517" s="18" t="s">
        <v>3338</v>
      </c>
      <c r="B1517" s="25" t="s">
        <v>3338</v>
      </c>
      <c r="C1517" s="26">
        <v>45706</v>
      </c>
      <c r="D1517" s="18" t="s">
        <v>1082</v>
      </c>
      <c r="E1517" s="18" t="str">
        <f t="shared" si="23"/>
        <v>Skypillars Manpower Agency</v>
      </c>
      <c r="F1517" s="27" t="s">
        <v>1083</v>
      </c>
      <c r="G1517" s="18" t="s">
        <v>32</v>
      </c>
      <c r="H1517" s="18" t="s">
        <v>33</v>
      </c>
      <c r="I1517" s="18" t="s">
        <v>184</v>
      </c>
      <c r="J1517" s="18" t="s">
        <v>2319</v>
      </c>
      <c r="K1517" s="18" t="s">
        <v>56</v>
      </c>
      <c r="L1517" s="18" t="s">
        <v>36</v>
      </c>
      <c r="N1517" s="18">
        <v>6</v>
      </c>
      <c r="O1517" s="18" t="s">
        <v>88</v>
      </c>
      <c r="P1517" s="18" t="s">
        <v>38</v>
      </c>
      <c r="Q1517" s="18" t="s">
        <v>194</v>
      </c>
      <c r="R1517" s="18" t="s">
        <v>59</v>
      </c>
      <c r="S1517" s="18" t="s">
        <v>195</v>
      </c>
      <c r="T1517" s="18" t="b">
        <v>1</v>
      </c>
      <c r="U1517" s="18" t="s">
        <v>39</v>
      </c>
      <c r="V1517" s="18" t="s">
        <v>40</v>
      </c>
      <c r="W1517" s="18" t="s">
        <v>292</v>
      </c>
      <c r="X1517" s="18" t="s">
        <v>293</v>
      </c>
      <c r="Y1517" s="18">
        <v>1</v>
      </c>
      <c r="Z1517" s="18">
        <v>21000</v>
      </c>
      <c r="AA1517" s="31" t="s">
        <v>2760</v>
      </c>
      <c r="AB1517" s="18" t="s">
        <v>282</v>
      </c>
      <c r="AC1517" s="18" t="s">
        <v>43</v>
      </c>
    </row>
    <row r="1518" s="18" customFormat="1" ht="43.5" spans="1:29">
      <c r="A1518" s="18" t="s">
        <v>3339</v>
      </c>
      <c r="B1518" s="25" t="s">
        <v>3339</v>
      </c>
      <c r="C1518" s="26">
        <v>45706</v>
      </c>
      <c r="D1518" s="18" t="s">
        <v>827</v>
      </c>
      <c r="E1518" s="18" t="str">
        <f t="shared" si="23"/>
        <v>Infutech Solutions</v>
      </c>
      <c r="F1518" s="27" t="s">
        <v>828</v>
      </c>
      <c r="G1518" s="18" t="s">
        <v>32</v>
      </c>
      <c r="H1518" s="18" t="s">
        <v>33</v>
      </c>
      <c r="I1518" s="18" t="s">
        <v>184</v>
      </c>
      <c r="J1518" s="18" t="s">
        <v>2319</v>
      </c>
      <c r="K1518" s="18" t="s">
        <v>56</v>
      </c>
      <c r="L1518" s="18" t="s">
        <v>36</v>
      </c>
      <c r="N1518" s="18">
        <v>6</v>
      </c>
      <c r="O1518" s="18" t="s">
        <v>88</v>
      </c>
      <c r="P1518" s="18" t="s">
        <v>38</v>
      </c>
      <c r="Q1518" s="18" t="s">
        <v>194</v>
      </c>
      <c r="R1518" s="18" t="s">
        <v>59</v>
      </c>
      <c r="S1518" s="18" t="s">
        <v>195</v>
      </c>
      <c r="T1518" s="18" t="b">
        <v>1</v>
      </c>
      <c r="U1518" s="18" t="s">
        <v>39</v>
      </c>
      <c r="V1518" s="18" t="s">
        <v>40</v>
      </c>
      <c r="W1518" s="18" t="s">
        <v>990</v>
      </c>
      <c r="X1518" s="18" t="s">
        <v>991</v>
      </c>
      <c r="Y1518" s="18">
        <v>1</v>
      </c>
      <c r="Z1518" s="18">
        <v>5400</v>
      </c>
      <c r="AA1518" s="31" t="s">
        <v>2760</v>
      </c>
      <c r="AB1518" s="18" t="s">
        <v>282</v>
      </c>
      <c r="AC1518" s="18" t="s">
        <v>43</v>
      </c>
    </row>
    <row r="1519" s="18" customFormat="1" spans="1:29">
      <c r="A1519" s="18" t="s">
        <v>3340</v>
      </c>
      <c r="B1519" s="25" t="s">
        <v>3340</v>
      </c>
      <c r="C1519" s="26">
        <v>45706</v>
      </c>
      <c r="D1519" s="18" t="s">
        <v>3341</v>
      </c>
      <c r="E1519" s="18" t="str">
        <f t="shared" si="23"/>
        <v>Crafts Event Infra</v>
      </c>
      <c r="F1519" s="27" t="s">
        <v>3342</v>
      </c>
      <c r="G1519" s="18" t="s">
        <v>32</v>
      </c>
      <c r="H1519" s="18" t="s">
        <v>33</v>
      </c>
      <c r="I1519" s="18" t="s">
        <v>1246</v>
      </c>
      <c r="J1519" s="18" t="s">
        <v>3337</v>
      </c>
      <c r="K1519" s="18" t="s">
        <v>56</v>
      </c>
      <c r="L1519" s="18" t="s">
        <v>36</v>
      </c>
      <c r="N1519" s="18">
        <v>6</v>
      </c>
      <c r="O1519" s="18" t="s">
        <v>88</v>
      </c>
      <c r="P1519" s="18" t="s">
        <v>38</v>
      </c>
      <c r="Q1519" s="18" t="s">
        <v>117</v>
      </c>
      <c r="R1519" s="18" t="s">
        <v>59</v>
      </c>
      <c r="S1519" s="18" t="s">
        <v>118</v>
      </c>
      <c r="T1519" s="18" t="b">
        <v>1</v>
      </c>
      <c r="U1519" s="18" t="s">
        <v>39</v>
      </c>
      <c r="V1519" s="18" t="s">
        <v>40</v>
      </c>
      <c r="W1519" s="18" t="s">
        <v>151</v>
      </c>
      <c r="X1519" s="18" t="s">
        <v>152</v>
      </c>
      <c r="Y1519" s="18">
        <v>1</v>
      </c>
      <c r="Z1519" s="18">
        <v>115000</v>
      </c>
      <c r="AA1519" s="18" t="s">
        <v>2694</v>
      </c>
      <c r="AB1519" s="18" t="s">
        <v>650</v>
      </c>
      <c r="AC1519" s="18" t="s">
        <v>43</v>
      </c>
    </row>
    <row r="1520" s="18" customFormat="1" spans="1:29">
      <c r="A1520" s="18" t="s">
        <v>3343</v>
      </c>
      <c r="B1520" s="25" t="s">
        <v>3343</v>
      </c>
      <c r="C1520" s="26">
        <v>45706</v>
      </c>
      <c r="D1520" s="18" t="s">
        <v>3344</v>
      </c>
      <c r="E1520" s="18" t="str">
        <f t="shared" si="23"/>
        <v>Drawing Board</v>
      </c>
      <c r="F1520" s="27" t="s">
        <v>3345</v>
      </c>
      <c r="G1520" s="18" t="s">
        <v>32</v>
      </c>
      <c r="H1520" s="18" t="s">
        <v>33</v>
      </c>
      <c r="I1520" s="18" t="s">
        <v>1246</v>
      </c>
      <c r="J1520" s="18" t="s">
        <v>3337</v>
      </c>
      <c r="K1520" s="18" t="s">
        <v>56</v>
      </c>
      <c r="L1520" s="18" t="s">
        <v>36</v>
      </c>
      <c r="N1520" s="18">
        <v>6</v>
      </c>
      <c r="O1520" s="18" t="s">
        <v>88</v>
      </c>
      <c r="P1520" s="18" t="s">
        <v>38</v>
      </c>
      <c r="Q1520" s="18" t="s">
        <v>117</v>
      </c>
      <c r="R1520" s="18" t="s">
        <v>59</v>
      </c>
      <c r="S1520" s="18" t="s">
        <v>118</v>
      </c>
      <c r="T1520" s="18" t="b">
        <v>1</v>
      </c>
      <c r="U1520" s="18" t="s">
        <v>39</v>
      </c>
      <c r="V1520" s="18" t="s">
        <v>40</v>
      </c>
      <c r="W1520" s="18" t="s">
        <v>196</v>
      </c>
      <c r="X1520" s="18" t="s">
        <v>197</v>
      </c>
      <c r="Y1520" s="18">
        <v>1</v>
      </c>
      <c r="Z1520" s="18">
        <v>14400</v>
      </c>
      <c r="AA1520" s="18" t="s">
        <v>2694</v>
      </c>
      <c r="AB1520" s="18" t="s">
        <v>650</v>
      </c>
      <c r="AC1520" s="18" t="s">
        <v>43</v>
      </c>
    </row>
    <row r="1521" s="18" customFormat="1" spans="1:29">
      <c r="A1521" s="18" t="s">
        <v>3346</v>
      </c>
      <c r="B1521" s="25" t="s">
        <v>3346</v>
      </c>
      <c r="C1521" s="26">
        <v>45706</v>
      </c>
      <c r="D1521" s="18" t="s">
        <v>3347</v>
      </c>
      <c r="E1521" s="18" t="str">
        <f t="shared" si="23"/>
        <v>Sugandar Light House</v>
      </c>
      <c r="F1521" s="27" t="s">
        <v>3348</v>
      </c>
      <c r="G1521" s="18" t="s">
        <v>32</v>
      </c>
      <c r="H1521" s="18" t="s">
        <v>33</v>
      </c>
      <c r="I1521" s="18" t="s">
        <v>1246</v>
      </c>
      <c r="J1521" s="18" t="s">
        <v>3337</v>
      </c>
      <c r="K1521" s="18" t="s">
        <v>56</v>
      </c>
      <c r="L1521" s="18" t="s">
        <v>36</v>
      </c>
      <c r="N1521" s="18">
        <v>6</v>
      </c>
      <c r="O1521" s="18" t="s">
        <v>88</v>
      </c>
      <c r="P1521" s="18" t="s">
        <v>38</v>
      </c>
      <c r="Q1521" s="18" t="s">
        <v>117</v>
      </c>
      <c r="R1521" s="18" t="s">
        <v>59</v>
      </c>
      <c r="S1521" s="18" t="s">
        <v>118</v>
      </c>
      <c r="T1521" s="18" t="b">
        <v>1</v>
      </c>
      <c r="U1521" s="18" t="s">
        <v>39</v>
      </c>
      <c r="V1521" s="18" t="s">
        <v>40</v>
      </c>
      <c r="W1521" s="18" t="s">
        <v>371</v>
      </c>
      <c r="X1521" s="18" t="s">
        <v>372</v>
      </c>
      <c r="Y1521" s="18">
        <v>1</v>
      </c>
      <c r="Z1521" s="18">
        <v>100000</v>
      </c>
      <c r="AA1521" s="18" t="s">
        <v>2694</v>
      </c>
      <c r="AB1521" s="18" t="s">
        <v>650</v>
      </c>
      <c r="AC1521" s="18" t="s">
        <v>43</v>
      </c>
    </row>
    <row r="1522" s="18" customFormat="1" ht="43.5" spans="1:29">
      <c r="A1522" s="18" t="s">
        <v>3349</v>
      </c>
      <c r="B1522" s="25" t="s">
        <v>3349</v>
      </c>
      <c r="C1522" s="26">
        <v>45706</v>
      </c>
      <c r="D1522" s="18" t="s">
        <v>3350</v>
      </c>
      <c r="E1522" s="18" t="str">
        <f t="shared" si="23"/>
        <v>Vrinfinity LLP</v>
      </c>
      <c r="F1522" s="27" t="s">
        <v>3351</v>
      </c>
      <c r="G1522" s="18" t="s">
        <v>32</v>
      </c>
      <c r="H1522" s="18" t="s">
        <v>33</v>
      </c>
      <c r="I1522" s="18" t="s">
        <v>184</v>
      </c>
      <c r="J1522" s="18" t="s">
        <v>3299</v>
      </c>
      <c r="K1522" s="18" t="s">
        <v>56</v>
      </c>
      <c r="L1522" s="18" t="s">
        <v>36</v>
      </c>
      <c r="N1522" s="18">
        <v>6</v>
      </c>
      <c r="O1522" s="18" t="s">
        <v>88</v>
      </c>
      <c r="P1522" s="18" t="s">
        <v>38</v>
      </c>
      <c r="Q1522" s="18" t="s">
        <v>194</v>
      </c>
      <c r="R1522" s="18" t="s">
        <v>59</v>
      </c>
      <c r="S1522" s="18" t="s">
        <v>195</v>
      </c>
      <c r="T1522" s="18" t="b">
        <v>1</v>
      </c>
      <c r="U1522" s="18" t="s">
        <v>39</v>
      </c>
      <c r="V1522" s="18" t="s">
        <v>40</v>
      </c>
      <c r="W1522" s="18" t="s">
        <v>317</v>
      </c>
      <c r="X1522" s="18" t="s">
        <v>318</v>
      </c>
      <c r="Y1522" s="18">
        <v>1</v>
      </c>
      <c r="Z1522" s="18">
        <v>800000</v>
      </c>
      <c r="AA1522" s="31" t="s">
        <v>3069</v>
      </c>
      <c r="AB1522" s="18" t="s">
        <v>1457</v>
      </c>
      <c r="AC1522" s="18" t="s">
        <v>43</v>
      </c>
    </row>
    <row r="1523" s="18" customFormat="1" spans="1:29">
      <c r="A1523" s="18" t="s">
        <v>3352</v>
      </c>
      <c r="B1523" s="25" t="s">
        <v>3352</v>
      </c>
      <c r="C1523" s="26">
        <v>45706</v>
      </c>
      <c r="D1523" s="18" t="s">
        <v>632</v>
      </c>
      <c r="E1523" s="18" t="str">
        <f t="shared" si="23"/>
        <v>Event Life</v>
      </c>
      <c r="F1523" s="27" t="s">
        <v>633</v>
      </c>
      <c r="G1523" s="18" t="s">
        <v>32</v>
      </c>
      <c r="H1523" s="18" t="s">
        <v>33</v>
      </c>
      <c r="I1523" s="18" t="s">
        <v>1246</v>
      </c>
      <c r="J1523" s="18" t="s">
        <v>3337</v>
      </c>
      <c r="K1523" s="18" t="s">
        <v>56</v>
      </c>
      <c r="L1523" s="18" t="s">
        <v>36</v>
      </c>
      <c r="N1523" s="18">
        <v>6</v>
      </c>
      <c r="O1523" s="18" t="s">
        <v>88</v>
      </c>
      <c r="P1523" s="18" t="s">
        <v>38</v>
      </c>
      <c r="Q1523" s="18" t="s">
        <v>117</v>
      </c>
      <c r="R1523" s="18" t="s">
        <v>59</v>
      </c>
      <c r="S1523" s="18" t="s">
        <v>118</v>
      </c>
      <c r="T1523" s="18" t="b">
        <v>1</v>
      </c>
      <c r="U1523" s="18" t="s">
        <v>39</v>
      </c>
      <c r="V1523" s="18" t="s">
        <v>40</v>
      </c>
      <c r="W1523" s="18" t="s">
        <v>371</v>
      </c>
      <c r="X1523" s="18" t="s">
        <v>372</v>
      </c>
      <c r="Y1523" s="18">
        <v>1</v>
      </c>
      <c r="Z1523" s="18">
        <v>60000</v>
      </c>
      <c r="AA1523" s="18" t="s">
        <v>2694</v>
      </c>
      <c r="AB1523" s="18" t="s">
        <v>650</v>
      </c>
      <c r="AC1523" s="18" t="s">
        <v>43</v>
      </c>
    </row>
    <row r="1524" s="18" customFormat="1" spans="1:29">
      <c r="A1524" s="18" t="s">
        <v>3353</v>
      </c>
      <c r="B1524" s="25" t="s">
        <v>3353</v>
      </c>
      <c r="C1524" s="26">
        <v>45706</v>
      </c>
      <c r="D1524" s="18" t="s">
        <v>635</v>
      </c>
      <c r="E1524" s="18" t="str">
        <f t="shared" si="23"/>
        <v>Ashik Mobile Generator</v>
      </c>
      <c r="F1524" s="27" t="s">
        <v>636</v>
      </c>
      <c r="G1524" s="18" t="s">
        <v>32</v>
      </c>
      <c r="H1524" s="18" t="s">
        <v>33</v>
      </c>
      <c r="I1524" s="18" t="s">
        <v>1246</v>
      </c>
      <c r="J1524" s="18" t="s">
        <v>3337</v>
      </c>
      <c r="K1524" s="18" t="s">
        <v>56</v>
      </c>
      <c r="L1524" s="18" t="s">
        <v>36</v>
      </c>
      <c r="N1524" s="18">
        <v>6</v>
      </c>
      <c r="O1524" s="18" t="s">
        <v>88</v>
      </c>
      <c r="P1524" s="18" t="s">
        <v>38</v>
      </c>
      <c r="Q1524" s="18" t="s">
        <v>117</v>
      </c>
      <c r="R1524" s="18" t="s">
        <v>59</v>
      </c>
      <c r="S1524" s="18" t="s">
        <v>118</v>
      </c>
      <c r="T1524" s="18" t="b">
        <v>1</v>
      </c>
      <c r="U1524" s="18" t="s">
        <v>39</v>
      </c>
      <c r="V1524" s="18" t="s">
        <v>40</v>
      </c>
      <c r="W1524" s="18" t="s">
        <v>371</v>
      </c>
      <c r="X1524" s="18" t="s">
        <v>372</v>
      </c>
      <c r="Y1524" s="18">
        <v>1</v>
      </c>
      <c r="Z1524" s="18">
        <v>56100</v>
      </c>
      <c r="AA1524" s="18" t="s">
        <v>2694</v>
      </c>
      <c r="AB1524" s="18" t="s">
        <v>650</v>
      </c>
      <c r="AC1524" s="18" t="s">
        <v>43</v>
      </c>
    </row>
    <row r="1525" s="18" customFormat="1" spans="1:29">
      <c r="A1525" s="18" t="s">
        <v>3354</v>
      </c>
      <c r="B1525" s="25" t="s">
        <v>3354</v>
      </c>
      <c r="C1525" s="26">
        <v>45706</v>
      </c>
      <c r="D1525" s="18" t="s">
        <v>3355</v>
      </c>
      <c r="E1525" s="18" t="str">
        <f t="shared" si="23"/>
        <v>Event Images</v>
      </c>
      <c r="F1525" s="27" t="s">
        <v>3356</v>
      </c>
      <c r="G1525" s="18" t="s">
        <v>32</v>
      </c>
      <c r="H1525" s="18" t="s">
        <v>33</v>
      </c>
      <c r="I1525" s="18" t="s">
        <v>1246</v>
      </c>
      <c r="J1525" s="18" t="s">
        <v>3337</v>
      </c>
      <c r="K1525" s="18" t="s">
        <v>56</v>
      </c>
      <c r="L1525" s="18" t="s">
        <v>36</v>
      </c>
      <c r="N1525" s="18">
        <v>6</v>
      </c>
      <c r="O1525" s="18" t="s">
        <v>88</v>
      </c>
      <c r="P1525" s="18" t="s">
        <v>38</v>
      </c>
      <c r="Q1525" s="18" t="s">
        <v>117</v>
      </c>
      <c r="R1525" s="18" t="s">
        <v>59</v>
      </c>
      <c r="S1525" s="18" t="s">
        <v>118</v>
      </c>
      <c r="T1525" s="18" t="b">
        <v>1</v>
      </c>
      <c r="U1525" s="18" t="s">
        <v>39</v>
      </c>
      <c r="V1525" s="18" t="s">
        <v>40</v>
      </c>
      <c r="W1525" s="18" t="s">
        <v>401</v>
      </c>
      <c r="X1525" s="18" t="s">
        <v>402</v>
      </c>
      <c r="Y1525" s="18">
        <v>1</v>
      </c>
      <c r="Z1525" s="18">
        <v>70000</v>
      </c>
      <c r="AA1525" s="18" t="s">
        <v>2694</v>
      </c>
      <c r="AB1525" s="18" t="s">
        <v>650</v>
      </c>
      <c r="AC1525" s="18" t="s">
        <v>43</v>
      </c>
    </row>
    <row r="1526" s="18" customFormat="1" spans="1:29">
      <c r="A1526" s="18" t="s">
        <v>3357</v>
      </c>
      <c r="B1526" s="25" t="s">
        <v>3357</v>
      </c>
      <c r="C1526" s="26">
        <v>45706</v>
      </c>
      <c r="D1526" s="18" t="s">
        <v>3358</v>
      </c>
      <c r="E1526" s="18" t="str">
        <f t="shared" si="23"/>
        <v>Manaswini Group</v>
      </c>
      <c r="F1526" s="27" t="s">
        <v>3359</v>
      </c>
      <c r="G1526" s="18" t="s">
        <v>32</v>
      </c>
      <c r="H1526" s="18" t="s">
        <v>33</v>
      </c>
      <c r="I1526" s="18" t="s">
        <v>1246</v>
      </c>
      <c r="J1526" s="18" t="s">
        <v>3337</v>
      </c>
      <c r="K1526" s="18" t="s">
        <v>56</v>
      </c>
      <c r="L1526" s="18" t="s">
        <v>36</v>
      </c>
      <c r="N1526" s="18">
        <v>6</v>
      </c>
      <c r="O1526" s="18" t="s">
        <v>88</v>
      </c>
      <c r="P1526" s="18" t="s">
        <v>38</v>
      </c>
      <c r="Q1526" s="18" t="s">
        <v>117</v>
      </c>
      <c r="R1526" s="18" t="s">
        <v>59</v>
      </c>
      <c r="S1526" s="18" t="s">
        <v>118</v>
      </c>
      <c r="T1526" s="18" t="b">
        <v>1</v>
      </c>
      <c r="U1526" s="18" t="s">
        <v>39</v>
      </c>
      <c r="V1526" s="18" t="s">
        <v>40</v>
      </c>
      <c r="W1526" s="18" t="s">
        <v>292</v>
      </c>
      <c r="X1526" s="18" t="s">
        <v>293</v>
      </c>
      <c r="Y1526" s="18">
        <v>1</v>
      </c>
      <c r="Z1526" s="18">
        <v>6000</v>
      </c>
      <c r="AA1526" s="18" t="s">
        <v>2694</v>
      </c>
      <c r="AB1526" s="18" t="s">
        <v>650</v>
      </c>
      <c r="AC1526" s="18" t="s">
        <v>43</v>
      </c>
    </row>
    <row r="1527" s="18" customFormat="1" spans="1:29">
      <c r="A1527" s="18" t="s">
        <v>3360</v>
      </c>
      <c r="B1527" s="25" t="s">
        <v>3360</v>
      </c>
      <c r="C1527" s="26">
        <v>45706</v>
      </c>
      <c r="D1527" s="18" t="s">
        <v>113</v>
      </c>
      <c r="E1527" s="18" t="str">
        <f t="shared" si="23"/>
        <v>Siva Sankar Cabs</v>
      </c>
      <c r="F1527" s="27" t="s">
        <v>114</v>
      </c>
      <c r="G1527" s="18" t="s">
        <v>32</v>
      </c>
      <c r="H1527" s="18" t="s">
        <v>33</v>
      </c>
      <c r="I1527" s="18" t="s">
        <v>1246</v>
      </c>
      <c r="J1527" s="18" t="s">
        <v>3337</v>
      </c>
      <c r="K1527" s="18" t="s">
        <v>56</v>
      </c>
      <c r="L1527" s="18" t="s">
        <v>36</v>
      </c>
      <c r="N1527" s="18">
        <v>6</v>
      </c>
      <c r="O1527" s="18" t="s">
        <v>57</v>
      </c>
      <c r="P1527" s="18" t="s">
        <v>38</v>
      </c>
      <c r="Q1527" s="18" t="s">
        <v>117</v>
      </c>
      <c r="R1527" s="18" t="s">
        <v>59</v>
      </c>
      <c r="S1527" s="18" t="s">
        <v>118</v>
      </c>
      <c r="T1527" s="18" t="b">
        <v>1</v>
      </c>
      <c r="U1527" s="18" t="s">
        <v>39</v>
      </c>
      <c r="V1527" s="18" t="s">
        <v>40</v>
      </c>
      <c r="W1527" s="18" t="s">
        <v>119</v>
      </c>
      <c r="X1527" s="18" t="s">
        <v>120</v>
      </c>
      <c r="Y1527" s="18">
        <v>1</v>
      </c>
      <c r="Z1527" s="18">
        <v>5685</v>
      </c>
      <c r="AA1527" s="18" t="s">
        <v>2694</v>
      </c>
      <c r="AB1527" s="18" t="s">
        <v>650</v>
      </c>
      <c r="AC1527" s="18" t="e">
        <v>#N/A</v>
      </c>
    </row>
    <row r="1528" s="18" customFormat="1" spans="1:29">
      <c r="A1528" s="18" t="s">
        <v>3361</v>
      </c>
      <c r="B1528" s="25" t="s">
        <v>3361</v>
      </c>
      <c r="C1528" s="26">
        <v>45706</v>
      </c>
      <c r="D1528" s="18" t="s">
        <v>1429</v>
      </c>
      <c r="E1528" s="18" t="str">
        <f t="shared" si="23"/>
        <v>A V Links</v>
      </c>
      <c r="F1528" s="27" t="s">
        <v>1430</v>
      </c>
      <c r="G1528" s="18" t="s">
        <v>32</v>
      </c>
      <c r="H1528" s="18" t="s">
        <v>33</v>
      </c>
      <c r="I1528" s="18" t="s">
        <v>54</v>
      </c>
      <c r="J1528" s="18" t="s">
        <v>275</v>
      </c>
      <c r="K1528" s="18" t="s">
        <v>56</v>
      </c>
      <c r="L1528" s="18" t="s">
        <v>36</v>
      </c>
      <c r="N1528" s="18">
        <v>6</v>
      </c>
      <c r="O1528" s="18" t="s">
        <v>57</v>
      </c>
      <c r="P1528" s="18" t="s">
        <v>38</v>
      </c>
      <c r="Q1528" s="18" t="s">
        <v>58</v>
      </c>
      <c r="R1528" s="18" t="s">
        <v>59</v>
      </c>
      <c r="S1528" s="18" t="s">
        <v>60</v>
      </c>
      <c r="T1528" s="18" t="b">
        <v>1</v>
      </c>
      <c r="U1528" s="18" t="s">
        <v>39</v>
      </c>
      <c r="V1528" s="18" t="s">
        <v>40</v>
      </c>
      <c r="W1528" s="18" t="s">
        <v>371</v>
      </c>
      <c r="X1528" s="18" t="s">
        <v>372</v>
      </c>
      <c r="Y1528" s="18">
        <v>1</v>
      </c>
      <c r="Z1528" s="18">
        <v>165000</v>
      </c>
      <c r="AA1528" s="18" t="s">
        <v>153</v>
      </c>
      <c r="AB1528" s="18" t="s">
        <v>154</v>
      </c>
      <c r="AC1528" s="18" t="s">
        <v>43</v>
      </c>
    </row>
    <row r="1529" s="18" customFormat="1" spans="1:29">
      <c r="A1529" s="18" t="s">
        <v>3362</v>
      </c>
      <c r="B1529" s="25" t="s">
        <v>3362</v>
      </c>
      <c r="C1529" s="26">
        <v>45706</v>
      </c>
      <c r="D1529" s="18" t="s">
        <v>3363</v>
      </c>
      <c r="E1529" s="18" t="str">
        <f t="shared" si="23"/>
        <v>Signature Productionz</v>
      </c>
      <c r="F1529" s="27" t="s">
        <v>3364</v>
      </c>
      <c r="G1529" s="18" t="s">
        <v>32</v>
      </c>
      <c r="H1529" s="18" t="s">
        <v>33</v>
      </c>
      <c r="I1529" s="18" t="s">
        <v>54</v>
      </c>
      <c r="J1529" s="18" t="s">
        <v>275</v>
      </c>
      <c r="K1529" s="18" t="s">
        <v>56</v>
      </c>
      <c r="L1529" s="18" t="s">
        <v>36</v>
      </c>
      <c r="N1529" s="18">
        <v>6</v>
      </c>
      <c r="O1529" s="18" t="s">
        <v>88</v>
      </c>
      <c r="P1529" s="18" t="s">
        <v>38</v>
      </c>
      <c r="Q1529" s="18" t="s">
        <v>58</v>
      </c>
      <c r="R1529" s="18" t="s">
        <v>59</v>
      </c>
      <c r="S1529" s="18" t="s">
        <v>60</v>
      </c>
      <c r="T1529" s="18" t="b">
        <v>1</v>
      </c>
      <c r="U1529" s="18" t="s">
        <v>39</v>
      </c>
      <c r="V1529" s="18" t="s">
        <v>40</v>
      </c>
      <c r="W1529" s="18" t="s">
        <v>151</v>
      </c>
      <c r="X1529" s="18" t="s">
        <v>152</v>
      </c>
      <c r="Y1529" s="18">
        <v>1</v>
      </c>
      <c r="Z1529" s="18">
        <v>125000</v>
      </c>
      <c r="AA1529" s="18" t="s">
        <v>153</v>
      </c>
      <c r="AB1529" s="18" t="s">
        <v>154</v>
      </c>
      <c r="AC1529" s="18" t="s">
        <v>43</v>
      </c>
    </row>
    <row r="1530" s="18" customFormat="1" spans="1:29">
      <c r="A1530" s="18" t="s">
        <v>3365</v>
      </c>
      <c r="B1530" s="25" t="s">
        <v>3365</v>
      </c>
      <c r="C1530" s="26">
        <v>45706</v>
      </c>
      <c r="D1530" s="18" t="s">
        <v>3366</v>
      </c>
      <c r="E1530" s="18" t="str">
        <f t="shared" si="23"/>
        <v>Sowmiya Events</v>
      </c>
      <c r="F1530" s="27" t="s">
        <v>3367</v>
      </c>
      <c r="G1530" s="18" t="s">
        <v>99</v>
      </c>
      <c r="H1530" s="18" t="s">
        <v>100</v>
      </c>
      <c r="I1530" s="18" t="s">
        <v>207</v>
      </c>
      <c r="J1530" s="18" t="s">
        <v>3002</v>
      </c>
      <c r="K1530" s="18" t="s">
        <v>56</v>
      </c>
      <c r="L1530" s="18" t="s">
        <v>36</v>
      </c>
      <c r="N1530" s="18">
        <v>6</v>
      </c>
      <c r="O1530" s="18" t="s">
        <v>88</v>
      </c>
      <c r="P1530" s="18" t="s">
        <v>38</v>
      </c>
      <c r="Q1530" s="18" t="s">
        <v>58</v>
      </c>
      <c r="R1530" s="18" t="s">
        <v>59</v>
      </c>
      <c r="S1530" s="18" t="s">
        <v>60</v>
      </c>
      <c r="T1530" s="18" t="b">
        <v>1</v>
      </c>
      <c r="U1530" s="18" t="s">
        <v>101</v>
      </c>
      <c r="V1530" s="18" t="s">
        <v>40</v>
      </c>
      <c r="W1530" s="18" t="s">
        <v>317</v>
      </c>
      <c r="X1530" s="18" t="s">
        <v>318</v>
      </c>
      <c r="Y1530" s="18">
        <v>1</v>
      </c>
      <c r="Z1530" s="18">
        <v>88500</v>
      </c>
      <c r="AA1530" s="18" t="s">
        <v>153</v>
      </c>
      <c r="AB1530" s="18" t="s">
        <v>154</v>
      </c>
      <c r="AC1530" s="18" t="s">
        <v>111</v>
      </c>
    </row>
    <row r="1531" s="18" customFormat="1" spans="1:29">
      <c r="A1531" s="18" t="s">
        <v>3368</v>
      </c>
      <c r="B1531" s="25" t="s">
        <v>3368</v>
      </c>
      <c r="C1531" s="26">
        <v>45706</v>
      </c>
      <c r="D1531" s="18" t="s">
        <v>2214</v>
      </c>
      <c r="E1531" s="18" t="str">
        <f t="shared" si="23"/>
        <v>Mj Digital</v>
      </c>
      <c r="F1531" s="27" t="s">
        <v>2215</v>
      </c>
      <c r="G1531" s="18" t="s">
        <v>99</v>
      </c>
      <c r="H1531" s="18" t="s">
        <v>100</v>
      </c>
      <c r="I1531" s="18" t="s">
        <v>207</v>
      </c>
      <c r="J1531" s="18" t="s">
        <v>3002</v>
      </c>
      <c r="K1531" s="18" t="s">
        <v>56</v>
      </c>
      <c r="L1531" s="18" t="s">
        <v>36</v>
      </c>
      <c r="N1531" s="18">
        <v>6</v>
      </c>
      <c r="O1531" s="18" t="s">
        <v>88</v>
      </c>
      <c r="P1531" s="18" t="s">
        <v>38</v>
      </c>
      <c r="Q1531" s="18" t="s">
        <v>58</v>
      </c>
      <c r="R1531" s="18" t="s">
        <v>59</v>
      </c>
      <c r="S1531" s="18" t="s">
        <v>60</v>
      </c>
      <c r="T1531" s="18" t="b">
        <v>1</v>
      </c>
      <c r="U1531" s="18" t="s">
        <v>101</v>
      </c>
      <c r="V1531" s="18" t="s">
        <v>40</v>
      </c>
      <c r="W1531" s="18" t="s">
        <v>401</v>
      </c>
      <c r="X1531" s="18" t="s">
        <v>402</v>
      </c>
      <c r="Y1531" s="18">
        <v>1</v>
      </c>
      <c r="Z1531" s="18">
        <v>200000</v>
      </c>
      <c r="AA1531" s="18" t="s">
        <v>153</v>
      </c>
      <c r="AB1531" s="18" t="s">
        <v>154</v>
      </c>
      <c r="AC1531" s="18" t="s">
        <v>111</v>
      </c>
    </row>
    <row r="1532" s="18" customFormat="1" ht="43.5" spans="1:29">
      <c r="A1532" s="18" t="s">
        <v>3369</v>
      </c>
      <c r="B1532" s="25" t="s">
        <v>3369</v>
      </c>
      <c r="C1532" s="26">
        <v>45706</v>
      </c>
      <c r="D1532" s="18" t="s">
        <v>3370</v>
      </c>
      <c r="E1532" s="18" t="str">
        <f t="shared" si="23"/>
        <v>Fiesta Car Rentals &amp; Logistics Pvt Ltd</v>
      </c>
      <c r="F1532" s="27" t="s">
        <v>3371</v>
      </c>
      <c r="G1532" s="18" t="s">
        <v>99</v>
      </c>
      <c r="H1532" s="18" t="s">
        <v>100</v>
      </c>
      <c r="I1532" s="18" t="s">
        <v>184</v>
      </c>
      <c r="J1532" s="18" t="s">
        <v>2775</v>
      </c>
      <c r="K1532" s="18" t="s">
        <v>56</v>
      </c>
      <c r="L1532" s="18" t="s">
        <v>36</v>
      </c>
      <c r="N1532" s="18">
        <v>6</v>
      </c>
      <c r="O1532" s="18" t="s">
        <v>88</v>
      </c>
      <c r="P1532" s="18" t="s">
        <v>38</v>
      </c>
      <c r="Q1532" s="18" t="s">
        <v>117</v>
      </c>
      <c r="R1532" s="18" t="s">
        <v>59</v>
      </c>
      <c r="S1532" s="18" t="s">
        <v>186</v>
      </c>
      <c r="T1532" s="18" t="b">
        <v>1</v>
      </c>
      <c r="U1532" s="18" t="s">
        <v>101</v>
      </c>
      <c r="V1532" s="18" t="s">
        <v>40</v>
      </c>
      <c r="W1532" s="18" t="s">
        <v>119</v>
      </c>
      <c r="X1532" s="18" t="s">
        <v>120</v>
      </c>
      <c r="Y1532" s="18">
        <v>1</v>
      </c>
      <c r="Z1532" s="18">
        <v>38600</v>
      </c>
      <c r="AA1532" s="31" t="s">
        <v>3372</v>
      </c>
      <c r="AB1532" s="18" t="s">
        <v>189</v>
      </c>
      <c r="AC1532" s="18" t="s">
        <v>676</v>
      </c>
    </row>
    <row r="1533" s="18" customFormat="1" spans="1:29">
      <c r="A1533" s="18" t="s">
        <v>3373</v>
      </c>
      <c r="B1533" s="25" t="s">
        <v>3373</v>
      </c>
      <c r="C1533" s="26">
        <v>45706</v>
      </c>
      <c r="D1533" s="18" t="s">
        <v>3374</v>
      </c>
      <c r="E1533" s="18" t="str">
        <f t="shared" si="23"/>
        <v>Phalguni Sridhar Bangera</v>
      </c>
      <c r="F1533" s="27" t="s">
        <v>3375</v>
      </c>
      <c r="G1533" s="18" t="s">
        <v>99</v>
      </c>
      <c r="H1533" s="18" t="s">
        <v>100</v>
      </c>
      <c r="I1533" s="18" t="s">
        <v>34</v>
      </c>
      <c r="J1533" s="18" t="s">
        <v>2775</v>
      </c>
      <c r="K1533" s="18" t="s">
        <v>56</v>
      </c>
      <c r="L1533" s="18" t="s">
        <v>36</v>
      </c>
      <c r="N1533" s="18">
        <v>6</v>
      </c>
      <c r="O1533" s="18" t="s">
        <v>57</v>
      </c>
      <c r="P1533" s="18" t="s">
        <v>38</v>
      </c>
      <c r="Q1533" s="18" t="s">
        <v>117</v>
      </c>
      <c r="R1533" s="18" t="s">
        <v>59</v>
      </c>
      <c r="S1533" s="18" t="s">
        <v>186</v>
      </c>
      <c r="T1533" s="18" t="b">
        <v>1</v>
      </c>
      <c r="U1533" s="18" t="s">
        <v>101</v>
      </c>
      <c r="V1533" s="18" t="s">
        <v>40</v>
      </c>
      <c r="W1533" s="18" t="s">
        <v>250</v>
      </c>
      <c r="X1533" s="18" t="s">
        <v>251</v>
      </c>
      <c r="Y1533" s="18">
        <v>1</v>
      </c>
      <c r="Z1533" s="18">
        <v>150000</v>
      </c>
      <c r="AA1533" s="18" t="s">
        <v>328</v>
      </c>
      <c r="AB1533" s="18" t="s">
        <v>329</v>
      </c>
      <c r="AC1533" s="18" t="e">
        <v>#N/A</v>
      </c>
    </row>
    <row r="1534" s="18" customFormat="1" spans="1:29">
      <c r="A1534" s="18" t="s">
        <v>3376</v>
      </c>
      <c r="B1534" s="25" t="s">
        <v>3376</v>
      </c>
      <c r="C1534" s="26">
        <v>45706</v>
      </c>
      <c r="D1534" s="18" t="s">
        <v>663</v>
      </c>
      <c r="E1534" s="18" t="str">
        <f t="shared" si="23"/>
        <v>The Stage Factory</v>
      </c>
      <c r="F1534" s="27" t="s">
        <v>664</v>
      </c>
      <c r="G1534" s="18" t="s">
        <v>147</v>
      </c>
      <c r="H1534" s="18" t="s">
        <v>148</v>
      </c>
      <c r="I1534" s="18" t="s">
        <v>207</v>
      </c>
      <c r="J1534" s="18" t="s">
        <v>2264</v>
      </c>
      <c r="K1534" s="18" t="s">
        <v>56</v>
      </c>
      <c r="L1534" s="18" t="s">
        <v>36</v>
      </c>
      <c r="N1534" s="18">
        <v>6</v>
      </c>
      <c r="O1534" s="18" t="s">
        <v>88</v>
      </c>
      <c r="P1534" s="18" t="s">
        <v>38</v>
      </c>
      <c r="Q1534" s="18" t="s">
        <v>58</v>
      </c>
      <c r="R1534" s="18" t="s">
        <v>59</v>
      </c>
      <c r="S1534" s="18" t="s">
        <v>60</v>
      </c>
      <c r="T1534" s="18" t="b">
        <v>1</v>
      </c>
      <c r="U1534" s="18" t="s">
        <v>150</v>
      </c>
      <c r="V1534" s="18" t="s">
        <v>40</v>
      </c>
      <c r="W1534" s="18" t="s">
        <v>151</v>
      </c>
      <c r="X1534" s="18" t="s">
        <v>152</v>
      </c>
      <c r="Y1534" s="18">
        <v>1</v>
      </c>
      <c r="Z1534" s="18">
        <v>4400000</v>
      </c>
      <c r="AA1534" s="18" t="s">
        <v>544</v>
      </c>
      <c r="AB1534" s="18" t="s">
        <v>397</v>
      </c>
      <c r="AC1534" s="18" t="s">
        <v>163</v>
      </c>
    </row>
    <row r="1535" s="18" customFormat="1" spans="1:29">
      <c r="A1535" s="18" t="s">
        <v>3377</v>
      </c>
      <c r="B1535" s="25" t="s">
        <v>3377</v>
      </c>
      <c r="C1535" s="26">
        <v>45706</v>
      </c>
      <c r="D1535" s="18" t="s">
        <v>3378</v>
      </c>
      <c r="E1535" s="18" t="str">
        <f t="shared" si="23"/>
        <v>Candor Commuting Cab Pvt Ltd</v>
      </c>
      <c r="F1535" s="27" t="s">
        <v>3379</v>
      </c>
      <c r="G1535" s="18" t="s">
        <v>147</v>
      </c>
      <c r="H1535" s="18" t="s">
        <v>148</v>
      </c>
      <c r="I1535" s="18" t="s">
        <v>54</v>
      </c>
      <c r="J1535" s="18" t="s">
        <v>1426</v>
      </c>
      <c r="K1535" s="18" t="s">
        <v>56</v>
      </c>
      <c r="L1535" s="18" t="s">
        <v>36</v>
      </c>
      <c r="N1535" s="18">
        <v>6</v>
      </c>
      <c r="O1535" s="18" t="s">
        <v>88</v>
      </c>
      <c r="P1535" s="18" t="s">
        <v>38</v>
      </c>
      <c r="Q1535" s="18" t="s">
        <v>58</v>
      </c>
      <c r="R1535" s="18" t="s">
        <v>59</v>
      </c>
      <c r="S1535" s="18" t="s">
        <v>60</v>
      </c>
      <c r="T1535" s="18" t="b">
        <v>1</v>
      </c>
      <c r="U1535" s="18" t="s">
        <v>150</v>
      </c>
      <c r="V1535" s="18" t="s">
        <v>40</v>
      </c>
      <c r="W1535" s="18" t="s">
        <v>119</v>
      </c>
      <c r="X1535" s="18" t="s">
        <v>120</v>
      </c>
      <c r="Y1535" s="18">
        <v>1</v>
      </c>
      <c r="Z1535" s="18">
        <v>68622</v>
      </c>
      <c r="AA1535" s="18" t="s">
        <v>142</v>
      </c>
      <c r="AB1535" s="18" t="s">
        <v>143</v>
      </c>
      <c r="AC1535" s="18" t="s">
        <v>676</v>
      </c>
    </row>
    <row r="1536" s="18" customFormat="1" spans="1:29">
      <c r="A1536" s="18" t="s">
        <v>3380</v>
      </c>
      <c r="B1536" s="25" t="s">
        <v>3380</v>
      </c>
      <c r="C1536" s="26">
        <v>45706</v>
      </c>
      <c r="D1536" s="18" t="s">
        <v>674</v>
      </c>
      <c r="E1536" s="18" t="str">
        <f t="shared" si="23"/>
        <v>Rastey Commuting Services Pvt Ltd</v>
      </c>
      <c r="F1536" s="27" t="s">
        <v>675</v>
      </c>
      <c r="G1536" s="18" t="s">
        <v>147</v>
      </c>
      <c r="H1536" s="18" t="s">
        <v>148</v>
      </c>
      <c r="I1536" s="18" t="s">
        <v>54</v>
      </c>
      <c r="J1536" s="18" t="s">
        <v>1426</v>
      </c>
      <c r="K1536" s="18" t="s">
        <v>56</v>
      </c>
      <c r="L1536" s="18" t="s">
        <v>36</v>
      </c>
      <c r="N1536" s="18">
        <v>6</v>
      </c>
      <c r="O1536" s="18" t="s">
        <v>88</v>
      </c>
      <c r="P1536" s="18" t="s">
        <v>38</v>
      </c>
      <c r="Q1536" s="18" t="s">
        <v>58</v>
      </c>
      <c r="R1536" s="18" t="s">
        <v>59</v>
      </c>
      <c r="S1536" s="18" t="s">
        <v>60</v>
      </c>
      <c r="T1536" s="18" t="b">
        <v>1</v>
      </c>
      <c r="U1536" s="18" t="s">
        <v>150</v>
      </c>
      <c r="V1536" s="18" t="s">
        <v>40</v>
      </c>
      <c r="W1536" s="18" t="s">
        <v>119</v>
      </c>
      <c r="X1536" s="18" t="s">
        <v>120</v>
      </c>
      <c r="Y1536" s="18">
        <v>1</v>
      </c>
      <c r="Z1536" s="18">
        <v>289644.5</v>
      </c>
      <c r="AA1536" s="18" t="s">
        <v>142</v>
      </c>
      <c r="AB1536" s="18" t="s">
        <v>143</v>
      </c>
      <c r="AC1536" s="18" t="s">
        <v>676</v>
      </c>
    </row>
    <row r="1537" s="18" customFormat="1" spans="1:29">
      <c r="A1537" s="18" t="s">
        <v>3381</v>
      </c>
      <c r="B1537" s="25" t="s">
        <v>3381</v>
      </c>
      <c r="C1537" s="26">
        <v>45706</v>
      </c>
      <c r="D1537" s="18" t="s">
        <v>3141</v>
      </c>
      <c r="E1537" s="18" t="str">
        <f t="shared" si="23"/>
        <v>Fortune Print Services</v>
      </c>
      <c r="F1537" s="27" t="s">
        <v>3142</v>
      </c>
      <c r="G1537" s="18" t="s">
        <v>147</v>
      </c>
      <c r="H1537" s="18" t="s">
        <v>148</v>
      </c>
      <c r="I1537" s="18" t="s">
        <v>54</v>
      </c>
      <c r="J1537" s="18" t="s">
        <v>1098</v>
      </c>
      <c r="K1537" s="18" t="s">
        <v>56</v>
      </c>
      <c r="L1537" s="18" t="s">
        <v>36</v>
      </c>
      <c r="N1537" s="18">
        <v>6</v>
      </c>
      <c r="O1537" s="18" t="s">
        <v>88</v>
      </c>
      <c r="P1537" s="18" t="s">
        <v>38</v>
      </c>
      <c r="Q1537" s="18" t="s">
        <v>58</v>
      </c>
      <c r="R1537" s="18" t="s">
        <v>59</v>
      </c>
      <c r="S1537" s="18" t="s">
        <v>60</v>
      </c>
      <c r="T1537" s="18" t="b">
        <v>1</v>
      </c>
      <c r="U1537" s="18" t="s">
        <v>150</v>
      </c>
      <c r="V1537" s="18" t="s">
        <v>40</v>
      </c>
      <c r="W1537" s="18" t="s">
        <v>196</v>
      </c>
      <c r="X1537" s="18" t="s">
        <v>197</v>
      </c>
      <c r="Y1537" s="18">
        <v>1</v>
      </c>
      <c r="Z1537" s="18">
        <v>1030</v>
      </c>
      <c r="AA1537" s="18" t="s">
        <v>343</v>
      </c>
      <c r="AC1537" s="18" t="s">
        <v>163</v>
      </c>
    </row>
    <row r="1538" s="18" customFormat="1" spans="1:29">
      <c r="A1538" s="18" t="s">
        <v>3382</v>
      </c>
      <c r="B1538" s="25" t="s">
        <v>3382</v>
      </c>
      <c r="C1538" s="26">
        <v>45706</v>
      </c>
      <c r="D1538" s="18" t="s">
        <v>678</v>
      </c>
      <c r="E1538" s="18" t="str">
        <f t="shared" si="23"/>
        <v>Corporate Gift</v>
      </c>
      <c r="F1538" s="27" t="s">
        <v>679</v>
      </c>
      <c r="G1538" s="18" t="s">
        <v>147</v>
      </c>
      <c r="H1538" s="18" t="s">
        <v>148</v>
      </c>
      <c r="I1538" s="18" t="s">
        <v>54</v>
      </c>
      <c r="J1538" s="18" t="s">
        <v>1098</v>
      </c>
      <c r="K1538" s="18" t="s">
        <v>56</v>
      </c>
      <c r="L1538" s="18" t="s">
        <v>36</v>
      </c>
      <c r="N1538" s="18">
        <v>6</v>
      </c>
      <c r="O1538" s="18" t="s">
        <v>88</v>
      </c>
      <c r="P1538" s="18" t="s">
        <v>38</v>
      </c>
      <c r="Q1538" s="18" t="s">
        <v>58</v>
      </c>
      <c r="R1538" s="18" t="s">
        <v>59</v>
      </c>
      <c r="S1538" s="18" t="s">
        <v>60</v>
      </c>
      <c r="T1538" s="18" t="b">
        <v>1</v>
      </c>
      <c r="U1538" s="18" t="s">
        <v>150</v>
      </c>
      <c r="V1538" s="18" t="s">
        <v>40</v>
      </c>
      <c r="W1538" s="18" t="s">
        <v>140</v>
      </c>
      <c r="X1538" s="18" t="s">
        <v>141</v>
      </c>
      <c r="Y1538" s="18">
        <v>1</v>
      </c>
      <c r="Z1538" s="18">
        <v>800</v>
      </c>
      <c r="AA1538" s="18" t="s">
        <v>343</v>
      </c>
      <c r="AC1538" s="18" t="s">
        <v>699</v>
      </c>
    </row>
    <row r="1539" s="18" customFormat="1" ht="43.5" spans="1:29">
      <c r="A1539" s="18" t="s">
        <v>3383</v>
      </c>
      <c r="B1539" s="25" t="s">
        <v>3383</v>
      </c>
      <c r="C1539" s="26">
        <v>45706</v>
      </c>
      <c r="D1539" s="18" t="s">
        <v>1005</v>
      </c>
      <c r="E1539" s="18" t="str">
        <f t="shared" ref="E1539:E1595" si="24">_xlfn.TEXTBEFORE(D1539,"-")</f>
        <v>Cockpitmarx </v>
      </c>
      <c r="F1539" s="27" t="e">
        <v>#N/A</v>
      </c>
      <c r="G1539" s="18" t="s">
        <v>147</v>
      </c>
      <c r="H1539" s="18" t="s">
        <v>148</v>
      </c>
      <c r="I1539" s="18" t="s">
        <v>184</v>
      </c>
      <c r="J1539" s="18" t="s">
        <v>3384</v>
      </c>
      <c r="K1539" s="18" t="s">
        <v>56</v>
      </c>
      <c r="L1539" s="18" t="s">
        <v>36</v>
      </c>
      <c r="N1539" s="18">
        <v>6</v>
      </c>
      <c r="O1539" s="18" t="s">
        <v>88</v>
      </c>
      <c r="P1539" s="18" t="s">
        <v>38</v>
      </c>
      <c r="Q1539" s="18" t="s">
        <v>117</v>
      </c>
      <c r="R1539" s="18" t="s">
        <v>59</v>
      </c>
      <c r="S1539" s="18" t="s">
        <v>186</v>
      </c>
      <c r="T1539" s="18" t="b">
        <v>1</v>
      </c>
      <c r="U1539" s="18" t="s">
        <v>150</v>
      </c>
      <c r="V1539" s="18" t="s">
        <v>40</v>
      </c>
      <c r="W1539" s="18" t="s">
        <v>317</v>
      </c>
      <c r="X1539" s="18" t="s">
        <v>318</v>
      </c>
      <c r="Y1539" s="18">
        <v>1</v>
      </c>
      <c r="Z1539" s="18">
        <v>80000</v>
      </c>
      <c r="AA1539" s="31" t="s">
        <v>3372</v>
      </c>
      <c r="AB1539" s="18" t="s">
        <v>189</v>
      </c>
      <c r="AC1539" s="18" t="s">
        <v>163</v>
      </c>
    </row>
    <row r="1540" s="18" customFormat="1" ht="43.5" spans="1:29">
      <c r="A1540" s="18" t="s">
        <v>3385</v>
      </c>
      <c r="B1540" s="25" t="s">
        <v>3385</v>
      </c>
      <c r="C1540" s="26">
        <v>45706</v>
      </c>
      <c r="D1540" s="18" t="s">
        <v>1005</v>
      </c>
      <c r="E1540" s="18" t="str">
        <f t="shared" si="24"/>
        <v>Cockpitmarx </v>
      </c>
      <c r="F1540" s="27" t="e">
        <v>#N/A</v>
      </c>
      <c r="G1540" s="18" t="s">
        <v>147</v>
      </c>
      <c r="H1540" s="18" t="s">
        <v>148</v>
      </c>
      <c r="I1540" s="18" t="s">
        <v>184</v>
      </c>
      <c r="J1540" s="18" t="s">
        <v>3386</v>
      </c>
      <c r="K1540" s="18" t="s">
        <v>56</v>
      </c>
      <c r="L1540" s="18" t="s">
        <v>36</v>
      </c>
      <c r="N1540" s="18">
        <v>6</v>
      </c>
      <c r="O1540" s="18" t="s">
        <v>88</v>
      </c>
      <c r="P1540" s="18" t="s">
        <v>38</v>
      </c>
      <c r="Q1540" s="18" t="s">
        <v>117</v>
      </c>
      <c r="R1540" s="18" t="s">
        <v>59</v>
      </c>
      <c r="S1540" s="18" t="s">
        <v>186</v>
      </c>
      <c r="T1540" s="18" t="b">
        <v>1</v>
      </c>
      <c r="U1540" s="18" t="s">
        <v>150</v>
      </c>
      <c r="V1540" s="18" t="s">
        <v>40</v>
      </c>
      <c r="W1540" s="18" t="s">
        <v>317</v>
      </c>
      <c r="X1540" s="18" t="s">
        <v>318</v>
      </c>
      <c r="Y1540" s="18">
        <v>1</v>
      </c>
      <c r="Z1540" s="18">
        <v>251840</v>
      </c>
      <c r="AA1540" s="31" t="s">
        <v>3372</v>
      </c>
      <c r="AB1540" s="18" t="s">
        <v>189</v>
      </c>
      <c r="AC1540" s="18" t="s">
        <v>163</v>
      </c>
    </row>
    <row r="1541" s="18" customFormat="1" ht="43.5" spans="1:29">
      <c r="A1541" s="18" t="s">
        <v>3387</v>
      </c>
      <c r="B1541" s="25" t="s">
        <v>3387</v>
      </c>
      <c r="C1541" s="26">
        <v>45706</v>
      </c>
      <c r="D1541" s="18" t="s">
        <v>1005</v>
      </c>
      <c r="E1541" s="18" t="str">
        <f t="shared" si="24"/>
        <v>Cockpitmarx </v>
      </c>
      <c r="F1541" s="27" t="e">
        <v>#N/A</v>
      </c>
      <c r="G1541" s="18" t="s">
        <v>147</v>
      </c>
      <c r="H1541" s="18" t="s">
        <v>148</v>
      </c>
      <c r="I1541" s="18" t="s">
        <v>184</v>
      </c>
      <c r="J1541" s="18" t="s">
        <v>3388</v>
      </c>
      <c r="K1541" s="18" t="s">
        <v>56</v>
      </c>
      <c r="L1541" s="18" t="s">
        <v>36</v>
      </c>
      <c r="N1541" s="18">
        <v>6</v>
      </c>
      <c r="O1541" s="18" t="s">
        <v>88</v>
      </c>
      <c r="P1541" s="18" t="s">
        <v>38</v>
      </c>
      <c r="Q1541" s="18" t="s">
        <v>117</v>
      </c>
      <c r="R1541" s="18" t="s">
        <v>59</v>
      </c>
      <c r="S1541" s="18" t="s">
        <v>186</v>
      </c>
      <c r="T1541" s="18" t="b">
        <v>1</v>
      </c>
      <c r="U1541" s="18" t="s">
        <v>150</v>
      </c>
      <c r="V1541" s="18" t="s">
        <v>40</v>
      </c>
      <c r="W1541" s="18" t="s">
        <v>196</v>
      </c>
      <c r="X1541" s="18" t="s">
        <v>197</v>
      </c>
      <c r="Y1541" s="18">
        <v>1</v>
      </c>
      <c r="Z1541" s="18">
        <v>6700</v>
      </c>
      <c r="AA1541" s="31" t="s">
        <v>3372</v>
      </c>
      <c r="AB1541" s="18" t="s">
        <v>189</v>
      </c>
      <c r="AC1541" s="18" t="s">
        <v>163</v>
      </c>
    </row>
    <row r="1542" s="18" customFormat="1" spans="1:29">
      <c r="A1542" s="18" t="s">
        <v>3389</v>
      </c>
      <c r="B1542" s="25" t="s">
        <v>3389</v>
      </c>
      <c r="C1542" s="26">
        <v>45706</v>
      </c>
      <c r="D1542" s="18" t="s">
        <v>3390</v>
      </c>
      <c r="E1542" s="18" t="str">
        <f t="shared" si="24"/>
        <v>Anshika Mishra  </v>
      </c>
      <c r="F1542" s="27" t="e">
        <v>#N/A</v>
      </c>
      <c r="G1542" s="18" t="s">
        <v>147</v>
      </c>
      <c r="H1542" s="18" t="s">
        <v>148</v>
      </c>
      <c r="I1542" s="18" t="s">
        <v>54</v>
      </c>
      <c r="J1542" s="18" t="s">
        <v>2803</v>
      </c>
      <c r="K1542" s="18" t="s">
        <v>56</v>
      </c>
      <c r="L1542" s="18" t="s">
        <v>36</v>
      </c>
      <c r="N1542" s="18">
        <v>6</v>
      </c>
      <c r="O1542" s="18" t="s">
        <v>93</v>
      </c>
      <c r="P1542" s="18" t="s">
        <v>38</v>
      </c>
      <c r="Q1542" s="18" t="s">
        <v>58</v>
      </c>
      <c r="R1542" s="18" t="s">
        <v>59</v>
      </c>
      <c r="S1542" s="18" t="s">
        <v>60</v>
      </c>
      <c r="T1542" s="18" t="b">
        <v>1</v>
      </c>
      <c r="U1542" s="18" t="s">
        <v>150</v>
      </c>
      <c r="V1542" s="18" t="s">
        <v>40</v>
      </c>
      <c r="W1542" s="18" t="s">
        <v>126</v>
      </c>
      <c r="X1542" s="18" t="s">
        <v>127</v>
      </c>
      <c r="Y1542" s="18">
        <v>1</v>
      </c>
      <c r="Z1542" s="18">
        <v>2596</v>
      </c>
      <c r="AA1542" s="18" t="s">
        <v>3391</v>
      </c>
      <c r="AB1542" s="18" t="s">
        <v>3392</v>
      </c>
      <c r="AC1542" s="18" t="e">
        <v>#N/A</v>
      </c>
    </row>
    <row r="1543" s="18" customFormat="1" spans="1:29">
      <c r="A1543" s="18" t="s">
        <v>3393</v>
      </c>
      <c r="B1543" s="25" t="s">
        <v>3393</v>
      </c>
      <c r="C1543" s="26">
        <v>45706</v>
      </c>
      <c r="D1543" s="18" t="s">
        <v>3394</v>
      </c>
      <c r="E1543" s="18" t="str">
        <f t="shared" si="24"/>
        <v>Banty......... </v>
      </c>
      <c r="F1543" s="27" t="e">
        <v>#N/A</v>
      </c>
      <c r="G1543" s="18" t="s">
        <v>147</v>
      </c>
      <c r="H1543" s="18" t="s">
        <v>148</v>
      </c>
      <c r="I1543" s="18" t="s">
        <v>54</v>
      </c>
      <c r="J1543" s="18" t="s">
        <v>240</v>
      </c>
      <c r="K1543" s="18" t="s">
        <v>56</v>
      </c>
      <c r="L1543" s="18" t="s">
        <v>36</v>
      </c>
      <c r="N1543" s="18">
        <v>6</v>
      </c>
      <c r="O1543" s="18" t="s">
        <v>93</v>
      </c>
      <c r="P1543" s="18" t="s">
        <v>38</v>
      </c>
      <c r="Q1543" s="18" t="s">
        <v>58</v>
      </c>
      <c r="R1543" s="18" t="s">
        <v>59</v>
      </c>
      <c r="S1543" s="18" t="s">
        <v>60</v>
      </c>
      <c r="T1543" s="18" t="b">
        <v>1</v>
      </c>
      <c r="U1543" s="18" t="s">
        <v>150</v>
      </c>
      <c r="V1543" s="18" t="s">
        <v>40</v>
      </c>
      <c r="W1543" s="18" t="s">
        <v>126</v>
      </c>
      <c r="X1543" s="18" t="s">
        <v>127</v>
      </c>
      <c r="Y1543" s="18">
        <v>1</v>
      </c>
      <c r="Z1543" s="18">
        <v>2670</v>
      </c>
      <c r="AA1543" s="18" t="s">
        <v>227</v>
      </c>
      <c r="AB1543" s="18" t="s">
        <v>228</v>
      </c>
      <c r="AC1543" s="18" t="e">
        <v>#N/A</v>
      </c>
    </row>
    <row r="1544" s="18" customFormat="1" spans="1:29">
      <c r="A1544" s="18" t="s">
        <v>3395</v>
      </c>
      <c r="B1544" s="25" t="s">
        <v>3395</v>
      </c>
      <c r="C1544" s="26">
        <v>45706</v>
      </c>
      <c r="D1544" s="18" t="s">
        <v>3394</v>
      </c>
      <c r="E1544" s="18" t="str">
        <f t="shared" si="24"/>
        <v>Banty......... </v>
      </c>
      <c r="F1544" s="27" t="e">
        <v>#N/A</v>
      </c>
      <c r="G1544" s="18" t="s">
        <v>147</v>
      </c>
      <c r="H1544" s="18" t="s">
        <v>148</v>
      </c>
      <c r="I1544" s="18" t="s">
        <v>54</v>
      </c>
      <c r="J1544" s="18" t="s">
        <v>1426</v>
      </c>
      <c r="K1544" s="18" t="s">
        <v>56</v>
      </c>
      <c r="L1544" s="18" t="s">
        <v>36</v>
      </c>
      <c r="N1544" s="18">
        <v>6</v>
      </c>
      <c r="O1544" s="18" t="s">
        <v>93</v>
      </c>
      <c r="P1544" s="18" t="s">
        <v>38</v>
      </c>
      <c r="Q1544" s="18" t="s">
        <v>58</v>
      </c>
      <c r="R1544" s="18" t="s">
        <v>59</v>
      </c>
      <c r="S1544" s="18" t="s">
        <v>60</v>
      </c>
      <c r="T1544" s="18" t="b">
        <v>1</v>
      </c>
      <c r="U1544" s="18" t="s">
        <v>150</v>
      </c>
      <c r="V1544" s="18" t="s">
        <v>40</v>
      </c>
      <c r="W1544" s="18" t="s">
        <v>126</v>
      </c>
      <c r="X1544" s="18" t="s">
        <v>127</v>
      </c>
      <c r="Y1544" s="18">
        <v>1</v>
      </c>
      <c r="Z1544" s="18">
        <v>17852</v>
      </c>
      <c r="AA1544" s="18" t="s">
        <v>3396</v>
      </c>
      <c r="AB1544" s="18" t="s">
        <v>3397</v>
      </c>
      <c r="AC1544" s="18" t="e">
        <v>#N/A</v>
      </c>
    </row>
    <row r="1545" s="18" customFormat="1" spans="1:29">
      <c r="A1545" s="18" t="s">
        <v>3398</v>
      </c>
      <c r="B1545" s="25" t="s">
        <v>3398</v>
      </c>
      <c r="C1545" s="26">
        <v>45706</v>
      </c>
      <c r="D1545" s="18" t="s">
        <v>697</v>
      </c>
      <c r="E1545" s="18" t="str">
        <f t="shared" si="24"/>
        <v>Pavni Enterprises</v>
      </c>
      <c r="F1545" s="27" t="s">
        <v>698</v>
      </c>
      <c r="G1545" s="18" t="s">
        <v>147</v>
      </c>
      <c r="H1545" s="18" t="s">
        <v>148</v>
      </c>
      <c r="I1545" s="18" t="s">
        <v>207</v>
      </c>
      <c r="J1545" s="18" t="s">
        <v>1238</v>
      </c>
      <c r="K1545" s="18" t="s">
        <v>56</v>
      </c>
      <c r="L1545" s="18" t="s">
        <v>36</v>
      </c>
      <c r="N1545" s="18">
        <v>6</v>
      </c>
      <c r="O1545" s="18" t="s">
        <v>57</v>
      </c>
      <c r="P1545" s="18" t="s">
        <v>38</v>
      </c>
      <c r="Q1545" s="18" t="s">
        <v>58</v>
      </c>
      <c r="R1545" s="18" t="s">
        <v>59</v>
      </c>
      <c r="S1545" s="18" t="s">
        <v>60</v>
      </c>
      <c r="T1545" s="18" t="b">
        <v>1</v>
      </c>
      <c r="U1545" s="18" t="s">
        <v>150</v>
      </c>
      <c r="V1545" s="18" t="s">
        <v>40</v>
      </c>
      <c r="W1545" s="18" t="s">
        <v>140</v>
      </c>
      <c r="X1545" s="18" t="s">
        <v>141</v>
      </c>
      <c r="Y1545" s="18">
        <v>1</v>
      </c>
      <c r="Z1545" s="18">
        <v>171250</v>
      </c>
      <c r="AA1545" s="18" t="s">
        <v>241</v>
      </c>
      <c r="AB1545" s="18" t="s">
        <v>242</v>
      </c>
      <c r="AC1545" s="18" t="s">
        <v>163</v>
      </c>
    </row>
    <row r="1546" s="18" customFormat="1" spans="1:29">
      <c r="A1546" s="18" t="s">
        <v>3399</v>
      </c>
      <c r="B1546" s="25" t="s">
        <v>3399</v>
      </c>
      <c r="C1546" s="26">
        <v>45706</v>
      </c>
      <c r="D1546" s="18" t="s">
        <v>3400</v>
      </c>
      <c r="E1546" s="18" t="str">
        <f t="shared" si="24"/>
        <v>Jagdish (Runner) ....... </v>
      </c>
      <c r="F1546" s="27" t="e">
        <v>#N/A</v>
      </c>
      <c r="G1546" s="18" t="s">
        <v>147</v>
      </c>
      <c r="H1546" s="18" t="s">
        <v>148</v>
      </c>
      <c r="I1546" s="18" t="s">
        <v>54</v>
      </c>
      <c r="J1546" s="18" t="s">
        <v>466</v>
      </c>
      <c r="K1546" s="18" t="s">
        <v>56</v>
      </c>
      <c r="L1546" s="18" t="s">
        <v>36</v>
      </c>
      <c r="N1546" s="18">
        <v>6</v>
      </c>
      <c r="O1546" s="18" t="s">
        <v>93</v>
      </c>
      <c r="P1546" s="18" t="s">
        <v>38</v>
      </c>
      <c r="Q1546" s="18" t="s">
        <v>58</v>
      </c>
      <c r="R1546" s="18" t="s">
        <v>59</v>
      </c>
      <c r="S1546" s="18" t="s">
        <v>60</v>
      </c>
      <c r="T1546" s="18" t="b">
        <v>1</v>
      </c>
      <c r="U1546" s="18" t="s">
        <v>150</v>
      </c>
      <c r="V1546" s="18" t="s">
        <v>40</v>
      </c>
      <c r="W1546" s="18" t="s">
        <v>126</v>
      </c>
      <c r="X1546" s="18" t="s">
        <v>127</v>
      </c>
      <c r="Y1546" s="18">
        <v>1</v>
      </c>
      <c r="Z1546" s="18">
        <v>840</v>
      </c>
      <c r="AA1546" s="18" t="s">
        <v>3401</v>
      </c>
      <c r="AB1546" s="18" t="s">
        <v>2567</v>
      </c>
      <c r="AC1546" s="18" t="e">
        <v>#N/A</v>
      </c>
    </row>
    <row r="1547" s="18" customFormat="1" spans="1:29">
      <c r="A1547" s="18" t="s">
        <v>3402</v>
      </c>
      <c r="B1547" s="25" t="s">
        <v>3402</v>
      </c>
      <c r="C1547" s="26">
        <v>45706</v>
      </c>
      <c r="D1547" s="18" t="s">
        <v>3400</v>
      </c>
      <c r="E1547" s="18" t="str">
        <f t="shared" si="24"/>
        <v>Jagdish (Runner) ....... </v>
      </c>
      <c r="F1547" s="27" t="e">
        <v>#N/A</v>
      </c>
      <c r="G1547" s="18" t="s">
        <v>147</v>
      </c>
      <c r="H1547" s="18" t="s">
        <v>148</v>
      </c>
      <c r="I1547" s="18" t="s">
        <v>54</v>
      </c>
      <c r="J1547" s="18" t="s">
        <v>395</v>
      </c>
      <c r="K1547" s="18" t="s">
        <v>56</v>
      </c>
      <c r="L1547" s="18" t="s">
        <v>36</v>
      </c>
      <c r="N1547" s="18">
        <v>6</v>
      </c>
      <c r="O1547" s="18" t="s">
        <v>93</v>
      </c>
      <c r="P1547" s="18" t="s">
        <v>38</v>
      </c>
      <c r="Q1547" s="18" t="s">
        <v>58</v>
      </c>
      <c r="R1547" s="18" t="s">
        <v>59</v>
      </c>
      <c r="S1547" s="18" t="s">
        <v>60</v>
      </c>
      <c r="T1547" s="18" t="b">
        <v>1</v>
      </c>
      <c r="U1547" s="18" t="s">
        <v>150</v>
      </c>
      <c r="V1547" s="18" t="s">
        <v>40</v>
      </c>
      <c r="W1547" s="18" t="s">
        <v>126</v>
      </c>
      <c r="X1547" s="18" t="s">
        <v>127</v>
      </c>
      <c r="Y1547" s="18">
        <v>1</v>
      </c>
      <c r="Z1547" s="18">
        <v>3468</v>
      </c>
      <c r="AA1547" s="18" t="s">
        <v>3401</v>
      </c>
      <c r="AB1547" s="18" t="s">
        <v>2567</v>
      </c>
      <c r="AC1547" s="18" t="e">
        <v>#N/A</v>
      </c>
    </row>
    <row r="1548" s="18" customFormat="1" spans="1:29">
      <c r="A1548" s="18" t="s">
        <v>3403</v>
      </c>
      <c r="B1548" s="25" t="s">
        <v>3403</v>
      </c>
      <c r="C1548" s="26">
        <v>45706</v>
      </c>
      <c r="D1548" s="18" t="s">
        <v>1115</v>
      </c>
      <c r="E1548" s="18" t="str">
        <f t="shared" si="24"/>
        <v>Nock Time Service</v>
      </c>
      <c r="F1548" s="27" t="e">
        <v>#N/A</v>
      </c>
      <c r="G1548" s="18" t="s">
        <v>147</v>
      </c>
      <c r="H1548" s="18" t="s">
        <v>148</v>
      </c>
      <c r="I1548" s="18" t="s">
        <v>54</v>
      </c>
      <c r="J1548" s="18" t="s">
        <v>2514</v>
      </c>
      <c r="K1548" s="18" t="s">
        <v>56</v>
      </c>
      <c r="L1548" s="18" t="s">
        <v>36</v>
      </c>
      <c r="N1548" s="18">
        <v>6</v>
      </c>
      <c r="O1548" s="18" t="s">
        <v>57</v>
      </c>
      <c r="P1548" s="18" t="s">
        <v>38</v>
      </c>
      <c r="Q1548" s="18" t="s">
        <v>58</v>
      </c>
      <c r="R1548" s="18" t="s">
        <v>59</v>
      </c>
      <c r="S1548" s="18" t="s">
        <v>60</v>
      </c>
      <c r="T1548" s="18" t="b">
        <v>1</v>
      </c>
      <c r="U1548" s="18" t="s">
        <v>150</v>
      </c>
      <c r="V1548" s="18" t="s">
        <v>40</v>
      </c>
      <c r="W1548" s="18" t="s">
        <v>317</v>
      </c>
      <c r="X1548" s="18" t="s">
        <v>318</v>
      </c>
      <c r="Y1548" s="18">
        <v>1</v>
      </c>
      <c r="Z1548" s="18">
        <v>24000</v>
      </c>
      <c r="AA1548" s="18" t="s">
        <v>3006</v>
      </c>
      <c r="AB1548" s="18" t="s">
        <v>454</v>
      </c>
      <c r="AC1548" s="18" t="s">
        <v>155</v>
      </c>
    </row>
    <row r="1549" s="18" customFormat="1" spans="1:29">
      <c r="A1549" s="18" t="s">
        <v>3404</v>
      </c>
      <c r="B1549" s="25" t="s">
        <v>3404</v>
      </c>
      <c r="C1549" s="26">
        <v>45706</v>
      </c>
      <c r="D1549" s="18" t="s">
        <v>3405</v>
      </c>
      <c r="E1549" s="18" t="str">
        <f t="shared" si="24"/>
        <v>GLB Assure Pvt Ltd</v>
      </c>
      <c r="F1549" s="27" t="s">
        <v>3406</v>
      </c>
      <c r="G1549" s="18" t="s">
        <v>147</v>
      </c>
      <c r="H1549" s="18" t="s">
        <v>148</v>
      </c>
      <c r="I1549" s="18" t="s">
        <v>207</v>
      </c>
      <c r="J1549" s="18" t="s">
        <v>149</v>
      </c>
      <c r="K1549" s="18" t="s">
        <v>56</v>
      </c>
      <c r="L1549" s="18" t="s">
        <v>36</v>
      </c>
      <c r="N1549" s="18">
        <v>6</v>
      </c>
      <c r="O1549" s="18" t="s">
        <v>88</v>
      </c>
      <c r="P1549" s="18" t="s">
        <v>38</v>
      </c>
      <c r="Q1549" s="18" t="s">
        <v>58</v>
      </c>
      <c r="R1549" s="18" t="s">
        <v>59</v>
      </c>
      <c r="S1549" s="18" t="s">
        <v>60</v>
      </c>
      <c r="T1549" s="18" t="b">
        <v>1</v>
      </c>
      <c r="U1549" s="18" t="s">
        <v>150</v>
      </c>
      <c r="V1549" s="18" t="s">
        <v>40</v>
      </c>
      <c r="W1549" s="18" t="s">
        <v>292</v>
      </c>
      <c r="X1549" s="18" t="s">
        <v>293</v>
      </c>
      <c r="Y1549" s="18">
        <v>1</v>
      </c>
      <c r="Z1549" s="18">
        <v>13000</v>
      </c>
      <c r="AA1549" s="18" t="s">
        <v>373</v>
      </c>
      <c r="AB1549" s="18" t="s">
        <v>236</v>
      </c>
      <c r="AC1549" s="18" t="s">
        <v>155</v>
      </c>
    </row>
    <row r="1550" s="18" customFormat="1" spans="1:29">
      <c r="A1550" s="18" t="s">
        <v>3407</v>
      </c>
      <c r="B1550" s="25" t="s">
        <v>3407</v>
      </c>
      <c r="C1550" s="26">
        <v>45706</v>
      </c>
      <c r="D1550" s="18" t="s">
        <v>3408</v>
      </c>
      <c r="E1550" s="18" t="str">
        <f t="shared" si="24"/>
        <v>Emerging Auto Solutions Pvt Ltd</v>
      </c>
      <c r="F1550" s="27" t="s">
        <v>3409</v>
      </c>
      <c r="G1550" s="18" t="s">
        <v>147</v>
      </c>
      <c r="H1550" s="18" t="s">
        <v>148</v>
      </c>
      <c r="I1550" s="18" t="s">
        <v>207</v>
      </c>
      <c r="J1550" s="18" t="s">
        <v>149</v>
      </c>
      <c r="K1550" s="18" t="s">
        <v>56</v>
      </c>
      <c r="L1550" s="18" t="s">
        <v>36</v>
      </c>
      <c r="N1550" s="18">
        <v>6</v>
      </c>
      <c r="O1550" s="18" t="s">
        <v>88</v>
      </c>
      <c r="P1550" s="18" t="s">
        <v>38</v>
      </c>
      <c r="Q1550" s="18" t="s">
        <v>58</v>
      </c>
      <c r="R1550" s="18" t="s">
        <v>59</v>
      </c>
      <c r="S1550" s="18" t="s">
        <v>60</v>
      </c>
      <c r="T1550" s="18" t="b">
        <v>1</v>
      </c>
      <c r="U1550" s="18" t="s">
        <v>150</v>
      </c>
      <c r="V1550" s="18" t="s">
        <v>40</v>
      </c>
      <c r="W1550" s="18" t="s">
        <v>233</v>
      </c>
      <c r="X1550" s="18" t="s">
        <v>234</v>
      </c>
      <c r="Y1550" s="18">
        <v>1</v>
      </c>
      <c r="Z1550" s="18">
        <v>39700</v>
      </c>
      <c r="AA1550" s="18" t="s">
        <v>373</v>
      </c>
      <c r="AB1550" s="18" t="s">
        <v>236</v>
      </c>
      <c r="AC1550" s="18" t="s">
        <v>163</v>
      </c>
    </row>
    <row r="1551" s="18" customFormat="1" spans="1:29">
      <c r="A1551" s="18" t="s">
        <v>3410</v>
      </c>
      <c r="B1551" s="25" t="s">
        <v>3410</v>
      </c>
      <c r="C1551" s="26">
        <v>45706</v>
      </c>
      <c r="D1551" s="18" t="s">
        <v>678</v>
      </c>
      <c r="E1551" s="18" t="str">
        <f t="shared" si="24"/>
        <v>Corporate Gift</v>
      </c>
      <c r="F1551" s="27" t="s">
        <v>679</v>
      </c>
      <c r="G1551" s="18" t="s">
        <v>147</v>
      </c>
      <c r="H1551" s="18" t="s">
        <v>148</v>
      </c>
      <c r="I1551" s="18" t="s">
        <v>207</v>
      </c>
      <c r="J1551" s="18" t="s">
        <v>2364</v>
      </c>
      <c r="K1551" s="18" t="s">
        <v>56</v>
      </c>
      <c r="L1551" s="18" t="s">
        <v>36</v>
      </c>
      <c r="N1551" s="18">
        <v>6</v>
      </c>
      <c r="O1551" s="18" t="s">
        <v>88</v>
      </c>
      <c r="P1551" s="18" t="s">
        <v>38</v>
      </c>
      <c r="Q1551" s="18" t="s">
        <v>58</v>
      </c>
      <c r="R1551" s="18" t="s">
        <v>59</v>
      </c>
      <c r="S1551" s="18" t="s">
        <v>60</v>
      </c>
      <c r="T1551" s="18" t="b">
        <v>1</v>
      </c>
      <c r="U1551" s="18" t="s">
        <v>150</v>
      </c>
      <c r="V1551" s="18" t="s">
        <v>40</v>
      </c>
      <c r="W1551" s="18" t="s">
        <v>196</v>
      </c>
      <c r="X1551" s="18" t="s">
        <v>197</v>
      </c>
      <c r="Y1551" s="18">
        <v>1</v>
      </c>
      <c r="Z1551" s="18">
        <v>73250</v>
      </c>
      <c r="AA1551" s="18" t="s">
        <v>343</v>
      </c>
      <c r="AC1551" s="18" t="s">
        <v>163</v>
      </c>
    </row>
    <row r="1552" s="18" customFormat="1" spans="1:29">
      <c r="A1552" s="18" t="s">
        <v>3411</v>
      </c>
      <c r="B1552" s="25" t="s">
        <v>3411</v>
      </c>
      <c r="C1552" s="26">
        <v>45706</v>
      </c>
      <c r="D1552" s="18" t="s">
        <v>3141</v>
      </c>
      <c r="E1552" s="18" t="str">
        <f t="shared" si="24"/>
        <v>Fortune Print Services</v>
      </c>
      <c r="F1552" s="27" t="s">
        <v>3142</v>
      </c>
      <c r="G1552" s="18" t="s">
        <v>147</v>
      </c>
      <c r="H1552" s="18" t="s">
        <v>148</v>
      </c>
      <c r="I1552" s="18" t="s">
        <v>207</v>
      </c>
      <c r="J1552" s="18" t="s">
        <v>2364</v>
      </c>
      <c r="K1552" s="18" t="s">
        <v>56</v>
      </c>
      <c r="L1552" s="18" t="s">
        <v>36</v>
      </c>
      <c r="N1552" s="18">
        <v>6</v>
      </c>
      <c r="O1552" s="18" t="s">
        <v>88</v>
      </c>
      <c r="P1552" s="18" t="s">
        <v>38</v>
      </c>
      <c r="Q1552" s="18" t="s">
        <v>58</v>
      </c>
      <c r="R1552" s="18" t="s">
        <v>59</v>
      </c>
      <c r="S1552" s="18" t="s">
        <v>60</v>
      </c>
      <c r="T1552" s="18" t="b">
        <v>1</v>
      </c>
      <c r="U1552" s="18" t="s">
        <v>150</v>
      </c>
      <c r="V1552" s="18" t="s">
        <v>40</v>
      </c>
      <c r="W1552" s="18" t="s">
        <v>196</v>
      </c>
      <c r="X1552" s="18" t="s">
        <v>197</v>
      </c>
      <c r="Y1552" s="18">
        <v>1</v>
      </c>
      <c r="Z1552" s="18">
        <v>12400</v>
      </c>
      <c r="AA1552" s="18" t="s">
        <v>343</v>
      </c>
      <c r="AC1552" s="18" t="s">
        <v>163</v>
      </c>
    </row>
    <row r="1553" s="18" customFormat="1" spans="1:29">
      <c r="A1553" s="18" t="s">
        <v>3412</v>
      </c>
      <c r="B1553" s="25" t="s">
        <v>3412</v>
      </c>
      <c r="C1553" s="26">
        <v>45706</v>
      </c>
      <c r="D1553" s="18" t="s">
        <v>559</v>
      </c>
      <c r="E1553" s="18" t="str">
        <f t="shared" si="24"/>
        <v>Red Carpet Events And Entertainment</v>
      </c>
      <c r="F1553" s="27" t="s">
        <v>560</v>
      </c>
      <c r="G1553" s="18" t="s">
        <v>147</v>
      </c>
      <c r="H1553" s="18" t="s">
        <v>148</v>
      </c>
      <c r="I1553" s="18" t="s">
        <v>207</v>
      </c>
      <c r="J1553" s="18" t="s">
        <v>2364</v>
      </c>
      <c r="K1553" s="18" t="s">
        <v>56</v>
      </c>
      <c r="L1553" s="18" t="s">
        <v>36</v>
      </c>
      <c r="N1553" s="18">
        <v>6</v>
      </c>
      <c r="O1553" s="18" t="s">
        <v>88</v>
      </c>
      <c r="P1553" s="18" t="s">
        <v>38</v>
      </c>
      <c r="Q1553" s="18" t="s">
        <v>58</v>
      </c>
      <c r="R1553" s="18" t="s">
        <v>59</v>
      </c>
      <c r="S1553" s="18" t="s">
        <v>60</v>
      </c>
      <c r="T1553" s="18" t="b">
        <v>1</v>
      </c>
      <c r="U1553" s="18" t="s">
        <v>150</v>
      </c>
      <c r="V1553" s="18" t="s">
        <v>40</v>
      </c>
      <c r="W1553" s="18" t="s">
        <v>292</v>
      </c>
      <c r="X1553" s="18" t="s">
        <v>293</v>
      </c>
      <c r="Y1553" s="18">
        <v>1</v>
      </c>
      <c r="Z1553" s="18">
        <v>3600</v>
      </c>
      <c r="AA1553" s="18" t="s">
        <v>343</v>
      </c>
      <c r="AC1553" s="18" t="e">
        <v>#N/A</v>
      </c>
    </row>
    <row r="1554" s="18" customFormat="1" spans="1:29">
      <c r="A1554" s="18" t="s">
        <v>3413</v>
      </c>
      <c r="B1554" s="25" t="s">
        <v>3413</v>
      </c>
      <c r="C1554" s="26">
        <v>45706</v>
      </c>
      <c r="D1554" s="18" t="s">
        <v>3414</v>
      </c>
      <c r="E1554" s="18" t="str">
        <f t="shared" si="24"/>
        <v>Jai Sai Ram Films</v>
      </c>
      <c r="F1554" s="27" t="s">
        <v>3415</v>
      </c>
      <c r="G1554" s="18" t="s">
        <v>147</v>
      </c>
      <c r="H1554" s="18" t="s">
        <v>148</v>
      </c>
      <c r="I1554" s="18" t="s">
        <v>207</v>
      </c>
      <c r="J1554" s="18" t="s">
        <v>2364</v>
      </c>
      <c r="K1554" s="18" t="s">
        <v>56</v>
      </c>
      <c r="L1554" s="18" t="s">
        <v>36</v>
      </c>
      <c r="N1554" s="18">
        <v>6</v>
      </c>
      <c r="O1554" s="18" t="s">
        <v>57</v>
      </c>
      <c r="P1554" s="18" t="s">
        <v>38</v>
      </c>
      <c r="Q1554" s="18" t="s">
        <v>58</v>
      </c>
      <c r="R1554" s="18" t="s">
        <v>59</v>
      </c>
      <c r="S1554" s="18" t="s">
        <v>60</v>
      </c>
      <c r="T1554" s="18" t="b">
        <v>1</v>
      </c>
      <c r="U1554" s="18" t="s">
        <v>150</v>
      </c>
      <c r="V1554" s="18" t="s">
        <v>40</v>
      </c>
      <c r="W1554" s="18" t="s">
        <v>401</v>
      </c>
      <c r="X1554" s="18" t="s">
        <v>402</v>
      </c>
      <c r="Y1554" s="18">
        <v>1</v>
      </c>
      <c r="Z1554" s="18">
        <v>5000</v>
      </c>
      <c r="AA1554" s="18" t="s">
        <v>343</v>
      </c>
      <c r="AC1554" s="18" t="s">
        <v>163</v>
      </c>
    </row>
    <row r="1555" s="18" customFormat="1" spans="1:29">
      <c r="A1555" s="18" t="s">
        <v>3416</v>
      </c>
      <c r="B1555" s="25" t="s">
        <v>3416</v>
      </c>
      <c r="C1555" s="26">
        <v>45706</v>
      </c>
      <c r="D1555" s="18" t="s">
        <v>663</v>
      </c>
      <c r="E1555" s="18" t="str">
        <f t="shared" si="24"/>
        <v>The Stage Factory</v>
      </c>
      <c r="F1555" s="27" t="s">
        <v>664</v>
      </c>
      <c r="G1555" s="18" t="s">
        <v>147</v>
      </c>
      <c r="H1555" s="18" t="s">
        <v>148</v>
      </c>
      <c r="I1555" s="18" t="s">
        <v>207</v>
      </c>
      <c r="J1555" s="18" t="s">
        <v>2364</v>
      </c>
      <c r="K1555" s="18" t="s">
        <v>56</v>
      </c>
      <c r="L1555" s="18" t="s">
        <v>36</v>
      </c>
      <c r="N1555" s="18">
        <v>6</v>
      </c>
      <c r="O1555" s="18" t="s">
        <v>88</v>
      </c>
      <c r="P1555" s="18" t="s">
        <v>38</v>
      </c>
      <c r="Q1555" s="18" t="s">
        <v>58</v>
      </c>
      <c r="R1555" s="18" t="s">
        <v>59</v>
      </c>
      <c r="S1555" s="18" t="s">
        <v>60</v>
      </c>
      <c r="T1555" s="18" t="b">
        <v>1</v>
      </c>
      <c r="U1555" s="18" t="s">
        <v>150</v>
      </c>
      <c r="V1555" s="18" t="s">
        <v>40</v>
      </c>
      <c r="W1555" s="18" t="s">
        <v>151</v>
      </c>
      <c r="X1555" s="18" t="s">
        <v>152</v>
      </c>
      <c r="Y1555" s="18">
        <v>1</v>
      </c>
      <c r="Z1555" s="18">
        <v>134770</v>
      </c>
      <c r="AA1555" s="18" t="s">
        <v>343</v>
      </c>
      <c r="AC1555" s="18" t="s">
        <v>163</v>
      </c>
    </row>
    <row r="1556" s="18" customFormat="1" spans="1:29">
      <c r="A1556" s="18" t="s">
        <v>3417</v>
      </c>
      <c r="B1556" s="25" t="s">
        <v>3417</v>
      </c>
      <c r="C1556" s="26">
        <v>45706</v>
      </c>
      <c r="D1556" s="18" t="s">
        <v>518</v>
      </c>
      <c r="E1556" s="18" t="str">
        <f t="shared" si="24"/>
        <v>Audio Design </v>
      </c>
      <c r="F1556" s="27" t="s">
        <v>519</v>
      </c>
      <c r="G1556" s="18" t="s">
        <v>147</v>
      </c>
      <c r="H1556" s="18" t="s">
        <v>148</v>
      </c>
      <c r="I1556" s="18" t="s">
        <v>54</v>
      </c>
      <c r="J1556" s="18" t="s">
        <v>2514</v>
      </c>
      <c r="K1556" s="18" t="s">
        <v>56</v>
      </c>
      <c r="L1556" s="18" t="s">
        <v>36</v>
      </c>
      <c r="N1556" s="18">
        <v>6</v>
      </c>
      <c r="O1556" s="18" t="s">
        <v>88</v>
      </c>
      <c r="P1556" s="18" t="s">
        <v>38</v>
      </c>
      <c r="Q1556" s="18" t="s">
        <v>58</v>
      </c>
      <c r="R1556" s="18" t="s">
        <v>59</v>
      </c>
      <c r="S1556" s="18" t="s">
        <v>60</v>
      </c>
      <c r="T1556" s="18" t="b">
        <v>1</v>
      </c>
      <c r="U1556" s="18" t="s">
        <v>150</v>
      </c>
      <c r="V1556" s="18" t="s">
        <v>40</v>
      </c>
      <c r="W1556" s="18" t="s">
        <v>371</v>
      </c>
      <c r="X1556" s="18" t="s">
        <v>372</v>
      </c>
      <c r="Y1556" s="18">
        <v>1</v>
      </c>
      <c r="Z1556" s="18">
        <v>150000</v>
      </c>
      <c r="AA1556" s="18" t="s">
        <v>3006</v>
      </c>
      <c r="AB1556" s="18" t="s">
        <v>454</v>
      </c>
      <c r="AC1556" s="18" t="s">
        <v>163</v>
      </c>
    </row>
    <row r="1557" s="18" customFormat="1" spans="1:29">
      <c r="A1557" s="18" t="s">
        <v>3418</v>
      </c>
      <c r="B1557" s="25" t="s">
        <v>3418</v>
      </c>
      <c r="C1557" s="26">
        <v>45706</v>
      </c>
      <c r="D1557" s="18" t="s">
        <v>3419</v>
      </c>
      <c r="E1557" s="18" t="str">
        <f t="shared" si="24"/>
        <v>Raktim Baruah</v>
      </c>
      <c r="F1557" s="27" t="s">
        <v>3420</v>
      </c>
      <c r="G1557" s="18" t="s">
        <v>147</v>
      </c>
      <c r="H1557" s="18" t="s">
        <v>148</v>
      </c>
      <c r="I1557" s="18" t="s">
        <v>54</v>
      </c>
      <c r="J1557" s="18" t="s">
        <v>2264</v>
      </c>
      <c r="K1557" s="18" t="s">
        <v>56</v>
      </c>
      <c r="L1557" s="18" t="s">
        <v>36</v>
      </c>
      <c r="N1557" s="18">
        <v>6</v>
      </c>
      <c r="O1557" s="18" t="s">
        <v>57</v>
      </c>
      <c r="P1557" s="18" t="s">
        <v>38</v>
      </c>
      <c r="Q1557" s="18" t="s">
        <v>58</v>
      </c>
      <c r="R1557" s="18" t="s">
        <v>59</v>
      </c>
      <c r="S1557" s="18" t="s">
        <v>60</v>
      </c>
      <c r="T1557" s="18" t="b">
        <v>1</v>
      </c>
      <c r="U1557" s="18" t="s">
        <v>150</v>
      </c>
      <c r="V1557" s="18" t="s">
        <v>40</v>
      </c>
      <c r="W1557" s="18" t="s">
        <v>347</v>
      </c>
      <c r="X1557" s="18" t="s">
        <v>348</v>
      </c>
      <c r="Y1557" s="18">
        <v>1</v>
      </c>
      <c r="Z1557" s="18">
        <v>45000</v>
      </c>
      <c r="AA1557" s="18" t="s">
        <v>3421</v>
      </c>
      <c r="AB1557" s="18" t="s">
        <v>3422</v>
      </c>
      <c r="AC1557" s="18" t="e">
        <v>#N/A</v>
      </c>
    </row>
    <row r="1558" s="18" customFormat="1" spans="1:29">
      <c r="A1558" s="18" t="s">
        <v>3423</v>
      </c>
      <c r="B1558" s="25" t="s">
        <v>3423</v>
      </c>
      <c r="C1558" s="26">
        <v>45706</v>
      </c>
      <c r="D1558" s="18" t="s">
        <v>702</v>
      </c>
      <c r="E1558" s="18" t="str">
        <f t="shared" si="24"/>
        <v>Shree Ram Computers</v>
      </c>
      <c r="F1558" s="27" t="s">
        <v>703</v>
      </c>
      <c r="G1558" s="18" t="s">
        <v>147</v>
      </c>
      <c r="H1558" s="18" t="s">
        <v>148</v>
      </c>
      <c r="I1558" s="18" t="s">
        <v>159</v>
      </c>
      <c r="J1558" s="18" t="s">
        <v>2497</v>
      </c>
      <c r="K1558" s="18" t="s">
        <v>56</v>
      </c>
      <c r="L1558" s="18" t="s">
        <v>36</v>
      </c>
      <c r="N1558" s="18">
        <v>6</v>
      </c>
      <c r="O1558" s="18" t="s">
        <v>57</v>
      </c>
      <c r="P1558" s="18" t="s">
        <v>38</v>
      </c>
      <c r="Q1558" s="18" t="s">
        <v>58</v>
      </c>
      <c r="R1558" s="18" t="s">
        <v>59</v>
      </c>
      <c r="S1558" s="18" t="s">
        <v>60</v>
      </c>
      <c r="T1558" s="18" t="b">
        <v>1</v>
      </c>
      <c r="U1558" s="18" t="s">
        <v>150</v>
      </c>
      <c r="V1558" s="18" t="s">
        <v>40</v>
      </c>
      <c r="W1558" s="18" t="s">
        <v>704</v>
      </c>
      <c r="X1558" s="18" t="s">
        <v>704</v>
      </c>
      <c r="Y1558" s="18">
        <v>1</v>
      </c>
      <c r="Z1558" s="18">
        <v>5762.71</v>
      </c>
      <c r="AA1558" s="18" t="s">
        <v>176</v>
      </c>
      <c r="AB1558" s="18" t="s">
        <v>173</v>
      </c>
      <c r="AC1558" s="18" t="s">
        <v>163</v>
      </c>
    </row>
    <row r="1559" s="19" customFormat="1" spans="1:29">
      <c r="A1559" s="19" t="s">
        <v>3424</v>
      </c>
      <c r="B1559" s="28" t="s">
        <v>3424</v>
      </c>
      <c r="C1559" s="29">
        <v>45706</v>
      </c>
      <c r="D1559" s="19" t="s">
        <v>157</v>
      </c>
      <c r="E1559" s="19" t="str">
        <f t="shared" si="24"/>
        <v>Rishi Computers</v>
      </c>
      <c r="F1559" s="30" t="s">
        <v>158</v>
      </c>
      <c r="G1559" s="19" t="s">
        <v>147</v>
      </c>
      <c r="H1559" s="19" t="s">
        <v>148</v>
      </c>
      <c r="I1559" s="19" t="s">
        <v>159</v>
      </c>
      <c r="K1559" s="19" t="s">
        <v>35</v>
      </c>
      <c r="L1559" s="19" t="s">
        <v>36</v>
      </c>
      <c r="N1559" s="19">
        <v>6</v>
      </c>
      <c r="O1559" s="19" t="s">
        <v>88</v>
      </c>
      <c r="P1559" s="19" t="s">
        <v>38</v>
      </c>
      <c r="T1559" s="19" t="b">
        <v>1</v>
      </c>
      <c r="U1559" s="19" t="s">
        <v>150</v>
      </c>
      <c r="V1559" s="19" t="s">
        <v>40</v>
      </c>
      <c r="W1559" s="19" t="s">
        <v>3425</v>
      </c>
      <c r="X1559" s="19" t="e">
        <v>#N/A</v>
      </c>
      <c r="Y1559" s="19">
        <v>3</v>
      </c>
      <c r="Z1559" s="19">
        <v>124538.1</v>
      </c>
      <c r="AA1559" s="19" t="s">
        <v>161</v>
      </c>
      <c r="AB1559" s="19" t="s">
        <v>162</v>
      </c>
      <c r="AC1559" s="19" t="s">
        <v>163</v>
      </c>
    </row>
    <row r="1560" s="18" customFormat="1" spans="1:29">
      <c r="A1560" s="18" t="s">
        <v>3426</v>
      </c>
      <c r="B1560" s="25" t="s">
        <v>3426</v>
      </c>
      <c r="C1560" s="26">
        <v>45706</v>
      </c>
      <c r="D1560" s="18" t="s">
        <v>3427</v>
      </c>
      <c r="E1560" s="18" t="str">
        <f t="shared" si="24"/>
        <v>Edge Decor Llp</v>
      </c>
      <c r="F1560" s="27" t="s">
        <v>3428</v>
      </c>
      <c r="G1560" s="18" t="s">
        <v>147</v>
      </c>
      <c r="H1560" s="18" t="s">
        <v>148</v>
      </c>
      <c r="I1560" s="18" t="s">
        <v>54</v>
      </c>
      <c r="J1560" s="18" t="s">
        <v>2913</v>
      </c>
      <c r="K1560" s="18" t="s">
        <v>56</v>
      </c>
      <c r="L1560" s="18" t="s">
        <v>36</v>
      </c>
      <c r="N1560" s="18">
        <v>6</v>
      </c>
      <c r="O1560" s="18" t="s">
        <v>57</v>
      </c>
      <c r="P1560" s="18" t="s">
        <v>38</v>
      </c>
      <c r="Q1560" s="18" t="s">
        <v>58</v>
      </c>
      <c r="R1560" s="18" t="s">
        <v>59</v>
      </c>
      <c r="S1560" s="18" t="s">
        <v>60</v>
      </c>
      <c r="T1560" s="18" t="b">
        <v>1</v>
      </c>
      <c r="U1560" s="18" t="s">
        <v>150</v>
      </c>
      <c r="V1560" s="18" t="s">
        <v>40</v>
      </c>
      <c r="W1560" s="18" t="s">
        <v>151</v>
      </c>
      <c r="X1560" s="18" t="s">
        <v>152</v>
      </c>
      <c r="Y1560" s="18">
        <v>1</v>
      </c>
      <c r="Z1560" s="18">
        <v>348500</v>
      </c>
      <c r="AA1560" s="18" t="s">
        <v>1104</v>
      </c>
      <c r="AB1560" s="18" t="s">
        <v>464</v>
      </c>
      <c r="AC1560" s="18" t="s">
        <v>163</v>
      </c>
    </row>
    <row r="1561" s="18" customFormat="1" spans="1:29">
      <c r="A1561" s="18" t="s">
        <v>3429</v>
      </c>
      <c r="B1561" s="25" t="s">
        <v>3429</v>
      </c>
      <c r="C1561" s="26">
        <v>45706</v>
      </c>
      <c r="D1561" s="18" t="s">
        <v>1807</v>
      </c>
      <c r="E1561" s="18" t="str">
        <f t="shared" si="24"/>
        <v>Travelnama</v>
      </c>
      <c r="F1561" s="27" t="e">
        <v>#N/A</v>
      </c>
      <c r="G1561" s="18" t="s">
        <v>147</v>
      </c>
      <c r="H1561" s="18" t="s">
        <v>148</v>
      </c>
      <c r="I1561" s="18" t="s">
        <v>159</v>
      </c>
      <c r="J1561" s="18" t="s">
        <v>139</v>
      </c>
      <c r="K1561" s="18" t="s">
        <v>56</v>
      </c>
      <c r="L1561" s="18" t="s">
        <v>36</v>
      </c>
      <c r="N1561" s="18">
        <v>6</v>
      </c>
      <c r="O1561" s="18" t="s">
        <v>88</v>
      </c>
      <c r="P1561" s="18" t="s">
        <v>38</v>
      </c>
      <c r="Q1561" s="18" t="s">
        <v>58</v>
      </c>
      <c r="R1561" s="18" t="s">
        <v>59</v>
      </c>
      <c r="S1561" s="18" t="s">
        <v>60</v>
      </c>
      <c r="T1561" s="18" t="b">
        <v>1</v>
      </c>
      <c r="U1561" s="18" t="s">
        <v>150</v>
      </c>
      <c r="V1561" s="18" t="s">
        <v>40</v>
      </c>
      <c r="W1561" s="18" t="s">
        <v>734</v>
      </c>
      <c r="X1561" s="18" t="s">
        <v>735</v>
      </c>
      <c r="Y1561" s="18">
        <v>1</v>
      </c>
      <c r="Z1561" s="18">
        <v>174533.3</v>
      </c>
      <c r="AA1561" s="18" t="s">
        <v>1809</v>
      </c>
      <c r="AB1561" s="18" t="s">
        <v>143</v>
      </c>
      <c r="AC1561" s="18" t="s">
        <v>155</v>
      </c>
    </row>
    <row r="1562" s="18" customFormat="1" spans="1:29">
      <c r="A1562" s="18" t="s">
        <v>3430</v>
      </c>
      <c r="B1562" s="25" t="s">
        <v>3430</v>
      </c>
      <c r="C1562" s="26">
        <v>45706</v>
      </c>
      <c r="D1562" s="18" t="s">
        <v>3431</v>
      </c>
      <c r="E1562" s="18" t="str">
        <f t="shared" si="24"/>
        <v>Mehraan Shaikh  </v>
      </c>
      <c r="F1562" s="27" t="e">
        <v>#N/A</v>
      </c>
      <c r="G1562" s="18" t="s">
        <v>182</v>
      </c>
      <c r="H1562" s="18" t="s">
        <v>183</v>
      </c>
      <c r="I1562" s="18" t="s">
        <v>481</v>
      </c>
      <c r="J1562" s="18" t="s">
        <v>2591</v>
      </c>
      <c r="K1562" s="18" t="s">
        <v>56</v>
      </c>
      <c r="L1562" s="18" t="s">
        <v>36</v>
      </c>
      <c r="N1562" s="18">
        <v>6</v>
      </c>
      <c r="O1562" s="18" t="s">
        <v>93</v>
      </c>
      <c r="P1562" s="18" t="s">
        <v>38</v>
      </c>
      <c r="Q1562" s="18" t="s">
        <v>194</v>
      </c>
      <c r="R1562" s="18" t="s">
        <v>59</v>
      </c>
      <c r="S1562" s="18" t="s">
        <v>195</v>
      </c>
      <c r="T1562" s="18" t="b">
        <v>0</v>
      </c>
      <c r="U1562" s="18" t="s">
        <v>187</v>
      </c>
      <c r="V1562" s="18" t="s">
        <v>40</v>
      </c>
      <c r="W1562" s="18" t="s">
        <v>126</v>
      </c>
      <c r="X1562" s="18" t="s">
        <v>127</v>
      </c>
      <c r="Y1562" s="18">
        <v>1</v>
      </c>
      <c r="Z1562" s="18">
        <v>1480</v>
      </c>
      <c r="AC1562" s="18" t="e">
        <v>#N/A</v>
      </c>
    </row>
    <row r="1563" s="18" customFormat="1" spans="1:29">
      <c r="A1563" s="18" t="s">
        <v>3432</v>
      </c>
      <c r="B1563" s="25" t="s">
        <v>3432</v>
      </c>
      <c r="C1563" s="26">
        <v>45706</v>
      </c>
      <c r="D1563" s="18" t="s">
        <v>1941</v>
      </c>
      <c r="E1563" s="18" t="str">
        <f t="shared" si="24"/>
        <v>Woodcraft Production</v>
      </c>
      <c r="F1563" s="27" t="s">
        <v>1942</v>
      </c>
      <c r="G1563" s="18" t="s">
        <v>182</v>
      </c>
      <c r="H1563" s="18" t="s">
        <v>183</v>
      </c>
      <c r="I1563" s="18" t="s">
        <v>184</v>
      </c>
      <c r="J1563" s="18" t="s">
        <v>2591</v>
      </c>
      <c r="K1563" s="18" t="s">
        <v>56</v>
      </c>
      <c r="L1563" s="18" t="s">
        <v>36</v>
      </c>
      <c r="N1563" s="18">
        <v>6</v>
      </c>
      <c r="O1563" s="18" t="s">
        <v>88</v>
      </c>
      <c r="P1563" s="18" t="s">
        <v>38</v>
      </c>
      <c r="Q1563" s="18" t="s">
        <v>194</v>
      </c>
      <c r="R1563" s="18" t="s">
        <v>59</v>
      </c>
      <c r="S1563" s="18" t="s">
        <v>195</v>
      </c>
      <c r="T1563" s="18" t="b">
        <v>0</v>
      </c>
      <c r="U1563" s="18" t="s">
        <v>187</v>
      </c>
      <c r="V1563" s="18" t="s">
        <v>40</v>
      </c>
      <c r="W1563" s="18" t="s">
        <v>151</v>
      </c>
      <c r="X1563" s="18" t="s">
        <v>152</v>
      </c>
      <c r="Y1563" s="18">
        <v>1</v>
      </c>
      <c r="Z1563" s="18">
        <v>165000</v>
      </c>
      <c r="AA1563" s="18" t="s">
        <v>3433</v>
      </c>
      <c r="AB1563" s="18" t="s">
        <v>1944</v>
      </c>
      <c r="AC1563" s="18" t="s">
        <v>200</v>
      </c>
    </row>
    <row r="1564" s="18" customFormat="1" ht="29" spans="1:29">
      <c r="A1564" s="18" t="s">
        <v>3434</v>
      </c>
      <c r="B1564" s="25" t="s">
        <v>3434</v>
      </c>
      <c r="C1564" s="26">
        <v>45706</v>
      </c>
      <c r="D1564" s="18" t="s">
        <v>3435</v>
      </c>
      <c r="E1564" s="18" t="str">
        <f t="shared" si="24"/>
        <v>Global Production Services</v>
      </c>
      <c r="F1564" s="27" t="s">
        <v>3436</v>
      </c>
      <c r="G1564" s="18" t="s">
        <v>182</v>
      </c>
      <c r="H1564" s="18" t="s">
        <v>183</v>
      </c>
      <c r="I1564" s="18" t="s">
        <v>184</v>
      </c>
      <c r="J1564" s="18" t="s">
        <v>2591</v>
      </c>
      <c r="K1564" s="18" t="s">
        <v>56</v>
      </c>
      <c r="L1564" s="18" t="s">
        <v>36</v>
      </c>
      <c r="N1564" s="18">
        <v>6</v>
      </c>
      <c r="O1564" s="18" t="s">
        <v>88</v>
      </c>
      <c r="P1564" s="18" t="s">
        <v>38</v>
      </c>
      <c r="Q1564" s="18" t="s">
        <v>194</v>
      </c>
      <c r="R1564" s="18" t="s">
        <v>59</v>
      </c>
      <c r="S1564" s="18" t="s">
        <v>195</v>
      </c>
      <c r="T1564" s="18" t="b">
        <v>0</v>
      </c>
      <c r="U1564" s="18" t="s">
        <v>187</v>
      </c>
      <c r="V1564" s="18" t="s">
        <v>40</v>
      </c>
      <c r="W1564" s="18" t="s">
        <v>371</v>
      </c>
      <c r="X1564" s="18" t="s">
        <v>372</v>
      </c>
      <c r="Y1564" s="18">
        <v>1</v>
      </c>
      <c r="Z1564" s="18">
        <v>75000</v>
      </c>
      <c r="AA1564" s="31" t="s">
        <v>1943</v>
      </c>
      <c r="AB1564" s="18" t="s">
        <v>1944</v>
      </c>
      <c r="AC1564" s="18" t="s">
        <v>200</v>
      </c>
    </row>
    <row r="1565" s="18" customFormat="1" ht="29" spans="1:29">
      <c r="A1565" s="18" t="s">
        <v>3437</v>
      </c>
      <c r="B1565" s="25" t="s">
        <v>3437</v>
      </c>
      <c r="C1565" s="26">
        <v>45706</v>
      </c>
      <c r="D1565" s="18" t="s">
        <v>974</v>
      </c>
      <c r="E1565" s="18" t="str">
        <f t="shared" si="24"/>
        <v>Shiv Shakti Enterprises</v>
      </c>
      <c r="F1565" s="27" t="s">
        <v>975</v>
      </c>
      <c r="G1565" s="18" t="s">
        <v>182</v>
      </c>
      <c r="H1565" s="18" t="s">
        <v>183</v>
      </c>
      <c r="I1565" s="18" t="s">
        <v>184</v>
      </c>
      <c r="J1565" s="18" t="s">
        <v>2591</v>
      </c>
      <c r="K1565" s="18" t="s">
        <v>56</v>
      </c>
      <c r="L1565" s="18" t="s">
        <v>36</v>
      </c>
      <c r="N1565" s="18">
        <v>6</v>
      </c>
      <c r="O1565" s="18" t="s">
        <v>57</v>
      </c>
      <c r="P1565" s="18" t="s">
        <v>38</v>
      </c>
      <c r="Q1565" s="18" t="s">
        <v>194</v>
      </c>
      <c r="R1565" s="18" t="s">
        <v>59</v>
      </c>
      <c r="S1565" s="18" t="s">
        <v>195</v>
      </c>
      <c r="T1565" s="18" t="b">
        <v>0</v>
      </c>
      <c r="U1565" s="18" t="s">
        <v>187</v>
      </c>
      <c r="V1565" s="18" t="s">
        <v>40</v>
      </c>
      <c r="W1565" s="18" t="s">
        <v>371</v>
      </c>
      <c r="X1565" s="18" t="s">
        <v>372</v>
      </c>
      <c r="Y1565" s="18">
        <v>1</v>
      </c>
      <c r="Z1565" s="18">
        <v>85000</v>
      </c>
      <c r="AA1565" s="31" t="s">
        <v>1943</v>
      </c>
      <c r="AB1565" s="18" t="s">
        <v>1944</v>
      </c>
      <c r="AC1565" s="18" t="s">
        <v>200</v>
      </c>
    </row>
    <row r="1566" s="18" customFormat="1" ht="29" spans="1:29">
      <c r="A1566" s="18" t="s">
        <v>3438</v>
      </c>
      <c r="B1566" s="25" t="s">
        <v>3438</v>
      </c>
      <c r="C1566" s="26">
        <v>45706</v>
      </c>
      <c r="D1566" s="18" t="s">
        <v>977</v>
      </c>
      <c r="E1566" s="18" t="str">
        <f t="shared" si="24"/>
        <v>Videowaves</v>
      </c>
      <c r="F1566" s="27" t="e">
        <v>#N/A</v>
      </c>
      <c r="G1566" s="18" t="s">
        <v>182</v>
      </c>
      <c r="H1566" s="18" t="s">
        <v>183</v>
      </c>
      <c r="I1566" s="18" t="s">
        <v>184</v>
      </c>
      <c r="J1566" s="18" t="s">
        <v>2591</v>
      </c>
      <c r="K1566" s="18" t="s">
        <v>56</v>
      </c>
      <c r="L1566" s="18" t="s">
        <v>36</v>
      </c>
      <c r="N1566" s="18">
        <v>6</v>
      </c>
      <c r="O1566" s="18" t="s">
        <v>88</v>
      </c>
      <c r="P1566" s="18" t="s">
        <v>38</v>
      </c>
      <c r="Q1566" s="18" t="s">
        <v>194</v>
      </c>
      <c r="R1566" s="18" t="s">
        <v>59</v>
      </c>
      <c r="S1566" s="18" t="s">
        <v>195</v>
      </c>
      <c r="T1566" s="18" t="b">
        <v>0</v>
      </c>
      <c r="U1566" s="18" t="s">
        <v>187</v>
      </c>
      <c r="V1566" s="18" t="s">
        <v>40</v>
      </c>
      <c r="W1566" s="18" t="s">
        <v>371</v>
      </c>
      <c r="X1566" s="18" t="s">
        <v>372</v>
      </c>
      <c r="Y1566" s="18">
        <v>1</v>
      </c>
      <c r="Z1566" s="18">
        <v>245000</v>
      </c>
      <c r="AA1566" s="31" t="s">
        <v>1943</v>
      </c>
      <c r="AB1566" s="18" t="s">
        <v>1944</v>
      </c>
      <c r="AC1566" s="18" t="s">
        <v>200</v>
      </c>
    </row>
    <row r="1567" s="18" customFormat="1" ht="29" spans="1:29">
      <c r="A1567" s="18" t="s">
        <v>3439</v>
      </c>
      <c r="B1567" s="25" t="s">
        <v>3439</v>
      </c>
      <c r="C1567" s="26">
        <v>45706</v>
      </c>
      <c r="D1567" s="18" t="s">
        <v>974</v>
      </c>
      <c r="E1567" s="18" t="str">
        <f t="shared" si="24"/>
        <v>Shiv Shakti Enterprises</v>
      </c>
      <c r="F1567" s="27" t="s">
        <v>975</v>
      </c>
      <c r="G1567" s="18" t="s">
        <v>182</v>
      </c>
      <c r="H1567" s="18" t="s">
        <v>183</v>
      </c>
      <c r="I1567" s="18" t="s">
        <v>184</v>
      </c>
      <c r="J1567" s="18" t="s">
        <v>2591</v>
      </c>
      <c r="K1567" s="18" t="s">
        <v>56</v>
      </c>
      <c r="L1567" s="18" t="s">
        <v>36</v>
      </c>
      <c r="N1567" s="18">
        <v>6</v>
      </c>
      <c r="O1567" s="18" t="s">
        <v>57</v>
      </c>
      <c r="P1567" s="18" t="s">
        <v>38</v>
      </c>
      <c r="Q1567" s="18" t="s">
        <v>194</v>
      </c>
      <c r="R1567" s="18" t="s">
        <v>59</v>
      </c>
      <c r="S1567" s="18" t="s">
        <v>195</v>
      </c>
      <c r="T1567" s="18" t="b">
        <v>0</v>
      </c>
      <c r="U1567" s="18" t="s">
        <v>187</v>
      </c>
      <c r="V1567" s="18" t="s">
        <v>40</v>
      </c>
      <c r="W1567" s="18" t="s">
        <v>371</v>
      </c>
      <c r="X1567" s="18" t="s">
        <v>372</v>
      </c>
      <c r="Y1567" s="18">
        <v>1</v>
      </c>
      <c r="Z1567" s="18">
        <v>6000</v>
      </c>
      <c r="AA1567" s="31" t="s">
        <v>1943</v>
      </c>
      <c r="AB1567" s="18" t="s">
        <v>1944</v>
      </c>
      <c r="AC1567" s="18" t="s">
        <v>200</v>
      </c>
    </row>
    <row r="1568" s="18" customFormat="1" ht="29" spans="1:29">
      <c r="A1568" s="18" t="s">
        <v>3440</v>
      </c>
      <c r="B1568" s="25" t="s">
        <v>3440</v>
      </c>
      <c r="C1568" s="26">
        <v>45706</v>
      </c>
      <c r="D1568" s="18" t="s">
        <v>1981</v>
      </c>
      <c r="E1568" s="18" t="str">
        <f t="shared" si="24"/>
        <v>Oriana Communications</v>
      </c>
      <c r="F1568" s="27" t="s">
        <v>1982</v>
      </c>
      <c r="G1568" s="18" t="s">
        <v>182</v>
      </c>
      <c r="H1568" s="18" t="s">
        <v>183</v>
      </c>
      <c r="I1568" s="18" t="s">
        <v>184</v>
      </c>
      <c r="J1568" s="18" t="s">
        <v>2591</v>
      </c>
      <c r="K1568" s="18" t="s">
        <v>56</v>
      </c>
      <c r="L1568" s="18" t="s">
        <v>36</v>
      </c>
      <c r="N1568" s="18">
        <v>6</v>
      </c>
      <c r="O1568" s="18" t="s">
        <v>57</v>
      </c>
      <c r="P1568" s="18" t="s">
        <v>38</v>
      </c>
      <c r="Q1568" s="18" t="s">
        <v>194</v>
      </c>
      <c r="R1568" s="18" t="s">
        <v>59</v>
      </c>
      <c r="S1568" s="18" t="s">
        <v>195</v>
      </c>
      <c r="T1568" s="18" t="b">
        <v>0</v>
      </c>
      <c r="U1568" s="18" t="s">
        <v>187</v>
      </c>
      <c r="V1568" s="18" t="s">
        <v>40</v>
      </c>
      <c r="W1568" s="18" t="s">
        <v>371</v>
      </c>
      <c r="X1568" s="18" t="s">
        <v>372</v>
      </c>
      <c r="Y1568" s="18">
        <v>1</v>
      </c>
      <c r="Z1568" s="18">
        <v>13000</v>
      </c>
      <c r="AA1568" s="31" t="s">
        <v>1943</v>
      </c>
      <c r="AB1568" s="18" t="s">
        <v>1944</v>
      </c>
      <c r="AC1568" s="18" t="s">
        <v>200</v>
      </c>
    </row>
    <row r="1569" s="18" customFormat="1" ht="29" spans="1:29">
      <c r="A1569" s="18" t="s">
        <v>3441</v>
      </c>
      <c r="B1569" s="25" t="s">
        <v>3441</v>
      </c>
      <c r="C1569" s="26">
        <v>45706</v>
      </c>
      <c r="D1569" s="18" t="s">
        <v>2845</v>
      </c>
      <c r="E1569" s="18" t="str">
        <f t="shared" si="24"/>
        <v>Sudesh Patankar</v>
      </c>
      <c r="F1569" s="27" t="s">
        <v>2846</v>
      </c>
      <c r="G1569" s="18" t="s">
        <v>182</v>
      </c>
      <c r="H1569" s="18" t="s">
        <v>183</v>
      </c>
      <c r="I1569" s="18" t="s">
        <v>184</v>
      </c>
      <c r="J1569" s="18" t="s">
        <v>2591</v>
      </c>
      <c r="K1569" s="18" t="s">
        <v>56</v>
      </c>
      <c r="L1569" s="18" t="s">
        <v>36</v>
      </c>
      <c r="N1569" s="18">
        <v>6</v>
      </c>
      <c r="O1569" s="18" t="s">
        <v>57</v>
      </c>
      <c r="P1569" s="18" t="s">
        <v>38</v>
      </c>
      <c r="Q1569" s="18" t="s">
        <v>194</v>
      </c>
      <c r="R1569" s="18" t="s">
        <v>59</v>
      </c>
      <c r="S1569" s="18" t="s">
        <v>195</v>
      </c>
      <c r="T1569" s="18" t="b">
        <v>0</v>
      </c>
      <c r="U1569" s="18" t="s">
        <v>187</v>
      </c>
      <c r="V1569" s="18" t="s">
        <v>40</v>
      </c>
      <c r="W1569" s="18" t="s">
        <v>371</v>
      </c>
      <c r="X1569" s="18" t="s">
        <v>372</v>
      </c>
      <c r="Y1569" s="18">
        <v>1</v>
      </c>
      <c r="Z1569" s="18">
        <v>30000</v>
      </c>
      <c r="AA1569" s="31" t="s">
        <v>1943</v>
      </c>
      <c r="AB1569" s="18" t="s">
        <v>1944</v>
      </c>
      <c r="AC1569" s="18" t="e">
        <v>#N/A</v>
      </c>
    </row>
    <row r="1570" s="18" customFormat="1" spans="1:29">
      <c r="A1570" s="18" t="s">
        <v>3442</v>
      </c>
      <c r="B1570" s="25" t="s">
        <v>3442</v>
      </c>
      <c r="C1570" s="26">
        <v>45706</v>
      </c>
      <c r="D1570" s="18" t="s">
        <v>1886</v>
      </c>
      <c r="E1570" s="18" t="str">
        <f t="shared" si="24"/>
        <v>Kalasiddha Creations</v>
      </c>
      <c r="F1570" s="27" t="s">
        <v>1887</v>
      </c>
      <c r="G1570" s="18" t="s">
        <v>182</v>
      </c>
      <c r="H1570" s="18" t="s">
        <v>183</v>
      </c>
      <c r="I1570" s="18" t="s">
        <v>34</v>
      </c>
      <c r="J1570" s="18" t="s">
        <v>3443</v>
      </c>
      <c r="K1570" s="18" t="s">
        <v>56</v>
      </c>
      <c r="L1570" s="18" t="s">
        <v>36</v>
      </c>
      <c r="N1570" s="18">
        <v>6</v>
      </c>
      <c r="O1570" s="18" t="s">
        <v>88</v>
      </c>
      <c r="P1570" s="18" t="s">
        <v>38</v>
      </c>
      <c r="Q1570" s="18" t="s">
        <v>117</v>
      </c>
      <c r="R1570" s="18" t="s">
        <v>59</v>
      </c>
      <c r="S1570" s="18" t="s">
        <v>118</v>
      </c>
      <c r="T1570" s="18" t="b">
        <v>0</v>
      </c>
      <c r="U1570" s="18" t="s">
        <v>187</v>
      </c>
      <c r="V1570" s="18" t="s">
        <v>40</v>
      </c>
      <c r="W1570" s="18" t="s">
        <v>317</v>
      </c>
      <c r="X1570" s="18" t="s">
        <v>318</v>
      </c>
      <c r="Y1570" s="18">
        <v>1</v>
      </c>
      <c r="Z1570" s="18">
        <v>770750</v>
      </c>
      <c r="AA1570" s="18" t="s">
        <v>121</v>
      </c>
      <c r="AB1570" s="18" t="s">
        <v>122</v>
      </c>
      <c r="AC1570" s="18" t="s">
        <v>200</v>
      </c>
    </row>
    <row r="1571" s="18" customFormat="1" ht="29" spans="1:29">
      <c r="A1571" s="18" t="s">
        <v>3444</v>
      </c>
      <c r="B1571" s="25" t="s">
        <v>3444</v>
      </c>
      <c r="C1571" s="26">
        <v>45706</v>
      </c>
      <c r="D1571" s="18" t="s">
        <v>2061</v>
      </c>
      <c r="E1571" s="18" t="str">
        <f t="shared" si="24"/>
        <v>Jayant K Shetty</v>
      </c>
      <c r="F1571" s="27" t="s">
        <v>2062</v>
      </c>
      <c r="G1571" s="18" t="s">
        <v>182</v>
      </c>
      <c r="H1571" s="18" t="s">
        <v>183</v>
      </c>
      <c r="I1571" s="18" t="s">
        <v>184</v>
      </c>
      <c r="J1571" s="18" t="s">
        <v>2591</v>
      </c>
      <c r="K1571" s="18" t="s">
        <v>56</v>
      </c>
      <c r="L1571" s="18" t="s">
        <v>36</v>
      </c>
      <c r="N1571" s="18">
        <v>6</v>
      </c>
      <c r="O1571" s="18" t="s">
        <v>88</v>
      </c>
      <c r="P1571" s="18" t="s">
        <v>38</v>
      </c>
      <c r="Q1571" s="18" t="s">
        <v>194</v>
      </c>
      <c r="R1571" s="18" t="s">
        <v>59</v>
      </c>
      <c r="S1571" s="18" t="s">
        <v>195</v>
      </c>
      <c r="T1571" s="18" t="b">
        <v>0</v>
      </c>
      <c r="U1571" s="18" t="s">
        <v>187</v>
      </c>
      <c r="V1571" s="18" t="s">
        <v>40</v>
      </c>
      <c r="W1571" s="18" t="s">
        <v>371</v>
      </c>
      <c r="X1571" s="18" t="s">
        <v>372</v>
      </c>
      <c r="Y1571" s="18">
        <v>1</v>
      </c>
      <c r="Z1571" s="18">
        <v>120000</v>
      </c>
      <c r="AA1571" s="31" t="s">
        <v>1943</v>
      </c>
      <c r="AB1571" s="18" t="s">
        <v>1944</v>
      </c>
      <c r="AC1571" s="18" t="s">
        <v>200</v>
      </c>
    </row>
    <row r="1572" s="18" customFormat="1" spans="1:29">
      <c r="A1572" s="18" t="s">
        <v>3445</v>
      </c>
      <c r="B1572" s="25" t="s">
        <v>3445</v>
      </c>
      <c r="C1572" s="26">
        <v>45706</v>
      </c>
      <c r="D1572" s="18" t="s">
        <v>875</v>
      </c>
      <c r="E1572" s="18" t="str">
        <f t="shared" si="24"/>
        <v>Sajan Power</v>
      </c>
      <c r="F1572" s="27" t="s">
        <v>876</v>
      </c>
      <c r="G1572" s="18" t="s">
        <v>182</v>
      </c>
      <c r="H1572" s="18" t="s">
        <v>183</v>
      </c>
      <c r="I1572" s="18" t="s">
        <v>184</v>
      </c>
      <c r="J1572" s="18" t="s">
        <v>2591</v>
      </c>
      <c r="K1572" s="18" t="s">
        <v>56</v>
      </c>
      <c r="L1572" s="18" t="s">
        <v>36</v>
      </c>
      <c r="N1572" s="18">
        <v>6</v>
      </c>
      <c r="O1572" s="18" t="s">
        <v>88</v>
      </c>
      <c r="P1572" s="18" t="s">
        <v>38</v>
      </c>
      <c r="Q1572" s="18" t="s">
        <v>194</v>
      </c>
      <c r="R1572" s="18" t="s">
        <v>59</v>
      </c>
      <c r="S1572" s="18" t="s">
        <v>195</v>
      </c>
      <c r="T1572" s="18" t="b">
        <v>0</v>
      </c>
      <c r="U1572" s="18" t="s">
        <v>187</v>
      </c>
      <c r="V1572" s="18" t="s">
        <v>40</v>
      </c>
      <c r="W1572" s="18" t="s">
        <v>371</v>
      </c>
      <c r="X1572" s="18" t="s">
        <v>372</v>
      </c>
      <c r="Y1572" s="18">
        <v>1</v>
      </c>
      <c r="Z1572" s="18">
        <v>70000</v>
      </c>
      <c r="AA1572" s="18" t="s">
        <v>3433</v>
      </c>
      <c r="AB1572" s="18" t="s">
        <v>1944</v>
      </c>
      <c r="AC1572" s="18" t="s">
        <v>200</v>
      </c>
    </row>
    <row r="1573" s="18" customFormat="1" ht="29" spans="1:29">
      <c r="A1573" s="18" t="s">
        <v>3446</v>
      </c>
      <c r="B1573" s="25" t="s">
        <v>3446</v>
      </c>
      <c r="C1573" s="26">
        <v>45706</v>
      </c>
      <c r="D1573" s="18" t="s">
        <v>878</v>
      </c>
      <c r="E1573" s="18" t="str">
        <f t="shared" si="24"/>
        <v>Ultimate Source</v>
      </c>
      <c r="F1573" s="27" t="s">
        <v>879</v>
      </c>
      <c r="G1573" s="18" t="s">
        <v>182</v>
      </c>
      <c r="H1573" s="18" t="s">
        <v>183</v>
      </c>
      <c r="I1573" s="18" t="s">
        <v>184</v>
      </c>
      <c r="J1573" s="18" t="s">
        <v>2591</v>
      </c>
      <c r="K1573" s="18" t="s">
        <v>56</v>
      </c>
      <c r="L1573" s="18" t="s">
        <v>36</v>
      </c>
      <c r="N1573" s="18">
        <v>6</v>
      </c>
      <c r="O1573" s="18" t="s">
        <v>88</v>
      </c>
      <c r="P1573" s="18" t="s">
        <v>38</v>
      </c>
      <c r="Q1573" s="18" t="s">
        <v>194</v>
      </c>
      <c r="R1573" s="18" t="s">
        <v>59</v>
      </c>
      <c r="S1573" s="18" t="s">
        <v>195</v>
      </c>
      <c r="T1573" s="18" t="b">
        <v>0</v>
      </c>
      <c r="U1573" s="18" t="s">
        <v>187</v>
      </c>
      <c r="V1573" s="18" t="s">
        <v>40</v>
      </c>
      <c r="W1573" s="18" t="s">
        <v>371</v>
      </c>
      <c r="X1573" s="18" t="s">
        <v>372</v>
      </c>
      <c r="Y1573" s="18">
        <v>1</v>
      </c>
      <c r="Z1573" s="18">
        <v>16000</v>
      </c>
      <c r="AA1573" s="31" t="s">
        <v>1943</v>
      </c>
      <c r="AB1573" s="18" t="s">
        <v>1944</v>
      </c>
      <c r="AC1573" s="18" t="s">
        <v>200</v>
      </c>
    </row>
    <row r="1574" s="18" customFormat="1" ht="29" spans="1:29">
      <c r="A1574" s="18" t="s">
        <v>3447</v>
      </c>
      <c r="B1574" s="25" t="s">
        <v>3447</v>
      </c>
      <c r="C1574" s="26">
        <v>45706</v>
      </c>
      <c r="D1574" s="18" t="s">
        <v>1960</v>
      </c>
      <c r="E1574" s="18" t="str">
        <f t="shared" si="24"/>
        <v>Shree Vision</v>
      </c>
      <c r="F1574" s="27" t="s">
        <v>1961</v>
      </c>
      <c r="G1574" s="18" t="s">
        <v>182</v>
      </c>
      <c r="H1574" s="18" t="s">
        <v>183</v>
      </c>
      <c r="I1574" s="18" t="s">
        <v>184</v>
      </c>
      <c r="J1574" s="18" t="s">
        <v>2591</v>
      </c>
      <c r="K1574" s="18" t="s">
        <v>56</v>
      </c>
      <c r="L1574" s="18" t="s">
        <v>36</v>
      </c>
      <c r="N1574" s="18">
        <v>6</v>
      </c>
      <c r="O1574" s="18" t="s">
        <v>88</v>
      </c>
      <c r="P1574" s="18" t="s">
        <v>38</v>
      </c>
      <c r="Q1574" s="18" t="s">
        <v>194</v>
      </c>
      <c r="R1574" s="18" t="s">
        <v>59</v>
      </c>
      <c r="S1574" s="18" t="s">
        <v>195</v>
      </c>
      <c r="T1574" s="18" t="b">
        <v>0</v>
      </c>
      <c r="U1574" s="18" t="s">
        <v>187</v>
      </c>
      <c r="V1574" s="18" t="s">
        <v>40</v>
      </c>
      <c r="W1574" s="18" t="s">
        <v>990</v>
      </c>
      <c r="X1574" s="18" t="s">
        <v>991</v>
      </c>
      <c r="Y1574" s="18">
        <v>1</v>
      </c>
      <c r="Z1574" s="18">
        <v>3400</v>
      </c>
      <c r="AA1574" s="31" t="s">
        <v>1943</v>
      </c>
      <c r="AB1574" s="18" t="s">
        <v>1944</v>
      </c>
      <c r="AC1574" s="18" t="s">
        <v>200</v>
      </c>
    </row>
    <row r="1575" s="18" customFormat="1" ht="29" spans="1:29">
      <c r="A1575" s="18" t="s">
        <v>3448</v>
      </c>
      <c r="B1575" s="25" t="s">
        <v>3448</v>
      </c>
      <c r="C1575" s="26">
        <v>45706</v>
      </c>
      <c r="D1575" s="18" t="s">
        <v>1941</v>
      </c>
      <c r="E1575" s="18" t="str">
        <f t="shared" si="24"/>
        <v>Woodcraft Production</v>
      </c>
      <c r="F1575" s="27" t="s">
        <v>1942</v>
      </c>
      <c r="G1575" s="18" t="s">
        <v>182</v>
      </c>
      <c r="H1575" s="18" t="s">
        <v>183</v>
      </c>
      <c r="I1575" s="18" t="s">
        <v>184</v>
      </c>
      <c r="J1575" s="18" t="s">
        <v>2277</v>
      </c>
      <c r="K1575" s="18" t="s">
        <v>56</v>
      </c>
      <c r="L1575" s="18" t="s">
        <v>36</v>
      </c>
      <c r="N1575" s="18">
        <v>6</v>
      </c>
      <c r="O1575" s="18" t="s">
        <v>88</v>
      </c>
      <c r="P1575" s="18" t="s">
        <v>38</v>
      </c>
      <c r="Q1575" s="18" t="s">
        <v>194</v>
      </c>
      <c r="R1575" s="18" t="s">
        <v>59</v>
      </c>
      <c r="S1575" s="18" t="s">
        <v>195</v>
      </c>
      <c r="T1575" s="18" t="b">
        <v>0</v>
      </c>
      <c r="U1575" s="18" t="s">
        <v>187</v>
      </c>
      <c r="V1575" s="18" t="s">
        <v>40</v>
      </c>
      <c r="W1575" s="18" t="s">
        <v>151</v>
      </c>
      <c r="X1575" s="18" t="s">
        <v>152</v>
      </c>
      <c r="Y1575" s="18">
        <v>1</v>
      </c>
      <c r="Z1575" s="18">
        <v>7500</v>
      </c>
      <c r="AA1575" s="31" t="s">
        <v>1943</v>
      </c>
      <c r="AB1575" s="18" t="s">
        <v>1944</v>
      </c>
      <c r="AC1575" s="18" t="s">
        <v>200</v>
      </c>
    </row>
    <row r="1576" s="18" customFormat="1" ht="29" spans="1:29">
      <c r="A1576" s="18" t="s">
        <v>3449</v>
      </c>
      <c r="B1576" s="25" t="s">
        <v>3449</v>
      </c>
      <c r="C1576" s="26">
        <v>45706</v>
      </c>
      <c r="D1576" s="18" t="s">
        <v>971</v>
      </c>
      <c r="E1576" s="18" t="str">
        <f t="shared" si="24"/>
        <v>S T Sound System</v>
      </c>
      <c r="F1576" s="27" t="s">
        <v>972</v>
      </c>
      <c r="G1576" s="18" t="s">
        <v>182</v>
      </c>
      <c r="H1576" s="18" t="s">
        <v>183</v>
      </c>
      <c r="I1576" s="18" t="s">
        <v>184</v>
      </c>
      <c r="J1576" s="18" t="s">
        <v>2277</v>
      </c>
      <c r="K1576" s="18" t="s">
        <v>56</v>
      </c>
      <c r="L1576" s="18" t="s">
        <v>36</v>
      </c>
      <c r="N1576" s="18">
        <v>6</v>
      </c>
      <c r="O1576" s="18" t="s">
        <v>57</v>
      </c>
      <c r="P1576" s="18" t="s">
        <v>38</v>
      </c>
      <c r="Q1576" s="18" t="s">
        <v>194</v>
      </c>
      <c r="R1576" s="18" t="s">
        <v>59</v>
      </c>
      <c r="S1576" s="18" t="s">
        <v>195</v>
      </c>
      <c r="T1576" s="18" t="b">
        <v>0</v>
      </c>
      <c r="U1576" s="18" t="s">
        <v>187</v>
      </c>
      <c r="V1576" s="18" t="s">
        <v>40</v>
      </c>
      <c r="W1576" s="18" t="s">
        <v>371</v>
      </c>
      <c r="X1576" s="18" t="s">
        <v>372</v>
      </c>
      <c r="Y1576" s="18">
        <v>1</v>
      </c>
      <c r="Z1576" s="18">
        <v>30000</v>
      </c>
      <c r="AA1576" s="31" t="s">
        <v>1943</v>
      </c>
      <c r="AB1576" s="18" t="s">
        <v>1944</v>
      </c>
      <c r="AC1576" s="18" t="e">
        <v>#N/A</v>
      </c>
    </row>
    <row r="1577" s="18" customFormat="1" ht="29" spans="1:29">
      <c r="A1577" s="18" t="s">
        <v>3450</v>
      </c>
      <c r="B1577" s="25" t="s">
        <v>3450</v>
      </c>
      <c r="C1577" s="26">
        <v>45706</v>
      </c>
      <c r="D1577" s="18" t="s">
        <v>192</v>
      </c>
      <c r="E1577" s="18" t="str">
        <f t="shared" si="24"/>
        <v>Noaman Digital Partnership Firm</v>
      </c>
      <c r="F1577" s="27" t="e">
        <v>#N/A</v>
      </c>
      <c r="G1577" s="18" t="s">
        <v>182</v>
      </c>
      <c r="H1577" s="18" t="s">
        <v>183</v>
      </c>
      <c r="I1577" s="18" t="s">
        <v>184</v>
      </c>
      <c r="J1577" s="18" t="s">
        <v>2277</v>
      </c>
      <c r="K1577" s="18" t="s">
        <v>56</v>
      </c>
      <c r="L1577" s="18" t="s">
        <v>36</v>
      </c>
      <c r="N1577" s="18">
        <v>6</v>
      </c>
      <c r="O1577" s="18" t="s">
        <v>88</v>
      </c>
      <c r="P1577" s="18" t="s">
        <v>38</v>
      </c>
      <c r="Q1577" s="18" t="s">
        <v>194</v>
      </c>
      <c r="R1577" s="18" t="s">
        <v>59</v>
      </c>
      <c r="S1577" s="18" t="s">
        <v>195</v>
      </c>
      <c r="T1577" s="18" t="b">
        <v>0</v>
      </c>
      <c r="U1577" s="18" t="s">
        <v>187</v>
      </c>
      <c r="V1577" s="18" t="s">
        <v>40</v>
      </c>
      <c r="W1577" s="18" t="s">
        <v>196</v>
      </c>
      <c r="X1577" s="18" t="s">
        <v>197</v>
      </c>
      <c r="Y1577" s="18">
        <v>1</v>
      </c>
      <c r="Z1577" s="18">
        <v>4000</v>
      </c>
      <c r="AA1577" s="31" t="s">
        <v>1943</v>
      </c>
      <c r="AB1577" s="18" t="s">
        <v>1944</v>
      </c>
      <c r="AC1577" s="18" t="s">
        <v>200</v>
      </c>
    </row>
    <row r="1578" s="18" customFormat="1" ht="43.5" spans="1:29">
      <c r="A1578" s="18" t="s">
        <v>3451</v>
      </c>
      <c r="B1578" s="25" t="s">
        <v>3451</v>
      </c>
      <c r="C1578" s="26">
        <v>45706</v>
      </c>
      <c r="D1578" s="18" t="s">
        <v>723</v>
      </c>
      <c r="E1578" s="18" t="str">
        <f t="shared" si="24"/>
        <v>Greenix Experience Pvt Ltd</v>
      </c>
      <c r="F1578" s="27" t="s">
        <v>724</v>
      </c>
      <c r="G1578" s="18" t="s">
        <v>182</v>
      </c>
      <c r="H1578" s="18" t="s">
        <v>183</v>
      </c>
      <c r="I1578" s="18" t="s">
        <v>184</v>
      </c>
      <c r="J1578" s="18" t="s">
        <v>3452</v>
      </c>
      <c r="K1578" s="18" t="s">
        <v>56</v>
      </c>
      <c r="L1578" s="18" t="s">
        <v>36</v>
      </c>
      <c r="N1578" s="18">
        <v>6</v>
      </c>
      <c r="O1578" s="18" t="s">
        <v>57</v>
      </c>
      <c r="P1578" s="18" t="s">
        <v>38</v>
      </c>
      <c r="Q1578" s="18" t="s">
        <v>194</v>
      </c>
      <c r="R1578" s="18" t="s">
        <v>59</v>
      </c>
      <c r="S1578" s="18" t="s">
        <v>195</v>
      </c>
      <c r="T1578" s="18" t="b">
        <v>0</v>
      </c>
      <c r="U1578" s="18" t="s">
        <v>187</v>
      </c>
      <c r="V1578" s="18" t="s">
        <v>40</v>
      </c>
      <c r="W1578" s="18" t="s">
        <v>233</v>
      </c>
      <c r="X1578" s="18" t="s">
        <v>234</v>
      </c>
      <c r="Y1578" s="18">
        <v>1</v>
      </c>
      <c r="Z1578" s="18">
        <v>360000</v>
      </c>
      <c r="AA1578" s="31" t="s">
        <v>3220</v>
      </c>
      <c r="AB1578" s="18" t="s">
        <v>737</v>
      </c>
      <c r="AC1578" s="18" t="s">
        <v>216</v>
      </c>
    </row>
    <row r="1579" s="18" customFormat="1" ht="43.5" spans="1:29">
      <c r="A1579" s="18" t="s">
        <v>3453</v>
      </c>
      <c r="B1579" s="25" t="s">
        <v>3453</v>
      </c>
      <c r="C1579" s="26">
        <v>45706</v>
      </c>
      <c r="D1579" s="18" t="s">
        <v>3454</v>
      </c>
      <c r="E1579" s="18" t="str">
        <f t="shared" si="24"/>
        <v>The Westin Pune Koregaon Park (Classic Citi Investments Pvt Ltd)</v>
      </c>
      <c r="F1579" s="27" t="s">
        <v>3455</v>
      </c>
      <c r="G1579" s="18" t="s">
        <v>182</v>
      </c>
      <c r="H1579" s="18" t="s">
        <v>183</v>
      </c>
      <c r="I1579" s="18" t="s">
        <v>184</v>
      </c>
      <c r="J1579" s="18" t="s">
        <v>3452</v>
      </c>
      <c r="K1579" s="18" t="s">
        <v>56</v>
      </c>
      <c r="L1579" s="18" t="s">
        <v>36</v>
      </c>
      <c r="N1579" s="18">
        <v>6</v>
      </c>
      <c r="O1579" s="18" t="s">
        <v>88</v>
      </c>
      <c r="P1579" s="18" t="s">
        <v>38</v>
      </c>
      <c r="Q1579" s="18" t="s">
        <v>194</v>
      </c>
      <c r="R1579" s="18" t="s">
        <v>59</v>
      </c>
      <c r="S1579" s="18" t="s">
        <v>195</v>
      </c>
      <c r="T1579" s="18" t="b">
        <v>0</v>
      </c>
      <c r="U1579" s="18" t="s">
        <v>187</v>
      </c>
      <c r="V1579" s="18" t="s">
        <v>40</v>
      </c>
      <c r="W1579" s="18" t="s">
        <v>1176</v>
      </c>
      <c r="X1579" s="18" t="s">
        <v>1177</v>
      </c>
      <c r="Y1579" s="18">
        <v>1</v>
      </c>
      <c r="Z1579" s="18">
        <v>2000</v>
      </c>
      <c r="AA1579" s="31" t="s">
        <v>3220</v>
      </c>
      <c r="AB1579" s="18" t="s">
        <v>737</v>
      </c>
      <c r="AC1579" s="18" t="s">
        <v>200</v>
      </c>
    </row>
    <row r="1580" s="18" customFormat="1" ht="43.5" spans="1:29">
      <c r="A1580" s="18" t="s">
        <v>3456</v>
      </c>
      <c r="B1580" s="25" t="s">
        <v>3456</v>
      </c>
      <c r="C1580" s="26">
        <v>45706</v>
      </c>
      <c r="D1580" s="18" t="s">
        <v>86</v>
      </c>
      <c r="E1580" s="18" t="str">
        <f t="shared" si="24"/>
        <v>Aaa Rental Llp</v>
      </c>
      <c r="F1580" s="27" t="s">
        <v>87</v>
      </c>
      <c r="G1580" s="18" t="s">
        <v>182</v>
      </c>
      <c r="H1580" s="18" t="s">
        <v>183</v>
      </c>
      <c r="I1580" s="18" t="s">
        <v>184</v>
      </c>
      <c r="J1580" s="18" t="s">
        <v>3123</v>
      </c>
      <c r="K1580" s="18" t="s">
        <v>56</v>
      </c>
      <c r="L1580" s="18" t="s">
        <v>36</v>
      </c>
      <c r="N1580" s="18">
        <v>6</v>
      </c>
      <c r="O1580" s="18" t="s">
        <v>88</v>
      </c>
      <c r="P1580" s="18" t="s">
        <v>38</v>
      </c>
      <c r="Q1580" s="18" t="s">
        <v>194</v>
      </c>
      <c r="R1580" s="18" t="s">
        <v>59</v>
      </c>
      <c r="S1580" s="18" t="s">
        <v>195</v>
      </c>
      <c r="T1580" s="18" t="b">
        <v>0</v>
      </c>
      <c r="U1580" s="18" t="s">
        <v>187</v>
      </c>
      <c r="V1580" s="18" t="s">
        <v>40</v>
      </c>
      <c r="W1580" s="18" t="s">
        <v>990</v>
      </c>
      <c r="X1580" s="18" t="s">
        <v>991</v>
      </c>
      <c r="Y1580" s="18">
        <v>1</v>
      </c>
      <c r="Z1580" s="18">
        <v>24000</v>
      </c>
      <c r="AA1580" s="31" t="s">
        <v>3457</v>
      </c>
      <c r="AB1580" s="18" t="s">
        <v>1973</v>
      </c>
      <c r="AC1580" s="18" t="s">
        <v>200</v>
      </c>
    </row>
    <row r="1581" s="18" customFormat="1" ht="43.5" spans="1:29">
      <c r="A1581" s="18" t="s">
        <v>3458</v>
      </c>
      <c r="B1581" s="25" t="s">
        <v>3458</v>
      </c>
      <c r="C1581" s="26">
        <v>45706</v>
      </c>
      <c r="D1581" s="18" t="s">
        <v>86</v>
      </c>
      <c r="E1581" s="18" t="str">
        <f t="shared" si="24"/>
        <v>Aaa Rental Llp</v>
      </c>
      <c r="F1581" s="27" t="s">
        <v>87</v>
      </c>
      <c r="G1581" s="18" t="s">
        <v>182</v>
      </c>
      <c r="H1581" s="18" t="s">
        <v>183</v>
      </c>
      <c r="I1581" s="18" t="s">
        <v>184</v>
      </c>
      <c r="J1581" s="18" t="s">
        <v>3123</v>
      </c>
      <c r="K1581" s="18" t="s">
        <v>56</v>
      </c>
      <c r="L1581" s="18" t="s">
        <v>36</v>
      </c>
      <c r="N1581" s="18">
        <v>6</v>
      </c>
      <c r="O1581" s="18" t="s">
        <v>88</v>
      </c>
      <c r="P1581" s="18" t="s">
        <v>38</v>
      </c>
      <c r="Q1581" s="18" t="s">
        <v>194</v>
      </c>
      <c r="R1581" s="18" t="s">
        <v>59</v>
      </c>
      <c r="S1581" s="18" t="s">
        <v>195</v>
      </c>
      <c r="T1581" s="18" t="b">
        <v>0</v>
      </c>
      <c r="U1581" s="18" t="s">
        <v>187</v>
      </c>
      <c r="V1581" s="18" t="s">
        <v>40</v>
      </c>
      <c r="W1581" s="18" t="s">
        <v>990</v>
      </c>
      <c r="X1581" s="18" t="s">
        <v>991</v>
      </c>
      <c r="Y1581" s="18">
        <v>1</v>
      </c>
      <c r="Z1581" s="18">
        <v>2000</v>
      </c>
      <c r="AA1581" s="31" t="s">
        <v>3457</v>
      </c>
      <c r="AB1581" s="18" t="s">
        <v>1973</v>
      </c>
      <c r="AC1581" s="18" t="s">
        <v>200</v>
      </c>
    </row>
    <row r="1582" s="18" customFormat="1" spans="1:29">
      <c r="A1582" s="18" t="s">
        <v>3459</v>
      </c>
      <c r="B1582" s="25" t="s">
        <v>3459</v>
      </c>
      <c r="C1582" s="26">
        <v>45706</v>
      </c>
      <c r="D1582" s="18" t="s">
        <v>716</v>
      </c>
      <c r="E1582" s="18" t="str">
        <f t="shared" si="24"/>
        <v>4Brains Technologies Pvt Ltd</v>
      </c>
      <c r="F1582" s="27" t="s">
        <v>717</v>
      </c>
      <c r="G1582" s="18" t="s">
        <v>182</v>
      </c>
      <c r="H1582" s="18" t="s">
        <v>183</v>
      </c>
      <c r="I1582" s="18" t="s">
        <v>207</v>
      </c>
      <c r="J1582" s="18" t="s">
        <v>3002</v>
      </c>
      <c r="K1582" s="18" t="s">
        <v>56</v>
      </c>
      <c r="L1582" s="18" t="s">
        <v>36</v>
      </c>
      <c r="N1582" s="18">
        <v>6</v>
      </c>
      <c r="O1582" s="18" t="s">
        <v>88</v>
      </c>
      <c r="P1582" s="18" t="s">
        <v>38</v>
      </c>
      <c r="Q1582" s="18" t="s">
        <v>58</v>
      </c>
      <c r="R1582" s="18" t="s">
        <v>59</v>
      </c>
      <c r="S1582" s="18" t="s">
        <v>60</v>
      </c>
      <c r="T1582" s="18" t="b">
        <v>0</v>
      </c>
      <c r="U1582" s="18" t="s">
        <v>187</v>
      </c>
      <c r="V1582" s="18" t="s">
        <v>40</v>
      </c>
      <c r="W1582" s="18" t="s">
        <v>233</v>
      </c>
      <c r="X1582" s="18" t="s">
        <v>234</v>
      </c>
      <c r="Y1582" s="18">
        <v>1</v>
      </c>
      <c r="Z1582" s="18">
        <v>60000</v>
      </c>
      <c r="AA1582" s="18" t="s">
        <v>153</v>
      </c>
      <c r="AB1582" s="18" t="s">
        <v>154</v>
      </c>
      <c r="AC1582" s="18" t="s">
        <v>200</v>
      </c>
    </row>
    <row r="1583" s="18" customFormat="1" spans="1:29">
      <c r="A1583" s="18" t="s">
        <v>3460</v>
      </c>
      <c r="B1583" s="25" t="s">
        <v>3460</v>
      </c>
      <c r="C1583" s="26">
        <v>45706</v>
      </c>
      <c r="D1583" s="18" t="s">
        <v>268</v>
      </c>
      <c r="E1583" s="18" t="str">
        <f t="shared" si="24"/>
        <v>Rentastic</v>
      </c>
      <c r="F1583" s="27" t="e">
        <v>#N/A</v>
      </c>
      <c r="G1583" s="18" t="s">
        <v>182</v>
      </c>
      <c r="H1583" s="18" t="s">
        <v>183</v>
      </c>
      <c r="I1583" s="18" t="s">
        <v>34</v>
      </c>
      <c r="J1583" s="18" t="s">
        <v>3443</v>
      </c>
      <c r="K1583" s="18" t="s">
        <v>56</v>
      </c>
      <c r="L1583" s="18" t="s">
        <v>36</v>
      </c>
      <c r="N1583" s="18">
        <v>6</v>
      </c>
      <c r="O1583" s="18" t="s">
        <v>88</v>
      </c>
      <c r="P1583" s="18" t="s">
        <v>38</v>
      </c>
      <c r="Q1583" s="18" t="s">
        <v>117</v>
      </c>
      <c r="R1583" s="18" t="s">
        <v>59</v>
      </c>
      <c r="S1583" s="18" t="s">
        <v>118</v>
      </c>
      <c r="T1583" s="18" t="b">
        <v>0</v>
      </c>
      <c r="U1583" s="18" t="s">
        <v>187</v>
      </c>
      <c r="V1583" s="18" t="s">
        <v>40</v>
      </c>
      <c r="W1583" s="18" t="s">
        <v>151</v>
      </c>
      <c r="X1583" s="18" t="s">
        <v>152</v>
      </c>
      <c r="Y1583" s="18">
        <v>1</v>
      </c>
      <c r="Z1583" s="18">
        <v>33600</v>
      </c>
      <c r="AA1583" s="18" t="s">
        <v>121</v>
      </c>
      <c r="AB1583" s="18" t="s">
        <v>122</v>
      </c>
      <c r="AC1583" s="18" t="s">
        <v>200</v>
      </c>
    </row>
    <row r="1584" s="18" customFormat="1" ht="43.5" spans="1:29">
      <c r="A1584" s="18" t="s">
        <v>3461</v>
      </c>
      <c r="B1584" s="25" t="s">
        <v>3461</v>
      </c>
      <c r="C1584" s="26">
        <v>45706</v>
      </c>
      <c r="D1584" s="18" t="s">
        <v>3462</v>
      </c>
      <c r="E1584" s="18" t="str">
        <f t="shared" si="24"/>
        <v>Parinita Nivrutti Pathare</v>
      </c>
      <c r="F1584" s="27" t="s">
        <v>3463</v>
      </c>
      <c r="G1584" s="18" t="s">
        <v>182</v>
      </c>
      <c r="H1584" s="18" t="s">
        <v>183</v>
      </c>
      <c r="I1584" s="18" t="s">
        <v>184</v>
      </c>
      <c r="J1584" s="18" t="s">
        <v>1491</v>
      </c>
      <c r="K1584" s="18" t="s">
        <v>56</v>
      </c>
      <c r="L1584" s="18" t="s">
        <v>36</v>
      </c>
      <c r="N1584" s="18">
        <v>6</v>
      </c>
      <c r="O1584" s="18" t="s">
        <v>57</v>
      </c>
      <c r="P1584" s="18" t="s">
        <v>38</v>
      </c>
      <c r="Q1584" s="18" t="s">
        <v>194</v>
      </c>
      <c r="R1584" s="18" t="s">
        <v>59</v>
      </c>
      <c r="S1584" s="18" t="s">
        <v>195</v>
      </c>
      <c r="T1584" s="18" t="b">
        <v>0</v>
      </c>
      <c r="U1584" s="18" t="s">
        <v>187</v>
      </c>
      <c r="V1584" s="18" t="s">
        <v>40</v>
      </c>
      <c r="W1584" s="18" t="s">
        <v>292</v>
      </c>
      <c r="X1584" s="18" t="s">
        <v>293</v>
      </c>
      <c r="Y1584" s="18">
        <v>1</v>
      </c>
      <c r="Z1584" s="18">
        <v>202000</v>
      </c>
      <c r="AA1584" s="31" t="s">
        <v>3071</v>
      </c>
      <c r="AB1584" s="18" t="s">
        <v>1554</v>
      </c>
      <c r="AC1584" s="18" t="e">
        <v>#N/A</v>
      </c>
    </row>
    <row r="1585" s="18" customFormat="1" ht="43.5" spans="1:29">
      <c r="A1585" s="18" t="s">
        <v>3464</v>
      </c>
      <c r="B1585" s="25" t="s">
        <v>3464</v>
      </c>
      <c r="C1585" s="26">
        <v>45706</v>
      </c>
      <c r="D1585" s="18" t="s">
        <v>3465</v>
      </c>
      <c r="E1585" s="18" t="str">
        <f t="shared" si="24"/>
        <v>Himanshu Shekhar</v>
      </c>
      <c r="F1585" s="27" t="s">
        <v>3466</v>
      </c>
      <c r="G1585" s="18" t="s">
        <v>182</v>
      </c>
      <c r="H1585" s="18" t="s">
        <v>183</v>
      </c>
      <c r="I1585" s="18" t="s">
        <v>184</v>
      </c>
      <c r="J1585" s="18" t="s">
        <v>1491</v>
      </c>
      <c r="K1585" s="18" t="s">
        <v>56</v>
      </c>
      <c r="L1585" s="18" t="s">
        <v>36</v>
      </c>
      <c r="N1585" s="18">
        <v>6</v>
      </c>
      <c r="O1585" s="18" t="s">
        <v>57</v>
      </c>
      <c r="P1585" s="18" t="s">
        <v>38</v>
      </c>
      <c r="Q1585" s="18" t="s">
        <v>194</v>
      </c>
      <c r="R1585" s="18" t="s">
        <v>59</v>
      </c>
      <c r="S1585" s="18" t="s">
        <v>195</v>
      </c>
      <c r="T1585" s="18" t="b">
        <v>0</v>
      </c>
      <c r="U1585" s="18" t="s">
        <v>187</v>
      </c>
      <c r="V1585" s="18" t="s">
        <v>40</v>
      </c>
      <c r="W1585" s="18" t="s">
        <v>683</v>
      </c>
      <c r="X1585" s="18" t="s">
        <v>684</v>
      </c>
      <c r="Y1585" s="18">
        <v>1</v>
      </c>
      <c r="Z1585" s="18">
        <v>400000</v>
      </c>
      <c r="AA1585" s="31" t="s">
        <v>3071</v>
      </c>
      <c r="AB1585" s="18" t="s">
        <v>1554</v>
      </c>
      <c r="AC1585" s="18" t="s">
        <v>216</v>
      </c>
    </row>
    <row r="1586" s="18" customFormat="1" ht="43.5" spans="1:29">
      <c r="A1586" s="18" t="s">
        <v>3467</v>
      </c>
      <c r="B1586" s="25" t="s">
        <v>3467</v>
      </c>
      <c r="C1586" s="26">
        <v>45706</v>
      </c>
      <c r="D1586" s="18" t="s">
        <v>3468</v>
      </c>
      <c r="E1586" s="18" t="str">
        <f t="shared" si="24"/>
        <v>Dhenuka Jyoti Shekhar</v>
      </c>
      <c r="F1586" s="27" t="s">
        <v>3469</v>
      </c>
      <c r="G1586" s="18" t="s">
        <v>182</v>
      </c>
      <c r="H1586" s="18" t="s">
        <v>183</v>
      </c>
      <c r="I1586" s="18" t="s">
        <v>184</v>
      </c>
      <c r="J1586" s="18" t="s">
        <v>1491</v>
      </c>
      <c r="K1586" s="18" t="s">
        <v>56</v>
      </c>
      <c r="L1586" s="18" t="s">
        <v>36</v>
      </c>
      <c r="N1586" s="18">
        <v>6</v>
      </c>
      <c r="O1586" s="18" t="s">
        <v>57</v>
      </c>
      <c r="P1586" s="18" t="s">
        <v>38</v>
      </c>
      <c r="Q1586" s="18" t="s">
        <v>194</v>
      </c>
      <c r="R1586" s="18" t="s">
        <v>59</v>
      </c>
      <c r="S1586" s="18" t="s">
        <v>195</v>
      </c>
      <c r="T1586" s="18" t="b">
        <v>0</v>
      </c>
      <c r="U1586" s="18" t="s">
        <v>187</v>
      </c>
      <c r="V1586" s="18" t="s">
        <v>40</v>
      </c>
      <c r="W1586" s="18" t="s">
        <v>317</v>
      </c>
      <c r="X1586" s="18" t="s">
        <v>318</v>
      </c>
      <c r="Y1586" s="18">
        <v>1</v>
      </c>
      <c r="Z1586" s="18">
        <v>45000</v>
      </c>
      <c r="AA1586" s="31" t="s">
        <v>3071</v>
      </c>
      <c r="AB1586" s="18" t="s">
        <v>1554</v>
      </c>
      <c r="AC1586" s="18" t="e">
        <v>#N/A</v>
      </c>
    </row>
    <row r="1587" s="18" customFormat="1" ht="43.5" spans="1:29">
      <c r="A1587" s="18" t="s">
        <v>3470</v>
      </c>
      <c r="B1587" s="25" t="s">
        <v>3470</v>
      </c>
      <c r="C1587" s="26">
        <v>45706</v>
      </c>
      <c r="D1587" s="18" t="s">
        <v>2089</v>
      </c>
      <c r="E1587" s="18" t="str">
        <f t="shared" si="24"/>
        <v>Twintech Entertainment LLP</v>
      </c>
      <c r="F1587" s="27" t="s">
        <v>2090</v>
      </c>
      <c r="G1587" s="18" t="s">
        <v>182</v>
      </c>
      <c r="H1587" s="18" t="s">
        <v>183</v>
      </c>
      <c r="I1587" s="18" t="s">
        <v>184</v>
      </c>
      <c r="J1587" s="18" t="s">
        <v>2319</v>
      </c>
      <c r="K1587" s="18" t="s">
        <v>56</v>
      </c>
      <c r="L1587" s="18" t="s">
        <v>36</v>
      </c>
      <c r="N1587" s="18">
        <v>6</v>
      </c>
      <c r="O1587" s="18" t="s">
        <v>57</v>
      </c>
      <c r="P1587" s="18" t="s">
        <v>38</v>
      </c>
      <c r="Q1587" s="18" t="s">
        <v>194</v>
      </c>
      <c r="R1587" s="18" t="s">
        <v>59</v>
      </c>
      <c r="S1587" s="18" t="s">
        <v>195</v>
      </c>
      <c r="T1587" s="18" t="b">
        <v>0</v>
      </c>
      <c r="U1587" s="18" t="s">
        <v>187</v>
      </c>
      <c r="V1587" s="18" t="s">
        <v>40</v>
      </c>
      <c r="W1587" s="18" t="s">
        <v>250</v>
      </c>
      <c r="X1587" s="18" t="s">
        <v>251</v>
      </c>
      <c r="Y1587" s="18">
        <v>1</v>
      </c>
      <c r="Z1587" s="18">
        <v>25000</v>
      </c>
      <c r="AA1587" s="31" t="s">
        <v>3071</v>
      </c>
      <c r="AB1587" s="18" t="s">
        <v>1554</v>
      </c>
      <c r="AC1587" s="18" t="e">
        <v>#N/A</v>
      </c>
    </row>
    <row r="1588" s="18" customFormat="1" ht="43.5" spans="1:29">
      <c r="A1588" s="18" t="s">
        <v>3471</v>
      </c>
      <c r="B1588" s="25" t="s">
        <v>3471</v>
      </c>
      <c r="C1588" s="26">
        <v>45706</v>
      </c>
      <c r="D1588" s="18" t="s">
        <v>3472</v>
      </c>
      <c r="E1588" s="18" t="str">
        <f t="shared" si="24"/>
        <v>Yash Shah</v>
      </c>
      <c r="F1588" s="27" t="s">
        <v>3473</v>
      </c>
      <c r="G1588" s="18" t="s">
        <v>182</v>
      </c>
      <c r="H1588" s="18" t="s">
        <v>183</v>
      </c>
      <c r="I1588" s="18" t="s">
        <v>184</v>
      </c>
      <c r="J1588" s="18" t="s">
        <v>2319</v>
      </c>
      <c r="K1588" s="18" t="s">
        <v>56</v>
      </c>
      <c r="L1588" s="18" t="s">
        <v>36</v>
      </c>
      <c r="N1588" s="18">
        <v>6</v>
      </c>
      <c r="O1588" s="18" t="s">
        <v>57</v>
      </c>
      <c r="P1588" s="18" t="s">
        <v>38</v>
      </c>
      <c r="Q1588" s="18" t="s">
        <v>194</v>
      </c>
      <c r="R1588" s="18" t="s">
        <v>59</v>
      </c>
      <c r="S1588" s="18" t="s">
        <v>195</v>
      </c>
      <c r="T1588" s="18" t="b">
        <v>0</v>
      </c>
      <c r="U1588" s="18" t="s">
        <v>187</v>
      </c>
      <c r="V1588" s="18" t="s">
        <v>40</v>
      </c>
      <c r="W1588" s="18" t="s">
        <v>347</v>
      </c>
      <c r="X1588" s="18" t="s">
        <v>348</v>
      </c>
      <c r="Y1588" s="18">
        <v>1</v>
      </c>
      <c r="Z1588" s="18">
        <v>75000</v>
      </c>
      <c r="AA1588" s="31" t="s">
        <v>3071</v>
      </c>
      <c r="AB1588" s="18" t="s">
        <v>1554</v>
      </c>
      <c r="AC1588" s="18" t="e">
        <v>#N/A</v>
      </c>
    </row>
    <row r="1589" s="18" customFormat="1" ht="43.5" spans="1:29">
      <c r="A1589" s="18" t="s">
        <v>3474</v>
      </c>
      <c r="B1589" s="25" t="s">
        <v>3474</v>
      </c>
      <c r="C1589" s="26">
        <v>45706</v>
      </c>
      <c r="D1589" s="18" t="s">
        <v>3475</v>
      </c>
      <c r="E1589" s="18" t="str">
        <f t="shared" si="24"/>
        <v>Crystal Art Plus</v>
      </c>
      <c r="F1589" s="27" t="s">
        <v>3476</v>
      </c>
      <c r="G1589" s="18" t="s">
        <v>182</v>
      </c>
      <c r="H1589" s="18" t="s">
        <v>183</v>
      </c>
      <c r="I1589" s="18" t="s">
        <v>184</v>
      </c>
      <c r="J1589" s="18" t="s">
        <v>1995</v>
      </c>
      <c r="K1589" s="18" t="s">
        <v>56</v>
      </c>
      <c r="L1589" s="18" t="s">
        <v>36</v>
      </c>
      <c r="N1589" s="18">
        <v>6</v>
      </c>
      <c r="O1589" s="18" t="s">
        <v>88</v>
      </c>
      <c r="P1589" s="18" t="s">
        <v>38</v>
      </c>
      <c r="Q1589" s="18" t="s">
        <v>194</v>
      </c>
      <c r="R1589" s="18" t="s">
        <v>59</v>
      </c>
      <c r="S1589" s="18" t="s">
        <v>195</v>
      </c>
      <c r="T1589" s="18" t="b">
        <v>0</v>
      </c>
      <c r="U1589" s="18" t="s">
        <v>187</v>
      </c>
      <c r="V1589" s="18" t="s">
        <v>40</v>
      </c>
      <c r="W1589" s="18" t="s">
        <v>140</v>
      </c>
      <c r="X1589" s="18" t="s">
        <v>141</v>
      </c>
      <c r="Y1589" s="18">
        <v>1</v>
      </c>
      <c r="Z1589" s="18">
        <v>18200</v>
      </c>
      <c r="AA1589" s="31" t="s">
        <v>2918</v>
      </c>
      <c r="AB1589" s="18" t="s">
        <v>963</v>
      </c>
      <c r="AC1589" s="18" t="s">
        <v>582</v>
      </c>
    </row>
    <row r="1590" s="18" customFormat="1" ht="43.5" spans="1:29">
      <c r="A1590" s="18" t="s">
        <v>3477</v>
      </c>
      <c r="B1590" s="25" t="s">
        <v>3477</v>
      </c>
      <c r="C1590" s="26">
        <v>45706</v>
      </c>
      <c r="D1590" s="18" t="s">
        <v>3478</v>
      </c>
      <c r="E1590" s="18" t="str">
        <f t="shared" si="24"/>
        <v>Taal</v>
      </c>
      <c r="F1590" s="27" t="e">
        <v>#N/A</v>
      </c>
      <c r="G1590" s="18" t="s">
        <v>182</v>
      </c>
      <c r="H1590" s="18" t="s">
        <v>183</v>
      </c>
      <c r="I1590" s="18" t="s">
        <v>184</v>
      </c>
      <c r="J1590" s="18" t="s">
        <v>3479</v>
      </c>
      <c r="K1590" s="18" t="s">
        <v>56</v>
      </c>
      <c r="L1590" s="18" t="s">
        <v>36</v>
      </c>
      <c r="N1590" s="18">
        <v>6</v>
      </c>
      <c r="O1590" s="18" t="s">
        <v>57</v>
      </c>
      <c r="P1590" s="18" t="s">
        <v>38</v>
      </c>
      <c r="Q1590" s="18" t="s">
        <v>194</v>
      </c>
      <c r="R1590" s="18" t="s">
        <v>59</v>
      </c>
      <c r="S1590" s="18" t="s">
        <v>195</v>
      </c>
      <c r="T1590" s="18" t="b">
        <v>0</v>
      </c>
      <c r="U1590" s="18" t="s">
        <v>187</v>
      </c>
      <c r="V1590" s="18" t="s">
        <v>40</v>
      </c>
      <c r="W1590" s="18" t="s">
        <v>250</v>
      </c>
      <c r="X1590" s="18" t="s">
        <v>251</v>
      </c>
      <c r="Y1590" s="18">
        <v>1</v>
      </c>
      <c r="Z1590" s="18">
        <v>100000</v>
      </c>
      <c r="AA1590" s="31" t="s">
        <v>2933</v>
      </c>
      <c r="AB1590" s="18" t="s">
        <v>1566</v>
      </c>
      <c r="AC1590" s="18" t="e">
        <v>#N/A</v>
      </c>
    </row>
    <row r="1591" s="18" customFormat="1" spans="1:29">
      <c r="A1591" s="18" t="s">
        <v>3480</v>
      </c>
      <c r="B1591" s="25" t="s">
        <v>3480</v>
      </c>
      <c r="C1591" s="26">
        <v>45706</v>
      </c>
      <c r="D1591" s="18" t="s">
        <v>3481</v>
      </c>
      <c r="E1591" s="18" t="str">
        <f t="shared" si="24"/>
        <v>Atish Pawar  </v>
      </c>
      <c r="F1591" s="27" t="e">
        <v>#N/A</v>
      </c>
      <c r="G1591" s="18" t="s">
        <v>182</v>
      </c>
      <c r="H1591" s="18" t="s">
        <v>183</v>
      </c>
      <c r="I1591" s="18" t="s">
        <v>481</v>
      </c>
      <c r="J1591" s="18" t="s">
        <v>2707</v>
      </c>
      <c r="K1591" s="18" t="s">
        <v>56</v>
      </c>
      <c r="L1591" s="18" t="s">
        <v>36</v>
      </c>
      <c r="N1591" s="18">
        <v>6</v>
      </c>
      <c r="O1591" s="18" t="s">
        <v>93</v>
      </c>
      <c r="P1591" s="18" t="s">
        <v>38</v>
      </c>
      <c r="Q1591" s="18" t="s">
        <v>194</v>
      </c>
      <c r="R1591" s="18" t="s">
        <v>59</v>
      </c>
      <c r="S1591" s="18" t="s">
        <v>195</v>
      </c>
      <c r="T1591" s="18" t="b">
        <v>0</v>
      </c>
      <c r="U1591" s="18" t="s">
        <v>187</v>
      </c>
      <c r="V1591" s="18" t="s">
        <v>40</v>
      </c>
      <c r="W1591" s="18" t="s">
        <v>126</v>
      </c>
      <c r="X1591" s="18" t="s">
        <v>127</v>
      </c>
      <c r="Y1591" s="18">
        <v>1</v>
      </c>
      <c r="Z1591" s="18">
        <v>596</v>
      </c>
      <c r="AC1591" s="18" t="e">
        <v>#N/A</v>
      </c>
    </row>
    <row r="1592" s="18" customFormat="1" spans="1:29">
      <c r="A1592" s="18" t="s">
        <v>3482</v>
      </c>
      <c r="B1592" s="25" t="s">
        <v>3482</v>
      </c>
      <c r="C1592" s="26">
        <v>45706</v>
      </c>
      <c r="D1592" s="18" t="s">
        <v>2329</v>
      </c>
      <c r="E1592" s="18" t="str">
        <f t="shared" si="24"/>
        <v>Aalhad Bavkar  </v>
      </c>
      <c r="F1592" s="27" t="e">
        <v>#N/A</v>
      </c>
      <c r="G1592" s="18" t="s">
        <v>182</v>
      </c>
      <c r="H1592" s="18" t="s">
        <v>183</v>
      </c>
      <c r="I1592" s="18" t="s">
        <v>481</v>
      </c>
      <c r="J1592" s="18" t="s">
        <v>2319</v>
      </c>
      <c r="K1592" s="18" t="s">
        <v>56</v>
      </c>
      <c r="L1592" s="18" t="s">
        <v>36</v>
      </c>
      <c r="N1592" s="18">
        <v>6</v>
      </c>
      <c r="O1592" s="18" t="s">
        <v>93</v>
      </c>
      <c r="P1592" s="18" t="s">
        <v>38</v>
      </c>
      <c r="Q1592" s="18" t="s">
        <v>194</v>
      </c>
      <c r="R1592" s="18" t="s">
        <v>59</v>
      </c>
      <c r="S1592" s="18" t="s">
        <v>195</v>
      </c>
      <c r="T1592" s="18" t="b">
        <v>0</v>
      </c>
      <c r="U1592" s="18" t="s">
        <v>187</v>
      </c>
      <c r="V1592" s="18" t="s">
        <v>40</v>
      </c>
      <c r="W1592" s="18" t="s">
        <v>126</v>
      </c>
      <c r="X1592" s="18" t="s">
        <v>127</v>
      </c>
      <c r="Y1592" s="18">
        <v>1</v>
      </c>
      <c r="Z1592" s="18">
        <v>345</v>
      </c>
      <c r="AC1592" s="18" t="e">
        <v>#N/A</v>
      </c>
    </row>
    <row r="1593" s="18" customFormat="1" spans="1:29">
      <c r="A1593" s="18" t="s">
        <v>3483</v>
      </c>
      <c r="B1593" s="25" t="s">
        <v>3483</v>
      </c>
      <c r="C1593" s="26">
        <v>45706</v>
      </c>
      <c r="D1593" s="18" t="s">
        <v>1052</v>
      </c>
      <c r="E1593" s="18" t="str">
        <f t="shared" si="24"/>
        <v>Sachin Jadhav </v>
      </c>
      <c r="F1593" s="27" t="e">
        <v>#N/A</v>
      </c>
      <c r="G1593" s="18" t="s">
        <v>182</v>
      </c>
      <c r="H1593" s="18" t="s">
        <v>183</v>
      </c>
      <c r="I1593" s="18" t="s">
        <v>481</v>
      </c>
      <c r="J1593" s="18" t="s">
        <v>1968</v>
      </c>
      <c r="K1593" s="18" t="s">
        <v>56</v>
      </c>
      <c r="L1593" s="18" t="s">
        <v>36</v>
      </c>
      <c r="N1593" s="18">
        <v>6</v>
      </c>
      <c r="O1593" s="18" t="s">
        <v>93</v>
      </c>
      <c r="P1593" s="18" t="s">
        <v>38</v>
      </c>
      <c r="Q1593" s="18" t="s">
        <v>194</v>
      </c>
      <c r="R1593" s="18" t="s">
        <v>59</v>
      </c>
      <c r="S1593" s="18" t="s">
        <v>195</v>
      </c>
      <c r="T1593" s="18" t="b">
        <v>0</v>
      </c>
      <c r="U1593" s="18" t="s">
        <v>187</v>
      </c>
      <c r="V1593" s="18" t="s">
        <v>40</v>
      </c>
      <c r="W1593" s="18" t="s">
        <v>317</v>
      </c>
      <c r="X1593" s="18" t="s">
        <v>318</v>
      </c>
      <c r="Y1593" s="18">
        <v>1</v>
      </c>
      <c r="Z1593" s="18">
        <v>240</v>
      </c>
      <c r="AC1593" s="18" t="e">
        <v>#N/A</v>
      </c>
    </row>
    <row r="1594" s="18" customFormat="1" ht="43.5" spans="1:29">
      <c r="A1594" s="18" t="s">
        <v>3484</v>
      </c>
      <c r="B1594" s="25" t="s">
        <v>3484</v>
      </c>
      <c r="C1594" s="26">
        <v>45706</v>
      </c>
      <c r="D1594" s="18" t="s">
        <v>2833</v>
      </c>
      <c r="E1594" s="18" t="str">
        <f t="shared" si="24"/>
        <v>End To End Solution</v>
      </c>
      <c r="F1594" s="27" t="e">
        <v>#N/A</v>
      </c>
      <c r="G1594" s="18" t="s">
        <v>182</v>
      </c>
      <c r="H1594" s="18" t="s">
        <v>183</v>
      </c>
      <c r="I1594" s="18" t="s">
        <v>184</v>
      </c>
      <c r="J1594" s="18" t="s">
        <v>3114</v>
      </c>
      <c r="K1594" s="18" t="s">
        <v>56</v>
      </c>
      <c r="L1594" s="18" t="s">
        <v>36</v>
      </c>
      <c r="N1594" s="18">
        <v>6</v>
      </c>
      <c r="O1594" s="18" t="s">
        <v>88</v>
      </c>
      <c r="P1594" s="18" t="s">
        <v>38</v>
      </c>
      <c r="Q1594" s="18" t="s">
        <v>194</v>
      </c>
      <c r="R1594" s="18" t="s">
        <v>59</v>
      </c>
      <c r="S1594" s="18" t="s">
        <v>195</v>
      </c>
      <c r="T1594" s="18" t="b">
        <v>0</v>
      </c>
      <c r="U1594" s="18" t="s">
        <v>187</v>
      </c>
      <c r="V1594" s="18" t="s">
        <v>40</v>
      </c>
      <c r="W1594" s="18" t="s">
        <v>317</v>
      </c>
      <c r="X1594" s="18" t="s">
        <v>318</v>
      </c>
      <c r="Y1594" s="18">
        <v>1</v>
      </c>
      <c r="Z1594" s="18">
        <v>20000</v>
      </c>
      <c r="AA1594" s="31" t="s">
        <v>3266</v>
      </c>
      <c r="AB1594" s="18" t="s">
        <v>985</v>
      </c>
      <c r="AC1594" s="18" t="s">
        <v>200</v>
      </c>
    </row>
    <row r="1595" s="18" customFormat="1" ht="43.5" spans="1:29">
      <c r="A1595" s="18" t="s">
        <v>3485</v>
      </c>
      <c r="B1595" s="25" t="s">
        <v>3485</v>
      </c>
      <c r="C1595" s="26">
        <v>45706</v>
      </c>
      <c r="D1595" s="18" t="s">
        <v>264</v>
      </c>
      <c r="E1595" s="18" t="str">
        <f t="shared" si="24"/>
        <v>The Indian Performing Right Society Ltd.</v>
      </c>
      <c r="F1595" s="27" t="e">
        <v>#N/A</v>
      </c>
      <c r="G1595" s="18" t="s">
        <v>182</v>
      </c>
      <c r="H1595" s="18" t="s">
        <v>183</v>
      </c>
      <c r="I1595" s="18" t="s">
        <v>184</v>
      </c>
      <c r="J1595" s="18" t="s">
        <v>3443</v>
      </c>
      <c r="K1595" s="18" t="s">
        <v>56</v>
      </c>
      <c r="L1595" s="18" t="s">
        <v>36</v>
      </c>
      <c r="N1595" s="18">
        <v>6</v>
      </c>
      <c r="O1595" s="18" t="s">
        <v>57</v>
      </c>
      <c r="P1595" s="18" t="s">
        <v>38</v>
      </c>
      <c r="Q1595" s="18" t="s">
        <v>117</v>
      </c>
      <c r="R1595" s="18" t="s">
        <v>59</v>
      </c>
      <c r="S1595" s="18" t="s">
        <v>118</v>
      </c>
      <c r="T1595" s="18" t="b">
        <v>0</v>
      </c>
      <c r="U1595" s="18" t="s">
        <v>187</v>
      </c>
      <c r="V1595" s="18" t="s">
        <v>40</v>
      </c>
      <c r="W1595" s="18" t="s">
        <v>256</v>
      </c>
      <c r="X1595" s="18" t="s">
        <v>257</v>
      </c>
      <c r="Y1595" s="18">
        <v>1</v>
      </c>
      <c r="Z1595" s="18">
        <v>60000</v>
      </c>
      <c r="AA1595" s="31" t="s">
        <v>2834</v>
      </c>
      <c r="AB1595" s="18" t="s">
        <v>259</v>
      </c>
      <c r="AC1595" s="18" t="s">
        <v>200</v>
      </c>
    </row>
    <row r="1596" s="18" customFormat="1" ht="43.5" spans="1:29">
      <c r="A1596" s="18" t="s">
        <v>3486</v>
      </c>
      <c r="B1596" s="25" t="s">
        <v>3486</v>
      </c>
      <c r="C1596" s="26">
        <v>45706</v>
      </c>
      <c r="D1596" s="18" t="s">
        <v>2003</v>
      </c>
      <c r="E1596" s="18" t="str">
        <f t="shared" ref="E1596:E1659" si="25">_xlfn.TEXTBEFORE(D1596,"-")</f>
        <v>Vista Services (Sainath Govind Shirke)</v>
      </c>
      <c r="F1596" s="27" t="s">
        <v>2004</v>
      </c>
      <c r="G1596" s="18" t="s">
        <v>182</v>
      </c>
      <c r="H1596" s="18" t="s">
        <v>183</v>
      </c>
      <c r="I1596" s="18" t="s">
        <v>184</v>
      </c>
      <c r="J1596" s="18" t="s">
        <v>3443</v>
      </c>
      <c r="K1596" s="18" t="s">
        <v>56</v>
      </c>
      <c r="L1596" s="18" t="s">
        <v>36</v>
      </c>
      <c r="N1596" s="18">
        <v>6</v>
      </c>
      <c r="O1596" s="18" t="s">
        <v>57</v>
      </c>
      <c r="P1596" s="18" t="s">
        <v>38</v>
      </c>
      <c r="Q1596" s="18" t="s">
        <v>117</v>
      </c>
      <c r="R1596" s="18" t="s">
        <v>59</v>
      </c>
      <c r="S1596" s="18" t="s">
        <v>118</v>
      </c>
      <c r="T1596" s="18" t="b">
        <v>0</v>
      </c>
      <c r="U1596" s="18" t="s">
        <v>187</v>
      </c>
      <c r="V1596" s="18" t="s">
        <v>40</v>
      </c>
      <c r="W1596" s="18" t="s">
        <v>256</v>
      </c>
      <c r="X1596" s="18" t="s">
        <v>257</v>
      </c>
      <c r="Y1596" s="18">
        <v>1</v>
      </c>
      <c r="Z1596" s="18">
        <v>16000</v>
      </c>
      <c r="AA1596" s="31" t="s">
        <v>2834</v>
      </c>
      <c r="AB1596" s="18" t="s">
        <v>259</v>
      </c>
      <c r="AC1596" s="18" t="s">
        <v>200</v>
      </c>
    </row>
    <row r="1597" s="18" customFormat="1" ht="43.5" spans="1:29">
      <c r="A1597" s="18" t="s">
        <v>3487</v>
      </c>
      <c r="B1597" s="25" t="s">
        <v>3487</v>
      </c>
      <c r="C1597" s="26">
        <v>45706</v>
      </c>
      <c r="D1597" s="18" t="s">
        <v>957</v>
      </c>
      <c r="E1597" s="18" t="str">
        <f t="shared" si="25"/>
        <v>Artiligent Solutions Pvt Ltd</v>
      </c>
      <c r="F1597" s="27" t="s">
        <v>958</v>
      </c>
      <c r="G1597" s="18" t="s">
        <v>182</v>
      </c>
      <c r="H1597" s="18" t="s">
        <v>183</v>
      </c>
      <c r="I1597" s="18" t="s">
        <v>184</v>
      </c>
      <c r="J1597" s="18" t="s">
        <v>3299</v>
      </c>
      <c r="K1597" s="18" t="s">
        <v>56</v>
      </c>
      <c r="L1597" s="18" t="s">
        <v>36</v>
      </c>
      <c r="N1597" s="18">
        <v>6</v>
      </c>
      <c r="O1597" s="18" t="s">
        <v>88</v>
      </c>
      <c r="P1597" s="18" t="s">
        <v>38</v>
      </c>
      <c r="Q1597" s="18" t="s">
        <v>194</v>
      </c>
      <c r="R1597" s="18" t="s">
        <v>59</v>
      </c>
      <c r="S1597" s="18" t="s">
        <v>195</v>
      </c>
      <c r="T1597" s="18" t="b">
        <v>0</v>
      </c>
      <c r="U1597" s="18" t="s">
        <v>187</v>
      </c>
      <c r="V1597" s="18" t="s">
        <v>40</v>
      </c>
      <c r="W1597" s="18" t="s">
        <v>371</v>
      </c>
      <c r="X1597" s="18" t="s">
        <v>372</v>
      </c>
      <c r="Y1597" s="18">
        <v>1</v>
      </c>
      <c r="Z1597" s="18">
        <v>250000</v>
      </c>
      <c r="AA1597" s="31" t="s">
        <v>3069</v>
      </c>
      <c r="AB1597" s="18" t="s">
        <v>1457</v>
      </c>
      <c r="AC1597" s="18" t="s">
        <v>200</v>
      </c>
    </row>
    <row r="1598" s="18" customFormat="1" ht="43.5" spans="1:29">
      <c r="A1598" s="18" t="s">
        <v>3488</v>
      </c>
      <c r="B1598" s="25" t="s">
        <v>3488</v>
      </c>
      <c r="C1598" s="26">
        <v>45706</v>
      </c>
      <c r="D1598" s="18" t="s">
        <v>3489</v>
      </c>
      <c r="E1598" s="18" t="str">
        <f t="shared" si="25"/>
        <v>Adsmn Interactive Pvt Ltd</v>
      </c>
      <c r="F1598" s="27" t="s">
        <v>3490</v>
      </c>
      <c r="G1598" s="18" t="s">
        <v>182</v>
      </c>
      <c r="H1598" s="18" t="s">
        <v>183</v>
      </c>
      <c r="I1598" s="18" t="s">
        <v>184</v>
      </c>
      <c r="J1598" s="18" t="s">
        <v>1968</v>
      </c>
      <c r="K1598" s="18" t="s">
        <v>56</v>
      </c>
      <c r="L1598" s="18" t="s">
        <v>36</v>
      </c>
      <c r="N1598" s="18">
        <v>6</v>
      </c>
      <c r="O1598" s="18" t="s">
        <v>88</v>
      </c>
      <c r="P1598" s="18" t="s">
        <v>38</v>
      </c>
      <c r="Q1598" s="18" t="s">
        <v>194</v>
      </c>
      <c r="R1598" s="18" t="s">
        <v>59</v>
      </c>
      <c r="S1598" s="18" t="s">
        <v>195</v>
      </c>
      <c r="T1598" s="18" t="b">
        <v>0</v>
      </c>
      <c r="U1598" s="18" t="s">
        <v>187</v>
      </c>
      <c r="V1598" s="18" t="s">
        <v>40</v>
      </c>
      <c r="W1598" s="18" t="s">
        <v>371</v>
      </c>
      <c r="X1598" s="18" t="s">
        <v>372</v>
      </c>
      <c r="Y1598" s="18">
        <v>1</v>
      </c>
      <c r="Z1598" s="18">
        <v>67050</v>
      </c>
      <c r="AA1598" s="31" t="s">
        <v>2951</v>
      </c>
      <c r="AB1598" s="18" t="s">
        <v>1228</v>
      </c>
      <c r="AC1598" s="18" t="s">
        <v>200</v>
      </c>
    </row>
    <row r="1599" s="18" customFormat="1" spans="1:29">
      <c r="A1599" s="18" t="s">
        <v>3491</v>
      </c>
      <c r="B1599" s="25" t="s">
        <v>3491</v>
      </c>
      <c r="C1599" s="26">
        <v>45706</v>
      </c>
      <c r="D1599" s="18" t="s">
        <v>3492</v>
      </c>
      <c r="E1599" s="18" t="str">
        <f t="shared" si="25"/>
        <v>Benchmark Marcom Pvt Ltd (OPC)</v>
      </c>
      <c r="F1599" s="27" t="s">
        <v>3493</v>
      </c>
      <c r="G1599" s="18" t="s">
        <v>182</v>
      </c>
      <c r="H1599" s="18" t="s">
        <v>183</v>
      </c>
      <c r="I1599" s="18" t="s">
        <v>54</v>
      </c>
      <c r="J1599" s="18" t="s">
        <v>1238</v>
      </c>
      <c r="K1599" s="18" t="s">
        <v>56</v>
      </c>
      <c r="L1599" s="18" t="s">
        <v>36</v>
      </c>
      <c r="N1599" s="18">
        <v>6</v>
      </c>
      <c r="O1599" s="18" t="s">
        <v>88</v>
      </c>
      <c r="P1599" s="18" t="s">
        <v>38</v>
      </c>
      <c r="Q1599" s="18" t="s">
        <v>58</v>
      </c>
      <c r="R1599" s="18" t="s">
        <v>59</v>
      </c>
      <c r="S1599" s="18" t="s">
        <v>60</v>
      </c>
      <c r="T1599" s="18" t="b">
        <v>0</v>
      </c>
      <c r="U1599" s="18" t="s">
        <v>187</v>
      </c>
      <c r="V1599" s="18" t="s">
        <v>40</v>
      </c>
      <c r="W1599" s="18" t="s">
        <v>317</v>
      </c>
      <c r="X1599" s="18" t="s">
        <v>318</v>
      </c>
      <c r="Y1599" s="18">
        <v>1</v>
      </c>
      <c r="Z1599" s="18">
        <v>190000</v>
      </c>
      <c r="AA1599" s="18" t="s">
        <v>2549</v>
      </c>
      <c r="AB1599" s="18" t="s">
        <v>2550</v>
      </c>
      <c r="AC1599" s="18" t="s">
        <v>200</v>
      </c>
    </row>
    <row r="1600" s="18" customFormat="1" spans="1:29">
      <c r="A1600" s="18" t="s">
        <v>3494</v>
      </c>
      <c r="B1600" s="25" t="s">
        <v>3494</v>
      </c>
      <c r="C1600" s="26">
        <v>45707</v>
      </c>
      <c r="D1600" s="18" t="s">
        <v>3318</v>
      </c>
      <c r="E1600" s="18" t="str">
        <f t="shared" si="25"/>
        <v>Narsingh Events Pvt Ltd</v>
      </c>
      <c r="F1600" s="27" t="s">
        <v>3319</v>
      </c>
      <c r="G1600" s="18" t="s">
        <v>32</v>
      </c>
      <c r="H1600" s="18" t="s">
        <v>33</v>
      </c>
      <c r="I1600" s="18" t="s">
        <v>1246</v>
      </c>
      <c r="J1600" s="18" t="s">
        <v>2613</v>
      </c>
      <c r="K1600" s="18" t="s">
        <v>56</v>
      </c>
      <c r="L1600" s="18" t="s">
        <v>36</v>
      </c>
      <c r="N1600" s="18">
        <v>6</v>
      </c>
      <c r="O1600" s="18" t="s">
        <v>88</v>
      </c>
      <c r="P1600" s="18" t="s">
        <v>38</v>
      </c>
      <c r="Q1600" s="18" t="s">
        <v>117</v>
      </c>
      <c r="R1600" s="18" t="s">
        <v>59</v>
      </c>
      <c r="S1600" s="18" t="s">
        <v>118</v>
      </c>
      <c r="T1600" s="18" t="b">
        <v>1</v>
      </c>
      <c r="U1600" s="18" t="s">
        <v>39</v>
      </c>
      <c r="V1600" s="18" t="s">
        <v>40</v>
      </c>
      <c r="W1600" s="18" t="s">
        <v>151</v>
      </c>
      <c r="X1600" s="18" t="s">
        <v>152</v>
      </c>
      <c r="Y1600" s="18">
        <v>1</v>
      </c>
      <c r="Z1600" s="18">
        <v>17000</v>
      </c>
      <c r="AA1600" s="18" t="s">
        <v>1330</v>
      </c>
      <c r="AB1600" s="18" t="s">
        <v>1331</v>
      </c>
      <c r="AC1600" s="18" t="s">
        <v>43</v>
      </c>
    </row>
    <row r="1601" s="18" customFormat="1" spans="1:29">
      <c r="A1601" s="18" t="s">
        <v>3495</v>
      </c>
      <c r="B1601" s="25" t="s">
        <v>3495</v>
      </c>
      <c r="C1601" s="26">
        <v>45707</v>
      </c>
      <c r="D1601" s="18" t="s">
        <v>628</v>
      </c>
      <c r="E1601" s="18" t="str">
        <f t="shared" si="25"/>
        <v>New Print House</v>
      </c>
      <c r="F1601" s="27" t="s">
        <v>629</v>
      </c>
      <c r="G1601" s="18" t="s">
        <v>32</v>
      </c>
      <c r="H1601" s="18" t="s">
        <v>33</v>
      </c>
      <c r="I1601" s="18" t="s">
        <v>1246</v>
      </c>
      <c r="J1601" s="18" t="s">
        <v>2613</v>
      </c>
      <c r="K1601" s="18" t="s">
        <v>56</v>
      </c>
      <c r="L1601" s="18" t="s">
        <v>36</v>
      </c>
      <c r="N1601" s="18">
        <v>6</v>
      </c>
      <c r="O1601" s="18" t="s">
        <v>88</v>
      </c>
      <c r="P1601" s="18" t="s">
        <v>38</v>
      </c>
      <c r="Q1601" s="18" t="s">
        <v>117</v>
      </c>
      <c r="R1601" s="18" t="s">
        <v>59</v>
      </c>
      <c r="S1601" s="18" t="s">
        <v>118</v>
      </c>
      <c r="T1601" s="18" t="b">
        <v>1</v>
      </c>
      <c r="U1601" s="18" t="s">
        <v>39</v>
      </c>
      <c r="V1601" s="18" t="s">
        <v>40</v>
      </c>
      <c r="W1601" s="18" t="s">
        <v>196</v>
      </c>
      <c r="X1601" s="18" t="s">
        <v>197</v>
      </c>
      <c r="Y1601" s="18">
        <v>1</v>
      </c>
      <c r="Z1601" s="18">
        <v>300</v>
      </c>
      <c r="AA1601" s="18" t="s">
        <v>3496</v>
      </c>
      <c r="AB1601" s="18" t="s">
        <v>1331</v>
      </c>
      <c r="AC1601" s="18" t="s">
        <v>43</v>
      </c>
    </row>
    <row r="1602" s="18" customFormat="1" spans="1:29">
      <c r="A1602" s="18" t="s">
        <v>3497</v>
      </c>
      <c r="B1602" s="25" t="s">
        <v>3497</v>
      </c>
      <c r="C1602" s="26">
        <v>45707</v>
      </c>
      <c r="D1602" s="18" t="s">
        <v>3498</v>
      </c>
      <c r="E1602" s="18" t="str">
        <f t="shared" si="25"/>
        <v>Jc Trax</v>
      </c>
      <c r="F1602" s="27" t="s">
        <v>3499</v>
      </c>
      <c r="G1602" s="18" t="s">
        <v>32</v>
      </c>
      <c r="H1602" s="18" t="s">
        <v>33</v>
      </c>
      <c r="I1602" s="18" t="s">
        <v>1246</v>
      </c>
      <c r="J1602" s="18" t="s">
        <v>2613</v>
      </c>
      <c r="K1602" s="18" t="s">
        <v>56</v>
      </c>
      <c r="L1602" s="18" t="s">
        <v>36</v>
      </c>
      <c r="N1602" s="18">
        <v>6</v>
      </c>
      <c r="O1602" s="18" t="s">
        <v>88</v>
      </c>
      <c r="P1602" s="18" t="s">
        <v>38</v>
      </c>
      <c r="Q1602" s="18" t="s">
        <v>117</v>
      </c>
      <c r="R1602" s="18" t="s">
        <v>59</v>
      </c>
      <c r="S1602" s="18" t="s">
        <v>118</v>
      </c>
      <c r="T1602" s="18" t="b">
        <v>1</v>
      </c>
      <c r="U1602" s="18" t="s">
        <v>39</v>
      </c>
      <c r="V1602" s="18" t="s">
        <v>40</v>
      </c>
      <c r="W1602" s="18" t="s">
        <v>371</v>
      </c>
      <c r="X1602" s="18" t="s">
        <v>372</v>
      </c>
      <c r="Y1602" s="18">
        <v>1</v>
      </c>
      <c r="Z1602" s="18">
        <v>16000</v>
      </c>
      <c r="AA1602" s="18" t="s">
        <v>1330</v>
      </c>
      <c r="AB1602" s="18" t="s">
        <v>1331</v>
      </c>
      <c r="AC1602" s="18" t="s">
        <v>43</v>
      </c>
    </row>
    <row r="1603" s="18" customFormat="1" spans="1:29">
      <c r="A1603" s="18" t="s">
        <v>3500</v>
      </c>
      <c r="B1603" s="25" t="s">
        <v>3500</v>
      </c>
      <c r="C1603" s="26">
        <v>45707</v>
      </c>
      <c r="D1603" s="18" t="s">
        <v>827</v>
      </c>
      <c r="E1603" s="18" t="str">
        <f t="shared" si="25"/>
        <v>Infutech Solutions</v>
      </c>
      <c r="F1603" s="27" t="s">
        <v>828</v>
      </c>
      <c r="G1603" s="18" t="s">
        <v>32</v>
      </c>
      <c r="H1603" s="18" t="s">
        <v>33</v>
      </c>
      <c r="I1603" s="18" t="s">
        <v>34</v>
      </c>
      <c r="J1603" s="18" t="s">
        <v>2492</v>
      </c>
      <c r="K1603" s="18" t="s">
        <v>56</v>
      </c>
      <c r="L1603" s="18" t="s">
        <v>36</v>
      </c>
      <c r="N1603" s="18">
        <v>6</v>
      </c>
      <c r="O1603" s="18" t="s">
        <v>88</v>
      </c>
      <c r="P1603" s="18" t="s">
        <v>38</v>
      </c>
      <c r="Q1603" s="18" t="s">
        <v>117</v>
      </c>
      <c r="R1603" s="18" t="s">
        <v>59</v>
      </c>
      <c r="S1603" s="18" t="s">
        <v>118</v>
      </c>
      <c r="T1603" s="18" t="b">
        <v>1</v>
      </c>
      <c r="U1603" s="18" t="s">
        <v>39</v>
      </c>
      <c r="V1603" s="18" t="s">
        <v>40</v>
      </c>
      <c r="W1603" s="18" t="s">
        <v>704</v>
      </c>
      <c r="X1603" s="18" t="s">
        <v>704</v>
      </c>
      <c r="Y1603" s="18">
        <v>1</v>
      </c>
      <c r="Z1603" s="18">
        <v>21750</v>
      </c>
      <c r="AA1603" s="18" t="s">
        <v>303</v>
      </c>
      <c r="AB1603" s="18" t="s">
        <v>282</v>
      </c>
      <c r="AC1603" s="18" t="s">
        <v>43</v>
      </c>
    </row>
    <row r="1604" s="18" customFormat="1" spans="1:29">
      <c r="A1604" s="18" t="s">
        <v>3501</v>
      </c>
      <c r="B1604" s="25" t="s">
        <v>3501</v>
      </c>
      <c r="C1604" s="26">
        <v>45707</v>
      </c>
      <c r="D1604" s="18" t="s">
        <v>620</v>
      </c>
      <c r="E1604" s="18" t="str">
        <f t="shared" si="25"/>
        <v>Jay Jagannath Samal Event Production</v>
      </c>
      <c r="F1604" s="27" t="s">
        <v>621</v>
      </c>
      <c r="G1604" s="18" t="s">
        <v>32</v>
      </c>
      <c r="H1604" s="18" t="s">
        <v>33</v>
      </c>
      <c r="I1604" s="18" t="s">
        <v>1246</v>
      </c>
      <c r="J1604" s="18" t="s">
        <v>2693</v>
      </c>
      <c r="K1604" s="18" t="s">
        <v>56</v>
      </c>
      <c r="L1604" s="18" t="s">
        <v>36</v>
      </c>
      <c r="N1604" s="18">
        <v>6</v>
      </c>
      <c r="O1604" s="18" t="s">
        <v>88</v>
      </c>
      <c r="P1604" s="18" t="s">
        <v>38</v>
      </c>
      <c r="Q1604" s="18" t="s">
        <v>117</v>
      </c>
      <c r="R1604" s="18" t="s">
        <v>59</v>
      </c>
      <c r="S1604" s="18" t="s">
        <v>118</v>
      </c>
      <c r="T1604" s="18" t="b">
        <v>1</v>
      </c>
      <c r="U1604" s="18" t="s">
        <v>39</v>
      </c>
      <c r="V1604" s="18" t="s">
        <v>40</v>
      </c>
      <c r="W1604" s="18" t="s">
        <v>151</v>
      </c>
      <c r="X1604" s="18" t="s">
        <v>152</v>
      </c>
      <c r="Y1604" s="18">
        <v>1</v>
      </c>
      <c r="Z1604" s="18">
        <v>81000</v>
      </c>
      <c r="AA1604" s="18" t="s">
        <v>2694</v>
      </c>
      <c r="AB1604" s="18" t="s">
        <v>650</v>
      </c>
      <c r="AC1604" s="18" t="s">
        <v>43</v>
      </c>
    </row>
    <row r="1605" s="18" customFormat="1" spans="1:29">
      <c r="A1605" s="18" t="s">
        <v>3502</v>
      </c>
      <c r="B1605" s="25" t="s">
        <v>3502</v>
      </c>
      <c r="C1605" s="26">
        <v>45707</v>
      </c>
      <c r="D1605" s="18" t="s">
        <v>632</v>
      </c>
      <c r="E1605" s="18" t="str">
        <f t="shared" si="25"/>
        <v>Event Life</v>
      </c>
      <c r="F1605" s="27" t="s">
        <v>633</v>
      </c>
      <c r="G1605" s="18" t="s">
        <v>32</v>
      </c>
      <c r="H1605" s="18" t="s">
        <v>33</v>
      </c>
      <c r="I1605" s="18" t="s">
        <v>1246</v>
      </c>
      <c r="J1605" s="18" t="s">
        <v>2693</v>
      </c>
      <c r="K1605" s="18" t="s">
        <v>56</v>
      </c>
      <c r="L1605" s="18" t="s">
        <v>36</v>
      </c>
      <c r="N1605" s="18">
        <v>6</v>
      </c>
      <c r="O1605" s="18" t="s">
        <v>88</v>
      </c>
      <c r="P1605" s="18" t="s">
        <v>38</v>
      </c>
      <c r="Q1605" s="18" t="s">
        <v>117</v>
      </c>
      <c r="R1605" s="18" t="s">
        <v>59</v>
      </c>
      <c r="S1605" s="18" t="s">
        <v>118</v>
      </c>
      <c r="T1605" s="18" t="b">
        <v>1</v>
      </c>
      <c r="U1605" s="18" t="s">
        <v>39</v>
      </c>
      <c r="V1605" s="18" t="s">
        <v>40</v>
      </c>
      <c r="W1605" s="18" t="s">
        <v>371</v>
      </c>
      <c r="X1605" s="18" t="s">
        <v>372</v>
      </c>
      <c r="Y1605" s="18">
        <v>1</v>
      </c>
      <c r="Z1605" s="18">
        <v>20000</v>
      </c>
      <c r="AA1605" s="18" t="s">
        <v>2694</v>
      </c>
      <c r="AB1605" s="18" t="s">
        <v>650</v>
      </c>
      <c r="AC1605" s="18" t="s">
        <v>43</v>
      </c>
    </row>
    <row r="1606" s="18" customFormat="1" spans="1:29">
      <c r="A1606" s="18" t="s">
        <v>3503</v>
      </c>
      <c r="B1606" s="25" t="s">
        <v>3503</v>
      </c>
      <c r="C1606" s="26">
        <v>45707</v>
      </c>
      <c r="D1606" s="18" t="s">
        <v>644</v>
      </c>
      <c r="E1606" s="18" t="str">
        <f t="shared" si="25"/>
        <v>Blue Gem Entertainment and Events</v>
      </c>
      <c r="F1606" s="27" t="s">
        <v>645</v>
      </c>
      <c r="G1606" s="18" t="s">
        <v>32</v>
      </c>
      <c r="H1606" s="18" t="s">
        <v>33</v>
      </c>
      <c r="I1606" s="18" t="s">
        <v>1246</v>
      </c>
      <c r="J1606" s="18" t="s">
        <v>2693</v>
      </c>
      <c r="K1606" s="18" t="s">
        <v>56</v>
      </c>
      <c r="L1606" s="18" t="s">
        <v>36</v>
      </c>
      <c r="N1606" s="18">
        <v>6</v>
      </c>
      <c r="O1606" s="18" t="s">
        <v>88</v>
      </c>
      <c r="P1606" s="18" t="s">
        <v>38</v>
      </c>
      <c r="Q1606" s="18" t="s">
        <v>117</v>
      </c>
      <c r="R1606" s="18" t="s">
        <v>59</v>
      </c>
      <c r="S1606" s="18" t="s">
        <v>118</v>
      </c>
      <c r="T1606" s="18" t="b">
        <v>1</v>
      </c>
      <c r="U1606" s="18" t="s">
        <v>39</v>
      </c>
      <c r="V1606" s="18" t="s">
        <v>40</v>
      </c>
      <c r="W1606" s="18" t="s">
        <v>292</v>
      </c>
      <c r="X1606" s="18" t="s">
        <v>293</v>
      </c>
      <c r="Y1606" s="18">
        <v>1</v>
      </c>
      <c r="Z1606" s="18">
        <v>4000</v>
      </c>
      <c r="AA1606" s="18" t="s">
        <v>2694</v>
      </c>
      <c r="AB1606" s="18" t="s">
        <v>650</v>
      </c>
      <c r="AC1606" s="18" t="s">
        <v>43</v>
      </c>
    </row>
    <row r="1607" s="18" customFormat="1" spans="1:29">
      <c r="A1607" s="18" t="s">
        <v>3504</v>
      </c>
      <c r="B1607" s="25" t="s">
        <v>3504</v>
      </c>
      <c r="C1607" s="26">
        <v>45707</v>
      </c>
      <c r="D1607" s="18" t="s">
        <v>1139</v>
      </c>
      <c r="E1607" s="18" t="str">
        <f t="shared" si="25"/>
        <v>Farhan Shariff  </v>
      </c>
      <c r="F1607" s="27" t="e">
        <v>#N/A</v>
      </c>
      <c r="G1607" s="18" t="s">
        <v>32</v>
      </c>
      <c r="H1607" s="18" t="s">
        <v>33</v>
      </c>
      <c r="I1607" s="18" t="s">
        <v>1246</v>
      </c>
      <c r="J1607" s="18" t="s">
        <v>2338</v>
      </c>
      <c r="K1607" s="18" t="s">
        <v>56</v>
      </c>
      <c r="L1607" s="18" t="s">
        <v>36</v>
      </c>
      <c r="N1607" s="18">
        <v>6</v>
      </c>
      <c r="O1607" s="18" t="s">
        <v>93</v>
      </c>
      <c r="P1607" s="18" t="s">
        <v>38</v>
      </c>
      <c r="Q1607" s="18" t="s">
        <v>117</v>
      </c>
      <c r="R1607" s="18" t="s">
        <v>59</v>
      </c>
      <c r="S1607" s="18" t="s">
        <v>118</v>
      </c>
      <c r="T1607" s="18" t="b">
        <v>1</v>
      </c>
      <c r="U1607" s="18" t="s">
        <v>39</v>
      </c>
      <c r="V1607" s="18" t="s">
        <v>40</v>
      </c>
      <c r="W1607" s="18" t="s">
        <v>276</v>
      </c>
      <c r="X1607" s="18" t="s">
        <v>276</v>
      </c>
      <c r="Y1607" s="18">
        <v>1</v>
      </c>
      <c r="Z1607" s="18">
        <v>18400</v>
      </c>
      <c r="AA1607" s="18" t="s">
        <v>128</v>
      </c>
      <c r="AB1607" s="18" t="s">
        <v>129</v>
      </c>
      <c r="AC1607" s="18" t="e">
        <v>#N/A</v>
      </c>
    </row>
    <row r="1608" s="18" customFormat="1" spans="1:29">
      <c r="A1608" s="18" t="s">
        <v>3505</v>
      </c>
      <c r="B1608" s="25" t="s">
        <v>3505</v>
      </c>
      <c r="C1608" s="26">
        <v>45707</v>
      </c>
      <c r="D1608" s="18" t="s">
        <v>1139</v>
      </c>
      <c r="E1608" s="18" t="str">
        <f t="shared" si="25"/>
        <v>Farhan Shariff  </v>
      </c>
      <c r="F1608" s="27" t="e">
        <v>#N/A</v>
      </c>
      <c r="G1608" s="18" t="s">
        <v>32</v>
      </c>
      <c r="H1608" s="18" t="s">
        <v>33</v>
      </c>
      <c r="I1608" s="18" t="s">
        <v>1246</v>
      </c>
      <c r="J1608" s="18" t="s">
        <v>2613</v>
      </c>
      <c r="K1608" s="18" t="s">
        <v>56</v>
      </c>
      <c r="L1608" s="18" t="s">
        <v>36</v>
      </c>
      <c r="N1608" s="18">
        <v>6</v>
      </c>
      <c r="O1608" s="18" t="s">
        <v>93</v>
      </c>
      <c r="P1608" s="18" t="s">
        <v>38</v>
      </c>
      <c r="Q1608" s="18" t="s">
        <v>117</v>
      </c>
      <c r="R1608" s="18" t="s">
        <v>59</v>
      </c>
      <c r="S1608" s="18" t="s">
        <v>118</v>
      </c>
      <c r="T1608" s="18" t="b">
        <v>1</v>
      </c>
      <c r="U1608" s="18" t="s">
        <v>39</v>
      </c>
      <c r="V1608" s="18" t="s">
        <v>40</v>
      </c>
      <c r="W1608" s="18" t="s">
        <v>126</v>
      </c>
      <c r="X1608" s="18" t="s">
        <v>127</v>
      </c>
      <c r="Y1608" s="18">
        <v>1</v>
      </c>
      <c r="Z1608" s="18">
        <v>2420</v>
      </c>
      <c r="AA1608" s="18" t="s">
        <v>128</v>
      </c>
      <c r="AB1608" s="18" t="s">
        <v>129</v>
      </c>
      <c r="AC1608" s="18" t="e">
        <v>#N/A</v>
      </c>
    </row>
    <row r="1609" s="18" customFormat="1" spans="1:29">
      <c r="A1609" s="18" t="s">
        <v>3506</v>
      </c>
      <c r="B1609" s="25" t="s">
        <v>3506</v>
      </c>
      <c r="C1609" s="26">
        <v>45707</v>
      </c>
      <c r="D1609" s="18" t="s">
        <v>987</v>
      </c>
      <c r="E1609" s="18" t="str">
        <f t="shared" si="25"/>
        <v>Neha Khemka  </v>
      </c>
      <c r="F1609" s="27" t="e">
        <v>#N/A</v>
      </c>
      <c r="G1609" s="18" t="s">
        <v>32</v>
      </c>
      <c r="H1609" s="18" t="s">
        <v>33</v>
      </c>
      <c r="I1609" s="18" t="s">
        <v>133</v>
      </c>
      <c r="J1609" s="18" t="s">
        <v>2613</v>
      </c>
      <c r="K1609" s="18" t="s">
        <v>56</v>
      </c>
      <c r="L1609" s="18" t="s">
        <v>36</v>
      </c>
      <c r="N1609" s="18">
        <v>6</v>
      </c>
      <c r="O1609" s="18" t="s">
        <v>93</v>
      </c>
      <c r="P1609" s="18" t="s">
        <v>38</v>
      </c>
      <c r="Q1609" s="18" t="s">
        <v>117</v>
      </c>
      <c r="R1609" s="18" t="s">
        <v>59</v>
      </c>
      <c r="S1609" s="18" t="s">
        <v>118</v>
      </c>
      <c r="T1609" s="18" t="b">
        <v>1</v>
      </c>
      <c r="U1609" s="18" t="s">
        <v>39</v>
      </c>
      <c r="V1609" s="18" t="s">
        <v>40</v>
      </c>
      <c r="W1609" s="18" t="s">
        <v>126</v>
      </c>
      <c r="X1609" s="18" t="s">
        <v>127</v>
      </c>
      <c r="Y1609" s="18">
        <v>1</v>
      </c>
      <c r="Z1609" s="18">
        <v>8800</v>
      </c>
      <c r="AA1609" s="18" t="s">
        <v>128</v>
      </c>
      <c r="AB1609" s="18" t="s">
        <v>129</v>
      </c>
      <c r="AC1609" s="18" t="e">
        <v>#N/A</v>
      </c>
    </row>
    <row r="1610" s="18" customFormat="1" spans="1:29">
      <c r="A1610" s="18" t="s">
        <v>3507</v>
      </c>
      <c r="B1610" s="25" t="s">
        <v>3507</v>
      </c>
      <c r="C1610" s="26">
        <v>45707</v>
      </c>
      <c r="D1610" s="18" t="s">
        <v>3508</v>
      </c>
      <c r="E1610" s="18" t="str">
        <f t="shared" si="25"/>
        <v>Chintan Shetty  </v>
      </c>
      <c r="F1610" s="27" t="e">
        <v>#N/A</v>
      </c>
      <c r="G1610" s="18" t="s">
        <v>32</v>
      </c>
      <c r="H1610" s="18" t="s">
        <v>33</v>
      </c>
      <c r="I1610" s="18" t="s">
        <v>1246</v>
      </c>
      <c r="J1610" s="18" t="s">
        <v>2764</v>
      </c>
      <c r="K1610" s="18" t="s">
        <v>56</v>
      </c>
      <c r="L1610" s="18" t="s">
        <v>36</v>
      </c>
      <c r="N1610" s="18">
        <v>6</v>
      </c>
      <c r="O1610" s="18" t="s">
        <v>93</v>
      </c>
      <c r="P1610" s="18" t="s">
        <v>38</v>
      </c>
      <c r="Q1610" s="18" t="s">
        <v>117</v>
      </c>
      <c r="R1610" s="18" t="s">
        <v>59</v>
      </c>
      <c r="S1610" s="18" t="s">
        <v>118</v>
      </c>
      <c r="T1610" s="18" t="b">
        <v>1</v>
      </c>
      <c r="U1610" s="18" t="s">
        <v>39</v>
      </c>
      <c r="V1610" s="18" t="s">
        <v>40</v>
      </c>
      <c r="W1610" s="18" t="s">
        <v>126</v>
      </c>
      <c r="X1610" s="18" t="s">
        <v>127</v>
      </c>
      <c r="Y1610" s="18">
        <v>1</v>
      </c>
      <c r="Z1610" s="18">
        <v>453</v>
      </c>
      <c r="AA1610" s="18" t="s">
        <v>128</v>
      </c>
      <c r="AB1610" s="18" t="s">
        <v>129</v>
      </c>
      <c r="AC1610" s="18" t="e">
        <v>#N/A</v>
      </c>
    </row>
    <row r="1611" s="18" customFormat="1" spans="1:29">
      <c r="A1611" s="18" t="s">
        <v>3509</v>
      </c>
      <c r="B1611" s="25" t="s">
        <v>3509</v>
      </c>
      <c r="C1611" s="26">
        <v>45707</v>
      </c>
      <c r="D1611" s="18" t="s">
        <v>1139</v>
      </c>
      <c r="E1611" s="18" t="str">
        <f t="shared" si="25"/>
        <v>Farhan Shariff  </v>
      </c>
      <c r="F1611" s="27" t="e">
        <v>#N/A</v>
      </c>
      <c r="G1611" s="18" t="s">
        <v>32</v>
      </c>
      <c r="H1611" s="18" t="s">
        <v>33</v>
      </c>
      <c r="I1611" s="18" t="s">
        <v>1246</v>
      </c>
      <c r="J1611" s="18" t="s">
        <v>3510</v>
      </c>
      <c r="K1611" s="18" t="s">
        <v>56</v>
      </c>
      <c r="L1611" s="18" t="s">
        <v>36</v>
      </c>
      <c r="N1611" s="18">
        <v>6</v>
      </c>
      <c r="O1611" s="18" t="s">
        <v>93</v>
      </c>
      <c r="P1611" s="18" t="s">
        <v>38</v>
      </c>
      <c r="Q1611" s="18" t="s">
        <v>117</v>
      </c>
      <c r="R1611" s="18" t="s">
        <v>59</v>
      </c>
      <c r="S1611" s="18" t="s">
        <v>118</v>
      </c>
      <c r="T1611" s="18" t="b">
        <v>1</v>
      </c>
      <c r="U1611" s="18" t="s">
        <v>39</v>
      </c>
      <c r="V1611" s="18" t="s">
        <v>40</v>
      </c>
      <c r="W1611" s="18" t="s">
        <v>126</v>
      </c>
      <c r="X1611" s="18" t="s">
        <v>127</v>
      </c>
      <c r="Y1611" s="18">
        <v>1</v>
      </c>
      <c r="Z1611" s="18">
        <v>984</v>
      </c>
      <c r="AA1611" s="18" t="s">
        <v>128</v>
      </c>
      <c r="AB1611" s="18" t="s">
        <v>129</v>
      </c>
      <c r="AC1611" s="18" t="e">
        <v>#N/A</v>
      </c>
    </row>
    <row r="1612" s="18" customFormat="1" spans="1:29">
      <c r="A1612" s="18" t="s">
        <v>3511</v>
      </c>
      <c r="B1612" s="25" t="s">
        <v>3511</v>
      </c>
      <c r="C1612" s="26">
        <v>45707</v>
      </c>
      <c r="D1612" s="18" t="s">
        <v>284</v>
      </c>
      <c r="E1612" s="18" t="str">
        <f t="shared" si="25"/>
        <v>Abdul Rehman </v>
      </c>
      <c r="F1612" s="27" t="e">
        <v>#N/A</v>
      </c>
      <c r="G1612" s="18" t="s">
        <v>32</v>
      </c>
      <c r="H1612" s="18" t="s">
        <v>33</v>
      </c>
      <c r="I1612" s="18" t="s">
        <v>1246</v>
      </c>
      <c r="J1612" s="18" t="s">
        <v>275</v>
      </c>
      <c r="K1612" s="18" t="s">
        <v>56</v>
      </c>
      <c r="L1612" s="18" t="s">
        <v>36</v>
      </c>
      <c r="N1612" s="18">
        <v>6</v>
      </c>
      <c r="O1612" s="18" t="s">
        <v>93</v>
      </c>
      <c r="P1612" s="18" t="s">
        <v>38</v>
      </c>
      <c r="Q1612" s="18" t="s">
        <v>58</v>
      </c>
      <c r="R1612" s="18" t="s">
        <v>59</v>
      </c>
      <c r="S1612" s="18" t="s">
        <v>60</v>
      </c>
      <c r="T1612" s="18" t="b">
        <v>1</v>
      </c>
      <c r="U1612" s="18" t="s">
        <v>39</v>
      </c>
      <c r="V1612" s="18" t="s">
        <v>40</v>
      </c>
      <c r="W1612" s="18" t="s">
        <v>292</v>
      </c>
      <c r="X1612" s="18" t="s">
        <v>293</v>
      </c>
      <c r="Y1612" s="18">
        <v>1</v>
      </c>
      <c r="Z1612" s="18">
        <v>4000</v>
      </c>
      <c r="AA1612" s="18" t="s">
        <v>3512</v>
      </c>
      <c r="AB1612" s="18" t="e">
        <v>#N/A</v>
      </c>
      <c r="AC1612" s="18" t="e">
        <v>#N/A</v>
      </c>
    </row>
    <row r="1613" s="19" customFormat="1" spans="1:29">
      <c r="A1613" s="19" t="s">
        <v>3513</v>
      </c>
      <c r="B1613" s="28" t="s">
        <v>3513</v>
      </c>
      <c r="C1613" s="29">
        <v>45707</v>
      </c>
      <c r="D1613" s="19" t="s">
        <v>1135</v>
      </c>
      <c r="E1613" s="19" t="str">
        <f t="shared" si="25"/>
        <v>Megha Mittal </v>
      </c>
      <c r="F1613" s="30" t="e">
        <v>#N/A</v>
      </c>
      <c r="G1613" s="19" t="s">
        <v>32</v>
      </c>
      <c r="H1613" s="19" t="s">
        <v>33</v>
      </c>
      <c r="I1613" s="19" t="s">
        <v>1246</v>
      </c>
      <c r="K1613" s="19" t="s">
        <v>35</v>
      </c>
      <c r="L1613" s="19" t="s">
        <v>36</v>
      </c>
      <c r="N1613" s="19">
        <v>6</v>
      </c>
      <c r="O1613" s="19" t="s">
        <v>93</v>
      </c>
      <c r="P1613" s="19" t="s">
        <v>38</v>
      </c>
      <c r="T1613" s="19" t="b">
        <v>1</v>
      </c>
      <c r="U1613" s="19" t="s">
        <v>39</v>
      </c>
      <c r="V1613" s="19" t="s">
        <v>40</v>
      </c>
      <c r="W1613" s="19" t="s">
        <v>107</v>
      </c>
      <c r="X1613" s="19" t="e">
        <v>#N/A</v>
      </c>
      <c r="Y1613" s="19">
        <v>1</v>
      </c>
      <c r="Z1613" s="19">
        <v>15000</v>
      </c>
      <c r="AA1613" s="19" t="s">
        <v>334</v>
      </c>
      <c r="AB1613" s="19" t="s">
        <v>335</v>
      </c>
      <c r="AC1613" s="19" t="e">
        <v>#N/A</v>
      </c>
    </row>
    <row r="1614" s="18" customFormat="1" spans="1:29">
      <c r="A1614" s="18" t="s">
        <v>3514</v>
      </c>
      <c r="B1614" s="25" t="s">
        <v>3514</v>
      </c>
      <c r="C1614" s="26">
        <v>45707</v>
      </c>
      <c r="D1614" s="18" t="s">
        <v>505</v>
      </c>
      <c r="E1614" s="18" t="str">
        <f t="shared" si="25"/>
        <v>Ashok Raj R  </v>
      </c>
      <c r="F1614" s="27" t="e">
        <v>#N/A</v>
      </c>
      <c r="G1614" s="18" t="s">
        <v>32</v>
      </c>
      <c r="H1614" s="18" t="s">
        <v>33</v>
      </c>
      <c r="I1614" s="18" t="s">
        <v>1246</v>
      </c>
      <c r="J1614" s="18" t="s">
        <v>3337</v>
      </c>
      <c r="K1614" s="18" t="s">
        <v>56</v>
      </c>
      <c r="L1614" s="18" t="s">
        <v>36</v>
      </c>
      <c r="N1614" s="18">
        <v>6</v>
      </c>
      <c r="O1614" s="18" t="s">
        <v>93</v>
      </c>
      <c r="P1614" s="18" t="s">
        <v>38</v>
      </c>
      <c r="Q1614" s="18" t="s">
        <v>117</v>
      </c>
      <c r="R1614" s="18" t="s">
        <v>59</v>
      </c>
      <c r="S1614" s="18" t="s">
        <v>118</v>
      </c>
      <c r="T1614" s="18" t="b">
        <v>1</v>
      </c>
      <c r="U1614" s="18" t="s">
        <v>39</v>
      </c>
      <c r="V1614" s="18" t="s">
        <v>40</v>
      </c>
      <c r="W1614" s="18" t="s">
        <v>412</v>
      </c>
      <c r="X1614" s="18" t="s">
        <v>413</v>
      </c>
      <c r="Y1614" s="18">
        <v>1</v>
      </c>
      <c r="Z1614" s="18">
        <v>404</v>
      </c>
      <c r="AA1614" s="18" t="s">
        <v>501</v>
      </c>
      <c r="AB1614" s="18" t="s">
        <v>502</v>
      </c>
      <c r="AC1614" s="18" t="e">
        <v>#N/A</v>
      </c>
    </row>
    <row r="1615" s="18" customFormat="1" ht="43.5" spans="1:29">
      <c r="A1615" s="18" t="s">
        <v>3515</v>
      </c>
      <c r="B1615" s="25" t="s">
        <v>3515</v>
      </c>
      <c r="C1615" s="26">
        <v>45707</v>
      </c>
      <c r="D1615" s="18" t="s">
        <v>2964</v>
      </c>
      <c r="E1615" s="18" t="str">
        <f t="shared" si="25"/>
        <v>Ben and Flow</v>
      </c>
      <c r="F1615" s="27" t="s">
        <v>2965</v>
      </c>
      <c r="G1615" s="18" t="s">
        <v>32</v>
      </c>
      <c r="H1615" s="18" t="s">
        <v>33</v>
      </c>
      <c r="I1615" s="18" t="s">
        <v>184</v>
      </c>
      <c r="J1615" s="18" t="s">
        <v>3516</v>
      </c>
      <c r="K1615" s="18" t="s">
        <v>56</v>
      </c>
      <c r="L1615" s="18" t="s">
        <v>36</v>
      </c>
      <c r="N1615" s="18">
        <v>6</v>
      </c>
      <c r="O1615" s="18" t="s">
        <v>57</v>
      </c>
      <c r="P1615" s="18" t="s">
        <v>38</v>
      </c>
      <c r="Q1615" s="18" t="s">
        <v>117</v>
      </c>
      <c r="R1615" s="18" t="s">
        <v>59</v>
      </c>
      <c r="S1615" s="18" t="s">
        <v>186</v>
      </c>
      <c r="T1615" s="18" t="b">
        <v>1</v>
      </c>
      <c r="U1615" s="18" t="s">
        <v>39</v>
      </c>
      <c r="V1615" s="18" t="s">
        <v>40</v>
      </c>
      <c r="W1615" s="18" t="s">
        <v>233</v>
      </c>
      <c r="X1615" s="18" t="s">
        <v>234</v>
      </c>
      <c r="Y1615" s="18">
        <v>1</v>
      </c>
      <c r="Z1615" s="18">
        <v>1080000</v>
      </c>
      <c r="AA1615" s="31" t="s">
        <v>3213</v>
      </c>
      <c r="AB1615" s="18" t="s">
        <v>811</v>
      </c>
      <c r="AC1615" s="18" t="s">
        <v>43</v>
      </c>
    </row>
    <row r="1616" s="18" customFormat="1" spans="1:29">
      <c r="A1616" s="18" t="s">
        <v>3517</v>
      </c>
      <c r="B1616" s="25" t="s">
        <v>3517</v>
      </c>
      <c r="C1616" s="26">
        <v>45707</v>
      </c>
      <c r="D1616" s="18" t="s">
        <v>3518</v>
      </c>
      <c r="E1616" s="18" t="str">
        <f t="shared" si="25"/>
        <v>Color Box</v>
      </c>
      <c r="F1616" s="27" t="s">
        <v>3519</v>
      </c>
      <c r="G1616" s="18" t="s">
        <v>99</v>
      </c>
      <c r="H1616" s="18" t="s">
        <v>100</v>
      </c>
      <c r="I1616" s="18" t="s">
        <v>184</v>
      </c>
      <c r="J1616" s="18" t="s">
        <v>1006</v>
      </c>
      <c r="K1616" s="18" t="s">
        <v>56</v>
      </c>
      <c r="L1616" s="18" t="s">
        <v>36</v>
      </c>
      <c r="N1616" s="18">
        <v>6</v>
      </c>
      <c r="O1616" s="18" t="s">
        <v>88</v>
      </c>
      <c r="P1616" s="18" t="s">
        <v>38</v>
      </c>
      <c r="Q1616" s="18" t="s">
        <v>117</v>
      </c>
      <c r="R1616" s="18" t="s">
        <v>59</v>
      </c>
      <c r="S1616" s="18" t="s">
        <v>186</v>
      </c>
      <c r="T1616" s="18" t="b">
        <v>1</v>
      </c>
      <c r="U1616" s="18" t="s">
        <v>101</v>
      </c>
      <c r="V1616" s="18" t="s">
        <v>40</v>
      </c>
      <c r="W1616" s="18" t="s">
        <v>683</v>
      </c>
      <c r="X1616" s="18" t="s">
        <v>684</v>
      </c>
      <c r="Y1616" s="18">
        <v>1</v>
      </c>
      <c r="Z1616" s="18">
        <v>175000</v>
      </c>
      <c r="AA1616" s="18" t="s">
        <v>188</v>
      </c>
      <c r="AB1616" s="18" t="s">
        <v>189</v>
      </c>
      <c r="AC1616" s="18" t="s">
        <v>111</v>
      </c>
    </row>
    <row r="1617" s="18" customFormat="1" spans="1:29">
      <c r="A1617" s="18" t="s">
        <v>3520</v>
      </c>
      <c r="B1617" s="25" t="s">
        <v>3520</v>
      </c>
      <c r="C1617" s="26">
        <v>45707</v>
      </c>
      <c r="D1617" s="18" t="s">
        <v>1927</v>
      </c>
      <c r="E1617" s="18" t="str">
        <f t="shared" si="25"/>
        <v>Rekha Stills</v>
      </c>
      <c r="F1617" s="27" t="s">
        <v>1928</v>
      </c>
      <c r="G1617" s="18" t="s">
        <v>99</v>
      </c>
      <c r="H1617" s="18" t="s">
        <v>100</v>
      </c>
      <c r="I1617" s="18" t="s">
        <v>184</v>
      </c>
      <c r="J1617" s="18" t="s">
        <v>1006</v>
      </c>
      <c r="K1617" s="18" t="s">
        <v>56</v>
      </c>
      <c r="L1617" s="18" t="s">
        <v>36</v>
      </c>
      <c r="N1617" s="18">
        <v>6</v>
      </c>
      <c r="O1617" s="18" t="s">
        <v>88</v>
      </c>
      <c r="P1617" s="18" t="s">
        <v>38</v>
      </c>
      <c r="Q1617" s="18" t="s">
        <v>117</v>
      </c>
      <c r="R1617" s="18" t="s">
        <v>59</v>
      </c>
      <c r="S1617" s="18" t="s">
        <v>186</v>
      </c>
      <c r="T1617" s="18" t="b">
        <v>1</v>
      </c>
      <c r="U1617" s="18" t="s">
        <v>101</v>
      </c>
      <c r="V1617" s="18" t="s">
        <v>40</v>
      </c>
      <c r="W1617" s="18" t="s">
        <v>683</v>
      </c>
      <c r="X1617" s="18" t="s">
        <v>684</v>
      </c>
      <c r="Y1617" s="18">
        <v>1</v>
      </c>
      <c r="Z1617" s="18">
        <v>10000</v>
      </c>
      <c r="AA1617" s="18" t="s">
        <v>188</v>
      </c>
      <c r="AB1617" s="18" t="s">
        <v>189</v>
      </c>
      <c r="AC1617" s="18" t="e">
        <v>#N/A</v>
      </c>
    </row>
    <row r="1618" s="18" customFormat="1" spans="1:29">
      <c r="A1618" s="18" t="s">
        <v>3521</v>
      </c>
      <c r="B1618" s="25" t="s">
        <v>3521</v>
      </c>
      <c r="C1618" s="26">
        <v>45707</v>
      </c>
      <c r="D1618" s="18" t="s">
        <v>331</v>
      </c>
      <c r="E1618" s="18" t="str">
        <f t="shared" si="25"/>
        <v>Clinton J  for Expense</v>
      </c>
      <c r="F1618" s="27" t="e">
        <v>#N/A</v>
      </c>
      <c r="G1618" s="18" t="s">
        <v>99</v>
      </c>
      <c r="H1618" s="18" t="s">
        <v>100</v>
      </c>
      <c r="I1618" s="18" t="s">
        <v>1246</v>
      </c>
      <c r="J1618" s="18" t="s">
        <v>2775</v>
      </c>
      <c r="K1618" s="18" t="s">
        <v>56</v>
      </c>
      <c r="L1618" s="18" t="s">
        <v>36</v>
      </c>
      <c r="N1618" s="18">
        <v>6</v>
      </c>
      <c r="O1618" s="18" t="s">
        <v>93</v>
      </c>
      <c r="P1618" s="18" t="s">
        <v>38</v>
      </c>
      <c r="Q1618" s="18" t="s">
        <v>117</v>
      </c>
      <c r="R1618" s="18" t="s">
        <v>59</v>
      </c>
      <c r="S1618" s="18" t="s">
        <v>186</v>
      </c>
      <c r="T1618" s="18" t="b">
        <v>1</v>
      </c>
      <c r="U1618" s="18" t="s">
        <v>101</v>
      </c>
      <c r="V1618" s="18" t="s">
        <v>40</v>
      </c>
      <c r="W1618" s="18" t="s">
        <v>126</v>
      </c>
      <c r="X1618" s="18" t="s">
        <v>127</v>
      </c>
      <c r="Y1618" s="18">
        <v>1</v>
      </c>
      <c r="Z1618" s="18">
        <v>1826</v>
      </c>
      <c r="AA1618" s="18" t="s">
        <v>102</v>
      </c>
      <c r="AB1618" s="18" t="s">
        <v>103</v>
      </c>
      <c r="AC1618" s="18" t="e">
        <v>#N/A</v>
      </c>
    </row>
    <row r="1619" s="18" customFormat="1" spans="1:29">
      <c r="A1619" s="18" t="s">
        <v>3522</v>
      </c>
      <c r="B1619" s="25" t="s">
        <v>3522</v>
      </c>
      <c r="C1619" s="26">
        <v>45707</v>
      </c>
      <c r="D1619" s="18" t="s">
        <v>1585</v>
      </c>
      <c r="E1619" s="18" t="str">
        <f t="shared" si="25"/>
        <v>Praveen Raj Adv for Expenses</v>
      </c>
      <c r="F1619" s="27" t="e">
        <v>#N/A</v>
      </c>
      <c r="G1619" s="18" t="s">
        <v>99</v>
      </c>
      <c r="H1619" s="18" t="s">
        <v>100</v>
      </c>
      <c r="I1619" s="18" t="s">
        <v>1246</v>
      </c>
      <c r="J1619" s="18" t="s">
        <v>2775</v>
      </c>
      <c r="K1619" s="18" t="s">
        <v>56</v>
      </c>
      <c r="L1619" s="18" t="s">
        <v>36</v>
      </c>
      <c r="N1619" s="18">
        <v>6</v>
      </c>
      <c r="O1619" s="18" t="s">
        <v>93</v>
      </c>
      <c r="P1619" s="18" t="s">
        <v>38</v>
      </c>
      <c r="Q1619" s="18" t="s">
        <v>117</v>
      </c>
      <c r="R1619" s="18" t="s">
        <v>59</v>
      </c>
      <c r="S1619" s="18" t="s">
        <v>186</v>
      </c>
      <c r="T1619" s="18" t="b">
        <v>1</v>
      </c>
      <c r="U1619" s="18" t="s">
        <v>101</v>
      </c>
      <c r="V1619" s="18" t="s">
        <v>40</v>
      </c>
      <c r="W1619" s="18" t="s">
        <v>412</v>
      </c>
      <c r="X1619" s="18" t="s">
        <v>413</v>
      </c>
      <c r="Y1619" s="18">
        <v>1</v>
      </c>
      <c r="Z1619" s="18">
        <v>300</v>
      </c>
      <c r="AA1619" s="18" t="s">
        <v>102</v>
      </c>
      <c r="AB1619" s="18" t="s">
        <v>103</v>
      </c>
      <c r="AC1619" s="18" t="e">
        <v>#N/A</v>
      </c>
    </row>
    <row r="1620" s="18" customFormat="1" spans="1:29">
      <c r="A1620" s="18" t="s">
        <v>3523</v>
      </c>
      <c r="B1620" s="25" t="s">
        <v>3523</v>
      </c>
      <c r="C1620" s="26">
        <v>45707</v>
      </c>
      <c r="D1620" s="18" t="s">
        <v>1688</v>
      </c>
      <c r="E1620" s="18" t="str">
        <f t="shared" si="25"/>
        <v>Paulraj S  </v>
      </c>
      <c r="F1620" s="27" t="e">
        <v>#N/A</v>
      </c>
      <c r="G1620" s="18" t="s">
        <v>99</v>
      </c>
      <c r="H1620" s="18" t="s">
        <v>100</v>
      </c>
      <c r="I1620" s="18" t="s">
        <v>1246</v>
      </c>
      <c r="J1620" s="18" t="s">
        <v>2775</v>
      </c>
      <c r="K1620" s="18" t="s">
        <v>56</v>
      </c>
      <c r="L1620" s="18" t="s">
        <v>36</v>
      </c>
      <c r="N1620" s="18">
        <v>6</v>
      </c>
      <c r="O1620" s="18" t="s">
        <v>93</v>
      </c>
      <c r="P1620" s="18" t="s">
        <v>38</v>
      </c>
      <c r="Q1620" s="18" t="s">
        <v>117</v>
      </c>
      <c r="R1620" s="18" t="s">
        <v>59</v>
      </c>
      <c r="S1620" s="18" t="s">
        <v>186</v>
      </c>
      <c r="T1620" s="18" t="b">
        <v>1</v>
      </c>
      <c r="U1620" s="18" t="s">
        <v>101</v>
      </c>
      <c r="V1620" s="18" t="s">
        <v>40</v>
      </c>
      <c r="W1620" s="18" t="s">
        <v>126</v>
      </c>
      <c r="X1620" s="18" t="s">
        <v>127</v>
      </c>
      <c r="Y1620" s="18">
        <v>1</v>
      </c>
      <c r="Z1620" s="18">
        <v>718</v>
      </c>
      <c r="AA1620" s="18" t="s">
        <v>102</v>
      </c>
      <c r="AB1620" s="18" t="s">
        <v>103</v>
      </c>
      <c r="AC1620" s="18" t="e">
        <v>#N/A</v>
      </c>
    </row>
    <row r="1621" s="18" customFormat="1" spans="1:29">
      <c r="A1621" s="18" t="s">
        <v>3524</v>
      </c>
      <c r="B1621" s="25" t="s">
        <v>3524</v>
      </c>
      <c r="C1621" s="26">
        <v>45707</v>
      </c>
      <c r="D1621" s="18" t="s">
        <v>1832</v>
      </c>
      <c r="E1621" s="18" t="str">
        <f t="shared" si="25"/>
        <v>Ashwath TV  for Expense</v>
      </c>
      <c r="F1621" s="27" t="e">
        <v>#N/A</v>
      </c>
      <c r="G1621" s="18" t="s">
        <v>99</v>
      </c>
      <c r="H1621" s="18" t="s">
        <v>100</v>
      </c>
      <c r="I1621" s="18" t="s">
        <v>1246</v>
      </c>
      <c r="J1621" s="18" t="s">
        <v>3386</v>
      </c>
      <c r="K1621" s="18" t="s">
        <v>56</v>
      </c>
      <c r="L1621" s="18" t="s">
        <v>36</v>
      </c>
      <c r="N1621" s="18">
        <v>6</v>
      </c>
      <c r="O1621" s="18" t="s">
        <v>93</v>
      </c>
      <c r="P1621" s="18" t="s">
        <v>38</v>
      </c>
      <c r="Q1621" s="18" t="s">
        <v>117</v>
      </c>
      <c r="R1621" s="18" t="s">
        <v>59</v>
      </c>
      <c r="S1621" s="18" t="s">
        <v>186</v>
      </c>
      <c r="T1621" s="18" t="b">
        <v>1</v>
      </c>
      <c r="U1621" s="18" t="s">
        <v>101</v>
      </c>
      <c r="V1621" s="18" t="s">
        <v>40</v>
      </c>
      <c r="W1621" s="18" t="s">
        <v>126</v>
      </c>
      <c r="X1621" s="18" t="s">
        <v>127</v>
      </c>
      <c r="Y1621" s="18">
        <v>1</v>
      </c>
      <c r="Z1621" s="18">
        <v>1121</v>
      </c>
      <c r="AA1621" s="18" t="s">
        <v>102</v>
      </c>
      <c r="AB1621" s="18" t="s">
        <v>103</v>
      </c>
      <c r="AC1621" s="18" t="e">
        <v>#N/A</v>
      </c>
    </row>
    <row r="1622" s="18" customFormat="1" spans="1:29">
      <c r="A1622" s="18" t="s">
        <v>3525</v>
      </c>
      <c r="B1622" s="25" t="s">
        <v>3525</v>
      </c>
      <c r="C1622" s="26">
        <v>45707</v>
      </c>
      <c r="D1622" s="18" t="s">
        <v>3526</v>
      </c>
      <c r="E1622" s="18" t="str">
        <f t="shared" si="25"/>
        <v>Railtel Corporation of India Ltd (OTV)</v>
      </c>
      <c r="F1622" s="27" t="s">
        <v>3527</v>
      </c>
      <c r="G1622" s="18" t="s">
        <v>147</v>
      </c>
      <c r="H1622" s="18" t="s">
        <v>148</v>
      </c>
      <c r="I1622" s="18" t="s">
        <v>207</v>
      </c>
      <c r="J1622" s="18" t="s">
        <v>466</v>
      </c>
      <c r="K1622" s="18" t="s">
        <v>56</v>
      </c>
      <c r="L1622" s="18" t="s">
        <v>36</v>
      </c>
      <c r="N1622" s="18">
        <v>6</v>
      </c>
      <c r="O1622" s="18" t="s">
        <v>57</v>
      </c>
      <c r="P1622" s="18" t="s">
        <v>38</v>
      </c>
      <c r="Q1622" s="18" t="s">
        <v>58</v>
      </c>
      <c r="R1622" s="18" t="s">
        <v>59</v>
      </c>
      <c r="S1622" s="18" t="s">
        <v>60</v>
      </c>
      <c r="T1622" s="18" t="b">
        <v>1</v>
      </c>
      <c r="U1622" s="18" t="s">
        <v>150</v>
      </c>
      <c r="V1622" s="18" t="s">
        <v>40</v>
      </c>
      <c r="W1622" s="18" t="s">
        <v>311</v>
      </c>
      <c r="X1622" s="18" t="s">
        <v>95</v>
      </c>
      <c r="Y1622" s="18">
        <v>1</v>
      </c>
      <c r="Z1622" s="18">
        <v>349098</v>
      </c>
      <c r="AA1622" s="18" t="s">
        <v>3528</v>
      </c>
      <c r="AB1622" s="18" t="s">
        <v>954</v>
      </c>
      <c r="AC1622" s="18" t="s">
        <v>163</v>
      </c>
    </row>
    <row r="1623" s="18" customFormat="1" spans="1:29">
      <c r="A1623" s="18" t="s">
        <v>3529</v>
      </c>
      <c r="B1623" s="25" t="s">
        <v>3529</v>
      </c>
      <c r="C1623" s="26">
        <v>45707</v>
      </c>
      <c r="D1623" s="18" t="s">
        <v>3530</v>
      </c>
      <c r="E1623" s="18" t="str">
        <f t="shared" si="25"/>
        <v>Extremeways Solutions</v>
      </c>
      <c r="F1623" s="27" t="s">
        <v>3531</v>
      </c>
      <c r="G1623" s="18" t="s">
        <v>147</v>
      </c>
      <c r="H1623" s="18" t="s">
        <v>148</v>
      </c>
      <c r="I1623" s="18" t="s">
        <v>207</v>
      </c>
      <c r="J1623" s="18" t="s">
        <v>1426</v>
      </c>
      <c r="K1623" s="18" t="s">
        <v>56</v>
      </c>
      <c r="L1623" s="18" t="s">
        <v>36</v>
      </c>
      <c r="N1623" s="18">
        <v>6</v>
      </c>
      <c r="O1623" s="18" t="s">
        <v>88</v>
      </c>
      <c r="P1623" s="18" t="s">
        <v>38</v>
      </c>
      <c r="Q1623" s="18" t="s">
        <v>58</v>
      </c>
      <c r="R1623" s="18" t="s">
        <v>59</v>
      </c>
      <c r="S1623" s="18" t="s">
        <v>60</v>
      </c>
      <c r="T1623" s="18" t="b">
        <v>1</v>
      </c>
      <c r="U1623" s="18" t="s">
        <v>150</v>
      </c>
      <c r="V1623" s="18" t="s">
        <v>40</v>
      </c>
      <c r="W1623" s="18" t="s">
        <v>371</v>
      </c>
      <c r="X1623" s="18" t="s">
        <v>372</v>
      </c>
      <c r="Y1623" s="18">
        <v>1</v>
      </c>
      <c r="Z1623" s="18">
        <v>75000</v>
      </c>
      <c r="AA1623" s="18" t="s">
        <v>3532</v>
      </c>
      <c r="AB1623" s="18" t="s">
        <v>1182</v>
      </c>
      <c r="AC1623" s="18" t="s">
        <v>163</v>
      </c>
    </row>
    <row r="1624" s="18" customFormat="1" spans="1:29">
      <c r="A1624" s="18" t="s">
        <v>3533</v>
      </c>
      <c r="B1624" s="25" t="s">
        <v>3533</v>
      </c>
      <c r="C1624" s="26">
        <v>45707</v>
      </c>
      <c r="D1624" s="18" t="s">
        <v>3534</v>
      </c>
      <c r="E1624" s="18" t="str">
        <f t="shared" si="25"/>
        <v>TKG Solutions Pvt Ltd</v>
      </c>
      <c r="F1624" s="27" t="s">
        <v>3535</v>
      </c>
      <c r="G1624" s="18" t="s">
        <v>147</v>
      </c>
      <c r="H1624" s="18" t="s">
        <v>148</v>
      </c>
      <c r="I1624" s="18" t="s">
        <v>34</v>
      </c>
      <c r="J1624" s="18" t="s">
        <v>3443</v>
      </c>
      <c r="K1624" s="18" t="s">
        <v>56</v>
      </c>
      <c r="L1624" s="18" t="s">
        <v>36</v>
      </c>
      <c r="N1624" s="18">
        <v>6</v>
      </c>
      <c r="O1624" s="18" t="s">
        <v>88</v>
      </c>
      <c r="P1624" s="18" t="s">
        <v>38</v>
      </c>
      <c r="Q1624" s="18" t="s">
        <v>117</v>
      </c>
      <c r="R1624" s="18" t="s">
        <v>59</v>
      </c>
      <c r="S1624" s="18" t="s">
        <v>118</v>
      </c>
      <c r="T1624" s="18" t="b">
        <v>1</v>
      </c>
      <c r="U1624" s="18" t="s">
        <v>150</v>
      </c>
      <c r="V1624" s="18" t="s">
        <v>40</v>
      </c>
      <c r="W1624" s="18" t="s">
        <v>276</v>
      </c>
      <c r="X1624" s="18" t="s">
        <v>276</v>
      </c>
      <c r="Y1624" s="18">
        <v>1</v>
      </c>
      <c r="Z1624" s="18">
        <v>110000</v>
      </c>
      <c r="AA1624" s="18" t="s">
        <v>121</v>
      </c>
      <c r="AB1624" s="18" t="s">
        <v>122</v>
      </c>
      <c r="AC1624" s="18" t="s">
        <v>163</v>
      </c>
    </row>
    <row r="1625" s="18" customFormat="1" spans="1:29">
      <c r="A1625" s="18" t="s">
        <v>3536</v>
      </c>
      <c r="B1625" s="25" t="s">
        <v>3536</v>
      </c>
      <c r="C1625" s="26">
        <v>45707</v>
      </c>
      <c r="D1625" s="18" t="s">
        <v>692</v>
      </c>
      <c r="E1625" s="18" t="str">
        <f t="shared" si="25"/>
        <v>Yolekha Events</v>
      </c>
      <c r="F1625" s="27" t="s">
        <v>693</v>
      </c>
      <c r="G1625" s="18" t="s">
        <v>147</v>
      </c>
      <c r="H1625" s="18" t="s">
        <v>148</v>
      </c>
      <c r="I1625" s="18" t="s">
        <v>207</v>
      </c>
      <c r="J1625" s="18" t="s">
        <v>3002</v>
      </c>
      <c r="K1625" s="18" t="s">
        <v>56</v>
      </c>
      <c r="L1625" s="18" t="s">
        <v>36</v>
      </c>
      <c r="N1625" s="18">
        <v>6</v>
      </c>
      <c r="O1625" s="18" t="s">
        <v>57</v>
      </c>
      <c r="P1625" s="18" t="s">
        <v>38</v>
      </c>
      <c r="Q1625" s="18" t="s">
        <v>58</v>
      </c>
      <c r="R1625" s="18" t="s">
        <v>59</v>
      </c>
      <c r="S1625" s="18" t="s">
        <v>60</v>
      </c>
      <c r="T1625" s="18" t="b">
        <v>1</v>
      </c>
      <c r="U1625" s="18" t="s">
        <v>150</v>
      </c>
      <c r="V1625" s="18" t="s">
        <v>40</v>
      </c>
      <c r="W1625" s="18" t="s">
        <v>196</v>
      </c>
      <c r="X1625" s="18" t="s">
        <v>197</v>
      </c>
      <c r="Y1625" s="18">
        <v>1</v>
      </c>
      <c r="Z1625" s="18">
        <v>15300</v>
      </c>
      <c r="AA1625" s="18" t="s">
        <v>1163</v>
      </c>
      <c r="AB1625" s="18" t="s">
        <v>228</v>
      </c>
      <c r="AC1625" s="18" t="s">
        <v>695</v>
      </c>
    </row>
    <row r="1626" s="18" customFormat="1" spans="1:29">
      <c r="A1626" s="18" t="s">
        <v>3537</v>
      </c>
      <c r="B1626" s="25" t="s">
        <v>3537</v>
      </c>
      <c r="C1626" s="26">
        <v>45707</v>
      </c>
      <c r="D1626" s="18" t="s">
        <v>692</v>
      </c>
      <c r="E1626" s="18" t="str">
        <f t="shared" si="25"/>
        <v>Yolekha Events</v>
      </c>
      <c r="F1626" s="27" t="s">
        <v>693</v>
      </c>
      <c r="G1626" s="18" t="s">
        <v>147</v>
      </c>
      <c r="H1626" s="18" t="s">
        <v>148</v>
      </c>
      <c r="I1626" s="18" t="s">
        <v>207</v>
      </c>
      <c r="J1626" s="18" t="s">
        <v>3002</v>
      </c>
      <c r="K1626" s="18" t="s">
        <v>56</v>
      </c>
      <c r="L1626" s="18" t="s">
        <v>36</v>
      </c>
      <c r="N1626" s="18">
        <v>6</v>
      </c>
      <c r="O1626" s="18" t="s">
        <v>57</v>
      </c>
      <c r="P1626" s="18" t="s">
        <v>38</v>
      </c>
      <c r="Q1626" s="18" t="s">
        <v>58</v>
      </c>
      <c r="R1626" s="18" t="s">
        <v>59</v>
      </c>
      <c r="S1626" s="18" t="s">
        <v>60</v>
      </c>
      <c r="T1626" s="18" t="b">
        <v>1</v>
      </c>
      <c r="U1626" s="18" t="s">
        <v>150</v>
      </c>
      <c r="V1626" s="18" t="s">
        <v>40</v>
      </c>
      <c r="W1626" s="18" t="s">
        <v>196</v>
      </c>
      <c r="X1626" s="18" t="s">
        <v>197</v>
      </c>
      <c r="Y1626" s="18">
        <v>1</v>
      </c>
      <c r="Z1626" s="18">
        <v>5250</v>
      </c>
      <c r="AA1626" s="18" t="s">
        <v>1163</v>
      </c>
      <c r="AB1626" s="18" t="s">
        <v>228</v>
      </c>
      <c r="AC1626" s="18" t="s">
        <v>163</v>
      </c>
    </row>
    <row r="1627" s="18" customFormat="1" spans="1:29">
      <c r="A1627" s="18" t="s">
        <v>3538</v>
      </c>
      <c r="B1627" s="25" t="s">
        <v>3538</v>
      </c>
      <c r="C1627" s="26">
        <v>45707</v>
      </c>
      <c r="D1627" s="18" t="s">
        <v>3000</v>
      </c>
      <c r="E1627" s="18" t="str">
        <f t="shared" si="25"/>
        <v>Kalka Confectioners</v>
      </c>
      <c r="F1627" s="27" t="s">
        <v>3001</v>
      </c>
      <c r="G1627" s="18" t="s">
        <v>147</v>
      </c>
      <c r="H1627" s="18" t="s">
        <v>148</v>
      </c>
      <c r="I1627" s="18" t="s">
        <v>54</v>
      </c>
      <c r="J1627" s="18" t="s">
        <v>2264</v>
      </c>
      <c r="K1627" s="18" t="s">
        <v>56</v>
      </c>
      <c r="L1627" s="18" t="s">
        <v>36</v>
      </c>
      <c r="N1627" s="18">
        <v>6</v>
      </c>
      <c r="O1627" s="18" t="s">
        <v>57</v>
      </c>
      <c r="P1627" s="18" t="s">
        <v>38</v>
      </c>
      <c r="Q1627" s="18" t="s">
        <v>58</v>
      </c>
      <c r="R1627" s="18" t="s">
        <v>59</v>
      </c>
      <c r="S1627" s="18" t="s">
        <v>60</v>
      </c>
      <c r="T1627" s="18" t="b">
        <v>1</v>
      </c>
      <c r="U1627" s="18" t="s">
        <v>150</v>
      </c>
      <c r="V1627" s="18" t="s">
        <v>40</v>
      </c>
      <c r="W1627" s="18" t="s">
        <v>233</v>
      </c>
      <c r="X1627" s="18" t="s">
        <v>234</v>
      </c>
      <c r="Y1627" s="18">
        <v>1</v>
      </c>
      <c r="Z1627" s="18">
        <v>20059.3</v>
      </c>
      <c r="AA1627" s="18" t="s">
        <v>3539</v>
      </c>
      <c r="AB1627" s="18" t="s">
        <v>3540</v>
      </c>
      <c r="AC1627" s="18" t="s">
        <v>163</v>
      </c>
    </row>
    <row r="1628" s="18" customFormat="1" spans="1:29">
      <c r="A1628" s="18" t="s">
        <v>3541</v>
      </c>
      <c r="B1628" s="25" t="s">
        <v>3541</v>
      </c>
      <c r="C1628" s="26">
        <v>45707</v>
      </c>
      <c r="D1628" s="18" t="s">
        <v>3044</v>
      </c>
      <c r="E1628" s="18" t="str">
        <f t="shared" si="25"/>
        <v>Chamunda Traders</v>
      </c>
      <c r="F1628" s="27" t="s">
        <v>3045</v>
      </c>
      <c r="G1628" s="18" t="s">
        <v>147</v>
      </c>
      <c r="H1628" s="18" t="s">
        <v>148</v>
      </c>
      <c r="I1628" s="18" t="s">
        <v>54</v>
      </c>
      <c r="J1628" s="18" t="s">
        <v>2264</v>
      </c>
      <c r="K1628" s="18" t="s">
        <v>56</v>
      </c>
      <c r="L1628" s="18" t="s">
        <v>36</v>
      </c>
      <c r="N1628" s="18">
        <v>6</v>
      </c>
      <c r="O1628" s="18" t="s">
        <v>88</v>
      </c>
      <c r="P1628" s="18" t="s">
        <v>38</v>
      </c>
      <c r="Q1628" s="18" t="s">
        <v>58</v>
      </c>
      <c r="R1628" s="18" t="s">
        <v>59</v>
      </c>
      <c r="S1628" s="18" t="s">
        <v>60</v>
      </c>
      <c r="T1628" s="18" t="b">
        <v>1</v>
      </c>
      <c r="U1628" s="18" t="s">
        <v>150</v>
      </c>
      <c r="V1628" s="18" t="s">
        <v>40</v>
      </c>
      <c r="W1628" s="18" t="s">
        <v>233</v>
      </c>
      <c r="X1628" s="18" t="s">
        <v>234</v>
      </c>
      <c r="Y1628" s="18">
        <v>1</v>
      </c>
      <c r="Z1628" s="18">
        <v>8203</v>
      </c>
      <c r="AA1628" s="18" t="s">
        <v>3539</v>
      </c>
      <c r="AB1628" s="18" t="s">
        <v>3540</v>
      </c>
      <c r="AC1628" s="18" t="e">
        <v>#N/A</v>
      </c>
    </row>
    <row r="1629" s="18" customFormat="1" spans="1:29">
      <c r="A1629" s="18" t="s">
        <v>3542</v>
      </c>
      <c r="B1629" s="25" t="s">
        <v>3542</v>
      </c>
      <c r="C1629" s="26">
        <v>45707</v>
      </c>
      <c r="D1629" s="18" t="s">
        <v>1462</v>
      </c>
      <c r="E1629" s="18" t="str">
        <f t="shared" si="25"/>
        <v>99 Online</v>
      </c>
      <c r="F1629" s="27" t="s">
        <v>1463</v>
      </c>
      <c r="G1629" s="18" t="s">
        <v>147</v>
      </c>
      <c r="H1629" s="18" t="s">
        <v>148</v>
      </c>
      <c r="I1629" s="18" t="s">
        <v>207</v>
      </c>
      <c r="J1629" s="18" t="s">
        <v>1238</v>
      </c>
      <c r="K1629" s="18" t="s">
        <v>56</v>
      </c>
      <c r="L1629" s="18" t="s">
        <v>36</v>
      </c>
      <c r="N1629" s="18">
        <v>6</v>
      </c>
      <c r="O1629" s="18" t="s">
        <v>88</v>
      </c>
      <c r="P1629" s="18" t="s">
        <v>38</v>
      </c>
      <c r="Q1629" s="18" t="s">
        <v>58</v>
      </c>
      <c r="R1629" s="18" t="s">
        <v>59</v>
      </c>
      <c r="S1629" s="18" t="s">
        <v>60</v>
      </c>
      <c r="T1629" s="18" t="b">
        <v>1</v>
      </c>
      <c r="U1629" s="18" t="s">
        <v>150</v>
      </c>
      <c r="V1629" s="18" t="s">
        <v>40</v>
      </c>
      <c r="W1629" s="18" t="s">
        <v>317</v>
      </c>
      <c r="X1629" s="18" t="s">
        <v>318</v>
      </c>
      <c r="Y1629" s="18">
        <v>1</v>
      </c>
      <c r="Z1629" s="18">
        <v>170000</v>
      </c>
      <c r="AA1629" s="18" t="s">
        <v>1877</v>
      </c>
      <c r="AB1629" s="18" t="s">
        <v>1711</v>
      </c>
      <c r="AC1629" s="18" t="s">
        <v>163</v>
      </c>
    </row>
    <row r="1630" s="18" customFormat="1" spans="1:29">
      <c r="A1630" s="18" t="s">
        <v>3543</v>
      </c>
      <c r="B1630" s="25" t="s">
        <v>3543</v>
      </c>
      <c r="C1630" s="26">
        <v>45707</v>
      </c>
      <c r="D1630" s="18" t="s">
        <v>533</v>
      </c>
      <c r="E1630" s="18" t="str">
        <f t="shared" si="25"/>
        <v>Powerpro</v>
      </c>
      <c r="F1630" s="27" t="e">
        <v>#N/A</v>
      </c>
      <c r="G1630" s="18" t="s">
        <v>147</v>
      </c>
      <c r="H1630" s="18" t="s">
        <v>148</v>
      </c>
      <c r="I1630" s="18" t="s">
        <v>207</v>
      </c>
      <c r="J1630" s="18" t="s">
        <v>1238</v>
      </c>
      <c r="K1630" s="18" t="s">
        <v>56</v>
      </c>
      <c r="L1630" s="18" t="s">
        <v>36</v>
      </c>
      <c r="N1630" s="18">
        <v>6</v>
      </c>
      <c r="O1630" s="18" t="s">
        <v>88</v>
      </c>
      <c r="P1630" s="18" t="s">
        <v>38</v>
      </c>
      <c r="Q1630" s="18" t="s">
        <v>58</v>
      </c>
      <c r="R1630" s="18" t="s">
        <v>59</v>
      </c>
      <c r="S1630" s="18" t="s">
        <v>60</v>
      </c>
      <c r="T1630" s="18" t="b">
        <v>1</v>
      </c>
      <c r="U1630" s="18" t="s">
        <v>150</v>
      </c>
      <c r="V1630" s="18" t="s">
        <v>40</v>
      </c>
      <c r="W1630" s="18" t="s">
        <v>371</v>
      </c>
      <c r="X1630" s="18" t="s">
        <v>372</v>
      </c>
      <c r="Y1630" s="18">
        <v>1</v>
      </c>
      <c r="Z1630" s="18">
        <v>10000</v>
      </c>
      <c r="AA1630" s="18" t="s">
        <v>1877</v>
      </c>
      <c r="AB1630" s="18" t="s">
        <v>1711</v>
      </c>
      <c r="AC1630" s="18" t="s">
        <v>163</v>
      </c>
    </row>
    <row r="1631" s="18" customFormat="1" spans="1:29">
      <c r="A1631" s="18" t="s">
        <v>3544</v>
      </c>
      <c r="B1631" s="25" t="s">
        <v>3544</v>
      </c>
      <c r="C1631" s="26">
        <v>45707</v>
      </c>
      <c r="D1631" s="18" t="s">
        <v>559</v>
      </c>
      <c r="E1631" s="18" t="str">
        <f t="shared" si="25"/>
        <v>Red Carpet Events And Entertainment</v>
      </c>
      <c r="F1631" s="27" t="s">
        <v>560</v>
      </c>
      <c r="G1631" s="18" t="s">
        <v>147</v>
      </c>
      <c r="H1631" s="18" t="s">
        <v>148</v>
      </c>
      <c r="I1631" s="18" t="s">
        <v>207</v>
      </c>
      <c r="J1631" s="18" t="s">
        <v>1238</v>
      </c>
      <c r="K1631" s="18" t="s">
        <v>56</v>
      </c>
      <c r="L1631" s="18" t="s">
        <v>36</v>
      </c>
      <c r="N1631" s="18">
        <v>6</v>
      </c>
      <c r="O1631" s="18" t="s">
        <v>88</v>
      </c>
      <c r="P1631" s="18" t="s">
        <v>38</v>
      </c>
      <c r="Q1631" s="18" t="s">
        <v>58</v>
      </c>
      <c r="R1631" s="18" t="s">
        <v>59</v>
      </c>
      <c r="S1631" s="18" t="s">
        <v>60</v>
      </c>
      <c r="T1631" s="18" t="b">
        <v>1</v>
      </c>
      <c r="U1631" s="18" t="s">
        <v>150</v>
      </c>
      <c r="V1631" s="18" t="s">
        <v>40</v>
      </c>
      <c r="W1631" s="18" t="s">
        <v>292</v>
      </c>
      <c r="X1631" s="18" t="s">
        <v>293</v>
      </c>
      <c r="Y1631" s="18">
        <v>1</v>
      </c>
      <c r="Z1631" s="18">
        <v>4500</v>
      </c>
      <c r="AA1631" s="18" t="s">
        <v>1877</v>
      </c>
      <c r="AB1631" s="18" t="s">
        <v>1711</v>
      </c>
      <c r="AC1631" s="18" t="e">
        <v>#N/A</v>
      </c>
    </row>
    <row r="1632" s="18" customFormat="1" spans="1:29">
      <c r="A1632" s="18" t="s">
        <v>3545</v>
      </c>
      <c r="B1632" s="25" t="s">
        <v>3545</v>
      </c>
      <c r="C1632" s="26">
        <v>45707</v>
      </c>
      <c r="D1632" s="18" t="s">
        <v>404</v>
      </c>
      <c r="E1632" s="18" t="str">
        <f t="shared" si="25"/>
        <v>Raghav Bhardwaj  </v>
      </c>
      <c r="F1632" s="27" t="e">
        <v>#N/A</v>
      </c>
      <c r="G1632" s="18" t="s">
        <v>147</v>
      </c>
      <c r="H1632" s="18" t="s">
        <v>148</v>
      </c>
      <c r="I1632" s="18" t="s">
        <v>159</v>
      </c>
      <c r="J1632" s="18" t="s">
        <v>149</v>
      </c>
      <c r="K1632" s="18" t="s">
        <v>56</v>
      </c>
      <c r="L1632" s="18" t="s">
        <v>36</v>
      </c>
      <c r="N1632" s="18">
        <v>6</v>
      </c>
      <c r="O1632" s="18" t="s">
        <v>93</v>
      </c>
      <c r="P1632" s="18" t="s">
        <v>38</v>
      </c>
      <c r="Q1632" s="18" t="s">
        <v>58</v>
      </c>
      <c r="R1632" s="18" t="s">
        <v>59</v>
      </c>
      <c r="S1632" s="18" t="s">
        <v>60</v>
      </c>
      <c r="T1632" s="18" t="b">
        <v>1</v>
      </c>
      <c r="U1632" s="18" t="s">
        <v>150</v>
      </c>
      <c r="V1632" s="18" t="s">
        <v>40</v>
      </c>
      <c r="W1632" s="18" t="s">
        <v>126</v>
      </c>
      <c r="X1632" s="18" t="s">
        <v>127</v>
      </c>
      <c r="Y1632" s="18">
        <v>1</v>
      </c>
      <c r="Z1632" s="18">
        <v>2267</v>
      </c>
      <c r="AA1632" s="18" t="s">
        <v>1471</v>
      </c>
      <c r="AB1632" s="18" t="s">
        <v>406</v>
      </c>
      <c r="AC1632" s="18" t="e">
        <v>#N/A</v>
      </c>
    </row>
    <row r="1633" s="18" customFormat="1" spans="1:29">
      <c r="A1633" s="18" t="s">
        <v>3546</v>
      </c>
      <c r="B1633" s="25" t="s">
        <v>3546</v>
      </c>
      <c r="C1633" s="26">
        <v>45707</v>
      </c>
      <c r="D1633" s="18" t="s">
        <v>404</v>
      </c>
      <c r="E1633" s="18" t="str">
        <f t="shared" si="25"/>
        <v>Raghav Bhardwaj  </v>
      </c>
      <c r="F1633" s="27" t="e">
        <v>#N/A</v>
      </c>
      <c r="G1633" s="18" t="s">
        <v>147</v>
      </c>
      <c r="H1633" s="18" t="s">
        <v>148</v>
      </c>
      <c r="I1633" s="18" t="s">
        <v>159</v>
      </c>
      <c r="J1633" s="18" t="s">
        <v>149</v>
      </c>
      <c r="K1633" s="18" t="s">
        <v>56</v>
      </c>
      <c r="L1633" s="18" t="s">
        <v>36</v>
      </c>
      <c r="N1633" s="18">
        <v>6</v>
      </c>
      <c r="O1633" s="18" t="s">
        <v>93</v>
      </c>
      <c r="P1633" s="18" t="s">
        <v>38</v>
      </c>
      <c r="Q1633" s="18" t="s">
        <v>58</v>
      </c>
      <c r="R1633" s="18" t="s">
        <v>59</v>
      </c>
      <c r="S1633" s="18" t="s">
        <v>60</v>
      </c>
      <c r="T1633" s="18" t="b">
        <v>1</v>
      </c>
      <c r="U1633" s="18" t="s">
        <v>150</v>
      </c>
      <c r="V1633" s="18" t="s">
        <v>40</v>
      </c>
      <c r="W1633" s="18" t="s">
        <v>126</v>
      </c>
      <c r="X1633" s="18" t="s">
        <v>127</v>
      </c>
      <c r="Y1633" s="18">
        <v>1</v>
      </c>
      <c r="Z1633" s="18">
        <v>6687</v>
      </c>
      <c r="AA1633" s="18" t="s">
        <v>1471</v>
      </c>
      <c r="AB1633" s="18" t="s">
        <v>406</v>
      </c>
      <c r="AC1633" s="18" t="e">
        <v>#N/A</v>
      </c>
    </row>
    <row r="1634" s="18" customFormat="1" spans="1:29">
      <c r="A1634" s="18" t="s">
        <v>3547</v>
      </c>
      <c r="B1634" s="25" t="s">
        <v>3547</v>
      </c>
      <c r="C1634" s="26">
        <v>45707</v>
      </c>
      <c r="D1634" s="18" t="s">
        <v>3548</v>
      </c>
      <c r="E1634" s="18" t="str">
        <f t="shared" si="25"/>
        <v>Sai Info Solutions</v>
      </c>
      <c r="F1634" s="27" t="s">
        <v>3549</v>
      </c>
      <c r="G1634" s="18" t="s">
        <v>147</v>
      </c>
      <c r="H1634" s="18" t="s">
        <v>148</v>
      </c>
      <c r="I1634" s="18" t="s">
        <v>207</v>
      </c>
      <c r="J1634" s="18" t="s">
        <v>2264</v>
      </c>
      <c r="K1634" s="18" t="s">
        <v>56</v>
      </c>
      <c r="L1634" s="18" t="s">
        <v>36</v>
      </c>
      <c r="N1634" s="18">
        <v>6</v>
      </c>
      <c r="O1634" s="18" t="s">
        <v>88</v>
      </c>
      <c r="P1634" s="18" t="s">
        <v>38</v>
      </c>
      <c r="Q1634" s="18" t="s">
        <v>58</v>
      </c>
      <c r="R1634" s="18" t="s">
        <v>59</v>
      </c>
      <c r="S1634" s="18" t="s">
        <v>60</v>
      </c>
      <c r="T1634" s="18" t="b">
        <v>1</v>
      </c>
      <c r="U1634" s="18" t="s">
        <v>150</v>
      </c>
      <c r="V1634" s="18" t="s">
        <v>40</v>
      </c>
      <c r="W1634" s="18" t="s">
        <v>371</v>
      </c>
      <c r="X1634" s="18" t="s">
        <v>372</v>
      </c>
      <c r="Y1634" s="18">
        <v>1</v>
      </c>
      <c r="Z1634" s="18">
        <v>238250</v>
      </c>
      <c r="AA1634" s="18" t="s">
        <v>544</v>
      </c>
      <c r="AB1634" s="18" t="s">
        <v>397</v>
      </c>
      <c r="AC1634" s="18" t="s">
        <v>163</v>
      </c>
    </row>
    <row r="1635" s="18" customFormat="1" spans="1:29">
      <c r="A1635" s="18" t="s">
        <v>3550</v>
      </c>
      <c r="B1635" s="25" t="s">
        <v>3550</v>
      </c>
      <c r="C1635" s="26">
        <v>45707</v>
      </c>
      <c r="D1635" s="18" t="s">
        <v>1720</v>
      </c>
      <c r="E1635" s="18" t="str">
        <f t="shared" si="25"/>
        <v>Anil Kumar Singh..........</v>
      </c>
      <c r="F1635" s="27" t="e">
        <v>#N/A</v>
      </c>
      <c r="G1635" s="18" t="s">
        <v>147</v>
      </c>
      <c r="H1635" s="18" t="s">
        <v>148</v>
      </c>
      <c r="I1635" s="18" t="s">
        <v>54</v>
      </c>
      <c r="J1635" s="18" t="s">
        <v>1426</v>
      </c>
      <c r="K1635" s="18" t="s">
        <v>56</v>
      </c>
      <c r="L1635" s="18" t="s">
        <v>36</v>
      </c>
      <c r="N1635" s="18">
        <v>6</v>
      </c>
      <c r="O1635" s="18" t="s">
        <v>93</v>
      </c>
      <c r="P1635" s="18" t="s">
        <v>38</v>
      </c>
      <c r="Q1635" s="18" t="s">
        <v>58</v>
      </c>
      <c r="R1635" s="18" t="s">
        <v>59</v>
      </c>
      <c r="S1635" s="18" t="s">
        <v>60</v>
      </c>
      <c r="T1635" s="18" t="b">
        <v>1</v>
      </c>
      <c r="U1635" s="18" t="s">
        <v>150</v>
      </c>
      <c r="V1635" s="18" t="s">
        <v>40</v>
      </c>
      <c r="W1635" s="18" t="s">
        <v>126</v>
      </c>
      <c r="X1635" s="18" t="s">
        <v>127</v>
      </c>
      <c r="Y1635" s="18">
        <v>1</v>
      </c>
      <c r="Z1635" s="18">
        <v>1023</v>
      </c>
      <c r="AA1635" s="18" t="s">
        <v>2522</v>
      </c>
      <c r="AB1635" s="18" t="s">
        <v>1722</v>
      </c>
      <c r="AC1635" s="18" t="e">
        <v>#N/A</v>
      </c>
    </row>
    <row r="1636" s="18" customFormat="1" spans="1:29">
      <c r="A1636" s="18" t="s">
        <v>3551</v>
      </c>
      <c r="B1636" s="25" t="s">
        <v>3551</v>
      </c>
      <c r="C1636" s="26">
        <v>45707</v>
      </c>
      <c r="D1636" s="18" t="s">
        <v>2525</v>
      </c>
      <c r="E1636" s="18" t="str">
        <f t="shared" si="25"/>
        <v>Naveen Mandal  </v>
      </c>
      <c r="F1636" s="27" t="s">
        <v>2526</v>
      </c>
      <c r="G1636" s="18" t="s">
        <v>147</v>
      </c>
      <c r="H1636" s="18" t="s">
        <v>148</v>
      </c>
      <c r="I1636" s="18" t="s">
        <v>54</v>
      </c>
      <c r="J1636" s="18" t="s">
        <v>240</v>
      </c>
      <c r="K1636" s="18" t="s">
        <v>56</v>
      </c>
      <c r="L1636" s="18" t="s">
        <v>36</v>
      </c>
      <c r="N1636" s="18">
        <v>6</v>
      </c>
      <c r="O1636" s="18" t="s">
        <v>93</v>
      </c>
      <c r="P1636" s="18" t="s">
        <v>38</v>
      </c>
      <c r="Q1636" s="18" t="s">
        <v>58</v>
      </c>
      <c r="R1636" s="18" t="s">
        <v>59</v>
      </c>
      <c r="S1636" s="18" t="s">
        <v>60</v>
      </c>
      <c r="T1636" s="18" t="b">
        <v>1</v>
      </c>
      <c r="U1636" s="18" t="s">
        <v>150</v>
      </c>
      <c r="V1636" s="18" t="s">
        <v>40</v>
      </c>
      <c r="W1636" s="18" t="s">
        <v>126</v>
      </c>
      <c r="X1636" s="18" t="s">
        <v>127</v>
      </c>
      <c r="Y1636" s="18">
        <v>1</v>
      </c>
      <c r="Z1636" s="18">
        <v>1920</v>
      </c>
      <c r="AA1636" s="18" t="s">
        <v>1664</v>
      </c>
      <c r="AB1636" s="18" t="s">
        <v>1665</v>
      </c>
      <c r="AC1636" s="18" t="e">
        <v>#N/A</v>
      </c>
    </row>
    <row r="1637" s="18" customFormat="1" spans="1:29">
      <c r="A1637" s="18" t="s">
        <v>3552</v>
      </c>
      <c r="B1637" s="25" t="s">
        <v>3552</v>
      </c>
      <c r="C1637" s="26">
        <v>45707</v>
      </c>
      <c r="D1637" s="18" t="s">
        <v>3553</v>
      </c>
      <c r="E1637" s="18" t="str">
        <f t="shared" si="25"/>
        <v>Seemant Mahalwal  </v>
      </c>
      <c r="F1637" s="27" t="s">
        <v>3554</v>
      </c>
      <c r="G1637" s="18" t="s">
        <v>147</v>
      </c>
      <c r="H1637" s="18" t="s">
        <v>148</v>
      </c>
      <c r="I1637" s="18" t="s">
        <v>54</v>
      </c>
      <c r="J1637" s="18" t="s">
        <v>240</v>
      </c>
      <c r="K1637" s="18" t="s">
        <v>56</v>
      </c>
      <c r="L1637" s="18" t="s">
        <v>36</v>
      </c>
      <c r="N1637" s="18">
        <v>6</v>
      </c>
      <c r="O1637" s="18" t="s">
        <v>93</v>
      </c>
      <c r="P1637" s="18" t="s">
        <v>38</v>
      </c>
      <c r="Q1637" s="18" t="s">
        <v>58</v>
      </c>
      <c r="R1637" s="18" t="s">
        <v>59</v>
      </c>
      <c r="S1637" s="18" t="s">
        <v>60</v>
      </c>
      <c r="T1637" s="18" t="b">
        <v>1</v>
      </c>
      <c r="U1637" s="18" t="s">
        <v>150</v>
      </c>
      <c r="V1637" s="18" t="s">
        <v>40</v>
      </c>
      <c r="W1637" s="18" t="s">
        <v>126</v>
      </c>
      <c r="X1637" s="18" t="s">
        <v>127</v>
      </c>
      <c r="Y1637" s="18">
        <v>1</v>
      </c>
      <c r="Z1637" s="18">
        <v>3643</v>
      </c>
      <c r="AA1637" s="18" t="s">
        <v>1877</v>
      </c>
      <c r="AB1637" s="18" t="s">
        <v>1711</v>
      </c>
      <c r="AC1637" s="18" t="e">
        <v>#N/A</v>
      </c>
    </row>
    <row r="1638" s="18" customFormat="1" ht="43.5" spans="1:29">
      <c r="A1638" s="18" t="s">
        <v>3555</v>
      </c>
      <c r="B1638" s="25" t="s">
        <v>3555</v>
      </c>
      <c r="C1638" s="26">
        <v>45707</v>
      </c>
      <c r="D1638" s="18" t="s">
        <v>1267</v>
      </c>
      <c r="E1638" s="18" t="str">
        <f t="shared" si="25"/>
        <v>Black Pearl Production Pvt Ltd</v>
      </c>
      <c r="F1638" s="27" t="s">
        <v>1268</v>
      </c>
      <c r="G1638" s="18" t="s">
        <v>147</v>
      </c>
      <c r="H1638" s="18" t="s">
        <v>148</v>
      </c>
      <c r="I1638" s="18" t="s">
        <v>184</v>
      </c>
      <c r="J1638" s="18" t="s">
        <v>2429</v>
      </c>
      <c r="K1638" s="18" t="s">
        <v>56</v>
      </c>
      <c r="L1638" s="18" t="s">
        <v>36</v>
      </c>
      <c r="N1638" s="18">
        <v>6</v>
      </c>
      <c r="O1638" s="18" t="s">
        <v>88</v>
      </c>
      <c r="P1638" s="18" t="s">
        <v>38</v>
      </c>
      <c r="Q1638" s="18" t="s">
        <v>194</v>
      </c>
      <c r="R1638" s="18" t="s">
        <v>59</v>
      </c>
      <c r="S1638" s="18" t="s">
        <v>195</v>
      </c>
      <c r="T1638" s="18" t="b">
        <v>1</v>
      </c>
      <c r="U1638" s="18" t="s">
        <v>150</v>
      </c>
      <c r="V1638" s="18" t="s">
        <v>40</v>
      </c>
      <c r="W1638" s="18" t="s">
        <v>371</v>
      </c>
      <c r="X1638" s="18" t="s">
        <v>372</v>
      </c>
      <c r="Y1638" s="18">
        <v>1</v>
      </c>
      <c r="Z1638" s="18">
        <v>20000</v>
      </c>
      <c r="AA1638" s="31" t="s">
        <v>2890</v>
      </c>
      <c r="AB1638" s="18" t="s">
        <v>948</v>
      </c>
      <c r="AC1638" s="18" t="s">
        <v>163</v>
      </c>
    </row>
    <row r="1639" s="18" customFormat="1" spans="1:29">
      <c r="A1639" s="18" t="s">
        <v>3556</v>
      </c>
      <c r="B1639" s="25" t="s">
        <v>3556</v>
      </c>
      <c r="C1639" s="26">
        <v>45707</v>
      </c>
      <c r="D1639" s="18" t="s">
        <v>2641</v>
      </c>
      <c r="E1639" s="18" t="str">
        <f t="shared" si="25"/>
        <v>Lamour Voyages Pvt Ltd</v>
      </c>
      <c r="F1639" s="27" t="s">
        <v>2642</v>
      </c>
      <c r="G1639" s="18" t="s">
        <v>147</v>
      </c>
      <c r="H1639" s="18" t="s">
        <v>148</v>
      </c>
      <c r="I1639" s="18" t="s">
        <v>184</v>
      </c>
      <c r="J1639" s="18" t="s">
        <v>1871</v>
      </c>
      <c r="K1639" s="18" t="s">
        <v>56</v>
      </c>
      <c r="L1639" s="18" t="s">
        <v>36</v>
      </c>
      <c r="N1639" s="18">
        <v>6</v>
      </c>
      <c r="O1639" s="18" t="s">
        <v>57</v>
      </c>
      <c r="P1639" s="18" t="s">
        <v>38</v>
      </c>
      <c r="Q1639" s="18" t="s">
        <v>117</v>
      </c>
      <c r="R1639" s="18" t="s">
        <v>59</v>
      </c>
      <c r="S1639" s="18" t="s">
        <v>118</v>
      </c>
      <c r="T1639" s="18" t="b">
        <v>1</v>
      </c>
      <c r="U1639" s="18" t="s">
        <v>150</v>
      </c>
      <c r="V1639" s="18" t="s">
        <v>40</v>
      </c>
      <c r="W1639" s="18" t="s">
        <v>119</v>
      </c>
      <c r="X1639" s="18" t="s">
        <v>120</v>
      </c>
      <c r="Y1639" s="18">
        <v>1</v>
      </c>
      <c r="Z1639" s="18">
        <v>163059.3</v>
      </c>
      <c r="AA1639" s="18" t="s">
        <v>3557</v>
      </c>
      <c r="AB1639" s="18" t="s">
        <v>1424</v>
      </c>
      <c r="AC1639" s="18" t="s">
        <v>764</v>
      </c>
    </row>
    <row r="1640" s="19" customFormat="1" ht="43.5" spans="1:29">
      <c r="A1640" s="19" t="s">
        <v>3558</v>
      </c>
      <c r="B1640" s="28" t="s">
        <v>3558</v>
      </c>
      <c r="C1640" s="29">
        <v>45707</v>
      </c>
      <c r="D1640" s="19" t="s">
        <v>3282</v>
      </c>
      <c r="E1640" s="19" t="str">
        <f t="shared" si="25"/>
        <v>Shree Raj Systems</v>
      </c>
      <c r="F1640" s="30" t="s">
        <v>3283</v>
      </c>
      <c r="G1640" s="19" t="s">
        <v>182</v>
      </c>
      <c r="H1640" s="19" t="s">
        <v>473</v>
      </c>
      <c r="I1640" s="19" t="s">
        <v>184</v>
      </c>
      <c r="K1640" s="19" t="s">
        <v>35</v>
      </c>
      <c r="L1640" s="19" t="s">
        <v>36</v>
      </c>
      <c r="N1640" s="19">
        <v>6</v>
      </c>
      <c r="O1640" s="19" t="s">
        <v>88</v>
      </c>
      <c r="P1640" s="19" t="s">
        <v>38</v>
      </c>
      <c r="T1640" s="19" t="b">
        <v>0</v>
      </c>
      <c r="U1640" s="19" t="s">
        <v>187</v>
      </c>
      <c r="V1640" s="19" t="s">
        <v>40</v>
      </c>
      <c r="W1640" s="19" t="s">
        <v>3240</v>
      </c>
      <c r="X1640" s="19" t="e">
        <v>#N/A</v>
      </c>
      <c r="Y1640" s="19">
        <v>1</v>
      </c>
      <c r="Z1640" s="19">
        <v>36500</v>
      </c>
      <c r="AA1640" s="32" t="s">
        <v>2826</v>
      </c>
      <c r="AB1640" s="19" t="s">
        <v>993</v>
      </c>
      <c r="AC1640" s="19" t="s">
        <v>200</v>
      </c>
    </row>
    <row r="1641" s="18" customFormat="1" spans="1:29">
      <c r="A1641" s="18" t="s">
        <v>3559</v>
      </c>
      <c r="B1641" s="25" t="s">
        <v>3559</v>
      </c>
      <c r="C1641" s="26">
        <v>45707</v>
      </c>
      <c r="D1641" s="18" t="s">
        <v>1404</v>
      </c>
      <c r="E1641" s="18" t="str">
        <f t="shared" si="25"/>
        <v>Mohammad Danish  </v>
      </c>
      <c r="F1641" s="27" t="s">
        <v>1405</v>
      </c>
      <c r="G1641" s="18" t="s">
        <v>182</v>
      </c>
      <c r="H1641" s="18" t="s">
        <v>183</v>
      </c>
      <c r="I1641" s="18" t="s">
        <v>481</v>
      </c>
      <c r="J1641" s="18" t="s">
        <v>2464</v>
      </c>
      <c r="K1641" s="18" t="s">
        <v>56</v>
      </c>
      <c r="L1641" s="18" t="s">
        <v>36</v>
      </c>
      <c r="N1641" s="18">
        <v>6</v>
      </c>
      <c r="O1641" s="18" t="s">
        <v>93</v>
      </c>
      <c r="P1641" s="18" t="s">
        <v>38</v>
      </c>
      <c r="Q1641" s="18" t="s">
        <v>58</v>
      </c>
      <c r="R1641" s="18" t="s">
        <v>59</v>
      </c>
      <c r="S1641" s="18" t="s">
        <v>60</v>
      </c>
      <c r="T1641" s="18" t="b">
        <v>0</v>
      </c>
      <c r="U1641" s="18" t="s">
        <v>187</v>
      </c>
      <c r="V1641" s="18" t="s">
        <v>40</v>
      </c>
      <c r="W1641" s="18" t="s">
        <v>126</v>
      </c>
      <c r="X1641" s="18" t="s">
        <v>127</v>
      </c>
      <c r="Y1641" s="18">
        <v>1</v>
      </c>
      <c r="Z1641" s="18">
        <v>914</v>
      </c>
      <c r="AC1641" s="18" t="e">
        <v>#N/A</v>
      </c>
    </row>
    <row r="1642" s="18" customFormat="1" spans="1:29">
      <c r="A1642" s="18" t="s">
        <v>3560</v>
      </c>
      <c r="B1642" s="25" t="s">
        <v>3560</v>
      </c>
      <c r="C1642" s="26">
        <v>45707</v>
      </c>
      <c r="D1642" s="18" t="s">
        <v>3561</v>
      </c>
      <c r="E1642" s="18" t="str">
        <f t="shared" si="25"/>
        <v>Tejas Damania  </v>
      </c>
      <c r="F1642" s="27" t="e">
        <v>#N/A</v>
      </c>
      <c r="G1642" s="18" t="s">
        <v>182</v>
      </c>
      <c r="H1642" s="18" t="s">
        <v>183</v>
      </c>
      <c r="I1642" s="18" t="s">
        <v>481</v>
      </c>
      <c r="J1642" s="18" t="s">
        <v>3123</v>
      </c>
      <c r="K1642" s="18" t="s">
        <v>56</v>
      </c>
      <c r="L1642" s="18" t="s">
        <v>36</v>
      </c>
      <c r="N1642" s="18">
        <v>6</v>
      </c>
      <c r="O1642" s="18" t="s">
        <v>93</v>
      </c>
      <c r="P1642" s="18" t="s">
        <v>38</v>
      </c>
      <c r="Q1642" s="18" t="s">
        <v>194</v>
      </c>
      <c r="R1642" s="18" t="s">
        <v>59</v>
      </c>
      <c r="S1642" s="18" t="s">
        <v>195</v>
      </c>
      <c r="T1642" s="18" t="b">
        <v>0</v>
      </c>
      <c r="U1642" s="18" t="s">
        <v>187</v>
      </c>
      <c r="V1642" s="18" t="s">
        <v>40</v>
      </c>
      <c r="W1642" s="18" t="s">
        <v>233</v>
      </c>
      <c r="X1642" s="18" t="s">
        <v>234</v>
      </c>
      <c r="Y1642" s="18">
        <v>1</v>
      </c>
      <c r="Z1642" s="18">
        <v>7839</v>
      </c>
      <c r="AC1642" s="18" t="e">
        <v>#N/A</v>
      </c>
    </row>
    <row r="1643" s="18" customFormat="1" spans="1:29">
      <c r="A1643" s="18" t="s">
        <v>3562</v>
      </c>
      <c r="B1643" s="25" t="s">
        <v>3562</v>
      </c>
      <c r="C1643" s="26">
        <v>45707</v>
      </c>
      <c r="D1643" s="18" t="s">
        <v>1052</v>
      </c>
      <c r="E1643" s="18" t="str">
        <f t="shared" si="25"/>
        <v>Sachin Jadhav </v>
      </c>
      <c r="F1643" s="27" t="e">
        <v>#N/A</v>
      </c>
      <c r="G1643" s="18" t="s">
        <v>182</v>
      </c>
      <c r="H1643" s="18" t="s">
        <v>183</v>
      </c>
      <c r="I1643" s="18" t="s">
        <v>481</v>
      </c>
      <c r="J1643" s="18" t="s">
        <v>139</v>
      </c>
      <c r="K1643" s="18" t="s">
        <v>56</v>
      </c>
      <c r="L1643" s="18" t="s">
        <v>36</v>
      </c>
      <c r="N1643" s="18">
        <v>6</v>
      </c>
      <c r="O1643" s="18" t="s">
        <v>93</v>
      </c>
      <c r="P1643" s="18" t="s">
        <v>38</v>
      </c>
      <c r="Q1643" s="18" t="s">
        <v>58</v>
      </c>
      <c r="R1643" s="18" t="s">
        <v>59</v>
      </c>
      <c r="S1643" s="18" t="s">
        <v>60</v>
      </c>
      <c r="T1643" s="18" t="b">
        <v>0</v>
      </c>
      <c r="U1643" s="18" t="s">
        <v>187</v>
      </c>
      <c r="V1643" s="18" t="s">
        <v>40</v>
      </c>
      <c r="W1643" s="18" t="s">
        <v>126</v>
      </c>
      <c r="X1643" s="18" t="s">
        <v>127</v>
      </c>
      <c r="Y1643" s="18">
        <v>1</v>
      </c>
      <c r="Z1643" s="18">
        <v>136</v>
      </c>
      <c r="AC1643" s="18" t="e">
        <v>#N/A</v>
      </c>
    </row>
    <row r="1644" s="18" customFormat="1" spans="1:29">
      <c r="A1644" s="18" t="s">
        <v>3563</v>
      </c>
      <c r="B1644" s="25" t="s">
        <v>3563</v>
      </c>
      <c r="C1644" s="26">
        <v>45707</v>
      </c>
      <c r="D1644" s="18" t="s">
        <v>3564</v>
      </c>
      <c r="E1644" s="18" t="str">
        <f t="shared" si="25"/>
        <v>Shabnam Shaikh Adv. </v>
      </c>
      <c r="F1644" s="27" t="e">
        <v>#N/A</v>
      </c>
      <c r="G1644" s="18" t="s">
        <v>182</v>
      </c>
      <c r="H1644" s="18" t="s">
        <v>183</v>
      </c>
      <c r="I1644" s="18" t="s">
        <v>481</v>
      </c>
      <c r="J1644" s="18" t="s">
        <v>139</v>
      </c>
      <c r="K1644" s="18" t="s">
        <v>56</v>
      </c>
      <c r="L1644" s="18" t="s">
        <v>36</v>
      </c>
      <c r="N1644" s="18">
        <v>6</v>
      </c>
      <c r="O1644" s="18" t="s">
        <v>93</v>
      </c>
      <c r="P1644" s="18" t="s">
        <v>38</v>
      </c>
      <c r="Q1644" s="18" t="s">
        <v>58</v>
      </c>
      <c r="R1644" s="18" t="s">
        <v>59</v>
      </c>
      <c r="S1644" s="18" t="s">
        <v>60</v>
      </c>
      <c r="T1644" s="18" t="b">
        <v>0</v>
      </c>
      <c r="U1644" s="18" t="s">
        <v>187</v>
      </c>
      <c r="V1644" s="18" t="s">
        <v>40</v>
      </c>
      <c r="W1644" s="18" t="s">
        <v>126</v>
      </c>
      <c r="X1644" s="18" t="s">
        <v>127</v>
      </c>
      <c r="Y1644" s="18">
        <v>1</v>
      </c>
      <c r="Z1644" s="18">
        <v>5013</v>
      </c>
      <c r="AC1644" s="18" t="e">
        <v>#N/A</v>
      </c>
    </row>
    <row r="1645" s="18" customFormat="1" spans="1:29">
      <c r="A1645" s="18" t="s">
        <v>3565</v>
      </c>
      <c r="B1645" s="25" t="s">
        <v>3565</v>
      </c>
      <c r="C1645" s="26">
        <v>45707</v>
      </c>
      <c r="D1645" s="18" t="s">
        <v>915</v>
      </c>
      <c r="E1645" s="18" t="str">
        <f t="shared" si="25"/>
        <v>Santosh Bhogal Cash  </v>
      </c>
      <c r="F1645" s="27" t="e">
        <v>#N/A</v>
      </c>
      <c r="G1645" s="18" t="s">
        <v>182</v>
      </c>
      <c r="H1645" s="18" t="s">
        <v>183</v>
      </c>
      <c r="I1645" s="18" t="s">
        <v>481</v>
      </c>
      <c r="J1645" s="18" t="s">
        <v>2930</v>
      </c>
      <c r="K1645" s="18" t="s">
        <v>56</v>
      </c>
      <c r="L1645" s="18" t="s">
        <v>36</v>
      </c>
      <c r="N1645" s="18">
        <v>6</v>
      </c>
      <c r="O1645" s="18" t="s">
        <v>93</v>
      </c>
      <c r="P1645" s="18" t="s">
        <v>38</v>
      </c>
      <c r="Q1645" s="18" t="s">
        <v>194</v>
      </c>
      <c r="R1645" s="18" t="s">
        <v>59</v>
      </c>
      <c r="S1645" s="18" t="s">
        <v>195</v>
      </c>
      <c r="T1645" s="18" t="b">
        <v>0</v>
      </c>
      <c r="U1645" s="18" t="s">
        <v>187</v>
      </c>
      <c r="V1645" s="18" t="s">
        <v>40</v>
      </c>
      <c r="W1645" s="18" t="s">
        <v>317</v>
      </c>
      <c r="X1645" s="18" t="s">
        <v>318</v>
      </c>
      <c r="Y1645" s="18">
        <v>1</v>
      </c>
      <c r="Z1645" s="18">
        <v>21111</v>
      </c>
      <c r="AC1645" s="18" t="e">
        <v>#N/A</v>
      </c>
    </row>
    <row r="1646" s="18" customFormat="1" spans="1:29">
      <c r="A1646" s="18" t="s">
        <v>3566</v>
      </c>
      <c r="B1646" s="25" t="s">
        <v>3566</v>
      </c>
      <c r="C1646" s="26">
        <v>45707</v>
      </c>
      <c r="D1646" s="18" t="s">
        <v>1213</v>
      </c>
      <c r="E1646" s="18" t="str">
        <f t="shared" si="25"/>
        <v>Sanjay Kathale Cash </v>
      </c>
      <c r="F1646" s="27" t="e">
        <v>#N/A</v>
      </c>
      <c r="G1646" s="18" t="s">
        <v>182</v>
      </c>
      <c r="H1646" s="18" t="s">
        <v>183</v>
      </c>
      <c r="I1646" s="18" t="s">
        <v>481</v>
      </c>
      <c r="J1646" s="18" t="s">
        <v>2930</v>
      </c>
      <c r="K1646" s="18" t="s">
        <v>56</v>
      </c>
      <c r="L1646" s="18" t="s">
        <v>36</v>
      </c>
      <c r="N1646" s="18">
        <v>6</v>
      </c>
      <c r="O1646" s="18" t="s">
        <v>93</v>
      </c>
      <c r="P1646" s="18" t="s">
        <v>38</v>
      </c>
      <c r="Q1646" s="18" t="s">
        <v>194</v>
      </c>
      <c r="R1646" s="18" t="s">
        <v>59</v>
      </c>
      <c r="S1646" s="18" t="s">
        <v>195</v>
      </c>
      <c r="T1646" s="18" t="b">
        <v>0</v>
      </c>
      <c r="U1646" s="18" t="s">
        <v>187</v>
      </c>
      <c r="V1646" s="18" t="s">
        <v>40</v>
      </c>
      <c r="W1646" s="18" t="s">
        <v>317</v>
      </c>
      <c r="X1646" s="18" t="s">
        <v>318</v>
      </c>
      <c r="Y1646" s="18">
        <v>1</v>
      </c>
      <c r="Z1646" s="18">
        <v>2490</v>
      </c>
      <c r="AC1646" s="18" t="e">
        <v>#N/A</v>
      </c>
    </row>
    <row r="1647" s="18" customFormat="1" spans="1:29">
      <c r="A1647" s="18" t="s">
        <v>3567</v>
      </c>
      <c r="B1647" s="25" t="s">
        <v>3567</v>
      </c>
      <c r="C1647" s="26">
        <v>45707</v>
      </c>
      <c r="D1647" s="18" t="s">
        <v>915</v>
      </c>
      <c r="E1647" s="18" t="str">
        <f t="shared" si="25"/>
        <v>Santosh Bhogal Cash  </v>
      </c>
      <c r="F1647" s="27" t="e">
        <v>#N/A</v>
      </c>
      <c r="G1647" s="18" t="s">
        <v>182</v>
      </c>
      <c r="H1647" s="18" t="s">
        <v>183</v>
      </c>
      <c r="I1647" s="18" t="s">
        <v>481</v>
      </c>
      <c r="J1647" s="18" t="s">
        <v>2319</v>
      </c>
      <c r="K1647" s="18" t="s">
        <v>56</v>
      </c>
      <c r="L1647" s="18" t="s">
        <v>36</v>
      </c>
      <c r="N1647" s="18">
        <v>6</v>
      </c>
      <c r="O1647" s="18" t="s">
        <v>93</v>
      </c>
      <c r="P1647" s="18" t="s">
        <v>38</v>
      </c>
      <c r="Q1647" s="18" t="s">
        <v>194</v>
      </c>
      <c r="R1647" s="18" t="s">
        <v>59</v>
      </c>
      <c r="S1647" s="18" t="s">
        <v>195</v>
      </c>
      <c r="T1647" s="18" t="b">
        <v>0</v>
      </c>
      <c r="U1647" s="18" t="s">
        <v>187</v>
      </c>
      <c r="V1647" s="18" t="s">
        <v>40</v>
      </c>
      <c r="W1647" s="18" t="s">
        <v>317</v>
      </c>
      <c r="X1647" s="18" t="s">
        <v>318</v>
      </c>
      <c r="Y1647" s="18">
        <v>1</v>
      </c>
      <c r="Z1647" s="18">
        <v>2043</v>
      </c>
      <c r="AC1647" s="18" t="e">
        <v>#N/A</v>
      </c>
    </row>
    <row r="1648" s="18" customFormat="1" spans="1:29">
      <c r="A1648" s="18" t="s">
        <v>3568</v>
      </c>
      <c r="B1648" s="25" t="s">
        <v>3568</v>
      </c>
      <c r="C1648" s="26">
        <v>45707</v>
      </c>
      <c r="D1648" s="18" t="s">
        <v>1647</v>
      </c>
      <c r="E1648" s="18" t="str">
        <f t="shared" si="25"/>
        <v>Aftab Shaikh  </v>
      </c>
      <c r="F1648" s="27" t="e">
        <v>#N/A</v>
      </c>
      <c r="G1648" s="18" t="s">
        <v>182</v>
      </c>
      <c r="H1648" s="18" t="s">
        <v>183</v>
      </c>
      <c r="I1648" s="18" t="s">
        <v>481</v>
      </c>
      <c r="J1648" s="18" t="s">
        <v>2683</v>
      </c>
      <c r="K1648" s="18" t="s">
        <v>56</v>
      </c>
      <c r="L1648" s="18" t="s">
        <v>36</v>
      </c>
      <c r="N1648" s="18">
        <v>6</v>
      </c>
      <c r="O1648" s="18" t="s">
        <v>93</v>
      </c>
      <c r="P1648" s="18" t="s">
        <v>38</v>
      </c>
      <c r="Q1648" s="18" t="s">
        <v>194</v>
      </c>
      <c r="R1648" s="18" t="s">
        <v>59</v>
      </c>
      <c r="S1648" s="18" t="s">
        <v>195</v>
      </c>
      <c r="T1648" s="18" t="b">
        <v>0</v>
      </c>
      <c r="U1648" s="18" t="s">
        <v>187</v>
      </c>
      <c r="V1648" s="18" t="s">
        <v>40</v>
      </c>
      <c r="W1648" s="18" t="s">
        <v>126</v>
      </c>
      <c r="X1648" s="18" t="s">
        <v>127</v>
      </c>
      <c r="Y1648" s="18">
        <v>1</v>
      </c>
      <c r="Z1648" s="18">
        <v>1384</v>
      </c>
      <c r="AC1648" s="18" t="e">
        <v>#N/A</v>
      </c>
    </row>
    <row r="1649" s="18" customFormat="1" spans="1:29">
      <c r="A1649" s="18" t="s">
        <v>3569</v>
      </c>
      <c r="B1649" s="25" t="s">
        <v>3569</v>
      </c>
      <c r="C1649" s="26">
        <v>45707</v>
      </c>
      <c r="D1649" s="18" t="s">
        <v>3570</v>
      </c>
      <c r="E1649" s="18" t="str">
        <f t="shared" si="25"/>
        <v>Sumit Sangle  </v>
      </c>
      <c r="F1649" s="27" t="e">
        <v>#N/A</v>
      </c>
      <c r="G1649" s="18" t="s">
        <v>182</v>
      </c>
      <c r="H1649" s="18" t="s">
        <v>183</v>
      </c>
      <c r="I1649" s="18" t="s">
        <v>481</v>
      </c>
      <c r="J1649" s="18" t="s">
        <v>1968</v>
      </c>
      <c r="K1649" s="18" t="s">
        <v>56</v>
      </c>
      <c r="L1649" s="18" t="s">
        <v>36</v>
      </c>
      <c r="N1649" s="18">
        <v>6</v>
      </c>
      <c r="O1649" s="18" t="s">
        <v>93</v>
      </c>
      <c r="P1649" s="18" t="s">
        <v>38</v>
      </c>
      <c r="Q1649" s="18" t="s">
        <v>194</v>
      </c>
      <c r="R1649" s="18" t="s">
        <v>59</v>
      </c>
      <c r="S1649" s="18" t="s">
        <v>195</v>
      </c>
      <c r="T1649" s="18" t="b">
        <v>0</v>
      </c>
      <c r="U1649" s="18" t="s">
        <v>187</v>
      </c>
      <c r="V1649" s="18" t="s">
        <v>40</v>
      </c>
      <c r="W1649" s="18" t="s">
        <v>317</v>
      </c>
      <c r="X1649" s="18" t="s">
        <v>318</v>
      </c>
      <c r="Y1649" s="18">
        <v>1</v>
      </c>
      <c r="Z1649" s="18">
        <v>17560.67</v>
      </c>
      <c r="AC1649" s="18" t="e">
        <v>#N/A</v>
      </c>
    </row>
    <row r="1650" s="18" customFormat="1" spans="1:29">
      <c r="A1650" s="18" t="s">
        <v>3571</v>
      </c>
      <c r="B1650" s="25" t="s">
        <v>3571</v>
      </c>
      <c r="C1650" s="26">
        <v>45707</v>
      </c>
      <c r="D1650" s="18" t="s">
        <v>1054</v>
      </c>
      <c r="E1650" s="18" t="str">
        <f t="shared" si="25"/>
        <v>Suresh Pardhle  </v>
      </c>
      <c r="F1650" s="27" t="e">
        <v>#N/A</v>
      </c>
      <c r="G1650" s="18" t="s">
        <v>182</v>
      </c>
      <c r="H1650" s="18" t="s">
        <v>183</v>
      </c>
      <c r="I1650" s="18" t="s">
        <v>481</v>
      </c>
      <c r="J1650" s="18" t="s">
        <v>3209</v>
      </c>
      <c r="K1650" s="18" t="s">
        <v>56</v>
      </c>
      <c r="L1650" s="18" t="s">
        <v>36</v>
      </c>
      <c r="N1650" s="18">
        <v>6</v>
      </c>
      <c r="O1650" s="18" t="s">
        <v>93</v>
      </c>
      <c r="P1650" s="18" t="s">
        <v>38</v>
      </c>
      <c r="Q1650" s="18" t="s">
        <v>194</v>
      </c>
      <c r="R1650" s="18" t="s">
        <v>59</v>
      </c>
      <c r="S1650" s="18" t="s">
        <v>195</v>
      </c>
      <c r="T1650" s="18" t="b">
        <v>0</v>
      </c>
      <c r="U1650" s="18" t="s">
        <v>187</v>
      </c>
      <c r="V1650" s="18" t="s">
        <v>40</v>
      </c>
      <c r="W1650" s="18" t="s">
        <v>126</v>
      </c>
      <c r="X1650" s="18" t="s">
        <v>127</v>
      </c>
      <c r="Y1650" s="18">
        <v>1</v>
      </c>
      <c r="Z1650" s="18">
        <v>3177</v>
      </c>
      <c r="AC1650" s="18" t="e">
        <v>#N/A</v>
      </c>
    </row>
    <row r="1651" s="18" customFormat="1" spans="1:29">
      <c r="A1651" s="18" t="s">
        <v>3572</v>
      </c>
      <c r="B1651" s="25" t="s">
        <v>3572</v>
      </c>
      <c r="C1651" s="26">
        <v>45707</v>
      </c>
      <c r="D1651" s="18" t="s">
        <v>1647</v>
      </c>
      <c r="E1651" s="18" t="str">
        <f t="shared" si="25"/>
        <v>Aftab Shaikh  </v>
      </c>
      <c r="F1651" s="27" t="e">
        <v>#N/A</v>
      </c>
      <c r="G1651" s="18" t="s">
        <v>182</v>
      </c>
      <c r="H1651" s="18" t="s">
        <v>183</v>
      </c>
      <c r="I1651" s="18" t="s">
        <v>481</v>
      </c>
      <c r="J1651" s="18" t="s">
        <v>2683</v>
      </c>
      <c r="K1651" s="18" t="s">
        <v>56</v>
      </c>
      <c r="L1651" s="18" t="s">
        <v>36</v>
      </c>
      <c r="N1651" s="18">
        <v>6</v>
      </c>
      <c r="O1651" s="18" t="s">
        <v>93</v>
      </c>
      <c r="P1651" s="18" t="s">
        <v>38</v>
      </c>
      <c r="Q1651" s="18" t="s">
        <v>194</v>
      </c>
      <c r="R1651" s="18" t="s">
        <v>59</v>
      </c>
      <c r="S1651" s="18" t="s">
        <v>195</v>
      </c>
      <c r="T1651" s="18" t="b">
        <v>0</v>
      </c>
      <c r="U1651" s="18" t="s">
        <v>187</v>
      </c>
      <c r="V1651" s="18" t="s">
        <v>40</v>
      </c>
      <c r="W1651" s="18" t="s">
        <v>126</v>
      </c>
      <c r="X1651" s="18" t="s">
        <v>127</v>
      </c>
      <c r="Y1651" s="18">
        <v>1</v>
      </c>
      <c r="Z1651" s="18">
        <v>3536.51</v>
      </c>
      <c r="AC1651" s="18" t="e">
        <v>#N/A</v>
      </c>
    </row>
    <row r="1652" s="18" customFormat="1" spans="1:29">
      <c r="A1652" s="18" t="s">
        <v>3573</v>
      </c>
      <c r="B1652" s="25" t="s">
        <v>3573</v>
      </c>
      <c r="C1652" s="26">
        <v>45707</v>
      </c>
      <c r="D1652" s="18" t="s">
        <v>2329</v>
      </c>
      <c r="E1652" s="18" t="str">
        <f t="shared" si="25"/>
        <v>Aalhad Bavkar  </v>
      </c>
      <c r="F1652" s="27" t="e">
        <v>#N/A</v>
      </c>
      <c r="G1652" s="18" t="s">
        <v>182</v>
      </c>
      <c r="H1652" s="18" t="s">
        <v>183</v>
      </c>
      <c r="I1652" s="18" t="s">
        <v>481</v>
      </c>
      <c r="J1652" s="18" t="s">
        <v>2683</v>
      </c>
      <c r="K1652" s="18" t="s">
        <v>56</v>
      </c>
      <c r="L1652" s="18" t="s">
        <v>36</v>
      </c>
      <c r="N1652" s="18">
        <v>6</v>
      </c>
      <c r="O1652" s="18" t="s">
        <v>93</v>
      </c>
      <c r="P1652" s="18" t="s">
        <v>38</v>
      </c>
      <c r="Q1652" s="18" t="s">
        <v>194</v>
      </c>
      <c r="R1652" s="18" t="s">
        <v>59</v>
      </c>
      <c r="S1652" s="18" t="s">
        <v>195</v>
      </c>
      <c r="T1652" s="18" t="b">
        <v>0</v>
      </c>
      <c r="U1652" s="18" t="s">
        <v>187</v>
      </c>
      <c r="V1652" s="18" t="s">
        <v>40</v>
      </c>
      <c r="W1652" s="18" t="s">
        <v>317</v>
      </c>
      <c r="X1652" s="18" t="s">
        <v>318</v>
      </c>
      <c r="Y1652" s="18">
        <v>1</v>
      </c>
      <c r="Z1652" s="18">
        <v>452.57</v>
      </c>
      <c r="AC1652" s="18" t="e">
        <v>#N/A</v>
      </c>
    </row>
    <row r="1653" s="18" customFormat="1" spans="1:29">
      <c r="A1653" s="18" t="s">
        <v>3574</v>
      </c>
      <c r="B1653" s="25" t="s">
        <v>3574</v>
      </c>
      <c r="C1653" s="26">
        <v>45707</v>
      </c>
      <c r="D1653" s="18" t="s">
        <v>472</v>
      </c>
      <c r="E1653" s="18" t="e">
        <f t="shared" si="25"/>
        <v>#N/A</v>
      </c>
      <c r="F1653" s="27" t="e">
        <v>#N/A</v>
      </c>
      <c r="G1653" s="18" t="s">
        <v>182</v>
      </c>
      <c r="H1653" s="18" t="s">
        <v>183</v>
      </c>
      <c r="I1653" s="18" t="s">
        <v>481</v>
      </c>
      <c r="K1653" s="18" t="s">
        <v>35</v>
      </c>
      <c r="L1653" s="18" t="s">
        <v>36</v>
      </c>
      <c r="N1653" s="18">
        <v>6</v>
      </c>
      <c r="P1653" s="18" t="s">
        <v>38</v>
      </c>
      <c r="T1653" s="18" t="b">
        <v>0</v>
      </c>
      <c r="U1653" s="18" t="s">
        <v>187</v>
      </c>
      <c r="V1653" s="18" t="s">
        <v>40</v>
      </c>
      <c r="W1653" s="18" t="e">
        <v>#N/A</v>
      </c>
      <c r="X1653" s="18" t="e">
        <v>#N/A</v>
      </c>
      <c r="Y1653" s="18" t="e">
        <v>#N/A</v>
      </c>
      <c r="Z1653" s="18" t="e">
        <v>#N/A</v>
      </c>
      <c r="AC1653" s="18" t="e">
        <v>#N/A</v>
      </c>
    </row>
    <row r="1654" s="18" customFormat="1" spans="1:29">
      <c r="A1654" s="18" t="s">
        <v>3575</v>
      </c>
      <c r="B1654" s="25" t="s">
        <v>3575</v>
      </c>
      <c r="C1654" s="26">
        <v>45707</v>
      </c>
      <c r="D1654" s="18" t="s">
        <v>2473</v>
      </c>
      <c r="E1654" s="18" t="str">
        <f t="shared" si="25"/>
        <v>Sarfaraz Memon </v>
      </c>
      <c r="F1654" s="27" t="e">
        <v>#N/A</v>
      </c>
      <c r="G1654" s="18" t="s">
        <v>182</v>
      </c>
      <c r="H1654" s="18" t="s">
        <v>183</v>
      </c>
      <c r="I1654" s="18" t="s">
        <v>481</v>
      </c>
      <c r="J1654" s="18" t="s">
        <v>2930</v>
      </c>
      <c r="K1654" s="18" t="s">
        <v>56</v>
      </c>
      <c r="L1654" s="18" t="s">
        <v>36</v>
      </c>
      <c r="N1654" s="18">
        <v>6</v>
      </c>
      <c r="O1654" s="18" t="s">
        <v>93</v>
      </c>
      <c r="P1654" s="18" t="s">
        <v>38</v>
      </c>
      <c r="Q1654" s="18" t="s">
        <v>194</v>
      </c>
      <c r="R1654" s="18" t="s">
        <v>59</v>
      </c>
      <c r="S1654" s="18" t="s">
        <v>195</v>
      </c>
      <c r="T1654" s="18" t="b">
        <v>0</v>
      </c>
      <c r="U1654" s="18" t="s">
        <v>187</v>
      </c>
      <c r="V1654" s="18" t="s">
        <v>40</v>
      </c>
      <c r="W1654" s="18" t="s">
        <v>126</v>
      </c>
      <c r="X1654" s="18" t="s">
        <v>127</v>
      </c>
      <c r="Y1654" s="18">
        <v>1</v>
      </c>
      <c r="Z1654" s="18">
        <v>265</v>
      </c>
      <c r="AC1654" s="18" t="e">
        <v>#N/A</v>
      </c>
    </row>
    <row r="1655" s="18" customFormat="1" spans="1:29">
      <c r="A1655" s="18" t="s">
        <v>3576</v>
      </c>
      <c r="B1655" s="25" t="s">
        <v>3576</v>
      </c>
      <c r="C1655" s="26">
        <v>45707</v>
      </c>
      <c r="D1655" s="18" t="s">
        <v>716</v>
      </c>
      <c r="E1655" s="18" t="str">
        <f t="shared" si="25"/>
        <v>4Brains Technologies Pvt Ltd</v>
      </c>
      <c r="F1655" s="27" t="s">
        <v>717</v>
      </c>
      <c r="G1655" s="18" t="s">
        <v>182</v>
      </c>
      <c r="H1655" s="18" t="s">
        <v>183</v>
      </c>
      <c r="I1655" s="18" t="s">
        <v>1246</v>
      </c>
      <c r="J1655" s="18" t="s">
        <v>2693</v>
      </c>
      <c r="K1655" s="18" t="s">
        <v>56</v>
      </c>
      <c r="L1655" s="18" t="s">
        <v>36</v>
      </c>
      <c r="N1655" s="18">
        <v>6</v>
      </c>
      <c r="O1655" s="18" t="s">
        <v>88</v>
      </c>
      <c r="P1655" s="18" t="s">
        <v>38</v>
      </c>
      <c r="Q1655" s="18" t="s">
        <v>117</v>
      </c>
      <c r="R1655" s="18" t="s">
        <v>59</v>
      </c>
      <c r="S1655" s="18" t="s">
        <v>118</v>
      </c>
      <c r="T1655" s="18" t="b">
        <v>0</v>
      </c>
      <c r="U1655" s="18" t="s">
        <v>187</v>
      </c>
      <c r="V1655" s="18" t="s">
        <v>40</v>
      </c>
      <c r="W1655" s="18" t="s">
        <v>233</v>
      </c>
      <c r="X1655" s="18" t="s">
        <v>234</v>
      </c>
      <c r="Y1655" s="18">
        <v>1</v>
      </c>
      <c r="Z1655" s="18">
        <v>336939</v>
      </c>
      <c r="AA1655" s="18" t="s">
        <v>2694</v>
      </c>
      <c r="AB1655" s="18" t="s">
        <v>650</v>
      </c>
      <c r="AC1655" s="18" t="s">
        <v>200</v>
      </c>
    </row>
    <row r="1656" s="18" customFormat="1" spans="1:29">
      <c r="A1656" s="18" t="s">
        <v>3577</v>
      </c>
      <c r="B1656" s="25" t="s">
        <v>3577</v>
      </c>
      <c r="C1656" s="26">
        <v>45707</v>
      </c>
      <c r="D1656" s="18" t="s">
        <v>1225</v>
      </c>
      <c r="E1656" s="18" t="str">
        <f t="shared" si="25"/>
        <v>Pyramid Production</v>
      </c>
      <c r="F1656" s="27" t="s">
        <v>1226</v>
      </c>
      <c r="G1656" s="18" t="s">
        <v>182</v>
      </c>
      <c r="H1656" s="18" t="s">
        <v>183</v>
      </c>
      <c r="I1656" s="18" t="s">
        <v>184</v>
      </c>
      <c r="J1656" s="18" t="s">
        <v>2690</v>
      </c>
      <c r="K1656" s="18" t="s">
        <v>56</v>
      </c>
      <c r="L1656" s="18" t="s">
        <v>36</v>
      </c>
      <c r="N1656" s="18">
        <v>6</v>
      </c>
      <c r="O1656" s="18" t="s">
        <v>88</v>
      </c>
      <c r="P1656" s="18" t="s">
        <v>38</v>
      </c>
      <c r="Q1656" s="18" t="s">
        <v>194</v>
      </c>
      <c r="R1656" s="18" t="s">
        <v>59</v>
      </c>
      <c r="S1656" s="18" t="s">
        <v>195</v>
      </c>
      <c r="T1656" s="18" t="b">
        <v>0</v>
      </c>
      <c r="U1656" s="18" t="s">
        <v>187</v>
      </c>
      <c r="V1656" s="18" t="s">
        <v>40</v>
      </c>
      <c r="W1656" s="18" t="s">
        <v>151</v>
      </c>
      <c r="X1656" s="18" t="s">
        <v>152</v>
      </c>
      <c r="Y1656" s="18">
        <v>1</v>
      </c>
      <c r="Z1656" s="18">
        <v>142350</v>
      </c>
      <c r="AA1656" s="18" t="s">
        <v>3578</v>
      </c>
      <c r="AB1656" s="18" t="s">
        <v>1978</v>
      </c>
      <c r="AC1656" s="18" t="s">
        <v>200</v>
      </c>
    </row>
    <row r="1657" s="18" customFormat="1" spans="1:29">
      <c r="A1657" s="18" t="s">
        <v>3579</v>
      </c>
      <c r="B1657" s="25" t="s">
        <v>3579</v>
      </c>
      <c r="C1657" s="26">
        <v>45707</v>
      </c>
      <c r="D1657" s="18" t="s">
        <v>3580</v>
      </c>
      <c r="E1657" s="18" t="str">
        <f t="shared" si="25"/>
        <v>Om Audio Visual India</v>
      </c>
      <c r="F1657" s="27" t="e">
        <v>#N/A</v>
      </c>
      <c r="G1657" s="18" t="s">
        <v>182</v>
      </c>
      <c r="H1657" s="18" t="s">
        <v>183</v>
      </c>
      <c r="I1657" s="18" t="s">
        <v>184</v>
      </c>
      <c r="J1657" s="18" t="s">
        <v>2690</v>
      </c>
      <c r="K1657" s="18" t="s">
        <v>56</v>
      </c>
      <c r="L1657" s="18" t="s">
        <v>36</v>
      </c>
      <c r="N1657" s="18">
        <v>6</v>
      </c>
      <c r="O1657" s="18" t="s">
        <v>88</v>
      </c>
      <c r="P1657" s="18" t="s">
        <v>38</v>
      </c>
      <c r="Q1657" s="18" t="s">
        <v>194</v>
      </c>
      <c r="R1657" s="18" t="s">
        <v>59</v>
      </c>
      <c r="S1657" s="18" t="s">
        <v>195</v>
      </c>
      <c r="T1657" s="18" t="b">
        <v>0</v>
      </c>
      <c r="U1657" s="18" t="s">
        <v>187</v>
      </c>
      <c r="V1657" s="18" t="s">
        <v>40</v>
      </c>
      <c r="W1657" s="18" t="s">
        <v>371</v>
      </c>
      <c r="X1657" s="18" t="s">
        <v>372</v>
      </c>
      <c r="Y1657" s="18">
        <v>1</v>
      </c>
      <c r="Z1657" s="18">
        <v>56500</v>
      </c>
      <c r="AA1657" s="18" t="s">
        <v>3578</v>
      </c>
      <c r="AB1657" s="18" t="s">
        <v>1978</v>
      </c>
      <c r="AC1657" s="18" t="s">
        <v>200</v>
      </c>
    </row>
    <row r="1658" s="18" customFormat="1" spans="1:29">
      <c r="A1658" s="18" t="s">
        <v>3581</v>
      </c>
      <c r="B1658" s="25" t="s">
        <v>3581</v>
      </c>
      <c r="C1658" s="26">
        <v>45707</v>
      </c>
      <c r="D1658" s="18" t="s">
        <v>2304</v>
      </c>
      <c r="E1658" s="18" t="str">
        <f t="shared" si="25"/>
        <v>KVS Rostam Hires</v>
      </c>
      <c r="F1658" s="27" t="s">
        <v>2305</v>
      </c>
      <c r="G1658" s="18" t="s">
        <v>182</v>
      </c>
      <c r="H1658" s="18" t="s">
        <v>183</v>
      </c>
      <c r="I1658" s="18" t="s">
        <v>184</v>
      </c>
      <c r="J1658" s="18" t="s">
        <v>2690</v>
      </c>
      <c r="K1658" s="18" t="s">
        <v>56</v>
      </c>
      <c r="L1658" s="18" t="s">
        <v>36</v>
      </c>
      <c r="N1658" s="18">
        <v>6</v>
      </c>
      <c r="O1658" s="18" t="s">
        <v>88</v>
      </c>
      <c r="P1658" s="18" t="s">
        <v>38</v>
      </c>
      <c r="Q1658" s="18" t="s">
        <v>194</v>
      </c>
      <c r="R1658" s="18" t="s">
        <v>59</v>
      </c>
      <c r="S1658" s="18" t="s">
        <v>195</v>
      </c>
      <c r="T1658" s="18" t="b">
        <v>0</v>
      </c>
      <c r="U1658" s="18" t="s">
        <v>187</v>
      </c>
      <c r="V1658" s="18" t="s">
        <v>40</v>
      </c>
      <c r="W1658" s="18" t="s">
        <v>151</v>
      </c>
      <c r="X1658" s="18" t="s">
        <v>152</v>
      </c>
      <c r="Y1658" s="18">
        <v>1</v>
      </c>
      <c r="Z1658" s="18">
        <v>13000</v>
      </c>
      <c r="AA1658" s="18" t="s">
        <v>3578</v>
      </c>
      <c r="AB1658" s="18" t="s">
        <v>1978</v>
      </c>
      <c r="AC1658" s="18" t="s">
        <v>200</v>
      </c>
    </row>
    <row r="1659" s="18" customFormat="1" spans="1:29">
      <c r="A1659" s="18" t="s">
        <v>3582</v>
      </c>
      <c r="B1659" s="25" t="s">
        <v>3582</v>
      </c>
      <c r="C1659" s="26">
        <v>45707</v>
      </c>
      <c r="D1659" s="18" t="s">
        <v>2594</v>
      </c>
      <c r="E1659" s="18" t="str">
        <f t="shared" si="25"/>
        <v>Sound Decisions.Com</v>
      </c>
      <c r="F1659" s="27" t="s">
        <v>2595</v>
      </c>
      <c r="G1659" s="18" t="s">
        <v>182</v>
      </c>
      <c r="H1659" s="18" t="s">
        <v>183</v>
      </c>
      <c r="I1659" s="18" t="s">
        <v>184</v>
      </c>
      <c r="J1659" s="18" t="s">
        <v>2690</v>
      </c>
      <c r="K1659" s="18" t="s">
        <v>56</v>
      </c>
      <c r="L1659" s="18" t="s">
        <v>36</v>
      </c>
      <c r="N1659" s="18">
        <v>6</v>
      </c>
      <c r="O1659" s="18" t="s">
        <v>57</v>
      </c>
      <c r="P1659" s="18" t="s">
        <v>38</v>
      </c>
      <c r="Q1659" s="18" t="s">
        <v>194</v>
      </c>
      <c r="R1659" s="18" t="s">
        <v>59</v>
      </c>
      <c r="S1659" s="18" t="s">
        <v>195</v>
      </c>
      <c r="T1659" s="18" t="b">
        <v>0</v>
      </c>
      <c r="U1659" s="18" t="s">
        <v>187</v>
      </c>
      <c r="V1659" s="18" t="s">
        <v>40</v>
      </c>
      <c r="W1659" s="18" t="s">
        <v>371</v>
      </c>
      <c r="X1659" s="18" t="s">
        <v>372</v>
      </c>
      <c r="Y1659" s="18">
        <v>1</v>
      </c>
      <c r="Z1659" s="18">
        <v>73000</v>
      </c>
      <c r="AA1659" s="18" t="s">
        <v>3578</v>
      </c>
      <c r="AB1659" s="18" t="s">
        <v>1978</v>
      </c>
      <c r="AC1659" s="18" t="s">
        <v>200</v>
      </c>
    </row>
    <row r="1660" s="18" customFormat="1" spans="1:29">
      <c r="A1660" s="18" t="s">
        <v>3583</v>
      </c>
      <c r="B1660" s="25" t="s">
        <v>3583</v>
      </c>
      <c r="C1660" s="26">
        <v>45707</v>
      </c>
      <c r="D1660" s="18" t="s">
        <v>1981</v>
      </c>
      <c r="E1660" s="18" t="str">
        <f t="shared" ref="E1660:E1723" si="26">_xlfn.TEXTBEFORE(D1660,"-")</f>
        <v>Oriana Communications</v>
      </c>
      <c r="F1660" s="27" t="s">
        <v>1982</v>
      </c>
      <c r="G1660" s="18" t="s">
        <v>182</v>
      </c>
      <c r="H1660" s="18" t="s">
        <v>183</v>
      </c>
      <c r="I1660" s="18" t="s">
        <v>184</v>
      </c>
      <c r="J1660" s="18" t="s">
        <v>2690</v>
      </c>
      <c r="K1660" s="18" t="s">
        <v>56</v>
      </c>
      <c r="L1660" s="18" t="s">
        <v>36</v>
      </c>
      <c r="N1660" s="18">
        <v>6</v>
      </c>
      <c r="O1660" s="18" t="s">
        <v>57</v>
      </c>
      <c r="P1660" s="18" t="s">
        <v>38</v>
      </c>
      <c r="Q1660" s="18" t="s">
        <v>194</v>
      </c>
      <c r="R1660" s="18" t="s">
        <v>59</v>
      </c>
      <c r="S1660" s="18" t="s">
        <v>195</v>
      </c>
      <c r="T1660" s="18" t="b">
        <v>0</v>
      </c>
      <c r="U1660" s="18" t="s">
        <v>187</v>
      </c>
      <c r="V1660" s="18" t="s">
        <v>40</v>
      </c>
      <c r="W1660" s="18" t="s">
        <v>371</v>
      </c>
      <c r="X1660" s="18" t="s">
        <v>372</v>
      </c>
      <c r="Y1660" s="18">
        <v>1</v>
      </c>
      <c r="Z1660" s="18">
        <v>5800</v>
      </c>
      <c r="AA1660" s="18" t="s">
        <v>3578</v>
      </c>
      <c r="AB1660" s="18" t="s">
        <v>1978</v>
      </c>
      <c r="AC1660" s="18" t="s">
        <v>200</v>
      </c>
    </row>
    <row r="1661" s="18" customFormat="1" spans="1:29">
      <c r="A1661" s="18" t="s">
        <v>3584</v>
      </c>
      <c r="B1661" s="25" t="s">
        <v>3584</v>
      </c>
      <c r="C1661" s="26">
        <v>45707</v>
      </c>
      <c r="D1661" s="18" t="s">
        <v>974</v>
      </c>
      <c r="E1661" s="18" t="str">
        <f t="shared" si="26"/>
        <v>Shiv Shakti Enterprises</v>
      </c>
      <c r="F1661" s="27" t="s">
        <v>975</v>
      </c>
      <c r="G1661" s="18" t="s">
        <v>182</v>
      </c>
      <c r="H1661" s="18" t="s">
        <v>183</v>
      </c>
      <c r="I1661" s="18" t="s">
        <v>184</v>
      </c>
      <c r="J1661" s="18" t="s">
        <v>2690</v>
      </c>
      <c r="K1661" s="18" t="s">
        <v>56</v>
      </c>
      <c r="L1661" s="18" t="s">
        <v>36</v>
      </c>
      <c r="N1661" s="18">
        <v>6</v>
      </c>
      <c r="O1661" s="18" t="s">
        <v>57</v>
      </c>
      <c r="P1661" s="18" t="s">
        <v>38</v>
      </c>
      <c r="Q1661" s="18" t="s">
        <v>194</v>
      </c>
      <c r="R1661" s="18" t="s">
        <v>59</v>
      </c>
      <c r="S1661" s="18" t="s">
        <v>195</v>
      </c>
      <c r="T1661" s="18" t="b">
        <v>0</v>
      </c>
      <c r="U1661" s="18" t="s">
        <v>187</v>
      </c>
      <c r="V1661" s="18" t="s">
        <v>40</v>
      </c>
      <c r="W1661" s="18" t="s">
        <v>371</v>
      </c>
      <c r="X1661" s="18" t="s">
        <v>372</v>
      </c>
      <c r="Y1661" s="18">
        <v>1</v>
      </c>
      <c r="Z1661" s="18">
        <v>85000</v>
      </c>
      <c r="AA1661" s="18" t="s">
        <v>3578</v>
      </c>
      <c r="AB1661" s="18" t="s">
        <v>1978</v>
      </c>
      <c r="AC1661" s="18" t="s">
        <v>200</v>
      </c>
    </row>
    <row r="1662" s="18" customFormat="1" spans="1:29">
      <c r="A1662" s="18" t="s">
        <v>3585</v>
      </c>
      <c r="B1662" s="25" t="s">
        <v>3585</v>
      </c>
      <c r="C1662" s="26">
        <v>45707</v>
      </c>
      <c r="D1662" s="18" t="s">
        <v>1650</v>
      </c>
      <c r="E1662" s="18" t="str">
        <f t="shared" si="26"/>
        <v>A A Fur1044835 Neetu Prakash Poojaryre(Abbas Abdul Hussain Ujjainwala)</v>
      </c>
      <c r="F1662" s="27" t="s">
        <v>1651</v>
      </c>
      <c r="G1662" s="18" t="s">
        <v>182</v>
      </c>
      <c r="H1662" s="18" t="s">
        <v>183</v>
      </c>
      <c r="I1662" s="18" t="s">
        <v>184</v>
      </c>
      <c r="J1662" s="18" t="s">
        <v>2690</v>
      </c>
      <c r="K1662" s="18" t="s">
        <v>56</v>
      </c>
      <c r="L1662" s="18" t="s">
        <v>36</v>
      </c>
      <c r="N1662" s="18">
        <v>6</v>
      </c>
      <c r="O1662" s="18" t="s">
        <v>57</v>
      </c>
      <c r="P1662" s="18" t="s">
        <v>38</v>
      </c>
      <c r="Q1662" s="18" t="s">
        <v>194</v>
      </c>
      <c r="R1662" s="18" t="s">
        <v>59</v>
      </c>
      <c r="S1662" s="18" t="s">
        <v>195</v>
      </c>
      <c r="T1662" s="18" t="b">
        <v>0</v>
      </c>
      <c r="U1662" s="18" t="s">
        <v>187</v>
      </c>
      <c r="V1662" s="18" t="s">
        <v>40</v>
      </c>
      <c r="W1662" s="18" t="s">
        <v>151</v>
      </c>
      <c r="X1662" s="18" t="s">
        <v>152</v>
      </c>
      <c r="Y1662" s="18">
        <v>1</v>
      </c>
      <c r="Z1662" s="18">
        <v>5800</v>
      </c>
      <c r="AA1662" s="18" t="s">
        <v>3578</v>
      </c>
      <c r="AB1662" s="18" t="s">
        <v>1978</v>
      </c>
      <c r="AC1662" s="18" t="s">
        <v>200</v>
      </c>
    </row>
    <row r="1663" s="18" customFormat="1" spans="1:29">
      <c r="A1663" s="18" t="s">
        <v>3586</v>
      </c>
      <c r="B1663" s="25" t="s">
        <v>3586</v>
      </c>
      <c r="C1663" s="26">
        <v>45707</v>
      </c>
      <c r="D1663" s="18" t="s">
        <v>966</v>
      </c>
      <c r="E1663" s="18" t="str">
        <f t="shared" si="26"/>
        <v>Om Screen Art Events</v>
      </c>
      <c r="F1663" s="27" t="s">
        <v>967</v>
      </c>
      <c r="G1663" s="18" t="s">
        <v>182</v>
      </c>
      <c r="H1663" s="18" t="s">
        <v>183</v>
      </c>
      <c r="I1663" s="18" t="s">
        <v>184</v>
      </c>
      <c r="J1663" s="18" t="s">
        <v>2690</v>
      </c>
      <c r="K1663" s="18" t="s">
        <v>56</v>
      </c>
      <c r="L1663" s="18" t="s">
        <v>36</v>
      </c>
      <c r="N1663" s="18">
        <v>6</v>
      </c>
      <c r="O1663" s="18" t="s">
        <v>88</v>
      </c>
      <c r="P1663" s="18" t="s">
        <v>38</v>
      </c>
      <c r="Q1663" s="18" t="s">
        <v>194</v>
      </c>
      <c r="R1663" s="18" t="s">
        <v>59</v>
      </c>
      <c r="S1663" s="18" t="s">
        <v>195</v>
      </c>
      <c r="T1663" s="18" t="b">
        <v>0</v>
      </c>
      <c r="U1663" s="18" t="s">
        <v>187</v>
      </c>
      <c r="V1663" s="18" t="s">
        <v>40</v>
      </c>
      <c r="W1663" s="18" t="s">
        <v>151</v>
      </c>
      <c r="X1663" s="18" t="s">
        <v>152</v>
      </c>
      <c r="Y1663" s="18">
        <v>1</v>
      </c>
      <c r="Z1663" s="18">
        <v>12000</v>
      </c>
      <c r="AA1663" s="18" t="s">
        <v>3578</v>
      </c>
      <c r="AB1663" s="18" t="s">
        <v>1978</v>
      </c>
      <c r="AC1663" s="18" t="s">
        <v>200</v>
      </c>
    </row>
    <row r="1664" s="18" customFormat="1" spans="1:29">
      <c r="A1664" s="18" t="s">
        <v>3587</v>
      </c>
      <c r="B1664" s="25" t="s">
        <v>3587</v>
      </c>
      <c r="C1664" s="26">
        <v>45707</v>
      </c>
      <c r="D1664" s="18" t="s">
        <v>3588</v>
      </c>
      <c r="E1664" s="18" t="str">
        <f t="shared" si="26"/>
        <v>Pravin Entertainment</v>
      </c>
      <c r="F1664" s="27" t="s">
        <v>3589</v>
      </c>
      <c r="G1664" s="18" t="s">
        <v>182</v>
      </c>
      <c r="H1664" s="18" t="s">
        <v>183</v>
      </c>
      <c r="I1664" s="18" t="s">
        <v>184</v>
      </c>
      <c r="J1664" s="18" t="s">
        <v>2690</v>
      </c>
      <c r="K1664" s="18" t="s">
        <v>56</v>
      </c>
      <c r="L1664" s="18" t="s">
        <v>36</v>
      </c>
      <c r="N1664" s="18">
        <v>6</v>
      </c>
      <c r="O1664" s="18" t="s">
        <v>57</v>
      </c>
      <c r="P1664" s="18" t="s">
        <v>38</v>
      </c>
      <c r="Q1664" s="18" t="s">
        <v>194</v>
      </c>
      <c r="R1664" s="18" t="s">
        <v>59</v>
      </c>
      <c r="S1664" s="18" t="s">
        <v>195</v>
      </c>
      <c r="T1664" s="18" t="b">
        <v>0</v>
      </c>
      <c r="U1664" s="18" t="s">
        <v>187</v>
      </c>
      <c r="V1664" s="18" t="s">
        <v>40</v>
      </c>
      <c r="W1664" s="18" t="s">
        <v>371</v>
      </c>
      <c r="X1664" s="18" t="s">
        <v>372</v>
      </c>
      <c r="Y1664" s="18">
        <v>1</v>
      </c>
      <c r="Z1664" s="18">
        <v>35000</v>
      </c>
      <c r="AA1664" s="18" t="s">
        <v>3578</v>
      </c>
      <c r="AB1664" s="18" t="s">
        <v>1978</v>
      </c>
      <c r="AC1664" s="18" t="s">
        <v>200</v>
      </c>
    </row>
    <row r="1665" s="18" customFormat="1" ht="43.5" spans="1:29">
      <c r="A1665" s="18" t="s">
        <v>3590</v>
      </c>
      <c r="B1665" s="25" t="s">
        <v>3590</v>
      </c>
      <c r="C1665" s="26">
        <v>45707</v>
      </c>
      <c r="D1665" s="18" t="s">
        <v>3591</v>
      </c>
      <c r="E1665" s="18" t="str">
        <f t="shared" si="26"/>
        <v>Nakul Sales Corporation</v>
      </c>
      <c r="F1665" s="27" t="s">
        <v>3592</v>
      </c>
      <c r="G1665" s="18" t="s">
        <v>182</v>
      </c>
      <c r="H1665" s="18" t="s">
        <v>183</v>
      </c>
      <c r="I1665" s="18" t="s">
        <v>184</v>
      </c>
      <c r="J1665" s="18" t="s">
        <v>2756</v>
      </c>
      <c r="K1665" s="18" t="s">
        <v>56</v>
      </c>
      <c r="L1665" s="18" t="s">
        <v>36</v>
      </c>
      <c r="N1665" s="18">
        <v>6</v>
      </c>
      <c r="O1665" s="18" t="s">
        <v>88</v>
      </c>
      <c r="P1665" s="18" t="s">
        <v>38</v>
      </c>
      <c r="Q1665" s="18" t="s">
        <v>194</v>
      </c>
      <c r="R1665" s="18" t="s">
        <v>59</v>
      </c>
      <c r="S1665" s="18" t="s">
        <v>195</v>
      </c>
      <c r="T1665" s="18" t="b">
        <v>0</v>
      </c>
      <c r="U1665" s="18" t="s">
        <v>187</v>
      </c>
      <c r="V1665" s="18" t="s">
        <v>40</v>
      </c>
      <c r="W1665" s="18" t="s">
        <v>140</v>
      </c>
      <c r="X1665" s="18" t="s">
        <v>141</v>
      </c>
      <c r="Y1665" s="18">
        <v>1</v>
      </c>
      <c r="Z1665" s="18">
        <v>672500</v>
      </c>
      <c r="AA1665" s="31" t="s">
        <v>2708</v>
      </c>
      <c r="AB1665" s="18" t="s">
        <v>2169</v>
      </c>
      <c r="AC1665" s="18" t="s">
        <v>200</v>
      </c>
    </row>
    <row r="1666" s="18" customFormat="1" ht="43.5" spans="1:29">
      <c r="A1666" s="18" t="s">
        <v>3593</v>
      </c>
      <c r="B1666" s="25" t="s">
        <v>3593</v>
      </c>
      <c r="C1666" s="26">
        <v>45707</v>
      </c>
      <c r="D1666" s="18" t="s">
        <v>3297</v>
      </c>
      <c r="E1666" s="18" t="str">
        <f t="shared" si="26"/>
        <v>V Touch Business Solution</v>
      </c>
      <c r="F1666" s="27" t="s">
        <v>3298</v>
      </c>
      <c r="G1666" s="18" t="s">
        <v>182</v>
      </c>
      <c r="H1666" s="18" t="s">
        <v>183</v>
      </c>
      <c r="I1666" s="18" t="s">
        <v>184</v>
      </c>
      <c r="J1666" s="18" t="s">
        <v>3299</v>
      </c>
      <c r="K1666" s="18" t="s">
        <v>56</v>
      </c>
      <c r="L1666" s="18" t="s">
        <v>36</v>
      </c>
      <c r="N1666" s="18">
        <v>6</v>
      </c>
      <c r="O1666" s="18" t="s">
        <v>88</v>
      </c>
      <c r="P1666" s="18" t="s">
        <v>38</v>
      </c>
      <c r="Q1666" s="18" t="s">
        <v>194</v>
      </c>
      <c r="R1666" s="18" t="s">
        <v>59</v>
      </c>
      <c r="S1666" s="18" t="s">
        <v>195</v>
      </c>
      <c r="T1666" s="18" t="b">
        <v>0</v>
      </c>
      <c r="U1666" s="18" t="s">
        <v>187</v>
      </c>
      <c r="V1666" s="18" t="s">
        <v>40</v>
      </c>
      <c r="W1666" s="18" t="s">
        <v>140</v>
      </c>
      <c r="X1666" s="18" t="s">
        <v>141</v>
      </c>
      <c r="Y1666" s="18">
        <v>1</v>
      </c>
      <c r="Z1666" s="18">
        <v>87300</v>
      </c>
      <c r="AA1666" s="31" t="s">
        <v>3069</v>
      </c>
      <c r="AB1666" s="18" t="s">
        <v>1457</v>
      </c>
      <c r="AC1666" s="18" t="s">
        <v>200</v>
      </c>
    </row>
    <row r="1667" s="18" customFormat="1" spans="1:29">
      <c r="A1667" s="18" t="s">
        <v>3594</v>
      </c>
      <c r="B1667" s="25" t="s">
        <v>3594</v>
      </c>
      <c r="C1667" s="26">
        <v>45707</v>
      </c>
      <c r="D1667" s="18" t="s">
        <v>971</v>
      </c>
      <c r="E1667" s="18" t="str">
        <f t="shared" si="26"/>
        <v>S T Sound System</v>
      </c>
      <c r="F1667" s="27" t="s">
        <v>972</v>
      </c>
      <c r="G1667" s="18" t="s">
        <v>182</v>
      </c>
      <c r="H1667" s="18" t="s">
        <v>183</v>
      </c>
      <c r="I1667" s="18" t="s">
        <v>184</v>
      </c>
      <c r="J1667" s="18" t="s">
        <v>3595</v>
      </c>
      <c r="K1667" s="18" t="s">
        <v>56</v>
      </c>
      <c r="L1667" s="18" t="s">
        <v>36</v>
      </c>
      <c r="N1667" s="18">
        <v>6</v>
      </c>
      <c r="O1667" s="18" t="s">
        <v>57</v>
      </c>
      <c r="P1667" s="18" t="s">
        <v>38</v>
      </c>
      <c r="Q1667" s="18" t="s">
        <v>194</v>
      </c>
      <c r="R1667" s="18" t="s">
        <v>59</v>
      </c>
      <c r="S1667" s="18" t="s">
        <v>195</v>
      </c>
      <c r="T1667" s="18" t="b">
        <v>0</v>
      </c>
      <c r="U1667" s="18" t="s">
        <v>187</v>
      </c>
      <c r="V1667" s="18" t="s">
        <v>40</v>
      </c>
      <c r="W1667" s="18" t="s">
        <v>371</v>
      </c>
      <c r="X1667" s="18" t="s">
        <v>372</v>
      </c>
      <c r="Y1667" s="18">
        <v>1</v>
      </c>
      <c r="Z1667" s="18">
        <v>25000</v>
      </c>
      <c r="AA1667" s="18" t="s">
        <v>3433</v>
      </c>
      <c r="AB1667" s="18" t="s">
        <v>1944</v>
      </c>
      <c r="AC1667" s="18" t="e">
        <v>#N/A</v>
      </c>
    </row>
    <row r="1668" s="18" customFormat="1" spans="1:29">
      <c r="A1668" s="18" t="s">
        <v>3596</v>
      </c>
      <c r="B1668" s="25" t="s">
        <v>3596</v>
      </c>
      <c r="C1668" s="26">
        <v>45707</v>
      </c>
      <c r="D1668" s="18" t="s">
        <v>884</v>
      </c>
      <c r="E1668" s="18" t="str">
        <f t="shared" si="26"/>
        <v>Vinit Video Vision</v>
      </c>
      <c r="F1668" s="27" t="s">
        <v>885</v>
      </c>
      <c r="G1668" s="18" t="s">
        <v>182</v>
      </c>
      <c r="H1668" s="18" t="s">
        <v>183</v>
      </c>
      <c r="I1668" s="18" t="s">
        <v>184</v>
      </c>
      <c r="J1668" s="18" t="s">
        <v>3595</v>
      </c>
      <c r="K1668" s="18" t="s">
        <v>56</v>
      </c>
      <c r="L1668" s="18" t="s">
        <v>36</v>
      </c>
      <c r="N1668" s="18">
        <v>6</v>
      </c>
      <c r="O1668" s="18" t="s">
        <v>57</v>
      </c>
      <c r="P1668" s="18" t="s">
        <v>38</v>
      </c>
      <c r="Q1668" s="18" t="s">
        <v>194</v>
      </c>
      <c r="R1668" s="18" t="s">
        <v>59</v>
      </c>
      <c r="S1668" s="18" t="s">
        <v>195</v>
      </c>
      <c r="T1668" s="18" t="b">
        <v>0</v>
      </c>
      <c r="U1668" s="18" t="s">
        <v>187</v>
      </c>
      <c r="V1668" s="18" t="s">
        <v>40</v>
      </c>
      <c r="W1668" s="18" t="s">
        <v>401</v>
      </c>
      <c r="X1668" s="18" t="s">
        <v>402</v>
      </c>
      <c r="Y1668" s="18">
        <v>1</v>
      </c>
      <c r="Z1668" s="18">
        <v>6000</v>
      </c>
      <c r="AA1668" s="18" t="s">
        <v>3433</v>
      </c>
      <c r="AB1668" s="18" t="s">
        <v>1944</v>
      </c>
      <c r="AC1668" s="18" t="s">
        <v>200</v>
      </c>
    </row>
    <row r="1669" s="18" customFormat="1" spans="1:29">
      <c r="A1669" s="18" t="s">
        <v>3597</v>
      </c>
      <c r="B1669" s="25" t="s">
        <v>3597</v>
      </c>
      <c r="C1669" s="26">
        <v>45707</v>
      </c>
      <c r="D1669" s="18" t="s">
        <v>1957</v>
      </c>
      <c r="E1669" s="18" t="str">
        <f t="shared" si="26"/>
        <v>Bizzaro Event</v>
      </c>
      <c r="F1669" s="27" t="s">
        <v>1958</v>
      </c>
      <c r="G1669" s="18" t="s">
        <v>182</v>
      </c>
      <c r="H1669" s="18" t="s">
        <v>183</v>
      </c>
      <c r="I1669" s="18" t="s">
        <v>184</v>
      </c>
      <c r="J1669" s="18" t="s">
        <v>1118</v>
      </c>
      <c r="K1669" s="18" t="s">
        <v>56</v>
      </c>
      <c r="L1669" s="18" t="s">
        <v>36</v>
      </c>
      <c r="N1669" s="18">
        <v>6</v>
      </c>
      <c r="O1669" s="18" t="s">
        <v>88</v>
      </c>
      <c r="P1669" s="18" t="s">
        <v>38</v>
      </c>
      <c r="Q1669" s="18" t="s">
        <v>58</v>
      </c>
      <c r="R1669" s="18" t="s">
        <v>59</v>
      </c>
      <c r="S1669" s="18" t="s">
        <v>60</v>
      </c>
      <c r="T1669" s="18" t="b">
        <v>0</v>
      </c>
      <c r="U1669" s="18" t="s">
        <v>187</v>
      </c>
      <c r="V1669" s="18" t="s">
        <v>40</v>
      </c>
      <c r="W1669" s="18" t="s">
        <v>371</v>
      </c>
      <c r="X1669" s="18" t="s">
        <v>372</v>
      </c>
      <c r="Y1669" s="18">
        <v>1</v>
      </c>
      <c r="Z1669" s="18">
        <v>6500</v>
      </c>
      <c r="AA1669" s="18" t="s">
        <v>3433</v>
      </c>
      <c r="AB1669" s="18" t="s">
        <v>1944</v>
      </c>
      <c r="AC1669" s="18" t="s">
        <v>200</v>
      </c>
    </row>
    <row r="1670" s="18" customFormat="1" spans="1:29">
      <c r="A1670" s="18" t="s">
        <v>3598</v>
      </c>
      <c r="B1670" s="25" t="s">
        <v>3598</v>
      </c>
      <c r="C1670" s="26">
        <v>45707</v>
      </c>
      <c r="D1670" s="18" t="s">
        <v>2845</v>
      </c>
      <c r="E1670" s="18" t="str">
        <f t="shared" si="26"/>
        <v>Sudesh Patankar</v>
      </c>
      <c r="F1670" s="27" t="s">
        <v>2846</v>
      </c>
      <c r="G1670" s="18" t="s">
        <v>182</v>
      </c>
      <c r="H1670" s="18" t="s">
        <v>183</v>
      </c>
      <c r="I1670" s="18" t="s">
        <v>184</v>
      </c>
      <c r="J1670" s="18" t="s">
        <v>3595</v>
      </c>
      <c r="K1670" s="18" t="s">
        <v>56</v>
      </c>
      <c r="L1670" s="18" t="s">
        <v>36</v>
      </c>
      <c r="N1670" s="18">
        <v>6</v>
      </c>
      <c r="O1670" s="18" t="s">
        <v>57</v>
      </c>
      <c r="P1670" s="18" t="s">
        <v>38</v>
      </c>
      <c r="Q1670" s="18" t="s">
        <v>194</v>
      </c>
      <c r="R1670" s="18" t="s">
        <v>59</v>
      </c>
      <c r="S1670" s="18" t="s">
        <v>195</v>
      </c>
      <c r="T1670" s="18" t="b">
        <v>0</v>
      </c>
      <c r="U1670" s="18" t="s">
        <v>187</v>
      </c>
      <c r="V1670" s="18" t="s">
        <v>40</v>
      </c>
      <c r="W1670" s="18" t="s">
        <v>371</v>
      </c>
      <c r="X1670" s="18" t="s">
        <v>372</v>
      </c>
      <c r="Y1670" s="18">
        <v>1</v>
      </c>
      <c r="Z1670" s="18">
        <v>40000</v>
      </c>
      <c r="AA1670" s="18" t="s">
        <v>3433</v>
      </c>
      <c r="AB1670" s="18" t="s">
        <v>1944</v>
      </c>
      <c r="AC1670" s="18" t="e">
        <v>#N/A</v>
      </c>
    </row>
    <row r="1671" s="18" customFormat="1" spans="1:29">
      <c r="A1671" s="18" t="s">
        <v>3599</v>
      </c>
      <c r="B1671" s="25" t="s">
        <v>3599</v>
      </c>
      <c r="C1671" s="26">
        <v>45707</v>
      </c>
      <c r="D1671" s="18" t="s">
        <v>966</v>
      </c>
      <c r="E1671" s="18" t="str">
        <f t="shared" si="26"/>
        <v>Om Screen Art Events</v>
      </c>
      <c r="F1671" s="27" t="s">
        <v>967</v>
      </c>
      <c r="G1671" s="18" t="s">
        <v>182</v>
      </c>
      <c r="H1671" s="18" t="s">
        <v>183</v>
      </c>
      <c r="I1671" s="18" t="s">
        <v>184</v>
      </c>
      <c r="J1671" s="18" t="s">
        <v>3595</v>
      </c>
      <c r="K1671" s="18" t="s">
        <v>56</v>
      </c>
      <c r="L1671" s="18" t="s">
        <v>36</v>
      </c>
      <c r="N1671" s="18">
        <v>6</v>
      </c>
      <c r="O1671" s="18" t="s">
        <v>88</v>
      </c>
      <c r="P1671" s="18" t="s">
        <v>38</v>
      </c>
      <c r="Q1671" s="18" t="s">
        <v>194</v>
      </c>
      <c r="R1671" s="18" t="s">
        <v>59</v>
      </c>
      <c r="S1671" s="18" t="s">
        <v>195</v>
      </c>
      <c r="T1671" s="18" t="b">
        <v>0</v>
      </c>
      <c r="U1671" s="18" t="s">
        <v>187</v>
      </c>
      <c r="V1671" s="18" t="s">
        <v>40</v>
      </c>
      <c r="W1671" s="18" t="s">
        <v>151</v>
      </c>
      <c r="X1671" s="18" t="s">
        <v>152</v>
      </c>
      <c r="Y1671" s="18">
        <v>1</v>
      </c>
      <c r="Z1671" s="18">
        <v>27500</v>
      </c>
      <c r="AA1671" s="18" t="s">
        <v>3433</v>
      </c>
      <c r="AB1671" s="18" t="s">
        <v>1944</v>
      </c>
      <c r="AC1671" s="18" t="s">
        <v>200</v>
      </c>
    </row>
    <row r="1672" s="18" customFormat="1" ht="43.5" spans="1:29">
      <c r="A1672" s="18" t="s">
        <v>3600</v>
      </c>
      <c r="B1672" s="25" t="s">
        <v>3600</v>
      </c>
      <c r="C1672" s="26">
        <v>45707</v>
      </c>
      <c r="D1672" s="18" t="s">
        <v>572</v>
      </c>
      <c r="E1672" s="18" t="str">
        <f t="shared" si="26"/>
        <v>Emblaze Events (Sunita Harihar Sharma)</v>
      </c>
      <c r="F1672" s="27" t="s">
        <v>573</v>
      </c>
      <c r="G1672" s="18" t="s">
        <v>182</v>
      </c>
      <c r="H1672" s="18" t="s">
        <v>183</v>
      </c>
      <c r="I1672" s="18" t="s">
        <v>184</v>
      </c>
      <c r="J1672" s="18" t="s">
        <v>1995</v>
      </c>
      <c r="K1672" s="18" t="s">
        <v>56</v>
      </c>
      <c r="L1672" s="18" t="s">
        <v>36</v>
      </c>
      <c r="N1672" s="18">
        <v>6</v>
      </c>
      <c r="O1672" s="18" t="s">
        <v>88</v>
      </c>
      <c r="P1672" s="18" t="s">
        <v>38</v>
      </c>
      <c r="Q1672" s="18" t="s">
        <v>194</v>
      </c>
      <c r="R1672" s="18" t="s">
        <v>59</v>
      </c>
      <c r="S1672" s="18" t="s">
        <v>195</v>
      </c>
      <c r="T1672" s="18" t="b">
        <v>0</v>
      </c>
      <c r="U1672" s="18" t="s">
        <v>187</v>
      </c>
      <c r="V1672" s="18" t="s">
        <v>40</v>
      </c>
      <c r="W1672" s="18" t="s">
        <v>292</v>
      </c>
      <c r="X1672" s="18" t="s">
        <v>293</v>
      </c>
      <c r="Y1672" s="18">
        <v>1</v>
      </c>
      <c r="Z1672" s="18">
        <v>78000</v>
      </c>
      <c r="AA1672" s="31" t="s">
        <v>3601</v>
      </c>
      <c r="AB1672" s="18" t="s">
        <v>1764</v>
      </c>
      <c r="AC1672" s="18" t="s">
        <v>200</v>
      </c>
    </row>
    <row r="1673" s="18" customFormat="1" ht="43.5" spans="1:29">
      <c r="A1673" s="18" t="s">
        <v>3602</v>
      </c>
      <c r="B1673" s="25" t="s">
        <v>3602</v>
      </c>
      <c r="C1673" s="26">
        <v>45707</v>
      </c>
      <c r="D1673" s="18" t="s">
        <v>3603</v>
      </c>
      <c r="E1673" s="18" t="str">
        <f t="shared" si="26"/>
        <v>Hanshraj Enterprise</v>
      </c>
      <c r="F1673" s="27" t="s">
        <v>3604</v>
      </c>
      <c r="G1673" s="18" t="s">
        <v>182</v>
      </c>
      <c r="H1673" s="18" t="s">
        <v>183</v>
      </c>
      <c r="I1673" s="18" t="s">
        <v>184</v>
      </c>
      <c r="J1673" s="18" t="s">
        <v>2690</v>
      </c>
      <c r="K1673" s="18" t="s">
        <v>56</v>
      </c>
      <c r="L1673" s="18" t="s">
        <v>36</v>
      </c>
      <c r="N1673" s="18">
        <v>6</v>
      </c>
      <c r="O1673" s="18" t="s">
        <v>88</v>
      </c>
      <c r="P1673" s="18" t="s">
        <v>38</v>
      </c>
      <c r="Q1673" s="18" t="s">
        <v>194</v>
      </c>
      <c r="R1673" s="18" t="s">
        <v>59</v>
      </c>
      <c r="S1673" s="18" t="s">
        <v>195</v>
      </c>
      <c r="T1673" s="18" t="b">
        <v>0</v>
      </c>
      <c r="U1673" s="18" t="s">
        <v>187</v>
      </c>
      <c r="V1673" s="18" t="s">
        <v>40</v>
      </c>
      <c r="W1673" s="18" t="s">
        <v>317</v>
      </c>
      <c r="X1673" s="18" t="s">
        <v>318</v>
      </c>
      <c r="Y1673" s="18">
        <v>1</v>
      </c>
      <c r="Z1673" s="18">
        <v>23160</v>
      </c>
      <c r="AA1673" s="31" t="s">
        <v>2933</v>
      </c>
      <c r="AB1673" s="18" t="s">
        <v>1566</v>
      </c>
      <c r="AC1673" s="18" t="s">
        <v>216</v>
      </c>
    </row>
    <row r="1674" s="18" customFormat="1" ht="43.5" spans="1:29">
      <c r="A1674" s="18" t="s">
        <v>3605</v>
      </c>
      <c r="B1674" s="25" t="s">
        <v>3605</v>
      </c>
      <c r="C1674" s="26">
        <v>45707</v>
      </c>
      <c r="D1674" s="18" t="s">
        <v>572</v>
      </c>
      <c r="E1674" s="18" t="str">
        <f t="shared" si="26"/>
        <v>Emblaze Events (Sunita Harihar Sharma)</v>
      </c>
      <c r="F1674" s="27" t="s">
        <v>573</v>
      </c>
      <c r="G1674" s="18" t="s">
        <v>182</v>
      </c>
      <c r="H1674" s="18" t="s">
        <v>183</v>
      </c>
      <c r="I1674" s="18" t="s">
        <v>184</v>
      </c>
      <c r="J1674" s="18" t="s">
        <v>2707</v>
      </c>
      <c r="K1674" s="18" t="s">
        <v>56</v>
      </c>
      <c r="L1674" s="18" t="s">
        <v>36</v>
      </c>
      <c r="N1674" s="18">
        <v>6</v>
      </c>
      <c r="O1674" s="18" t="s">
        <v>88</v>
      </c>
      <c r="P1674" s="18" t="s">
        <v>38</v>
      </c>
      <c r="Q1674" s="18" t="s">
        <v>194</v>
      </c>
      <c r="R1674" s="18" t="s">
        <v>59</v>
      </c>
      <c r="S1674" s="18" t="s">
        <v>195</v>
      </c>
      <c r="T1674" s="18" t="b">
        <v>0</v>
      </c>
      <c r="U1674" s="18" t="s">
        <v>187</v>
      </c>
      <c r="V1674" s="18" t="s">
        <v>40</v>
      </c>
      <c r="W1674" s="18" t="s">
        <v>292</v>
      </c>
      <c r="X1674" s="18" t="s">
        <v>293</v>
      </c>
      <c r="Y1674" s="18">
        <v>1</v>
      </c>
      <c r="Z1674" s="18">
        <v>12800</v>
      </c>
      <c r="AA1674" s="31" t="s">
        <v>2951</v>
      </c>
      <c r="AB1674" s="18" t="s">
        <v>1228</v>
      </c>
      <c r="AC1674" s="18" t="s">
        <v>200</v>
      </c>
    </row>
    <row r="1675" s="18" customFormat="1" ht="43.5" spans="1:29">
      <c r="A1675" s="18" t="s">
        <v>3606</v>
      </c>
      <c r="B1675" s="25" t="s">
        <v>3606</v>
      </c>
      <c r="C1675" s="26">
        <v>45707</v>
      </c>
      <c r="D1675" s="18" t="s">
        <v>1230</v>
      </c>
      <c r="E1675" s="18" t="str">
        <f t="shared" si="26"/>
        <v>Digicraft</v>
      </c>
      <c r="F1675" s="27" t="e">
        <v>#N/A</v>
      </c>
      <c r="G1675" s="18" t="s">
        <v>182</v>
      </c>
      <c r="H1675" s="18" t="s">
        <v>183</v>
      </c>
      <c r="I1675" s="18" t="s">
        <v>184</v>
      </c>
      <c r="J1675" s="18" t="s">
        <v>2707</v>
      </c>
      <c r="K1675" s="18" t="s">
        <v>56</v>
      </c>
      <c r="L1675" s="18" t="s">
        <v>36</v>
      </c>
      <c r="N1675" s="18">
        <v>6</v>
      </c>
      <c r="O1675" s="18" t="s">
        <v>88</v>
      </c>
      <c r="P1675" s="18" t="s">
        <v>38</v>
      </c>
      <c r="Q1675" s="18" t="s">
        <v>194</v>
      </c>
      <c r="R1675" s="18" t="s">
        <v>59</v>
      </c>
      <c r="S1675" s="18" t="s">
        <v>195</v>
      </c>
      <c r="T1675" s="18" t="b">
        <v>0</v>
      </c>
      <c r="U1675" s="18" t="s">
        <v>187</v>
      </c>
      <c r="V1675" s="18" t="s">
        <v>40</v>
      </c>
      <c r="W1675" s="18" t="s">
        <v>196</v>
      </c>
      <c r="X1675" s="18" t="s">
        <v>197</v>
      </c>
      <c r="Y1675" s="18">
        <v>1</v>
      </c>
      <c r="Z1675" s="18">
        <v>28585</v>
      </c>
      <c r="AA1675" s="31" t="s">
        <v>2951</v>
      </c>
      <c r="AB1675" s="18" t="s">
        <v>1228</v>
      </c>
      <c r="AC1675" s="18" t="s">
        <v>200</v>
      </c>
    </row>
    <row r="1676" s="18" customFormat="1" ht="43.5" spans="1:29">
      <c r="A1676" s="18" t="s">
        <v>3607</v>
      </c>
      <c r="B1676" s="25" t="s">
        <v>3607</v>
      </c>
      <c r="C1676" s="26">
        <v>45707</v>
      </c>
      <c r="D1676" s="18" t="s">
        <v>1650</v>
      </c>
      <c r="E1676" s="18" t="str">
        <f t="shared" si="26"/>
        <v>A A Fur1044835 Neetu Prakash Poojaryre(Abbas Abdul Hussain Ujjainwala)</v>
      </c>
      <c r="F1676" s="27" t="s">
        <v>1651</v>
      </c>
      <c r="G1676" s="18" t="s">
        <v>182</v>
      </c>
      <c r="H1676" s="18" t="s">
        <v>183</v>
      </c>
      <c r="I1676" s="18" t="s">
        <v>184</v>
      </c>
      <c r="J1676" s="18" t="s">
        <v>2707</v>
      </c>
      <c r="K1676" s="18" t="s">
        <v>56</v>
      </c>
      <c r="L1676" s="18" t="s">
        <v>36</v>
      </c>
      <c r="N1676" s="18">
        <v>6</v>
      </c>
      <c r="O1676" s="18" t="s">
        <v>57</v>
      </c>
      <c r="P1676" s="18" t="s">
        <v>38</v>
      </c>
      <c r="Q1676" s="18" t="s">
        <v>194</v>
      </c>
      <c r="R1676" s="18" t="s">
        <v>59</v>
      </c>
      <c r="S1676" s="18" t="s">
        <v>195</v>
      </c>
      <c r="T1676" s="18" t="b">
        <v>0</v>
      </c>
      <c r="U1676" s="18" t="s">
        <v>187</v>
      </c>
      <c r="V1676" s="18" t="s">
        <v>40</v>
      </c>
      <c r="W1676" s="18" t="s">
        <v>151</v>
      </c>
      <c r="X1676" s="18" t="s">
        <v>152</v>
      </c>
      <c r="Y1676" s="18">
        <v>1</v>
      </c>
      <c r="Z1676" s="18">
        <v>5000</v>
      </c>
      <c r="AA1676" s="31" t="s">
        <v>2951</v>
      </c>
      <c r="AB1676" s="18" t="s">
        <v>1228</v>
      </c>
      <c r="AC1676" s="18" t="s">
        <v>200</v>
      </c>
    </row>
    <row r="1677" s="18" customFormat="1" ht="43.5" spans="1:29">
      <c r="A1677" s="18" t="s">
        <v>3608</v>
      </c>
      <c r="B1677" s="25" t="s">
        <v>3608</v>
      </c>
      <c r="C1677" s="26">
        <v>45707</v>
      </c>
      <c r="D1677" s="18" t="s">
        <v>1811</v>
      </c>
      <c r="E1677" s="18" t="str">
        <f t="shared" si="26"/>
        <v>Fabrile Productions</v>
      </c>
      <c r="F1677" s="27" t="s">
        <v>1812</v>
      </c>
      <c r="G1677" s="18" t="s">
        <v>182</v>
      </c>
      <c r="H1677" s="18" t="s">
        <v>183</v>
      </c>
      <c r="I1677" s="18" t="s">
        <v>184</v>
      </c>
      <c r="J1677" s="18" t="s">
        <v>3209</v>
      </c>
      <c r="K1677" s="18" t="s">
        <v>56</v>
      </c>
      <c r="L1677" s="18" t="s">
        <v>36</v>
      </c>
      <c r="N1677" s="18">
        <v>6</v>
      </c>
      <c r="O1677" s="18" t="s">
        <v>88</v>
      </c>
      <c r="P1677" s="18" t="s">
        <v>38</v>
      </c>
      <c r="Q1677" s="18" t="s">
        <v>194</v>
      </c>
      <c r="R1677" s="18" t="s">
        <v>59</v>
      </c>
      <c r="S1677" s="18" t="s">
        <v>195</v>
      </c>
      <c r="T1677" s="18" t="b">
        <v>0</v>
      </c>
      <c r="U1677" s="18" t="s">
        <v>187</v>
      </c>
      <c r="V1677" s="18" t="s">
        <v>40</v>
      </c>
      <c r="W1677" s="18" t="s">
        <v>151</v>
      </c>
      <c r="X1677" s="18" t="s">
        <v>152</v>
      </c>
      <c r="Y1677" s="18">
        <v>1</v>
      </c>
      <c r="Z1677" s="18">
        <v>550000</v>
      </c>
      <c r="AA1677" s="31" t="s">
        <v>2951</v>
      </c>
      <c r="AB1677" s="18" t="s">
        <v>1228</v>
      </c>
      <c r="AC1677" s="18" t="s">
        <v>200</v>
      </c>
    </row>
    <row r="1678" s="18" customFormat="1" ht="43.5" spans="1:29">
      <c r="A1678" s="18" t="s">
        <v>3609</v>
      </c>
      <c r="B1678" s="25" t="s">
        <v>3609</v>
      </c>
      <c r="C1678" s="26">
        <v>45707</v>
      </c>
      <c r="D1678" s="18" t="s">
        <v>3610</v>
      </c>
      <c r="E1678" s="18" t="str">
        <f t="shared" si="26"/>
        <v>Globus Events</v>
      </c>
      <c r="F1678" s="27" t="s">
        <v>3611</v>
      </c>
      <c r="G1678" s="18" t="s">
        <v>182</v>
      </c>
      <c r="H1678" s="18" t="s">
        <v>183</v>
      </c>
      <c r="I1678" s="18" t="s">
        <v>184</v>
      </c>
      <c r="J1678" s="18" t="s">
        <v>3209</v>
      </c>
      <c r="K1678" s="18" t="s">
        <v>56</v>
      </c>
      <c r="L1678" s="18" t="s">
        <v>36</v>
      </c>
      <c r="N1678" s="18">
        <v>6</v>
      </c>
      <c r="O1678" s="18" t="s">
        <v>88</v>
      </c>
      <c r="P1678" s="18" t="s">
        <v>38</v>
      </c>
      <c r="Q1678" s="18" t="s">
        <v>194</v>
      </c>
      <c r="R1678" s="18" t="s">
        <v>59</v>
      </c>
      <c r="S1678" s="18" t="s">
        <v>195</v>
      </c>
      <c r="T1678" s="18" t="b">
        <v>0</v>
      </c>
      <c r="U1678" s="18" t="s">
        <v>187</v>
      </c>
      <c r="V1678" s="18" t="s">
        <v>40</v>
      </c>
      <c r="W1678" s="18" t="s">
        <v>292</v>
      </c>
      <c r="X1678" s="18" t="s">
        <v>293</v>
      </c>
      <c r="Y1678" s="18">
        <v>1</v>
      </c>
      <c r="Z1678" s="18">
        <v>98400</v>
      </c>
      <c r="AA1678" s="31" t="s">
        <v>2951</v>
      </c>
      <c r="AB1678" s="18" t="s">
        <v>1228</v>
      </c>
      <c r="AC1678" s="18" t="s">
        <v>200</v>
      </c>
    </row>
    <row r="1679" s="18" customFormat="1" ht="43.5" spans="1:29">
      <c r="A1679" s="18" t="s">
        <v>3612</v>
      </c>
      <c r="B1679" s="25" t="s">
        <v>3612</v>
      </c>
      <c r="C1679" s="26">
        <v>45707</v>
      </c>
      <c r="D1679" s="18" t="s">
        <v>1821</v>
      </c>
      <c r="E1679" s="18" t="str">
        <f t="shared" si="26"/>
        <v>The Infinite Impressions</v>
      </c>
      <c r="F1679" s="27" t="s">
        <v>1822</v>
      </c>
      <c r="G1679" s="18" t="s">
        <v>182</v>
      </c>
      <c r="H1679" s="18" t="s">
        <v>183</v>
      </c>
      <c r="I1679" s="18" t="s">
        <v>184</v>
      </c>
      <c r="J1679" s="18" t="s">
        <v>3209</v>
      </c>
      <c r="K1679" s="18" t="s">
        <v>56</v>
      </c>
      <c r="L1679" s="18" t="s">
        <v>36</v>
      </c>
      <c r="N1679" s="18">
        <v>6</v>
      </c>
      <c r="O1679" s="18" t="s">
        <v>57</v>
      </c>
      <c r="P1679" s="18" t="s">
        <v>38</v>
      </c>
      <c r="Q1679" s="18" t="s">
        <v>194</v>
      </c>
      <c r="R1679" s="18" t="s">
        <v>59</v>
      </c>
      <c r="S1679" s="18" t="s">
        <v>195</v>
      </c>
      <c r="T1679" s="18" t="b">
        <v>0</v>
      </c>
      <c r="U1679" s="18" t="s">
        <v>187</v>
      </c>
      <c r="V1679" s="18" t="s">
        <v>40</v>
      </c>
      <c r="W1679" s="18" t="s">
        <v>317</v>
      </c>
      <c r="X1679" s="18" t="s">
        <v>318</v>
      </c>
      <c r="Y1679" s="18">
        <v>1</v>
      </c>
      <c r="Z1679" s="18">
        <v>31000</v>
      </c>
      <c r="AA1679" s="31" t="s">
        <v>2951</v>
      </c>
      <c r="AB1679" s="18" t="s">
        <v>1228</v>
      </c>
      <c r="AC1679" s="18" t="s">
        <v>200</v>
      </c>
    </row>
    <row r="1680" s="18" customFormat="1" ht="43.5" spans="1:29">
      <c r="A1680" s="18" t="s">
        <v>3613</v>
      </c>
      <c r="B1680" s="25" t="s">
        <v>3613</v>
      </c>
      <c r="C1680" s="26">
        <v>45707</v>
      </c>
      <c r="D1680" s="18" t="s">
        <v>2163</v>
      </c>
      <c r="E1680" s="18" t="str">
        <f t="shared" si="26"/>
        <v>360 Bright Media</v>
      </c>
      <c r="F1680" s="27" t="s">
        <v>2164</v>
      </c>
      <c r="G1680" s="18" t="s">
        <v>182</v>
      </c>
      <c r="H1680" s="18" t="s">
        <v>183</v>
      </c>
      <c r="I1680" s="18" t="s">
        <v>184</v>
      </c>
      <c r="J1680" s="18" t="s">
        <v>2930</v>
      </c>
      <c r="K1680" s="18" t="s">
        <v>56</v>
      </c>
      <c r="L1680" s="18" t="s">
        <v>36</v>
      </c>
      <c r="N1680" s="18">
        <v>6</v>
      </c>
      <c r="O1680" s="18" t="s">
        <v>57</v>
      </c>
      <c r="P1680" s="18" t="s">
        <v>38</v>
      </c>
      <c r="Q1680" s="18" t="s">
        <v>194</v>
      </c>
      <c r="R1680" s="18" t="s">
        <v>59</v>
      </c>
      <c r="S1680" s="18" t="s">
        <v>195</v>
      </c>
      <c r="T1680" s="18" t="b">
        <v>0</v>
      </c>
      <c r="U1680" s="18" t="s">
        <v>187</v>
      </c>
      <c r="V1680" s="18" t="s">
        <v>40</v>
      </c>
      <c r="W1680" s="18" t="s">
        <v>317</v>
      </c>
      <c r="X1680" s="18" t="s">
        <v>318</v>
      </c>
      <c r="Y1680" s="18">
        <v>1</v>
      </c>
      <c r="Z1680" s="18">
        <v>50000</v>
      </c>
      <c r="AA1680" s="31" t="s">
        <v>2918</v>
      </c>
      <c r="AB1680" s="18" t="s">
        <v>963</v>
      </c>
      <c r="AC1680" s="18" t="s">
        <v>200</v>
      </c>
    </row>
    <row r="1681" s="18" customFormat="1" ht="43.5" spans="1:29">
      <c r="A1681" s="18" t="s">
        <v>3614</v>
      </c>
      <c r="B1681" s="25" t="s">
        <v>3614</v>
      </c>
      <c r="C1681" s="26">
        <v>45707</v>
      </c>
      <c r="D1681" s="18" t="s">
        <v>3615</v>
      </c>
      <c r="E1681" s="18" t="str">
        <f t="shared" si="26"/>
        <v>Compu Needs</v>
      </c>
      <c r="F1681" s="27" t="s">
        <v>3616</v>
      </c>
      <c r="G1681" s="18" t="s">
        <v>182</v>
      </c>
      <c r="H1681" s="18" t="s">
        <v>183</v>
      </c>
      <c r="I1681" s="18" t="s">
        <v>184</v>
      </c>
      <c r="J1681" s="18" t="s">
        <v>2854</v>
      </c>
      <c r="K1681" s="18" t="s">
        <v>56</v>
      </c>
      <c r="L1681" s="18" t="s">
        <v>36</v>
      </c>
      <c r="N1681" s="18">
        <v>6</v>
      </c>
      <c r="O1681" s="18" t="s">
        <v>88</v>
      </c>
      <c r="P1681" s="18" t="s">
        <v>38</v>
      </c>
      <c r="Q1681" s="18" t="s">
        <v>194</v>
      </c>
      <c r="R1681" s="18" t="s">
        <v>59</v>
      </c>
      <c r="S1681" s="18" t="s">
        <v>195</v>
      </c>
      <c r="T1681" s="18" t="b">
        <v>0</v>
      </c>
      <c r="U1681" s="18" t="s">
        <v>187</v>
      </c>
      <c r="V1681" s="18" t="s">
        <v>40</v>
      </c>
      <c r="W1681" s="18" t="s">
        <v>704</v>
      </c>
      <c r="X1681" s="18" t="s">
        <v>704</v>
      </c>
      <c r="Y1681" s="18">
        <v>5</v>
      </c>
      <c r="Z1681" s="18">
        <v>4500</v>
      </c>
      <c r="AA1681" s="31" t="s">
        <v>2826</v>
      </c>
      <c r="AB1681" s="18" t="s">
        <v>993</v>
      </c>
      <c r="AC1681" s="18" t="s">
        <v>200</v>
      </c>
    </row>
    <row r="1682" s="18" customFormat="1" ht="43.5" spans="1:29">
      <c r="A1682" s="18" t="s">
        <v>3617</v>
      </c>
      <c r="B1682" s="25" t="s">
        <v>3617</v>
      </c>
      <c r="C1682" s="26">
        <v>45707</v>
      </c>
      <c r="D1682" s="18" t="s">
        <v>3618</v>
      </c>
      <c r="E1682" s="18" t="str">
        <f t="shared" si="26"/>
        <v>Effect Vision</v>
      </c>
      <c r="F1682" s="27" t="s">
        <v>3619</v>
      </c>
      <c r="G1682" s="18" t="s">
        <v>182</v>
      </c>
      <c r="H1682" s="18" t="s">
        <v>183</v>
      </c>
      <c r="I1682" s="18" t="s">
        <v>184</v>
      </c>
      <c r="J1682" s="18" t="s">
        <v>3620</v>
      </c>
      <c r="K1682" s="18" t="s">
        <v>56</v>
      </c>
      <c r="L1682" s="18" t="s">
        <v>36</v>
      </c>
      <c r="N1682" s="18">
        <v>6</v>
      </c>
      <c r="O1682" s="18" t="s">
        <v>57</v>
      </c>
      <c r="P1682" s="18" t="s">
        <v>38</v>
      </c>
      <c r="Q1682" s="18" t="s">
        <v>194</v>
      </c>
      <c r="R1682" s="18" t="s">
        <v>59</v>
      </c>
      <c r="S1682" s="18" t="s">
        <v>195</v>
      </c>
      <c r="T1682" s="18" t="b">
        <v>0</v>
      </c>
      <c r="U1682" s="18" t="s">
        <v>187</v>
      </c>
      <c r="V1682" s="18" t="s">
        <v>40</v>
      </c>
      <c r="W1682" s="18" t="s">
        <v>371</v>
      </c>
      <c r="X1682" s="18" t="s">
        <v>372</v>
      </c>
      <c r="Y1682" s="18">
        <v>1</v>
      </c>
      <c r="Z1682" s="18">
        <v>25000</v>
      </c>
      <c r="AA1682" s="31" t="s">
        <v>3621</v>
      </c>
      <c r="AB1682" s="18" t="s">
        <v>795</v>
      </c>
      <c r="AC1682" s="18" t="s">
        <v>200</v>
      </c>
    </row>
    <row r="1683" s="18" customFormat="1" ht="43.5" spans="1:29">
      <c r="A1683" s="18" t="s">
        <v>3622</v>
      </c>
      <c r="B1683" s="25" t="s">
        <v>3622</v>
      </c>
      <c r="C1683" s="26">
        <v>45707</v>
      </c>
      <c r="D1683" s="18" t="s">
        <v>2410</v>
      </c>
      <c r="E1683" s="18" t="str">
        <f t="shared" si="26"/>
        <v>Event City </v>
      </c>
      <c r="F1683" s="27" t="e">
        <v>#N/A</v>
      </c>
      <c r="G1683" s="18" t="s">
        <v>182</v>
      </c>
      <c r="H1683" s="18" t="s">
        <v>183</v>
      </c>
      <c r="I1683" s="18" t="s">
        <v>184</v>
      </c>
      <c r="J1683" s="18" t="s">
        <v>2736</v>
      </c>
      <c r="K1683" s="18" t="s">
        <v>56</v>
      </c>
      <c r="L1683" s="18" t="s">
        <v>36</v>
      </c>
      <c r="N1683" s="18">
        <v>6</v>
      </c>
      <c r="O1683" s="18" t="s">
        <v>88</v>
      </c>
      <c r="P1683" s="18" t="s">
        <v>38</v>
      </c>
      <c r="Q1683" s="18" t="s">
        <v>194</v>
      </c>
      <c r="R1683" s="18" t="s">
        <v>59</v>
      </c>
      <c r="S1683" s="18" t="s">
        <v>195</v>
      </c>
      <c r="T1683" s="18" t="b">
        <v>0</v>
      </c>
      <c r="U1683" s="18" t="s">
        <v>187</v>
      </c>
      <c r="V1683" s="18" t="s">
        <v>40</v>
      </c>
      <c r="W1683" s="18" t="s">
        <v>140</v>
      </c>
      <c r="X1683" s="18" t="s">
        <v>141</v>
      </c>
      <c r="Y1683" s="18">
        <v>1</v>
      </c>
      <c r="Z1683" s="18">
        <v>231000</v>
      </c>
      <c r="AA1683" s="31" t="s">
        <v>3237</v>
      </c>
      <c r="AB1683" s="18" t="s">
        <v>798</v>
      </c>
      <c r="AC1683" s="18" t="s">
        <v>200</v>
      </c>
    </row>
    <row r="1684" s="18" customFormat="1" ht="43.5" spans="1:29">
      <c r="A1684" s="18" t="s">
        <v>3623</v>
      </c>
      <c r="B1684" s="25" t="s">
        <v>3623</v>
      </c>
      <c r="C1684" s="26">
        <v>45707</v>
      </c>
      <c r="D1684" s="18" t="s">
        <v>192</v>
      </c>
      <c r="E1684" s="18" t="str">
        <f t="shared" si="26"/>
        <v>Noaman Digital Partnership Firm</v>
      </c>
      <c r="F1684" s="27" t="e">
        <v>#N/A</v>
      </c>
      <c r="G1684" s="18" t="s">
        <v>182</v>
      </c>
      <c r="H1684" s="18" t="s">
        <v>183</v>
      </c>
      <c r="I1684" s="18" t="s">
        <v>184</v>
      </c>
      <c r="J1684" s="18" t="s">
        <v>2591</v>
      </c>
      <c r="K1684" s="18" t="s">
        <v>56</v>
      </c>
      <c r="L1684" s="18" t="s">
        <v>36</v>
      </c>
      <c r="N1684" s="18">
        <v>6</v>
      </c>
      <c r="O1684" s="18" t="s">
        <v>88</v>
      </c>
      <c r="P1684" s="18" t="s">
        <v>38</v>
      </c>
      <c r="Q1684" s="18" t="s">
        <v>194</v>
      </c>
      <c r="R1684" s="18" t="s">
        <v>59</v>
      </c>
      <c r="S1684" s="18" t="s">
        <v>195</v>
      </c>
      <c r="T1684" s="18" t="b">
        <v>0</v>
      </c>
      <c r="U1684" s="18" t="s">
        <v>187</v>
      </c>
      <c r="V1684" s="18" t="s">
        <v>40</v>
      </c>
      <c r="W1684" s="18" t="s">
        <v>196</v>
      </c>
      <c r="X1684" s="18" t="s">
        <v>197</v>
      </c>
      <c r="Y1684" s="18">
        <v>1</v>
      </c>
      <c r="Z1684" s="18">
        <v>25615</v>
      </c>
      <c r="AA1684" s="31" t="s">
        <v>3624</v>
      </c>
      <c r="AB1684" s="18" t="s">
        <v>3625</v>
      </c>
      <c r="AC1684" s="18" t="s">
        <v>200</v>
      </c>
    </row>
    <row r="1685" s="18" customFormat="1" ht="43.5" spans="1:29">
      <c r="A1685" s="18" t="s">
        <v>3626</v>
      </c>
      <c r="B1685" s="25" t="s">
        <v>3626</v>
      </c>
      <c r="C1685" s="26">
        <v>45708</v>
      </c>
      <c r="D1685" s="18" t="s">
        <v>498</v>
      </c>
      <c r="E1685" s="18" t="str">
        <f t="shared" si="26"/>
        <v>Lyra Entertainment And Media</v>
      </c>
      <c r="F1685" s="27" t="e">
        <v>#N/A</v>
      </c>
      <c r="G1685" s="18" t="s">
        <v>32</v>
      </c>
      <c r="H1685" s="18" t="s">
        <v>33</v>
      </c>
      <c r="I1685" s="18" t="s">
        <v>184</v>
      </c>
      <c r="J1685" s="18" t="s">
        <v>3627</v>
      </c>
      <c r="K1685" s="18" t="s">
        <v>56</v>
      </c>
      <c r="L1685" s="18" t="s">
        <v>36</v>
      </c>
      <c r="N1685" s="18">
        <v>6</v>
      </c>
      <c r="O1685" s="18" t="s">
        <v>88</v>
      </c>
      <c r="P1685" s="18" t="s">
        <v>38</v>
      </c>
      <c r="Q1685" s="18" t="s">
        <v>117</v>
      </c>
      <c r="R1685" s="18" t="s">
        <v>59</v>
      </c>
      <c r="S1685" s="18" t="s">
        <v>186</v>
      </c>
      <c r="T1685" s="18" t="b">
        <v>1</v>
      </c>
      <c r="U1685" s="18" t="s">
        <v>39</v>
      </c>
      <c r="V1685" s="18" t="s">
        <v>40</v>
      </c>
      <c r="W1685" s="18" t="s">
        <v>317</v>
      </c>
      <c r="X1685" s="18" t="s">
        <v>318</v>
      </c>
      <c r="Y1685" s="18">
        <v>1</v>
      </c>
      <c r="Z1685" s="18">
        <v>35618</v>
      </c>
      <c r="AA1685" s="31" t="s">
        <v>3213</v>
      </c>
      <c r="AB1685" s="18" t="s">
        <v>811</v>
      </c>
      <c r="AC1685" s="18" t="s">
        <v>43</v>
      </c>
    </row>
    <row r="1686" s="18" customFormat="1" ht="43.5" spans="1:29">
      <c r="A1686" s="18" t="s">
        <v>3628</v>
      </c>
      <c r="B1686" s="25" t="s">
        <v>3628</v>
      </c>
      <c r="C1686" s="26">
        <v>45708</v>
      </c>
      <c r="D1686" s="18" t="s">
        <v>1091</v>
      </c>
      <c r="E1686" s="18" t="str">
        <f t="shared" si="26"/>
        <v>ID Factory (OPC) Pvt Ltd</v>
      </c>
      <c r="F1686" s="27" t="s">
        <v>1092</v>
      </c>
      <c r="G1686" s="18" t="s">
        <v>32</v>
      </c>
      <c r="H1686" s="18" t="s">
        <v>33</v>
      </c>
      <c r="I1686" s="18" t="s">
        <v>184</v>
      </c>
      <c r="J1686" s="18" t="s">
        <v>3226</v>
      </c>
      <c r="K1686" s="18" t="s">
        <v>56</v>
      </c>
      <c r="L1686" s="18" t="s">
        <v>36</v>
      </c>
      <c r="N1686" s="18">
        <v>6</v>
      </c>
      <c r="O1686" s="18" t="s">
        <v>88</v>
      </c>
      <c r="P1686" s="18" t="s">
        <v>38</v>
      </c>
      <c r="Q1686" s="18" t="s">
        <v>194</v>
      </c>
      <c r="R1686" s="18" t="s">
        <v>59</v>
      </c>
      <c r="S1686" s="18" t="s">
        <v>195</v>
      </c>
      <c r="T1686" s="18" t="b">
        <v>1</v>
      </c>
      <c r="U1686" s="18" t="s">
        <v>39</v>
      </c>
      <c r="V1686" s="18" t="s">
        <v>40</v>
      </c>
      <c r="W1686" s="18" t="s">
        <v>196</v>
      </c>
      <c r="X1686" s="18" t="s">
        <v>197</v>
      </c>
      <c r="Y1686" s="18">
        <v>1</v>
      </c>
      <c r="Z1686" s="18">
        <v>2250</v>
      </c>
      <c r="AA1686" s="31" t="s">
        <v>2760</v>
      </c>
      <c r="AB1686" s="18" t="s">
        <v>282</v>
      </c>
      <c r="AC1686" s="18" t="s">
        <v>43</v>
      </c>
    </row>
    <row r="1687" s="18" customFormat="1" ht="43.5" spans="1:29">
      <c r="A1687" s="18" t="s">
        <v>3629</v>
      </c>
      <c r="B1687" s="25" t="s">
        <v>3629</v>
      </c>
      <c r="C1687" s="26">
        <v>45708</v>
      </c>
      <c r="D1687" s="18" t="s">
        <v>3318</v>
      </c>
      <c r="E1687" s="18" t="str">
        <f t="shared" si="26"/>
        <v>Narsingh Events Pvt Ltd</v>
      </c>
      <c r="F1687" s="27" t="s">
        <v>3319</v>
      </c>
      <c r="G1687" s="18" t="s">
        <v>32</v>
      </c>
      <c r="H1687" s="18" t="s">
        <v>33</v>
      </c>
      <c r="I1687" s="18" t="s">
        <v>184</v>
      </c>
      <c r="J1687" s="18" t="s">
        <v>3226</v>
      </c>
      <c r="K1687" s="18" t="s">
        <v>56</v>
      </c>
      <c r="L1687" s="18" t="s">
        <v>36</v>
      </c>
      <c r="N1687" s="18">
        <v>6</v>
      </c>
      <c r="O1687" s="18" t="s">
        <v>88</v>
      </c>
      <c r="P1687" s="18" t="s">
        <v>38</v>
      </c>
      <c r="Q1687" s="18" t="s">
        <v>194</v>
      </c>
      <c r="R1687" s="18" t="s">
        <v>59</v>
      </c>
      <c r="S1687" s="18" t="s">
        <v>195</v>
      </c>
      <c r="T1687" s="18" t="b">
        <v>1</v>
      </c>
      <c r="U1687" s="18" t="s">
        <v>39</v>
      </c>
      <c r="V1687" s="18" t="s">
        <v>40</v>
      </c>
      <c r="W1687" s="18" t="s">
        <v>151</v>
      </c>
      <c r="X1687" s="18" t="s">
        <v>152</v>
      </c>
      <c r="Y1687" s="18">
        <v>1</v>
      </c>
      <c r="Z1687" s="18">
        <v>12000</v>
      </c>
      <c r="AA1687" s="31" t="s">
        <v>2760</v>
      </c>
      <c r="AB1687" s="18" t="s">
        <v>282</v>
      </c>
      <c r="AC1687" s="18" t="s">
        <v>43</v>
      </c>
    </row>
    <row r="1688" s="18" customFormat="1" ht="43.5" spans="1:29">
      <c r="A1688" s="18" t="s">
        <v>3630</v>
      </c>
      <c r="B1688" s="25" t="s">
        <v>3630</v>
      </c>
      <c r="C1688" s="26">
        <v>45708</v>
      </c>
      <c r="D1688" s="18" t="s">
        <v>632</v>
      </c>
      <c r="E1688" s="18" t="str">
        <f t="shared" si="26"/>
        <v>Event Life</v>
      </c>
      <c r="F1688" s="27" t="s">
        <v>633</v>
      </c>
      <c r="G1688" s="18" t="s">
        <v>32</v>
      </c>
      <c r="H1688" s="18" t="s">
        <v>33</v>
      </c>
      <c r="I1688" s="18" t="s">
        <v>184</v>
      </c>
      <c r="J1688" s="18" t="s">
        <v>3226</v>
      </c>
      <c r="K1688" s="18" t="s">
        <v>56</v>
      </c>
      <c r="L1688" s="18" t="s">
        <v>36</v>
      </c>
      <c r="N1688" s="18">
        <v>6</v>
      </c>
      <c r="O1688" s="18" t="s">
        <v>88</v>
      </c>
      <c r="P1688" s="18" t="s">
        <v>38</v>
      </c>
      <c r="Q1688" s="18" t="s">
        <v>194</v>
      </c>
      <c r="R1688" s="18" t="s">
        <v>59</v>
      </c>
      <c r="S1688" s="18" t="s">
        <v>195</v>
      </c>
      <c r="T1688" s="18" t="b">
        <v>1</v>
      </c>
      <c r="U1688" s="18" t="s">
        <v>39</v>
      </c>
      <c r="V1688" s="18" t="s">
        <v>40</v>
      </c>
      <c r="W1688" s="18" t="s">
        <v>371</v>
      </c>
      <c r="X1688" s="18" t="s">
        <v>372</v>
      </c>
      <c r="Y1688" s="18">
        <v>1</v>
      </c>
      <c r="Z1688" s="18">
        <v>45000</v>
      </c>
      <c r="AA1688" s="31" t="s">
        <v>2760</v>
      </c>
      <c r="AB1688" s="18" t="s">
        <v>282</v>
      </c>
      <c r="AC1688" s="18" t="s">
        <v>43</v>
      </c>
    </row>
    <row r="1689" s="18" customFormat="1" ht="43.5" spans="1:29">
      <c r="A1689" s="18" t="s">
        <v>3631</v>
      </c>
      <c r="B1689" s="25" t="s">
        <v>3631</v>
      </c>
      <c r="C1689" s="26">
        <v>45708</v>
      </c>
      <c r="D1689" s="18" t="s">
        <v>1085</v>
      </c>
      <c r="E1689" s="18" t="str">
        <f t="shared" si="26"/>
        <v>Thinking Brahma</v>
      </c>
      <c r="F1689" s="27" t="s">
        <v>1086</v>
      </c>
      <c r="G1689" s="18" t="s">
        <v>32</v>
      </c>
      <c r="H1689" s="18" t="s">
        <v>33</v>
      </c>
      <c r="I1689" s="18" t="s">
        <v>184</v>
      </c>
      <c r="J1689" s="18" t="s">
        <v>3226</v>
      </c>
      <c r="K1689" s="18" t="s">
        <v>56</v>
      </c>
      <c r="L1689" s="18" t="s">
        <v>36</v>
      </c>
      <c r="N1689" s="18">
        <v>6</v>
      </c>
      <c r="O1689" s="18" t="s">
        <v>88</v>
      </c>
      <c r="P1689" s="18" t="s">
        <v>38</v>
      </c>
      <c r="Q1689" s="18" t="s">
        <v>194</v>
      </c>
      <c r="R1689" s="18" t="s">
        <v>59</v>
      </c>
      <c r="S1689" s="18" t="s">
        <v>195</v>
      </c>
      <c r="T1689" s="18" t="b">
        <v>1</v>
      </c>
      <c r="U1689" s="18" t="s">
        <v>39</v>
      </c>
      <c r="V1689" s="18" t="s">
        <v>40</v>
      </c>
      <c r="W1689" s="18" t="s">
        <v>401</v>
      </c>
      <c r="X1689" s="18" t="s">
        <v>402</v>
      </c>
      <c r="Y1689" s="18">
        <v>1</v>
      </c>
      <c r="Z1689" s="18">
        <v>4000</v>
      </c>
      <c r="AA1689" s="31" t="s">
        <v>2760</v>
      </c>
      <c r="AB1689" s="18" t="s">
        <v>282</v>
      </c>
      <c r="AC1689" s="18" t="s">
        <v>43</v>
      </c>
    </row>
    <row r="1690" s="18" customFormat="1" spans="1:29">
      <c r="A1690" s="18" t="s">
        <v>3632</v>
      </c>
      <c r="B1690" s="25" t="s">
        <v>3632</v>
      </c>
      <c r="C1690" s="26">
        <v>45708</v>
      </c>
      <c r="D1690" s="18" t="s">
        <v>505</v>
      </c>
      <c r="E1690" s="18" t="str">
        <f t="shared" si="26"/>
        <v>Ashok Raj R  </v>
      </c>
      <c r="F1690" s="27" t="e">
        <v>#N/A</v>
      </c>
      <c r="G1690" s="18" t="s">
        <v>32</v>
      </c>
      <c r="H1690" s="18" t="s">
        <v>33</v>
      </c>
      <c r="I1690" s="18" t="s">
        <v>34</v>
      </c>
      <c r="J1690" s="18" t="s">
        <v>2429</v>
      </c>
      <c r="K1690" s="18" t="s">
        <v>56</v>
      </c>
      <c r="L1690" s="18" t="s">
        <v>36</v>
      </c>
      <c r="N1690" s="18">
        <v>6</v>
      </c>
      <c r="O1690" s="18" t="s">
        <v>93</v>
      </c>
      <c r="P1690" s="18" t="s">
        <v>38</v>
      </c>
      <c r="Q1690" s="18" t="s">
        <v>194</v>
      </c>
      <c r="R1690" s="18" t="s">
        <v>59</v>
      </c>
      <c r="S1690" s="18" t="s">
        <v>195</v>
      </c>
      <c r="T1690" s="18" t="b">
        <v>1</v>
      </c>
      <c r="U1690" s="18" t="s">
        <v>39</v>
      </c>
      <c r="V1690" s="18" t="s">
        <v>40</v>
      </c>
      <c r="W1690" s="18" t="s">
        <v>126</v>
      </c>
      <c r="X1690" s="18" t="s">
        <v>127</v>
      </c>
      <c r="Y1690" s="18">
        <v>1</v>
      </c>
      <c r="Z1690" s="18">
        <v>702</v>
      </c>
      <c r="AA1690" s="18" t="s">
        <v>501</v>
      </c>
      <c r="AB1690" s="18" t="s">
        <v>502</v>
      </c>
      <c r="AC1690" s="18" t="e">
        <v>#N/A</v>
      </c>
    </row>
    <row r="1691" s="18" customFormat="1" spans="1:29">
      <c r="A1691" s="18" t="s">
        <v>3633</v>
      </c>
      <c r="B1691" s="25" t="s">
        <v>3633</v>
      </c>
      <c r="C1691" s="26">
        <v>45708</v>
      </c>
      <c r="D1691" s="18" t="s">
        <v>505</v>
      </c>
      <c r="E1691" s="18" t="str">
        <f t="shared" si="26"/>
        <v>Ashok Raj R  </v>
      </c>
      <c r="F1691" s="27" t="e">
        <v>#N/A</v>
      </c>
      <c r="G1691" s="18" t="s">
        <v>32</v>
      </c>
      <c r="H1691" s="18" t="s">
        <v>33</v>
      </c>
      <c r="I1691" s="18" t="s">
        <v>34</v>
      </c>
      <c r="J1691" s="18" t="s">
        <v>2435</v>
      </c>
      <c r="K1691" s="18" t="s">
        <v>56</v>
      </c>
      <c r="L1691" s="18" t="s">
        <v>36</v>
      </c>
      <c r="N1691" s="18">
        <v>6</v>
      </c>
      <c r="O1691" s="18" t="s">
        <v>93</v>
      </c>
      <c r="P1691" s="18" t="s">
        <v>38</v>
      </c>
      <c r="Q1691" s="18" t="s">
        <v>117</v>
      </c>
      <c r="R1691" s="18" t="s">
        <v>59</v>
      </c>
      <c r="S1691" s="18" t="s">
        <v>118</v>
      </c>
      <c r="T1691" s="18" t="b">
        <v>1</v>
      </c>
      <c r="U1691" s="18" t="s">
        <v>39</v>
      </c>
      <c r="V1691" s="18" t="s">
        <v>40</v>
      </c>
      <c r="W1691" s="18" t="s">
        <v>412</v>
      </c>
      <c r="X1691" s="18" t="s">
        <v>413</v>
      </c>
      <c r="Y1691" s="18">
        <v>1</v>
      </c>
      <c r="Z1691" s="18">
        <v>3777</v>
      </c>
      <c r="AA1691" s="18" t="s">
        <v>501</v>
      </c>
      <c r="AB1691" s="18" t="s">
        <v>502</v>
      </c>
      <c r="AC1691" s="18" t="e">
        <v>#N/A</v>
      </c>
    </row>
    <row r="1692" s="18" customFormat="1" spans="1:29">
      <c r="A1692" s="18" t="s">
        <v>3634</v>
      </c>
      <c r="B1692" s="25" t="s">
        <v>3634</v>
      </c>
      <c r="C1692" s="26">
        <v>45708</v>
      </c>
      <c r="D1692" s="18" t="s">
        <v>74</v>
      </c>
      <c r="E1692" s="18" t="str">
        <f t="shared" si="26"/>
        <v>Mayur Enterprises</v>
      </c>
      <c r="F1692" s="27" t="s">
        <v>75</v>
      </c>
      <c r="G1692" s="18" t="s">
        <v>32</v>
      </c>
      <c r="H1692" s="18" t="s">
        <v>33</v>
      </c>
      <c r="I1692" s="18" t="s">
        <v>34</v>
      </c>
      <c r="K1692" s="18" t="s">
        <v>35</v>
      </c>
      <c r="L1692" s="18" t="s">
        <v>36</v>
      </c>
      <c r="N1692" s="18">
        <v>6</v>
      </c>
      <c r="O1692" s="18" t="s">
        <v>37</v>
      </c>
      <c r="P1692" s="18" t="s">
        <v>38</v>
      </c>
      <c r="T1692" s="18" t="b">
        <v>1</v>
      </c>
      <c r="U1692" s="18" t="s">
        <v>39</v>
      </c>
      <c r="V1692" s="18" t="s">
        <v>40</v>
      </c>
      <c r="W1692" s="18" t="s">
        <v>76</v>
      </c>
      <c r="X1692" s="18" t="s">
        <v>676</v>
      </c>
      <c r="Y1692" s="18">
        <v>1</v>
      </c>
      <c r="Z1692" s="18">
        <v>70</v>
      </c>
      <c r="AC1692" s="18" t="s">
        <v>76</v>
      </c>
    </row>
    <row r="1693" s="18" customFormat="1" ht="43.5" spans="1:29">
      <c r="A1693" s="18" t="s">
        <v>3635</v>
      </c>
      <c r="B1693" s="25" t="s">
        <v>3635</v>
      </c>
      <c r="C1693" s="26">
        <v>45708</v>
      </c>
      <c r="D1693" s="18" t="s">
        <v>3370</v>
      </c>
      <c r="E1693" s="18" t="str">
        <f t="shared" si="26"/>
        <v>Fiesta Car Rentals &amp; Logistics Pvt Ltd</v>
      </c>
      <c r="F1693" s="27" t="s">
        <v>3371</v>
      </c>
      <c r="G1693" s="18" t="s">
        <v>99</v>
      </c>
      <c r="H1693" s="18" t="s">
        <v>100</v>
      </c>
      <c r="I1693" s="18" t="s">
        <v>184</v>
      </c>
      <c r="J1693" s="18" t="s">
        <v>3123</v>
      </c>
      <c r="K1693" s="18" t="s">
        <v>56</v>
      </c>
      <c r="L1693" s="18" t="s">
        <v>36</v>
      </c>
      <c r="N1693" s="18">
        <v>6</v>
      </c>
      <c r="O1693" s="18" t="s">
        <v>88</v>
      </c>
      <c r="P1693" s="18" t="s">
        <v>38</v>
      </c>
      <c r="Q1693" s="18" t="s">
        <v>194</v>
      </c>
      <c r="R1693" s="18" t="s">
        <v>59</v>
      </c>
      <c r="S1693" s="18" t="s">
        <v>195</v>
      </c>
      <c r="T1693" s="18" t="b">
        <v>1</v>
      </c>
      <c r="U1693" s="18" t="s">
        <v>101</v>
      </c>
      <c r="V1693" s="18" t="s">
        <v>40</v>
      </c>
      <c r="W1693" s="18" t="s">
        <v>119</v>
      </c>
      <c r="X1693" s="18" t="s">
        <v>120</v>
      </c>
      <c r="Y1693" s="18">
        <v>1</v>
      </c>
      <c r="Z1693" s="18">
        <v>3075</v>
      </c>
      <c r="AA1693" s="31" t="s">
        <v>3372</v>
      </c>
      <c r="AB1693" s="18" t="s">
        <v>189</v>
      </c>
      <c r="AC1693" s="18" t="s">
        <v>676</v>
      </c>
    </row>
    <row r="1694" s="18" customFormat="1" spans="1:29">
      <c r="A1694" s="18" t="s">
        <v>3636</v>
      </c>
      <c r="B1694" s="25" t="s">
        <v>3636</v>
      </c>
      <c r="C1694" s="26">
        <v>45708</v>
      </c>
      <c r="D1694" s="18" t="s">
        <v>3637</v>
      </c>
      <c r="E1694" s="18" t="str">
        <f t="shared" si="26"/>
        <v>Aravind Kumar S Adv for Exp</v>
      </c>
      <c r="F1694" s="27" t="e">
        <v>#N/A</v>
      </c>
      <c r="G1694" s="18" t="s">
        <v>99</v>
      </c>
      <c r="H1694" s="18" t="s">
        <v>100</v>
      </c>
      <c r="I1694" s="18" t="s">
        <v>1246</v>
      </c>
      <c r="K1694" s="18" t="s">
        <v>35</v>
      </c>
      <c r="L1694" s="18" t="s">
        <v>36</v>
      </c>
      <c r="N1694" s="18">
        <v>6</v>
      </c>
      <c r="O1694" s="18" t="s">
        <v>93</v>
      </c>
      <c r="P1694" s="18" t="s">
        <v>38</v>
      </c>
      <c r="T1694" s="18" t="b">
        <v>1</v>
      </c>
      <c r="U1694" s="18" t="s">
        <v>101</v>
      </c>
      <c r="V1694" s="18" t="s">
        <v>40</v>
      </c>
      <c r="W1694" s="18" t="s">
        <v>134</v>
      </c>
      <c r="X1694" s="18" t="s">
        <v>135</v>
      </c>
      <c r="Y1694" s="18">
        <v>1</v>
      </c>
      <c r="Z1694" s="18">
        <v>3200</v>
      </c>
      <c r="AA1694" s="18" t="s">
        <v>334</v>
      </c>
      <c r="AB1694" s="18" t="s">
        <v>335</v>
      </c>
      <c r="AC1694" s="18" t="e">
        <v>#N/A</v>
      </c>
    </row>
    <row r="1695" s="18" customFormat="1" spans="1:29">
      <c r="A1695" s="18" t="s">
        <v>3638</v>
      </c>
      <c r="B1695" s="25" t="s">
        <v>3638</v>
      </c>
      <c r="C1695" s="26">
        <v>45708</v>
      </c>
      <c r="D1695" s="18" t="s">
        <v>331</v>
      </c>
      <c r="E1695" s="18" t="str">
        <f t="shared" si="26"/>
        <v>Clinton J  for Expense</v>
      </c>
      <c r="F1695" s="27" t="e">
        <v>#N/A</v>
      </c>
      <c r="G1695" s="18" t="s">
        <v>99</v>
      </c>
      <c r="H1695" s="18" t="s">
        <v>100</v>
      </c>
      <c r="I1695" s="18" t="s">
        <v>1246</v>
      </c>
      <c r="J1695" s="18" t="s">
        <v>2775</v>
      </c>
      <c r="K1695" s="18" t="s">
        <v>56</v>
      </c>
      <c r="L1695" s="18" t="s">
        <v>36</v>
      </c>
      <c r="N1695" s="18">
        <v>6</v>
      </c>
      <c r="O1695" s="18" t="s">
        <v>93</v>
      </c>
      <c r="P1695" s="18" t="s">
        <v>38</v>
      </c>
      <c r="Q1695" s="18" t="s">
        <v>117</v>
      </c>
      <c r="R1695" s="18" t="s">
        <v>59</v>
      </c>
      <c r="S1695" s="18" t="s">
        <v>186</v>
      </c>
      <c r="T1695" s="18" t="b">
        <v>1</v>
      </c>
      <c r="U1695" s="18" t="s">
        <v>101</v>
      </c>
      <c r="V1695" s="18" t="s">
        <v>40</v>
      </c>
      <c r="W1695" s="18" t="s">
        <v>233</v>
      </c>
      <c r="X1695" s="18" t="s">
        <v>234</v>
      </c>
      <c r="Y1695" s="18">
        <v>1</v>
      </c>
      <c r="Z1695" s="18">
        <v>1000</v>
      </c>
      <c r="AA1695" s="18" t="s">
        <v>102</v>
      </c>
      <c r="AB1695" s="18" t="s">
        <v>103</v>
      </c>
      <c r="AC1695" s="18" t="e">
        <v>#N/A</v>
      </c>
    </row>
    <row r="1696" s="18" customFormat="1" spans="1:29">
      <c r="A1696" s="18" t="s">
        <v>3639</v>
      </c>
      <c r="B1696" s="25" t="s">
        <v>3639</v>
      </c>
      <c r="C1696" s="26">
        <v>45708</v>
      </c>
      <c r="D1696" s="18" t="s">
        <v>331</v>
      </c>
      <c r="E1696" s="18" t="str">
        <f t="shared" si="26"/>
        <v>Clinton J  for Expense</v>
      </c>
      <c r="F1696" s="27" t="e">
        <v>#N/A</v>
      </c>
      <c r="G1696" s="18" t="s">
        <v>99</v>
      </c>
      <c r="H1696" s="18" t="s">
        <v>100</v>
      </c>
      <c r="I1696" s="18" t="s">
        <v>133</v>
      </c>
      <c r="J1696" s="18" t="s">
        <v>1574</v>
      </c>
      <c r="K1696" s="18" t="s">
        <v>56</v>
      </c>
      <c r="L1696" s="18" t="s">
        <v>36</v>
      </c>
      <c r="N1696" s="18">
        <v>6</v>
      </c>
      <c r="O1696" s="18" t="s">
        <v>93</v>
      </c>
      <c r="P1696" s="18" t="s">
        <v>38</v>
      </c>
      <c r="Q1696" s="18" t="s">
        <v>117</v>
      </c>
      <c r="R1696" s="18" t="s">
        <v>59</v>
      </c>
      <c r="S1696" s="18" t="s">
        <v>186</v>
      </c>
      <c r="T1696" s="18" t="b">
        <v>1</v>
      </c>
      <c r="U1696" s="18" t="s">
        <v>101</v>
      </c>
      <c r="V1696" s="18" t="s">
        <v>40</v>
      </c>
      <c r="W1696" s="18" t="s">
        <v>1055</v>
      </c>
      <c r="X1696" s="18" t="s">
        <v>1056</v>
      </c>
      <c r="Y1696" s="18">
        <v>1</v>
      </c>
      <c r="Z1696" s="18">
        <v>840</v>
      </c>
      <c r="AA1696" s="18" t="s">
        <v>102</v>
      </c>
      <c r="AB1696" s="18" t="s">
        <v>103</v>
      </c>
      <c r="AC1696" s="18" t="e">
        <v>#N/A</v>
      </c>
    </row>
    <row r="1697" s="18" customFormat="1" spans="1:29">
      <c r="A1697" s="18" t="s">
        <v>3640</v>
      </c>
      <c r="B1697" s="25" t="s">
        <v>3640</v>
      </c>
      <c r="C1697" s="26">
        <v>45708</v>
      </c>
      <c r="D1697" s="18" t="s">
        <v>507</v>
      </c>
      <c r="E1697" s="18" t="str">
        <f t="shared" si="26"/>
        <v>R Anandan  </v>
      </c>
      <c r="F1697" s="27" t="e">
        <v>#N/A</v>
      </c>
      <c r="G1697" s="18" t="s">
        <v>99</v>
      </c>
      <c r="H1697" s="18" t="s">
        <v>100</v>
      </c>
      <c r="I1697" s="18" t="s">
        <v>1246</v>
      </c>
      <c r="J1697" s="18" t="s">
        <v>2775</v>
      </c>
      <c r="K1697" s="18" t="s">
        <v>56</v>
      </c>
      <c r="L1697" s="18" t="s">
        <v>36</v>
      </c>
      <c r="N1697" s="18">
        <v>6</v>
      </c>
      <c r="O1697" s="18" t="s">
        <v>93</v>
      </c>
      <c r="P1697" s="18" t="s">
        <v>38</v>
      </c>
      <c r="Q1697" s="18" t="s">
        <v>117</v>
      </c>
      <c r="R1697" s="18" t="s">
        <v>59</v>
      </c>
      <c r="S1697" s="18" t="s">
        <v>186</v>
      </c>
      <c r="T1697" s="18" t="b">
        <v>1</v>
      </c>
      <c r="U1697" s="18" t="s">
        <v>101</v>
      </c>
      <c r="V1697" s="18" t="s">
        <v>40</v>
      </c>
      <c r="W1697" s="18" t="s">
        <v>126</v>
      </c>
      <c r="X1697" s="18" t="s">
        <v>127</v>
      </c>
      <c r="Y1697" s="18">
        <v>1</v>
      </c>
      <c r="Z1697" s="18">
        <v>1419</v>
      </c>
      <c r="AA1697" s="18" t="s">
        <v>102</v>
      </c>
      <c r="AB1697" s="18" t="s">
        <v>103</v>
      </c>
      <c r="AC1697" s="18" t="e">
        <v>#N/A</v>
      </c>
    </row>
    <row r="1698" s="18" customFormat="1" spans="1:29">
      <c r="A1698" s="18" t="s">
        <v>3641</v>
      </c>
      <c r="B1698" s="25" t="s">
        <v>3641</v>
      </c>
      <c r="C1698" s="26">
        <v>45708</v>
      </c>
      <c r="D1698" s="18" t="s">
        <v>1832</v>
      </c>
      <c r="E1698" s="18" t="str">
        <f t="shared" si="26"/>
        <v>Ashwath TV  for Expense</v>
      </c>
      <c r="F1698" s="27" t="e">
        <v>#N/A</v>
      </c>
      <c r="G1698" s="18" t="s">
        <v>99</v>
      </c>
      <c r="H1698" s="18" t="s">
        <v>100</v>
      </c>
      <c r="I1698" s="18" t="s">
        <v>1246</v>
      </c>
      <c r="J1698" s="18" t="s">
        <v>2775</v>
      </c>
      <c r="K1698" s="18" t="s">
        <v>56</v>
      </c>
      <c r="L1698" s="18" t="s">
        <v>36</v>
      </c>
      <c r="N1698" s="18">
        <v>6</v>
      </c>
      <c r="O1698" s="18" t="s">
        <v>93</v>
      </c>
      <c r="P1698" s="18" t="s">
        <v>38</v>
      </c>
      <c r="Q1698" s="18" t="s">
        <v>117</v>
      </c>
      <c r="R1698" s="18" t="s">
        <v>59</v>
      </c>
      <c r="S1698" s="18" t="s">
        <v>186</v>
      </c>
      <c r="T1698" s="18" t="b">
        <v>1</v>
      </c>
      <c r="U1698" s="18" t="s">
        <v>101</v>
      </c>
      <c r="V1698" s="18" t="s">
        <v>40</v>
      </c>
      <c r="W1698" s="18" t="s">
        <v>126</v>
      </c>
      <c r="X1698" s="18" t="s">
        <v>127</v>
      </c>
      <c r="Y1698" s="18">
        <v>1</v>
      </c>
      <c r="Z1698" s="18">
        <v>1187</v>
      </c>
      <c r="AA1698" s="18" t="s">
        <v>102</v>
      </c>
      <c r="AB1698" s="18" t="s">
        <v>103</v>
      </c>
      <c r="AC1698" s="18" t="e">
        <v>#N/A</v>
      </c>
    </row>
    <row r="1699" s="18" customFormat="1" spans="1:29">
      <c r="A1699" s="18" t="s">
        <v>3642</v>
      </c>
      <c r="B1699" s="25" t="s">
        <v>3642</v>
      </c>
      <c r="C1699" s="26">
        <v>45708</v>
      </c>
      <c r="D1699" s="18" t="s">
        <v>3643</v>
      </c>
      <c r="E1699" s="18" t="str">
        <f t="shared" si="26"/>
        <v>Brijesh L  </v>
      </c>
      <c r="F1699" s="27" t="s">
        <v>3644</v>
      </c>
      <c r="G1699" s="18" t="s">
        <v>99</v>
      </c>
      <c r="H1699" s="18" t="s">
        <v>100</v>
      </c>
      <c r="I1699" s="18" t="s">
        <v>1246</v>
      </c>
      <c r="J1699" s="18" t="s">
        <v>2775</v>
      </c>
      <c r="K1699" s="18" t="s">
        <v>56</v>
      </c>
      <c r="L1699" s="18" t="s">
        <v>36</v>
      </c>
      <c r="N1699" s="18">
        <v>6</v>
      </c>
      <c r="O1699" s="18" t="s">
        <v>93</v>
      </c>
      <c r="P1699" s="18" t="s">
        <v>38</v>
      </c>
      <c r="Q1699" s="18" t="s">
        <v>117</v>
      </c>
      <c r="R1699" s="18" t="s">
        <v>59</v>
      </c>
      <c r="S1699" s="18" t="s">
        <v>186</v>
      </c>
      <c r="T1699" s="18" t="b">
        <v>1</v>
      </c>
      <c r="U1699" s="18" t="s">
        <v>101</v>
      </c>
      <c r="V1699" s="18" t="s">
        <v>40</v>
      </c>
      <c r="W1699" s="18" t="s">
        <v>126</v>
      </c>
      <c r="X1699" s="18" t="s">
        <v>127</v>
      </c>
      <c r="Y1699" s="18">
        <v>1</v>
      </c>
      <c r="Z1699" s="18">
        <v>4151</v>
      </c>
      <c r="AA1699" s="18" t="s">
        <v>102</v>
      </c>
      <c r="AB1699" s="18" t="s">
        <v>103</v>
      </c>
      <c r="AC1699" s="18" t="e">
        <v>#N/A</v>
      </c>
    </row>
    <row r="1700" s="18" customFormat="1" ht="43.5" spans="1:29">
      <c r="A1700" s="18" t="s">
        <v>3645</v>
      </c>
      <c r="B1700" s="25" t="s">
        <v>3645</v>
      </c>
      <c r="C1700" s="26">
        <v>45708</v>
      </c>
      <c r="D1700" s="18" t="s">
        <v>2501</v>
      </c>
      <c r="E1700" s="18" t="str">
        <f t="shared" si="26"/>
        <v>Showmedia Solution Private Limited</v>
      </c>
      <c r="F1700" s="27" t="e">
        <v>#N/A</v>
      </c>
      <c r="G1700" s="18" t="s">
        <v>99</v>
      </c>
      <c r="H1700" s="18" t="s">
        <v>100</v>
      </c>
      <c r="I1700" s="18" t="s">
        <v>184</v>
      </c>
      <c r="J1700" s="18" t="s">
        <v>3646</v>
      </c>
      <c r="K1700" s="18" t="s">
        <v>56</v>
      </c>
      <c r="L1700" s="18" t="s">
        <v>36</v>
      </c>
      <c r="N1700" s="18">
        <v>6</v>
      </c>
      <c r="O1700" s="18" t="s">
        <v>88</v>
      </c>
      <c r="P1700" s="18" t="s">
        <v>38</v>
      </c>
      <c r="Q1700" s="18" t="s">
        <v>117</v>
      </c>
      <c r="R1700" s="18" t="s">
        <v>59</v>
      </c>
      <c r="S1700" s="18" t="s">
        <v>186</v>
      </c>
      <c r="T1700" s="18" t="b">
        <v>1</v>
      </c>
      <c r="U1700" s="18" t="s">
        <v>101</v>
      </c>
      <c r="V1700" s="18" t="s">
        <v>40</v>
      </c>
      <c r="W1700" s="18" t="s">
        <v>371</v>
      </c>
      <c r="X1700" s="18" t="s">
        <v>372</v>
      </c>
      <c r="Y1700" s="18">
        <v>1</v>
      </c>
      <c r="Z1700" s="18">
        <v>175000</v>
      </c>
      <c r="AA1700" s="31" t="s">
        <v>3372</v>
      </c>
      <c r="AB1700" s="18" t="s">
        <v>189</v>
      </c>
      <c r="AC1700" s="18" t="s">
        <v>111</v>
      </c>
    </row>
    <row r="1701" s="18" customFormat="1" ht="43.5" spans="1:29">
      <c r="A1701" s="18" t="s">
        <v>3647</v>
      </c>
      <c r="B1701" s="25" t="s">
        <v>3647</v>
      </c>
      <c r="C1701" s="26">
        <v>45708</v>
      </c>
      <c r="D1701" s="18" t="s">
        <v>1927</v>
      </c>
      <c r="E1701" s="18" t="str">
        <f t="shared" si="26"/>
        <v>Rekha Stills</v>
      </c>
      <c r="F1701" s="27" t="s">
        <v>1928</v>
      </c>
      <c r="G1701" s="18" t="s">
        <v>99</v>
      </c>
      <c r="H1701" s="18" t="s">
        <v>100</v>
      </c>
      <c r="I1701" s="18" t="s">
        <v>184</v>
      </c>
      <c r="J1701" s="18" t="s">
        <v>3646</v>
      </c>
      <c r="K1701" s="18" t="s">
        <v>56</v>
      </c>
      <c r="L1701" s="18" t="s">
        <v>36</v>
      </c>
      <c r="N1701" s="18">
        <v>6</v>
      </c>
      <c r="O1701" s="18" t="s">
        <v>88</v>
      </c>
      <c r="P1701" s="18" t="s">
        <v>38</v>
      </c>
      <c r="Q1701" s="18" t="s">
        <v>117</v>
      </c>
      <c r="R1701" s="18" t="s">
        <v>59</v>
      </c>
      <c r="S1701" s="18" t="s">
        <v>186</v>
      </c>
      <c r="T1701" s="18" t="b">
        <v>1</v>
      </c>
      <c r="U1701" s="18" t="s">
        <v>101</v>
      </c>
      <c r="V1701" s="18" t="s">
        <v>40</v>
      </c>
      <c r="W1701" s="18" t="s">
        <v>401</v>
      </c>
      <c r="X1701" s="18" t="s">
        <v>402</v>
      </c>
      <c r="Y1701" s="18">
        <v>1</v>
      </c>
      <c r="Z1701" s="18">
        <v>15000</v>
      </c>
      <c r="AA1701" s="31" t="s">
        <v>3372</v>
      </c>
      <c r="AB1701" s="18" t="s">
        <v>189</v>
      </c>
      <c r="AC1701" s="18" t="e">
        <v>#N/A</v>
      </c>
    </row>
    <row r="1702" s="18" customFormat="1" spans="1:29">
      <c r="A1702" s="18" t="s">
        <v>3648</v>
      </c>
      <c r="B1702" s="25" t="s">
        <v>3648</v>
      </c>
      <c r="C1702" s="26">
        <v>45708</v>
      </c>
      <c r="D1702" s="18" t="s">
        <v>3643</v>
      </c>
      <c r="E1702" s="18" t="str">
        <f t="shared" si="26"/>
        <v>Brijesh L  </v>
      </c>
      <c r="F1702" s="27" t="s">
        <v>3644</v>
      </c>
      <c r="G1702" s="18" t="s">
        <v>99</v>
      </c>
      <c r="H1702" s="18" t="s">
        <v>100</v>
      </c>
      <c r="I1702" s="18" t="s">
        <v>1246</v>
      </c>
      <c r="J1702" s="18" t="s">
        <v>499</v>
      </c>
      <c r="K1702" s="18" t="s">
        <v>56</v>
      </c>
      <c r="L1702" s="18" t="s">
        <v>36</v>
      </c>
      <c r="N1702" s="18">
        <v>6</v>
      </c>
      <c r="O1702" s="18" t="s">
        <v>93</v>
      </c>
      <c r="P1702" s="18" t="s">
        <v>38</v>
      </c>
      <c r="Q1702" s="18" t="s">
        <v>117</v>
      </c>
      <c r="R1702" s="18" t="s">
        <v>59</v>
      </c>
      <c r="S1702" s="18" t="s">
        <v>186</v>
      </c>
      <c r="T1702" s="18" t="b">
        <v>1</v>
      </c>
      <c r="U1702" s="18" t="s">
        <v>101</v>
      </c>
      <c r="V1702" s="18" t="s">
        <v>40</v>
      </c>
      <c r="W1702" s="18" t="s">
        <v>61</v>
      </c>
      <c r="X1702" s="18" t="s">
        <v>62</v>
      </c>
      <c r="Y1702" s="18">
        <v>1</v>
      </c>
      <c r="Z1702" s="18">
        <v>9700</v>
      </c>
      <c r="AA1702" s="18" t="s">
        <v>102</v>
      </c>
      <c r="AB1702" s="18" t="s">
        <v>103</v>
      </c>
      <c r="AC1702" s="18" t="e">
        <v>#N/A</v>
      </c>
    </row>
    <row r="1703" s="18" customFormat="1" spans="1:29">
      <c r="A1703" s="18" t="s">
        <v>3649</v>
      </c>
      <c r="B1703" s="25" t="s">
        <v>3649</v>
      </c>
      <c r="C1703" s="26">
        <v>45708</v>
      </c>
      <c r="D1703" s="18" t="s">
        <v>3643</v>
      </c>
      <c r="E1703" s="18" t="str">
        <f t="shared" si="26"/>
        <v>Brijesh L  </v>
      </c>
      <c r="F1703" s="27" t="s">
        <v>3644</v>
      </c>
      <c r="G1703" s="18" t="s">
        <v>99</v>
      </c>
      <c r="H1703" s="18" t="s">
        <v>100</v>
      </c>
      <c r="I1703" s="18" t="s">
        <v>1246</v>
      </c>
      <c r="J1703" s="18" t="s">
        <v>499</v>
      </c>
      <c r="K1703" s="18" t="s">
        <v>56</v>
      </c>
      <c r="L1703" s="18" t="s">
        <v>36</v>
      </c>
      <c r="N1703" s="18">
        <v>6</v>
      </c>
      <c r="O1703" s="18" t="s">
        <v>93</v>
      </c>
      <c r="P1703" s="18" t="s">
        <v>38</v>
      </c>
      <c r="Q1703" s="18" t="s">
        <v>117</v>
      </c>
      <c r="R1703" s="18" t="s">
        <v>59</v>
      </c>
      <c r="S1703" s="18" t="s">
        <v>186</v>
      </c>
      <c r="T1703" s="18" t="b">
        <v>1</v>
      </c>
      <c r="U1703" s="18" t="s">
        <v>101</v>
      </c>
      <c r="V1703" s="18" t="s">
        <v>40</v>
      </c>
      <c r="W1703" s="18" t="s">
        <v>126</v>
      </c>
      <c r="X1703" s="18" t="s">
        <v>127</v>
      </c>
      <c r="Y1703" s="18">
        <v>1</v>
      </c>
      <c r="Z1703" s="18">
        <v>1824</v>
      </c>
      <c r="AA1703" s="18" t="s">
        <v>102</v>
      </c>
      <c r="AB1703" s="18" t="s">
        <v>103</v>
      </c>
      <c r="AC1703" s="18" t="e">
        <v>#N/A</v>
      </c>
    </row>
    <row r="1704" s="18" customFormat="1" spans="1:29">
      <c r="A1704" s="18" t="s">
        <v>3650</v>
      </c>
      <c r="B1704" s="25" t="s">
        <v>3650</v>
      </c>
      <c r="C1704" s="26">
        <v>45708</v>
      </c>
      <c r="D1704" s="18" t="s">
        <v>2217</v>
      </c>
      <c r="E1704" s="18" t="str">
        <f t="shared" si="26"/>
        <v>Shanmugam J</v>
      </c>
      <c r="F1704" s="27" t="s">
        <v>2218</v>
      </c>
      <c r="G1704" s="18" t="s">
        <v>99</v>
      </c>
      <c r="H1704" s="18" t="s">
        <v>100</v>
      </c>
      <c r="I1704" s="18" t="s">
        <v>207</v>
      </c>
      <c r="J1704" s="18" t="s">
        <v>1147</v>
      </c>
      <c r="K1704" s="18" t="s">
        <v>56</v>
      </c>
      <c r="L1704" s="18" t="s">
        <v>36</v>
      </c>
      <c r="N1704" s="18">
        <v>6</v>
      </c>
      <c r="O1704" s="18" t="s">
        <v>57</v>
      </c>
      <c r="P1704" s="18" t="s">
        <v>38</v>
      </c>
      <c r="Q1704" s="18" t="s">
        <v>58</v>
      </c>
      <c r="R1704" s="18" t="s">
        <v>59</v>
      </c>
      <c r="S1704" s="18" t="s">
        <v>60</v>
      </c>
      <c r="T1704" s="18" t="b">
        <v>1</v>
      </c>
      <c r="U1704" s="18" t="s">
        <v>101</v>
      </c>
      <c r="V1704" s="18" t="s">
        <v>40</v>
      </c>
      <c r="W1704" s="18" t="s">
        <v>292</v>
      </c>
      <c r="X1704" s="18" t="s">
        <v>293</v>
      </c>
      <c r="Y1704" s="18">
        <v>1</v>
      </c>
      <c r="Z1704" s="18">
        <v>18000</v>
      </c>
      <c r="AA1704" s="18" t="s">
        <v>603</v>
      </c>
      <c r="AB1704" s="18" t="s">
        <v>600</v>
      </c>
      <c r="AC1704" s="18" t="e">
        <v>#N/A</v>
      </c>
    </row>
    <row r="1705" s="18" customFormat="1" spans="1:29">
      <c r="A1705" s="18" t="s">
        <v>3651</v>
      </c>
      <c r="B1705" s="25" t="s">
        <v>3651</v>
      </c>
      <c r="C1705" s="26">
        <v>45708</v>
      </c>
      <c r="D1705" s="18" t="s">
        <v>331</v>
      </c>
      <c r="E1705" s="18" t="str">
        <f t="shared" si="26"/>
        <v>Clinton J  for Expense</v>
      </c>
      <c r="F1705" s="27" t="e">
        <v>#N/A</v>
      </c>
      <c r="G1705" s="18" t="s">
        <v>99</v>
      </c>
      <c r="H1705" s="18" t="s">
        <v>100</v>
      </c>
      <c r="I1705" s="18" t="s">
        <v>1246</v>
      </c>
      <c r="J1705" s="18" t="s">
        <v>499</v>
      </c>
      <c r="K1705" s="18" t="s">
        <v>56</v>
      </c>
      <c r="L1705" s="18" t="s">
        <v>36</v>
      </c>
      <c r="N1705" s="18">
        <v>6</v>
      </c>
      <c r="O1705" s="18" t="s">
        <v>93</v>
      </c>
      <c r="P1705" s="18" t="s">
        <v>38</v>
      </c>
      <c r="Q1705" s="18" t="s">
        <v>117</v>
      </c>
      <c r="R1705" s="18" t="s">
        <v>59</v>
      </c>
      <c r="S1705" s="18" t="s">
        <v>186</v>
      </c>
      <c r="T1705" s="18" t="b">
        <v>1</v>
      </c>
      <c r="U1705" s="18" t="s">
        <v>101</v>
      </c>
      <c r="V1705" s="18" t="s">
        <v>40</v>
      </c>
      <c r="W1705" s="18" t="s">
        <v>126</v>
      </c>
      <c r="X1705" s="18" t="s">
        <v>127</v>
      </c>
      <c r="Y1705" s="18">
        <v>1</v>
      </c>
      <c r="Z1705" s="18">
        <v>5161</v>
      </c>
      <c r="AA1705" s="18" t="s">
        <v>102</v>
      </c>
      <c r="AB1705" s="18" t="s">
        <v>103</v>
      </c>
      <c r="AC1705" s="18" t="e">
        <v>#N/A</v>
      </c>
    </row>
    <row r="1706" s="18" customFormat="1" spans="1:29">
      <c r="A1706" s="18" t="s">
        <v>3652</v>
      </c>
      <c r="B1706" s="25" t="s">
        <v>3652</v>
      </c>
      <c r="C1706" s="26">
        <v>45708</v>
      </c>
      <c r="D1706" s="18" t="s">
        <v>3643</v>
      </c>
      <c r="E1706" s="18" t="str">
        <f t="shared" si="26"/>
        <v>Brijesh L  </v>
      </c>
      <c r="F1706" s="27" t="s">
        <v>3644</v>
      </c>
      <c r="G1706" s="18" t="s">
        <v>99</v>
      </c>
      <c r="H1706" s="18" t="s">
        <v>100</v>
      </c>
      <c r="I1706" s="18" t="s">
        <v>1246</v>
      </c>
      <c r="J1706" s="18" t="s">
        <v>2345</v>
      </c>
      <c r="K1706" s="18" t="s">
        <v>56</v>
      </c>
      <c r="L1706" s="18" t="s">
        <v>36</v>
      </c>
      <c r="N1706" s="18">
        <v>6</v>
      </c>
      <c r="O1706" s="18" t="s">
        <v>93</v>
      </c>
      <c r="P1706" s="18" t="s">
        <v>38</v>
      </c>
      <c r="Q1706" s="18" t="s">
        <v>117</v>
      </c>
      <c r="R1706" s="18" t="s">
        <v>59</v>
      </c>
      <c r="S1706" s="18" t="s">
        <v>186</v>
      </c>
      <c r="T1706" s="18" t="b">
        <v>1</v>
      </c>
      <c r="U1706" s="18" t="s">
        <v>101</v>
      </c>
      <c r="V1706" s="18" t="s">
        <v>40</v>
      </c>
      <c r="W1706" s="18" t="s">
        <v>126</v>
      </c>
      <c r="X1706" s="18" t="s">
        <v>127</v>
      </c>
      <c r="Y1706" s="18">
        <v>1</v>
      </c>
      <c r="Z1706" s="18">
        <v>2633</v>
      </c>
      <c r="AA1706" s="18" t="s">
        <v>102</v>
      </c>
      <c r="AB1706" s="18" t="s">
        <v>103</v>
      </c>
      <c r="AC1706" s="18" t="e">
        <v>#N/A</v>
      </c>
    </row>
    <row r="1707" s="18" customFormat="1" spans="1:29">
      <c r="A1707" s="18" t="s">
        <v>3653</v>
      </c>
      <c r="B1707" s="25" t="s">
        <v>3653</v>
      </c>
      <c r="C1707" s="26">
        <v>45708</v>
      </c>
      <c r="D1707" s="18" t="s">
        <v>3643</v>
      </c>
      <c r="E1707" s="18" t="str">
        <f t="shared" si="26"/>
        <v>Brijesh L  </v>
      </c>
      <c r="F1707" s="27" t="s">
        <v>3644</v>
      </c>
      <c r="G1707" s="18" t="s">
        <v>99</v>
      </c>
      <c r="H1707" s="18" t="s">
        <v>100</v>
      </c>
      <c r="I1707" s="18" t="s">
        <v>34</v>
      </c>
      <c r="J1707" s="18" t="s">
        <v>1512</v>
      </c>
      <c r="K1707" s="18" t="s">
        <v>56</v>
      </c>
      <c r="L1707" s="18" t="s">
        <v>36</v>
      </c>
      <c r="N1707" s="18">
        <v>6</v>
      </c>
      <c r="O1707" s="18" t="s">
        <v>93</v>
      </c>
      <c r="P1707" s="18" t="s">
        <v>38</v>
      </c>
      <c r="Q1707" s="18" t="s">
        <v>117</v>
      </c>
      <c r="R1707" s="18" t="s">
        <v>59</v>
      </c>
      <c r="S1707" s="18" t="s">
        <v>118</v>
      </c>
      <c r="T1707" s="18" t="b">
        <v>1</v>
      </c>
      <c r="U1707" s="18" t="s">
        <v>101</v>
      </c>
      <c r="V1707" s="18" t="s">
        <v>40</v>
      </c>
      <c r="W1707" s="18" t="s">
        <v>126</v>
      </c>
      <c r="X1707" s="18" t="s">
        <v>127</v>
      </c>
      <c r="Y1707" s="18">
        <v>1</v>
      </c>
      <c r="Z1707" s="18">
        <v>510</v>
      </c>
      <c r="AA1707" s="18" t="s">
        <v>128</v>
      </c>
      <c r="AB1707" s="18" t="s">
        <v>129</v>
      </c>
      <c r="AC1707" s="18" t="e">
        <v>#N/A</v>
      </c>
    </row>
    <row r="1708" s="18" customFormat="1" spans="1:29">
      <c r="A1708" s="18" t="s">
        <v>3654</v>
      </c>
      <c r="B1708" s="25" t="s">
        <v>3654</v>
      </c>
      <c r="C1708" s="26">
        <v>45708</v>
      </c>
      <c r="D1708" s="18" t="s">
        <v>331</v>
      </c>
      <c r="E1708" s="18" t="str">
        <f t="shared" si="26"/>
        <v>Clinton J  for Expense</v>
      </c>
      <c r="F1708" s="27" t="e">
        <v>#N/A</v>
      </c>
      <c r="G1708" s="18" t="s">
        <v>99</v>
      </c>
      <c r="H1708" s="18" t="s">
        <v>100</v>
      </c>
      <c r="I1708" s="18" t="s">
        <v>34</v>
      </c>
      <c r="J1708" s="18" t="s">
        <v>1512</v>
      </c>
      <c r="K1708" s="18" t="s">
        <v>56</v>
      </c>
      <c r="L1708" s="18" t="s">
        <v>36</v>
      </c>
      <c r="N1708" s="18">
        <v>6</v>
      </c>
      <c r="O1708" s="18" t="s">
        <v>93</v>
      </c>
      <c r="P1708" s="18" t="s">
        <v>38</v>
      </c>
      <c r="Q1708" s="18" t="s">
        <v>117</v>
      </c>
      <c r="R1708" s="18" t="s">
        <v>59</v>
      </c>
      <c r="S1708" s="18" t="s">
        <v>118</v>
      </c>
      <c r="T1708" s="18" t="b">
        <v>1</v>
      </c>
      <c r="U1708" s="18" t="s">
        <v>101</v>
      </c>
      <c r="V1708" s="18" t="s">
        <v>40</v>
      </c>
      <c r="W1708" s="18" t="s">
        <v>126</v>
      </c>
      <c r="X1708" s="18" t="s">
        <v>127</v>
      </c>
      <c r="Y1708" s="18">
        <v>1</v>
      </c>
      <c r="Z1708" s="18">
        <v>1810</v>
      </c>
      <c r="AA1708" s="18" t="s">
        <v>128</v>
      </c>
      <c r="AB1708" s="18" t="s">
        <v>129</v>
      </c>
      <c r="AC1708" s="18" t="e">
        <v>#N/A</v>
      </c>
    </row>
    <row r="1709" s="18" customFormat="1" spans="1:29">
      <c r="A1709" s="18" t="s">
        <v>3655</v>
      </c>
      <c r="B1709" s="25" t="s">
        <v>3655</v>
      </c>
      <c r="C1709" s="26">
        <v>45708</v>
      </c>
      <c r="D1709" s="18" t="s">
        <v>1024</v>
      </c>
      <c r="E1709" s="18" t="str">
        <f t="shared" si="26"/>
        <v>Kanupriya Aggarwal  </v>
      </c>
      <c r="F1709" s="27" t="e">
        <v>#N/A</v>
      </c>
      <c r="G1709" s="18" t="s">
        <v>147</v>
      </c>
      <c r="H1709" s="18" t="s">
        <v>148</v>
      </c>
      <c r="I1709" s="18" t="s">
        <v>54</v>
      </c>
      <c r="J1709" s="18" t="s">
        <v>149</v>
      </c>
      <c r="K1709" s="18" t="s">
        <v>56</v>
      </c>
      <c r="L1709" s="18" t="s">
        <v>36</v>
      </c>
      <c r="N1709" s="18">
        <v>6</v>
      </c>
      <c r="O1709" s="18" t="s">
        <v>93</v>
      </c>
      <c r="P1709" s="18" t="s">
        <v>38</v>
      </c>
      <c r="Q1709" s="18" t="s">
        <v>58</v>
      </c>
      <c r="R1709" s="18" t="s">
        <v>59</v>
      </c>
      <c r="S1709" s="18" t="s">
        <v>60</v>
      </c>
      <c r="T1709" s="18" t="b">
        <v>1</v>
      </c>
      <c r="U1709" s="18" t="s">
        <v>150</v>
      </c>
      <c r="V1709" s="18" t="s">
        <v>40</v>
      </c>
      <c r="W1709" s="18" t="s">
        <v>126</v>
      </c>
      <c r="X1709" s="18" t="s">
        <v>127</v>
      </c>
      <c r="Y1709" s="18">
        <v>1</v>
      </c>
      <c r="Z1709" s="18">
        <v>1535</v>
      </c>
      <c r="AA1709" s="18" t="s">
        <v>1025</v>
      </c>
      <c r="AB1709" s="18" t="s">
        <v>1026</v>
      </c>
      <c r="AC1709" s="18" t="e">
        <v>#N/A</v>
      </c>
    </row>
    <row r="1710" s="18" customFormat="1" spans="1:29">
      <c r="A1710" s="18" t="s">
        <v>3656</v>
      </c>
      <c r="B1710" s="25" t="s">
        <v>3656</v>
      </c>
      <c r="C1710" s="26">
        <v>45708</v>
      </c>
      <c r="D1710" s="18" t="s">
        <v>378</v>
      </c>
      <c r="E1710" s="18" t="str">
        <f t="shared" si="26"/>
        <v>Ravi.........</v>
      </c>
      <c r="F1710" s="27" t="e">
        <v>#N/A</v>
      </c>
      <c r="G1710" s="18" t="s">
        <v>147</v>
      </c>
      <c r="H1710" s="18" t="s">
        <v>148</v>
      </c>
      <c r="I1710" s="18" t="s">
        <v>54</v>
      </c>
      <c r="J1710" s="18" t="s">
        <v>2464</v>
      </c>
      <c r="K1710" s="18" t="s">
        <v>56</v>
      </c>
      <c r="L1710" s="18" t="s">
        <v>36</v>
      </c>
      <c r="N1710" s="18">
        <v>6</v>
      </c>
      <c r="O1710" s="18" t="s">
        <v>93</v>
      </c>
      <c r="P1710" s="18" t="s">
        <v>38</v>
      </c>
      <c r="Q1710" s="18" t="s">
        <v>58</v>
      </c>
      <c r="R1710" s="18" t="s">
        <v>59</v>
      </c>
      <c r="S1710" s="18" t="s">
        <v>60</v>
      </c>
      <c r="T1710" s="18" t="b">
        <v>1</v>
      </c>
      <c r="U1710" s="18" t="s">
        <v>150</v>
      </c>
      <c r="V1710" s="18" t="s">
        <v>40</v>
      </c>
      <c r="W1710" s="18" t="s">
        <v>126</v>
      </c>
      <c r="X1710" s="18" t="s">
        <v>127</v>
      </c>
      <c r="Y1710" s="18">
        <v>1</v>
      </c>
      <c r="Z1710" s="18">
        <v>4292</v>
      </c>
      <c r="AA1710" s="18" t="s">
        <v>343</v>
      </c>
      <c r="AC1710" s="18" t="e">
        <v>#N/A</v>
      </c>
    </row>
    <row r="1711" s="18" customFormat="1" spans="1:29">
      <c r="A1711" s="18" t="s">
        <v>3657</v>
      </c>
      <c r="B1711" s="25" t="s">
        <v>3657</v>
      </c>
      <c r="C1711" s="26">
        <v>45708</v>
      </c>
      <c r="D1711" s="18" t="s">
        <v>468</v>
      </c>
      <c r="E1711" s="18" t="str">
        <f t="shared" si="26"/>
        <v>Sanjay Dutt Dobriyal  </v>
      </c>
      <c r="F1711" s="27" t="e">
        <v>#N/A</v>
      </c>
      <c r="G1711" s="18" t="s">
        <v>147</v>
      </c>
      <c r="H1711" s="18" t="s">
        <v>148</v>
      </c>
      <c r="I1711" s="18" t="s">
        <v>54</v>
      </c>
      <c r="J1711" s="18" t="s">
        <v>2364</v>
      </c>
      <c r="K1711" s="18" t="s">
        <v>56</v>
      </c>
      <c r="L1711" s="18" t="s">
        <v>36</v>
      </c>
      <c r="N1711" s="18">
        <v>6</v>
      </c>
      <c r="O1711" s="18" t="s">
        <v>93</v>
      </c>
      <c r="P1711" s="18" t="s">
        <v>38</v>
      </c>
      <c r="Q1711" s="18" t="s">
        <v>58</v>
      </c>
      <c r="R1711" s="18" t="s">
        <v>59</v>
      </c>
      <c r="S1711" s="18" t="s">
        <v>60</v>
      </c>
      <c r="T1711" s="18" t="b">
        <v>1</v>
      </c>
      <c r="U1711" s="18" t="s">
        <v>150</v>
      </c>
      <c r="V1711" s="18" t="s">
        <v>40</v>
      </c>
      <c r="W1711" s="18" t="s">
        <v>126</v>
      </c>
      <c r="X1711" s="18" t="s">
        <v>127</v>
      </c>
      <c r="Y1711" s="18">
        <v>1</v>
      </c>
      <c r="Z1711" s="18">
        <v>1320</v>
      </c>
      <c r="AA1711" s="18" t="s">
        <v>469</v>
      </c>
      <c r="AB1711" s="18" t="s">
        <v>470</v>
      </c>
      <c r="AC1711" s="18" t="e">
        <v>#N/A</v>
      </c>
    </row>
    <row r="1712" s="18" customFormat="1" spans="1:29">
      <c r="A1712" s="18" t="s">
        <v>3658</v>
      </c>
      <c r="B1712" s="25" t="s">
        <v>3658</v>
      </c>
      <c r="C1712" s="26">
        <v>45708</v>
      </c>
      <c r="D1712" s="18" t="s">
        <v>1729</v>
      </c>
      <c r="E1712" s="18" t="str">
        <f t="shared" si="26"/>
        <v>Bitu Kumar  </v>
      </c>
      <c r="F1712" s="27" t="e">
        <v>#N/A</v>
      </c>
      <c r="G1712" s="18" t="s">
        <v>147</v>
      </c>
      <c r="H1712" s="18" t="s">
        <v>148</v>
      </c>
      <c r="I1712" s="18" t="s">
        <v>54</v>
      </c>
      <c r="J1712" s="18" t="s">
        <v>139</v>
      </c>
      <c r="K1712" s="18" t="s">
        <v>56</v>
      </c>
      <c r="L1712" s="18" t="s">
        <v>36</v>
      </c>
      <c r="N1712" s="18">
        <v>6</v>
      </c>
      <c r="O1712" s="18" t="s">
        <v>93</v>
      </c>
      <c r="P1712" s="18" t="s">
        <v>38</v>
      </c>
      <c r="Q1712" s="18" t="s">
        <v>58</v>
      </c>
      <c r="R1712" s="18" t="s">
        <v>59</v>
      </c>
      <c r="S1712" s="18" t="s">
        <v>60</v>
      </c>
      <c r="T1712" s="18" t="b">
        <v>1</v>
      </c>
      <c r="U1712" s="18" t="s">
        <v>150</v>
      </c>
      <c r="V1712" s="18" t="s">
        <v>40</v>
      </c>
      <c r="W1712" s="18" t="s">
        <v>233</v>
      </c>
      <c r="X1712" s="18" t="s">
        <v>234</v>
      </c>
      <c r="Y1712" s="18">
        <v>1</v>
      </c>
      <c r="Z1712" s="18">
        <v>9165</v>
      </c>
      <c r="AA1712" s="18" t="s">
        <v>2540</v>
      </c>
      <c r="AB1712" s="18" t="s">
        <v>2541</v>
      </c>
      <c r="AC1712" s="18" t="e">
        <v>#N/A</v>
      </c>
    </row>
    <row r="1713" s="18" customFormat="1" spans="1:29">
      <c r="A1713" s="18" t="s">
        <v>3659</v>
      </c>
      <c r="B1713" s="25" t="s">
        <v>3659</v>
      </c>
      <c r="C1713" s="26">
        <v>45708</v>
      </c>
      <c r="D1713" s="18" t="s">
        <v>1740</v>
      </c>
      <c r="E1713" s="18" t="str">
        <f t="shared" si="26"/>
        <v>Harshit Jain...............  </v>
      </c>
      <c r="F1713" s="27" t="e">
        <v>#N/A</v>
      </c>
      <c r="G1713" s="18" t="s">
        <v>147</v>
      </c>
      <c r="H1713" s="18" t="s">
        <v>148</v>
      </c>
      <c r="I1713" s="18" t="s">
        <v>54</v>
      </c>
      <c r="J1713" s="18" t="s">
        <v>139</v>
      </c>
      <c r="K1713" s="18" t="s">
        <v>56</v>
      </c>
      <c r="L1713" s="18" t="s">
        <v>36</v>
      </c>
      <c r="N1713" s="18">
        <v>6</v>
      </c>
      <c r="O1713" s="18" t="s">
        <v>93</v>
      </c>
      <c r="P1713" s="18" t="s">
        <v>38</v>
      </c>
      <c r="Q1713" s="18" t="s">
        <v>58</v>
      </c>
      <c r="R1713" s="18" t="s">
        <v>59</v>
      </c>
      <c r="S1713" s="18" t="s">
        <v>60</v>
      </c>
      <c r="T1713" s="18" t="b">
        <v>1</v>
      </c>
      <c r="U1713" s="18" t="s">
        <v>150</v>
      </c>
      <c r="V1713" s="18" t="s">
        <v>40</v>
      </c>
      <c r="W1713" s="18" t="s">
        <v>412</v>
      </c>
      <c r="X1713" s="18" t="s">
        <v>413</v>
      </c>
      <c r="Y1713" s="18">
        <v>1</v>
      </c>
      <c r="Z1713" s="18">
        <v>3038</v>
      </c>
      <c r="AA1713" s="18" t="s">
        <v>3660</v>
      </c>
      <c r="AB1713" s="27" t="s">
        <v>143</v>
      </c>
      <c r="AC1713" s="18" t="e">
        <v>#N/A</v>
      </c>
    </row>
    <row r="1714" s="18" customFormat="1" spans="1:29">
      <c r="A1714" s="18" t="s">
        <v>3661</v>
      </c>
      <c r="B1714" s="25" t="s">
        <v>3661</v>
      </c>
      <c r="C1714" s="26">
        <v>45708</v>
      </c>
      <c r="D1714" s="18" t="s">
        <v>1029</v>
      </c>
      <c r="E1714" s="18" t="str">
        <f t="shared" si="26"/>
        <v>Pankaj Kumar Mishra  </v>
      </c>
      <c r="F1714" s="27" t="e">
        <v>#N/A</v>
      </c>
      <c r="G1714" s="18" t="s">
        <v>147</v>
      </c>
      <c r="H1714" s="18" t="s">
        <v>148</v>
      </c>
      <c r="I1714" s="18" t="s">
        <v>54</v>
      </c>
      <c r="J1714" s="18" t="s">
        <v>139</v>
      </c>
      <c r="K1714" s="18" t="s">
        <v>56</v>
      </c>
      <c r="L1714" s="18" t="s">
        <v>36</v>
      </c>
      <c r="N1714" s="18">
        <v>6</v>
      </c>
      <c r="O1714" s="18" t="s">
        <v>93</v>
      </c>
      <c r="P1714" s="18" t="s">
        <v>38</v>
      </c>
      <c r="Q1714" s="18" t="s">
        <v>58</v>
      </c>
      <c r="R1714" s="18" t="s">
        <v>59</v>
      </c>
      <c r="S1714" s="18" t="s">
        <v>60</v>
      </c>
      <c r="T1714" s="18" t="b">
        <v>1</v>
      </c>
      <c r="U1714" s="18" t="s">
        <v>150</v>
      </c>
      <c r="V1714" s="18" t="s">
        <v>40</v>
      </c>
      <c r="W1714" s="18" t="s">
        <v>412</v>
      </c>
      <c r="X1714" s="18" t="s">
        <v>413</v>
      </c>
      <c r="Y1714" s="18">
        <v>1</v>
      </c>
      <c r="Z1714" s="18">
        <v>10295</v>
      </c>
      <c r="AA1714" s="18" t="s">
        <v>227</v>
      </c>
      <c r="AB1714" s="18" t="s">
        <v>228</v>
      </c>
      <c r="AC1714" s="18" t="e">
        <v>#N/A</v>
      </c>
    </row>
    <row r="1715" s="18" customFormat="1" spans="1:29">
      <c r="A1715" s="18" t="s">
        <v>3662</v>
      </c>
      <c r="B1715" s="25" t="s">
        <v>3662</v>
      </c>
      <c r="C1715" s="26">
        <v>45708</v>
      </c>
      <c r="D1715" s="18" t="s">
        <v>1725</v>
      </c>
      <c r="E1715" s="18" t="str">
        <f t="shared" si="26"/>
        <v>Rahul Luthra  </v>
      </c>
      <c r="F1715" s="27" t="e">
        <v>#N/A</v>
      </c>
      <c r="G1715" s="18" t="s">
        <v>147</v>
      </c>
      <c r="H1715" s="18" t="s">
        <v>148</v>
      </c>
      <c r="I1715" s="18" t="s">
        <v>54</v>
      </c>
      <c r="J1715" s="18" t="s">
        <v>139</v>
      </c>
      <c r="K1715" s="18" t="s">
        <v>56</v>
      </c>
      <c r="L1715" s="18" t="s">
        <v>36</v>
      </c>
      <c r="N1715" s="18">
        <v>6</v>
      </c>
      <c r="O1715" s="18" t="s">
        <v>93</v>
      </c>
      <c r="P1715" s="18" t="s">
        <v>38</v>
      </c>
      <c r="Q1715" s="18" t="s">
        <v>58</v>
      </c>
      <c r="R1715" s="18" t="s">
        <v>59</v>
      </c>
      <c r="S1715" s="18" t="s">
        <v>60</v>
      </c>
      <c r="T1715" s="18" t="b">
        <v>1</v>
      </c>
      <c r="U1715" s="18" t="s">
        <v>150</v>
      </c>
      <c r="V1715" s="18" t="s">
        <v>40</v>
      </c>
      <c r="W1715" s="18" t="s">
        <v>126</v>
      </c>
      <c r="X1715" s="18" t="s">
        <v>127</v>
      </c>
      <c r="Y1715" s="18">
        <v>1</v>
      </c>
      <c r="Z1715" s="18">
        <v>1499</v>
      </c>
      <c r="AA1715" s="18" t="s">
        <v>322</v>
      </c>
      <c r="AB1715" s="18" t="s">
        <v>323</v>
      </c>
      <c r="AC1715" s="18" t="e">
        <v>#N/A</v>
      </c>
    </row>
    <row r="1716" s="18" customFormat="1" spans="1:29">
      <c r="A1716" s="18" t="s">
        <v>3663</v>
      </c>
      <c r="B1716" s="25" t="s">
        <v>3663</v>
      </c>
      <c r="C1716" s="26">
        <v>45708</v>
      </c>
      <c r="D1716" s="18" t="s">
        <v>3664</v>
      </c>
      <c r="E1716" s="18" t="str">
        <f t="shared" si="26"/>
        <v>Ritu Vohra  </v>
      </c>
      <c r="F1716" s="27" t="e">
        <v>#N/A</v>
      </c>
      <c r="G1716" s="18" t="s">
        <v>147</v>
      </c>
      <c r="H1716" s="18" t="s">
        <v>148</v>
      </c>
      <c r="I1716" s="18" t="s">
        <v>54</v>
      </c>
      <c r="J1716" s="18" t="s">
        <v>139</v>
      </c>
      <c r="K1716" s="18" t="s">
        <v>56</v>
      </c>
      <c r="L1716" s="18" t="s">
        <v>36</v>
      </c>
      <c r="N1716" s="18">
        <v>6</v>
      </c>
      <c r="O1716" s="18" t="s">
        <v>93</v>
      </c>
      <c r="P1716" s="18" t="s">
        <v>38</v>
      </c>
      <c r="Q1716" s="18" t="s">
        <v>58</v>
      </c>
      <c r="R1716" s="18" t="s">
        <v>59</v>
      </c>
      <c r="S1716" s="18" t="s">
        <v>60</v>
      </c>
      <c r="T1716" s="18" t="b">
        <v>1</v>
      </c>
      <c r="U1716" s="18" t="s">
        <v>150</v>
      </c>
      <c r="V1716" s="18" t="s">
        <v>40</v>
      </c>
      <c r="W1716" s="18" t="s">
        <v>233</v>
      </c>
      <c r="X1716" s="18" t="s">
        <v>234</v>
      </c>
      <c r="Y1716" s="18">
        <v>1</v>
      </c>
      <c r="Z1716" s="18">
        <v>1425</v>
      </c>
      <c r="AA1716" s="18" t="s">
        <v>3665</v>
      </c>
      <c r="AB1716" s="18" t="s">
        <v>3666</v>
      </c>
      <c r="AC1716" s="18" t="e">
        <v>#N/A</v>
      </c>
    </row>
    <row r="1717" s="18" customFormat="1" spans="1:29">
      <c r="A1717" s="18" t="s">
        <v>3667</v>
      </c>
      <c r="B1717" s="25" t="s">
        <v>3667</v>
      </c>
      <c r="C1717" s="26">
        <v>45708</v>
      </c>
      <c r="D1717" s="18" t="s">
        <v>1733</v>
      </c>
      <c r="E1717" s="18" t="str">
        <f t="shared" si="26"/>
        <v>Sachin Vaid  </v>
      </c>
      <c r="F1717" s="27" t="s">
        <v>1734</v>
      </c>
      <c r="G1717" s="18" t="s">
        <v>147</v>
      </c>
      <c r="H1717" s="18" t="s">
        <v>148</v>
      </c>
      <c r="I1717" s="18" t="s">
        <v>54</v>
      </c>
      <c r="J1717" s="18" t="s">
        <v>466</v>
      </c>
      <c r="K1717" s="18" t="s">
        <v>56</v>
      </c>
      <c r="L1717" s="18" t="s">
        <v>36</v>
      </c>
      <c r="N1717" s="18">
        <v>6</v>
      </c>
      <c r="O1717" s="18" t="s">
        <v>93</v>
      </c>
      <c r="P1717" s="18" t="s">
        <v>38</v>
      </c>
      <c r="Q1717" s="18" t="s">
        <v>58</v>
      </c>
      <c r="R1717" s="18" t="s">
        <v>59</v>
      </c>
      <c r="S1717" s="18" t="s">
        <v>60</v>
      </c>
      <c r="T1717" s="18" t="b">
        <v>1</v>
      </c>
      <c r="U1717" s="18" t="s">
        <v>150</v>
      </c>
      <c r="V1717" s="18" t="s">
        <v>40</v>
      </c>
      <c r="W1717" s="18" t="s">
        <v>412</v>
      </c>
      <c r="X1717" s="18" t="s">
        <v>413</v>
      </c>
      <c r="Y1717" s="18">
        <v>1</v>
      </c>
      <c r="Z1717" s="18">
        <v>1607</v>
      </c>
      <c r="AA1717" s="18" t="s">
        <v>3668</v>
      </c>
      <c r="AB1717" s="18" t="s">
        <v>521</v>
      </c>
      <c r="AC1717" s="18" t="e">
        <v>#N/A</v>
      </c>
    </row>
    <row r="1718" s="18" customFormat="1" spans="1:29">
      <c r="A1718" s="18" t="s">
        <v>3669</v>
      </c>
      <c r="B1718" s="25" t="s">
        <v>3669</v>
      </c>
      <c r="C1718" s="26">
        <v>45708</v>
      </c>
      <c r="D1718" s="18" t="s">
        <v>1720</v>
      </c>
      <c r="E1718" s="18" t="str">
        <f t="shared" si="26"/>
        <v>Anil Kumar Singh..........</v>
      </c>
      <c r="F1718" s="27" t="e">
        <v>#N/A</v>
      </c>
      <c r="G1718" s="18" t="s">
        <v>147</v>
      </c>
      <c r="H1718" s="18" t="s">
        <v>148</v>
      </c>
      <c r="I1718" s="18" t="s">
        <v>54</v>
      </c>
      <c r="J1718" s="18" t="s">
        <v>275</v>
      </c>
      <c r="K1718" s="18" t="s">
        <v>56</v>
      </c>
      <c r="L1718" s="18" t="s">
        <v>36</v>
      </c>
      <c r="N1718" s="18">
        <v>6</v>
      </c>
      <c r="O1718" s="18" t="s">
        <v>93</v>
      </c>
      <c r="P1718" s="18" t="s">
        <v>38</v>
      </c>
      <c r="Q1718" s="18" t="s">
        <v>58</v>
      </c>
      <c r="R1718" s="18" t="s">
        <v>59</v>
      </c>
      <c r="S1718" s="18" t="s">
        <v>60</v>
      </c>
      <c r="T1718" s="18" t="b">
        <v>1</v>
      </c>
      <c r="U1718" s="18" t="s">
        <v>150</v>
      </c>
      <c r="V1718" s="18" t="s">
        <v>40</v>
      </c>
      <c r="W1718" s="18" t="s">
        <v>126</v>
      </c>
      <c r="X1718" s="18" t="s">
        <v>127</v>
      </c>
      <c r="Y1718" s="18">
        <v>1</v>
      </c>
      <c r="Z1718" s="18">
        <v>2505</v>
      </c>
      <c r="AA1718" s="18" t="s">
        <v>2522</v>
      </c>
      <c r="AB1718" s="18" t="s">
        <v>1722</v>
      </c>
      <c r="AC1718" s="18" t="e">
        <v>#N/A</v>
      </c>
    </row>
    <row r="1719" s="18" customFormat="1" spans="1:29">
      <c r="A1719" s="18" t="s">
        <v>3670</v>
      </c>
      <c r="B1719" s="25" t="s">
        <v>3670</v>
      </c>
      <c r="C1719" s="26">
        <v>45708</v>
      </c>
      <c r="D1719" s="18" t="s">
        <v>1029</v>
      </c>
      <c r="E1719" s="18" t="str">
        <f t="shared" si="26"/>
        <v>Pankaj Kumar Mishra  </v>
      </c>
      <c r="F1719" s="27" t="e">
        <v>#N/A</v>
      </c>
      <c r="G1719" s="18" t="s">
        <v>147</v>
      </c>
      <c r="H1719" s="18" t="s">
        <v>148</v>
      </c>
      <c r="I1719" s="18" t="s">
        <v>54</v>
      </c>
      <c r="J1719" s="18" t="s">
        <v>275</v>
      </c>
      <c r="K1719" s="18" t="s">
        <v>56</v>
      </c>
      <c r="L1719" s="18" t="s">
        <v>36</v>
      </c>
      <c r="N1719" s="18">
        <v>6</v>
      </c>
      <c r="O1719" s="18" t="s">
        <v>93</v>
      </c>
      <c r="P1719" s="18" t="s">
        <v>38</v>
      </c>
      <c r="Q1719" s="18" t="s">
        <v>58</v>
      </c>
      <c r="R1719" s="18" t="s">
        <v>59</v>
      </c>
      <c r="S1719" s="18" t="s">
        <v>60</v>
      </c>
      <c r="T1719" s="18" t="b">
        <v>1</v>
      </c>
      <c r="U1719" s="18" t="s">
        <v>150</v>
      </c>
      <c r="V1719" s="18" t="s">
        <v>40</v>
      </c>
      <c r="W1719" s="18" t="s">
        <v>1055</v>
      </c>
      <c r="X1719" s="18" t="s">
        <v>1056</v>
      </c>
      <c r="Y1719" s="18">
        <v>1</v>
      </c>
      <c r="Z1719" s="18">
        <v>5200</v>
      </c>
      <c r="AA1719" s="18" t="s">
        <v>227</v>
      </c>
      <c r="AB1719" s="18" t="s">
        <v>228</v>
      </c>
      <c r="AC1719" s="18" t="e">
        <v>#N/A</v>
      </c>
    </row>
    <row r="1720" s="18" customFormat="1" spans="1:29">
      <c r="A1720" s="18" t="s">
        <v>3671</v>
      </c>
      <c r="B1720" s="25" t="s">
        <v>3671</v>
      </c>
      <c r="C1720" s="26">
        <v>45708</v>
      </c>
      <c r="D1720" s="18" t="s">
        <v>1265</v>
      </c>
      <c r="E1720" s="18" t="str">
        <f t="shared" si="26"/>
        <v>Parvesh Mahalwal............... </v>
      </c>
      <c r="F1720" s="27" t="e">
        <v>#N/A</v>
      </c>
      <c r="G1720" s="18" t="s">
        <v>147</v>
      </c>
      <c r="H1720" s="18" t="s">
        <v>148</v>
      </c>
      <c r="I1720" s="18" t="s">
        <v>54</v>
      </c>
      <c r="J1720" s="18" t="s">
        <v>275</v>
      </c>
      <c r="K1720" s="18" t="s">
        <v>56</v>
      </c>
      <c r="L1720" s="18" t="s">
        <v>36</v>
      </c>
      <c r="N1720" s="18">
        <v>6</v>
      </c>
      <c r="O1720" s="18" t="s">
        <v>93</v>
      </c>
      <c r="P1720" s="18" t="s">
        <v>38</v>
      </c>
      <c r="Q1720" s="18" t="s">
        <v>58</v>
      </c>
      <c r="R1720" s="18" t="s">
        <v>59</v>
      </c>
      <c r="S1720" s="18" t="s">
        <v>60</v>
      </c>
      <c r="T1720" s="18" t="b">
        <v>1</v>
      </c>
      <c r="U1720" s="18" t="s">
        <v>150</v>
      </c>
      <c r="V1720" s="18" t="s">
        <v>40</v>
      </c>
      <c r="W1720" s="18" t="s">
        <v>126</v>
      </c>
      <c r="X1720" s="18" t="s">
        <v>127</v>
      </c>
      <c r="Y1720" s="18">
        <v>1</v>
      </c>
      <c r="Z1720" s="18">
        <v>1344</v>
      </c>
      <c r="AA1720" s="18" t="s">
        <v>299</v>
      </c>
      <c r="AB1720" s="18" t="s">
        <v>295</v>
      </c>
      <c r="AC1720" s="18" t="e">
        <v>#N/A</v>
      </c>
    </row>
    <row r="1721" s="18" customFormat="1" spans="1:29">
      <c r="A1721" s="18" t="s">
        <v>3672</v>
      </c>
      <c r="B1721" s="25" t="s">
        <v>3672</v>
      </c>
      <c r="C1721" s="26">
        <v>45708</v>
      </c>
      <c r="D1721" s="18" t="s">
        <v>1029</v>
      </c>
      <c r="E1721" s="18" t="str">
        <f t="shared" si="26"/>
        <v>Pankaj Kumar Mishra  </v>
      </c>
      <c r="F1721" s="27" t="e">
        <v>#N/A</v>
      </c>
      <c r="G1721" s="18" t="s">
        <v>147</v>
      </c>
      <c r="H1721" s="18" t="s">
        <v>148</v>
      </c>
      <c r="I1721" s="18" t="s">
        <v>54</v>
      </c>
      <c r="J1721" s="18" t="s">
        <v>1370</v>
      </c>
      <c r="K1721" s="18" t="s">
        <v>56</v>
      </c>
      <c r="L1721" s="18" t="s">
        <v>36</v>
      </c>
      <c r="N1721" s="18">
        <v>6</v>
      </c>
      <c r="O1721" s="18" t="s">
        <v>93</v>
      </c>
      <c r="P1721" s="18" t="s">
        <v>38</v>
      </c>
      <c r="Q1721" s="18" t="s">
        <v>58</v>
      </c>
      <c r="R1721" s="18" t="s">
        <v>59</v>
      </c>
      <c r="S1721" s="18" t="s">
        <v>60</v>
      </c>
      <c r="T1721" s="18" t="b">
        <v>1</v>
      </c>
      <c r="U1721" s="18" t="s">
        <v>150</v>
      </c>
      <c r="V1721" s="18" t="s">
        <v>40</v>
      </c>
      <c r="W1721" s="18" t="s">
        <v>126</v>
      </c>
      <c r="X1721" s="18" t="s">
        <v>127</v>
      </c>
      <c r="Y1721" s="18">
        <v>1</v>
      </c>
      <c r="Z1721" s="18">
        <v>2438</v>
      </c>
      <c r="AA1721" s="18" t="s">
        <v>227</v>
      </c>
      <c r="AB1721" s="18" t="s">
        <v>228</v>
      </c>
      <c r="AC1721" s="18" t="e">
        <v>#N/A</v>
      </c>
    </row>
    <row r="1722" s="18" customFormat="1" spans="1:29">
      <c r="A1722" s="18" t="s">
        <v>3673</v>
      </c>
      <c r="B1722" s="25" t="s">
        <v>3673</v>
      </c>
      <c r="C1722" s="26">
        <v>45708</v>
      </c>
      <c r="D1722" s="18" t="s">
        <v>541</v>
      </c>
      <c r="E1722" s="18" t="str">
        <f t="shared" si="26"/>
        <v>Dream Factory Pvt. Ltd.</v>
      </c>
      <c r="F1722" s="27" t="e">
        <v>#N/A</v>
      </c>
      <c r="G1722" s="18" t="s">
        <v>147</v>
      </c>
      <c r="H1722" s="18" t="s">
        <v>148</v>
      </c>
      <c r="I1722" s="18" t="s">
        <v>207</v>
      </c>
      <c r="J1722" s="18" t="s">
        <v>2913</v>
      </c>
      <c r="K1722" s="18" t="s">
        <v>56</v>
      </c>
      <c r="L1722" s="18" t="s">
        <v>36</v>
      </c>
      <c r="N1722" s="18">
        <v>6</v>
      </c>
      <c r="O1722" s="18" t="s">
        <v>57</v>
      </c>
      <c r="P1722" s="18" t="s">
        <v>38</v>
      </c>
      <c r="Q1722" s="18" t="s">
        <v>58</v>
      </c>
      <c r="R1722" s="18" t="s">
        <v>59</v>
      </c>
      <c r="S1722" s="18" t="s">
        <v>60</v>
      </c>
      <c r="T1722" s="18" t="b">
        <v>1</v>
      </c>
      <c r="U1722" s="18" t="s">
        <v>150</v>
      </c>
      <c r="V1722" s="18" t="s">
        <v>40</v>
      </c>
      <c r="W1722" s="18" t="s">
        <v>151</v>
      </c>
      <c r="X1722" s="18" t="s">
        <v>152</v>
      </c>
      <c r="Y1722" s="18">
        <v>1</v>
      </c>
      <c r="Z1722" s="18">
        <v>1100000</v>
      </c>
      <c r="AA1722" s="18" t="s">
        <v>2234</v>
      </c>
      <c r="AB1722" s="18" t="s">
        <v>2235</v>
      </c>
      <c r="AC1722" s="18" t="s">
        <v>155</v>
      </c>
    </row>
    <row r="1723" s="18" customFormat="1" spans="1:29">
      <c r="A1723" s="18" t="s">
        <v>3674</v>
      </c>
      <c r="B1723" s="25" t="s">
        <v>3674</v>
      </c>
      <c r="C1723" s="26">
        <v>45708</v>
      </c>
      <c r="D1723" s="18" t="s">
        <v>2148</v>
      </c>
      <c r="E1723" s="18" t="str">
        <f t="shared" si="26"/>
        <v>The Adityaraj Production</v>
      </c>
      <c r="F1723" s="27" t="s">
        <v>2149</v>
      </c>
      <c r="G1723" s="18" t="s">
        <v>147</v>
      </c>
      <c r="H1723" s="18" t="s">
        <v>148</v>
      </c>
      <c r="I1723" s="18" t="s">
        <v>54</v>
      </c>
      <c r="J1723" s="18" t="s">
        <v>3002</v>
      </c>
      <c r="K1723" s="18" t="s">
        <v>56</v>
      </c>
      <c r="L1723" s="18" t="s">
        <v>36</v>
      </c>
      <c r="N1723" s="18">
        <v>6</v>
      </c>
      <c r="O1723" s="18" t="s">
        <v>88</v>
      </c>
      <c r="P1723" s="18" t="s">
        <v>38</v>
      </c>
      <c r="Q1723" s="18" t="s">
        <v>58</v>
      </c>
      <c r="R1723" s="18" t="s">
        <v>59</v>
      </c>
      <c r="S1723" s="18" t="s">
        <v>60</v>
      </c>
      <c r="T1723" s="18" t="b">
        <v>1</v>
      </c>
      <c r="U1723" s="18" t="s">
        <v>150</v>
      </c>
      <c r="V1723" s="18" t="s">
        <v>40</v>
      </c>
      <c r="W1723" s="18" t="s">
        <v>401</v>
      </c>
      <c r="X1723" s="18" t="s">
        <v>402</v>
      </c>
      <c r="Y1723" s="18">
        <v>1</v>
      </c>
      <c r="Z1723" s="18">
        <v>75000</v>
      </c>
      <c r="AA1723" s="18" t="s">
        <v>3675</v>
      </c>
      <c r="AB1723" s="18" t="s">
        <v>3676</v>
      </c>
      <c r="AC1723" s="18" t="s">
        <v>163</v>
      </c>
    </row>
    <row r="1724" s="18" customFormat="1" spans="1:29">
      <c r="A1724" s="18" t="s">
        <v>3677</v>
      </c>
      <c r="B1724" s="25" t="s">
        <v>3677</v>
      </c>
      <c r="C1724" s="26">
        <v>45708</v>
      </c>
      <c r="D1724" s="18" t="s">
        <v>1736</v>
      </c>
      <c r="E1724" s="18" t="str">
        <f t="shared" ref="E1724:E1787" si="27">_xlfn.TEXTBEFORE(D1724,"-")</f>
        <v>Tribhuvan Kapoor.....</v>
      </c>
      <c r="F1724" s="27" t="e">
        <v>#N/A</v>
      </c>
      <c r="G1724" s="18" t="s">
        <v>147</v>
      </c>
      <c r="H1724" s="18" t="s">
        <v>148</v>
      </c>
      <c r="I1724" s="18" t="s">
        <v>54</v>
      </c>
      <c r="J1724" s="18" t="s">
        <v>3032</v>
      </c>
      <c r="K1724" s="18" t="s">
        <v>56</v>
      </c>
      <c r="L1724" s="18" t="s">
        <v>36</v>
      </c>
      <c r="N1724" s="18">
        <v>6</v>
      </c>
      <c r="O1724" s="18" t="s">
        <v>93</v>
      </c>
      <c r="P1724" s="18" t="s">
        <v>38</v>
      </c>
      <c r="Q1724" s="18" t="s">
        <v>58</v>
      </c>
      <c r="R1724" s="18" t="s">
        <v>59</v>
      </c>
      <c r="S1724" s="18" t="s">
        <v>60</v>
      </c>
      <c r="T1724" s="18" t="b">
        <v>1</v>
      </c>
      <c r="U1724" s="18" t="s">
        <v>150</v>
      </c>
      <c r="V1724" s="18" t="s">
        <v>40</v>
      </c>
      <c r="W1724" s="18" t="s">
        <v>412</v>
      </c>
      <c r="X1724" s="18" t="s">
        <v>413</v>
      </c>
      <c r="Y1724" s="18">
        <v>1</v>
      </c>
      <c r="Z1724" s="18">
        <v>16569</v>
      </c>
      <c r="AA1724" s="18" t="s">
        <v>1676</v>
      </c>
      <c r="AB1724" s="18" t="s">
        <v>600</v>
      </c>
      <c r="AC1724" s="18" t="e">
        <v>#N/A</v>
      </c>
    </row>
    <row r="1725" s="18" customFormat="1" spans="1:29">
      <c r="A1725" s="18" t="s">
        <v>3678</v>
      </c>
      <c r="B1725" s="25" t="s">
        <v>3678</v>
      </c>
      <c r="C1725" s="26">
        <v>45708</v>
      </c>
      <c r="D1725" s="18" t="s">
        <v>1029</v>
      </c>
      <c r="E1725" s="18" t="str">
        <f t="shared" si="27"/>
        <v>Pankaj Kumar Mishra  </v>
      </c>
      <c r="F1725" s="27" t="e">
        <v>#N/A</v>
      </c>
      <c r="G1725" s="18" t="s">
        <v>147</v>
      </c>
      <c r="H1725" s="18" t="s">
        <v>148</v>
      </c>
      <c r="I1725" s="18" t="s">
        <v>54</v>
      </c>
      <c r="J1725" s="18" t="s">
        <v>310</v>
      </c>
      <c r="K1725" s="18" t="s">
        <v>56</v>
      </c>
      <c r="L1725" s="18" t="s">
        <v>36</v>
      </c>
      <c r="N1725" s="18">
        <v>6</v>
      </c>
      <c r="O1725" s="18" t="s">
        <v>93</v>
      </c>
      <c r="P1725" s="18" t="s">
        <v>38</v>
      </c>
      <c r="Q1725" s="18" t="s">
        <v>58</v>
      </c>
      <c r="R1725" s="18" t="s">
        <v>59</v>
      </c>
      <c r="S1725" s="18" t="s">
        <v>60</v>
      </c>
      <c r="T1725" s="18" t="b">
        <v>1</v>
      </c>
      <c r="U1725" s="18" t="s">
        <v>150</v>
      </c>
      <c r="V1725" s="18" t="s">
        <v>40</v>
      </c>
      <c r="W1725" s="18" t="s">
        <v>1055</v>
      </c>
      <c r="X1725" s="18" t="s">
        <v>1056</v>
      </c>
      <c r="Y1725" s="18">
        <v>1</v>
      </c>
      <c r="Z1725" s="18">
        <v>3400</v>
      </c>
      <c r="AA1725" s="18" t="s">
        <v>227</v>
      </c>
      <c r="AB1725" s="18" t="s">
        <v>228</v>
      </c>
      <c r="AC1725" s="18" t="e">
        <v>#N/A</v>
      </c>
    </row>
    <row r="1726" s="18" customFormat="1" spans="1:29">
      <c r="A1726" s="18" t="s">
        <v>3679</v>
      </c>
      <c r="B1726" s="25" t="s">
        <v>3679</v>
      </c>
      <c r="C1726" s="26">
        <v>45708</v>
      </c>
      <c r="D1726" s="18" t="s">
        <v>3680</v>
      </c>
      <c r="E1726" s="18" t="str">
        <f t="shared" si="27"/>
        <v>Rehan Vending &amp; Services</v>
      </c>
      <c r="F1726" s="27" t="s">
        <v>3681</v>
      </c>
      <c r="G1726" s="18" t="s">
        <v>147</v>
      </c>
      <c r="H1726" s="18" t="s">
        <v>148</v>
      </c>
      <c r="I1726" s="18" t="s">
        <v>207</v>
      </c>
      <c r="J1726" s="18" t="s">
        <v>2264</v>
      </c>
      <c r="K1726" s="18" t="s">
        <v>56</v>
      </c>
      <c r="L1726" s="18" t="s">
        <v>36</v>
      </c>
      <c r="N1726" s="18">
        <v>6</v>
      </c>
      <c r="O1726" s="18" t="s">
        <v>88</v>
      </c>
      <c r="P1726" s="18" t="s">
        <v>38</v>
      </c>
      <c r="Q1726" s="18" t="s">
        <v>58</v>
      </c>
      <c r="R1726" s="18" t="s">
        <v>59</v>
      </c>
      <c r="S1726" s="18" t="s">
        <v>60</v>
      </c>
      <c r="T1726" s="18" t="b">
        <v>1</v>
      </c>
      <c r="U1726" s="18" t="s">
        <v>150</v>
      </c>
      <c r="V1726" s="18" t="s">
        <v>40</v>
      </c>
      <c r="W1726" s="18" t="s">
        <v>371</v>
      </c>
      <c r="X1726" s="18" t="s">
        <v>372</v>
      </c>
      <c r="Y1726" s="18">
        <v>1</v>
      </c>
      <c r="Z1726" s="18">
        <v>184800</v>
      </c>
      <c r="AA1726" s="18" t="s">
        <v>544</v>
      </c>
      <c r="AB1726" s="18" t="s">
        <v>397</v>
      </c>
      <c r="AC1726" s="18" t="s">
        <v>163</v>
      </c>
    </row>
    <row r="1727" s="18" customFormat="1" spans="1:29">
      <c r="A1727" s="18" t="s">
        <v>3682</v>
      </c>
      <c r="B1727" s="25" t="s">
        <v>3682</v>
      </c>
      <c r="C1727" s="26">
        <v>45708</v>
      </c>
      <c r="D1727" s="18" t="s">
        <v>2894</v>
      </c>
      <c r="E1727" s="18" t="str">
        <f t="shared" si="27"/>
        <v>Jatin Arora  </v>
      </c>
      <c r="F1727" s="27" t="s">
        <v>2895</v>
      </c>
      <c r="G1727" s="18" t="s">
        <v>147</v>
      </c>
      <c r="H1727" s="18" t="s">
        <v>148</v>
      </c>
      <c r="I1727" s="18" t="s">
        <v>54</v>
      </c>
      <c r="J1727" s="18" t="s">
        <v>1238</v>
      </c>
      <c r="K1727" s="18" t="s">
        <v>56</v>
      </c>
      <c r="L1727" s="18" t="s">
        <v>36</v>
      </c>
      <c r="N1727" s="18">
        <v>6</v>
      </c>
      <c r="O1727" s="18" t="s">
        <v>93</v>
      </c>
      <c r="P1727" s="18" t="s">
        <v>38</v>
      </c>
      <c r="Q1727" s="18" t="s">
        <v>58</v>
      </c>
      <c r="R1727" s="18" t="s">
        <v>59</v>
      </c>
      <c r="S1727" s="18" t="s">
        <v>60</v>
      </c>
      <c r="T1727" s="18" t="b">
        <v>1</v>
      </c>
      <c r="U1727" s="18" t="s">
        <v>150</v>
      </c>
      <c r="V1727" s="18" t="s">
        <v>40</v>
      </c>
      <c r="W1727" s="18" t="s">
        <v>126</v>
      </c>
      <c r="X1727" s="18" t="s">
        <v>127</v>
      </c>
      <c r="Y1727" s="18">
        <v>1</v>
      </c>
      <c r="Z1727" s="18">
        <v>975</v>
      </c>
      <c r="AA1727" s="18" t="s">
        <v>3532</v>
      </c>
      <c r="AB1727" s="18" t="s">
        <v>1182</v>
      </c>
      <c r="AC1727" s="18" t="e">
        <v>#N/A</v>
      </c>
    </row>
    <row r="1728" s="18" customFormat="1" spans="1:29">
      <c r="A1728" s="18" t="s">
        <v>3683</v>
      </c>
      <c r="B1728" s="25" t="s">
        <v>3683</v>
      </c>
      <c r="C1728" s="26">
        <v>45708</v>
      </c>
      <c r="D1728" s="18" t="s">
        <v>1265</v>
      </c>
      <c r="E1728" s="18" t="str">
        <f t="shared" si="27"/>
        <v>Parvesh Mahalwal............... </v>
      </c>
      <c r="F1728" s="27" t="e">
        <v>#N/A</v>
      </c>
      <c r="G1728" s="18" t="s">
        <v>147</v>
      </c>
      <c r="H1728" s="18" t="s">
        <v>148</v>
      </c>
      <c r="I1728" s="18" t="s">
        <v>54</v>
      </c>
      <c r="J1728" s="18" t="s">
        <v>1238</v>
      </c>
      <c r="K1728" s="18" t="s">
        <v>56</v>
      </c>
      <c r="L1728" s="18" t="s">
        <v>36</v>
      </c>
      <c r="N1728" s="18">
        <v>6</v>
      </c>
      <c r="O1728" s="18" t="s">
        <v>93</v>
      </c>
      <c r="P1728" s="18" t="s">
        <v>38</v>
      </c>
      <c r="Q1728" s="18" t="s">
        <v>58</v>
      </c>
      <c r="R1728" s="18" t="s">
        <v>59</v>
      </c>
      <c r="S1728" s="18" t="s">
        <v>60</v>
      </c>
      <c r="T1728" s="18" t="b">
        <v>1</v>
      </c>
      <c r="U1728" s="18" t="s">
        <v>150</v>
      </c>
      <c r="V1728" s="18" t="s">
        <v>40</v>
      </c>
      <c r="W1728" s="18" t="s">
        <v>126</v>
      </c>
      <c r="X1728" s="18" t="s">
        <v>127</v>
      </c>
      <c r="Y1728" s="18">
        <v>1</v>
      </c>
      <c r="Z1728" s="18">
        <v>2729</v>
      </c>
      <c r="AA1728" s="18" t="s">
        <v>299</v>
      </c>
      <c r="AB1728" s="18" t="s">
        <v>295</v>
      </c>
      <c r="AC1728" s="18" t="e">
        <v>#N/A</v>
      </c>
    </row>
    <row r="1729" s="18" customFormat="1" spans="1:29">
      <c r="A1729" s="18" t="s">
        <v>3684</v>
      </c>
      <c r="B1729" s="25" t="s">
        <v>3684</v>
      </c>
      <c r="C1729" s="26">
        <v>45708</v>
      </c>
      <c r="D1729" s="18" t="s">
        <v>3553</v>
      </c>
      <c r="E1729" s="18" t="str">
        <f t="shared" si="27"/>
        <v>Seemant Mahalwal  </v>
      </c>
      <c r="F1729" s="27" t="s">
        <v>3554</v>
      </c>
      <c r="G1729" s="18" t="s">
        <v>147</v>
      </c>
      <c r="H1729" s="18" t="s">
        <v>148</v>
      </c>
      <c r="I1729" s="18" t="s">
        <v>54</v>
      </c>
      <c r="J1729" s="18" t="s">
        <v>1238</v>
      </c>
      <c r="K1729" s="18" t="s">
        <v>56</v>
      </c>
      <c r="L1729" s="18" t="s">
        <v>36</v>
      </c>
      <c r="N1729" s="18">
        <v>6</v>
      </c>
      <c r="O1729" s="18" t="s">
        <v>93</v>
      </c>
      <c r="P1729" s="18" t="s">
        <v>38</v>
      </c>
      <c r="Q1729" s="18" t="s">
        <v>58</v>
      </c>
      <c r="R1729" s="18" t="s">
        <v>59</v>
      </c>
      <c r="S1729" s="18" t="s">
        <v>60</v>
      </c>
      <c r="T1729" s="18" t="b">
        <v>1</v>
      </c>
      <c r="U1729" s="18" t="s">
        <v>150</v>
      </c>
      <c r="V1729" s="18" t="s">
        <v>40</v>
      </c>
      <c r="W1729" s="18" t="s">
        <v>126</v>
      </c>
      <c r="X1729" s="18" t="s">
        <v>127</v>
      </c>
      <c r="Y1729" s="18">
        <v>1</v>
      </c>
      <c r="Z1729" s="18">
        <v>839</v>
      </c>
      <c r="AA1729" s="18" t="s">
        <v>1877</v>
      </c>
      <c r="AB1729" s="18" t="s">
        <v>1711</v>
      </c>
      <c r="AC1729" s="18" t="e">
        <v>#N/A</v>
      </c>
    </row>
    <row r="1730" s="18" customFormat="1" spans="1:29">
      <c r="A1730" s="18" t="s">
        <v>3685</v>
      </c>
      <c r="B1730" s="25" t="s">
        <v>3685</v>
      </c>
      <c r="C1730" s="26">
        <v>45708</v>
      </c>
      <c r="D1730" s="18" t="s">
        <v>1717</v>
      </c>
      <c r="E1730" s="18" t="str">
        <f t="shared" si="27"/>
        <v>Varun Sondhi  </v>
      </c>
      <c r="F1730" s="27" t="e">
        <v>#N/A</v>
      </c>
      <c r="G1730" s="18" t="s">
        <v>147</v>
      </c>
      <c r="H1730" s="18" t="s">
        <v>148</v>
      </c>
      <c r="I1730" s="18" t="s">
        <v>54</v>
      </c>
      <c r="J1730" s="18" t="s">
        <v>1238</v>
      </c>
      <c r="K1730" s="18" t="s">
        <v>56</v>
      </c>
      <c r="L1730" s="18" t="s">
        <v>36</v>
      </c>
      <c r="N1730" s="18">
        <v>6</v>
      </c>
      <c r="O1730" s="18" t="s">
        <v>93</v>
      </c>
      <c r="P1730" s="18" t="s">
        <v>38</v>
      </c>
      <c r="Q1730" s="18" t="s">
        <v>58</v>
      </c>
      <c r="R1730" s="18" t="s">
        <v>59</v>
      </c>
      <c r="S1730" s="18" t="s">
        <v>60</v>
      </c>
      <c r="T1730" s="18" t="b">
        <v>1</v>
      </c>
      <c r="U1730" s="18" t="s">
        <v>150</v>
      </c>
      <c r="V1730" s="18" t="s">
        <v>40</v>
      </c>
      <c r="W1730" s="18" t="s">
        <v>126</v>
      </c>
      <c r="X1730" s="18" t="s">
        <v>127</v>
      </c>
      <c r="Y1730" s="18">
        <v>1</v>
      </c>
      <c r="Z1730" s="18">
        <v>3027</v>
      </c>
      <c r="AA1730" s="18" t="s">
        <v>1718</v>
      </c>
      <c r="AB1730" s="18" t="s">
        <v>242</v>
      </c>
      <c r="AC1730" s="18" t="e">
        <v>#N/A</v>
      </c>
    </row>
    <row r="1731" s="18" customFormat="1" spans="1:29">
      <c r="A1731" s="18" t="s">
        <v>3686</v>
      </c>
      <c r="B1731" s="25" t="s">
        <v>3686</v>
      </c>
      <c r="C1731" s="26">
        <v>45708</v>
      </c>
      <c r="D1731" s="18" t="s">
        <v>384</v>
      </c>
      <c r="E1731" s="18" t="str">
        <f t="shared" si="27"/>
        <v>Anurag Jadli  </v>
      </c>
      <c r="F1731" s="27" t="e">
        <v>#N/A</v>
      </c>
      <c r="G1731" s="18" t="s">
        <v>147</v>
      </c>
      <c r="H1731" s="18" t="s">
        <v>148</v>
      </c>
      <c r="I1731" s="18" t="s">
        <v>54</v>
      </c>
      <c r="J1731" s="18" t="s">
        <v>1238</v>
      </c>
      <c r="K1731" s="18" t="s">
        <v>56</v>
      </c>
      <c r="L1731" s="18" t="s">
        <v>36</v>
      </c>
      <c r="N1731" s="18">
        <v>6</v>
      </c>
      <c r="O1731" s="18" t="s">
        <v>93</v>
      </c>
      <c r="P1731" s="18" t="s">
        <v>38</v>
      </c>
      <c r="Q1731" s="18" t="s">
        <v>58</v>
      </c>
      <c r="R1731" s="18" t="s">
        <v>59</v>
      </c>
      <c r="S1731" s="18" t="s">
        <v>60</v>
      </c>
      <c r="T1731" s="18" t="b">
        <v>1</v>
      </c>
      <c r="U1731" s="18" t="s">
        <v>150</v>
      </c>
      <c r="V1731" s="18" t="s">
        <v>40</v>
      </c>
      <c r="W1731" s="18" t="s">
        <v>126</v>
      </c>
      <c r="X1731" s="18" t="s">
        <v>127</v>
      </c>
      <c r="Y1731" s="18">
        <v>1</v>
      </c>
      <c r="Z1731" s="18">
        <v>675</v>
      </c>
      <c r="AA1731" s="18" t="s">
        <v>1715</v>
      </c>
      <c r="AB1731" s="18" t="s">
        <v>386</v>
      </c>
      <c r="AC1731" s="18" t="e">
        <v>#N/A</v>
      </c>
    </row>
    <row r="1732" s="18" customFormat="1" spans="1:29">
      <c r="A1732" s="18" t="s">
        <v>3687</v>
      </c>
      <c r="B1732" s="25" t="s">
        <v>3687</v>
      </c>
      <c r="C1732" s="26">
        <v>45708</v>
      </c>
      <c r="D1732" s="18" t="s">
        <v>426</v>
      </c>
      <c r="E1732" s="18" t="str">
        <f t="shared" si="27"/>
        <v>Garv Aggarwal  </v>
      </c>
      <c r="F1732" s="27" t="e">
        <v>#N/A</v>
      </c>
      <c r="G1732" s="18" t="s">
        <v>147</v>
      </c>
      <c r="H1732" s="18" t="s">
        <v>148</v>
      </c>
      <c r="I1732" s="18" t="s">
        <v>54</v>
      </c>
      <c r="J1732" s="18" t="s">
        <v>2996</v>
      </c>
      <c r="K1732" s="18" t="s">
        <v>56</v>
      </c>
      <c r="L1732" s="18" t="s">
        <v>36</v>
      </c>
      <c r="N1732" s="18">
        <v>6</v>
      </c>
      <c r="O1732" s="18" t="s">
        <v>93</v>
      </c>
      <c r="P1732" s="18" t="s">
        <v>38</v>
      </c>
      <c r="Q1732" s="18" t="s">
        <v>58</v>
      </c>
      <c r="R1732" s="18" t="s">
        <v>59</v>
      </c>
      <c r="S1732" s="18" t="s">
        <v>60</v>
      </c>
      <c r="T1732" s="18" t="b">
        <v>1</v>
      </c>
      <c r="U1732" s="18" t="s">
        <v>150</v>
      </c>
      <c r="V1732" s="18" t="s">
        <v>40</v>
      </c>
      <c r="W1732" s="18" t="s">
        <v>126</v>
      </c>
      <c r="X1732" s="18" t="s">
        <v>127</v>
      </c>
      <c r="Y1732" s="18">
        <v>1</v>
      </c>
      <c r="Z1732" s="18">
        <v>4481</v>
      </c>
      <c r="AA1732" s="18" t="s">
        <v>781</v>
      </c>
      <c r="AB1732" s="18" t="s">
        <v>428</v>
      </c>
      <c r="AC1732" s="18" t="e">
        <v>#N/A</v>
      </c>
    </row>
    <row r="1733" s="18" customFormat="1" ht="43.5" spans="1:29">
      <c r="A1733" s="18" t="s">
        <v>3688</v>
      </c>
      <c r="B1733" s="25" t="s">
        <v>3688</v>
      </c>
      <c r="C1733" s="26">
        <v>45708</v>
      </c>
      <c r="D1733" s="18" t="s">
        <v>674</v>
      </c>
      <c r="E1733" s="18" t="str">
        <f t="shared" si="27"/>
        <v>Rastey Commuting Services Pvt Ltd</v>
      </c>
      <c r="F1733" s="27" t="s">
        <v>675</v>
      </c>
      <c r="G1733" s="18" t="s">
        <v>147</v>
      </c>
      <c r="H1733" s="18" t="s">
        <v>148</v>
      </c>
      <c r="I1733" s="18" t="s">
        <v>184</v>
      </c>
      <c r="J1733" s="18" t="s">
        <v>2683</v>
      </c>
      <c r="K1733" s="18" t="s">
        <v>56</v>
      </c>
      <c r="L1733" s="18" t="s">
        <v>36</v>
      </c>
      <c r="N1733" s="18">
        <v>6</v>
      </c>
      <c r="O1733" s="18" t="s">
        <v>88</v>
      </c>
      <c r="P1733" s="18" t="s">
        <v>38</v>
      </c>
      <c r="Q1733" s="18" t="s">
        <v>194</v>
      </c>
      <c r="R1733" s="18" t="s">
        <v>59</v>
      </c>
      <c r="S1733" s="18" t="s">
        <v>195</v>
      </c>
      <c r="T1733" s="18" t="b">
        <v>1</v>
      </c>
      <c r="U1733" s="18" t="s">
        <v>150</v>
      </c>
      <c r="V1733" s="18" t="s">
        <v>40</v>
      </c>
      <c r="W1733" s="18" t="s">
        <v>119</v>
      </c>
      <c r="X1733" s="18" t="s">
        <v>120</v>
      </c>
      <c r="Y1733" s="18">
        <v>1</v>
      </c>
      <c r="Z1733" s="18">
        <v>33895</v>
      </c>
      <c r="AA1733" s="31" t="s">
        <v>3220</v>
      </c>
      <c r="AB1733" s="18" t="s">
        <v>737</v>
      </c>
      <c r="AC1733" s="18" t="s">
        <v>676</v>
      </c>
    </row>
    <row r="1734" s="18" customFormat="1" spans="1:29">
      <c r="A1734" s="18" t="s">
        <v>3689</v>
      </c>
      <c r="B1734" s="25" t="s">
        <v>3689</v>
      </c>
      <c r="C1734" s="26">
        <v>45708</v>
      </c>
      <c r="D1734" s="18" t="s">
        <v>1720</v>
      </c>
      <c r="E1734" s="18" t="str">
        <f t="shared" si="27"/>
        <v>Anil Kumar Singh..........</v>
      </c>
      <c r="F1734" s="27" t="e">
        <v>#N/A</v>
      </c>
      <c r="G1734" s="18" t="s">
        <v>147</v>
      </c>
      <c r="H1734" s="18" t="s">
        <v>148</v>
      </c>
      <c r="I1734" s="18" t="s">
        <v>54</v>
      </c>
      <c r="J1734" s="18" t="s">
        <v>1609</v>
      </c>
      <c r="K1734" s="18" t="s">
        <v>56</v>
      </c>
      <c r="L1734" s="18" t="s">
        <v>36</v>
      </c>
      <c r="N1734" s="18">
        <v>6</v>
      </c>
      <c r="O1734" s="18" t="s">
        <v>93</v>
      </c>
      <c r="P1734" s="18" t="s">
        <v>38</v>
      </c>
      <c r="Q1734" s="18" t="s">
        <v>58</v>
      </c>
      <c r="R1734" s="18" t="s">
        <v>59</v>
      </c>
      <c r="S1734" s="18" t="s">
        <v>60</v>
      </c>
      <c r="T1734" s="18" t="b">
        <v>1</v>
      </c>
      <c r="U1734" s="18" t="s">
        <v>150</v>
      </c>
      <c r="V1734" s="18" t="s">
        <v>40</v>
      </c>
      <c r="W1734" s="18" t="s">
        <v>126</v>
      </c>
      <c r="X1734" s="18" t="s">
        <v>127</v>
      </c>
      <c r="Y1734" s="18">
        <v>1</v>
      </c>
      <c r="Z1734" s="18">
        <v>100</v>
      </c>
      <c r="AA1734" s="18" t="s">
        <v>2522</v>
      </c>
      <c r="AB1734" s="18" t="s">
        <v>1722</v>
      </c>
      <c r="AC1734" s="18" t="e">
        <v>#N/A</v>
      </c>
    </row>
    <row r="1735" s="18" customFormat="1" spans="1:29">
      <c r="A1735" s="18" t="s">
        <v>3690</v>
      </c>
      <c r="B1735" s="25" t="s">
        <v>3690</v>
      </c>
      <c r="C1735" s="26">
        <v>45708</v>
      </c>
      <c r="D1735" s="18" t="s">
        <v>1155</v>
      </c>
      <c r="E1735" s="18" t="str">
        <f t="shared" si="27"/>
        <v>Ravi Kiroula </v>
      </c>
      <c r="F1735" s="27" t="e">
        <v>#N/A</v>
      </c>
      <c r="G1735" s="18" t="s">
        <v>147</v>
      </c>
      <c r="H1735" s="18" t="s">
        <v>148</v>
      </c>
      <c r="I1735" s="18" t="s">
        <v>54</v>
      </c>
      <c r="J1735" s="18" t="s">
        <v>1609</v>
      </c>
      <c r="K1735" s="18" t="s">
        <v>56</v>
      </c>
      <c r="L1735" s="18" t="s">
        <v>36</v>
      </c>
      <c r="N1735" s="18">
        <v>6</v>
      </c>
      <c r="O1735" s="18" t="s">
        <v>93</v>
      </c>
      <c r="P1735" s="18" t="s">
        <v>38</v>
      </c>
      <c r="Q1735" s="18" t="s">
        <v>58</v>
      </c>
      <c r="R1735" s="18" t="s">
        <v>59</v>
      </c>
      <c r="S1735" s="18" t="s">
        <v>60</v>
      </c>
      <c r="T1735" s="18" t="b">
        <v>1</v>
      </c>
      <c r="U1735" s="18" t="s">
        <v>150</v>
      </c>
      <c r="V1735" s="18" t="s">
        <v>40</v>
      </c>
      <c r="W1735" s="18" t="s">
        <v>126</v>
      </c>
      <c r="X1735" s="18" t="s">
        <v>127</v>
      </c>
      <c r="Y1735" s="18">
        <v>1</v>
      </c>
      <c r="Z1735" s="18">
        <v>1889</v>
      </c>
      <c r="AA1735" s="18" t="s">
        <v>153</v>
      </c>
      <c r="AB1735" s="18" t="s">
        <v>154</v>
      </c>
      <c r="AC1735" s="18" t="e">
        <v>#N/A</v>
      </c>
    </row>
    <row r="1736" s="18" customFormat="1" spans="1:29">
      <c r="A1736" s="18" t="s">
        <v>3691</v>
      </c>
      <c r="B1736" s="25" t="s">
        <v>3691</v>
      </c>
      <c r="C1736" s="26">
        <v>45708</v>
      </c>
      <c r="D1736" s="18" t="s">
        <v>3553</v>
      </c>
      <c r="E1736" s="18" t="str">
        <f t="shared" si="27"/>
        <v>Seemant Mahalwal  </v>
      </c>
      <c r="F1736" s="27" t="s">
        <v>3554</v>
      </c>
      <c r="G1736" s="18" t="s">
        <v>147</v>
      </c>
      <c r="H1736" s="18" t="s">
        <v>148</v>
      </c>
      <c r="I1736" s="18" t="s">
        <v>54</v>
      </c>
      <c r="J1736" s="18" t="s">
        <v>1609</v>
      </c>
      <c r="K1736" s="18" t="s">
        <v>56</v>
      </c>
      <c r="L1736" s="18" t="s">
        <v>36</v>
      </c>
      <c r="N1736" s="18">
        <v>6</v>
      </c>
      <c r="O1736" s="18" t="s">
        <v>93</v>
      </c>
      <c r="P1736" s="18" t="s">
        <v>38</v>
      </c>
      <c r="Q1736" s="18" t="s">
        <v>58</v>
      </c>
      <c r="R1736" s="18" t="s">
        <v>59</v>
      </c>
      <c r="S1736" s="18" t="s">
        <v>60</v>
      </c>
      <c r="T1736" s="18" t="b">
        <v>1</v>
      </c>
      <c r="U1736" s="18" t="s">
        <v>150</v>
      </c>
      <c r="V1736" s="18" t="s">
        <v>40</v>
      </c>
      <c r="W1736" s="18" t="s">
        <v>126</v>
      </c>
      <c r="X1736" s="18" t="s">
        <v>127</v>
      </c>
      <c r="Y1736" s="18">
        <v>1</v>
      </c>
      <c r="Z1736" s="18">
        <v>780</v>
      </c>
      <c r="AA1736" s="18" t="s">
        <v>1877</v>
      </c>
      <c r="AB1736" s="18" t="s">
        <v>1711</v>
      </c>
      <c r="AC1736" s="18" t="e">
        <v>#N/A</v>
      </c>
    </row>
    <row r="1737" s="18" customFormat="1" spans="1:29">
      <c r="A1737" s="18" t="s">
        <v>3692</v>
      </c>
      <c r="B1737" s="25" t="s">
        <v>3692</v>
      </c>
      <c r="C1737" s="26">
        <v>45708</v>
      </c>
      <c r="D1737" s="18" t="s">
        <v>3693</v>
      </c>
      <c r="E1737" s="18" t="str">
        <f t="shared" si="27"/>
        <v>Umesh Sharma  </v>
      </c>
      <c r="F1737" s="27" t="e">
        <v>#N/A</v>
      </c>
      <c r="G1737" s="18" t="s">
        <v>147</v>
      </c>
      <c r="H1737" s="18" t="s">
        <v>148</v>
      </c>
      <c r="I1737" s="18" t="s">
        <v>54</v>
      </c>
      <c r="J1737" s="18" t="s">
        <v>1609</v>
      </c>
      <c r="K1737" s="18" t="s">
        <v>56</v>
      </c>
      <c r="L1737" s="18" t="s">
        <v>36</v>
      </c>
      <c r="N1737" s="18">
        <v>6</v>
      </c>
      <c r="O1737" s="18" t="s">
        <v>93</v>
      </c>
      <c r="P1737" s="18" t="s">
        <v>38</v>
      </c>
      <c r="Q1737" s="18" t="s">
        <v>58</v>
      </c>
      <c r="R1737" s="18" t="s">
        <v>59</v>
      </c>
      <c r="S1737" s="18" t="s">
        <v>60</v>
      </c>
      <c r="T1737" s="18" t="b">
        <v>1</v>
      </c>
      <c r="U1737" s="18" t="s">
        <v>150</v>
      </c>
      <c r="V1737" s="18" t="s">
        <v>40</v>
      </c>
      <c r="W1737" s="18" t="s">
        <v>126</v>
      </c>
      <c r="X1737" s="18" t="s">
        <v>127</v>
      </c>
      <c r="Y1737" s="18">
        <v>1</v>
      </c>
      <c r="Z1737" s="18">
        <v>6060</v>
      </c>
      <c r="AA1737" s="18" t="s">
        <v>2498</v>
      </c>
      <c r="AB1737" s="18" t="s">
        <v>2499</v>
      </c>
      <c r="AC1737" s="18" t="e">
        <v>#N/A</v>
      </c>
    </row>
    <row r="1738" s="18" customFormat="1" spans="1:29">
      <c r="A1738" s="18" t="s">
        <v>3694</v>
      </c>
      <c r="B1738" s="25" t="s">
        <v>3694</v>
      </c>
      <c r="C1738" s="26">
        <v>45708</v>
      </c>
      <c r="D1738" s="18" t="s">
        <v>451</v>
      </c>
      <c r="E1738" s="18" t="str">
        <f t="shared" si="27"/>
        <v>Ajeet Singh  </v>
      </c>
      <c r="F1738" s="27" t="s">
        <v>452</v>
      </c>
      <c r="G1738" s="18" t="s">
        <v>147</v>
      </c>
      <c r="H1738" s="18" t="s">
        <v>148</v>
      </c>
      <c r="I1738" s="18" t="s">
        <v>54</v>
      </c>
      <c r="J1738" s="18" t="s">
        <v>2464</v>
      </c>
      <c r="K1738" s="18" t="s">
        <v>56</v>
      </c>
      <c r="L1738" s="18" t="s">
        <v>36</v>
      </c>
      <c r="N1738" s="18">
        <v>6</v>
      </c>
      <c r="O1738" s="18" t="s">
        <v>93</v>
      </c>
      <c r="P1738" s="18" t="s">
        <v>38</v>
      </c>
      <c r="Q1738" s="18" t="s">
        <v>58</v>
      </c>
      <c r="R1738" s="18" t="s">
        <v>59</v>
      </c>
      <c r="S1738" s="18" t="s">
        <v>60</v>
      </c>
      <c r="T1738" s="18" t="b">
        <v>1</v>
      </c>
      <c r="U1738" s="18" t="s">
        <v>150</v>
      </c>
      <c r="V1738" s="18" t="s">
        <v>40</v>
      </c>
      <c r="W1738" s="18" t="s">
        <v>126</v>
      </c>
      <c r="X1738" s="18" t="s">
        <v>127</v>
      </c>
      <c r="Y1738" s="18">
        <v>1</v>
      </c>
      <c r="Z1738" s="18">
        <v>1650</v>
      </c>
      <c r="AA1738" s="18" t="s">
        <v>1738</v>
      </c>
      <c r="AB1738" s="18" t="s">
        <v>454</v>
      </c>
      <c r="AC1738" s="18" t="e">
        <v>#N/A</v>
      </c>
    </row>
    <row r="1739" s="18" customFormat="1" spans="1:29">
      <c r="A1739" s="18" t="s">
        <v>3695</v>
      </c>
      <c r="B1739" s="25" t="s">
        <v>3695</v>
      </c>
      <c r="C1739" s="26">
        <v>45708</v>
      </c>
      <c r="D1739" s="18" t="s">
        <v>426</v>
      </c>
      <c r="E1739" s="18" t="str">
        <f t="shared" si="27"/>
        <v>Garv Aggarwal  </v>
      </c>
      <c r="F1739" s="27" t="e">
        <v>#N/A</v>
      </c>
      <c r="G1739" s="18" t="s">
        <v>147</v>
      </c>
      <c r="H1739" s="18" t="s">
        <v>148</v>
      </c>
      <c r="I1739" s="18" t="s">
        <v>54</v>
      </c>
      <c r="J1739" s="18" t="s">
        <v>2464</v>
      </c>
      <c r="K1739" s="18" t="s">
        <v>56</v>
      </c>
      <c r="L1739" s="18" t="s">
        <v>36</v>
      </c>
      <c r="N1739" s="18">
        <v>6</v>
      </c>
      <c r="O1739" s="18" t="s">
        <v>93</v>
      </c>
      <c r="P1739" s="18" t="s">
        <v>38</v>
      </c>
      <c r="Q1739" s="18" t="s">
        <v>58</v>
      </c>
      <c r="R1739" s="18" t="s">
        <v>59</v>
      </c>
      <c r="S1739" s="18" t="s">
        <v>60</v>
      </c>
      <c r="T1739" s="18" t="b">
        <v>1</v>
      </c>
      <c r="U1739" s="18" t="s">
        <v>150</v>
      </c>
      <c r="V1739" s="18" t="s">
        <v>40</v>
      </c>
      <c r="W1739" s="18" t="s">
        <v>126</v>
      </c>
      <c r="X1739" s="18" t="s">
        <v>127</v>
      </c>
      <c r="Y1739" s="18">
        <v>1</v>
      </c>
      <c r="Z1739" s="18">
        <v>10096</v>
      </c>
      <c r="AA1739" s="18" t="s">
        <v>1799</v>
      </c>
      <c r="AB1739" s="18" t="s">
        <v>428</v>
      </c>
      <c r="AC1739" s="18" t="e">
        <v>#N/A</v>
      </c>
    </row>
    <row r="1740" s="18" customFormat="1" spans="1:29">
      <c r="A1740" s="18" t="s">
        <v>3696</v>
      </c>
      <c r="B1740" s="25" t="s">
        <v>3696</v>
      </c>
      <c r="C1740" s="26">
        <v>45708</v>
      </c>
      <c r="D1740" s="18" t="s">
        <v>2548</v>
      </c>
      <c r="E1740" s="18" t="str">
        <f t="shared" si="27"/>
        <v>Karan Nischal......  </v>
      </c>
      <c r="F1740" s="27" t="e">
        <v>#N/A</v>
      </c>
      <c r="G1740" s="18" t="s">
        <v>147</v>
      </c>
      <c r="H1740" s="18" t="s">
        <v>148</v>
      </c>
      <c r="I1740" s="18" t="s">
        <v>54</v>
      </c>
      <c r="J1740" s="18" t="s">
        <v>2464</v>
      </c>
      <c r="K1740" s="18" t="s">
        <v>56</v>
      </c>
      <c r="L1740" s="18" t="s">
        <v>36</v>
      </c>
      <c r="N1740" s="18">
        <v>6</v>
      </c>
      <c r="O1740" s="18" t="s">
        <v>93</v>
      </c>
      <c r="P1740" s="18" t="s">
        <v>38</v>
      </c>
      <c r="Q1740" s="18" t="s">
        <v>58</v>
      </c>
      <c r="R1740" s="18" t="s">
        <v>59</v>
      </c>
      <c r="S1740" s="18" t="s">
        <v>60</v>
      </c>
      <c r="T1740" s="18" t="b">
        <v>1</v>
      </c>
      <c r="U1740" s="18" t="s">
        <v>150</v>
      </c>
      <c r="V1740" s="18" t="s">
        <v>40</v>
      </c>
      <c r="W1740" s="18" t="s">
        <v>126</v>
      </c>
      <c r="X1740" s="18" t="s">
        <v>127</v>
      </c>
      <c r="Y1740" s="18">
        <v>1</v>
      </c>
      <c r="Z1740" s="18">
        <v>2096</v>
      </c>
      <c r="AA1740" s="18" t="s">
        <v>2549</v>
      </c>
      <c r="AB1740" s="18" t="s">
        <v>2550</v>
      </c>
      <c r="AC1740" s="18" t="e">
        <v>#N/A</v>
      </c>
    </row>
    <row r="1741" s="18" customFormat="1" spans="1:29">
      <c r="A1741" s="18" t="s">
        <v>3697</v>
      </c>
      <c r="B1741" s="25" t="s">
        <v>3697</v>
      </c>
      <c r="C1741" s="26">
        <v>45708</v>
      </c>
      <c r="D1741" s="18" t="s">
        <v>2548</v>
      </c>
      <c r="E1741" s="18" t="str">
        <f t="shared" si="27"/>
        <v>Karan Nischal......  </v>
      </c>
      <c r="F1741" s="27" t="e">
        <v>#N/A</v>
      </c>
      <c r="G1741" s="18" t="s">
        <v>147</v>
      </c>
      <c r="H1741" s="18" t="s">
        <v>148</v>
      </c>
      <c r="I1741" s="18" t="s">
        <v>54</v>
      </c>
      <c r="J1741" s="18" t="s">
        <v>2464</v>
      </c>
      <c r="K1741" s="18" t="s">
        <v>56</v>
      </c>
      <c r="L1741" s="18" t="s">
        <v>36</v>
      </c>
      <c r="N1741" s="18">
        <v>6</v>
      </c>
      <c r="O1741" s="18" t="s">
        <v>93</v>
      </c>
      <c r="P1741" s="18" t="s">
        <v>38</v>
      </c>
      <c r="Q1741" s="18" t="s">
        <v>58</v>
      </c>
      <c r="R1741" s="18" t="s">
        <v>59</v>
      </c>
      <c r="S1741" s="18" t="s">
        <v>60</v>
      </c>
      <c r="T1741" s="18" t="b">
        <v>1</v>
      </c>
      <c r="U1741" s="18" t="s">
        <v>150</v>
      </c>
      <c r="V1741" s="18" t="s">
        <v>40</v>
      </c>
      <c r="W1741" s="18" t="s">
        <v>126</v>
      </c>
      <c r="X1741" s="18" t="s">
        <v>127</v>
      </c>
      <c r="Y1741" s="18">
        <v>1</v>
      </c>
      <c r="Z1741" s="18">
        <v>8031</v>
      </c>
      <c r="AA1741" s="18" t="s">
        <v>2549</v>
      </c>
      <c r="AB1741" s="18" t="s">
        <v>2550</v>
      </c>
      <c r="AC1741" s="18" t="e">
        <v>#N/A</v>
      </c>
    </row>
    <row r="1742" s="18" customFormat="1" spans="1:29">
      <c r="A1742" s="18" t="s">
        <v>3698</v>
      </c>
      <c r="B1742" s="25" t="s">
        <v>3698</v>
      </c>
      <c r="C1742" s="26">
        <v>45708</v>
      </c>
      <c r="D1742" s="18" t="s">
        <v>411</v>
      </c>
      <c r="E1742" s="18" t="str">
        <f t="shared" si="27"/>
        <v>Vijender  </v>
      </c>
      <c r="F1742" s="27" t="e">
        <v>#N/A</v>
      </c>
      <c r="G1742" s="18" t="s">
        <v>147</v>
      </c>
      <c r="H1742" s="18" t="s">
        <v>148</v>
      </c>
      <c r="I1742" s="18" t="s">
        <v>54</v>
      </c>
      <c r="J1742" s="18" t="s">
        <v>2464</v>
      </c>
      <c r="K1742" s="18" t="s">
        <v>56</v>
      </c>
      <c r="L1742" s="18" t="s">
        <v>36</v>
      </c>
      <c r="N1742" s="18">
        <v>6</v>
      </c>
      <c r="O1742" s="18" t="s">
        <v>93</v>
      </c>
      <c r="P1742" s="18" t="s">
        <v>38</v>
      </c>
      <c r="Q1742" s="18" t="s">
        <v>58</v>
      </c>
      <c r="R1742" s="18" t="s">
        <v>59</v>
      </c>
      <c r="S1742" s="18" t="s">
        <v>60</v>
      </c>
      <c r="T1742" s="18" t="b">
        <v>1</v>
      </c>
      <c r="U1742" s="18" t="s">
        <v>150</v>
      </c>
      <c r="V1742" s="18" t="s">
        <v>40</v>
      </c>
      <c r="W1742" s="18" t="s">
        <v>126</v>
      </c>
      <c r="X1742" s="18" t="s">
        <v>127</v>
      </c>
      <c r="Y1742" s="18">
        <v>1</v>
      </c>
      <c r="Z1742" s="18">
        <v>2921</v>
      </c>
      <c r="AA1742" s="18" t="s">
        <v>2563</v>
      </c>
      <c r="AB1742" s="18" t="s">
        <v>415</v>
      </c>
      <c r="AC1742" s="18" t="e">
        <v>#N/A</v>
      </c>
    </row>
    <row r="1743" s="18" customFormat="1" spans="1:29">
      <c r="A1743" s="18" t="s">
        <v>3699</v>
      </c>
      <c r="B1743" s="25" t="s">
        <v>3699</v>
      </c>
      <c r="C1743" s="26">
        <v>45708</v>
      </c>
      <c r="D1743" s="18" t="s">
        <v>1029</v>
      </c>
      <c r="E1743" s="18" t="str">
        <f t="shared" si="27"/>
        <v>Pankaj Kumar Mishra  </v>
      </c>
      <c r="F1743" s="27" t="e">
        <v>#N/A</v>
      </c>
      <c r="G1743" s="18" t="s">
        <v>147</v>
      </c>
      <c r="H1743" s="18" t="s">
        <v>148</v>
      </c>
      <c r="I1743" s="18" t="s">
        <v>54</v>
      </c>
      <c r="J1743" s="18" t="s">
        <v>3002</v>
      </c>
      <c r="K1743" s="18" t="s">
        <v>56</v>
      </c>
      <c r="L1743" s="18" t="s">
        <v>36</v>
      </c>
      <c r="N1743" s="18">
        <v>6</v>
      </c>
      <c r="O1743" s="18" t="s">
        <v>93</v>
      </c>
      <c r="P1743" s="18" t="s">
        <v>38</v>
      </c>
      <c r="Q1743" s="18" t="s">
        <v>58</v>
      </c>
      <c r="R1743" s="18" t="s">
        <v>59</v>
      </c>
      <c r="S1743" s="18" t="s">
        <v>60</v>
      </c>
      <c r="T1743" s="18" t="b">
        <v>1</v>
      </c>
      <c r="U1743" s="18" t="s">
        <v>150</v>
      </c>
      <c r="V1743" s="18" t="s">
        <v>40</v>
      </c>
      <c r="W1743" s="18" t="s">
        <v>233</v>
      </c>
      <c r="X1743" s="18" t="s">
        <v>234</v>
      </c>
      <c r="Y1743" s="18">
        <v>1</v>
      </c>
      <c r="Z1743" s="18">
        <v>8940</v>
      </c>
      <c r="AA1743" s="18" t="s">
        <v>227</v>
      </c>
      <c r="AB1743" s="18" t="s">
        <v>228</v>
      </c>
      <c r="AC1743" s="18" t="e">
        <v>#N/A</v>
      </c>
    </row>
    <row r="1744" s="18" customFormat="1" spans="1:29">
      <c r="A1744" s="18" t="s">
        <v>3700</v>
      </c>
      <c r="B1744" s="25" t="s">
        <v>3700</v>
      </c>
      <c r="C1744" s="26">
        <v>45708</v>
      </c>
      <c r="D1744" s="18" t="s">
        <v>451</v>
      </c>
      <c r="E1744" s="18" t="str">
        <f t="shared" si="27"/>
        <v>Ajeet Singh  </v>
      </c>
      <c r="F1744" s="27" t="s">
        <v>452</v>
      </c>
      <c r="G1744" s="18" t="s">
        <v>147</v>
      </c>
      <c r="H1744" s="18" t="s">
        <v>148</v>
      </c>
      <c r="I1744" s="18" t="s">
        <v>54</v>
      </c>
      <c r="J1744" s="18" t="s">
        <v>2514</v>
      </c>
      <c r="K1744" s="18" t="s">
        <v>56</v>
      </c>
      <c r="L1744" s="18" t="s">
        <v>36</v>
      </c>
      <c r="N1744" s="18">
        <v>6</v>
      </c>
      <c r="O1744" s="18" t="s">
        <v>93</v>
      </c>
      <c r="P1744" s="18" t="s">
        <v>38</v>
      </c>
      <c r="Q1744" s="18" t="s">
        <v>58</v>
      </c>
      <c r="R1744" s="18" t="s">
        <v>59</v>
      </c>
      <c r="S1744" s="18" t="s">
        <v>60</v>
      </c>
      <c r="T1744" s="18" t="b">
        <v>1</v>
      </c>
      <c r="U1744" s="18" t="s">
        <v>150</v>
      </c>
      <c r="V1744" s="18" t="s">
        <v>40</v>
      </c>
      <c r="W1744" s="18" t="s">
        <v>126</v>
      </c>
      <c r="X1744" s="18" t="s">
        <v>127</v>
      </c>
      <c r="Y1744" s="18">
        <v>1</v>
      </c>
      <c r="Z1744" s="18">
        <v>1488</v>
      </c>
      <c r="AA1744" s="18" t="s">
        <v>1738</v>
      </c>
      <c r="AB1744" s="18" t="s">
        <v>454</v>
      </c>
      <c r="AC1744" s="18" t="e">
        <v>#N/A</v>
      </c>
    </row>
    <row r="1745" s="18" customFormat="1" spans="1:29">
      <c r="A1745" s="18" t="s">
        <v>3701</v>
      </c>
      <c r="B1745" s="25" t="s">
        <v>3701</v>
      </c>
      <c r="C1745" s="26">
        <v>45708</v>
      </c>
      <c r="D1745" s="18" t="s">
        <v>3702</v>
      </c>
      <c r="E1745" s="18" t="str">
        <f t="shared" si="27"/>
        <v>Adil Jala  </v>
      </c>
      <c r="F1745" s="27" t="e">
        <v>#N/A</v>
      </c>
      <c r="G1745" s="18" t="s">
        <v>182</v>
      </c>
      <c r="H1745" s="18" t="s">
        <v>183</v>
      </c>
      <c r="I1745" s="18" t="s">
        <v>481</v>
      </c>
      <c r="J1745" s="18" t="s">
        <v>3246</v>
      </c>
      <c r="K1745" s="18" t="s">
        <v>56</v>
      </c>
      <c r="L1745" s="18" t="s">
        <v>36</v>
      </c>
      <c r="N1745" s="18">
        <v>6</v>
      </c>
      <c r="O1745" s="18" t="s">
        <v>93</v>
      </c>
      <c r="P1745" s="18" t="s">
        <v>38</v>
      </c>
      <c r="Q1745" s="18" t="s">
        <v>194</v>
      </c>
      <c r="R1745" s="18" t="s">
        <v>59</v>
      </c>
      <c r="S1745" s="18" t="s">
        <v>195</v>
      </c>
      <c r="T1745" s="18" t="b">
        <v>0</v>
      </c>
      <c r="U1745" s="18" t="s">
        <v>187</v>
      </c>
      <c r="V1745" s="18" t="s">
        <v>40</v>
      </c>
      <c r="W1745" s="18" t="s">
        <v>126</v>
      </c>
      <c r="X1745" s="18" t="s">
        <v>127</v>
      </c>
      <c r="Y1745" s="18">
        <v>1</v>
      </c>
      <c r="Z1745" s="18">
        <v>559</v>
      </c>
      <c r="AC1745" s="18" t="e">
        <v>#N/A</v>
      </c>
    </row>
    <row r="1746" s="18" customFormat="1" spans="1:29">
      <c r="A1746" s="18" t="s">
        <v>3703</v>
      </c>
      <c r="B1746" s="25" t="s">
        <v>3703</v>
      </c>
      <c r="C1746" s="26">
        <v>45708</v>
      </c>
      <c r="D1746" s="18" t="s">
        <v>1645</v>
      </c>
      <c r="E1746" s="18" t="str">
        <f t="shared" si="27"/>
        <v>Maitree Dang  </v>
      </c>
      <c r="F1746" s="27" t="e">
        <v>#N/A</v>
      </c>
      <c r="G1746" s="18" t="s">
        <v>182</v>
      </c>
      <c r="H1746" s="18" t="s">
        <v>183</v>
      </c>
      <c r="I1746" s="18" t="s">
        <v>481</v>
      </c>
      <c r="J1746" s="18" t="s">
        <v>2707</v>
      </c>
      <c r="K1746" s="18" t="s">
        <v>56</v>
      </c>
      <c r="L1746" s="18" t="s">
        <v>36</v>
      </c>
      <c r="N1746" s="18">
        <v>6</v>
      </c>
      <c r="O1746" s="18" t="s">
        <v>93</v>
      </c>
      <c r="P1746" s="18" t="s">
        <v>38</v>
      </c>
      <c r="Q1746" s="18" t="s">
        <v>194</v>
      </c>
      <c r="R1746" s="18" t="s">
        <v>59</v>
      </c>
      <c r="S1746" s="18" t="s">
        <v>195</v>
      </c>
      <c r="T1746" s="18" t="b">
        <v>0</v>
      </c>
      <c r="U1746" s="18" t="s">
        <v>187</v>
      </c>
      <c r="V1746" s="18" t="s">
        <v>40</v>
      </c>
      <c r="W1746" s="18" t="s">
        <v>317</v>
      </c>
      <c r="X1746" s="18" t="s">
        <v>318</v>
      </c>
      <c r="Y1746" s="18">
        <v>1</v>
      </c>
      <c r="Z1746" s="18">
        <v>1442</v>
      </c>
      <c r="AC1746" s="18" t="e">
        <v>#N/A</v>
      </c>
    </row>
    <row r="1747" s="18" customFormat="1" spans="1:29">
      <c r="A1747" s="18" t="s">
        <v>3704</v>
      </c>
      <c r="B1747" s="25" t="s">
        <v>3704</v>
      </c>
      <c r="C1747" s="26">
        <v>45708</v>
      </c>
      <c r="D1747" s="18" t="s">
        <v>1206</v>
      </c>
      <c r="E1747" s="18" t="str">
        <f t="shared" si="27"/>
        <v>PARESH SURVE ADV FOR EXPENCES</v>
      </c>
      <c r="F1747" s="27" t="e">
        <v>#N/A</v>
      </c>
      <c r="G1747" s="18" t="s">
        <v>182</v>
      </c>
      <c r="H1747" s="18" t="s">
        <v>183</v>
      </c>
      <c r="I1747" s="18" t="s">
        <v>481</v>
      </c>
      <c r="J1747" s="18" t="s">
        <v>2171</v>
      </c>
      <c r="K1747" s="18" t="s">
        <v>56</v>
      </c>
      <c r="L1747" s="18" t="s">
        <v>36</v>
      </c>
      <c r="N1747" s="18">
        <v>6</v>
      </c>
      <c r="O1747" s="18" t="s">
        <v>93</v>
      </c>
      <c r="P1747" s="18" t="s">
        <v>38</v>
      </c>
      <c r="Q1747" s="18" t="s">
        <v>194</v>
      </c>
      <c r="R1747" s="18" t="s">
        <v>59</v>
      </c>
      <c r="S1747" s="18" t="s">
        <v>195</v>
      </c>
      <c r="T1747" s="18" t="b">
        <v>0</v>
      </c>
      <c r="U1747" s="18" t="s">
        <v>187</v>
      </c>
      <c r="V1747" s="18" t="s">
        <v>40</v>
      </c>
      <c r="W1747" s="18" t="s">
        <v>317</v>
      </c>
      <c r="X1747" s="18" t="s">
        <v>318</v>
      </c>
      <c r="Y1747" s="18">
        <v>1</v>
      </c>
      <c r="Z1747" s="18">
        <v>1199</v>
      </c>
      <c r="AC1747" s="18" t="e">
        <v>#N/A</v>
      </c>
    </row>
    <row r="1748" s="18" customFormat="1" spans="1:29">
      <c r="A1748" s="18" t="s">
        <v>3705</v>
      </c>
      <c r="B1748" s="25" t="s">
        <v>3705</v>
      </c>
      <c r="C1748" s="26">
        <v>45708</v>
      </c>
      <c r="D1748" s="18" t="s">
        <v>3706</v>
      </c>
      <c r="E1748" s="18" t="str">
        <f t="shared" si="27"/>
        <v>Honey Lalwani  </v>
      </c>
      <c r="F1748" s="27" t="e">
        <v>#N/A</v>
      </c>
      <c r="G1748" s="18" t="s">
        <v>182</v>
      </c>
      <c r="H1748" s="18" t="s">
        <v>183</v>
      </c>
      <c r="I1748" s="18" t="s">
        <v>481</v>
      </c>
      <c r="J1748" s="18" t="s">
        <v>2591</v>
      </c>
      <c r="K1748" s="18" t="s">
        <v>56</v>
      </c>
      <c r="L1748" s="18" t="s">
        <v>36</v>
      </c>
      <c r="N1748" s="18">
        <v>6</v>
      </c>
      <c r="O1748" s="18" t="s">
        <v>93</v>
      </c>
      <c r="P1748" s="18" t="s">
        <v>38</v>
      </c>
      <c r="Q1748" s="18" t="s">
        <v>194</v>
      </c>
      <c r="R1748" s="18" t="s">
        <v>59</v>
      </c>
      <c r="S1748" s="18" t="s">
        <v>195</v>
      </c>
      <c r="T1748" s="18" t="b">
        <v>0</v>
      </c>
      <c r="U1748" s="18" t="s">
        <v>187</v>
      </c>
      <c r="V1748" s="18" t="s">
        <v>40</v>
      </c>
      <c r="W1748" s="18" t="s">
        <v>126</v>
      </c>
      <c r="X1748" s="18" t="s">
        <v>127</v>
      </c>
      <c r="Y1748" s="18">
        <v>1</v>
      </c>
      <c r="Z1748" s="18">
        <v>31773</v>
      </c>
      <c r="AC1748" s="18" t="e">
        <v>#N/A</v>
      </c>
    </row>
    <row r="1749" s="18" customFormat="1" spans="1:29">
      <c r="A1749" s="18" t="s">
        <v>3707</v>
      </c>
      <c r="B1749" s="25" t="s">
        <v>3707</v>
      </c>
      <c r="C1749" s="26">
        <v>45708</v>
      </c>
      <c r="D1749" s="18" t="s">
        <v>2030</v>
      </c>
      <c r="E1749" s="18" t="str">
        <f t="shared" si="27"/>
        <v>Sanil Thombare </v>
      </c>
      <c r="F1749" s="27" t="e">
        <v>#N/A</v>
      </c>
      <c r="G1749" s="18" t="s">
        <v>182</v>
      </c>
      <c r="H1749" s="18" t="s">
        <v>183</v>
      </c>
      <c r="I1749" s="18" t="s">
        <v>481</v>
      </c>
      <c r="J1749" s="18" t="s">
        <v>2913</v>
      </c>
      <c r="K1749" s="18" t="s">
        <v>56</v>
      </c>
      <c r="L1749" s="18" t="s">
        <v>36</v>
      </c>
      <c r="N1749" s="18">
        <v>6</v>
      </c>
      <c r="O1749" s="18" t="s">
        <v>93</v>
      </c>
      <c r="P1749" s="18" t="s">
        <v>38</v>
      </c>
      <c r="Q1749" s="18" t="s">
        <v>58</v>
      </c>
      <c r="R1749" s="18" t="s">
        <v>59</v>
      </c>
      <c r="S1749" s="18" t="s">
        <v>60</v>
      </c>
      <c r="T1749" s="18" t="b">
        <v>0</v>
      </c>
      <c r="U1749" s="18" t="s">
        <v>187</v>
      </c>
      <c r="V1749" s="18" t="s">
        <v>40</v>
      </c>
      <c r="W1749" s="18" t="s">
        <v>126</v>
      </c>
      <c r="X1749" s="18" t="s">
        <v>127</v>
      </c>
      <c r="Y1749" s="18">
        <v>1</v>
      </c>
      <c r="Z1749" s="18">
        <v>850</v>
      </c>
      <c r="AC1749" s="18" t="e">
        <v>#N/A</v>
      </c>
    </row>
    <row r="1750" s="18" customFormat="1" spans="1:29">
      <c r="A1750" s="18" t="s">
        <v>3708</v>
      </c>
      <c r="B1750" s="25" t="s">
        <v>3708</v>
      </c>
      <c r="C1750" s="26">
        <v>45708</v>
      </c>
      <c r="D1750" s="18" t="s">
        <v>1206</v>
      </c>
      <c r="E1750" s="18" t="str">
        <f t="shared" si="27"/>
        <v>PARESH SURVE ADV FOR EXPENCES</v>
      </c>
      <c r="F1750" s="27" t="e">
        <v>#N/A</v>
      </c>
      <c r="G1750" s="18" t="s">
        <v>182</v>
      </c>
      <c r="H1750" s="18" t="s">
        <v>183</v>
      </c>
      <c r="I1750" s="18" t="s">
        <v>481</v>
      </c>
      <c r="J1750" s="18" t="s">
        <v>2319</v>
      </c>
      <c r="K1750" s="18" t="s">
        <v>56</v>
      </c>
      <c r="L1750" s="18" t="s">
        <v>36</v>
      </c>
      <c r="N1750" s="18">
        <v>6</v>
      </c>
      <c r="O1750" s="18" t="s">
        <v>93</v>
      </c>
      <c r="P1750" s="18" t="s">
        <v>38</v>
      </c>
      <c r="Q1750" s="18" t="s">
        <v>194</v>
      </c>
      <c r="R1750" s="18" t="s">
        <v>59</v>
      </c>
      <c r="S1750" s="18" t="s">
        <v>195</v>
      </c>
      <c r="T1750" s="18" t="b">
        <v>0</v>
      </c>
      <c r="U1750" s="18" t="s">
        <v>187</v>
      </c>
      <c r="V1750" s="18" t="s">
        <v>40</v>
      </c>
      <c r="W1750" s="18" t="s">
        <v>126</v>
      </c>
      <c r="X1750" s="18" t="s">
        <v>127</v>
      </c>
      <c r="Y1750" s="18">
        <v>1</v>
      </c>
      <c r="Z1750" s="18">
        <v>5197</v>
      </c>
      <c r="AC1750" s="18" t="e">
        <v>#N/A</v>
      </c>
    </row>
    <row r="1751" s="18" customFormat="1" spans="1:29">
      <c r="A1751" s="18" t="s">
        <v>3709</v>
      </c>
      <c r="B1751" s="25" t="s">
        <v>3709</v>
      </c>
      <c r="C1751" s="26">
        <v>45708</v>
      </c>
      <c r="D1751" s="18" t="s">
        <v>1206</v>
      </c>
      <c r="E1751" s="18" t="str">
        <f t="shared" si="27"/>
        <v>PARESH SURVE ADV FOR EXPENCES</v>
      </c>
      <c r="F1751" s="27" t="e">
        <v>#N/A</v>
      </c>
      <c r="G1751" s="18" t="s">
        <v>182</v>
      </c>
      <c r="H1751" s="18" t="s">
        <v>183</v>
      </c>
      <c r="I1751" s="18" t="s">
        <v>481</v>
      </c>
      <c r="J1751" s="18" t="s">
        <v>2683</v>
      </c>
      <c r="K1751" s="18" t="s">
        <v>56</v>
      </c>
      <c r="L1751" s="18" t="s">
        <v>36</v>
      </c>
      <c r="N1751" s="18">
        <v>6</v>
      </c>
      <c r="O1751" s="18" t="s">
        <v>93</v>
      </c>
      <c r="P1751" s="18" t="s">
        <v>38</v>
      </c>
      <c r="Q1751" s="18" t="s">
        <v>194</v>
      </c>
      <c r="R1751" s="18" t="s">
        <v>59</v>
      </c>
      <c r="S1751" s="18" t="s">
        <v>195</v>
      </c>
      <c r="T1751" s="18" t="b">
        <v>0</v>
      </c>
      <c r="U1751" s="18" t="s">
        <v>187</v>
      </c>
      <c r="V1751" s="18" t="s">
        <v>40</v>
      </c>
      <c r="W1751" s="18" t="s">
        <v>126</v>
      </c>
      <c r="X1751" s="18" t="s">
        <v>127</v>
      </c>
      <c r="Y1751" s="18">
        <v>1</v>
      </c>
      <c r="Z1751" s="18">
        <v>700</v>
      </c>
      <c r="AC1751" s="18" t="e">
        <v>#N/A</v>
      </c>
    </row>
    <row r="1752" s="18" customFormat="1" spans="1:29">
      <c r="A1752" s="18" t="s">
        <v>3710</v>
      </c>
      <c r="B1752" s="25" t="s">
        <v>3710</v>
      </c>
      <c r="C1752" s="26">
        <v>45708</v>
      </c>
      <c r="D1752" s="18" t="s">
        <v>1404</v>
      </c>
      <c r="E1752" s="18" t="str">
        <f t="shared" si="27"/>
        <v>Mohammad Danish  </v>
      </c>
      <c r="F1752" s="27" t="s">
        <v>1405</v>
      </c>
      <c r="G1752" s="18" t="s">
        <v>182</v>
      </c>
      <c r="H1752" s="18" t="s">
        <v>183</v>
      </c>
      <c r="I1752" s="18" t="s">
        <v>481</v>
      </c>
      <c r="J1752" s="18" t="s">
        <v>2319</v>
      </c>
      <c r="K1752" s="18" t="s">
        <v>56</v>
      </c>
      <c r="L1752" s="18" t="s">
        <v>36</v>
      </c>
      <c r="N1752" s="18">
        <v>6</v>
      </c>
      <c r="O1752" s="18" t="s">
        <v>93</v>
      </c>
      <c r="P1752" s="18" t="s">
        <v>38</v>
      </c>
      <c r="Q1752" s="18" t="s">
        <v>194</v>
      </c>
      <c r="R1752" s="18" t="s">
        <v>59</v>
      </c>
      <c r="S1752" s="18" t="s">
        <v>195</v>
      </c>
      <c r="T1752" s="18" t="b">
        <v>0</v>
      </c>
      <c r="U1752" s="18" t="s">
        <v>187</v>
      </c>
      <c r="V1752" s="18" t="s">
        <v>40</v>
      </c>
      <c r="W1752" s="18" t="s">
        <v>126</v>
      </c>
      <c r="X1752" s="18" t="s">
        <v>127</v>
      </c>
      <c r="Y1752" s="18">
        <v>1</v>
      </c>
      <c r="Z1752" s="18">
        <v>1339</v>
      </c>
      <c r="AC1752" s="18" t="e">
        <v>#N/A</v>
      </c>
    </row>
    <row r="1753" s="18" customFormat="1" spans="1:29">
      <c r="A1753" s="18" t="s">
        <v>3711</v>
      </c>
      <c r="B1753" s="25" t="s">
        <v>3711</v>
      </c>
      <c r="C1753" s="26">
        <v>45708</v>
      </c>
      <c r="D1753" s="18" t="s">
        <v>2154</v>
      </c>
      <c r="E1753" s="18" t="str">
        <f t="shared" si="27"/>
        <v>Asif Khan  </v>
      </c>
      <c r="F1753" s="27" t="e">
        <v>#N/A</v>
      </c>
      <c r="G1753" s="18" t="s">
        <v>182</v>
      </c>
      <c r="H1753" s="18" t="s">
        <v>183</v>
      </c>
      <c r="I1753" s="18" t="s">
        <v>481</v>
      </c>
      <c r="J1753" s="18" t="s">
        <v>2683</v>
      </c>
      <c r="K1753" s="18" t="s">
        <v>56</v>
      </c>
      <c r="L1753" s="18" t="s">
        <v>36</v>
      </c>
      <c r="N1753" s="18">
        <v>6</v>
      </c>
      <c r="O1753" s="18" t="s">
        <v>93</v>
      </c>
      <c r="P1753" s="18" t="s">
        <v>38</v>
      </c>
      <c r="Q1753" s="18" t="s">
        <v>194</v>
      </c>
      <c r="R1753" s="18" t="s">
        <v>59</v>
      </c>
      <c r="S1753" s="18" t="s">
        <v>195</v>
      </c>
      <c r="T1753" s="18" t="b">
        <v>0</v>
      </c>
      <c r="U1753" s="18" t="s">
        <v>187</v>
      </c>
      <c r="V1753" s="18" t="s">
        <v>40</v>
      </c>
      <c r="W1753" s="18" t="s">
        <v>126</v>
      </c>
      <c r="X1753" s="18" t="s">
        <v>127</v>
      </c>
      <c r="Y1753" s="18">
        <v>1</v>
      </c>
      <c r="Z1753" s="18">
        <v>1648</v>
      </c>
      <c r="AC1753" s="18" t="e">
        <v>#N/A</v>
      </c>
    </row>
    <row r="1754" s="18" customFormat="1" spans="1:29">
      <c r="A1754" s="18" t="s">
        <v>3712</v>
      </c>
      <c r="B1754" s="25" t="s">
        <v>3712</v>
      </c>
      <c r="C1754" s="26">
        <v>45708</v>
      </c>
      <c r="D1754" s="18" t="s">
        <v>915</v>
      </c>
      <c r="E1754" s="18" t="str">
        <f t="shared" si="27"/>
        <v>Santosh Bhogal Cash  </v>
      </c>
      <c r="F1754" s="27" t="e">
        <v>#N/A</v>
      </c>
      <c r="G1754" s="18" t="s">
        <v>182</v>
      </c>
      <c r="H1754" s="18" t="s">
        <v>183</v>
      </c>
      <c r="I1754" s="18" t="s">
        <v>481</v>
      </c>
      <c r="J1754" s="18" t="s">
        <v>2707</v>
      </c>
      <c r="K1754" s="18" t="s">
        <v>56</v>
      </c>
      <c r="L1754" s="18" t="s">
        <v>36</v>
      </c>
      <c r="N1754" s="18">
        <v>6</v>
      </c>
      <c r="O1754" s="18" t="s">
        <v>93</v>
      </c>
      <c r="P1754" s="18" t="s">
        <v>38</v>
      </c>
      <c r="Q1754" s="18" t="s">
        <v>194</v>
      </c>
      <c r="R1754" s="18" t="s">
        <v>59</v>
      </c>
      <c r="S1754" s="18" t="s">
        <v>195</v>
      </c>
      <c r="T1754" s="18" t="b">
        <v>0</v>
      </c>
      <c r="U1754" s="18" t="s">
        <v>187</v>
      </c>
      <c r="V1754" s="18" t="s">
        <v>40</v>
      </c>
      <c r="W1754" s="18" t="s">
        <v>126</v>
      </c>
      <c r="X1754" s="18" t="s">
        <v>127</v>
      </c>
      <c r="Y1754" s="18">
        <v>1</v>
      </c>
      <c r="Z1754" s="18">
        <v>36</v>
      </c>
      <c r="AC1754" s="18" t="e">
        <v>#N/A</v>
      </c>
    </row>
    <row r="1755" s="18" customFormat="1" spans="1:29">
      <c r="A1755" s="18" t="s">
        <v>3713</v>
      </c>
      <c r="B1755" s="25" t="s">
        <v>3713</v>
      </c>
      <c r="C1755" s="26">
        <v>45708</v>
      </c>
      <c r="D1755" s="18" t="s">
        <v>3714</v>
      </c>
      <c r="E1755" s="18" t="str">
        <f t="shared" si="27"/>
        <v>Sagar Bamnolikar </v>
      </c>
      <c r="F1755" s="27" t="e">
        <v>#N/A</v>
      </c>
      <c r="G1755" s="18" t="s">
        <v>182</v>
      </c>
      <c r="H1755" s="18" t="s">
        <v>183</v>
      </c>
      <c r="I1755" s="18" t="s">
        <v>481</v>
      </c>
      <c r="J1755" s="18" t="s">
        <v>2683</v>
      </c>
      <c r="K1755" s="18" t="s">
        <v>56</v>
      </c>
      <c r="L1755" s="18" t="s">
        <v>36</v>
      </c>
      <c r="N1755" s="18">
        <v>6</v>
      </c>
      <c r="O1755" s="18" t="s">
        <v>93</v>
      </c>
      <c r="P1755" s="18" t="s">
        <v>38</v>
      </c>
      <c r="Q1755" s="18" t="s">
        <v>194</v>
      </c>
      <c r="R1755" s="18" t="s">
        <v>59</v>
      </c>
      <c r="S1755" s="18" t="s">
        <v>195</v>
      </c>
      <c r="T1755" s="18" t="b">
        <v>0</v>
      </c>
      <c r="U1755" s="18" t="s">
        <v>187</v>
      </c>
      <c r="V1755" s="18" t="s">
        <v>40</v>
      </c>
      <c r="W1755" s="18" t="s">
        <v>126</v>
      </c>
      <c r="X1755" s="18" t="s">
        <v>127</v>
      </c>
      <c r="Y1755" s="18">
        <v>1</v>
      </c>
      <c r="Z1755" s="18">
        <v>4468</v>
      </c>
      <c r="AC1755" s="18" t="e">
        <v>#N/A</v>
      </c>
    </row>
    <row r="1756" s="18" customFormat="1" spans="1:29">
      <c r="A1756" s="18" t="s">
        <v>3715</v>
      </c>
      <c r="B1756" s="25" t="s">
        <v>3715</v>
      </c>
      <c r="C1756" s="26">
        <v>45708</v>
      </c>
      <c r="D1756" s="18" t="s">
        <v>860</v>
      </c>
      <c r="E1756" s="18" t="str">
        <f t="shared" si="27"/>
        <v>Mahendra Mane </v>
      </c>
      <c r="F1756" s="27" t="e">
        <v>#N/A</v>
      </c>
      <c r="G1756" s="18" t="s">
        <v>182</v>
      </c>
      <c r="H1756" s="18" t="s">
        <v>183</v>
      </c>
      <c r="I1756" s="18" t="s">
        <v>481</v>
      </c>
      <c r="J1756" s="18" t="s">
        <v>2319</v>
      </c>
      <c r="K1756" s="18" t="s">
        <v>56</v>
      </c>
      <c r="L1756" s="18" t="s">
        <v>36</v>
      </c>
      <c r="N1756" s="18">
        <v>6</v>
      </c>
      <c r="O1756" s="18" t="s">
        <v>93</v>
      </c>
      <c r="P1756" s="18" t="s">
        <v>38</v>
      </c>
      <c r="Q1756" s="18" t="s">
        <v>194</v>
      </c>
      <c r="R1756" s="18" t="s">
        <v>59</v>
      </c>
      <c r="S1756" s="18" t="s">
        <v>195</v>
      </c>
      <c r="T1756" s="18" t="b">
        <v>0</v>
      </c>
      <c r="U1756" s="18" t="s">
        <v>187</v>
      </c>
      <c r="V1756" s="18" t="s">
        <v>40</v>
      </c>
      <c r="W1756" s="18" t="s">
        <v>317</v>
      </c>
      <c r="X1756" s="18" t="s">
        <v>318</v>
      </c>
      <c r="Y1756" s="18">
        <v>1</v>
      </c>
      <c r="Z1756" s="18">
        <v>3450</v>
      </c>
      <c r="AC1756" s="18" t="e">
        <v>#N/A</v>
      </c>
    </row>
    <row r="1757" s="18" customFormat="1" spans="1:29">
      <c r="A1757" s="18" t="s">
        <v>3716</v>
      </c>
      <c r="B1757" s="25" t="s">
        <v>3716</v>
      </c>
      <c r="C1757" s="26">
        <v>45708</v>
      </c>
      <c r="D1757" s="18" t="s">
        <v>1647</v>
      </c>
      <c r="E1757" s="18" t="str">
        <f t="shared" si="27"/>
        <v>Aftab Shaikh  </v>
      </c>
      <c r="F1757" s="27" t="e">
        <v>#N/A</v>
      </c>
      <c r="G1757" s="18" t="s">
        <v>182</v>
      </c>
      <c r="H1757" s="18" t="s">
        <v>183</v>
      </c>
      <c r="I1757" s="18" t="s">
        <v>481</v>
      </c>
      <c r="J1757" s="18" t="s">
        <v>3209</v>
      </c>
      <c r="K1757" s="18" t="s">
        <v>56</v>
      </c>
      <c r="L1757" s="18" t="s">
        <v>36</v>
      </c>
      <c r="N1757" s="18">
        <v>6</v>
      </c>
      <c r="O1757" s="18" t="s">
        <v>93</v>
      </c>
      <c r="P1757" s="18" t="s">
        <v>38</v>
      </c>
      <c r="Q1757" s="18" t="s">
        <v>194</v>
      </c>
      <c r="R1757" s="18" t="s">
        <v>59</v>
      </c>
      <c r="S1757" s="18" t="s">
        <v>195</v>
      </c>
      <c r="T1757" s="18" t="b">
        <v>0</v>
      </c>
      <c r="U1757" s="18" t="s">
        <v>187</v>
      </c>
      <c r="V1757" s="18" t="s">
        <v>40</v>
      </c>
      <c r="W1757" s="18" t="s">
        <v>317</v>
      </c>
      <c r="X1757" s="18" t="s">
        <v>318</v>
      </c>
      <c r="Y1757" s="18">
        <v>1</v>
      </c>
      <c r="Z1757" s="18">
        <v>8393.14</v>
      </c>
      <c r="AC1757" s="18" t="e">
        <v>#N/A</v>
      </c>
    </row>
    <row r="1758" s="18" customFormat="1" ht="43.5" spans="1:29">
      <c r="A1758" s="18" t="s">
        <v>3717</v>
      </c>
      <c r="B1758" s="25" t="s">
        <v>3717</v>
      </c>
      <c r="C1758" s="26">
        <v>45708</v>
      </c>
      <c r="D1758" s="18" t="s">
        <v>3718</v>
      </c>
      <c r="E1758" s="18" t="str">
        <f t="shared" si="27"/>
        <v>Gainskills Business Media Pvt Ltd</v>
      </c>
      <c r="F1758" s="27" t="s">
        <v>3719</v>
      </c>
      <c r="G1758" s="18" t="s">
        <v>182</v>
      </c>
      <c r="H1758" s="18" t="s">
        <v>183</v>
      </c>
      <c r="I1758" s="18" t="s">
        <v>184</v>
      </c>
      <c r="J1758" s="18" t="s">
        <v>3720</v>
      </c>
      <c r="K1758" s="18" t="s">
        <v>56</v>
      </c>
      <c r="L1758" s="18" t="s">
        <v>36</v>
      </c>
      <c r="N1758" s="18">
        <v>6</v>
      </c>
      <c r="O1758" s="18" t="s">
        <v>57</v>
      </c>
      <c r="P1758" s="18" t="s">
        <v>38</v>
      </c>
      <c r="Q1758" s="18" t="s">
        <v>194</v>
      </c>
      <c r="R1758" s="18" t="s">
        <v>59</v>
      </c>
      <c r="S1758" s="18" t="s">
        <v>195</v>
      </c>
      <c r="T1758" s="18" t="b">
        <v>0</v>
      </c>
      <c r="U1758" s="18" t="s">
        <v>187</v>
      </c>
      <c r="V1758" s="18" t="s">
        <v>40</v>
      </c>
      <c r="W1758" s="18" t="s">
        <v>317</v>
      </c>
      <c r="X1758" s="18" t="s">
        <v>318</v>
      </c>
      <c r="Y1758" s="18">
        <v>1</v>
      </c>
      <c r="Z1758" s="18">
        <v>100000</v>
      </c>
      <c r="AA1758" s="31" t="s">
        <v>3721</v>
      </c>
      <c r="AB1758" s="18" t="s">
        <v>3722</v>
      </c>
      <c r="AC1758" s="18" t="s">
        <v>200</v>
      </c>
    </row>
    <row r="1759" s="18" customFormat="1" spans="1:29">
      <c r="A1759" s="18" t="s">
        <v>3723</v>
      </c>
      <c r="B1759" s="25" t="s">
        <v>3723</v>
      </c>
      <c r="C1759" s="26">
        <v>45708</v>
      </c>
      <c r="D1759" s="18" t="s">
        <v>3724</v>
      </c>
      <c r="E1759" s="18" t="str">
        <f t="shared" si="27"/>
        <v>Taj The Trees (Godrej Highrises Properties Pvt Ltd) (Happay)</v>
      </c>
      <c r="F1759" s="27" t="s">
        <v>3725</v>
      </c>
      <c r="G1759" s="18" t="s">
        <v>182</v>
      </c>
      <c r="H1759" s="18" t="s">
        <v>183</v>
      </c>
      <c r="I1759" s="18" t="s">
        <v>184</v>
      </c>
      <c r="J1759" s="18" t="s">
        <v>1995</v>
      </c>
      <c r="K1759" s="18" t="s">
        <v>56</v>
      </c>
      <c r="L1759" s="18" t="s">
        <v>36</v>
      </c>
      <c r="N1759" s="18">
        <v>6</v>
      </c>
      <c r="O1759" s="18" t="s">
        <v>57</v>
      </c>
      <c r="P1759" s="18" t="s">
        <v>38</v>
      </c>
      <c r="Q1759" s="18" t="s">
        <v>194</v>
      </c>
      <c r="R1759" s="18" t="s">
        <v>59</v>
      </c>
      <c r="S1759" s="18" t="s">
        <v>195</v>
      </c>
      <c r="T1759" s="18" t="b">
        <v>0</v>
      </c>
      <c r="U1759" s="18" t="s">
        <v>187</v>
      </c>
      <c r="V1759" s="18" t="s">
        <v>40</v>
      </c>
      <c r="W1759" s="18" t="s">
        <v>61</v>
      </c>
      <c r="X1759" s="18" t="s">
        <v>62</v>
      </c>
      <c r="Y1759" s="18">
        <v>1</v>
      </c>
      <c r="Z1759" s="18">
        <v>17000</v>
      </c>
      <c r="AA1759" s="18" t="s">
        <v>3726</v>
      </c>
      <c r="AB1759" s="18" t="s">
        <v>963</v>
      </c>
      <c r="AC1759" s="18" t="s">
        <v>200</v>
      </c>
    </row>
    <row r="1760" s="18" customFormat="1" ht="43.5" spans="1:29">
      <c r="A1760" s="18" t="s">
        <v>3727</v>
      </c>
      <c r="B1760" s="25" t="s">
        <v>3727</v>
      </c>
      <c r="C1760" s="26">
        <v>45708</v>
      </c>
      <c r="D1760" s="18" t="s">
        <v>3728</v>
      </c>
      <c r="E1760" s="18" t="str">
        <f t="shared" si="27"/>
        <v>PVR Inox Ltd</v>
      </c>
      <c r="F1760" s="27" t="s">
        <v>3729</v>
      </c>
      <c r="G1760" s="18" t="s">
        <v>182</v>
      </c>
      <c r="H1760" s="18" t="s">
        <v>183</v>
      </c>
      <c r="I1760" s="18" t="s">
        <v>184</v>
      </c>
      <c r="J1760" s="18" t="s">
        <v>3730</v>
      </c>
      <c r="K1760" s="18" t="s">
        <v>56</v>
      </c>
      <c r="L1760" s="18" t="s">
        <v>36</v>
      </c>
      <c r="N1760" s="18">
        <v>6</v>
      </c>
      <c r="O1760" s="18" t="s">
        <v>57</v>
      </c>
      <c r="P1760" s="18" t="s">
        <v>38</v>
      </c>
      <c r="Q1760" s="18" t="s">
        <v>194</v>
      </c>
      <c r="R1760" s="18" t="s">
        <v>59</v>
      </c>
      <c r="S1760" s="18" t="s">
        <v>195</v>
      </c>
      <c r="T1760" s="18" t="b">
        <v>0</v>
      </c>
      <c r="U1760" s="18" t="s">
        <v>187</v>
      </c>
      <c r="V1760" s="18" t="s">
        <v>40</v>
      </c>
      <c r="W1760" s="18" t="s">
        <v>140</v>
      </c>
      <c r="X1760" s="18" t="s">
        <v>141</v>
      </c>
      <c r="Y1760" s="18">
        <v>1</v>
      </c>
      <c r="Z1760" s="18">
        <v>137288</v>
      </c>
      <c r="AA1760" s="31" t="s">
        <v>2890</v>
      </c>
      <c r="AB1760" s="18" t="s">
        <v>948</v>
      </c>
      <c r="AC1760" s="18" t="s">
        <v>676</v>
      </c>
    </row>
    <row r="1761" s="18" customFormat="1" spans="1:29">
      <c r="A1761" s="18" t="s">
        <v>3731</v>
      </c>
      <c r="B1761" s="25" t="s">
        <v>3731</v>
      </c>
      <c r="C1761" s="26">
        <v>45708</v>
      </c>
      <c r="D1761" s="18" t="s">
        <v>3732</v>
      </c>
      <c r="E1761" s="18" t="str">
        <f t="shared" si="27"/>
        <v>William Penn Pvt Ltd</v>
      </c>
      <c r="F1761" s="27" t="s">
        <v>3733</v>
      </c>
      <c r="G1761" s="18" t="s">
        <v>182</v>
      </c>
      <c r="H1761" s="18" t="s">
        <v>183</v>
      </c>
      <c r="I1761" s="18" t="s">
        <v>184</v>
      </c>
      <c r="J1761" s="18" t="s">
        <v>1871</v>
      </c>
      <c r="K1761" s="18" t="s">
        <v>56</v>
      </c>
      <c r="L1761" s="18" t="s">
        <v>36</v>
      </c>
      <c r="N1761" s="18">
        <v>6</v>
      </c>
      <c r="O1761" s="18" t="s">
        <v>57</v>
      </c>
      <c r="P1761" s="18" t="s">
        <v>38</v>
      </c>
      <c r="Q1761" s="18" t="s">
        <v>117</v>
      </c>
      <c r="R1761" s="18" t="s">
        <v>59</v>
      </c>
      <c r="S1761" s="18" t="s">
        <v>118</v>
      </c>
      <c r="T1761" s="18" t="b">
        <v>0</v>
      </c>
      <c r="U1761" s="18" t="s">
        <v>187</v>
      </c>
      <c r="V1761" s="18" t="s">
        <v>40</v>
      </c>
      <c r="W1761" s="18" t="s">
        <v>140</v>
      </c>
      <c r="X1761" s="18" t="s">
        <v>141</v>
      </c>
      <c r="Y1761" s="18">
        <v>1</v>
      </c>
      <c r="Z1761" s="18">
        <v>24559.32</v>
      </c>
      <c r="AA1761" s="18" t="s">
        <v>3734</v>
      </c>
      <c r="AB1761" s="18" t="s">
        <v>3735</v>
      </c>
      <c r="AC1761" s="18" t="s">
        <v>200</v>
      </c>
    </row>
    <row r="1762" s="18" customFormat="1" spans="1:29">
      <c r="A1762" s="18" t="s">
        <v>3736</v>
      </c>
      <c r="B1762" s="25" t="s">
        <v>3736</v>
      </c>
      <c r="C1762" s="26">
        <v>45708</v>
      </c>
      <c r="D1762" s="18" t="s">
        <v>3737</v>
      </c>
      <c r="E1762" s="18" t="str">
        <f t="shared" si="27"/>
        <v>Westin Hotels &amp; Resorts (The Westin Raleigh</v>
      </c>
      <c r="F1762" s="27" t="e">
        <v>#N/A</v>
      </c>
      <c r="G1762" s="18" t="s">
        <v>182</v>
      </c>
      <c r="H1762" s="18" t="s">
        <v>183</v>
      </c>
      <c r="I1762" s="18" t="s">
        <v>184</v>
      </c>
      <c r="J1762" s="18" t="s">
        <v>1871</v>
      </c>
      <c r="K1762" s="18" t="s">
        <v>56</v>
      </c>
      <c r="L1762" s="18" t="s">
        <v>36</v>
      </c>
      <c r="N1762" s="18">
        <v>6</v>
      </c>
      <c r="O1762" s="18" t="s">
        <v>88</v>
      </c>
      <c r="P1762" s="18" t="s">
        <v>38</v>
      </c>
      <c r="Q1762" s="18" t="s">
        <v>117</v>
      </c>
      <c r="R1762" s="18" t="s">
        <v>59</v>
      </c>
      <c r="S1762" s="18" t="s">
        <v>118</v>
      </c>
      <c r="T1762" s="18" t="b">
        <v>0</v>
      </c>
      <c r="U1762" s="18" t="s">
        <v>187</v>
      </c>
      <c r="V1762" s="18" t="s">
        <v>40</v>
      </c>
      <c r="W1762" s="18" t="s">
        <v>1672</v>
      </c>
      <c r="X1762" s="18" t="s">
        <v>1177</v>
      </c>
      <c r="Y1762" s="18">
        <v>1</v>
      </c>
      <c r="Z1762" s="18">
        <v>1071053.57</v>
      </c>
      <c r="AA1762" s="18" t="s">
        <v>3557</v>
      </c>
      <c r="AB1762" s="18" t="s">
        <v>1424</v>
      </c>
      <c r="AC1762" s="18" t="e">
        <v>#N/A</v>
      </c>
    </row>
    <row r="1763" s="18" customFormat="1" spans="1:29">
      <c r="A1763" s="18" t="s">
        <v>3738</v>
      </c>
      <c r="B1763" s="25" t="s">
        <v>3738</v>
      </c>
      <c r="C1763" s="26">
        <v>45708</v>
      </c>
      <c r="D1763" s="18" t="s">
        <v>1621</v>
      </c>
      <c r="E1763" s="18" t="str">
        <f t="shared" si="27"/>
        <v>Mahesh Borade</v>
      </c>
      <c r="F1763" s="27" t="s">
        <v>1622</v>
      </c>
      <c r="G1763" s="18" t="s">
        <v>182</v>
      </c>
      <c r="H1763" s="18" t="s">
        <v>183</v>
      </c>
      <c r="I1763" s="18" t="s">
        <v>207</v>
      </c>
      <c r="J1763" s="18" t="s">
        <v>2913</v>
      </c>
      <c r="K1763" s="18" t="s">
        <v>56</v>
      </c>
      <c r="L1763" s="18" t="s">
        <v>36</v>
      </c>
      <c r="N1763" s="18">
        <v>6</v>
      </c>
      <c r="O1763" s="18" t="s">
        <v>57</v>
      </c>
      <c r="P1763" s="18" t="s">
        <v>38</v>
      </c>
      <c r="Q1763" s="18" t="s">
        <v>58</v>
      </c>
      <c r="R1763" s="18" t="s">
        <v>59</v>
      </c>
      <c r="S1763" s="18" t="s">
        <v>60</v>
      </c>
      <c r="T1763" s="18" t="b">
        <v>0</v>
      </c>
      <c r="U1763" s="18" t="s">
        <v>187</v>
      </c>
      <c r="V1763" s="18" t="s">
        <v>40</v>
      </c>
      <c r="W1763" s="18" t="s">
        <v>317</v>
      </c>
      <c r="X1763" s="18" t="s">
        <v>318</v>
      </c>
      <c r="Y1763" s="18">
        <v>1</v>
      </c>
      <c r="Z1763" s="18">
        <v>850000</v>
      </c>
      <c r="AA1763" s="18" t="s">
        <v>2234</v>
      </c>
      <c r="AB1763" s="18" t="s">
        <v>2235</v>
      </c>
      <c r="AC1763" s="18" t="s">
        <v>200</v>
      </c>
    </row>
    <row r="1764" s="18" customFormat="1" ht="43.5" spans="1:29">
      <c r="A1764" s="18" t="s">
        <v>3739</v>
      </c>
      <c r="B1764" s="25" t="s">
        <v>3739</v>
      </c>
      <c r="C1764" s="26">
        <v>45708</v>
      </c>
      <c r="D1764" s="18" t="s">
        <v>3740</v>
      </c>
      <c r="E1764" s="18" t="str">
        <f t="shared" si="27"/>
        <v>Kompkare</v>
      </c>
      <c r="F1764" s="27" t="e">
        <v>#N/A</v>
      </c>
      <c r="G1764" s="18" t="s">
        <v>182</v>
      </c>
      <c r="H1764" s="18" t="s">
        <v>183</v>
      </c>
      <c r="I1764" s="18" t="s">
        <v>184</v>
      </c>
      <c r="J1764" s="18" t="s">
        <v>3246</v>
      </c>
      <c r="K1764" s="18" t="s">
        <v>56</v>
      </c>
      <c r="L1764" s="18" t="s">
        <v>36</v>
      </c>
      <c r="N1764" s="18">
        <v>6</v>
      </c>
      <c r="O1764" s="18" t="s">
        <v>88</v>
      </c>
      <c r="P1764" s="18" t="s">
        <v>38</v>
      </c>
      <c r="Q1764" s="18" t="s">
        <v>194</v>
      </c>
      <c r="R1764" s="18" t="s">
        <v>59</v>
      </c>
      <c r="S1764" s="18" t="s">
        <v>195</v>
      </c>
      <c r="T1764" s="18" t="b">
        <v>0</v>
      </c>
      <c r="U1764" s="18" t="s">
        <v>187</v>
      </c>
      <c r="V1764" s="18" t="s">
        <v>40</v>
      </c>
      <c r="W1764" s="18" t="s">
        <v>990</v>
      </c>
      <c r="X1764" s="18" t="s">
        <v>991</v>
      </c>
      <c r="Y1764" s="18">
        <v>1</v>
      </c>
      <c r="Z1764" s="18">
        <v>3000</v>
      </c>
      <c r="AA1764" s="31" t="s">
        <v>2826</v>
      </c>
      <c r="AB1764" s="18" t="s">
        <v>993</v>
      </c>
      <c r="AC1764" s="18" t="s">
        <v>200</v>
      </c>
    </row>
    <row r="1765" s="18" customFormat="1" ht="43.5" spans="1:29">
      <c r="A1765" s="18" t="s">
        <v>3741</v>
      </c>
      <c r="B1765" s="25" t="s">
        <v>3741</v>
      </c>
      <c r="C1765" s="26">
        <v>45708</v>
      </c>
      <c r="D1765" s="18" t="s">
        <v>572</v>
      </c>
      <c r="E1765" s="18" t="str">
        <f t="shared" si="27"/>
        <v>Emblaze Events (Sunita Harihar Sharma)</v>
      </c>
      <c r="F1765" s="27" t="s">
        <v>573</v>
      </c>
      <c r="G1765" s="18" t="s">
        <v>182</v>
      </c>
      <c r="H1765" s="18" t="s">
        <v>183</v>
      </c>
      <c r="I1765" s="18" t="s">
        <v>184</v>
      </c>
      <c r="J1765" s="18" t="s">
        <v>2591</v>
      </c>
      <c r="K1765" s="18" t="s">
        <v>56</v>
      </c>
      <c r="L1765" s="18" t="s">
        <v>36</v>
      </c>
      <c r="N1765" s="18">
        <v>6</v>
      </c>
      <c r="O1765" s="18" t="s">
        <v>88</v>
      </c>
      <c r="P1765" s="18" t="s">
        <v>38</v>
      </c>
      <c r="Q1765" s="18" t="s">
        <v>194</v>
      </c>
      <c r="R1765" s="18" t="s">
        <v>59</v>
      </c>
      <c r="S1765" s="18" t="s">
        <v>195</v>
      </c>
      <c r="T1765" s="18" t="b">
        <v>0</v>
      </c>
      <c r="U1765" s="18" t="s">
        <v>187</v>
      </c>
      <c r="V1765" s="18" t="s">
        <v>40</v>
      </c>
      <c r="W1765" s="18" t="s">
        <v>292</v>
      </c>
      <c r="X1765" s="18" t="s">
        <v>293</v>
      </c>
      <c r="Y1765" s="18">
        <v>1</v>
      </c>
      <c r="Z1765" s="18">
        <v>38000</v>
      </c>
      <c r="AA1765" s="31" t="s">
        <v>3624</v>
      </c>
      <c r="AB1765" s="18" t="s">
        <v>3625</v>
      </c>
      <c r="AC1765" s="18" t="s">
        <v>200</v>
      </c>
    </row>
    <row r="1766" s="18" customFormat="1" ht="43.5" spans="1:29">
      <c r="A1766" s="18" t="s">
        <v>3742</v>
      </c>
      <c r="B1766" s="25" t="s">
        <v>3742</v>
      </c>
      <c r="C1766" s="26">
        <v>45708</v>
      </c>
      <c r="D1766" s="18" t="s">
        <v>3743</v>
      </c>
      <c r="E1766" s="18" t="str">
        <f t="shared" si="27"/>
        <v>Vibrant Experiences LLP</v>
      </c>
      <c r="F1766" s="27" t="s">
        <v>3744</v>
      </c>
      <c r="G1766" s="18" t="s">
        <v>182</v>
      </c>
      <c r="H1766" s="18" t="s">
        <v>183</v>
      </c>
      <c r="I1766" s="18" t="s">
        <v>184</v>
      </c>
      <c r="J1766" s="18" t="s">
        <v>3246</v>
      </c>
      <c r="K1766" s="18" t="s">
        <v>56</v>
      </c>
      <c r="L1766" s="18" t="s">
        <v>36</v>
      </c>
      <c r="N1766" s="18">
        <v>6</v>
      </c>
      <c r="O1766" s="18" t="s">
        <v>88</v>
      </c>
      <c r="P1766" s="18" t="s">
        <v>38</v>
      </c>
      <c r="Q1766" s="18" t="s">
        <v>194</v>
      </c>
      <c r="R1766" s="18" t="s">
        <v>59</v>
      </c>
      <c r="S1766" s="18" t="s">
        <v>195</v>
      </c>
      <c r="T1766" s="18" t="b">
        <v>0</v>
      </c>
      <c r="U1766" s="18" t="s">
        <v>187</v>
      </c>
      <c r="V1766" s="18" t="s">
        <v>40</v>
      </c>
      <c r="W1766" s="18" t="s">
        <v>292</v>
      </c>
      <c r="X1766" s="18" t="s">
        <v>293</v>
      </c>
      <c r="Y1766" s="18">
        <v>1</v>
      </c>
      <c r="Z1766" s="18">
        <v>40000</v>
      </c>
      <c r="AA1766" s="31" t="s">
        <v>3071</v>
      </c>
      <c r="AB1766" s="18" t="s">
        <v>1554</v>
      </c>
      <c r="AC1766" s="18" t="s">
        <v>200</v>
      </c>
    </row>
    <row r="1767" s="18" customFormat="1" ht="43.5" spans="1:29">
      <c r="A1767" s="18" t="s">
        <v>3745</v>
      </c>
      <c r="B1767" s="25" t="s">
        <v>3745</v>
      </c>
      <c r="C1767" s="26">
        <v>45708</v>
      </c>
      <c r="D1767" s="18" t="s">
        <v>3746</v>
      </c>
      <c r="E1767" s="18" t="str">
        <f t="shared" si="27"/>
        <v>Eventers</v>
      </c>
      <c r="F1767" s="27" t="e">
        <v>#N/A</v>
      </c>
      <c r="G1767" s="18" t="s">
        <v>182</v>
      </c>
      <c r="H1767" s="18" t="s">
        <v>183</v>
      </c>
      <c r="I1767" s="18" t="s">
        <v>184</v>
      </c>
      <c r="J1767" s="18" t="s">
        <v>3747</v>
      </c>
      <c r="K1767" s="18" t="s">
        <v>56</v>
      </c>
      <c r="L1767" s="18" t="s">
        <v>36</v>
      </c>
      <c r="N1767" s="18">
        <v>6</v>
      </c>
      <c r="O1767" s="18" t="s">
        <v>88</v>
      </c>
      <c r="P1767" s="18" t="s">
        <v>38</v>
      </c>
      <c r="Q1767" s="18" t="s">
        <v>194</v>
      </c>
      <c r="R1767" s="18" t="s">
        <v>59</v>
      </c>
      <c r="S1767" s="18" t="s">
        <v>195</v>
      </c>
      <c r="T1767" s="18" t="b">
        <v>0</v>
      </c>
      <c r="U1767" s="18" t="s">
        <v>187</v>
      </c>
      <c r="V1767" s="18" t="s">
        <v>40</v>
      </c>
      <c r="W1767" s="18" t="s">
        <v>317</v>
      </c>
      <c r="X1767" s="18" t="s">
        <v>318</v>
      </c>
      <c r="Y1767" s="18">
        <v>1</v>
      </c>
      <c r="Z1767" s="18">
        <v>642040</v>
      </c>
      <c r="AA1767" s="31" t="s">
        <v>3748</v>
      </c>
      <c r="AB1767" s="18" t="s">
        <v>1785</v>
      </c>
      <c r="AC1767" s="18" t="s">
        <v>216</v>
      </c>
    </row>
    <row r="1768" s="18" customFormat="1" ht="43.5" spans="1:29">
      <c r="A1768" s="18" t="s">
        <v>3749</v>
      </c>
      <c r="B1768" s="25" t="s">
        <v>3749</v>
      </c>
      <c r="C1768" s="26">
        <v>45708</v>
      </c>
      <c r="D1768" s="18" t="s">
        <v>264</v>
      </c>
      <c r="E1768" s="18" t="str">
        <f t="shared" si="27"/>
        <v>The Indian Performing Right Society Ltd.</v>
      </c>
      <c r="F1768" s="27" t="e">
        <v>#N/A</v>
      </c>
      <c r="G1768" s="18" t="s">
        <v>182</v>
      </c>
      <c r="H1768" s="18" t="s">
        <v>183</v>
      </c>
      <c r="I1768" s="18" t="s">
        <v>184</v>
      </c>
      <c r="J1768" s="18" t="s">
        <v>3747</v>
      </c>
      <c r="K1768" s="18" t="s">
        <v>56</v>
      </c>
      <c r="L1768" s="18" t="s">
        <v>36</v>
      </c>
      <c r="N1768" s="18">
        <v>6</v>
      </c>
      <c r="O1768" s="18" t="s">
        <v>57</v>
      </c>
      <c r="P1768" s="18" t="s">
        <v>38</v>
      </c>
      <c r="Q1768" s="18" t="s">
        <v>194</v>
      </c>
      <c r="R1768" s="18" t="s">
        <v>59</v>
      </c>
      <c r="S1768" s="18" t="s">
        <v>195</v>
      </c>
      <c r="T1768" s="18" t="b">
        <v>0</v>
      </c>
      <c r="U1768" s="18" t="s">
        <v>187</v>
      </c>
      <c r="V1768" s="18" t="s">
        <v>40</v>
      </c>
      <c r="W1768" s="18" t="s">
        <v>256</v>
      </c>
      <c r="X1768" s="18" t="s">
        <v>257</v>
      </c>
      <c r="Y1768" s="18">
        <v>1</v>
      </c>
      <c r="Z1768" s="18">
        <v>60000</v>
      </c>
      <c r="AA1768" s="31" t="s">
        <v>2834</v>
      </c>
      <c r="AB1768" s="18" t="s">
        <v>259</v>
      </c>
      <c r="AC1768" s="18" t="s">
        <v>200</v>
      </c>
    </row>
    <row r="1769" s="18" customFormat="1" ht="43.5" spans="1:29">
      <c r="A1769" s="18" t="s">
        <v>3750</v>
      </c>
      <c r="B1769" s="25" t="s">
        <v>3750</v>
      </c>
      <c r="C1769" s="26">
        <v>45708</v>
      </c>
      <c r="D1769" s="18" t="s">
        <v>255</v>
      </c>
      <c r="E1769" s="18" t="str">
        <f t="shared" si="27"/>
        <v>Phonographic Performance Limited</v>
      </c>
      <c r="F1769" s="27" t="e">
        <v>#N/A</v>
      </c>
      <c r="G1769" s="18" t="s">
        <v>182</v>
      </c>
      <c r="H1769" s="18" t="s">
        <v>183</v>
      </c>
      <c r="I1769" s="18" t="s">
        <v>184</v>
      </c>
      <c r="J1769" s="18" t="s">
        <v>3747</v>
      </c>
      <c r="K1769" s="18" t="s">
        <v>56</v>
      </c>
      <c r="L1769" s="18" t="s">
        <v>36</v>
      </c>
      <c r="N1769" s="18">
        <v>6</v>
      </c>
      <c r="O1769" s="18" t="s">
        <v>88</v>
      </c>
      <c r="P1769" s="18" t="s">
        <v>38</v>
      </c>
      <c r="Q1769" s="18" t="s">
        <v>194</v>
      </c>
      <c r="R1769" s="18" t="s">
        <v>59</v>
      </c>
      <c r="S1769" s="18" t="s">
        <v>195</v>
      </c>
      <c r="T1769" s="18" t="b">
        <v>0</v>
      </c>
      <c r="U1769" s="18" t="s">
        <v>187</v>
      </c>
      <c r="V1769" s="18" t="s">
        <v>40</v>
      </c>
      <c r="W1769" s="18" t="s">
        <v>256</v>
      </c>
      <c r="X1769" s="18" t="s">
        <v>257</v>
      </c>
      <c r="Y1769" s="18">
        <v>1</v>
      </c>
      <c r="Z1769" s="18">
        <v>48000</v>
      </c>
      <c r="AA1769" s="31" t="s">
        <v>2834</v>
      </c>
      <c r="AB1769" s="18" t="s">
        <v>259</v>
      </c>
      <c r="AC1769" s="18" t="s">
        <v>200</v>
      </c>
    </row>
    <row r="1770" s="18" customFormat="1" ht="43.5" spans="1:29">
      <c r="A1770" s="18" t="s">
        <v>3751</v>
      </c>
      <c r="B1770" s="25" t="s">
        <v>3751</v>
      </c>
      <c r="C1770" s="26">
        <v>45708</v>
      </c>
      <c r="D1770" s="18" t="s">
        <v>261</v>
      </c>
      <c r="E1770" s="18" t="str">
        <f t="shared" si="27"/>
        <v>Novex Communications Pvt. Ltd.</v>
      </c>
      <c r="F1770" s="27" t="e">
        <v>#N/A</v>
      </c>
      <c r="G1770" s="18" t="s">
        <v>182</v>
      </c>
      <c r="H1770" s="18" t="s">
        <v>183</v>
      </c>
      <c r="I1770" s="18" t="s">
        <v>184</v>
      </c>
      <c r="J1770" s="18" t="s">
        <v>3747</v>
      </c>
      <c r="K1770" s="18" t="s">
        <v>56</v>
      </c>
      <c r="L1770" s="18" t="s">
        <v>36</v>
      </c>
      <c r="N1770" s="18">
        <v>6</v>
      </c>
      <c r="O1770" s="18" t="s">
        <v>88</v>
      </c>
      <c r="P1770" s="18" t="s">
        <v>38</v>
      </c>
      <c r="Q1770" s="18" t="s">
        <v>194</v>
      </c>
      <c r="R1770" s="18" t="s">
        <v>59</v>
      </c>
      <c r="S1770" s="18" t="s">
        <v>195</v>
      </c>
      <c r="T1770" s="18" t="b">
        <v>0</v>
      </c>
      <c r="U1770" s="18" t="s">
        <v>187</v>
      </c>
      <c r="V1770" s="18" t="s">
        <v>40</v>
      </c>
      <c r="W1770" s="18" t="s">
        <v>256</v>
      </c>
      <c r="X1770" s="18" t="s">
        <v>257</v>
      </c>
      <c r="Y1770" s="18">
        <v>1</v>
      </c>
      <c r="Z1770" s="18">
        <v>45000</v>
      </c>
      <c r="AA1770" s="31" t="s">
        <v>2834</v>
      </c>
      <c r="AB1770" s="18" t="s">
        <v>259</v>
      </c>
      <c r="AC1770" s="18" t="s">
        <v>200</v>
      </c>
    </row>
    <row r="1771" s="18" customFormat="1" spans="1:29">
      <c r="A1771" s="18" t="s">
        <v>3752</v>
      </c>
      <c r="B1771" s="25" t="s">
        <v>3752</v>
      </c>
      <c r="C1771" s="26">
        <v>45708</v>
      </c>
      <c r="D1771" s="18" t="s">
        <v>1948</v>
      </c>
      <c r="E1771" s="18" t="str">
        <f t="shared" si="27"/>
        <v>Vivify Productions</v>
      </c>
      <c r="F1771" s="27" t="s">
        <v>1949</v>
      </c>
      <c r="G1771" s="18" t="s">
        <v>182</v>
      </c>
      <c r="H1771" s="18" t="s">
        <v>183</v>
      </c>
      <c r="I1771" s="18" t="s">
        <v>184</v>
      </c>
      <c r="J1771" s="18" t="s">
        <v>3753</v>
      </c>
      <c r="K1771" s="18" t="s">
        <v>56</v>
      </c>
      <c r="L1771" s="18" t="s">
        <v>36</v>
      </c>
      <c r="N1771" s="18">
        <v>6</v>
      </c>
      <c r="O1771" s="18" t="s">
        <v>88</v>
      </c>
      <c r="P1771" s="18" t="s">
        <v>38</v>
      </c>
      <c r="Q1771" s="18" t="s">
        <v>58</v>
      </c>
      <c r="R1771" s="18" t="s">
        <v>59</v>
      </c>
      <c r="S1771" s="18" t="s">
        <v>60</v>
      </c>
      <c r="T1771" s="18" t="b">
        <v>0</v>
      </c>
      <c r="U1771" s="18" t="s">
        <v>187</v>
      </c>
      <c r="V1771" s="18" t="s">
        <v>40</v>
      </c>
      <c r="W1771" s="18" t="s">
        <v>151</v>
      </c>
      <c r="X1771" s="18" t="s">
        <v>152</v>
      </c>
      <c r="Y1771" s="18">
        <v>1</v>
      </c>
      <c r="Z1771" s="18">
        <v>130200</v>
      </c>
      <c r="AA1771" s="18" t="s">
        <v>3754</v>
      </c>
      <c r="AB1771" s="18" t="e">
        <v>#N/A</v>
      </c>
      <c r="AC1771" s="18" t="s">
        <v>200</v>
      </c>
    </row>
    <row r="1772" s="18" customFormat="1" ht="43.5" spans="1:29">
      <c r="A1772" s="18" t="s">
        <v>3755</v>
      </c>
      <c r="B1772" s="25" t="s">
        <v>3755</v>
      </c>
      <c r="C1772" s="26">
        <v>45709</v>
      </c>
      <c r="D1772" s="18" t="s">
        <v>628</v>
      </c>
      <c r="E1772" s="18" t="str">
        <f t="shared" si="27"/>
        <v>New Print House</v>
      </c>
      <c r="F1772" s="27" t="s">
        <v>629</v>
      </c>
      <c r="G1772" s="18" t="s">
        <v>32</v>
      </c>
      <c r="H1772" s="18" t="s">
        <v>33</v>
      </c>
      <c r="I1772" s="18" t="s">
        <v>184</v>
      </c>
      <c r="J1772" s="18" t="s">
        <v>1234</v>
      </c>
      <c r="K1772" s="18" t="s">
        <v>56</v>
      </c>
      <c r="L1772" s="18" t="s">
        <v>36</v>
      </c>
      <c r="N1772" s="18">
        <v>6</v>
      </c>
      <c r="O1772" s="18" t="s">
        <v>88</v>
      </c>
      <c r="P1772" s="18" t="s">
        <v>38</v>
      </c>
      <c r="Q1772" s="18" t="s">
        <v>194</v>
      </c>
      <c r="R1772" s="18" t="s">
        <v>59</v>
      </c>
      <c r="S1772" s="18" t="s">
        <v>195</v>
      </c>
      <c r="T1772" s="18" t="b">
        <v>1</v>
      </c>
      <c r="U1772" s="18" t="s">
        <v>39</v>
      </c>
      <c r="V1772" s="18" t="s">
        <v>40</v>
      </c>
      <c r="W1772" s="18" t="s">
        <v>196</v>
      </c>
      <c r="X1772" s="18" t="s">
        <v>197</v>
      </c>
      <c r="Y1772" s="18">
        <v>1</v>
      </c>
      <c r="Z1772" s="18">
        <v>1800</v>
      </c>
      <c r="AA1772" s="31" t="s">
        <v>3756</v>
      </c>
      <c r="AB1772" s="18" t="s">
        <v>1331</v>
      </c>
      <c r="AC1772" s="18" t="s">
        <v>43</v>
      </c>
    </row>
    <row r="1773" s="18" customFormat="1" spans="1:29">
      <c r="A1773" s="18" t="s">
        <v>3757</v>
      </c>
      <c r="B1773" s="25" t="s">
        <v>3757</v>
      </c>
      <c r="C1773" s="26">
        <v>45709</v>
      </c>
      <c r="D1773" s="18" t="s">
        <v>3318</v>
      </c>
      <c r="E1773" s="18" t="str">
        <f t="shared" si="27"/>
        <v>Narsingh Events Pvt Ltd</v>
      </c>
      <c r="F1773" s="27" t="s">
        <v>3319</v>
      </c>
      <c r="G1773" s="18" t="s">
        <v>32</v>
      </c>
      <c r="H1773" s="18" t="s">
        <v>33</v>
      </c>
      <c r="I1773" s="18" t="s">
        <v>1246</v>
      </c>
      <c r="J1773" s="18" t="s">
        <v>2078</v>
      </c>
      <c r="K1773" s="18" t="s">
        <v>56</v>
      </c>
      <c r="L1773" s="18" t="s">
        <v>36</v>
      </c>
      <c r="N1773" s="18">
        <v>6</v>
      </c>
      <c r="O1773" s="18" t="s">
        <v>88</v>
      </c>
      <c r="P1773" s="18" t="s">
        <v>38</v>
      </c>
      <c r="Q1773" s="18" t="s">
        <v>194</v>
      </c>
      <c r="R1773" s="18" t="s">
        <v>59</v>
      </c>
      <c r="S1773" s="18" t="s">
        <v>195</v>
      </c>
      <c r="T1773" s="18" t="b">
        <v>1</v>
      </c>
      <c r="U1773" s="18" t="s">
        <v>39</v>
      </c>
      <c r="V1773" s="18" t="s">
        <v>40</v>
      </c>
      <c r="W1773" s="18" t="s">
        <v>151</v>
      </c>
      <c r="X1773" s="18" t="s">
        <v>152</v>
      </c>
      <c r="Y1773" s="18">
        <v>1</v>
      </c>
      <c r="Z1773" s="18">
        <v>28000</v>
      </c>
      <c r="AA1773" s="18" t="s">
        <v>303</v>
      </c>
      <c r="AB1773" s="18" t="s">
        <v>282</v>
      </c>
      <c r="AC1773" s="18" t="s">
        <v>43</v>
      </c>
    </row>
    <row r="1774" s="18" customFormat="1" spans="1:29">
      <c r="A1774" s="18" t="s">
        <v>3758</v>
      </c>
      <c r="B1774" s="25" t="s">
        <v>3758</v>
      </c>
      <c r="C1774" s="26">
        <v>45709</v>
      </c>
      <c r="D1774" s="18" t="s">
        <v>1075</v>
      </c>
      <c r="E1774" s="18" t="str">
        <f t="shared" si="27"/>
        <v>Sri Gangothri Video</v>
      </c>
      <c r="F1774" s="27" t="s">
        <v>1076</v>
      </c>
      <c r="G1774" s="18" t="s">
        <v>32</v>
      </c>
      <c r="H1774" s="18" t="s">
        <v>33</v>
      </c>
      <c r="I1774" s="18" t="s">
        <v>1246</v>
      </c>
      <c r="J1774" s="18" t="s">
        <v>2078</v>
      </c>
      <c r="K1774" s="18" t="s">
        <v>56</v>
      </c>
      <c r="L1774" s="18" t="s">
        <v>36</v>
      </c>
      <c r="N1774" s="18">
        <v>6</v>
      </c>
      <c r="O1774" s="18" t="s">
        <v>88</v>
      </c>
      <c r="P1774" s="18" t="s">
        <v>38</v>
      </c>
      <c r="Q1774" s="18" t="s">
        <v>194</v>
      </c>
      <c r="R1774" s="18" t="s">
        <v>59</v>
      </c>
      <c r="S1774" s="18" t="s">
        <v>195</v>
      </c>
      <c r="T1774" s="18" t="b">
        <v>1</v>
      </c>
      <c r="U1774" s="18" t="s">
        <v>39</v>
      </c>
      <c r="V1774" s="18" t="s">
        <v>40</v>
      </c>
      <c r="W1774" s="18" t="s">
        <v>371</v>
      </c>
      <c r="X1774" s="18" t="s">
        <v>372</v>
      </c>
      <c r="Y1774" s="18">
        <v>1</v>
      </c>
      <c r="Z1774" s="18">
        <v>95000</v>
      </c>
      <c r="AA1774" s="18" t="s">
        <v>303</v>
      </c>
      <c r="AB1774" s="18" t="s">
        <v>282</v>
      </c>
      <c r="AC1774" s="18" t="s">
        <v>43</v>
      </c>
    </row>
    <row r="1775" s="18" customFormat="1" spans="1:29">
      <c r="A1775" s="18" t="s">
        <v>3759</v>
      </c>
      <c r="B1775" s="25" t="s">
        <v>3759</v>
      </c>
      <c r="C1775" s="26">
        <v>45709</v>
      </c>
      <c r="D1775" s="18" t="s">
        <v>1078</v>
      </c>
      <c r="E1775" s="18" t="str">
        <f t="shared" si="27"/>
        <v>Mass Vision</v>
      </c>
      <c r="F1775" s="27" t="s">
        <v>1079</v>
      </c>
      <c r="G1775" s="18" t="s">
        <v>32</v>
      </c>
      <c r="H1775" s="18" t="s">
        <v>33</v>
      </c>
      <c r="I1775" s="18" t="s">
        <v>1246</v>
      </c>
      <c r="J1775" s="18" t="s">
        <v>2078</v>
      </c>
      <c r="K1775" s="18" t="s">
        <v>56</v>
      </c>
      <c r="L1775" s="18" t="s">
        <v>36</v>
      </c>
      <c r="N1775" s="18">
        <v>6</v>
      </c>
      <c r="O1775" s="18" t="s">
        <v>88</v>
      </c>
      <c r="P1775" s="18" t="s">
        <v>38</v>
      </c>
      <c r="Q1775" s="18" t="s">
        <v>194</v>
      </c>
      <c r="R1775" s="18" t="s">
        <v>59</v>
      </c>
      <c r="S1775" s="18" t="s">
        <v>195</v>
      </c>
      <c r="T1775" s="18" t="b">
        <v>1</v>
      </c>
      <c r="U1775" s="18" t="s">
        <v>39</v>
      </c>
      <c r="V1775" s="18" t="s">
        <v>40</v>
      </c>
      <c r="W1775" s="18" t="s">
        <v>371</v>
      </c>
      <c r="X1775" s="18" t="s">
        <v>372</v>
      </c>
      <c r="Y1775" s="18">
        <v>1</v>
      </c>
      <c r="Z1775" s="18">
        <v>28000</v>
      </c>
      <c r="AA1775" s="18" t="s">
        <v>303</v>
      </c>
      <c r="AB1775" s="18" t="s">
        <v>282</v>
      </c>
      <c r="AC1775" s="18" t="s">
        <v>43</v>
      </c>
    </row>
    <row r="1776" s="18" customFormat="1" spans="1:29">
      <c r="A1776" s="18" t="s">
        <v>3760</v>
      </c>
      <c r="B1776" s="25" t="s">
        <v>3760</v>
      </c>
      <c r="C1776" s="26">
        <v>45709</v>
      </c>
      <c r="D1776" s="18" t="s">
        <v>3333</v>
      </c>
      <c r="E1776" s="18" t="str">
        <f t="shared" si="27"/>
        <v>Shabbirs Furnishing Centre</v>
      </c>
      <c r="F1776" s="27" t="s">
        <v>3334</v>
      </c>
      <c r="G1776" s="18" t="s">
        <v>32</v>
      </c>
      <c r="H1776" s="18" t="s">
        <v>33</v>
      </c>
      <c r="I1776" s="18" t="s">
        <v>1246</v>
      </c>
      <c r="J1776" s="18" t="s">
        <v>2078</v>
      </c>
      <c r="K1776" s="18" t="s">
        <v>56</v>
      </c>
      <c r="L1776" s="18" t="s">
        <v>36</v>
      </c>
      <c r="N1776" s="18">
        <v>6</v>
      </c>
      <c r="O1776" s="18" t="s">
        <v>57</v>
      </c>
      <c r="P1776" s="18" t="s">
        <v>38</v>
      </c>
      <c r="Q1776" s="18" t="s">
        <v>194</v>
      </c>
      <c r="R1776" s="18" t="s">
        <v>59</v>
      </c>
      <c r="S1776" s="18" t="s">
        <v>195</v>
      </c>
      <c r="T1776" s="18" t="b">
        <v>1</v>
      </c>
      <c r="U1776" s="18" t="s">
        <v>39</v>
      </c>
      <c r="V1776" s="18" t="s">
        <v>40</v>
      </c>
      <c r="W1776" s="18" t="s">
        <v>151</v>
      </c>
      <c r="X1776" s="18" t="s">
        <v>152</v>
      </c>
      <c r="Y1776" s="18">
        <v>1</v>
      </c>
      <c r="Z1776" s="18">
        <v>12000</v>
      </c>
      <c r="AA1776" s="18" t="s">
        <v>303</v>
      </c>
      <c r="AB1776" s="18" t="s">
        <v>282</v>
      </c>
      <c r="AC1776" s="18" t="s">
        <v>43</v>
      </c>
    </row>
    <row r="1777" s="18" customFormat="1" spans="1:29">
      <c r="A1777" s="18" t="s">
        <v>3761</v>
      </c>
      <c r="B1777" s="25" t="s">
        <v>3761</v>
      </c>
      <c r="C1777" s="26">
        <v>45709</v>
      </c>
      <c r="D1777" s="18" t="s">
        <v>1089</v>
      </c>
      <c r="E1777" s="18" t="str">
        <f t="shared" si="27"/>
        <v>Kolorkode</v>
      </c>
      <c r="F1777" s="27" t="e">
        <v>#N/A</v>
      </c>
      <c r="G1777" s="18" t="s">
        <v>32</v>
      </c>
      <c r="H1777" s="18" t="s">
        <v>33</v>
      </c>
      <c r="I1777" s="18" t="s">
        <v>1246</v>
      </c>
      <c r="J1777" s="18" t="s">
        <v>2078</v>
      </c>
      <c r="K1777" s="18" t="s">
        <v>56</v>
      </c>
      <c r="L1777" s="18" t="s">
        <v>36</v>
      </c>
      <c r="N1777" s="18">
        <v>6</v>
      </c>
      <c r="O1777" s="18" t="s">
        <v>57</v>
      </c>
      <c r="P1777" s="18" t="s">
        <v>38</v>
      </c>
      <c r="Q1777" s="18" t="s">
        <v>194</v>
      </c>
      <c r="R1777" s="18" t="s">
        <v>59</v>
      </c>
      <c r="S1777" s="18" t="s">
        <v>195</v>
      </c>
      <c r="T1777" s="18" t="b">
        <v>1</v>
      </c>
      <c r="U1777" s="18" t="s">
        <v>39</v>
      </c>
      <c r="V1777" s="18" t="s">
        <v>40</v>
      </c>
      <c r="W1777" s="18" t="s">
        <v>196</v>
      </c>
      <c r="X1777" s="18" t="s">
        <v>197</v>
      </c>
      <c r="Y1777" s="18">
        <v>1</v>
      </c>
      <c r="Z1777" s="18">
        <v>1800</v>
      </c>
      <c r="AA1777" s="18" t="s">
        <v>303</v>
      </c>
      <c r="AB1777" s="18" t="s">
        <v>282</v>
      </c>
      <c r="AC1777" s="18" t="s">
        <v>43</v>
      </c>
    </row>
    <row r="1778" s="18" customFormat="1" spans="1:29">
      <c r="A1778" s="18" t="s">
        <v>3762</v>
      </c>
      <c r="B1778" s="25" t="s">
        <v>3762</v>
      </c>
      <c r="C1778" s="26">
        <v>45709</v>
      </c>
      <c r="D1778" s="18" t="s">
        <v>742</v>
      </c>
      <c r="E1778" s="18" t="str">
        <f t="shared" si="27"/>
        <v>Courier International Services</v>
      </c>
      <c r="F1778" s="27" t="s">
        <v>743</v>
      </c>
      <c r="G1778" s="18" t="s">
        <v>32</v>
      </c>
      <c r="H1778" s="18" t="s">
        <v>33</v>
      </c>
      <c r="I1778" s="18" t="s">
        <v>1246</v>
      </c>
      <c r="J1778" s="18" t="s">
        <v>2078</v>
      </c>
      <c r="K1778" s="18" t="s">
        <v>56</v>
      </c>
      <c r="L1778" s="18" t="s">
        <v>36</v>
      </c>
      <c r="N1778" s="18">
        <v>6</v>
      </c>
      <c r="O1778" s="18" t="s">
        <v>88</v>
      </c>
      <c r="P1778" s="18" t="s">
        <v>38</v>
      </c>
      <c r="Q1778" s="18" t="s">
        <v>194</v>
      </c>
      <c r="R1778" s="18" t="s">
        <v>59</v>
      </c>
      <c r="S1778" s="18" t="s">
        <v>195</v>
      </c>
      <c r="T1778" s="18" t="b">
        <v>1</v>
      </c>
      <c r="U1778" s="18" t="s">
        <v>39</v>
      </c>
      <c r="V1778" s="18" t="s">
        <v>40</v>
      </c>
      <c r="W1778" s="18" t="s">
        <v>205</v>
      </c>
      <c r="X1778" s="18" t="s">
        <v>205</v>
      </c>
      <c r="Y1778" s="18">
        <v>1</v>
      </c>
      <c r="Z1778" s="18">
        <v>2150</v>
      </c>
      <c r="AA1778" s="18" t="s">
        <v>303</v>
      </c>
      <c r="AB1778" s="18" t="s">
        <v>282</v>
      </c>
      <c r="AC1778" s="18" t="s">
        <v>43</v>
      </c>
    </row>
    <row r="1779" s="18" customFormat="1" spans="1:29">
      <c r="A1779" s="18" t="s">
        <v>3763</v>
      </c>
      <c r="B1779" s="25" t="s">
        <v>3763</v>
      </c>
      <c r="C1779" s="26">
        <v>45709</v>
      </c>
      <c r="D1779" s="18" t="s">
        <v>2198</v>
      </c>
      <c r="E1779" s="18" t="str">
        <f t="shared" si="27"/>
        <v>Akshar Trading Company</v>
      </c>
      <c r="F1779" s="27" t="s">
        <v>2199</v>
      </c>
      <c r="G1779" s="18" t="s">
        <v>32</v>
      </c>
      <c r="H1779" s="18" t="s">
        <v>33</v>
      </c>
      <c r="I1779" s="18" t="s">
        <v>1246</v>
      </c>
      <c r="J1779" s="18" t="s">
        <v>3764</v>
      </c>
      <c r="K1779" s="18" t="s">
        <v>56</v>
      </c>
      <c r="L1779" s="18" t="s">
        <v>36</v>
      </c>
      <c r="N1779" s="18">
        <v>6</v>
      </c>
      <c r="O1779" s="18" t="s">
        <v>88</v>
      </c>
      <c r="P1779" s="18" t="s">
        <v>38</v>
      </c>
      <c r="Q1779" s="18" t="s">
        <v>117</v>
      </c>
      <c r="R1779" s="18" t="s">
        <v>59</v>
      </c>
      <c r="S1779" s="18" t="s">
        <v>118</v>
      </c>
      <c r="T1779" s="18" t="b">
        <v>1</v>
      </c>
      <c r="U1779" s="18" t="s">
        <v>39</v>
      </c>
      <c r="V1779" s="18" t="s">
        <v>40</v>
      </c>
      <c r="W1779" s="18" t="s">
        <v>196</v>
      </c>
      <c r="X1779" s="18" t="s">
        <v>197</v>
      </c>
      <c r="Y1779" s="18">
        <v>1</v>
      </c>
      <c r="Z1779" s="18">
        <v>51400</v>
      </c>
      <c r="AA1779" s="18" t="s">
        <v>303</v>
      </c>
      <c r="AB1779" s="18" t="s">
        <v>282</v>
      </c>
      <c r="AC1779" s="18" t="s">
        <v>43</v>
      </c>
    </row>
    <row r="1780" s="18" customFormat="1" ht="43.5" spans="1:29">
      <c r="A1780" s="18" t="s">
        <v>3765</v>
      </c>
      <c r="B1780" s="25" t="s">
        <v>3765</v>
      </c>
      <c r="C1780" s="26">
        <v>45709</v>
      </c>
      <c r="D1780" s="18" t="s">
        <v>3766</v>
      </c>
      <c r="E1780" s="18" t="str">
        <f t="shared" si="27"/>
        <v>Unicorn Food Solution</v>
      </c>
      <c r="F1780" s="27" t="s">
        <v>3767</v>
      </c>
      <c r="G1780" s="18" t="s">
        <v>32</v>
      </c>
      <c r="H1780" s="18" t="s">
        <v>33</v>
      </c>
      <c r="I1780" s="18" t="s">
        <v>184</v>
      </c>
      <c r="J1780" s="18" t="s">
        <v>1234</v>
      </c>
      <c r="K1780" s="18" t="s">
        <v>56</v>
      </c>
      <c r="L1780" s="18" t="s">
        <v>36</v>
      </c>
      <c r="N1780" s="18">
        <v>6</v>
      </c>
      <c r="O1780" s="18" t="s">
        <v>88</v>
      </c>
      <c r="P1780" s="18" t="s">
        <v>38</v>
      </c>
      <c r="Q1780" s="18" t="s">
        <v>194</v>
      </c>
      <c r="R1780" s="18" t="s">
        <v>59</v>
      </c>
      <c r="S1780" s="18" t="s">
        <v>195</v>
      </c>
      <c r="T1780" s="18" t="b">
        <v>1</v>
      </c>
      <c r="U1780" s="18" t="s">
        <v>39</v>
      </c>
      <c r="V1780" s="18" t="s">
        <v>40</v>
      </c>
      <c r="W1780" s="18" t="s">
        <v>276</v>
      </c>
      <c r="X1780" s="18" t="s">
        <v>276</v>
      </c>
      <c r="Y1780" s="18">
        <v>1</v>
      </c>
      <c r="Z1780" s="18">
        <v>141050</v>
      </c>
      <c r="AA1780" s="31" t="s">
        <v>3109</v>
      </c>
      <c r="AB1780" s="18" t="s">
        <v>730</v>
      </c>
      <c r="AC1780" s="18" t="s">
        <v>676</v>
      </c>
    </row>
    <row r="1781" s="18" customFormat="1" spans="1:29">
      <c r="A1781" s="18" t="s">
        <v>3768</v>
      </c>
      <c r="B1781" s="25" t="s">
        <v>3768</v>
      </c>
      <c r="C1781" s="26">
        <v>45709</v>
      </c>
      <c r="D1781" s="18" t="s">
        <v>113</v>
      </c>
      <c r="E1781" s="18" t="str">
        <f t="shared" si="27"/>
        <v>Siva Sankar Cabs</v>
      </c>
      <c r="F1781" s="27" t="s">
        <v>114</v>
      </c>
      <c r="G1781" s="18" t="s">
        <v>32</v>
      </c>
      <c r="H1781" s="18" t="s">
        <v>33</v>
      </c>
      <c r="I1781" s="18" t="s">
        <v>133</v>
      </c>
      <c r="J1781" s="18" t="s">
        <v>1884</v>
      </c>
      <c r="K1781" s="18" t="s">
        <v>56</v>
      </c>
      <c r="L1781" s="18" t="s">
        <v>36</v>
      </c>
      <c r="N1781" s="18">
        <v>6</v>
      </c>
      <c r="O1781" s="18" t="s">
        <v>57</v>
      </c>
      <c r="P1781" s="18" t="s">
        <v>38</v>
      </c>
      <c r="Q1781" s="18" t="s">
        <v>117</v>
      </c>
      <c r="R1781" s="18" t="s">
        <v>59</v>
      </c>
      <c r="S1781" s="18" t="s">
        <v>118</v>
      </c>
      <c r="T1781" s="18" t="b">
        <v>1</v>
      </c>
      <c r="U1781" s="18" t="s">
        <v>39</v>
      </c>
      <c r="V1781" s="18" t="s">
        <v>40</v>
      </c>
      <c r="W1781" s="18" t="s">
        <v>119</v>
      </c>
      <c r="X1781" s="18" t="s">
        <v>120</v>
      </c>
      <c r="Y1781" s="18">
        <v>1</v>
      </c>
      <c r="Z1781" s="18">
        <v>4600</v>
      </c>
      <c r="AA1781" s="18" t="s">
        <v>121</v>
      </c>
      <c r="AB1781" s="18" t="s">
        <v>122</v>
      </c>
      <c r="AC1781" s="18" t="e">
        <v>#N/A</v>
      </c>
    </row>
    <row r="1782" s="18" customFormat="1" spans="1:29">
      <c r="A1782" s="18" t="s">
        <v>3769</v>
      </c>
      <c r="B1782" s="25" t="s">
        <v>3769</v>
      </c>
      <c r="C1782" s="26">
        <v>45709</v>
      </c>
      <c r="D1782" s="18" t="s">
        <v>284</v>
      </c>
      <c r="E1782" s="18" t="str">
        <f t="shared" si="27"/>
        <v>Abdul Rehman </v>
      </c>
      <c r="F1782" s="27" t="e">
        <v>#N/A</v>
      </c>
      <c r="G1782" s="18" t="s">
        <v>32</v>
      </c>
      <c r="H1782" s="18" t="s">
        <v>33</v>
      </c>
      <c r="I1782" s="18" t="s">
        <v>1246</v>
      </c>
      <c r="J1782" s="18" t="s">
        <v>1370</v>
      </c>
      <c r="K1782" s="18" t="s">
        <v>56</v>
      </c>
      <c r="L1782" s="18" t="s">
        <v>36</v>
      </c>
      <c r="N1782" s="18">
        <v>6</v>
      </c>
      <c r="O1782" s="18" t="s">
        <v>93</v>
      </c>
      <c r="P1782" s="18" t="s">
        <v>38</v>
      </c>
      <c r="Q1782" s="18" t="s">
        <v>58</v>
      </c>
      <c r="R1782" s="18" t="s">
        <v>59</v>
      </c>
      <c r="S1782" s="18" t="s">
        <v>60</v>
      </c>
      <c r="T1782" s="18" t="b">
        <v>1</v>
      </c>
      <c r="U1782" s="18" t="s">
        <v>39</v>
      </c>
      <c r="V1782" s="18" t="s">
        <v>40</v>
      </c>
      <c r="W1782" s="18" t="s">
        <v>292</v>
      </c>
      <c r="X1782" s="18" t="s">
        <v>293</v>
      </c>
      <c r="Y1782" s="18">
        <v>1</v>
      </c>
      <c r="Z1782" s="18">
        <v>4000</v>
      </c>
      <c r="AA1782" s="18" t="s">
        <v>241</v>
      </c>
      <c r="AB1782" s="18" t="s">
        <v>242</v>
      </c>
      <c r="AC1782" s="18" t="e">
        <v>#N/A</v>
      </c>
    </row>
    <row r="1783" s="18" customFormat="1" spans="1:29">
      <c r="A1783" s="18" t="s">
        <v>3770</v>
      </c>
      <c r="B1783" s="25" t="s">
        <v>3770</v>
      </c>
      <c r="C1783" s="26">
        <v>45709</v>
      </c>
      <c r="D1783" s="18" t="s">
        <v>284</v>
      </c>
      <c r="E1783" s="18" t="str">
        <f t="shared" si="27"/>
        <v>Abdul Rehman </v>
      </c>
      <c r="F1783" s="27" t="e">
        <v>#N/A</v>
      </c>
      <c r="G1783" s="18" t="s">
        <v>32</v>
      </c>
      <c r="H1783" s="18" t="s">
        <v>33</v>
      </c>
      <c r="I1783" s="18" t="s">
        <v>1246</v>
      </c>
      <c r="J1783" s="18" t="s">
        <v>1446</v>
      </c>
      <c r="K1783" s="18" t="s">
        <v>56</v>
      </c>
      <c r="L1783" s="18" t="s">
        <v>36</v>
      </c>
      <c r="N1783" s="18">
        <v>6</v>
      </c>
      <c r="O1783" s="18" t="s">
        <v>93</v>
      </c>
      <c r="P1783" s="18" t="s">
        <v>38</v>
      </c>
      <c r="Q1783" s="18" t="s">
        <v>58</v>
      </c>
      <c r="R1783" s="18" t="s">
        <v>59</v>
      </c>
      <c r="S1783" s="18" t="s">
        <v>60</v>
      </c>
      <c r="T1783" s="18" t="b">
        <v>1</v>
      </c>
      <c r="U1783" s="18" t="s">
        <v>39</v>
      </c>
      <c r="V1783" s="18" t="s">
        <v>40</v>
      </c>
      <c r="W1783" s="18" t="s">
        <v>292</v>
      </c>
      <c r="X1783" s="18" t="s">
        <v>293</v>
      </c>
      <c r="Y1783" s="18">
        <v>1</v>
      </c>
      <c r="Z1783" s="18">
        <v>5000</v>
      </c>
      <c r="AA1783" s="18" t="s">
        <v>1015</v>
      </c>
      <c r="AB1783" s="18" t="s">
        <v>1016</v>
      </c>
      <c r="AC1783" s="18" t="e">
        <v>#N/A</v>
      </c>
    </row>
    <row r="1784" s="18" customFormat="1" spans="1:29">
      <c r="A1784" s="18" t="s">
        <v>3771</v>
      </c>
      <c r="B1784" s="25" t="s">
        <v>3771</v>
      </c>
      <c r="C1784" s="26">
        <v>45709</v>
      </c>
      <c r="D1784" s="18" t="s">
        <v>3772</v>
      </c>
      <c r="E1784" s="18" t="str">
        <f t="shared" si="27"/>
        <v>Sarah Logistics</v>
      </c>
      <c r="F1784" s="27" t="s">
        <v>3773</v>
      </c>
      <c r="G1784" s="18" t="s">
        <v>32</v>
      </c>
      <c r="H1784" s="18" t="s">
        <v>33</v>
      </c>
      <c r="I1784" s="18" t="s">
        <v>133</v>
      </c>
      <c r="J1784" s="18" t="s">
        <v>1126</v>
      </c>
      <c r="K1784" s="18" t="s">
        <v>56</v>
      </c>
      <c r="L1784" s="18" t="s">
        <v>36</v>
      </c>
      <c r="N1784" s="18">
        <v>6</v>
      </c>
      <c r="O1784" s="18" t="s">
        <v>57</v>
      </c>
      <c r="P1784" s="18" t="s">
        <v>38</v>
      </c>
      <c r="Q1784" s="18" t="s">
        <v>117</v>
      </c>
      <c r="R1784" s="18" t="s">
        <v>59</v>
      </c>
      <c r="S1784" s="18" t="s">
        <v>118</v>
      </c>
      <c r="T1784" s="18" t="b">
        <v>1</v>
      </c>
      <c r="U1784" s="18" t="s">
        <v>39</v>
      </c>
      <c r="V1784" s="18" t="s">
        <v>40</v>
      </c>
      <c r="W1784" s="18" t="s">
        <v>205</v>
      </c>
      <c r="X1784" s="18" t="s">
        <v>205</v>
      </c>
      <c r="Y1784" s="18">
        <v>1</v>
      </c>
      <c r="Z1784" s="18">
        <v>4865</v>
      </c>
      <c r="AA1784" s="18" t="s">
        <v>1127</v>
      </c>
      <c r="AB1784" s="18" t="s">
        <v>1128</v>
      </c>
      <c r="AC1784" s="18" t="s">
        <v>43</v>
      </c>
    </row>
    <row r="1785" s="18" customFormat="1" spans="1:29">
      <c r="A1785" s="18" t="s">
        <v>3774</v>
      </c>
      <c r="B1785" s="25" t="s">
        <v>3774</v>
      </c>
      <c r="C1785" s="26">
        <v>45709</v>
      </c>
      <c r="D1785" s="18" t="s">
        <v>284</v>
      </c>
      <c r="E1785" s="18" t="str">
        <f t="shared" si="27"/>
        <v>Abdul Rehman </v>
      </c>
      <c r="F1785" s="27" t="e">
        <v>#N/A</v>
      </c>
      <c r="G1785" s="18" t="s">
        <v>32</v>
      </c>
      <c r="H1785" s="18" t="s">
        <v>33</v>
      </c>
      <c r="I1785" s="18" t="s">
        <v>1246</v>
      </c>
      <c r="J1785" s="18" t="s">
        <v>1851</v>
      </c>
      <c r="K1785" s="18" t="s">
        <v>56</v>
      </c>
      <c r="L1785" s="18" t="s">
        <v>36</v>
      </c>
      <c r="N1785" s="18">
        <v>6</v>
      </c>
      <c r="O1785" s="18" t="s">
        <v>93</v>
      </c>
      <c r="P1785" s="18" t="s">
        <v>38</v>
      </c>
      <c r="Q1785" s="18" t="s">
        <v>194</v>
      </c>
      <c r="R1785" s="18" t="s">
        <v>59</v>
      </c>
      <c r="S1785" s="18" t="s">
        <v>195</v>
      </c>
      <c r="T1785" s="18" t="b">
        <v>1</v>
      </c>
      <c r="U1785" s="18" t="s">
        <v>39</v>
      </c>
      <c r="V1785" s="18" t="s">
        <v>40</v>
      </c>
      <c r="W1785" s="18" t="s">
        <v>196</v>
      </c>
      <c r="X1785" s="18" t="s">
        <v>197</v>
      </c>
      <c r="Y1785" s="18">
        <v>1</v>
      </c>
      <c r="Z1785" s="18">
        <v>9210</v>
      </c>
      <c r="AA1785" s="18" t="s">
        <v>214</v>
      </c>
      <c r="AB1785" s="18" t="s">
        <v>215</v>
      </c>
      <c r="AC1785" s="18" t="e">
        <v>#N/A</v>
      </c>
    </row>
    <row r="1786" s="18" customFormat="1" spans="1:29">
      <c r="A1786" s="18" t="s">
        <v>3775</v>
      </c>
      <c r="B1786" s="25" t="s">
        <v>3775</v>
      </c>
      <c r="C1786" s="26">
        <v>45709</v>
      </c>
      <c r="D1786" s="18" t="s">
        <v>284</v>
      </c>
      <c r="E1786" s="18" t="str">
        <f t="shared" si="27"/>
        <v>Abdul Rehman </v>
      </c>
      <c r="F1786" s="27" t="e">
        <v>#N/A</v>
      </c>
      <c r="G1786" s="18" t="s">
        <v>32</v>
      </c>
      <c r="H1786" s="18" t="s">
        <v>33</v>
      </c>
      <c r="I1786" s="18" t="s">
        <v>1246</v>
      </c>
      <c r="J1786" s="18" t="s">
        <v>1851</v>
      </c>
      <c r="K1786" s="18" t="s">
        <v>56</v>
      </c>
      <c r="L1786" s="18" t="s">
        <v>36</v>
      </c>
      <c r="N1786" s="18">
        <v>6</v>
      </c>
      <c r="O1786" s="18" t="s">
        <v>93</v>
      </c>
      <c r="P1786" s="18" t="s">
        <v>38</v>
      </c>
      <c r="Q1786" s="18" t="s">
        <v>194</v>
      </c>
      <c r="R1786" s="18" t="s">
        <v>59</v>
      </c>
      <c r="S1786" s="18" t="s">
        <v>195</v>
      </c>
      <c r="T1786" s="18" t="b">
        <v>1</v>
      </c>
      <c r="U1786" s="18" t="s">
        <v>39</v>
      </c>
      <c r="V1786" s="18" t="s">
        <v>40</v>
      </c>
      <c r="W1786" s="18" t="s">
        <v>126</v>
      </c>
      <c r="X1786" s="18" t="s">
        <v>127</v>
      </c>
      <c r="Y1786" s="18">
        <v>1</v>
      </c>
      <c r="Z1786" s="18">
        <v>3720</v>
      </c>
      <c r="AA1786" s="18" t="s">
        <v>214</v>
      </c>
      <c r="AB1786" s="18" t="s">
        <v>215</v>
      </c>
      <c r="AC1786" s="18" t="e">
        <v>#N/A</v>
      </c>
    </row>
    <row r="1787" s="18" customFormat="1" spans="1:29">
      <c r="A1787" s="18" t="s">
        <v>3776</v>
      </c>
      <c r="B1787" s="25" t="s">
        <v>3776</v>
      </c>
      <c r="C1787" s="26">
        <v>45709</v>
      </c>
      <c r="D1787" s="18" t="s">
        <v>284</v>
      </c>
      <c r="E1787" s="18" t="str">
        <f t="shared" si="27"/>
        <v>Abdul Rehman </v>
      </c>
      <c r="F1787" s="27" t="e">
        <v>#N/A</v>
      </c>
      <c r="G1787" s="18" t="s">
        <v>32</v>
      </c>
      <c r="H1787" s="18" t="s">
        <v>33</v>
      </c>
      <c r="I1787" s="18" t="s">
        <v>1246</v>
      </c>
      <c r="J1787" s="18" t="s">
        <v>2319</v>
      </c>
      <c r="K1787" s="18" t="s">
        <v>56</v>
      </c>
      <c r="L1787" s="18" t="s">
        <v>36</v>
      </c>
      <c r="N1787" s="18">
        <v>6</v>
      </c>
      <c r="O1787" s="18" t="s">
        <v>93</v>
      </c>
      <c r="P1787" s="18" t="s">
        <v>38</v>
      </c>
      <c r="Q1787" s="18" t="s">
        <v>194</v>
      </c>
      <c r="R1787" s="18" t="s">
        <v>59</v>
      </c>
      <c r="S1787" s="18" t="s">
        <v>195</v>
      </c>
      <c r="T1787" s="18" t="b">
        <v>1</v>
      </c>
      <c r="U1787" s="18" t="s">
        <v>39</v>
      </c>
      <c r="V1787" s="18" t="s">
        <v>40</v>
      </c>
      <c r="W1787" s="18" t="s">
        <v>126</v>
      </c>
      <c r="X1787" s="18" t="s">
        <v>127</v>
      </c>
      <c r="Y1787" s="18">
        <v>1</v>
      </c>
      <c r="Z1787" s="18">
        <v>2340</v>
      </c>
      <c r="AA1787" s="18" t="s">
        <v>3777</v>
      </c>
      <c r="AB1787" s="18" t="s">
        <v>1554</v>
      </c>
      <c r="AC1787" s="18" t="e">
        <v>#N/A</v>
      </c>
    </row>
    <row r="1788" s="18" customFormat="1" spans="1:29">
      <c r="A1788" s="18" t="s">
        <v>3778</v>
      </c>
      <c r="B1788" s="25" t="s">
        <v>3778</v>
      </c>
      <c r="C1788" s="26">
        <v>45709</v>
      </c>
      <c r="D1788" s="18" t="s">
        <v>1139</v>
      </c>
      <c r="E1788" s="18" t="str">
        <f t="shared" ref="E1788:E1851" si="28">_xlfn.TEXTBEFORE(D1788,"-")</f>
        <v>Farhan Shariff  </v>
      </c>
      <c r="F1788" s="27" t="e">
        <v>#N/A</v>
      </c>
      <c r="G1788" s="18" t="s">
        <v>32</v>
      </c>
      <c r="H1788" s="18" t="s">
        <v>33</v>
      </c>
      <c r="I1788" s="18" t="s">
        <v>1246</v>
      </c>
      <c r="J1788" s="18" t="s">
        <v>2435</v>
      </c>
      <c r="K1788" s="18" t="s">
        <v>56</v>
      </c>
      <c r="L1788" s="18" t="s">
        <v>36</v>
      </c>
      <c r="N1788" s="18">
        <v>6</v>
      </c>
      <c r="O1788" s="18" t="s">
        <v>93</v>
      </c>
      <c r="P1788" s="18" t="s">
        <v>38</v>
      </c>
      <c r="Q1788" s="18" t="s">
        <v>117</v>
      </c>
      <c r="R1788" s="18" t="s">
        <v>59</v>
      </c>
      <c r="S1788" s="18" t="s">
        <v>118</v>
      </c>
      <c r="T1788" s="18" t="b">
        <v>1</v>
      </c>
      <c r="U1788" s="18" t="s">
        <v>39</v>
      </c>
      <c r="V1788" s="18" t="s">
        <v>40</v>
      </c>
      <c r="W1788" s="18" t="s">
        <v>140</v>
      </c>
      <c r="X1788" s="18" t="s">
        <v>141</v>
      </c>
      <c r="Y1788" s="18">
        <v>1</v>
      </c>
      <c r="Z1788" s="18">
        <v>18000</v>
      </c>
      <c r="AA1788" s="18" t="s">
        <v>128</v>
      </c>
      <c r="AB1788" s="18" t="s">
        <v>129</v>
      </c>
      <c r="AC1788" s="18" t="e">
        <v>#N/A</v>
      </c>
    </row>
    <row r="1789" s="18" customFormat="1" spans="1:29">
      <c r="A1789" s="18" t="s">
        <v>3779</v>
      </c>
      <c r="B1789" s="25" t="s">
        <v>3779</v>
      </c>
      <c r="C1789" s="26">
        <v>45709</v>
      </c>
      <c r="D1789" s="18" t="s">
        <v>1133</v>
      </c>
      <c r="E1789" s="18" t="str">
        <f t="shared" si="28"/>
        <v>Anurama V  </v>
      </c>
      <c r="F1789" s="27" t="e">
        <v>#N/A</v>
      </c>
      <c r="G1789" s="18" t="s">
        <v>32</v>
      </c>
      <c r="H1789" s="18" t="s">
        <v>33</v>
      </c>
      <c r="I1789" s="18" t="s">
        <v>1246</v>
      </c>
      <c r="K1789" s="18" t="s">
        <v>35</v>
      </c>
      <c r="L1789" s="18" t="s">
        <v>36</v>
      </c>
      <c r="N1789" s="18">
        <v>6</v>
      </c>
      <c r="O1789" s="18" t="s">
        <v>93</v>
      </c>
      <c r="P1789" s="18" t="s">
        <v>38</v>
      </c>
      <c r="T1789" s="18" t="b">
        <v>1</v>
      </c>
      <c r="U1789" s="18" t="s">
        <v>39</v>
      </c>
      <c r="V1789" s="18" t="s">
        <v>40</v>
      </c>
      <c r="W1789" s="18" t="s">
        <v>134</v>
      </c>
      <c r="X1789" s="18" t="s">
        <v>135</v>
      </c>
      <c r="Y1789" s="18">
        <v>1</v>
      </c>
      <c r="Z1789" s="18">
        <v>2292</v>
      </c>
      <c r="AA1789" s="18" t="s">
        <v>334</v>
      </c>
      <c r="AB1789" s="18" t="s">
        <v>335</v>
      </c>
      <c r="AC1789" s="18" t="e">
        <v>#N/A</v>
      </c>
    </row>
    <row r="1790" s="18" customFormat="1" spans="1:29">
      <c r="A1790" s="18" t="s">
        <v>3780</v>
      </c>
      <c r="B1790" s="25" t="s">
        <v>3780</v>
      </c>
      <c r="C1790" s="26">
        <v>45709</v>
      </c>
      <c r="D1790" s="18" t="s">
        <v>113</v>
      </c>
      <c r="E1790" s="18" t="str">
        <f t="shared" si="28"/>
        <v>Siva Sankar Cabs</v>
      </c>
      <c r="F1790" s="27" t="s">
        <v>114</v>
      </c>
      <c r="G1790" s="18" t="s">
        <v>32</v>
      </c>
      <c r="H1790" s="18" t="s">
        <v>33</v>
      </c>
      <c r="I1790" s="18" t="s">
        <v>34</v>
      </c>
      <c r="J1790" s="18" t="s">
        <v>2764</v>
      </c>
      <c r="K1790" s="18" t="s">
        <v>56</v>
      </c>
      <c r="L1790" s="18" t="s">
        <v>36</v>
      </c>
      <c r="N1790" s="18">
        <v>6</v>
      </c>
      <c r="O1790" s="18" t="s">
        <v>57</v>
      </c>
      <c r="P1790" s="18" t="s">
        <v>38</v>
      </c>
      <c r="Q1790" s="18" t="s">
        <v>117</v>
      </c>
      <c r="R1790" s="18" t="s">
        <v>59</v>
      </c>
      <c r="S1790" s="18" t="s">
        <v>118</v>
      </c>
      <c r="T1790" s="18" t="b">
        <v>1</v>
      </c>
      <c r="U1790" s="18" t="s">
        <v>39</v>
      </c>
      <c r="V1790" s="18" t="s">
        <v>40</v>
      </c>
      <c r="W1790" s="18" t="s">
        <v>119</v>
      </c>
      <c r="X1790" s="18" t="s">
        <v>120</v>
      </c>
      <c r="Y1790" s="18">
        <v>1</v>
      </c>
      <c r="Z1790" s="18">
        <v>2350</v>
      </c>
      <c r="AA1790" s="18" t="s">
        <v>501</v>
      </c>
      <c r="AB1790" s="18" t="s">
        <v>502</v>
      </c>
      <c r="AC1790" s="18" t="e">
        <v>#N/A</v>
      </c>
    </row>
    <row r="1791" s="18" customFormat="1" spans="1:29">
      <c r="A1791" s="18" t="s">
        <v>3781</v>
      </c>
      <c r="B1791" s="25" t="s">
        <v>3781</v>
      </c>
      <c r="C1791" s="26">
        <v>45709</v>
      </c>
      <c r="D1791" s="18" t="s">
        <v>113</v>
      </c>
      <c r="E1791" s="18" t="str">
        <f t="shared" si="28"/>
        <v>Siva Sankar Cabs</v>
      </c>
      <c r="F1791" s="27" t="s">
        <v>114</v>
      </c>
      <c r="G1791" s="18" t="s">
        <v>32</v>
      </c>
      <c r="H1791" s="18" t="s">
        <v>33</v>
      </c>
      <c r="I1791" s="18" t="s">
        <v>34</v>
      </c>
      <c r="J1791" s="18" t="s">
        <v>2764</v>
      </c>
      <c r="K1791" s="18" t="s">
        <v>56</v>
      </c>
      <c r="L1791" s="18" t="s">
        <v>36</v>
      </c>
      <c r="N1791" s="18">
        <v>6</v>
      </c>
      <c r="O1791" s="18" t="s">
        <v>57</v>
      </c>
      <c r="P1791" s="18" t="s">
        <v>38</v>
      </c>
      <c r="Q1791" s="18" t="s">
        <v>117</v>
      </c>
      <c r="R1791" s="18" t="s">
        <v>59</v>
      </c>
      <c r="S1791" s="18" t="s">
        <v>118</v>
      </c>
      <c r="T1791" s="18" t="b">
        <v>1</v>
      </c>
      <c r="U1791" s="18" t="s">
        <v>39</v>
      </c>
      <c r="V1791" s="18" t="s">
        <v>40</v>
      </c>
      <c r="W1791" s="18" t="s">
        <v>119</v>
      </c>
      <c r="X1791" s="18" t="s">
        <v>120</v>
      </c>
      <c r="Y1791" s="18">
        <v>1</v>
      </c>
      <c r="Z1791" s="18">
        <v>2200</v>
      </c>
      <c r="AA1791" s="18" t="s">
        <v>319</v>
      </c>
      <c r="AB1791" s="18" t="s">
        <v>320</v>
      </c>
      <c r="AC1791" s="18" t="e">
        <v>#N/A</v>
      </c>
    </row>
    <row r="1792" s="18" customFormat="1" spans="1:29">
      <c r="A1792" s="18" t="s">
        <v>3782</v>
      </c>
      <c r="B1792" s="25" t="s">
        <v>3782</v>
      </c>
      <c r="C1792" s="26">
        <v>45709</v>
      </c>
      <c r="D1792" s="18" t="s">
        <v>113</v>
      </c>
      <c r="E1792" s="18" t="str">
        <f t="shared" si="28"/>
        <v>Siva Sankar Cabs</v>
      </c>
      <c r="F1792" s="27" t="s">
        <v>114</v>
      </c>
      <c r="G1792" s="18" t="s">
        <v>32</v>
      </c>
      <c r="H1792" s="18" t="s">
        <v>33</v>
      </c>
      <c r="I1792" s="18" t="s">
        <v>34</v>
      </c>
      <c r="J1792" s="18" t="s">
        <v>2971</v>
      </c>
      <c r="K1792" s="18" t="s">
        <v>56</v>
      </c>
      <c r="L1792" s="18" t="s">
        <v>36</v>
      </c>
      <c r="N1792" s="18">
        <v>6</v>
      </c>
      <c r="O1792" s="18" t="s">
        <v>57</v>
      </c>
      <c r="P1792" s="18" t="s">
        <v>38</v>
      </c>
      <c r="Q1792" s="18" t="s">
        <v>117</v>
      </c>
      <c r="R1792" s="18" t="s">
        <v>59</v>
      </c>
      <c r="S1792" s="18" t="s">
        <v>118</v>
      </c>
      <c r="T1792" s="18" t="b">
        <v>1</v>
      </c>
      <c r="U1792" s="18" t="s">
        <v>39</v>
      </c>
      <c r="V1792" s="18" t="s">
        <v>40</v>
      </c>
      <c r="W1792" s="18" t="s">
        <v>119</v>
      </c>
      <c r="X1792" s="18" t="s">
        <v>120</v>
      </c>
      <c r="Y1792" s="18">
        <v>1</v>
      </c>
      <c r="Z1792" s="18">
        <v>6000</v>
      </c>
      <c r="AA1792" s="18" t="s">
        <v>832</v>
      </c>
      <c r="AB1792" s="18" t="s">
        <v>833</v>
      </c>
      <c r="AC1792" s="18" t="e">
        <v>#N/A</v>
      </c>
    </row>
    <row r="1793" s="18" customFormat="1" ht="43.5" spans="1:29">
      <c r="A1793" s="18" t="s">
        <v>3783</v>
      </c>
      <c r="B1793" s="25" t="s">
        <v>3783</v>
      </c>
      <c r="C1793" s="26">
        <v>45709</v>
      </c>
      <c r="D1793" s="18" t="s">
        <v>511</v>
      </c>
      <c r="E1793" s="18" t="str">
        <f t="shared" si="28"/>
        <v>Pro Audio Solutions India Pvt Ltd</v>
      </c>
      <c r="F1793" s="27" t="s">
        <v>512</v>
      </c>
      <c r="G1793" s="18" t="s">
        <v>99</v>
      </c>
      <c r="H1793" s="18" t="s">
        <v>100</v>
      </c>
      <c r="I1793" s="18" t="s">
        <v>184</v>
      </c>
      <c r="J1793" s="18" t="s">
        <v>499</v>
      </c>
      <c r="K1793" s="18" t="s">
        <v>56</v>
      </c>
      <c r="L1793" s="18" t="s">
        <v>36</v>
      </c>
      <c r="N1793" s="18">
        <v>6</v>
      </c>
      <c r="O1793" s="18" t="s">
        <v>88</v>
      </c>
      <c r="P1793" s="18" t="s">
        <v>38</v>
      </c>
      <c r="Q1793" s="18" t="s">
        <v>117</v>
      </c>
      <c r="R1793" s="18" t="s">
        <v>59</v>
      </c>
      <c r="S1793" s="18" t="s">
        <v>186</v>
      </c>
      <c r="T1793" s="18" t="b">
        <v>1</v>
      </c>
      <c r="U1793" s="18" t="s">
        <v>101</v>
      </c>
      <c r="V1793" s="18" t="s">
        <v>40</v>
      </c>
      <c r="W1793" s="18" t="s">
        <v>371</v>
      </c>
      <c r="X1793" s="18" t="s">
        <v>372</v>
      </c>
      <c r="Y1793" s="18">
        <v>1</v>
      </c>
      <c r="Z1793" s="18">
        <v>27000</v>
      </c>
      <c r="AA1793" s="31" t="s">
        <v>2985</v>
      </c>
      <c r="AB1793" s="18" t="s">
        <v>514</v>
      </c>
      <c r="AC1793" s="18" t="s">
        <v>111</v>
      </c>
    </row>
    <row r="1794" s="18" customFormat="1" spans="1:29">
      <c r="A1794" s="18" t="s">
        <v>3784</v>
      </c>
      <c r="B1794" s="25" t="s">
        <v>3784</v>
      </c>
      <c r="C1794" s="26">
        <v>45709</v>
      </c>
      <c r="D1794" s="18" t="s">
        <v>3518</v>
      </c>
      <c r="E1794" s="18" t="str">
        <f t="shared" si="28"/>
        <v>Color Box</v>
      </c>
      <c r="F1794" s="27" t="s">
        <v>3519</v>
      </c>
      <c r="G1794" s="18" t="s">
        <v>99</v>
      </c>
      <c r="H1794" s="18" t="s">
        <v>100</v>
      </c>
      <c r="I1794" s="18" t="s">
        <v>34</v>
      </c>
      <c r="J1794" s="18" t="s">
        <v>2775</v>
      </c>
      <c r="K1794" s="18" t="s">
        <v>56</v>
      </c>
      <c r="L1794" s="18" t="s">
        <v>36</v>
      </c>
      <c r="N1794" s="18">
        <v>6</v>
      </c>
      <c r="O1794" s="18" t="s">
        <v>88</v>
      </c>
      <c r="P1794" s="18" t="s">
        <v>38</v>
      </c>
      <c r="Q1794" s="18" t="s">
        <v>117</v>
      </c>
      <c r="R1794" s="18" t="s">
        <v>59</v>
      </c>
      <c r="S1794" s="18" t="s">
        <v>186</v>
      </c>
      <c r="T1794" s="18" t="b">
        <v>1</v>
      </c>
      <c r="U1794" s="18" t="s">
        <v>101</v>
      </c>
      <c r="V1794" s="18" t="s">
        <v>40</v>
      </c>
      <c r="W1794" s="18" t="s">
        <v>683</v>
      </c>
      <c r="X1794" s="18" t="s">
        <v>684</v>
      </c>
      <c r="Y1794" s="18">
        <v>1</v>
      </c>
      <c r="Z1794" s="18">
        <v>10000</v>
      </c>
      <c r="AA1794" s="18" t="s">
        <v>2776</v>
      </c>
      <c r="AB1794" s="18" t="s">
        <v>811</v>
      </c>
      <c r="AC1794" s="18" t="s">
        <v>111</v>
      </c>
    </row>
    <row r="1795" s="18" customFormat="1" spans="1:29">
      <c r="A1795" s="18" t="s">
        <v>3785</v>
      </c>
      <c r="B1795" s="25" t="s">
        <v>3785</v>
      </c>
      <c r="C1795" s="26">
        <v>45709</v>
      </c>
      <c r="D1795" s="18" t="s">
        <v>3786</v>
      </c>
      <c r="E1795" s="18" t="str">
        <f t="shared" si="28"/>
        <v>Beena Joseph  </v>
      </c>
      <c r="F1795" s="27" t="e">
        <v>#N/A</v>
      </c>
      <c r="G1795" s="18" t="s">
        <v>99</v>
      </c>
      <c r="H1795" s="18" t="s">
        <v>100</v>
      </c>
      <c r="I1795" s="18" t="s">
        <v>133</v>
      </c>
      <c r="J1795" s="18" t="s">
        <v>2345</v>
      </c>
      <c r="K1795" s="18" t="s">
        <v>56</v>
      </c>
      <c r="L1795" s="18" t="s">
        <v>36</v>
      </c>
      <c r="N1795" s="18">
        <v>6</v>
      </c>
      <c r="O1795" s="18" t="s">
        <v>93</v>
      </c>
      <c r="P1795" s="18" t="s">
        <v>38</v>
      </c>
      <c r="Q1795" s="18" t="s">
        <v>117</v>
      </c>
      <c r="R1795" s="18" t="s">
        <v>59</v>
      </c>
      <c r="S1795" s="18" t="s">
        <v>186</v>
      </c>
      <c r="T1795" s="18" t="b">
        <v>1</v>
      </c>
      <c r="U1795" s="18" t="s">
        <v>101</v>
      </c>
      <c r="V1795" s="18" t="s">
        <v>40</v>
      </c>
      <c r="W1795" s="18" t="s">
        <v>233</v>
      </c>
      <c r="X1795" s="18" t="s">
        <v>234</v>
      </c>
      <c r="Y1795" s="18">
        <v>1</v>
      </c>
      <c r="Z1795" s="18">
        <v>6328</v>
      </c>
      <c r="AA1795" s="18" t="s">
        <v>102</v>
      </c>
      <c r="AB1795" s="18" t="s">
        <v>103</v>
      </c>
      <c r="AC1795" s="18" t="e">
        <v>#N/A</v>
      </c>
    </row>
    <row r="1796" s="18" customFormat="1" spans="1:29">
      <c r="A1796" s="18" t="s">
        <v>3787</v>
      </c>
      <c r="B1796" s="25" t="s">
        <v>3787</v>
      </c>
      <c r="C1796" s="26">
        <v>45709</v>
      </c>
      <c r="D1796" s="18" t="s">
        <v>3370</v>
      </c>
      <c r="E1796" s="18" t="str">
        <f t="shared" si="28"/>
        <v>Fiesta Car Rentals &amp; Logistics Pvt Ltd</v>
      </c>
      <c r="F1796" s="27" t="s">
        <v>3371</v>
      </c>
      <c r="G1796" s="18" t="s">
        <v>99</v>
      </c>
      <c r="H1796" s="18" t="s">
        <v>100</v>
      </c>
      <c r="I1796" s="18" t="s">
        <v>1246</v>
      </c>
      <c r="J1796" s="18" t="s">
        <v>3646</v>
      </c>
      <c r="K1796" s="18" t="s">
        <v>56</v>
      </c>
      <c r="L1796" s="18" t="s">
        <v>36</v>
      </c>
      <c r="N1796" s="18">
        <v>6</v>
      </c>
      <c r="O1796" s="18" t="s">
        <v>88</v>
      </c>
      <c r="P1796" s="18" t="s">
        <v>38</v>
      </c>
      <c r="Q1796" s="18" t="s">
        <v>117</v>
      </c>
      <c r="R1796" s="18" t="s">
        <v>59</v>
      </c>
      <c r="S1796" s="18" t="s">
        <v>186</v>
      </c>
      <c r="T1796" s="18" t="b">
        <v>1</v>
      </c>
      <c r="U1796" s="18" t="s">
        <v>101</v>
      </c>
      <c r="V1796" s="18" t="s">
        <v>40</v>
      </c>
      <c r="W1796" s="18" t="s">
        <v>119</v>
      </c>
      <c r="X1796" s="18" t="s">
        <v>120</v>
      </c>
      <c r="Y1796" s="18">
        <v>1</v>
      </c>
      <c r="Z1796" s="18">
        <v>3750</v>
      </c>
      <c r="AA1796" s="18" t="s">
        <v>188</v>
      </c>
      <c r="AB1796" s="18" t="s">
        <v>189</v>
      </c>
      <c r="AC1796" s="18" t="s">
        <v>676</v>
      </c>
    </row>
    <row r="1797" s="18" customFormat="1" spans="1:29">
      <c r="A1797" s="18" t="s">
        <v>3788</v>
      </c>
      <c r="B1797" s="25" t="s">
        <v>3788</v>
      </c>
      <c r="C1797" s="26">
        <v>45709</v>
      </c>
      <c r="D1797" s="18" t="s">
        <v>3370</v>
      </c>
      <c r="E1797" s="18" t="str">
        <f t="shared" si="28"/>
        <v>Fiesta Car Rentals &amp; Logistics Pvt Ltd</v>
      </c>
      <c r="F1797" s="27" t="s">
        <v>3371</v>
      </c>
      <c r="G1797" s="18" t="s">
        <v>99</v>
      </c>
      <c r="H1797" s="18" t="s">
        <v>100</v>
      </c>
      <c r="I1797" s="18" t="s">
        <v>1246</v>
      </c>
      <c r="J1797" s="18" t="s">
        <v>2775</v>
      </c>
      <c r="K1797" s="18" t="s">
        <v>56</v>
      </c>
      <c r="L1797" s="18" t="s">
        <v>36</v>
      </c>
      <c r="N1797" s="18">
        <v>6</v>
      </c>
      <c r="O1797" s="18" t="s">
        <v>88</v>
      </c>
      <c r="P1797" s="18" t="s">
        <v>38</v>
      </c>
      <c r="Q1797" s="18" t="s">
        <v>117</v>
      </c>
      <c r="R1797" s="18" t="s">
        <v>59</v>
      </c>
      <c r="S1797" s="18" t="s">
        <v>186</v>
      </c>
      <c r="T1797" s="18" t="b">
        <v>1</v>
      </c>
      <c r="U1797" s="18" t="s">
        <v>101</v>
      </c>
      <c r="V1797" s="18" t="s">
        <v>40</v>
      </c>
      <c r="W1797" s="18" t="s">
        <v>119</v>
      </c>
      <c r="X1797" s="18" t="s">
        <v>120</v>
      </c>
      <c r="Y1797" s="18">
        <v>1</v>
      </c>
      <c r="Z1797" s="18">
        <v>7420</v>
      </c>
      <c r="AA1797" s="18" t="s">
        <v>188</v>
      </c>
      <c r="AB1797" s="18" t="s">
        <v>189</v>
      </c>
      <c r="AC1797" s="18" t="s">
        <v>676</v>
      </c>
    </row>
    <row r="1798" s="18" customFormat="1" spans="1:29">
      <c r="A1798" s="18" t="s">
        <v>3789</v>
      </c>
      <c r="B1798" s="25" t="s">
        <v>3789</v>
      </c>
      <c r="C1798" s="26">
        <v>45709</v>
      </c>
      <c r="D1798" s="18" t="s">
        <v>1834</v>
      </c>
      <c r="E1798" s="18" t="str">
        <f t="shared" si="28"/>
        <v>Win Technologies</v>
      </c>
      <c r="F1798" s="27" t="s">
        <v>1835</v>
      </c>
      <c r="G1798" s="18" t="s">
        <v>99</v>
      </c>
      <c r="H1798" s="18" t="s">
        <v>100</v>
      </c>
      <c r="I1798" s="18" t="s">
        <v>1246</v>
      </c>
      <c r="J1798" s="18" t="s">
        <v>2775</v>
      </c>
      <c r="K1798" s="18" t="s">
        <v>56</v>
      </c>
      <c r="L1798" s="18" t="s">
        <v>36</v>
      </c>
      <c r="N1798" s="18">
        <v>6</v>
      </c>
      <c r="O1798" s="18" t="s">
        <v>88</v>
      </c>
      <c r="P1798" s="18" t="s">
        <v>38</v>
      </c>
      <c r="Q1798" s="18" t="s">
        <v>117</v>
      </c>
      <c r="R1798" s="18" t="s">
        <v>59</v>
      </c>
      <c r="S1798" s="18" t="s">
        <v>186</v>
      </c>
      <c r="T1798" s="18" t="b">
        <v>1</v>
      </c>
      <c r="U1798" s="18" t="s">
        <v>101</v>
      </c>
      <c r="V1798" s="18" t="s">
        <v>40</v>
      </c>
      <c r="W1798" s="18" t="s">
        <v>990</v>
      </c>
      <c r="X1798" s="18" t="s">
        <v>991</v>
      </c>
      <c r="Y1798" s="18">
        <v>1</v>
      </c>
      <c r="Z1798" s="18">
        <v>11500</v>
      </c>
      <c r="AA1798" s="18" t="s">
        <v>188</v>
      </c>
      <c r="AB1798" s="18" t="s">
        <v>189</v>
      </c>
      <c r="AC1798" s="18" t="s">
        <v>111</v>
      </c>
    </row>
    <row r="1799" s="18" customFormat="1" spans="1:29">
      <c r="A1799" s="18" t="s">
        <v>3790</v>
      </c>
      <c r="B1799" s="25" t="s">
        <v>3790</v>
      </c>
      <c r="C1799" s="26">
        <v>45709</v>
      </c>
      <c r="D1799" s="18" t="s">
        <v>751</v>
      </c>
      <c r="E1799" s="18" t="str">
        <f t="shared" si="28"/>
        <v>Sri Jay Enterprises</v>
      </c>
      <c r="F1799" s="27" t="s">
        <v>752</v>
      </c>
      <c r="G1799" s="18" t="s">
        <v>99</v>
      </c>
      <c r="H1799" s="18" t="s">
        <v>100</v>
      </c>
      <c r="I1799" s="18" t="s">
        <v>1246</v>
      </c>
      <c r="K1799" s="18" t="s">
        <v>35</v>
      </c>
      <c r="L1799" s="18" t="s">
        <v>36</v>
      </c>
      <c r="N1799" s="18">
        <v>6</v>
      </c>
      <c r="O1799" s="18" t="s">
        <v>57</v>
      </c>
      <c r="P1799" s="18" t="s">
        <v>38</v>
      </c>
      <c r="T1799" s="18" t="b">
        <v>1</v>
      </c>
      <c r="U1799" s="18" t="s">
        <v>101</v>
      </c>
      <c r="V1799" s="18" t="s">
        <v>40</v>
      </c>
      <c r="W1799" s="18" t="s">
        <v>837</v>
      </c>
      <c r="X1799" s="18" t="s">
        <v>205</v>
      </c>
      <c r="Y1799" s="18">
        <v>1</v>
      </c>
      <c r="Z1799" s="18">
        <v>5833</v>
      </c>
      <c r="AA1799" s="18" t="s">
        <v>188</v>
      </c>
      <c r="AB1799" s="18" t="s">
        <v>189</v>
      </c>
      <c r="AC1799" s="18" t="s">
        <v>111</v>
      </c>
    </row>
    <row r="1800" s="18" customFormat="1" spans="1:29">
      <c r="A1800" s="18" t="s">
        <v>3791</v>
      </c>
      <c r="B1800" s="25" t="s">
        <v>3791</v>
      </c>
      <c r="C1800" s="26">
        <v>45709</v>
      </c>
      <c r="D1800" s="18" t="s">
        <v>3518</v>
      </c>
      <c r="E1800" s="18" t="str">
        <f t="shared" si="28"/>
        <v>Color Box</v>
      </c>
      <c r="F1800" s="27" t="s">
        <v>3519</v>
      </c>
      <c r="G1800" s="18" t="s">
        <v>99</v>
      </c>
      <c r="H1800" s="18" t="s">
        <v>100</v>
      </c>
      <c r="I1800" s="18" t="s">
        <v>1246</v>
      </c>
      <c r="J1800" s="18" t="s">
        <v>2345</v>
      </c>
      <c r="K1800" s="18" t="s">
        <v>56</v>
      </c>
      <c r="L1800" s="18" t="s">
        <v>36</v>
      </c>
      <c r="N1800" s="18">
        <v>6</v>
      </c>
      <c r="O1800" s="18" t="s">
        <v>88</v>
      </c>
      <c r="P1800" s="18" t="s">
        <v>38</v>
      </c>
      <c r="Q1800" s="18" t="s">
        <v>117</v>
      </c>
      <c r="R1800" s="18" t="s">
        <v>59</v>
      </c>
      <c r="S1800" s="18" t="s">
        <v>186</v>
      </c>
      <c r="T1800" s="18" t="b">
        <v>1</v>
      </c>
      <c r="U1800" s="18" t="s">
        <v>101</v>
      </c>
      <c r="V1800" s="18" t="s">
        <v>40</v>
      </c>
      <c r="W1800" s="18" t="s">
        <v>683</v>
      </c>
      <c r="X1800" s="18" t="s">
        <v>684</v>
      </c>
      <c r="Y1800" s="18">
        <v>1</v>
      </c>
      <c r="Z1800" s="18">
        <v>30000</v>
      </c>
      <c r="AA1800" s="18" t="s">
        <v>3792</v>
      </c>
      <c r="AB1800" s="18" t="s">
        <v>189</v>
      </c>
      <c r="AC1800" s="18" t="s">
        <v>111</v>
      </c>
    </row>
    <row r="1801" s="18" customFormat="1" spans="1:29">
      <c r="A1801" s="18" t="s">
        <v>3793</v>
      </c>
      <c r="B1801" s="25" t="s">
        <v>3793</v>
      </c>
      <c r="C1801" s="26">
        <v>45709</v>
      </c>
      <c r="D1801" s="18" t="s">
        <v>3794</v>
      </c>
      <c r="E1801" s="18" t="str">
        <f t="shared" si="28"/>
        <v>Translation India</v>
      </c>
      <c r="F1801" s="27" t="s">
        <v>3795</v>
      </c>
      <c r="G1801" s="18" t="s">
        <v>147</v>
      </c>
      <c r="H1801" s="18" t="s">
        <v>148</v>
      </c>
      <c r="I1801" s="18" t="s">
        <v>184</v>
      </c>
      <c r="J1801" s="18" t="s">
        <v>3246</v>
      </c>
      <c r="K1801" s="18" t="s">
        <v>56</v>
      </c>
      <c r="L1801" s="18" t="s">
        <v>36</v>
      </c>
      <c r="N1801" s="18">
        <v>6</v>
      </c>
      <c r="O1801" s="18" t="s">
        <v>57</v>
      </c>
      <c r="P1801" s="18" t="s">
        <v>38</v>
      </c>
      <c r="Q1801" s="18" t="s">
        <v>194</v>
      </c>
      <c r="R1801" s="18" t="s">
        <v>59</v>
      </c>
      <c r="S1801" s="18" t="s">
        <v>195</v>
      </c>
      <c r="T1801" s="18" t="b">
        <v>1</v>
      </c>
      <c r="U1801" s="18" t="s">
        <v>150</v>
      </c>
      <c r="V1801" s="18" t="s">
        <v>40</v>
      </c>
      <c r="W1801" s="18" t="s">
        <v>371</v>
      </c>
      <c r="X1801" s="18" t="s">
        <v>372</v>
      </c>
      <c r="Y1801" s="18">
        <v>1</v>
      </c>
      <c r="Z1801" s="18">
        <v>10000</v>
      </c>
      <c r="AA1801" s="18" t="s">
        <v>3796</v>
      </c>
      <c r="AB1801" s="18" t="s">
        <v>2056</v>
      </c>
      <c r="AC1801" s="18" t="s">
        <v>163</v>
      </c>
    </row>
    <row r="1802" s="18" customFormat="1" spans="1:29">
      <c r="A1802" s="18" t="s">
        <v>3797</v>
      </c>
      <c r="B1802" s="25" t="s">
        <v>3797</v>
      </c>
      <c r="C1802" s="26">
        <v>45709</v>
      </c>
      <c r="D1802" s="18" t="s">
        <v>1029</v>
      </c>
      <c r="E1802" s="18" t="str">
        <f t="shared" si="28"/>
        <v>Pankaj Kumar Mishra  </v>
      </c>
      <c r="F1802" s="27" t="e">
        <v>#N/A</v>
      </c>
      <c r="G1802" s="18" t="s">
        <v>147</v>
      </c>
      <c r="H1802" s="18" t="s">
        <v>148</v>
      </c>
      <c r="I1802" s="18" t="s">
        <v>54</v>
      </c>
      <c r="J1802" s="18" t="s">
        <v>139</v>
      </c>
      <c r="K1802" s="18" t="s">
        <v>56</v>
      </c>
      <c r="L1802" s="18" t="s">
        <v>36</v>
      </c>
      <c r="N1802" s="18">
        <v>6</v>
      </c>
      <c r="O1802" s="18" t="s">
        <v>93</v>
      </c>
      <c r="P1802" s="18" t="s">
        <v>38</v>
      </c>
      <c r="Q1802" s="18" t="s">
        <v>58</v>
      </c>
      <c r="R1802" s="18" t="s">
        <v>59</v>
      </c>
      <c r="S1802" s="18" t="s">
        <v>60</v>
      </c>
      <c r="T1802" s="18" t="b">
        <v>1</v>
      </c>
      <c r="U1802" s="18" t="s">
        <v>150</v>
      </c>
      <c r="V1802" s="18" t="s">
        <v>40</v>
      </c>
      <c r="W1802" s="18" t="s">
        <v>412</v>
      </c>
      <c r="X1802" s="18" t="s">
        <v>413</v>
      </c>
      <c r="Y1802" s="18">
        <v>1</v>
      </c>
      <c r="Z1802" s="18">
        <v>18786</v>
      </c>
      <c r="AA1802" s="18" t="s">
        <v>227</v>
      </c>
      <c r="AB1802" s="18" t="s">
        <v>228</v>
      </c>
      <c r="AC1802" s="18" t="e">
        <v>#N/A</v>
      </c>
    </row>
    <row r="1803" s="18" customFormat="1" spans="1:29">
      <c r="A1803" s="18" t="s">
        <v>3798</v>
      </c>
      <c r="B1803" s="25" t="s">
        <v>3798</v>
      </c>
      <c r="C1803" s="26">
        <v>45709</v>
      </c>
      <c r="D1803" s="18" t="s">
        <v>3799</v>
      </c>
      <c r="E1803" s="18" t="str">
        <f t="shared" si="28"/>
        <v>Unbox Cultural Futures LLP</v>
      </c>
      <c r="F1803" s="27" t="s">
        <v>3800</v>
      </c>
      <c r="G1803" s="18" t="s">
        <v>147</v>
      </c>
      <c r="H1803" s="18" t="s">
        <v>148</v>
      </c>
      <c r="I1803" s="18" t="s">
        <v>159</v>
      </c>
      <c r="J1803" s="18" t="s">
        <v>3801</v>
      </c>
      <c r="K1803" s="18" t="s">
        <v>56</v>
      </c>
      <c r="L1803" s="18" t="s">
        <v>36</v>
      </c>
      <c r="N1803" s="18">
        <v>6</v>
      </c>
      <c r="O1803" s="18" t="s">
        <v>88</v>
      </c>
      <c r="P1803" s="18" t="s">
        <v>38</v>
      </c>
      <c r="Q1803" s="18" t="s">
        <v>58</v>
      </c>
      <c r="R1803" s="18" t="s">
        <v>59</v>
      </c>
      <c r="S1803" s="18" t="s">
        <v>60</v>
      </c>
      <c r="T1803" s="18" t="b">
        <v>1</v>
      </c>
      <c r="U1803" s="18" t="s">
        <v>150</v>
      </c>
      <c r="V1803" s="18" t="s">
        <v>40</v>
      </c>
      <c r="W1803" s="18" t="s">
        <v>683</v>
      </c>
      <c r="X1803" s="18" t="s">
        <v>684</v>
      </c>
      <c r="Y1803" s="18">
        <v>1</v>
      </c>
      <c r="Z1803" s="18">
        <v>400000</v>
      </c>
      <c r="AA1803" s="18" t="s">
        <v>1169</v>
      </c>
      <c r="AB1803" s="18" t="s">
        <v>1170</v>
      </c>
      <c r="AC1803" s="18" t="s">
        <v>163</v>
      </c>
    </row>
    <row r="1804" s="18" customFormat="1" spans="1:29">
      <c r="A1804" s="18" t="s">
        <v>3802</v>
      </c>
      <c r="B1804" s="25" t="s">
        <v>3802</v>
      </c>
      <c r="C1804" s="26">
        <v>45709</v>
      </c>
      <c r="D1804" s="18" t="s">
        <v>533</v>
      </c>
      <c r="E1804" s="18" t="str">
        <f t="shared" si="28"/>
        <v>Powerpro</v>
      </c>
      <c r="F1804" s="27" t="e">
        <v>#N/A</v>
      </c>
      <c r="G1804" s="18" t="s">
        <v>147</v>
      </c>
      <c r="H1804" s="18" t="s">
        <v>148</v>
      </c>
      <c r="I1804" s="18" t="s">
        <v>207</v>
      </c>
      <c r="J1804" s="18" t="s">
        <v>2514</v>
      </c>
      <c r="K1804" s="18" t="s">
        <v>56</v>
      </c>
      <c r="L1804" s="18" t="s">
        <v>36</v>
      </c>
      <c r="N1804" s="18">
        <v>6</v>
      </c>
      <c r="O1804" s="18" t="s">
        <v>88</v>
      </c>
      <c r="P1804" s="18" t="s">
        <v>38</v>
      </c>
      <c r="Q1804" s="18" t="s">
        <v>58</v>
      </c>
      <c r="R1804" s="18" t="s">
        <v>59</v>
      </c>
      <c r="S1804" s="18" t="s">
        <v>60</v>
      </c>
      <c r="T1804" s="18" t="b">
        <v>1</v>
      </c>
      <c r="U1804" s="18" t="s">
        <v>150</v>
      </c>
      <c r="V1804" s="18" t="s">
        <v>40</v>
      </c>
      <c r="W1804" s="18" t="s">
        <v>371</v>
      </c>
      <c r="X1804" s="18" t="s">
        <v>372</v>
      </c>
      <c r="Y1804" s="18">
        <v>1</v>
      </c>
      <c r="Z1804" s="18">
        <v>14000</v>
      </c>
      <c r="AA1804" s="18" t="s">
        <v>3006</v>
      </c>
      <c r="AB1804" s="18" t="s">
        <v>454</v>
      </c>
      <c r="AC1804" s="18" t="s">
        <v>163</v>
      </c>
    </row>
    <row r="1805" s="18" customFormat="1" spans="1:29">
      <c r="A1805" s="18" t="s">
        <v>3803</v>
      </c>
      <c r="B1805" s="25" t="s">
        <v>3803</v>
      </c>
      <c r="C1805" s="26">
        <v>45709</v>
      </c>
      <c r="D1805" s="18" t="s">
        <v>2144</v>
      </c>
      <c r="E1805" s="18" t="str">
        <f t="shared" si="28"/>
        <v>Lokjat Slv Solutions</v>
      </c>
      <c r="F1805" s="27" t="s">
        <v>2145</v>
      </c>
      <c r="G1805" s="18" t="s">
        <v>147</v>
      </c>
      <c r="H1805" s="18" t="s">
        <v>148</v>
      </c>
      <c r="I1805" s="18" t="s">
        <v>207</v>
      </c>
      <c r="J1805" s="18" t="s">
        <v>1238</v>
      </c>
      <c r="K1805" s="18" t="s">
        <v>56</v>
      </c>
      <c r="L1805" s="18" t="s">
        <v>36</v>
      </c>
      <c r="N1805" s="18">
        <v>6</v>
      </c>
      <c r="O1805" s="18" t="s">
        <v>88</v>
      </c>
      <c r="P1805" s="18" t="s">
        <v>38</v>
      </c>
      <c r="Q1805" s="18" t="s">
        <v>58</v>
      </c>
      <c r="R1805" s="18" t="s">
        <v>59</v>
      </c>
      <c r="S1805" s="18" t="s">
        <v>60</v>
      </c>
      <c r="T1805" s="18" t="b">
        <v>1</v>
      </c>
      <c r="U1805" s="18" t="s">
        <v>150</v>
      </c>
      <c r="V1805" s="18" t="s">
        <v>40</v>
      </c>
      <c r="W1805" s="18" t="s">
        <v>317</v>
      </c>
      <c r="X1805" s="18" t="s">
        <v>318</v>
      </c>
      <c r="Y1805" s="18">
        <v>1</v>
      </c>
      <c r="Z1805" s="18">
        <v>265000</v>
      </c>
      <c r="AA1805" s="18" t="s">
        <v>299</v>
      </c>
      <c r="AB1805" s="18" t="s">
        <v>295</v>
      </c>
      <c r="AC1805" s="18" t="s">
        <v>163</v>
      </c>
    </row>
    <row r="1806" s="18" customFormat="1" spans="1:29">
      <c r="A1806" s="18" t="s">
        <v>3804</v>
      </c>
      <c r="B1806" s="25" t="s">
        <v>3804</v>
      </c>
      <c r="C1806" s="26">
        <v>45709</v>
      </c>
      <c r="D1806" s="18" t="s">
        <v>533</v>
      </c>
      <c r="E1806" s="18" t="str">
        <f t="shared" si="28"/>
        <v>Powerpro</v>
      </c>
      <c r="F1806" s="27" t="e">
        <v>#N/A</v>
      </c>
      <c r="G1806" s="18" t="s">
        <v>147</v>
      </c>
      <c r="H1806" s="18" t="s">
        <v>148</v>
      </c>
      <c r="I1806" s="18" t="s">
        <v>207</v>
      </c>
      <c r="J1806" s="18" t="s">
        <v>1238</v>
      </c>
      <c r="K1806" s="18" t="s">
        <v>56</v>
      </c>
      <c r="L1806" s="18" t="s">
        <v>36</v>
      </c>
      <c r="N1806" s="18">
        <v>6</v>
      </c>
      <c r="O1806" s="18" t="s">
        <v>88</v>
      </c>
      <c r="P1806" s="18" t="s">
        <v>38</v>
      </c>
      <c r="Q1806" s="18" t="s">
        <v>58</v>
      </c>
      <c r="R1806" s="18" t="s">
        <v>59</v>
      </c>
      <c r="S1806" s="18" t="s">
        <v>60</v>
      </c>
      <c r="T1806" s="18" t="b">
        <v>1</v>
      </c>
      <c r="U1806" s="18" t="s">
        <v>150</v>
      </c>
      <c r="V1806" s="18" t="s">
        <v>40</v>
      </c>
      <c r="W1806" s="18" t="s">
        <v>371</v>
      </c>
      <c r="X1806" s="18" t="s">
        <v>372</v>
      </c>
      <c r="Y1806" s="18">
        <v>1</v>
      </c>
      <c r="Z1806" s="18">
        <v>14500</v>
      </c>
      <c r="AA1806" s="18" t="s">
        <v>299</v>
      </c>
      <c r="AB1806" s="18" t="s">
        <v>295</v>
      </c>
      <c r="AC1806" s="18" t="s">
        <v>163</v>
      </c>
    </row>
    <row r="1807" s="18" customFormat="1" spans="1:29">
      <c r="A1807" s="18" t="s">
        <v>3805</v>
      </c>
      <c r="B1807" s="25" t="s">
        <v>3805</v>
      </c>
      <c r="C1807" s="26">
        <v>45709</v>
      </c>
      <c r="D1807" s="18" t="s">
        <v>942</v>
      </c>
      <c r="E1807" s="18" t="str">
        <f t="shared" si="28"/>
        <v>Pandey Print Services</v>
      </c>
      <c r="F1807" s="27" t="s">
        <v>943</v>
      </c>
      <c r="G1807" s="18" t="s">
        <v>147</v>
      </c>
      <c r="H1807" s="18" t="s">
        <v>148</v>
      </c>
      <c r="I1807" s="18" t="s">
        <v>207</v>
      </c>
      <c r="J1807" s="18" t="s">
        <v>1238</v>
      </c>
      <c r="K1807" s="18" t="s">
        <v>56</v>
      </c>
      <c r="L1807" s="18" t="s">
        <v>36</v>
      </c>
      <c r="N1807" s="18">
        <v>6</v>
      </c>
      <c r="O1807" s="18" t="s">
        <v>88</v>
      </c>
      <c r="P1807" s="18" t="s">
        <v>38</v>
      </c>
      <c r="Q1807" s="18" t="s">
        <v>58</v>
      </c>
      <c r="R1807" s="18" t="s">
        <v>59</v>
      </c>
      <c r="S1807" s="18" t="s">
        <v>60</v>
      </c>
      <c r="T1807" s="18" t="b">
        <v>1</v>
      </c>
      <c r="U1807" s="18" t="s">
        <v>150</v>
      </c>
      <c r="V1807" s="18" t="s">
        <v>40</v>
      </c>
      <c r="W1807" s="18" t="s">
        <v>196</v>
      </c>
      <c r="X1807" s="18" t="s">
        <v>197</v>
      </c>
      <c r="Y1807" s="18">
        <v>1</v>
      </c>
      <c r="Z1807" s="18">
        <v>1660</v>
      </c>
      <c r="AA1807" s="18" t="s">
        <v>299</v>
      </c>
      <c r="AB1807" s="18" t="s">
        <v>295</v>
      </c>
      <c r="AC1807" s="18" t="s">
        <v>163</v>
      </c>
    </row>
    <row r="1808" s="18" customFormat="1" spans="1:29">
      <c r="A1808" s="18" t="s">
        <v>3806</v>
      </c>
      <c r="B1808" s="25" t="s">
        <v>3806</v>
      </c>
      <c r="C1808" s="26">
        <v>45709</v>
      </c>
      <c r="D1808" s="18" t="s">
        <v>559</v>
      </c>
      <c r="E1808" s="18" t="str">
        <f t="shared" si="28"/>
        <v>Red Carpet Events And Entertainment</v>
      </c>
      <c r="F1808" s="27" t="s">
        <v>560</v>
      </c>
      <c r="G1808" s="18" t="s">
        <v>147</v>
      </c>
      <c r="H1808" s="18" t="s">
        <v>148</v>
      </c>
      <c r="I1808" s="18" t="s">
        <v>207</v>
      </c>
      <c r="J1808" s="18" t="s">
        <v>1238</v>
      </c>
      <c r="K1808" s="18" t="s">
        <v>56</v>
      </c>
      <c r="L1808" s="18" t="s">
        <v>36</v>
      </c>
      <c r="N1808" s="18">
        <v>6</v>
      </c>
      <c r="O1808" s="18" t="s">
        <v>88</v>
      </c>
      <c r="P1808" s="18" t="s">
        <v>38</v>
      </c>
      <c r="Q1808" s="18" t="s">
        <v>58</v>
      </c>
      <c r="R1808" s="18" t="s">
        <v>59</v>
      </c>
      <c r="S1808" s="18" t="s">
        <v>60</v>
      </c>
      <c r="T1808" s="18" t="b">
        <v>1</v>
      </c>
      <c r="U1808" s="18" t="s">
        <v>150</v>
      </c>
      <c r="V1808" s="18" t="s">
        <v>40</v>
      </c>
      <c r="W1808" s="18" t="s">
        <v>292</v>
      </c>
      <c r="X1808" s="18" t="s">
        <v>293</v>
      </c>
      <c r="Y1808" s="18">
        <v>1</v>
      </c>
      <c r="Z1808" s="18">
        <v>8800</v>
      </c>
      <c r="AA1808" s="18" t="s">
        <v>299</v>
      </c>
      <c r="AB1808" s="18" t="s">
        <v>295</v>
      </c>
      <c r="AC1808" s="18" t="e">
        <v>#N/A</v>
      </c>
    </row>
    <row r="1809" s="18" customFormat="1" spans="1:29">
      <c r="A1809" s="18" t="s">
        <v>3807</v>
      </c>
      <c r="B1809" s="25" t="s">
        <v>3807</v>
      </c>
      <c r="C1809" s="26">
        <v>45709</v>
      </c>
      <c r="D1809" s="18" t="s">
        <v>1725</v>
      </c>
      <c r="E1809" s="18" t="str">
        <f t="shared" si="28"/>
        <v>Rahul Luthra  </v>
      </c>
      <c r="F1809" s="27" t="e">
        <v>#N/A</v>
      </c>
      <c r="G1809" s="18" t="s">
        <v>147</v>
      </c>
      <c r="H1809" s="18" t="s">
        <v>148</v>
      </c>
      <c r="I1809" s="18" t="s">
        <v>3808</v>
      </c>
      <c r="J1809" s="18" t="s">
        <v>139</v>
      </c>
      <c r="K1809" s="18" t="s">
        <v>56</v>
      </c>
      <c r="L1809" s="18" t="s">
        <v>36</v>
      </c>
      <c r="N1809" s="18">
        <v>6</v>
      </c>
      <c r="O1809" s="18" t="s">
        <v>93</v>
      </c>
      <c r="P1809" s="18" t="s">
        <v>38</v>
      </c>
      <c r="Q1809" s="18" t="s">
        <v>58</v>
      </c>
      <c r="R1809" s="18" t="s">
        <v>59</v>
      </c>
      <c r="S1809" s="18" t="s">
        <v>60</v>
      </c>
      <c r="T1809" s="18" t="b">
        <v>1</v>
      </c>
      <c r="U1809" s="18" t="s">
        <v>150</v>
      </c>
      <c r="V1809" s="18" t="s">
        <v>40</v>
      </c>
      <c r="W1809" s="18" t="s">
        <v>803</v>
      </c>
      <c r="X1809" s="18" t="s">
        <v>804</v>
      </c>
      <c r="Y1809" s="18">
        <v>1</v>
      </c>
      <c r="Z1809" s="18">
        <v>193147</v>
      </c>
      <c r="AC1809" s="18" t="e">
        <v>#N/A</v>
      </c>
    </row>
    <row r="1810" s="18" customFormat="1" spans="1:29">
      <c r="A1810" s="18" t="s">
        <v>3809</v>
      </c>
      <c r="B1810" s="25" t="s">
        <v>3809</v>
      </c>
      <c r="C1810" s="26">
        <v>45709</v>
      </c>
      <c r="D1810" s="18" t="s">
        <v>1740</v>
      </c>
      <c r="E1810" s="18" t="str">
        <f t="shared" si="28"/>
        <v>Harshit Jain...............  </v>
      </c>
      <c r="F1810" s="27" t="e">
        <v>#N/A</v>
      </c>
      <c r="G1810" s="18" t="s">
        <v>147</v>
      </c>
      <c r="H1810" s="18" t="s">
        <v>148</v>
      </c>
      <c r="I1810" s="18" t="s">
        <v>3808</v>
      </c>
      <c r="J1810" s="18" t="s">
        <v>139</v>
      </c>
      <c r="K1810" s="18" t="s">
        <v>56</v>
      </c>
      <c r="L1810" s="18" t="s">
        <v>36</v>
      </c>
      <c r="N1810" s="18">
        <v>6</v>
      </c>
      <c r="O1810" s="18" t="s">
        <v>93</v>
      </c>
      <c r="P1810" s="18" t="s">
        <v>38</v>
      </c>
      <c r="Q1810" s="18" t="s">
        <v>58</v>
      </c>
      <c r="R1810" s="18" t="s">
        <v>59</v>
      </c>
      <c r="S1810" s="18" t="s">
        <v>60</v>
      </c>
      <c r="T1810" s="18" t="b">
        <v>1</v>
      </c>
      <c r="U1810" s="18" t="s">
        <v>150</v>
      </c>
      <c r="V1810" s="18" t="s">
        <v>40</v>
      </c>
      <c r="W1810" s="18" t="s">
        <v>803</v>
      </c>
      <c r="X1810" s="18" t="s">
        <v>804</v>
      </c>
      <c r="Y1810" s="18">
        <v>1</v>
      </c>
      <c r="Z1810" s="18">
        <v>72617</v>
      </c>
      <c r="AA1810" s="18" t="s">
        <v>142</v>
      </c>
      <c r="AB1810" s="18" t="s">
        <v>143</v>
      </c>
      <c r="AC1810" s="18" t="e">
        <v>#N/A</v>
      </c>
    </row>
    <row r="1811" s="18" customFormat="1" spans="1:29">
      <c r="A1811" s="18" t="s">
        <v>3810</v>
      </c>
      <c r="B1811" s="25" t="s">
        <v>3810</v>
      </c>
      <c r="C1811" s="26">
        <v>45709</v>
      </c>
      <c r="D1811" s="18" t="s">
        <v>3811</v>
      </c>
      <c r="E1811" s="18" t="str">
        <f t="shared" si="28"/>
        <v>Praveen Kumar......</v>
      </c>
      <c r="F1811" s="27" t="e">
        <v>#N/A</v>
      </c>
      <c r="G1811" s="18" t="s">
        <v>147</v>
      </c>
      <c r="H1811" s="18" t="s">
        <v>148</v>
      </c>
      <c r="I1811" s="18" t="s">
        <v>54</v>
      </c>
      <c r="J1811" s="18" t="s">
        <v>3002</v>
      </c>
      <c r="K1811" s="18" t="s">
        <v>56</v>
      </c>
      <c r="L1811" s="18" t="s">
        <v>36</v>
      </c>
      <c r="N1811" s="18">
        <v>6</v>
      </c>
      <c r="O1811" s="18" t="s">
        <v>93</v>
      </c>
      <c r="P1811" s="18" t="s">
        <v>38</v>
      </c>
      <c r="Q1811" s="18" t="s">
        <v>58</v>
      </c>
      <c r="R1811" s="18" t="s">
        <v>59</v>
      </c>
      <c r="S1811" s="18" t="s">
        <v>60</v>
      </c>
      <c r="T1811" s="18" t="b">
        <v>1</v>
      </c>
      <c r="U1811" s="18" t="s">
        <v>150</v>
      </c>
      <c r="V1811" s="18" t="s">
        <v>40</v>
      </c>
      <c r="W1811" s="18" t="s">
        <v>412</v>
      </c>
      <c r="X1811" s="18" t="s">
        <v>413</v>
      </c>
      <c r="Y1811" s="18">
        <v>1</v>
      </c>
      <c r="Z1811" s="18">
        <v>19609</v>
      </c>
      <c r="AA1811" s="18" t="s">
        <v>1610</v>
      </c>
      <c r="AB1811" s="18" t="s">
        <v>339</v>
      </c>
      <c r="AC1811" s="18" t="e">
        <v>#N/A</v>
      </c>
    </row>
    <row r="1812" s="18" customFormat="1" spans="1:29">
      <c r="A1812" s="18" t="s">
        <v>3812</v>
      </c>
      <c r="B1812" s="25" t="s">
        <v>3812</v>
      </c>
      <c r="C1812" s="26">
        <v>45709</v>
      </c>
      <c r="D1812" s="18" t="s">
        <v>365</v>
      </c>
      <c r="E1812" s="18" t="str">
        <f t="shared" si="28"/>
        <v>Samarth Kapoor  </v>
      </c>
      <c r="F1812" s="27" t="e">
        <v>#N/A</v>
      </c>
      <c r="G1812" s="18" t="s">
        <v>147</v>
      </c>
      <c r="H1812" s="18" t="s">
        <v>148</v>
      </c>
      <c r="I1812" s="18" t="s">
        <v>3808</v>
      </c>
      <c r="J1812" s="18" t="s">
        <v>139</v>
      </c>
      <c r="K1812" s="18" t="s">
        <v>56</v>
      </c>
      <c r="L1812" s="18" t="s">
        <v>36</v>
      </c>
      <c r="N1812" s="18">
        <v>6</v>
      </c>
      <c r="O1812" s="18" t="s">
        <v>93</v>
      </c>
      <c r="P1812" s="18" t="s">
        <v>38</v>
      </c>
      <c r="Q1812" s="18" t="s">
        <v>58</v>
      </c>
      <c r="R1812" s="18" t="s">
        <v>59</v>
      </c>
      <c r="S1812" s="18" t="s">
        <v>60</v>
      </c>
      <c r="T1812" s="18" t="b">
        <v>1</v>
      </c>
      <c r="U1812" s="18" t="s">
        <v>150</v>
      </c>
      <c r="V1812" s="18" t="s">
        <v>40</v>
      </c>
      <c r="W1812" s="18" t="s">
        <v>803</v>
      </c>
      <c r="X1812" s="18" t="s">
        <v>804</v>
      </c>
      <c r="Y1812" s="18">
        <v>1</v>
      </c>
      <c r="Z1812" s="18">
        <v>41576</v>
      </c>
      <c r="AC1812" s="18" t="e">
        <v>#N/A</v>
      </c>
    </row>
    <row r="1813" s="18" customFormat="1" spans="1:29">
      <c r="A1813" s="18" t="s">
        <v>3813</v>
      </c>
      <c r="B1813" s="25" t="s">
        <v>3813</v>
      </c>
      <c r="C1813" s="26">
        <v>45709</v>
      </c>
      <c r="D1813" s="18" t="s">
        <v>3811</v>
      </c>
      <c r="E1813" s="18" t="str">
        <f t="shared" si="28"/>
        <v>Praveen Kumar......</v>
      </c>
      <c r="F1813" s="27" t="e">
        <v>#N/A</v>
      </c>
      <c r="G1813" s="18" t="s">
        <v>147</v>
      </c>
      <c r="H1813" s="18" t="s">
        <v>148</v>
      </c>
      <c r="I1813" s="18" t="s">
        <v>54</v>
      </c>
      <c r="J1813" s="18" t="s">
        <v>3002</v>
      </c>
      <c r="K1813" s="18" t="s">
        <v>56</v>
      </c>
      <c r="L1813" s="18" t="s">
        <v>36</v>
      </c>
      <c r="N1813" s="18">
        <v>6</v>
      </c>
      <c r="O1813" s="18" t="s">
        <v>93</v>
      </c>
      <c r="P1813" s="18" t="s">
        <v>38</v>
      </c>
      <c r="Q1813" s="18" t="s">
        <v>58</v>
      </c>
      <c r="R1813" s="18" t="s">
        <v>59</v>
      </c>
      <c r="S1813" s="18" t="s">
        <v>60</v>
      </c>
      <c r="T1813" s="18" t="b">
        <v>1</v>
      </c>
      <c r="U1813" s="18" t="s">
        <v>150</v>
      </c>
      <c r="V1813" s="18" t="s">
        <v>40</v>
      </c>
      <c r="W1813" s="18" t="s">
        <v>126</v>
      </c>
      <c r="X1813" s="18" t="s">
        <v>127</v>
      </c>
      <c r="Y1813" s="18">
        <v>1</v>
      </c>
      <c r="Z1813" s="18">
        <v>4894</v>
      </c>
      <c r="AA1813" s="18" t="s">
        <v>1610</v>
      </c>
      <c r="AB1813" s="18" t="s">
        <v>339</v>
      </c>
      <c r="AC1813" s="18" t="e">
        <v>#N/A</v>
      </c>
    </row>
    <row r="1814" s="18" customFormat="1" spans="1:29">
      <c r="A1814" s="18" t="s">
        <v>3814</v>
      </c>
      <c r="B1814" s="25" t="s">
        <v>3814</v>
      </c>
      <c r="C1814" s="26">
        <v>45709</v>
      </c>
      <c r="D1814" s="18" t="s">
        <v>3811</v>
      </c>
      <c r="E1814" s="18" t="str">
        <f t="shared" si="28"/>
        <v>Praveen Kumar......</v>
      </c>
      <c r="F1814" s="27" t="e">
        <v>#N/A</v>
      </c>
      <c r="G1814" s="18" t="s">
        <v>147</v>
      </c>
      <c r="H1814" s="18" t="s">
        <v>148</v>
      </c>
      <c r="I1814" s="18" t="s">
        <v>54</v>
      </c>
      <c r="J1814" s="18" t="s">
        <v>3002</v>
      </c>
      <c r="K1814" s="18" t="s">
        <v>56</v>
      </c>
      <c r="L1814" s="18" t="s">
        <v>36</v>
      </c>
      <c r="N1814" s="18">
        <v>6</v>
      </c>
      <c r="O1814" s="18" t="s">
        <v>93</v>
      </c>
      <c r="P1814" s="18" t="s">
        <v>38</v>
      </c>
      <c r="Q1814" s="18" t="s">
        <v>58</v>
      </c>
      <c r="R1814" s="18" t="s">
        <v>59</v>
      </c>
      <c r="S1814" s="18" t="s">
        <v>60</v>
      </c>
      <c r="T1814" s="18" t="b">
        <v>1</v>
      </c>
      <c r="U1814" s="18" t="s">
        <v>150</v>
      </c>
      <c r="V1814" s="18" t="s">
        <v>40</v>
      </c>
      <c r="W1814" s="18" t="s">
        <v>233</v>
      </c>
      <c r="X1814" s="18" t="s">
        <v>234</v>
      </c>
      <c r="Y1814" s="18">
        <v>1</v>
      </c>
      <c r="Z1814" s="18">
        <v>109900</v>
      </c>
      <c r="AA1814" s="18" t="s">
        <v>3815</v>
      </c>
      <c r="AB1814" s="18" t="e">
        <v>#N/A</v>
      </c>
      <c r="AC1814" s="18" t="e">
        <v>#N/A</v>
      </c>
    </row>
    <row r="1815" s="18" customFormat="1" spans="1:29">
      <c r="A1815" s="18" t="s">
        <v>3816</v>
      </c>
      <c r="B1815" s="25" t="s">
        <v>3816</v>
      </c>
      <c r="C1815" s="26">
        <v>45709</v>
      </c>
      <c r="D1815" s="18" t="s">
        <v>1736</v>
      </c>
      <c r="E1815" s="18" t="str">
        <f t="shared" si="28"/>
        <v>Tribhuvan Kapoor.....</v>
      </c>
      <c r="F1815" s="27" t="e">
        <v>#N/A</v>
      </c>
      <c r="G1815" s="18" t="s">
        <v>147</v>
      </c>
      <c r="H1815" s="18" t="s">
        <v>148</v>
      </c>
      <c r="I1815" s="18" t="s">
        <v>3808</v>
      </c>
      <c r="J1815" s="18" t="s">
        <v>139</v>
      </c>
      <c r="K1815" s="18" t="s">
        <v>56</v>
      </c>
      <c r="L1815" s="18" t="s">
        <v>36</v>
      </c>
      <c r="N1815" s="18">
        <v>6</v>
      </c>
      <c r="O1815" s="18" t="s">
        <v>93</v>
      </c>
      <c r="P1815" s="18" t="s">
        <v>38</v>
      </c>
      <c r="Q1815" s="18" t="s">
        <v>58</v>
      </c>
      <c r="R1815" s="18" t="s">
        <v>59</v>
      </c>
      <c r="S1815" s="18" t="s">
        <v>60</v>
      </c>
      <c r="T1815" s="18" t="b">
        <v>1</v>
      </c>
      <c r="U1815" s="18" t="s">
        <v>150</v>
      </c>
      <c r="V1815" s="18" t="s">
        <v>40</v>
      </c>
      <c r="W1815" s="18" t="s">
        <v>803</v>
      </c>
      <c r="X1815" s="18" t="s">
        <v>804</v>
      </c>
      <c r="Y1815" s="18">
        <v>1</v>
      </c>
      <c r="Z1815" s="18">
        <v>17264</v>
      </c>
      <c r="AC1815" s="18" t="e">
        <v>#N/A</v>
      </c>
    </row>
    <row r="1816" s="18" customFormat="1" spans="1:29">
      <c r="A1816" s="18" t="s">
        <v>3817</v>
      </c>
      <c r="B1816" s="25" t="s">
        <v>3817</v>
      </c>
      <c r="C1816" s="26">
        <v>45709</v>
      </c>
      <c r="D1816" s="18" t="s">
        <v>3818</v>
      </c>
      <c r="E1816" s="18" t="str">
        <f t="shared" si="28"/>
        <v>Kundan Badiwal.........</v>
      </c>
      <c r="F1816" s="27" t="e">
        <v>#N/A</v>
      </c>
      <c r="G1816" s="18" t="s">
        <v>147</v>
      </c>
      <c r="H1816" s="18" t="s">
        <v>148</v>
      </c>
      <c r="I1816" s="18" t="s">
        <v>3808</v>
      </c>
      <c r="J1816" s="18" t="s">
        <v>139</v>
      </c>
      <c r="K1816" s="18" t="s">
        <v>56</v>
      </c>
      <c r="L1816" s="18" t="s">
        <v>36</v>
      </c>
      <c r="N1816" s="18">
        <v>6</v>
      </c>
      <c r="O1816" s="18" t="s">
        <v>93</v>
      </c>
      <c r="P1816" s="18" t="s">
        <v>38</v>
      </c>
      <c r="Q1816" s="18" t="s">
        <v>58</v>
      </c>
      <c r="R1816" s="18" t="s">
        <v>59</v>
      </c>
      <c r="S1816" s="18" t="s">
        <v>60</v>
      </c>
      <c r="T1816" s="18" t="b">
        <v>1</v>
      </c>
      <c r="U1816" s="18" t="s">
        <v>150</v>
      </c>
      <c r="V1816" s="18" t="s">
        <v>40</v>
      </c>
      <c r="W1816" s="18" t="s">
        <v>803</v>
      </c>
      <c r="X1816" s="18" t="s">
        <v>804</v>
      </c>
      <c r="Y1816" s="18">
        <v>1</v>
      </c>
      <c r="Z1816" s="18">
        <v>699164</v>
      </c>
      <c r="AA1816" s="18" t="s">
        <v>3819</v>
      </c>
      <c r="AB1816" s="18" t="s">
        <v>1016</v>
      </c>
      <c r="AC1816" s="18" t="e">
        <v>#N/A</v>
      </c>
    </row>
    <row r="1817" s="18" customFormat="1" ht="43.5" spans="1:29">
      <c r="A1817" s="18" t="s">
        <v>3820</v>
      </c>
      <c r="B1817" s="25" t="s">
        <v>3820</v>
      </c>
      <c r="C1817" s="26">
        <v>45709</v>
      </c>
      <c r="D1817" s="18" t="s">
        <v>2641</v>
      </c>
      <c r="E1817" s="18" t="str">
        <f t="shared" si="28"/>
        <v>Lamour Voyages Pvt Ltd</v>
      </c>
      <c r="F1817" s="27" t="s">
        <v>2642</v>
      </c>
      <c r="G1817" s="18" t="s">
        <v>147</v>
      </c>
      <c r="H1817" s="18" t="s">
        <v>148</v>
      </c>
      <c r="I1817" s="18" t="s">
        <v>184</v>
      </c>
      <c r="J1817" s="18" t="s">
        <v>1871</v>
      </c>
      <c r="K1817" s="18" t="s">
        <v>56</v>
      </c>
      <c r="L1817" s="18" t="s">
        <v>36</v>
      </c>
      <c r="N1817" s="18">
        <v>6</v>
      </c>
      <c r="O1817" s="18" t="s">
        <v>57</v>
      </c>
      <c r="P1817" s="18" t="s">
        <v>38</v>
      </c>
      <c r="Q1817" s="18" t="s">
        <v>117</v>
      </c>
      <c r="R1817" s="18" t="s">
        <v>59</v>
      </c>
      <c r="S1817" s="18" t="s">
        <v>118</v>
      </c>
      <c r="T1817" s="18" t="b">
        <v>1</v>
      </c>
      <c r="U1817" s="18" t="s">
        <v>150</v>
      </c>
      <c r="V1817" s="18" t="s">
        <v>40</v>
      </c>
      <c r="W1817" s="18" t="s">
        <v>119</v>
      </c>
      <c r="X1817" s="18" t="s">
        <v>120</v>
      </c>
      <c r="Y1817" s="18">
        <v>1</v>
      </c>
      <c r="Z1817" s="18">
        <v>92043</v>
      </c>
      <c r="AA1817" s="31" t="s">
        <v>3176</v>
      </c>
      <c r="AB1817" s="18" t="s">
        <v>1424</v>
      </c>
      <c r="AC1817" s="18" t="s">
        <v>764</v>
      </c>
    </row>
    <row r="1818" s="18" customFormat="1" spans="1:29">
      <c r="A1818" s="18" t="s">
        <v>3821</v>
      </c>
      <c r="B1818" s="25" t="s">
        <v>3821</v>
      </c>
      <c r="C1818" s="26">
        <v>45709</v>
      </c>
      <c r="D1818" s="18" t="s">
        <v>2321</v>
      </c>
      <c r="E1818" s="18" t="str">
        <f t="shared" si="28"/>
        <v>Krisha Chheda  </v>
      </c>
      <c r="F1818" s="27" t="e">
        <v>#N/A</v>
      </c>
      <c r="G1818" s="18" t="s">
        <v>182</v>
      </c>
      <c r="H1818" s="18" t="s">
        <v>183</v>
      </c>
      <c r="I1818" s="18" t="s">
        <v>481</v>
      </c>
      <c r="J1818" s="18" t="s">
        <v>3246</v>
      </c>
      <c r="K1818" s="18" t="s">
        <v>56</v>
      </c>
      <c r="L1818" s="18" t="s">
        <v>36</v>
      </c>
      <c r="N1818" s="18">
        <v>6</v>
      </c>
      <c r="O1818" s="18" t="s">
        <v>93</v>
      </c>
      <c r="P1818" s="18" t="s">
        <v>38</v>
      </c>
      <c r="Q1818" s="18" t="s">
        <v>194</v>
      </c>
      <c r="R1818" s="18" t="s">
        <v>59</v>
      </c>
      <c r="S1818" s="18" t="s">
        <v>195</v>
      </c>
      <c r="T1818" s="18" t="b">
        <v>0</v>
      </c>
      <c r="U1818" s="18" t="s">
        <v>187</v>
      </c>
      <c r="V1818" s="18" t="s">
        <v>40</v>
      </c>
      <c r="W1818" s="18" t="s">
        <v>126</v>
      </c>
      <c r="X1818" s="18" t="s">
        <v>127</v>
      </c>
      <c r="Y1818" s="18">
        <v>1</v>
      </c>
      <c r="Z1818" s="18">
        <v>599</v>
      </c>
      <c r="AC1818" s="18" t="e">
        <v>#N/A</v>
      </c>
    </row>
    <row r="1819" s="18" customFormat="1" spans="1:29">
      <c r="A1819" s="18" t="s">
        <v>3822</v>
      </c>
      <c r="B1819" s="25" t="s">
        <v>3822</v>
      </c>
      <c r="C1819" s="26">
        <v>45709</v>
      </c>
      <c r="D1819" s="18" t="s">
        <v>2329</v>
      </c>
      <c r="E1819" s="18" t="str">
        <f t="shared" si="28"/>
        <v>Aalhad Bavkar  </v>
      </c>
      <c r="F1819" s="27" t="e">
        <v>#N/A</v>
      </c>
      <c r="G1819" s="18" t="s">
        <v>182</v>
      </c>
      <c r="H1819" s="18" t="s">
        <v>183</v>
      </c>
      <c r="I1819" s="18" t="s">
        <v>481</v>
      </c>
      <c r="J1819" s="18" t="s">
        <v>3246</v>
      </c>
      <c r="K1819" s="18" t="s">
        <v>56</v>
      </c>
      <c r="L1819" s="18" t="s">
        <v>36</v>
      </c>
      <c r="N1819" s="18">
        <v>6</v>
      </c>
      <c r="O1819" s="18" t="s">
        <v>93</v>
      </c>
      <c r="P1819" s="18" t="s">
        <v>38</v>
      </c>
      <c r="Q1819" s="18" t="s">
        <v>194</v>
      </c>
      <c r="R1819" s="18" t="s">
        <v>59</v>
      </c>
      <c r="S1819" s="18" t="s">
        <v>195</v>
      </c>
      <c r="T1819" s="18" t="b">
        <v>0</v>
      </c>
      <c r="U1819" s="18" t="s">
        <v>187</v>
      </c>
      <c r="V1819" s="18" t="s">
        <v>40</v>
      </c>
      <c r="W1819" s="18" t="s">
        <v>317</v>
      </c>
      <c r="X1819" s="18" t="s">
        <v>318</v>
      </c>
      <c r="Y1819" s="18">
        <v>1</v>
      </c>
      <c r="Z1819" s="18">
        <v>22</v>
      </c>
      <c r="AC1819" s="18" t="e">
        <v>#N/A</v>
      </c>
    </row>
    <row r="1820" s="18" customFormat="1" ht="43.5" spans="1:29">
      <c r="A1820" s="18" t="s">
        <v>3823</v>
      </c>
      <c r="B1820" s="25" t="s">
        <v>3823</v>
      </c>
      <c r="C1820" s="26">
        <v>45709</v>
      </c>
      <c r="D1820" s="18" t="s">
        <v>3824</v>
      </c>
      <c r="E1820" s="18" t="str">
        <f t="shared" si="28"/>
        <v>Right Angle Productions</v>
      </c>
      <c r="F1820" s="27" t="s">
        <v>3825</v>
      </c>
      <c r="G1820" s="18" t="s">
        <v>182</v>
      </c>
      <c r="H1820" s="18" t="s">
        <v>183</v>
      </c>
      <c r="I1820" s="18" t="s">
        <v>184</v>
      </c>
      <c r="J1820" s="18" t="s">
        <v>2319</v>
      </c>
      <c r="K1820" s="18" t="s">
        <v>56</v>
      </c>
      <c r="L1820" s="18" t="s">
        <v>36</v>
      </c>
      <c r="N1820" s="18">
        <v>6</v>
      </c>
      <c r="O1820" s="18" t="s">
        <v>88</v>
      </c>
      <c r="P1820" s="18" t="s">
        <v>38</v>
      </c>
      <c r="Q1820" s="18" t="s">
        <v>194</v>
      </c>
      <c r="R1820" s="18" t="s">
        <v>59</v>
      </c>
      <c r="S1820" s="18" t="s">
        <v>195</v>
      </c>
      <c r="T1820" s="18" t="b">
        <v>0</v>
      </c>
      <c r="U1820" s="18" t="s">
        <v>187</v>
      </c>
      <c r="V1820" s="18" t="s">
        <v>40</v>
      </c>
      <c r="W1820" s="18" t="s">
        <v>151</v>
      </c>
      <c r="X1820" s="18" t="s">
        <v>152</v>
      </c>
      <c r="Y1820" s="18">
        <v>1</v>
      </c>
      <c r="Z1820" s="18">
        <v>390000</v>
      </c>
      <c r="AA1820" s="31" t="s">
        <v>3826</v>
      </c>
      <c r="AB1820" s="18" t="s">
        <v>3827</v>
      </c>
      <c r="AC1820" s="18" t="s">
        <v>200</v>
      </c>
    </row>
    <row r="1821" s="18" customFormat="1" spans="1:29">
      <c r="A1821" s="18" t="s">
        <v>3828</v>
      </c>
      <c r="B1821" s="25" t="s">
        <v>3828</v>
      </c>
      <c r="C1821" s="26">
        <v>45709</v>
      </c>
      <c r="D1821" s="18" t="s">
        <v>2049</v>
      </c>
      <c r="E1821" s="18" t="str">
        <f t="shared" si="28"/>
        <v>Sameer Tobaccowala </v>
      </c>
      <c r="F1821" s="27" t="e">
        <v>#N/A</v>
      </c>
      <c r="G1821" s="18" t="s">
        <v>182</v>
      </c>
      <c r="H1821" s="18" t="s">
        <v>183</v>
      </c>
      <c r="I1821" s="18" t="s">
        <v>481</v>
      </c>
      <c r="J1821" s="18" t="s">
        <v>2264</v>
      </c>
      <c r="K1821" s="18" t="s">
        <v>56</v>
      </c>
      <c r="L1821" s="18" t="s">
        <v>36</v>
      </c>
      <c r="N1821" s="18">
        <v>6</v>
      </c>
      <c r="O1821" s="18" t="s">
        <v>93</v>
      </c>
      <c r="P1821" s="18" t="s">
        <v>38</v>
      </c>
      <c r="Q1821" s="18" t="s">
        <v>58</v>
      </c>
      <c r="R1821" s="18" t="s">
        <v>59</v>
      </c>
      <c r="S1821" s="18" t="s">
        <v>60</v>
      </c>
      <c r="T1821" s="18" t="b">
        <v>0</v>
      </c>
      <c r="U1821" s="18" t="s">
        <v>187</v>
      </c>
      <c r="V1821" s="18" t="s">
        <v>40</v>
      </c>
      <c r="W1821" s="18" t="s">
        <v>3829</v>
      </c>
      <c r="X1821" s="18" t="s">
        <v>3830</v>
      </c>
      <c r="Y1821" s="18">
        <v>1</v>
      </c>
      <c r="Z1821" s="18">
        <v>47320</v>
      </c>
      <c r="AC1821" s="18" t="e">
        <v>#N/A</v>
      </c>
    </row>
    <row r="1822" s="18" customFormat="1" spans="1:29">
      <c r="A1822" s="18" t="s">
        <v>3831</v>
      </c>
      <c r="B1822" s="25" t="s">
        <v>3831</v>
      </c>
      <c r="C1822" s="26">
        <v>45709</v>
      </c>
      <c r="D1822" s="18" t="s">
        <v>1480</v>
      </c>
      <c r="E1822" s="18" t="str">
        <f t="shared" si="28"/>
        <v>Gulfaam Shaikh  </v>
      </c>
      <c r="F1822" s="27" t="e">
        <v>#N/A</v>
      </c>
      <c r="G1822" s="18" t="s">
        <v>182</v>
      </c>
      <c r="H1822" s="18" t="s">
        <v>183</v>
      </c>
      <c r="I1822" s="18" t="s">
        <v>481</v>
      </c>
      <c r="J1822" s="18" t="s">
        <v>2591</v>
      </c>
      <c r="K1822" s="18" t="s">
        <v>56</v>
      </c>
      <c r="L1822" s="18" t="s">
        <v>36</v>
      </c>
      <c r="N1822" s="18">
        <v>6</v>
      </c>
      <c r="O1822" s="18" t="s">
        <v>93</v>
      </c>
      <c r="P1822" s="18" t="s">
        <v>38</v>
      </c>
      <c r="Q1822" s="18" t="s">
        <v>194</v>
      </c>
      <c r="R1822" s="18" t="s">
        <v>59</v>
      </c>
      <c r="S1822" s="18" t="s">
        <v>195</v>
      </c>
      <c r="T1822" s="18" t="b">
        <v>0</v>
      </c>
      <c r="U1822" s="18" t="s">
        <v>187</v>
      </c>
      <c r="V1822" s="18" t="s">
        <v>40</v>
      </c>
      <c r="W1822" s="18" t="s">
        <v>126</v>
      </c>
      <c r="X1822" s="18" t="s">
        <v>127</v>
      </c>
      <c r="Y1822" s="18">
        <v>1</v>
      </c>
      <c r="Z1822" s="18">
        <v>1366</v>
      </c>
      <c r="AC1822" s="18" t="e">
        <v>#N/A</v>
      </c>
    </row>
    <row r="1823" s="18" customFormat="1" spans="1:29">
      <c r="A1823" s="18" t="s">
        <v>3832</v>
      </c>
      <c r="B1823" s="25" t="s">
        <v>3832</v>
      </c>
      <c r="C1823" s="26">
        <v>45709</v>
      </c>
      <c r="D1823" s="18" t="s">
        <v>1480</v>
      </c>
      <c r="E1823" s="18" t="str">
        <f t="shared" si="28"/>
        <v>Gulfaam Shaikh  </v>
      </c>
      <c r="F1823" s="27" t="e">
        <v>#N/A</v>
      </c>
      <c r="G1823" s="18" t="s">
        <v>182</v>
      </c>
      <c r="H1823" s="18" t="s">
        <v>183</v>
      </c>
      <c r="I1823" s="18" t="s">
        <v>481</v>
      </c>
      <c r="J1823" s="18" t="s">
        <v>1535</v>
      </c>
      <c r="K1823" s="18" t="s">
        <v>56</v>
      </c>
      <c r="L1823" s="18" t="s">
        <v>36</v>
      </c>
      <c r="N1823" s="18">
        <v>6</v>
      </c>
      <c r="O1823" s="18" t="s">
        <v>93</v>
      </c>
      <c r="P1823" s="18" t="s">
        <v>38</v>
      </c>
      <c r="Q1823" s="18" t="s">
        <v>194</v>
      </c>
      <c r="R1823" s="18" t="s">
        <v>59</v>
      </c>
      <c r="S1823" s="18" t="s">
        <v>195</v>
      </c>
      <c r="T1823" s="18" t="b">
        <v>0</v>
      </c>
      <c r="U1823" s="18" t="s">
        <v>187</v>
      </c>
      <c r="V1823" s="18" t="s">
        <v>40</v>
      </c>
      <c r="W1823" s="18" t="s">
        <v>126</v>
      </c>
      <c r="X1823" s="18" t="s">
        <v>127</v>
      </c>
      <c r="Y1823" s="18">
        <v>1</v>
      </c>
      <c r="Z1823" s="18">
        <v>1248</v>
      </c>
      <c r="AC1823" s="18" t="e">
        <v>#N/A</v>
      </c>
    </row>
    <row r="1824" s="18" customFormat="1" spans="1:29">
      <c r="A1824" s="18" t="s">
        <v>3833</v>
      </c>
      <c r="B1824" s="25" t="s">
        <v>3833</v>
      </c>
      <c r="C1824" s="26">
        <v>45709</v>
      </c>
      <c r="D1824" s="18" t="s">
        <v>977</v>
      </c>
      <c r="E1824" s="18" t="str">
        <f t="shared" si="28"/>
        <v>Videowaves</v>
      </c>
      <c r="F1824" s="27" t="e">
        <v>#N/A</v>
      </c>
      <c r="G1824" s="18" t="s">
        <v>182</v>
      </c>
      <c r="H1824" s="18" t="s">
        <v>183</v>
      </c>
      <c r="I1824" s="18" t="s">
        <v>184</v>
      </c>
      <c r="J1824" s="18" t="s">
        <v>3246</v>
      </c>
      <c r="K1824" s="18" t="s">
        <v>56</v>
      </c>
      <c r="L1824" s="18" t="s">
        <v>36</v>
      </c>
      <c r="N1824" s="18">
        <v>6</v>
      </c>
      <c r="O1824" s="18" t="s">
        <v>88</v>
      </c>
      <c r="P1824" s="18" t="s">
        <v>38</v>
      </c>
      <c r="Q1824" s="18" t="s">
        <v>194</v>
      </c>
      <c r="R1824" s="18" t="s">
        <v>59</v>
      </c>
      <c r="S1824" s="18" t="s">
        <v>195</v>
      </c>
      <c r="T1824" s="18" t="b">
        <v>0</v>
      </c>
      <c r="U1824" s="18" t="s">
        <v>187</v>
      </c>
      <c r="V1824" s="18" t="s">
        <v>40</v>
      </c>
      <c r="W1824" s="18" t="s">
        <v>371</v>
      </c>
      <c r="X1824" s="18" t="s">
        <v>372</v>
      </c>
      <c r="Y1824" s="18">
        <v>1</v>
      </c>
      <c r="Z1824" s="18">
        <v>120000</v>
      </c>
      <c r="AA1824" s="18" t="s">
        <v>3796</v>
      </c>
      <c r="AB1824" s="18" t="s">
        <v>2056</v>
      </c>
      <c r="AC1824" s="18" t="s">
        <v>200</v>
      </c>
    </row>
    <row r="1825" s="18" customFormat="1" spans="1:29">
      <c r="A1825" s="18" t="s">
        <v>3834</v>
      </c>
      <c r="B1825" s="25" t="s">
        <v>3834</v>
      </c>
      <c r="C1825" s="26">
        <v>45709</v>
      </c>
      <c r="D1825" s="18" t="s">
        <v>971</v>
      </c>
      <c r="E1825" s="18" t="str">
        <f t="shared" si="28"/>
        <v>S T Sound System</v>
      </c>
      <c r="F1825" s="27" t="s">
        <v>972</v>
      </c>
      <c r="G1825" s="18" t="s">
        <v>182</v>
      </c>
      <c r="H1825" s="18" t="s">
        <v>183</v>
      </c>
      <c r="I1825" s="18" t="s">
        <v>184</v>
      </c>
      <c r="J1825" s="18" t="s">
        <v>3246</v>
      </c>
      <c r="K1825" s="18" t="s">
        <v>56</v>
      </c>
      <c r="L1825" s="18" t="s">
        <v>36</v>
      </c>
      <c r="N1825" s="18">
        <v>6</v>
      </c>
      <c r="O1825" s="18" t="s">
        <v>57</v>
      </c>
      <c r="P1825" s="18" t="s">
        <v>38</v>
      </c>
      <c r="Q1825" s="18" t="s">
        <v>194</v>
      </c>
      <c r="R1825" s="18" t="s">
        <v>59</v>
      </c>
      <c r="S1825" s="18" t="s">
        <v>195</v>
      </c>
      <c r="T1825" s="18" t="b">
        <v>0</v>
      </c>
      <c r="U1825" s="18" t="s">
        <v>187</v>
      </c>
      <c r="V1825" s="18" t="s">
        <v>40</v>
      </c>
      <c r="W1825" s="18" t="s">
        <v>371</v>
      </c>
      <c r="X1825" s="18" t="s">
        <v>372</v>
      </c>
      <c r="Y1825" s="18">
        <v>1</v>
      </c>
      <c r="Z1825" s="18">
        <v>60000</v>
      </c>
      <c r="AA1825" s="18" t="s">
        <v>3796</v>
      </c>
      <c r="AB1825" s="18" t="s">
        <v>2056</v>
      </c>
      <c r="AC1825" s="18" t="e">
        <v>#N/A</v>
      </c>
    </row>
    <row r="1826" s="18" customFormat="1" spans="1:29">
      <c r="A1826" s="18" t="s">
        <v>3835</v>
      </c>
      <c r="B1826" s="25" t="s">
        <v>3835</v>
      </c>
      <c r="C1826" s="26">
        <v>45709</v>
      </c>
      <c r="D1826" s="18" t="s">
        <v>974</v>
      </c>
      <c r="E1826" s="18" t="str">
        <f t="shared" si="28"/>
        <v>Shiv Shakti Enterprises</v>
      </c>
      <c r="F1826" s="27" t="s">
        <v>975</v>
      </c>
      <c r="G1826" s="18" t="s">
        <v>182</v>
      </c>
      <c r="H1826" s="18" t="s">
        <v>183</v>
      </c>
      <c r="I1826" s="18" t="s">
        <v>184</v>
      </c>
      <c r="J1826" s="18" t="s">
        <v>3246</v>
      </c>
      <c r="K1826" s="18" t="s">
        <v>56</v>
      </c>
      <c r="L1826" s="18" t="s">
        <v>36</v>
      </c>
      <c r="N1826" s="18">
        <v>6</v>
      </c>
      <c r="O1826" s="18" t="s">
        <v>57</v>
      </c>
      <c r="P1826" s="18" t="s">
        <v>38</v>
      </c>
      <c r="Q1826" s="18" t="s">
        <v>194</v>
      </c>
      <c r="R1826" s="18" t="s">
        <v>59</v>
      </c>
      <c r="S1826" s="18" t="s">
        <v>195</v>
      </c>
      <c r="T1826" s="18" t="b">
        <v>0</v>
      </c>
      <c r="U1826" s="18" t="s">
        <v>187</v>
      </c>
      <c r="V1826" s="18" t="s">
        <v>40</v>
      </c>
      <c r="W1826" s="18" t="s">
        <v>371</v>
      </c>
      <c r="X1826" s="18" t="s">
        <v>372</v>
      </c>
      <c r="Y1826" s="18">
        <v>1</v>
      </c>
      <c r="Z1826" s="18">
        <v>65000</v>
      </c>
      <c r="AA1826" s="18" t="s">
        <v>3796</v>
      </c>
      <c r="AB1826" s="18" t="s">
        <v>2056</v>
      </c>
      <c r="AC1826" s="18" t="s">
        <v>200</v>
      </c>
    </row>
    <row r="1827" s="18" customFormat="1" spans="1:29">
      <c r="A1827" s="18" t="s">
        <v>3836</v>
      </c>
      <c r="B1827" s="25" t="s">
        <v>3836</v>
      </c>
      <c r="C1827" s="26">
        <v>45709</v>
      </c>
      <c r="D1827" s="18" t="s">
        <v>1981</v>
      </c>
      <c r="E1827" s="18" t="str">
        <f t="shared" si="28"/>
        <v>Oriana Communications</v>
      </c>
      <c r="F1827" s="27" t="s">
        <v>1982</v>
      </c>
      <c r="G1827" s="18" t="s">
        <v>182</v>
      </c>
      <c r="H1827" s="18" t="s">
        <v>183</v>
      </c>
      <c r="I1827" s="18" t="s">
        <v>184</v>
      </c>
      <c r="J1827" s="18" t="s">
        <v>3246</v>
      </c>
      <c r="K1827" s="18" t="s">
        <v>56</v>
      </c>
      <c r="L1827" s="18" t="s">
        <v>36</v>
      </c>
      <c r="N1827" s="18">
        <v>6</v>
      </c>
      <c r="O1827" s="18" t="s">
        <v>57</v>
      </c>
      <c r="P1827" s="18" t="s">
        <v>38</v>
      </c>
      <c r="Q1827" s="18" t="s">
        <v>194</v>
      </c>
      <c r="R1827" s="18" t="s">
        <v>59</v>
      </c>
      <c r="S1827" s="18" t="s">
        <v>195</v>
      </c>
      <c r="T1827" s="18" t="b">
        <v>0</v>
      </c>
      <c r="U1827" s="18" t="s">
        <v>187</v>
      </c>
      <c r="V1827" s="18" t="s">
        <v>40</v>
      </c>
      <c r="W1827" s="18" t="s">
        <v>371</v>
      </c>
      <c r="X1827" s="18" t="s">
        <v>372</v>
      </c>
      <c r="Y1827" s="18">
        <v>1</v>
      </c>
      <c r="Z1827" s="18">
        <v>8000</v>
      </c>
      <c r="AA1827" s="18" t="s">
        <v>3796</v>
      </c>
      <c r="AB1827" s="18" t="s">
        <v>2056</v>
      </c>
      <c r="AC1827" s="18" t="s">
        <v>200</v>
      </c>
    </row>
    <row r="1828" s="18" customFormat="1" spans="1:29">
      <c r="A1828" s="18" t="s">
        <v>3837</v>
      </c>
      <c r="B1828" s="25" t="s">
        <v>3837</v>
      </c>
      <c r="C1828" s="26">
        <v>45709</v>
      </c>
      <c r="D1828" s="18" t="s">
        <v>3838</v>
      </c>
      <c r="E1828" s="18" t="str">
        <f t="shared" si="28"/>
        <v>A S Teleprompters</v>
      </c>
      <c r="F1828" s="27" t="s">
        <v>3839</v>
      </c>
      <c r="G1828" s="18" t="s">
        <v>182</v>
      </c>
      <c r="H1828" s="18" t="s">
        <v>183</v>
      </c>
      <c r="I1828" s="18" t="s">
        <v>184</v>
      </c>
      <c r="J1828" s="18" t="s">
        <v>3246</v>
      </c>
      <c r="K1828" s="18" t="s">
        <v>56</v>
      </c>
      <c r="L1828" s="18" t="s">
        <v>36</v>
      </c>
      <c r="N1828" s="18">
        <v>6</v>
      </c>
      <c r="O1828" s="18" t="s">
        <v>57</v>
      </c>
      <c r="P1828" s="18" t="s">
        <v>38</v>
      </c>
      <c r="Q1828" s="18" t="s">
        <v>194</v>
      </c>
      <c r="R1828" s="18" t="s">
        <v>59</v>
      </c>
      <c r="S1828" s="18" t="s">
        <v>195</v>
      </c>
      <c r="T1828" s="18" t="b">
        <v>0</v>
      </c>
      <c r="U1828" s="18" t="s">
        <v>187</v>
      </c>
      <c r="V1828" s="18" t="s">
        <v>40</v>
      </c>
      <c r="W1828" s="18" t="s">
        <v>371</v>
      </c>
      <c r="X1828" s="18" t="s">
        <v>372</v>
      </c>
      <c r="Y1828" s="18">
        <v>1</v>
      </c>
      <c r="Z1828" s="18">
        <v>6000</v>
      </c>
      <c r="AA1828" s="18" t="s">
        <v>3796</v>
      </c>
      <c r="AB1828" s="18" t="s">
        <v>2056</v>
      </c>
      <c r="AC1828" s="18" t="s">
        <v>200</v>
      </c>
    </row>
    <row r="1829" s="18" customFormat="1" spans="1:29">
      <c r="A1829" s="18" t="s">
        <v>3840</v>
      </c>
      <c r="B1829" s="25" t="s">
        <v>3840</v>
      </c>
      <c r="C1829" s="26">
        <v>45709</v>
      </c>
      <c r="D1829" s="18" t="s">
        <v>1960</v>
      </c>
      <c r="E1829" s="18" t="str">
        <f t="shared" si="28"/>
        <v>Shree Vision</v>
      </c>
      <c r="F1829" s="27" t="s">
        <v>1961</v>
      </c>
      <c r="G1829" s="18" t="s">
        <v>182</v>
      </c>
      <c r="H1829" s="18" t="s">
        <v>183</v>
      </c>
      <c r="I1829" s="18" t="s">
        <v>184</v>
      </c>
      <c r="J1829" s="18" t="s">
        <v>3246</v>
      </c>
      <c r="K1829" s="18" t="s">
        <v>56</v>
      </c>
      <c r="L1829" s="18" t="s">
        <v>36</v>
      </c>
      <c r="N1829" s="18">
        <v>6</v>
      </c>
      <c r="O1829" s="18" t="s">
        <v>88</v>
      </c>
      <c r="P1829" s="18" t="s">
        <v>38</v>
      </c>
      <c r="Q1829" s="18" t="s">
        <v>194</v>
      </c>
      <c r="R1829" s="18" t="s">
        <v>59</v>
      </c>
      <c r="S1829" s="18" t="s">
        <v>195</v>
      </c>
      <c r="T1829" s="18" t="b">
        <v>0</v>
      </c>
      <c r="U1829" s="18" t="s">
        <v>187</v>
      </c>
      <c r="V1829" s="18" t="s">
        <v>40</v>
      </c>
      <c r="W1829" s="18" t="s">
        <v>990</v>
      </c>
      <c r="X1829" s="18" t="s">
        <v>991</v>
      </c>
      <c r="Y1829" s="18">
        <v>1</v>
      </c>
      <c r="Z1829" s="18">
        <v>3400</v>
      </c>
      <c r="AA1829" s="18" t="s">
        <v>3796</v>
      </c>
      <c r="AB1829" s="18" t="s">
        <v>2056</v>
      </c>
      <c r="AC1829" s="18" t="s">
        <v>200</v>
      </c>
    </row>
    <row r="1830" s="18" customFormat="1" ht="43.5" spans="1:29">
      <c r="A1830" s="18" t="s">
        <v>3841</v>
      </c>
      <c r="B1830" s="25" t="s">
        <v>3841</v>
      </c>
      <c r="C1830" s="26">
        <v>45709</v>
      </c>
      <c r="D1830" s="18" t="s">
        <v>1941</v>
      </c>
      <c r="E1830" s="18" t="str">
        <f t="shared" si="28"/>
        <v>Woodcraft Production</v>
      </c>
      <c r="F1830" s="27" t="s">
        <v>1942</v>
      </c>
      <c r="G1830" s="18" t="s">
        <v>182</v>
      </c>
      <c r="H1830" s="18" t="s">
        <v>183</v>
      </c>
      <c r="I1830" s="18" t="s">
        <v>184</v>
      </c>
      <c r="J1830" s="18" t="s">
        <v>3123</v>
      </c>
      <c r="K1830" s="18" t="s">
        <v>56</v>
      </c>
      <c r="L1830" s="18" t="s">
        <v>36</v>
      </c>
      <c r="N1830" s="18">
        <v>6</v>
      </c>
      <c r="O1830" s="18" t="s">
        <v>88</v>
      </c>
      <c r="P1830" s="18" t="s">
        <v>38</v>
      </c>
      <c r="Q1830" s="18" t="s">
        <v>194</v>
      </c>
      <c r="R1830" s="18" t="s">
        <v>59</v>
      </c>
      <c r="S1830" s="18" t="s">
        <v>195</v>
      </c>
      <c r="T1830" s="18" t="b">
        <v>0</v>
      </c>
      <c r="U1830" s="18" t="s">
        <v>187</v>
      </c>
      <c r="V1830" s="18" t="s">
        <v>40</v>
      </c>
      <c r="W1830" s="18" t="s">
        <v>151</v>
      </c>
      <c r="X1830" s="18" t="s">
        <v>152</v>
      </c>
      <c r="Y1830" s="18">
        <v>1</v>
      </c>
      <c r="Z1830" s="18">
        <v>16000</v>
      </c>
      <c r="AA1830" s="31" t="s">
        <v>2857</v>
      </c>
      <c r="AB1830" s="18" t="s">
        <v>1944</v>
      </c>
      <c r="AC1830" s="18" t="s">
        <v>200</v>
      </c>
    </row>
    <row r="1831" s="18" customFormat="1" ht="43.5" spans="1:29">
      <c r="A1831" s="18" t="s">
        <v>3842</v>
      </c>
      <c r="B1831" s="25" t="s">
        <v>3842</v>
      </c>
      <c r="C1831" s="26">
        <v>45709</v>
      </c>
      <c r="D1831" s="18" t="s">
        <v>3843</v>
      </c>
      <c r="E1831" s="18" t="str">
        <f t="shared" si="28"/>
        <v>Adapt Affairs Solutions LLP (New)</v>
      </c>
      <c r="F1831" s="27" t="s">
        <v>3844</v>
      </c>
      <c r="G1831" s="18" t="s">
        <v>182</v>
      </c>
      <c r="H1831" s="18" t="s">
        <v>183</v>
      </c>
      <c r="I1831" s="18" t="s">
        <v>184</v>
      </c>
      <c r="J1831" s="18" t="s">
        <v>3123</v>
      </c>
      <c r="K1831" s="18" t="s">
        <v>56</v>
      </c>
      <c r="L1831" s="18" t="s">
        <v>36</v>
      </c>
      <c r="N1831" s="18">
        <v>6</v>
      </c>
      <c r="O1831" s="18" t="s">
        <v>88</v>
      </c>
      <c r="P1831" s="18" t="s">
        <v>38</v>
      </c>
      <c r="Q1831" s="18" t="s">
        <v>194</v>
      </c>
      <c r="R1831" s="18" t="s">
        <v>59</v>
      </c>
      <c r="S1831" s="18" t="s">
        <v>195</v>
      </c>
      <c r="T1831" s="18" t="b">
        <v>0</v>
      </c>
      <c r="U1831" s="18" t="s">
        <v>187</v>
      </c>
      <c r="V1831" s="18" t="s">
        <v>40</v>
      </c>
      <c r="W1831" s="18" t="s">
        <v>151</v>
      </c>
      <c r="X1831" s="18" t="s">
        <v>152</v>
      </c>
      <c r="Y1831" s="18">
        <v>1</v>
      </c>
      <c r="Z1831" s="18">
        <v>5000</v>
      </c>
      <c r="AA1831" s="31" t="s">
        <v>2857</v>
      </c>
      <c r="AB1831" s="18" t="s">
        <v>1944</v>
      </c>
      <c r="AC1831" s="18" t="s">
        <v>200</v>
      </c>
    </row>
    <row r="1832" s="18" customFormat="1" spans="1:29">
      <c r="A1832" s="18" t="s">
        <v>3845</v>
      </c>
      <c r="B1832" s="25" t="s">
        <v>3845</v>
      </c>
      <c r="C1832" s="26">
        <v>45709</v>
      </c>
      <c r="D1832" s="18" t="s">
        <v>3846</v>
      </c>
      <c r="E1832" s="18" t="str">
        <f t="shared" si="28"/>
        <v>Stonks Studios LLP (CR)</v>
      </c>
      <c r="F1832" s="27" t="e">
        <v>#N/A</v>
      </c>
      <c r="G1832" s="18" t="s">
        <v>182</v>
      </c>
      <c r="H1832" s="18" t="s">
        <v>183</v>
      </c>
      <c r="I1832" s="18" t="s">
        <v>54</v>
      </c>
      <c r="J1832" s="18" t="s">
        <v>2803</v>
      </c>
      <c r="K1832" s="18" t="s">
        <v>56</v>
      </c>
      <c r="L1832" s="18" t="s">
        <v>36</v>
      </c>
      <c r="N1832" s="18">
        <v>6</v>
      </c>
      <c r="O1832" s="18" t="s">
        <v>88</v>
      </c>
      <c r="P1832" s="18" t="s">
        <v>38</v>
      </c>
      <c r="Q1832" s="18" t="s">
        <v>58</v>
      </c>
      <c r="R1832" s="18" t="s">
        <v>59</v>
      </c>
      <c r="S1832" s="18" t="s">
        <v>60</v>
      </c>
      <c r="T1832" s="18" t="b">
        <v>0</v>
      </c>
      <c r="U1832" s="18" t="s">
        <v>187</v>
      </c>
      <c r="V1832" s="18" t="s">
        <v>40</v>
      </c>
      <c r="W1832" s="18" t="s">
        <v>347</v>
      </c>
      <c r="X1832" s="18" t="s">
        <v>348</v>
      </c>
      <c r="Y1832" s="18">
        <v>1</v>
      </c>
      <c r="Z1832" s="18">
        <v>246000</v>
      </c>
      <c r="AA1832" s="18" t="s">
        <v>1099</v>
      </c>
      <c r="AB1832" s="18" t="s">
        <v>1100</v>
      </c>
      <c r="AC1832" s="18" t="s">
        <v>200</v>
      </c>
    </row>
    <row r="1833" s="18" customFormat="1" spans="1:29">
      <c r="A1833" s="18" t="s">
        <v>3847</v>
      </c>
      <c r="B1833" s="25" t="s">
        <v>3847</v>
      </c>
      <c r="C1833" s="26">
        <v>45709</v>
      </c>
      <c r="D1833" s="18" t="s">
        <v>3848</v>
      </c>
      <c r="E1833" s="18" t="str">
        <f t="shared" si="28"/>
        <v>Trident Nariman Point</v>
      </c>
      <c r="F1833" s="27" t="s">
        <v>3849</v>
      </c>
      <c r="G1833" s="18" t="s">
        <v>182</v>
      </c>
      <c r="H1833" s="18" t="s">
        <v>183</v>
      </c>
      <c r="I1833" s="18" t="s">
        <v>54</v>
      </c>
      <c r="J1833" s="18" t="s">
        <v>3850</v>
      </c>
      <c r="K1833" s="18" t="s">
        <v>56</v>
      </c>
      <c r="L1833" s="18" t="s">
        <v>36</v>
      </c>
      <c r="N1833" s="18">
        <v>6</v>
      </c>
      <c r="O1833" s="18" t="s">
        <v>93</v>
      </c>
      <c r="P1833" s="18" t="s">
        <v>38</v>
      </c>
      <c r="Q1833" s="18" t="s">
        <v>58</v>
      </c>
      <c r="R1833" s="18" t="s">
        <v>59</v>
      </c>
      <c r="S1833" s="18" t="s">
        <v>60</v>
      </c>
      <c r="T1833" s="18" t="b">
        <v>0</v>
      </c>
      <c r="U1833" s="18" t="s">
        <v>187</v>
      </c>
      <c r="V1833" s="18" t="s">
        <v>40</v>
      </c>
      <c r="W1833" s="18" t="s">
        <v>61</v>
      </c>
      <c r="X1833" s="18" t="s">
        <v>62</v>
      </c>
      <c r="Y1833" s="18">
        <v>1</v>
      </c>
      <c r="Z1833" s="18">
        <v>145350</v>
      </c>
      <c r="AA1833" s="18" t="s">
        <v>63</v>
      </c>
      <c r="AB1833" s="18" t="s">
        <v>64</v>
      </c>
      <c r="AC1833" s="18" t="s">
        <v>200</v>
      </c>
    </row>
    <row r="1834" s="18" customFormat="1" spans="1:29">
      <c r="A1834" s="18" t="s">
        <v>3851</v>
      </c>
      <c r="B1834" s="25" t="s">
        <v>3851</v>
      </c>
      <c r="C1834" s="26">
        <v>45709</v>
      </c>
      <c r="D1834" s="18" t="s">
        <v>1395</v>
      </c>
      <c r="E1834" s="18" t="str">
        <f t="shared" si="28"/>
        <v>KG Movie</v>
      </c>
      <c r="F1834" s="27" t="s">
        <v>1396</v>
      </c>
      <c r="G1834" s="18" t="s">
        <v>182</v>
      </c>
      <c r="H1834" s="18" t="s">
        <v>183</v>
      </c>
      <c r="I1834" s="18" t="s">
        <v>34</v>
      </c>
      <c r="J1834" s="18" t="s">
        <v>2775</v>
      </c>
      <c r="K1834" s="18" t="s">
        <v>56</v>
      </c>
      <c r="L1834" s="18" t="s">
        <v>36</v>
      </c>
      <c r="N1834" s="18">
        <v>6</v>
      </c>
      <c r="O1834" s="18" t="s">
        <v>88</v>
      </c>
      <c r="P1834" s="18" t="s">
        <v>38</v>
      </c>
      <c r="Q1834" s="18" t="s">
        <v>117</v>
      </c>
      <c r="R1834" s="18" t="s">
        <v>59</v>
      </c>
      <c r="S1834" s="18" t="s">
        <v>186</v>
      </c>
      <c r="T1834" s="18" t="b">
        <v>0</v>
      </c>
      <c r="U1834" s="18" t="s">
        <v>187</v>
      </c>
      <c r="V1834" s="18" t="s">
        <v>40</v>
      </c>
      <c r="W1834" s="18" t="s">
        <v>317</v>
      </c>
      <c r="X1834" s="18" t="s">
        <v>318</v>
      </c>
      <c r="Y1834" s="18">
        <v>1</v>
      </c>
      <c r="Z1834" s="18">
        <v>50000</v>
      </c>
      <c r="AA1834" s="18" t="s">
        <v>2776</v>
      </c>
      <c r="AB1834" s="18" t="s">
        <v>811</v>
      </c>
      <c r="AC1834" s="18" t="s">
        <v>216</v>
      </c>
    </row>
    <row r="1835" s="18" customFormat="1" ht="43.5" spans="1:29">
      <c r="A1835" s="18" t="s">
        <v>3852</v>
      </c>
      <c r="B1835" s="25" t="s">
        <v>3852</v>
      </c>
      <c r="C1835" s="26">
        <v>45709</v>
      </c>
      <c r="D1835" s="18" t="s">
        <v>3853</v>
      </c>
      <c r="E1835" s="18" t="str">
        <f t="shared" si="28"/>
        <v>Ravishankar Shastri</v>
      </c>
      <c r="F1835" s="27" t="s">
        <v>3854</v>
      </c>
      <c r="G1835" s="18" t="s">
        <v>182</v>
      </c>
      <c r="H1835" s="18" t="s">
        <v>183</v>
      </c>
      <c r="I1835" s="18" t="s">
        <v>184</v>
      </c>
      <c r="J1835" s="18" t="s">
        <v>2756</v>
      </c>
      <c r="K1835" s="18" t="s">
        <v>56</v>
      </c>
      <c r="L1835" s="18" t="s">
        <v>36</v>
      </c>
      <c r="N1835" s="18">
        <v>6</v>
      </c>
      <c r="O1835" s="18" t="s">
        <v>57</v>
      </c>
      <c r="P1835" s="18" t="s">
        <v>38</v>
      </c>
      <c r="Q1835" s="18" t="s">
        <v>194</v>
      </c>
      <c r="R1835" s="18" t="s">
        <v>59</v>
      </c>
      <c r="S1835" s="18" t="s">
        <v>195</v>
      </c>
      <c r="T1835" s="18" t="b">
        <v>0</v>
      </c>
      <c r="U1835" s="18" t="s">
        <v>187</v>
      </c>
      <c r="V1835" s="18" t="s">
        <v>40</v>
      </c>
      <c r="W1835" s="18" t="s">
        <v>347</v>
      </c>
      <c r="X1835" s="18" t="s">
        <v>348</v>
      </c>
      <c r="Y1835" s="18">
        <v>1</v>
      </c>
      <c r="Z1835" s="18">
        <v>3000000</v>
      </c>
      <c r="AA1835" s="31" t="s">
        <v>2708</v>
      </c>
      <c r="AB1835" s="18" t="s">
        <v>2169</v>
      </c>
      <c r="AC1835" s="18" t="s">
        <v>200</v>
      </c>
    </row>
    <row r="1836" s="18" customFormat="1" ht="43.5" spans="1:29">
      <c r="A1836" s="18" t="s">
        <v>3855</v>
      </c>
      <c r="B1836" s="25" t="s">
        <v>3855</v>
      </c>
      <c r="C1836" s="26">
        <v>45709</v>
      </c>
      <c r="D1836" s="18" t="s">
        <v>3856</v>
      </c>
      <c r="E1836" s="18" t="str">
        <f t="shared" si="28"/>
        <v>Padma Wedding Decor (OTV)</v>
      </c>
      <c r="F1836" s="27" t="s">
        <v>3857</v>
      </c>
      <c r="G1836" s="18" t="s">
        <v>182</v>
      </c>
      <c r="H1836" s="18" t="s">
        <v>183</v>
      </c>
      <c r="I1836" s="18" t="s">
        <v>184</v>
      </c>
      <c r="J1836" s="18" t="s">
        <v>2690</v>
      </c>
      <c r="K1836" s="18" t="s">
        <v>56</v>
      </c>
      <c r="L1836" s="18" t="s">
        <v>36</v>
      </c>
      <c r="N1836" s="18">
        <v>6</v>
      </c>
      <c r="O1836" s="18" t="s">
        <v>57</v>
      </c>
      <c r="P1836" s="18" t="s">
        <v>38</v>
      </c>
      <c r="Q1836" s="18" t="s">
        <v>194</v>
      </c>
      <c r="R1836" s="18" t="s">
        <v>59</v>
      </c>
      <c r="S1836" s="18" t="s">
        <v>195</v>
      </c>
      <c r="T1836" s="18" t="b">
        <v>0</v>
      </c>
      <c r="U1836" s="18" t="s">
        <v>187</v>
      </c>
      <c r="V1836" s="18" t="s">
        <v>40</v>
      </c>
      <c r="W1836" s="18" t="s">
        <v>317</v>
      </c>
      <c r="X1836" s="18" t="s">
        <v>318</v>
      </c>
      <c r="Y1836" s="18">
        <v>1</v>
      </c>
      <c r="Z1836" s="18">
        <v>502000</v>
      </c>
      <c r="AA1836" s="31" t="s">
        <v>2933</v>
      </c>
      <c r="AB1836" s="18" t="s">
        <v>1566</v>
      </c>
      <c r="AC1836" s="18" t="s">
        <v>200</v>
      </c>
    </row>
    <row r="1837" s="18" customFormat="1" spans="1:29">
      <c r="A1837" s="18" t="s">
        <v>3858</v>
      </c>
      <c r="B1837" s="25" t="s">
        <v>3858</v>
      </c>
      <c r="C1837" s="26">
        <v>45709</v>
      </c>
      <c r="D1837" s="18" t="s">
        <v>3105</v>
      </c>
      <c r="E1837" s="18" t="str">
        <f t="shared" si="28"/>
        <v>Diya Event and Promotions</v>
      </c>
      <c r="F1837" s="27" t="s">
        <v>3106</v>
      </c>
      <c r="G1837" s="18" t="s">
        <v>182</v>
      </c>
      <c r="H1837" s="18" t="s">
        <v>183</v>
      </c>
      <c r="I1837" s="18" t="s">
        <v>34</v>
      </c>
      <c r="J1837" s="18" t="s">
        <v>1126</v>
      </c>
      <c r="K1837" s="18" t="s">
        <v>56</v>
      </c>
      <c r="L1837" s="18" t="s">
        <v>36</v>
      </c>
      <c r="N1837" s="18">
        <v>6</v>
      </c>
      <c r="O1837" s="18" t="s">
        <v>88</v>
      </c>
      <c r="P1837" s="18" t="s">
        <v>38</v>
      </c>
      <c r="Q1837" s="18" t="s">
        <v>117</v>
      </c>
      <c r="R1837" s="18" t="s">
        <v>59</v>
      </c>
      <c r="S1837" s="18" t="s">
        <v>118</v>
      </c>
      <c r="T1837" s="18" t="b">
        <v>0</v>
      </c>
      <c r="U1837" s="18" t="s">
        <v>187</v>
      </c>
      <c r="V1837" s="18" t="s">
        <v>40</v>
      </c>
      <c r="W1837" s="18" t="s">
        <v>317</v>
      </c>
      <c r="X1837" s="18" t="s">
        <v>318</v>
      </c>
      <c r="Y1837" s="18">
        <v>1</v>
      </c>
      <c r="Z1837" s="18">
        <v>90000</v>
      </c>
      <c r="AA1837" s="18" t="s">
        <v>1330</v>
      </c>
      <c r="AB1837" s="18" t="s">
        <v>1331</v>
      </c>
      <c r="AC1837" s="18" t="s">
        <v>216</v>
      </c>
    </row>
    <row r="1838" s="18" customFormat="1" ht="43.5" spans="1:29">
      <c r="A1838" s="18" t="s">
        <v>3859</v>
      </c>
      <c r="B1838" s="25" t="s">
        <v>3859</v>
      </c>
      <c r="C1838" s="26">
        <v>45712</v>
      </c>
      <c r="D1838" s="18" t="s">
        <v>3118</v>
      </c>
      <c r="E1838" s="18" t="str">
        <f t="shared" si="28"/>
        <v>Idesign Awards &amp; Trophies Pvt Ltd</v>
      </c>
      <c r="F1838" s="27" t="s">
        <v>3119</v>
      </c>
      <c r="G1838" s="18" t="s">
        <v>32</v>
      </c>
      <c r="H1838" s="18" t="s">
        <v>33</v>
      </c>
      <c r="I1838" s="18" t="s">
        <v>184</v>
      </c>
      <c r="J1838" s="18" t="s">
        <v>2200</v>
      </c>
      <c r="K1838" s="18" t="s">
        <v>56</v>
      </c>
      <c r="L1838" s="18" t="s">
        <v>36</v>
      </c>
      <c r="N1838" s="18">
        <v>6</v>
      </c>
      <c r="O1838" s="18" t="s">
        <v>88</v>
      </c>
      <c r="P1838" s="18" t="s">
        <v>38</v>
      </c>
      <c r="Q1838" s="18" t="s">
        <v>194</v>
      </c>
      <c r="R1838" s="18" t="s">
        <v>59</v>
      </c>
      <c r="S1838" s="18" t="s">
        <v>195</v>
      </c>
      <c r="T1838" s="18" t="b">
        <v>1</v>
      </c>
      <c r="U1838" s="18" t="s">
        <v>39</v>
      </c>
      <c r="V1838" s="18" t="s">
        <v>40</v>
      </c>
      <c r="W1838" s="18" t="s">
        <v>140</v>
      </c>
      <c r="X1838" s="18" t="s">
        <v>141</v>
      </c>
      <c r="Y1838" s="18">
        <v>1</v>
      </c>
      <c r="Z1838" s="18">
        <v>380100</v>
      </c>
      <c r="AA1838" s="31" t="s">
        <v>2834</v>
      </c>
      <c r="AB1838" s="18" t="s">
        <v>259</v>
      </c>
      <c r="AC1838" s="18" t="s">
        <v>43</v>
      </c>
    </row>
    <row r="1839" s="18" customFormat="1" spans="1:29">
      <c r="A1839" s="18" t="s">
        <v>3860</v>
      </c>
      <c r="B1839" s="25" t="s">
        <v>3860</v>
      </c>
      <c r="C1839" s="26">
        <v>45712</v>
      </c>
      <c r="D1839" s="18" t="s">
        <v>3861</v>
      </c>
      <c r="E1839" s="18" t="str">
        <f t="shared" si="28"/>
        <v>Ace Print Pack</v>
      </c>
      <c r="F1839" s="27" t="s">
        <v>3862</v>
      </c>
      <c r="G1839" s="18" t="s">
        <v>32</v>
      </c>
      <c r="H1839" s="18" t="s">
        <v>33</v>
      </c>
      <c r="I1839" s="18" t="s">
        <v>207</v>
      </c>
      <c r="J1839" s="18" t="s">
        <v>1467</v>
      </c>
      <c r="K1839" s="18" t="s">
        <v>56</v>
      </c>
      <c r="L1839" s="18" t="s">
        <v>36</v>
      </c>
      <c r="N1839" s="18">
        <v>6</v>
      </c>
      <c r="O1839" s="18" t="s">
        <v>88</v>
      </c>
      <c r="P1839" s="18" t="s">
        <v>38</v>
      </c>
      <c r="Q1839" s="18" t="s">
        <v>58</v>
      </c>
      <c r="R1839" s="18" t="s">
        <v>59</v>
      </c>
      <c r="S1839" s="18" t="s">
        <v>60</v>
      </c>
      <c r="T1839" s="18" t="b">
        <v>1</v>
      </c>
      <c r="U1839" s="18" t="s">
        <v>39</v>
      </c>
      <c r="V1839" s="18" t="s">
        <v>40</v>
      </c>
      <c r="W1839" s="18" t="s">
        <v>140</v>
      </c>
      <c r="X1839" s="18" t="s">
        <v>141</v>
      </c>
      <c r="Y1839" s="18">
        <v>1</v>
      </c>
      <c r="Z1839" s="18">
        <v>180360</v>
      </c>
      <c r="AA1839" s="18" t="s">
        <v>1169</v>
      </c>
      <c r="AB1839" s="18" t="s">
        <v>1170</v>
      </c>
      <c r="AC1839" s="18" t="s">
        <v>43</v>
      </c>
    </row>
    <row r="1840" s="18" customFormat="1" spans="1:29">
      <c r="A1840" s="18" t="s">
        <v>3863</v>
      </c>
      <c r="B1840" s="25" t="s">
        <v>3863</v>
      </c>
      <c r="C1840" s="26">
        <v>45712</v>
      </c>
      <c r="D1840" s="18" t="s">
        <v>1082</v>
      </c>
      <c r="E1840" s="18" t="str">
        <f t="shared" si="28"/>
        <v>Skypillars Manpower Agency</v>
      </c>
      <c r="F1840" s="27" t="s">
        <v>1083</v>
      </c>
      <c r="G1840" s="18" t="s">
        <v>32</v>
      </c>
      <c r="H1840" s="18" t="s">
        <v>33</v>
      </c>
      <c r="I1840" s="18" t="s">
        <v>54</v>
      </c>
      <c r="J1840" s="18" t="s">
        <v>2464</v>
      </c>
      <c r="K1840" s="18" t="s">
        <v>56</v>
      </c>
      <c r="L1840" s="18" t="s">
        <v>36</v>
      </c>
      <c r="N1840" s="18">
        <v>6</v>
      </c>
      <c r="O1840" s="18" t="s">
        <v>88</v>
      </c>
      <c r="P1840" s="18" t="s">
        <v>38</v>
      </c>
      <c r="Q1840" s="18" t="s">
        <v>58</v>
      </c>
      <c r="R1840" s="18" t="s">
        <v>59</v>
      </c>
      <c r="S1840" s="18" t="s">
        <v>60</v>
      </c>
      <c r="T1840" s="18" t="b">
        <v>1</v>
      </c>
      <c r="U1840" s="18" t="s">
        <v>39</v>
      </c>
      <c r="V1840" s="18" t="s">
        <v>40</v>
      </c>
      <c r="W1840" s="18" t="s">
        <v>292</v>
      </c>
      <c r="X1840" s="18" t="s">
        <v>293</v>
      </c>
      <c r="Y1840" s="18">
        <v>1</v>
      </c>
      <c r="Z1840" s="18">
        <v>47200</v>
      </c>
      <c r="AA1840" s="18" t="s">
        <v>2742</v>
      </c>
      <c r="AB1840" s="18" t="s">
        <v>2550</v>
      </c>
      <c r="AC1840" s="18" t="s">
        <v>43</v>
      </c>
    </row>
    <row r="1841" s="18" customFormat="1" spans="1:29">
      <c r="A1841" s="18" t="s">
        <v>3864</v>
      </c>
      <c r="B1841" s="25" t="s">
        <v>3864</v>
      </c>
      <c r="C1841" s="26">
        <v>45712</v>
      </c>
      <c r="D1841" s="18" t="s">
        <v>3865</v>
      </c>
      <c r="E1841" s="18" t="str">
        <f t="shared" si="28"/>
        <v>Vishal Chandran  </v>
      </c>
      <c r="F1841" s="27" t="e">
        <v>#N/A</v>
      </c>
      <c r="G1841" s="18" t="s">
        <v>32</v>
      </c>
      <c r="H1841" s="18" t="s">
        <v>33</v>
      </c>
      <c r="I1841" s="18" t="s">
        <v>1246</v>
      </c>
      <c r="J1841" s="18" t="s">
        <v>3312</v>
      </c>
      <c r="K1841" s="18" t="s">
        <v>56</v>
      </c>
      <c r="L1841" s="18" t="s">
        <v>36</v>
      </c>
      <c r="N1841" s="18">
        <v>6</v>
      </c>
      <c r="O1841" s="18" t="s">
        <v>93</v>
      </c>
      <c r="P1841" s="18" t="s">
        <v>38</v>
      </c>
      <c r="Q1841" s="18" t="s">
        <v>117</v>
      </c>
      <c r="R1841" s="18" t="s">
        <v>59</v>
      </c>
      <c r="S1841" s="18" t="s">
        <v>118</v>
      </c>
      <c r="T1841" s="18" t="b">
        <v>1</v>
      </c>
      <c r="U1841" s="18" t="s">
        <v>39</v>
      </c>
      <c r="V1841" s="18" t="s">
        <v>40</v>
      </c>
      <c r="W1841" s="18" t="s">
        <v>412</v>
      </c>
      <c r="X1841" s="18" t="s">
        <v>413</v>
      </c>
      <c r="Y1841" s="18">
        <v>1</v>
      </c>
      <c r="Z1841" s="18">
        <v>5024</v>
      </c>
      <c r="AA1841" s="18" t="s">
        <v>3866</v>
      </c>
      <c r="AB1841" s="18" t="s">
        <v>3867</v>
      </c>
      <c r="AC1841" s="18" t="e">
        <v>#N/A</v>
      </c>
    </row>
    <row r="1842" s="18" customFormat="1" spans="1:29">
      <c r="A1842" s="18" t="s">
        <v>3868</v>
      </c>
      <c r="B1842" s="25" t="s">
        <v>3868</v>
      </c>
      <c r="C1842" s="26">
        <v>45712</v>
      </c>
      <c r="D1842" s="18" t="s">
        <v>830</v>
      </c>
      <c r="E1842" s="18" t="str">
        <f t="shared" si="28"/>
        <v>Shiva Shankar  </v>
      </c>
      <c r="F1842" s="27" t="e">
        <v>#N/A</v>
      </c>
      <c r="G1842" s="18" t="s">
        <v>32</v>
      </c>
      <c r="H1842" s="18" t="s">
        <v>33</v>
      </c>
      <c r="I1842" s="18" t="s">
        <v>1246</v>
      </c>
      <c r="J1842" s="18" t="s">
        <v>2207</v>
      </c>
      <c r="K1842" s="18" t="s">
        <v>56</v>
      </c>
      <c r="L1842" s="18" t="s">
        <v>36</v>
      </c>
      <c r="N1842" s="18">
        <v>6</v>
      </c>
      <c r="O1842" s="18" t="s">
        <v>93</v>
      </c>
      <c r="P1842" s="18" t="s">
        <v>38</v>
      </c>
      <c r="Q1842" s="18" t="s">
        <v>117</v>
      </c>
      <c r="R1842" s="18" t="s">
        <v>59</v>
      </c>
      <c r="S1842" s="18" t="s">
        <v>118</v>
      </c>
      <c r="T1842" s="18" t="b">
        <v>1</v>
      </c>
      <c r="U1842" s="18" t="s">
        <v>39</v>
      </c>
      <c r="V1842" s="18" t="s">
        <v>40</v>
      </c>
      <c r="W1842" s="18" t="s">
        <v>126</v>
      </c>
      <c r="X1842" s="18" t="s">
        <v>127</v>
      </c>
      <c r="Y1842" s="18">
        <v>1</v>
      </c>
      <c r="Z1842" s="18">
        <v>904</v>
      </c>
      <c r="AA1842" s="18" t="s">
        <v>832</v>
      </c>
      <c r="AB1842" s="18" t="s">
        <v>833</v>
      </c>
      <c r="AC1842" s="18" t="e">
        <v>#N/A</v>
      </c>
    </row>
    <row r="1843" s="18" customFormat="1" spans="1:29">
      <c r="A1843" s="18" t="s">
        <v>3869</v>
      </c>
      <c r="B1843" s="25" t="s">
        <v>3869</v>
      </c>
      <c r="C1843" s="26">
        <v>45712</v>
      </c>
      <c r="D1843" s="18" t="s">
        <v>3870</v>
      </c>
      <c r="E1843" s="18" t="str">
        <f t="shared" si="28"/>
        <v>Smartping AI Pvt Ltd (OTV)</v>
      </c>
      <c r="F1843" s="27" t="s">
        <v>3871</v>
      </c>
      <c r="G1843" s="18" t="s">
        <v>32</v>
      </c>
      <c r="H1843" s="18" t="s">
        <v>33</v>
      </c>
      <c r="I1843" s="18" t="s">
        <v>34</v>
      </c>
      <c r="J1843" s="18" t="s">
        <v>1370</v>
      </c>
      <c r="K1843" s="18" t="s">
        <v>56</v>
      </c>
      <c r="L1843" s="18" t="s">
        <v>36</v>
      </c>
      <c r="N1843" s="18">
        <v>6</v>
      </c>
      <c r="O1843" s="18" t="s">
        <v>88</v>
      </c>
      <c r="P1843" s="18" t="s">
        <v>38</v>
      </c>
      <c r="Q1843" s="18" t="s">
        <v>58</v>
      </c>
      <c r="R1843" s="18" t="s">
        <v>59</v>
      </c>
      <c r="S1843" s="18" t="s">
        <v>60</v>
      </c>
      <c r="T1843" s="18" t="b">
        <v>1</v>
      </c>
      <c r="U1843" s="18" t="s">
        <v>39</v>
      </c>
      <c r="V1843" s="18" t="s">
        <v>40</v>
      </c>
      <c r="W1843" s="18" t="s">
        <v>233</v>
      </c>
      <c r="X1843" s="18" t="s">
        <v>234</v>
      </c>
      <c r="Y1843" s="18">
        <v>1</v>
      </c>
      <c r="Z1843" s="18">
        <v>10000</v>
      </c>
      <c r="AA1843" s="18" t="s">
        <v>3872</v>
      </c>
      <c r="AB1843" s="18" t="s">
        <v>790</v>
      </c>
      <c r="AC1843" s="18" t="s">
        <v>611</v>
      </c>
    </row>
    <row r="1844" s="18" customFormat="1" spans="1:29">
      <c r="A1844" s="18" t="s">
        <v>3873</v>
      </c>
      <c r="B1844" s="25" t="s">
        <v>3873</v>
      </c>
      <c r="C1844" s="26">
        <v>45712</v>
      </c>
      <c r="D1844" s="18" t="s">
        <v>1825</v>
      </c>
      <c r="E1844" s="18" t="str">
        <f t="shared" si="28"/>
        <v>Nandini Nair </v>
      </c>
      <c r="F1844" s="27" t="e">
        <v>#N/A</v>
      </c>
      <c r="G1844" s="18" t="s">
        <v>32</v>
      </c>
      <c r="H1844" s="18" t="s">
        <v>33</v>
      </c>
      <c r="I1844" s="18" t="s">
        <v>34</v>
      </c>
      <c r="J1844" s="18" t="s">
        <v>2971</v>
      </c>
      <c r="K1844" s="18" t="s">
        <v>56</v>
      </c>
      <c r="L1844" s="18" t="s">
        <v>36</v>
      </c>
      <c r="N1844" s="18">
        <v>6</v>
      </c>
      <c r="O1844" s="18" t="s">
        <v>93</v>
      </c>
      <c r="P1844" s="18" t="s">
        <v>38</v>
      </c>
      <c r="Q1844" s="18" t="s">
        <v>117</v>
      </c>
      <c r="R1844" s="18" t="s">
        <v>59</v>
      </c>
      <c r="S1844" s="18" t="s">
        <v>118</v>
      </c>
      <c r="T1844" s="18" t="b">
        <v>1</v>
      </c>
      <c r="U1844" s="18" t="s">
        <v>39</v>
      </c>
      <c r="V1844" s="18" t="s">
        <v>40</v>
      </c>
      <c r="W1844" s="18" t="s">
        <v>126</v>
      </c>
      <c r="X1844" s="18" t="s">
        <v>127</v>
      </c>
      <c r="Y1844" s="18">
        <v>1</v>
      </c>
      <c r="Z1844" s="18">
        <v>6370</v>
      </c>
      <c r="AA1844" s="18" t="s">
        <v>128</v>
      </c>
      <c r="AB1844" s="18" t="s">
        <v>129</v>
      </c>
      <c r="AC1844" s="18" t="e">
        <v>#N/A</v>
      </c>
    </row>
    <row r="1845" s="18" customFormat="1" spans="1:29">
      <c r="A1845" s="18" t="s">
        <v>3874</v>
      </c>
      <c r="B1845" s="25" t="s">
        <v>3874</v>
      </c>
      <c r="C1845" s="26">
        <v>45712</v>
      </c>
      <c r="D1845" s="18" t="s">
        <v>2969</v>
      </c>
      <c r="E1845" s="18" t="str">
        <f t="shared" si="28"/>
        <v>Mahesh D  </v>
      </c>
      <c r="F1845" s="27" t="e">
        <v>#N/A</v>
      </c>
      <c r="G1845" s="18" t="s">
        <v>32</v>
      </c>
      <c r="H1845" s="18" t="s">
        <v>33</v>
      </c>
      <c r="I1845" s="18" t="s">
        <v>34</v>
      </c>
      <c r="J1845" s="18" t="s">
        <v>2971</v>
      </c>
      <c r="K1845" s="18" t="s">
        <v>56</v>
      </c>
      <c r="L1845" s="18" t="s">
        <v>36</v>
      </c>
      <c r="N1845" s="18">
        <v>6</v>
      </c>
      <c r="O1845" s="18" t="s">
        <v>93</v>
      </c>
      <c r="P1845" s="18" t="s">
        <v>38</v>
      </c>
      <c r="Q1845" s="18" t="s">
        <v>117</v>
      </c>
      <c r="R1845" s="18" t="s">
        <v>59</v>
      </c>
      <c r="S1845" s="18" t="s">
        <v>118</v>
      </c>
      <c r="T1845" s="18" t="b">
        <v>1</v>
      </c>
      <c r="U1845" s="18" t="s">
        <v>39</v>
      </c>
      <c r="V1845" s="18" t="s">
        <v>40</v>
      </c>
      <c r="W1845" s="18" t="s">
        <v>126</v>
      </c>
      <c r="X1845" s="18" t="s">
        <v>127</v>
      </c>
      <c r="Y1845" s="18">
        <v>1</v>
      </c>
      <c r="Z1845" s="18">
        <v>1608</v>
      </c>
      <c r="AA1845" s="18" t="s">
        <v>501</v>
      </c>
      <c r="AB1845" s="18" t="s">
        <v>502</v>
      </c>
      <c r="AC1845" s="18" t="e">
        <v>#N/A</v>
      </c>
    </row>
    <row r="1846" s="18" customFormat="1" spans="1:29">
      <c r="A1846" s="18" t="s">
        <v>3875</v>
      </c>
      <c r="B1846" s="25" t="s">
        <v>3875</v>
      </c>
      <c r="C1846" s="26">
        <v>45712</v>
      </c>
      <c r="D1846" s="18" t="s">
        <v>2969</v>
      </c>
      <c r="E1846" s="18" t="str">
        <f t="shared" si="28"/>
        <v>Mahesh D  </v>
      </c>
      <c r="F1846" s="27" t="e">
        <v>#N/A</v>
      </c>
      <c r="G1846" s="18" t="s">
        <v>32</v>
      </c>
      <c r="H1846" s="18" t="s">
        <v>33</v>
      </c>
      <c r="I1846" s="18" t="s">
        <v>34</v>
      </c>
      <c r="J1846" s="18" t="s">
        <v>2764</v>
      </c>
      <c r="K1846" s="18" t="s">
        <v>56</v>
      </c>
      <c r="L1846" s="18" t="s">
        <v>36</v>
      </c>
      <c r="N1846" s="18">
        <v>6</v>
      </c>
      <c r="O1846" s="18" t="s">
        <v>93</v>
      </c>
      <c r="P1846" s="18" t="s">
        <v>38</v>
      </c>
      <c r="Q1846" s="18" t="s">
        <v>117</v>
      </c>
      <c r="R1846" s="18" t="s">
        <v>59</v>
      </c>
      <c r="S1846" s="18" t="s">
        <v>118</v>
      </c>
      <c r="T1846" s="18" t="b">
        <v>1</v>
      </c>
      <c r="U1846" s="18" t="s">
        <v>39</v>
      </c>
      <c r="V1846" s="18" t="s">
        <v>40</v>
      </c>
      <c r="W1846" s="18" t="s">
        <v>126</v>
      </c>
      <c r="X1846" s="18" t="s">
        <v>127</v>
      </c>
      <c r="Y1846" s="18">
        <v>1</v>
      </c>
      <c r="Z1846" s="18">
        <v>324</v>
      </c>
      <c r="AA1846" s="18" t="s">
        <v>501</v>
      </c>
      <c r="AB1846" s="18" t="s">
        <v>502</v>
      </c>
      <c r="AC1846" s="18" t="e">
        <v>#N/A</v>
      </c>
    </row>
    <row r="1847" s="18" customFormat="1" spans="1:29">
      <c r="A1847" s="18" t="s">
        <v>3876</v>
      </c>
      <c r="B1847" s="25" t="s">
        <v>3876</v>
      </c>
      <c r="C1847" s="26">
        <v>45712</v>
      </c>
      <c r="D1847" s="18" t="s">
        <v>284</v>
      </c>
      <c r="E1847" s="18" t="str">
        <f t="shared" si="28"/>
        <v>Abdul Rehman </v>
      </c>
      <c r="F1847" s="27" t="e">
        <v>#N/A</v>
      </c>
      <c r="G1847" s="18" t="s">
        <v>32</v>
      </c>
      <c r="H1847" s="18" t="s">
        <v>33</v>
      </c>
      <c r="I1847" s="18" t="s">
        <v>1246</v>
      </c>
      <c r="J1847" s="18" t="s">
        <v>2956</v>
      </c>
      <c r="K1847" s="18" t="s">
        <v>56</v>
      </c>
      <c r="L1847" s="18" t="s">
        <v>36</v>
      </c>
      <c r="N1847" s="18">
        <v>6</v>
      </c>
      <c r="O1847" s="18" t="s">
        <v>93</v>
      </c>
      <c r="P1847" s="18" t="s">
        <v>38</v>
      </c>
      <c r="Q1847" s="18" t="s">
        <v>194</v>
      </c>
      <c r="R1847" s="18" t="s">
        <v>59</v>
      </c>
      <c r="S1847" s="18" t="s">
        <v>195</v>
      </c>
      <c r="T1847" s="18" t="b">
        <v>1</v>
      </c>
      <c r="U1847" s="18" t="s">
        <v>39</v>
      </c>
      <c r="V1847" s="18" t="s">
        <v>40</v>
      </c>
      <c r="W1847" s="18" t="s">
        <v>126</v>
      </c>
      <c r="X1847" s="18" t="s">
        <v>127</v>
      </c>
      <c r="Y1847" s="18">
        <v>1</v>
      </c>
      <c r="Z1847" s="18">
        <v>720</v>
      </c>
      <c r="AA1847" s="18" t="s">
        <v>2880</v>
      </c>
      <c r="AB1847" s="18" t="s">
        <v>2279</v>
      </c>
      <c r="AC1847" s="18" t="e">
        <v>#N/A</v>
      </c>
    </row>
    <row r="1848" s="18" customFormat="1" spans="1:29">
      <c r="A1848" s="18" t="s">
        <v>3877</v>
      </c>
      <c r="B1848" s="25" t="s">
        <v>3877</v>
      </c>
      <c r="C1848" s="26">
        <v>45712</v>
      </c>
      <c r="D1848" s="18" t="s">
        <v>284</v>
      </c>
      <c r="E1848" s="18" t="str">
        <f t="shared" si="28"/>
        <v>Abdul Rehman </v>
      </c>
      <c r="F1848" s="27" t="e">
        <v>#N/A</v>
      </c>
      <c r="G1848" s="18" t="s">
        <v>32</v>
      </c>
      <c r="H1848" s="18" t="s">
        <v>33</v>
      </c>
      <c r="I1848" s="18" t="s">
        <v>1246</v>
      </c>
      <c r="J1848" s="18" t="s">
        <v>3764</v>
      </c>
      <c r="K1848" s="18" t="s">
        <v>56</v>
      </c>
      <c r="L1848" s="18" t="s">
        <v>36</v>
      </c>
      <c r="N1848" s="18">
        <v>6</v>
      </c>
      <c r="O1848" s="18" t="s">
        <v>93</v>
      </c>
      <c r="P1848" s="18" t="s">
        <v>38</v>
      </c>
      <c r="Q1848" s="18" t="s">
        <v>117</v>
      </c>
      <c r="R1848" s="18" t="s">
        <v>59</v>
      </c>
      <c r="S1848" s="18" t="s">
        <v>118</v>
      </c>
      <c r="T1848" s="18" t="b">
        <v>1</v>
      </c>
      <c r="U1848" s="18" t="s">
        <v>39</v>
      </c>
      <c r="V1848" s="18" t="s">
        <v>40</v>
      </c>
      <c r="W1848" s="18" t="s">
        <v>292</v>
      </c>
      <c r="X1848" s="18" t="s">
        <v>293</v>
      </c>
      <c r="Y1848" s="18">
        <v>1</v>
      </c>
      <c r="Z1848" s="18">
        <v>5000</v>
      </c>
      <c r="AA1848" s="18" t="s">
        <v>128</v>
      </c>
      <c r="AB1848" s="18" t="s">
        <v>129</v>
      </c>
      <c r="AC1848" s="18" t="e">
        <v>#N/A</v>
      </c>
    </row>
    <row r="1849" s="18" customFormat="1" spans="1:29">
      <c r="A1849" s="18" t="s">
        <v>3878</v>
      </c>
      <c r="B1849" s="25" t="s">
        <v>3878</v>
      </c>
      <c r="C1849" s="26">
        <v>45712</v>
      </c>
      <c r="D1849" s="18" t="s">
        <v>1139</v>
      </c>
      <c r="E1849" s="18" t="str">
        <f t="shared" si="28"/>
        <v>Farhan Shariff  </v>
      </c>
      <c r="F1849" s="27" t="e">
        <v>#N/A</v>
      </c>
      <c r="G1849" s="18" t="s">
        <v>32</v>
      </c>
      <c r="H1849" s="18" t="s">
        <v>33</v>
      </c>
      <c r="I1849" s="18" t="s">
        <v>1246</v>
      </c>
      <c r="J1849" s="18" t="s">
        <v>1126</v>
      </c>
      <c r="K1849" s="18" t="s">
        <v>56</v>
      </c>
      <c r="L1849" s="18" t="s">
        <v>36</v>
      </c>
      <c r="N1849" s="18">
        <v>6</v>
      </c>
      <c r="O1849" s="18" t="s">
        <v>93</v>
      </c>
      <c r="P1849" s="18" t="s">
        <v>38</v>
      </c>
      <c r="Q1849" s="18" t="s">
        <v>117</v>
      </c>
      <c r="R1849" s="18" t="s">
        <v>59</v>
      </c>
      <c r="S1849" s="18" t="s">
        <v>118</v>
      </c>
      <c r="T1849" s="18" t="b">
        <v>1</v>
      </c>
      <c r="U1849" s="18" t="s">
        <v>39</v>
      </c>
      <c r="V1849" s="18" t="s">
        <v>40</v>
      </c>
      <c r="W1849" s="18" t="s">
        <v>126</v>
      </c>
      <c r="X1849" s="18" t="s">
        <v>127</v>
      </c>
      <c r="Y1849" s="18">
        <v>1</v>
      </c>
      <c r="Z1849" s="18">
        <v>1065</v>
      </c>
      <c r="AA1849" s="18" t="s">
        <v>128</v>
      </c>
      <c r="AB1849" s="18" t="s">
        <v>129</v>
      </c>
      <c r="AC1849" s="18" t="e">
        <v>#N/A</v>
      </c>
    </row>
    <row r="1850" s="18" customFormat="1" spans="1:29">
      <c r="A1850" s="18" t="s">
        <v>3879</v>
      </c>
      <c r="B1850" s="25" t="s">
        <v>3879</v>
      </c>
      <c r="C1850" s="26">
        <v>45712</v>
      </c>
      <c r="D1850" s="18" t="s">
        <v>1139</v>
      </c>
      <c r="E1850" s="18" t="str">
        <f t="shared" si="28"/>
        <v>Farhan Shariff  </v>
      </c>
      <c r="F1850" s="27" t="e">
        <v>#N/A</v>
      </c>
      <c r="G1850" s="18" t="s">
        <v>32</v>
      </c>
      <c r="H1850" s="18" t="s">
        <v>33</v>
      </c>
      <c r="I1850" s="18" t="s">
        <v>1246</v>
      </c>
      <c r="J1850" s="18" t="s">
        <v>2435</v>
      </c>
      <c r="K1850" s="18" t="s">
        <v>56</v>
      </c>
      <c r="L1850" s="18" t="s">
        <v>36</v>
      </c>
      <c r="N1850" s="18">
        <v>6</v>
      </c>
      <c r="O1850" s="18" t="s">
        <v>93</v>
      </c>
      <c r="P1850" s="18" t="s">
        <v>38</v>
      </c>
      <c r="Q1850" s="18" t="s">
        <v>117</v>
      </c>
      <c r="R1850" s="18" t="s">
        <v>59</v>
      </c>
      <c r="S1850" s="18" t="s">
        <v>118</v>
      </c>
      <c r="T1850" s="18" t="b">
        <v>1</v>
      </c>
      <c r="U1850" s="18" t="s">
        <v>39</v>
      </c>
      <c r="V1850" s="18" t="s">
        <v>40</v>
      </c>
      <c r="W1850" s="18" t="s">
        <v>140</v>
      </c>
      <c r="X1850" s="18" t="s">
        <v>141</v>
      </c>
      <c r="Y1850" s="18">
        <v>1</v>
      </c>
      <c r="Z1850" s="18">
        <v>22000</v>
      </c>
      <c r="AA1850" s="18" t="s">
        <v>128</v>
      </c>
      <c r="AB1850" s="18" t="s">
        <v>129</v>
      </c>
      <c r="AC1850" s="18" t="e">
        <v>#N/A</v>
      </c>
    </row>
    <row r="1851" s="18" customFormat="1" spans="1:29">
      <c r="A1851" s="18" t="s">
        <v>3880</v>
      </c>
      <c r="B1851" s="25" t="s">
        <v>3880</v>
      </c>
      <c r="C1851" s="26">
        <v>45712</v>
      </c>
      <c r="D1851" s="18" t="s">
        <v>3881</v>
      </c>
      <c r="E1851" s="18" t="str">
        <f t="shared" si="28"/>
        <v>Kapeel Parmekar </v>
      </c>
      <c r="F1851" s="27" t="e">
        <v>#N/A</v>
      </c>
      <c r="G1851" s="18" t="s">
        <v>32</v>
      </c>
      <c r="H1851" s="18" t="s">
        <v>33</v>
      </c>
      <c r="I1851" s="18" t="s">
        <v>1246</v>
      </c>
      <c r="J1851" s="18" t="s">
        <v>2338</v>
      </c>
      <c r="K1851" s="18" t="s">
        <v>56</v>
      </c>
      <c r="L1851" s="18" t="s">
        <v>36</v>
      </c>
      <c r="N1851" s="18">
        <v>6</v>
      </c>
      <c r="O1851" s="18" t="s">
        <v>93</v>
      </c>
      <c r="P1851" s="18" t="s">
        <v>38</v>
      </c>
      <c r="Q1851" s="18" t="s">
        <v>117</v>
      </c>
      <c r="R1851" s="18" t="s">
        <v>59</v>
      </c>
      <c r="S1851" s="18" t="s">
        <v>118</v>
      </c>
      <c r="T1851" s="18" t="b">
        <v>1</v>
      </c>
      <c r="U1851" s="18" t="s">
        <v>39</v>
      </c>
      <c r="V1851" s="18" t="s">
        <v>40</v>
      </c>
      <c r="W1851" s="18" t="s">
        <v>412</v>
      </c>
      <c r="X1851" s="18" t="s">
        <v>413</v>
      </c>
      <c r="Y1851" s="18">
        <v>1</v>
      </c>
      <c r="Z1851" s="18">
        <v>2671.25</v>
      </c>
      <c r="AA1851" s="18" t="s">
        <v>128</v>
      </c>
      <c r="AB1851" s="18" t="s">
        <v>129</v>
      </c>
      <c r="AC1851" s="18" t="e">
        <v>#N/A</v>
      </c>
    </row>
    <row r="1852" s="18" customFormat="1" spans="1:29">
      <c r="A1852" s="18" t="s">
        <v>3882</v>
      </c>
      <c r="B1852" s="25" t="s">
        <v>3882</v>
      </c>
      <c r="C1852" s="26">
        <v>45712</v>
      </c>
      <c r="D1852" s="18" t="s">
        <v>1441</v>
      </c>
      <c r="E1852" s="18" t="str">
        <f t="shared" ref="E1852:E1915" si="29">_xlfn.TEXTBEFORE(D1852,"-")</f>
        <v>Reverb Sound And Light Studio</v>
      </c>
      <c r="F1852" s="27" t="s">
        <v>1442</v>
      </c>
      <c r="G1852" s="18" t="s">
        <v>32</v>
      </c>
      <c r="H1852" s="18" t="s">
        <v>33</v>
      </c>
      <c r="I1852" s="18" t="s">
        <v>133</v>
      </c>
      <c r="J1852" s="18" t="s">
        <v>3337</v>
      </c>
      <c r="K1852" s="18" t="s">
        <v>56</v>
      </c>
      <c r="L1852" s="18" t="s">
        <v>36</v>
      </c>
      <c r="N1852" s="18">
        <v>6</v>
      </c>
      <c r="O1852" s="18" t="s">
        <v>88</v>
      </c>
      <c r="P1852" s="18" t="s">
        <v>38</v>
      </c>
      <c r="Q1852" s="18" t="s">
        <v>117</v>
      </c>
      <c r="R1852" s="18" t="s">
        <v>59</v>
      </c>
      <c r="S1852" s="18" t="s">
        <v>118</v>
      </c>
      <c r="T1852" s="18" t="b">
        <v>1</v>
      </c>
      <c r="U1852" s="18" t="s">
        <v>39</v>
      </c>
      <c r="V1852" s="18" t="s">
        <v>40</v>
      </c>
      <c r="W1852" s="18" t="s">
        <v>371</v>
      </c>
      <c r="X1852" s="18" t="s">
        <v>372</v>
      </c>
      <c r="Y1852" s="18">
        <v>1</v>
      </c>
      <c r="Z1852" s="18">
        <v>20000</v>
      </c>
      <c r="AA1852" s="18" t="s">
        <v>2694</v>
      </c>
      <c r="AB1852" s="18" t="s">
        <v>650</v>
      </c>
      <c r="AC1852" s="18" t="s">
        <v>43</v>
      </c>
    </row>
    <row r="1853" s="18" customFormat="1" spans="1:29">
      <c r="A1853" s="18" t="s">
        <v>3883</v>
      </c>
      <c r="B1853" s="25" t="s">
        <v>3883</v>
      </c>
      <c r="C1853" s="26">
        <v>45712</v>
      </c>
      <c r="D1853" s="18" t="s">
        <v>2217</v>
      </c>
      <c r="E1853" s="18" t="str">
        <f t="shared" si="29"/>
        <v>Shanmugam J</v>
      </c>
      <c r="F1853" s="27" t="s">
        <v>2218</v>
      </c>
      <c r="G1853" s="18" t="s">
        <v>99</v>
      </c>
      <c r="H1853" s="18" t="s">
        <v>100</v>
      </c>
      <c r="I1853" s="18" t="s">
        <v>1246</v>
      </c>
      <c r="J1853" s="18" t="s">
        <v>3884</v>
      </c>
      <c r="K1853" s="18" t="s">
        <v>56</v>
      </c>
      <c r="L1853" s="18" t="s">
        <v>36</v>
      </c>
      <c r="N1853" s="18">
        <v>6</v>
      </c>
      <c r="O1853" s="18" t="s">
        <v>57</v>
      </c>
      <c r="P1853" s="18" t="s">
        <v>38</v>
      </c>
      <c r="Q1853" s="18" t="s">
        <v>117</v>
      </c>
      <c r="R1853" s="18" t="s">
        <v>59</v>
      </c>
      <c r="S1853" s="18" t="s">
        <v>186</v>
      </c>
      <c r="T1853" s="18" t="b">
        <v>1</v>
      </c>
      <c r="U1853" s="18" t="s">
        <v>101</v>
      </c>
      <c r="V1853" s="18" t="s">
        <v>40</v>
      </c>
      <c r="W1853" s="18" t="s">
        <v>233</v>
      </c>
      <c r="X1853" s="18" t="s">
        <v>234</v>
      </c>
      <c r="Y1853" s="18">
        <v>1</v>
      </c>
      <c r="Z1853" s="18">
        <v>20200</v>
      </c>
      <c r="AA1853" s="18" t="s">
        <v>2776</v>
      </c>
      <c r="AB1853" s="18" t="s">
        <v>811</v>
      </c>
      <c r="AC1853" s="18" t="e">
        <v>#N/A</v>
      </c>
    </row>
    <row r="1854" s="18" customFormat="1" spans="1:29">
      <c r="A1854" s="18" t="s">
        <v>3885</v>
      </c>
      <c r="B1854" s="25" t="s">
        <v>3885</v>
      </c>
      <c r="C1854" s="26">
        <v>45712</v>
      </c>
      <c r="D1854" s="18" t="s">
        <v>3786</v>
      </c>
      <c r="E1854" s="18" t="str">
        <f t="shared" si="29"/>
        <v>Beena Joseph  </v>
      </c>
      <c r="F1854" s="27" t="e">
        <v>#N/A</v>
      </c>
      <c r="G1854" s="18" t="s">
        <v>99</v>
      </c>
      <c r="H1854" s="18" t="s">
        <v>100</v>
      </c>
      <c r="I1854" s="18" t="s">
        <v>1246</v>
      </c>
      <c r="J1854" s="18" t="s">
        <v>1006</v>
      </c>
      <c r="K1854" s="18" t="s">
        <v>56</v>
      </c>
      <c r="L1854" s="18" t="s">
        <v>36</v>
      </c>
      <c r="N1854" s="18">
        <v>6</v>
      </c>
      <c r="O1854" s="18" t="s">
        <v>93</v>
      </c>
      <c r="P1854" s="18" t="s">
        <v>38</v>
      </c>
      <c r="Q1854" s="18" t="s">
        <v>117</v>
      </c>
      <c r="R1854" s="18" t="s">
        <v>59</v>
      </c>
      <c r="S1854" s="18" t="s">
        <v>186</v>
      </c>
      <c r="T1854" s="18" t="b">
        <v>1</v>
      </c>
      <c r="U1854" s="18" t="s">
        <v>101</v>
      </c>
      <c r="V1854" s="18" t="s">
        <v>40</v>
      </c>
      <c r="W1854" s="18" t="s">
        <v>683</v>
      </c>
      <c r="X1854" s="18" t="s">
        <v>684</v>
      </c>
      <c r="Y1854" s="18">
        <v>1</v>
      </c>
      <c r="Z1854" s="18">
        <v>5000</v>
      </c>
      <c r="AA1854" s="18" t="s">
        <v>102</v>
      </c>
      <c r="AB1854" s="18" t="s">
        <v>103</v>
      </c>
      <c r="AC1854" s="18" t="e">
        <v>#N/A</v>
      </c>
    </row>
    <row r="1855" s="18" customFormat="1" spans="1:29">
      <c r="A1855" s="18" t="s">
        <v>3886</v>
      </c>
      <c r="B1855" s="25" t="s">
        <v>3886</v>
      </c>
      <c r="C1855" s="26">
        <v>45712</v>
      </c>
      <c r="D1855" s="18" t="s">
        <v>3786</v>
      </c>
      <c r="E1855" s="18" t="str">
        <f t="shared" si="29"/>
        <v>Beena Joseph  </v>
      </c>
      <c r="F1855" s="27" t="e">
        <v>#N/A</v>
      </c>
      <c r="G1855" s="18" t="s">
        <v>99</v>
      </c>
      <c r="H1855" s="18" t="s">
        <v>100</v>
      </c>
      <c r="I1855" s="18" t="s">
        <v>1246</v>
      </c>
      <c r="J1855" s="18" t="s">
        <v>2345</v>
      </c>
      <c r="K1855" s="18" t="s">
        <v>56</v>
      </c>
      <c r="L1855" s="18" t="s">
        <v>36</v>
      </c>
      <c r="N1855" s="18">
        <v>6</v>
      </c>
      <c r="O1855" s="18" t="s">
        <v>93</v>
      </c>
      <c r="P1855" s="18" t="s">
        <v>38</v>
      </c>
      <c r="Q1855" s="18" t="s">
        <v>117</v>
      </c>
      <c r="R1855" s="18" t="s">
        <v>59</v>
      </c>
      <c r="S1855" s="18" t="s">
        <v>186</v>
      </c>
      <c r="T1855" s="18" t="b">
        <v>1</v>
      </c>
      <c r="U1855" s="18" t="s">
        <v>101</v>
      </c>
      <c r="V1855" s="18" t="s">
        <v>40</v>
      </c>
      <c r="W1855" s="18" t="s">
        <v>119</v>
      </c>
      <c r="X1855" s="18" t="s">
        <v>120</v>
      </c>
      <c r="Y1855" s="18">
        <v>1</v>
      </c>
      <c r="Z1855" s="18">
        <v>1833</v>
      </c>
      <c r="AA1855" s="18" t="s">
        <v>102</v>
      </c>
      <c r="AB1855" s="18" t="s">
        <v>103</v>
      </c>
      <c r="AC1855" s="18" t="e">
        <v>#N/A</v>
      </c>
    </row>
    <row r="1856" s="18" customFormat="1" spans="1:29">
      <c r="A1856" s="18" t="s">
        <v>3887</v>
      </c>
      <c r="B1856" s="25" t="s">
        <v>3887</v>
      </c>
      <c r="C1856" s="26">
        <v>45712</v>
      </c>
      <c r="D1856" s="18" t="s">
        <v>3643</v>
      </c>
      <c r="E1856" s="18" t="str">
        <f t="shared" si="29"/>
        <v>Brijesh L  </v>
      </c>
      <c r="F1856" s="27" t="s">
        <v>3644</v>
      </c>
      <c r="G1856" s="18" t="s">
        <v>99</v>
      </c>
      <c r="H1856" s="18" t="s">
        <v>100</v>
      </c>
      <c r="I1856" s="18" t="s">
        <v>1246</v>
      </c>
      <c r="J1856" s="18" t="s">
        <v>2345</v>
      </c>
      <c r="K1856" s="18" t="s">
        <v>56</v>
      </c>
      <c r="L1856" s="18" t="s">
        <v>36</v>
      </c>
      <c r="N1856" s="18">
        <v>6</v>
      </c>
      <c r="O1856" s="18" t="s">
        <v>93</v>
      </c>
      <c r="P1856" s="18" t="s">
        <v>38</v>
      </c>
      <c r="Q1856" s="18" t="s">
        <v>117</v>
      </c>
      <c r="R1856" s="18" t="s">
        <v>59</v>
      </c>
      <c r="S1856" s="18" t="s">
        <v>186</v>
      </c>
      <c r="T1856" s="18" t="b">
        <v>1</v>
      </c>
      <c r="U1856" s="18" t="s">
        <v>101</v>
      </c>
      <c r="V1856" s="18" t="s">
        <v>40</v>
      </c>
      <c r="W1856" s="18" t="s">
        <v>233</v>
      </c>
      <c r="X1856" s="18" t="s">
        <v>234</v>
      </c>
      <c r="Y1856" s="18">
        <v>1</v>
      </c>
      <c r="Z1856" s="18">
        <v>600</v>
      </c>
      <c r="AA1856" s="18" t="s">
        <v>102</v>
      </c>
      <c r="AB1856" s="18" t="s">
        <v>103</v>
      </c>
      <c r="AC1856" s="18" t="e">
        <v>#N/A</v>
      </c>
    </row>
    <row r="1857" s="18" customFormat="1" spans="1:29">
      <c r="A1857" s="18" t="s">
        <v>3888</v>
      </c>
      <c r="B1857" s="25" t="s">
        <v>3888</v>
      </c>
      <c r="C1857" s="26">
        <v>45712</v>
      </c>
      <c r="D1857" s="18" t="s">
        <v>341</v>
      </c>
      <c r="E1857" s="18" t="str">
        <f t="shared" si="29"/>
        <v>Benson Trophies And Awards</v>
      </c>
      <c r="F1857" s="27" t="s">
        <v>342</v>
      </c>
      <c r="G1857" s="18" t="s">
        <v>147</v>
      </c>
      <c r="H1857" s="18" t="s">
        <v>148</v>
      </c>
      <c r="I1857" s="18" t="s">
        <v>54</v>
      </c>
      <c r="J1857" s="18" t="s">
        <v>3002</v>
      </c>
      <c r="K1857" s="18" t="s">
        <v>56</v>
      </c>
      <c r="L1857" s="18" t="s">
        <v>36</v>
      </c>
      <c r="N1857" s="18">
        <v>6</v>
      </c>
      <c r="O1857" s="18" t="s">
        <v>88</v>
      </c>
      <c r="P1857" s="18" t="s">
        <v>38</v>
      </c>
      <c r="Q1857" s="18" t="s">
        <v>58</v>
      </c>
      <c r="R1857" s="18" t="s">
        <v>59</v>
      </c>
      <c r="S1857" s="18" t="s">
        <v>60</v>
      </c>
      <c r="T1857" s="18" t="b">
        <v>1</v>
      </c>
      <c r="U1857" s="18" t="s">
        <v>150</v>
      </c>
      <c r="V1857" s="18" t="s">
        <v>40</v>
      </c>
      <c r="W1857" s="18" t="s">
        <v>140</v>
      </c>
      <c r="X1857" s="18" t="s">
        <v>141</v>
      </c>
      <c r="Y1857" s="18">
        <v>1</v>
      </c>
      <c r="Z1857" s="18">
        <v>56250</v>
      </c>
      <c r="AA1857" s="18" t="s">
        <v>463</v>
      </c>
      <c r="AB1857" s="18" t="s">
        <v>464</v>
      </c>
      <c r="AC1857" s="18" t="s">
        <v>163</v>
      </c>
    </row>
    <row r="1858" s="18" customFormat="1" spans="1:29">
      <c r="A1858" s="18" t="s">
        <v>3889</v>
      </c>
      <c r="B1858" s="25" t="s">
        <v>3889</v>
      </c>
      <c r="C1858" s="26">
        <v>45712</v>
      </c>
      <c r="D1858" s="18" t="s">
        <v>3890</v>
      </c>
      <c r="E1858" s="18" t="str">
        <f t="shared" si="29"/>
        <v>Datagen Internet Services Pvt Ltd</v>
      </c>
      <c r="F1858" s="27" t="s">
        <v>3891</v>
      </c>
      <c r="G1858" s="18" t="s">
        <v>147</v>
      </c>
      <c r="H1858" s="18" t="s">
        <v>148</v>
      </c>
      <c r="I1858" s="18" t="s">
        <v>133</v>
      </c>
      <c r="J1858" s="18" t="s">
        <v>1370</v>
      </c>
      <c r="K1858" s="18" t="s">
        <v>56</v>
      </c>
      <c r="L1858" s="18" t="s">
        <v>36</v>
      </c>
      <c r="N1858" s="18">
        <v>6</v>
      </c>
      <c r="O1858" s="18" t="s">
        <v>88</v>
      </c>
      <c r="P1858" s="18" t="s">
        <v>38</v>
      </c>
      <c r="Q1858" s="18" t="s">
        <v>58</v>
      </c>
      <c r="R1858" s="18" t="s">
        <v>59</v>
      </c>
      <c r="S1858" s="18" t="s">
        <v>60</v>
      </c>
      <c r="T1858" s="18" t="b">
        <v>1</v>
      </c>
      <c r="U1858" s="18" t="s">
        <v>150</v>
      </c>
      <c r="V1858" s="18" t="s">
        <v>40</v>
      </c>
      <c r="W1858" s="18" t="s">
        <v>233</v>
      </c>
      <c r="X1858" s="18" t="s">
        <v>234</v>
      </c>
      <c r="Y1858" s="18">
        <v>1</v>
      </c>
      <c r="Z1858" s="18">
        <v>20000</v>
      </c>
      <c r="AA1858" s="18" t="s">
        <v>1913</v>
      </c>
      <c r="AB1858" s="18" t="s">
        <v>790</v>
      </c>
      <c r="AC1858" s="18" t="s">
        <v>163</v>
      </c>
    </row>
    <row r="1859" s="18" customFormat="1" spans="1:29">
      <c r="A1859" s="18" t="s">
        <v>3892</v>
      </c>
      <c r="B1859" s="25" t="s">
        <v>3892</v>
      </c>
      <c r="C1859" s="26">
        <v>45712</v>
      </c>
      <c r="D1859" s="18" t="s">
        <v>1265</v>
      </c>
      <c r="E1859" s="18" t="str">
        <f t="shared" si="29"/>
        <v>Parvesh Mahalwal............... </v>
      </c>
      <c r="F1859" s="27" t="e">
        <v>#N/A</v>
      </c>
      <c r="G1859" s="18" t="s">
        <v>147</v>
      </c>
      <c r="H1859" s="18" t="s">
        <v>148</v>
      </c>
      <c r="I1859" s="18" t="s">
        <v>54</v>
      </c>
      <c r="J1859" s="18" t="s">
        <v>1238</v>
      </c>
      <c r="K1859" s="18" t="s">
        <v>56</v>
      </c>
      <c r="L1859" s="18" t="s">
        <v>36</v>
      </c>
      <c r="N1859" s="18">
        <v>6</v>
      </c>
      <c r="O1859" s="18" t="s">
        <v>93</v>
      </c>
      <c r="P1859" s="18" t="s">
        <v>38</v>
      </c>
      <c r="Q1859" s="18" t="s">
        <v>58</v>
      </c>
      <c r="R1859" s="18" t="s">
        <v>59</v>
      </c>
      <c r="S1859" s="18" t="s">
        <v>60</v>
      </c>
      <c r="T1859" s="18" t="b">
        <v>1</v>
      </c>
      <c r="U1859" s="18" t="s">
        <v>150</v>
      </c>
      <c r="V1859" s="18" t="s">
        <v>40</v>
      </c>
      <c r="W1859" s="18" t="s">
        <v>412</v>
      </c>
      <c r="X1859" s="18" t="s">
        <v>413</v>
      </c>
      <c r="Y1859" s="18">
        <v>1</v>
      </c>
      <c r="Z1859" s="18">
        <v>1299</v>
      </c>
      <c r="AA1859" s="18" t="s">
        <v>299</v>
      </c>
      <c r="AB1859" s="18" t="s">
        <v>295</v>
      </c>
      <c r="AC1859" s="18" t="e">
        <v>#N/A</v>
      </c>
    </row>
    <row r="1860" s="18" customFormat="1" ht="43.5" spans="1:29">
      <c r="A1860" s="18" t="s">
        <v>3893</v>
      </c>
      <c r="B1860" s="25" t="s">
        <v>3893</v>
      </c>
      <c r="C1860" s="26">
        <v>45712</v>
      </c>
      <c r="D1860" s="18" t="s">
        <v>3890</v>
      </c>
      <c r="E1860" s="18" t="str">
        <f t="shared" si="29"/>
        <v>Datagen Internet Services Pvt Ltd</v>
      </c>
      <c r="F1860" s="27" t="s">
        <v>3891</v>
      </c>
      <c r="G1860" s="18" t="s">
        <v>147</v>
      </c>
      <c r="H1860" s="18" t="s">
        <v>148</v>
      </c>
      <c r="I1860" s="18" t="s">
        <v>184</v>
      </c>
      <c r="J1860" s="18" t="s">
        <v>1370</v>
      </c>
      <c r="K1860" s="18" t="s">
        <v>56</v>
      </c>
      <c r="L1860" s="18" t="s">
        <v>36</v>
      </c>
      <c r="N1860" s="18">
        <v>6</v>
      </c>
      <c r="O1860" s="18" t="s">
        <v>88</v>
      </c>
      <c r="P1860" s="18" t="s">
        <v>38</v>
      </c>
      <c r="Q1860" s="18" t="s">
        <v>58</v>
      </c>
      <c r="R1860" s="18" t="s">
        <v>59</v>
      </c>
      <c r="S1860" s="18" t="s">
        <v>60</v>
      </c>
      <c r="T1860" s="18" t="b">
        <v>1</v>
      </c>
      <c r="U1860" s="18" t="s">
        <v>150</v>
      </c>
      <c r="V1860" s="18" t="s">
        <v>40</v>
      </c>
      <c r="W1860" s="18" t="s">
        <v>311</v>
      </c>
      <c r="X1860" s="18" t="s">
        <v>95</v>
      </c>
      <c r="Y1860" s="18">
        <v>1</v>
      </c>
      <c r="Z1860" s="18">
        <v>20000</v>
      </c>
      <c r="AA1860" s="31" t="s">
        <v>2874</v>
      </c>
      <c r="AB1860" s="18" t="s">
        <v>90</v>
      </c>
      <c r="AC1860" s="18" t="s">
        <v>163</v>
      </c>
    </row>
    <row r="1861" s="18" customFormat="1" spans="1:29">
      <c r="A1861" s="18" t="s">
        <v>3894</v>
      </c>
      <c r="B1861" s="25" t="s">
        <v>3894</v>
      </c>
      <c r="C1861" s="26">
        <v>45712</v>
      </c>
      <c r="D1861" s="18" t="s">
        <v>1742</v>
      </c>
      <c r="E1861" s="18" t="str">
        <f t="shared" si="29"/>
        <v>Puneet Kumar ........... </v>
      </c>
      <c r="F1861" s="27" t="e">
        <v>#N/A</v>
      </c>
      <c r="G1861" s="18" t="s">
        <v>147</v>
      </c>
      <c r="H1861" s="18" t="s">
        <v>148</v>
      </c>
      <c r="I1861" s="18" t="s">
        <v>54</v>
      </c>
      <c r="J1861" s="18" t="s">
        <v>2464</v>
      </c>
      <c r="K1861" s="18" t="s">
        <v>56</v>
      </c>
      <c r="L1861" s="18" t="s">
        <v>36</v>
      </c>
      <c r="N1861" s="18">
        <v>6</v>
      </c>
      <c r="O1861" s="18" t="s">
        <v>93</v>
      </c>
      <c r="P1861" s="18" t="s">
        <v>38</v>
      </c>
      <c r="Q1861" s="18" t="s">
        <v>58</v>
      </c>
      <c r="R1861" s="18" t="s">
        <v>59</v>
      </c>
      <c r="S1861" s="18" t="s">
        <v>60</v>
      </c>
      <c r="T1861" s="18" t="b">
        <v>1</v>
      </c>
      <c r="U1861" s="18" t="s">
        <v>150</v>
      </c>
      <c r="V1861" s="18" t="s">
        <v>40</v>
      </c>
      <c r="W1861" s="18" t="s">
        <v>126</v>
      </c>
      <c r="X1861" s="18" t="s">
        <v>127</v>
      </c>
      <c r="Y1861" s="18">
        <v>1</v>
      </c>
      <c r="Z1861" s="18">
        <v>3720</v>
      </c>
      <c r="AA1861" s="18" t="s">
        <v>1743</v>
      </c>
      <c r="AB1861" s="18" t="s">
        <v>940</v>
      </c>
      <c r="AC1861" s="18" t="e">
        <v>#N/A</v>
      </c>
    </row>
    <row r="1862" s="18" customFormat="1" spans="1:29">
      <c r="A1862" s="18" t="s">
        <v>3895</v>
      </c>
      <c r="B1862" s="25" t="s">
        <v>3895</v>
      </c>
      <c r="C1862" s="26">
        <v>45712</v>
      </c>
      <c r="D1862" s="18" t="s">
        <v>1736</v>
      </c>
      <c r="E1862" s="18" t="str">
        <f t="shared" si="29"/>
        <v>Tribhuvan Kapoor.....</v>
      </c>
      <c r="F1862" s="27" t="e">
        <v>#N/A</v>
      </c>
      <c r="G1862" s="18" t="s">
        <v>147</v>
      </c>
      <c r="H1862" s="18" t="s">
        <v>148</v>
      </c>
      <c r="I1862" s="18" t="s">
        <v>54</v>
      </c>
      <c r="J1862" s="18" t="s">
        <v>3896</v>
      </c>
      <c r="K1862" s="18" t="s">
        <v>56</v>
      </c>
      <c r="L1862" s="18" t="s">
        <v>36</v>
      </c>
      <c r="N1862" s="18">
        <v>6</v>
      </c>
      <c r="O1862" s="18" t="s">
        <v>93</v>
      </c>
      <c r="P1862" s="18" t="s">
        <v>38</v>
      </c>
      <c r="Q1862" s="18" t="s">
        <v>58</v>
      </c>
      <c r="R1862" s="18" t="s">
        <v>59</v>
      </c>
      <c r="S1862" s="18" t="s">
        <v>60</v>
      </c>
      <c r="T1862" s="18" t="b">
        <v>1</v>
      </c>
      <c r="U1862" s="18" t="s">
        <v>150</v>
      </c>
      <c r="V1862" s="18" t="s">
        <v>40</v>
      </c>
      <c r="W1862" s="18" t="s">
        <v>126</v>
      </c>
      <c r="X1862" s="18" t="s">
        <v>127</v>
      </c>
      <c r="Y1862" s="18">
        <v>1</v>
      </c>
      <c r="Z1862" s="18">
        <v>1995</v>
      </c>
      <c r="AA1862" s="18" t="s">
        <v>1676</v>
      </c>
      <c r="AB1862" s="18" t="s">
        <v>600</v>
      </c>
      <c r="AC1862" s="18" t="e">
        <v>#N/A</v>
      </c>
    </row>
    <row r="1863" s="18" customFormat="1" spans="1:29">
      <c r="A1863" s="18" t="s">
        <v>3897</v>
      </c>
      <c r="B1863" s="25" t="s">
        <v>3897</v>
      </c>
      <c r="C1863" s="26">
        <v>45712</v>
      </c>
      <c r="D1863" s="18" t="s">
        <v>1742</v>
      </c>
      <c r="E1863" s="18" t="str">
        <f t="shared" si="29"/>
        <v>Puneet Kumar ........... </v>
      </c>
      <c r="F1863" s="27" t="e">
        <v>#N/A</v>
      </c>
      <c r="G1863" s="18" t="s">
        <v>147</v>
      </c>
      <c r="H1863" s="18" t="s">
        <v>148</v>
      </c>
      <c r="I1863" s="18" t="s">
        <v>54</v>
      </c>
      <c r="J1863" s="18" t="s">
        <v>2429</v>
      </c>
      <c r="K1863" s="18" t="s">
        <v>56</v>
      </c>
      <c r="L1863" s="18" t="s">
        <v>36</v>
      </c>
      <c r="N1863" s="18">
        <v>6</v>
      </c>
      <c r="O1863" s="18" t="s">
        <v>93</v>
      </c>
      <c r="P1863" s="18" t="s">
        <v>38</v>
      </c>
      <c r="Q1863" s="18" t="s">
        <v>194</v>
      </c>
      <c r="R1863" s="18" t="s">
        <v>59</v>
      </c>
      <c r="S1863" s="18" t="s">
        <v>195</v>
      </c>
      <c r="T1863" s="18" t="b">
        <v>1</v>
      </c>
      <c r="U1863" s="18" t="s">
        <v>150</v>
      </c>
      <c r="V1863" s="18" t="s">
        <v>40</v>
      </c>
      <c r="W1863" s="18" t="s">
        <v>233</v>
      </c>
      <c r="X1863" s="18" t="s">
        <v>234</v>
      </c>
      <c r="Y1863" s="18">
        <v>1</v>
      </c>
      <c r="Z1863" s="18">
        <v>1179</v>
      </c>
      <c r="AA1863" s="18" t="s">
        <v>1743</v>
      </c>
      <c r="AB1863" s="18" t="s">
        <v>940</v>
      </c>
      <c r="AC1863" s="18" t="e">
        <v>#N/A</v>
      </c>
    </row>
    <row r="1864" s="18" customFormat="1" ht="43.5" spans="1:29">
      <c r="A1864" s="18" t="s">
        <v>3898</v>
      </c>
      <c r="B1864" s="25" t="s">
        <v>3898</v>
      </c>
      <c r="C1864" s="26">
        <v>45712</v>
      </c>
      <c r="D1864" s="18" t="s">
        <v>541</v>
      </c>
      <c r="E1864" s="18" t="str">
        <f t="shared" si="29"/>
        <v>Dream Factory Pvt. Ltd.</v>
      </c>
      <c r="F1864" s="27" t="e">
        <v>#N/A</v>
      </c>
      <c r="G1864" s="18" t="s">
        <v>147</v>
      </c>
      <c r="H1864" s="18" t="s">
        <v>148</v>
      </c>
      <c r="I1864" s="18" t="s">
        <v>184</v>
      </c>
      <c r="J1864" s="18" t="s">
        <v>2756</v>
      </c>
      <c r="K1864" s="18" t="s">
        <v>56</v>
      </c>
      <c r="L1864" s="18" t="s">
        <v>36</v>
      </c>
      <c r="N1864" s="18">
        <v>6</v>
      </c>
      <c r="O1864" s="18" t="s">
        <v>88</v>
      </c>
      <c r="P1864" s="18" t="s">
        <v>38</v>
      </c>
      <c r="Q1864" s="18" t="s">
        <v>194</v>
      </c>
      <c r="R1864" s="18" t="s">
        <v>59</v>
      </c>
      <c r="S1864" s="18" t="s">
        <v>195</v>
      </c>
      <c r="T1864" s="18" t="b">
        <v>1</v>
      </c>
      <c r="U1864" s="18" t="s">
        <v>150</v>
      </c>
      <c r="V1864" s="18" t="s">
        <v>40</v>
      </c>
      <c r="W1864" s="18" t="s">
        <v>151</v>
      </c>
      <c r="X1864" s="18" t="s">
        <v>152</v>
      </c>
      <c r="Y1864" s="18">
        <v>1</v>
      </c>
      <c r="Z1864" s="18">
        <v>1300000</v>
      </c>
      <c r="AA1864" s="31" t="s">
        <v>3010</v>
      </c>
      <c r="AB1864" s="18" t="s">
        <v>1354</v>
      </c>
      <c r="AC1864" s="18" t="s">
        <v>155</v>
      </c>
    </row>
    <row r="1865" s="18" customFormat="1" ht="43.5" spans="1:29">
      <c r="A1865" s="18" t="s">
        <v>3899</v>
      </c>
      <c r="B1865" s="25" t="s">
        <v>3899</v>
      </c>
      <c r="C1865" s="26">
        <v>45712</v>
      </c>
      <c r="D1865" s="18" t="s">
        <v>669</v>
      </c>
      <c r="E1865" s="18" t="str">
        <f t="shared" si="29"/>
        <v>Clear Span Events Pvt Ltd</v>
      </c>
      <c r="F1865" s="27" t="s">
        <v>670</v>
      </c>
      <c r="G1865" s="18" t="s">
        <v>147</v>
      </c>
      <c r="H1865" s="18" t="s">
        <v>148</v>
      </c>
      <c r="I1865" s="18" t="s">
        <v>184</v>
      </c>
      <c r="J1865" s="18" t="s">
        <v>2756</v>
      </c>
      <c r="K1865" s="18" t="s">
        <v>56</v>
      </c>
      <c r="L1865" s="18" t="s">
        <v>36</v>
      </c>
      <c r="N1865" s="18">
        <v>6</v>
      </c>
      <c r="O1865" s="18" t="s">
        <v>88</v>
      </c>
      <c r="P1865" s="18" t="s">
        <v>38</v>
      </c>
      <c r="Q1865" s="18" t="s">
        <v>194</v>
      </c>
      <c r="R1865" s="18" t="s">
        <v>59</v>
      </c>
      <c r="S1865" s="18" t="s">
        <v>195</v>
      </c>
      <c r="T1865" s="18" t="b">
        <v>1</v>
      </c>
      <c r="U1865" s="18" t="s">
        <v>150</v>
      </c>
      <c r="V1865" s="18" t="s">
        <v>40</v>
      </c>
      <c r="W1865" s="18" t="s">
        <v>151</v>
      </c>
      <c r="X1865" s="18" t="s">
        <v>152</v>
      </c>
      <c r="Y1865" s="18">
        <v>1</v>
      </c>
      <c r="Z1865" s="18">
        <v>130000</v>
      </c>
      <c r="AA1865" s="31" t="s">
        <v>3010</v>
      </c>
      <c r="AB1865" s="18" t="s">
        <v>1354</v>
      </c>
      <c r="AC1865" s="18" t="s">
        <v>163</v>
      </c>
    </row>
    <row r="1866" s="18" customFormat="1" spans="1:29">
      <c r="A1866" s="18" t="s">
        <v>3900</v>
      </c>
      <c r="B1866" s="25" t="s">
        <v>3900</v>
      </c>
      <c r="C1866" s="26">
        <v>45712</v>
      </c>
      <c r="D1866" s="18" t="s">
        <v>86</v>
      </c>
      <c r="E1866" s="18" t="str">
        <f t="shared" si="29"/>
        <v>Aaa Rental Llp</v>
      </c>
      <c r="F1866" s="27" t="s">
        <v>87</v>
      </c>
      <c r="G1866" s="18" t="s">
        <v>147</v>
      </c>
      <c r="H1866" s="18" t="s">
        <v>148</v>
      </c>
      <c r="I1866" s="18" t="s">
        <v>159</v>
      </c>
      <c r="K1866" s="18" t="s">
        <v>35</v>
      </c>
      <c r="L1866" s="18" t="s">
        <v>36</v>
      </c>
      <c r="N1866" s="18">
        <v>6</v>
      </c>
      <c r="O1866" s="18" t="s">
        <v>88</v>
      </c>
      <c r="P1866" s="18" t="s">
        <v>38</v>
      </c>
      <c r="T1866" s="18" t="b">
        <v>1</v>
      </c>
      <c r="U1866" s="18" t="s">
        <v>150</v>
      </c>
      <c r="V1866" s="18" t="s">
        <v>40</v>
      </c>
      <c r="W1866" s="18" t="s">
        <v>84</v>
      </c>
      <c r="X1866" s="18" t="s">
        <v>84</v>
      </c>
      <c r="Y1866" s="18">
        <v>1</v>
      </c>
      <c r="Z1866" s="18">
        <v>35000</v>
      </c>
      <c r="AA1866" s="18" t="s">
        <v>176</v>
      </c>
      <c r="AB1866" s="18" t="s">
        <v>173</v>
      </c>
      <c r="AC1866" s="18" t="s">
        <v>163</v>
      </c>
    </row>
    <row r="1867" s="18" customFormat="1" spans="1:29">
      <c r="A1867" s="18" t="s">
        <v>3901</v>
      </c>
      <c r="B1867" s="25" t="s">
        <v>3901</v>
      </c>
      <c r="C1867" s="26">
        <v>45712</v>
      </c>
      <c r="D1867" s="18" t="s">
        <v>451</v>
      </c>
      <c r="E1867" s="18" t="str">
        <f t="shared" si="29"/>
        <v>Ajeet Singh  </v>
      </c>
      <c r="F1867" s="27" t="s">
        <v>452</v>
      </c>
      <c r="G1867" s="18" t="s">
        <v>147</v>
      </c>
      <c r="H1867" s="18" t="s">
        <v>148</v>
      </c>
      <c r="I1867" s="18" t="s">
        <v>54</v>
      </c>
      <c r="J1867" s="18" t="s">
        <v>3902</v>
      </c>
      <c r="K1867" s="18" t="s">
        <v>56</v>
      </c>
      <c r="L1867" s="18" t="s">
        <v>36</v>
      </c>
      <c r="N1867" s="18">
        <v>6</v>
      </c>
      <c r="O1867" s="18" t="s">
        <v>93</v>
      </c>
      <c r="P1867" s="18" t="s">
        <v>38</v>
      </c>
      <c r="Q1867" s="18" t="s">
        <v>58</v>
      </c>
      <c r="R1867" s="18" t="s">
        <v>59</v>
      </c>
      <c r="S1867" s="18" t="s">
        <v>60</v>
      </c>
      <c r="T1867" s="18" t="b">
        <v>1</v>
      </c>
      <c r="U1867" s="18" t="s">
        <v>150</v>
      </c>
      <c r="V1867" s="18" t="s">
        <v>40</v>
      </c>
      <c r="W1867" s="18" t="s">
        <v>126</v>
      </c>
      <c r="X1867" s="18" t="s">
        <v>127</v>
      </c>
      <c r="Y1867" s="18">
        <v>1</v>
      </c>
      <c r="Z1867" s="18">
        <v>1900</v>
      </c>
      <c r="AA1867" s="18" t="s">
        <v>1738</v>
      </c>
      <c r="AB1867" s="18" t="s">
        <v>454</v>
      </c>
      <c r="AC1867" s="18" t="e">
        <v>#N/A</v>
      </c>
    </row>
    <row r="1868" s="18" customFormat="1" spans="1:29">
      <c r="A1868" s="18" t="s">
        <v>3903</v>
      </c>
      <c r="B1868" s="25" t="s">
        <v>3903</v>
      </c>
      <c r="C1868" s="26">
        <v>45712</v>
      </c>
      <c r="D1868" s="18" t="s">
        <v>2894</v>
      </c>
      <c r="E1868" s="18" t="str">
        <f t="shared" si="29"/>
        <v>Jatin Arora  </v>
      </c>
      <c r="F1868" s="27" t="s">
        <v>2895</v>
      </c>
      <c r="G1868" s="18" t="s">
        <v>147</v>
      </c>
      <c r="H1868" s="18" t="s">
        <v>148</v>
      </c>
      <c r="I1868" s="18" t="s">
        <v>54</v>
      </c>
      <c r="J1868" s="18" t="s">
        <v>3904</v>
      </c>
      <c r="K1868" s="18" t="s">
        <v>56</v>
      </c>
      <c r="L1868" s="18" t="s">
        <v>36</v>
      </c>
      <c r="N1868" s="18">
        <v>6</v>
      </c>
      <c r="O1868" s="18" t="s">
        <v>93</v>
      </c>
      <c r="P1868" s="18" t="s">
        <v>38</v>
      </c>
      <c r="Q1868" s="18" t="s">
        <v>58</v>
      </c>
      <c r="R1868" s="18" t="s">
        <v>59</v>
      </c>
      <c r="S1868" s="18" t="s">
        <v>60</v>
      </c>
      <c r="T1868" s="18" t="b">
        <v>1</v>
      </c>
      <c r="U1868" s="18" t="s">
        <v>150</v>
      </c>
      <c r="V1868" s="18" t="s">
        <v>40</v>
      </c>
      <c r="W1868" s="18" t="s">
        <v>126</v>
      </c>
      <c r="X1868" s="18" t="s">
        <v>127</v>
      </c>
      <c r="Y1868" s="18">
        <v>1</v>
      </c>
      <c r="Z1868" s="18">
        <v>1158</v>
      </c>
      <c r="AA1868" s="18" t="s">
        <v>3532</v>
      </c>
      <c r="AB1868" s="18" t="s">
        <v>1182</v>
      </c>
      <c r="AC1868" s="18" t="e">
        <v>#N/A</v>
      </c>
    </row>
    <row r="1869" s="18" customFormat="1" spans="1:29">
      <c r="A1869" s="18" t="s">
        <v>3905</v>
      </c>
      <c r="B1869" s="25" t="s">
        <v>3905</v>
      </c>
      <c r="C1869" s="26">
        <v>45712</v>
      </c>
      <c r="D1869" s="18" t="s">
        <v>559</v>
      </c>
      <c r="E1869" s="18" t="str">
        <f t="shared" si="29"/>
        <v>Red Carpet Events And Entertainment</v>
      </c>
      <c r="F1869" s="27" t="s">
        <v>560</v>
      </c>
      <c r="G1869" s="18" t="s">
        <v>147</v>
      </c>
      <c r="H1869" s="18" t="s">
        <v>148</v>
      </c>
      <c r="I1869" s="18" t="s">
        <v>54</v>
      </c>
      <c r="J1869" s="18" t="s">
        <v>2464</v>
      </c>
      <c r="K1869" s="18" t="s">
        <v>56</v>
      </c>
      <c r="L1869" s="18" t="s">
        <v>36</v>
      </c>
      <c r="N1869" s="18">
        <v>6</v>
      </c>
      <c r="O1869" s="18" t="s">
        <v>88</v>
      </c>
      <c r="P1869" s="18" t="s">
        <v>38</v>
      </c>
      <c r="Q1869" s="18" t="s">
        <v>58</v>
      </c>
      <c r="R1869" s="18" t="s">
        <v>59</v>
      </c>
      <c r="S1869" s="18" t="s">
        <v>60</v>
      </c>
      <c r="T1869" s="18" t="b">
        <v>1</v>
      </c>
      <c r="U1869" s="18" t="s">
        <v>150</v>
      </c>
      <c r="V1869" s="18" t="s">
        <v>40</v>
      </c>
      <c r="W1869" s="18" t="s">
        <v>292</v>
      </c>
      <c r="X1869" s="18" t="s">
        <v>293</v>
      </c>
      <c r="Y1869" s="18">
        <v>1</v>
      </c>
      <c r="Z1869" s="18">
        <v>64500</v>
      </c>
      <c r="AA1869" s="18" t="s">
        <v>2742</v>
      </c>
      <c r="AB1869" s="18" t="s">
        <v>2550</v>
      </c>
      <c r="AC1869" s="18" t="e">
        <v>#N/A</v>
      </c>
    </row>
    <row r="1870" s="18" customFormat="1" spans="1:29">
      <c r="A1870" s="18" t="s">
        <v>3906</v>
      </c>
      <c r="B1870" s="25" t="s">
        <v>3906</v>
      </c>
      <c r="C1870" s="26">
        <v>45712</v>
      </c>
      <c r="D1870" s="18" t="s">
        <v>760</v>
      </c>
      <c r="E1870" s="18" t="str">
        <f t="shared" si="29"/>
        <v>Complete Solutions Tour And Travels Pvt Ltd</v>
      </c>
      <c r="F1870" s="27" t="s">
        <v>761</v>
      </c>
      <c r="G1870" s="18" t="s">
        <v>147</v>
      </c>
      <c r="H1870" s="18" t="s">
        <v>148</v>
      </c>
      <c r="I1870" s="18" t="s">
        <v>207</v>
      </c>
      <c r="J1870" s="18" t="s">
        <v>249</v>
      </c>
      <c r="K1870" s="18" t="s">
        <v>56</v>
      </c>
      <c r="L1870" s="18" t="s">
        <v>36</v>
      </c>
      <c r="N1870" s="18">
        <v>6</v>
      </c>
      <c r="O1870" s="18" t="s">
        <v>88</v>
      </c>
      <c r="P1870" s="18" t="s">
        <v>38</v>
      </c>
      <c r="Q1870" s="18" t="s">
        <v>58</v>
      </c>
      <c r="R1870" s="18" t="s">
        <v>59</v>
      </c>
      <c r="S1870" s="18" t="s">
        <v>60</v>
      </c>
      <c r="T1870" s="18" t="b">
        <v>1</v>
      </c>
      <c r="U1870" s="18" t="s">
        <v>150</v>
      </c>
      <c r="V1870" s="18" t="s">
        <v>40</v>
      </c>
      <c r="W1870" s="18" t="s">
        <v>119</v>
      </c>
      <c r="X1870" s="18" t="s">
        <v>120</v>
      </c>
      <c r="Y1870" s="18">
        <v>1</v>
      </c>
      <c r="Z1870" s="18">
        <v>119060</v>
      </c>
      <c r="AA1870" s="18" t="s">
        <v>762</v>
      </c>
      <c r="AB1870" s="18" t="s">
        <v>763</v>
      </c>
      <c r="AC1870" s="18" t="s">
        <v>764</v>
      </c>
    </row>
    <row r="1871" s="18" customFormat="1" spans="1:29">
      <c r="A1871" s="18" t="s">
        <v>3907</v>
      </c>
      <c r="B1871" s="25" t="s">
        <v>3907</v>
      </c>
      <c r="C1871" s="26">
        <v>45712</v>
      </c>
      <c r="D1871" s="18" t="s">
        <v>663</v>
      </c>
      <c r="E1871" s="18" t="str">
        <f t="shared" si="29"/>
        <v>The Stage Factory</v>
      </c>
      <c r="F1871" s="27" t="s">
        <v>664</v>
      </c>
      <c r="G1871" s="18" t="s">
        <v>147</v>
      </c>
      <c r="H1871" s="18" t="s">
        <v>148</v>
      </c>
      <c r="I1871" s="18" t="s">
        <v>207</v>
      </c>
      <c r="J1871" s="18" t="s">
        <v>249</v>
      </c>
      <c r="K1871" s="18" t="s">
        <v>56</v>
      </c>
      <c r="L1871" s="18" t="s">
        <v>36</v>
      </c>
      <c r="N1871" s="18">
        <v>6</v>
      </c>
      <c r="O1871" s="18" t="s">
        <v>88</v>
      </c>
      <c r="P1871" s="18" t="s">
        <v>38</v>
      </c>
      <c r="Q1871" s="18" t="s">
        <v>58</v>
      </c>
      <c r="R1871" s="18" t="s">
        <v>59</v>
      </c>
      <c r="S1871" s="18" t="s">
        <v>60</v>
      </c>
      <c r="T1871" s="18" t="b">
        <v>1</v>
      </c>
      <c r="U1871" s="18" t="s">
        <v>150</v>
      </c>
      <c r="V1871" s="18" t="s">
        <v>40</v>
      </c>
      <c r="W1871" s="18" t="s">
        <v>151</v>
      </c>
      <c r="X1871" s="18" t="s">
        <v>152</v>
      </c>
      <c r="Y1871" s="18">
        <v>1</v>
      </c>
      <c r="Z1871" s="18">
        <v>274600</v>
      </c>
      <c r="AA1871" s="18" t="s">
        <v>762</v>
      </c>
      <c r="AB1871" s="18" t="s">
        <v>763</v>
      </c>
      <c r="AC1871" s="18" t="s">
        <v>163</v>
      </c>
    </row>
    <row r="1872" s="18" customFormat="1" spans="1:29">
      <c r="A1872" s="18" t="s">
        <v>3908</v>
      </c>
      <c r="B1872" s="25" t="s">
        <v>3908</v>
      </c>
      <c r="C1872" s="26">
        <v>45712</v>
      </c>
      <c r="D1872" s="18" t="s">
        <v>375</v>
      </c>
      <c r="E1872" s="18" t="str">
        <f t="shared" si="29"/>
        <v>Shivam Video Pvt.Ltd.</v>
      </c>
      <c r="F1872" s="27" t="e">
        <v>#N/A</v>
      </c>
      <c r="G1872" s="18" t="s">
        <v>147</v>
      </c>
      <c r="H1872" s="18" t="s">
        <v>148</v>
      </c>
      <c r="I1872" s="18" t="s">
        <v>207</v>
      </c>
      <c r="J1872" s="18" t="s">
        <v>249</v>
      </c>
      <c r="K1872" s="18" t="s">
        <v>56</v>
      </c>
      <c r="L1872" s="18" t="s">
        <v>36</v>
      </c>
      <c r="N1872" s="18">
        <v>6</v>
      </c>
      <c r="O1872" s="18" t="s">
        <v>88</v>
      </c>
      <c r="P1872" s="18" t="s">
        <v>38</v>
      </c>
      <c r="Q1872" s="18" t="s">
        <v>58</v>
      </c>
      <c r="R1872" s="18" t="s">
        <v>59</v>
      </c>
      <c r="S1872" s="18" t="s">
        <v>60</v>
      </c>
      <c r="T1872" s="18" t="b">
        <v>1</v>
      </c>
      <c r="U1872" s="18" t="s">
        <v>150</v>
      </c>
      <c r="V1872" s="18" t="s">
        <v>40</v>
      </c>
      <c r="W1872" s="18" t="s">
        <v>371</v>
      </c>
      <c r="X1872" s="18" t="s">
        <v>372</v>
      </c>
      <c r="Y1872" s="18">
        <v>1</v>
      </c>
      <c r="Z1872" s="18">
        <v>150000</v>
      </c>
      <c r="AA1872" s="18" t="s">
        <v>762</v>
      </c>
      <c r="AB1872" s="18" t="s">
        <v>763</v>
      </c>
      <c r="AC1872" s="18" t="s">
        <v>163</v>
      </c>
    </row>
    <row r="1873" s="18" customFormat="1" spans="1:29">
      <c r="A1873" s="18" t="s">
        <v>3909</v>
      </c>
      <c r="B1873" s="25" t="s">
        <v>3909</v>
      </c>
      <c r="C1873" s="26">
        <v>45712</v>
      </c>
      <c r="D1873" s="18" t="s">
        <v>238</v>
      </c>
      <c r="E1873" s="18" t="str">
        <f t="shared" si="29"/>
        <v>Studio Merchandise Pvt Ltd</v>
      </c>
      <c r="F1873" s="27" t="s">
        <v>239</v>
      </c>
      <c r="G1873" s="18" t="s">
        <v>147</v>
      </c>
      <c r="H1873" s="18" t="s">
        <v>148</v>
      </c>
      <c r="I1873" s="18" t="s">
        <v>207</v>
      </c>
      <c r="J1873" s="18" t="s">
        <v>3910</v>
      </c>
      <c r="K1873" s="18" t="s">
        <v>56</v>
      </c>
      <c r="L1873" s="18" t="s">
        <v>36</v>
      </c>
      <c r="N1873" s="18">
        <v>6</v>
      </c>
      <c r="O1873" s="18" t="s">
        <v>88</v>
      </c>
      <c r="P1873" s="18" t="s">
        <v>38</v>
      </c>
      <c r="Q1873" s="18" t="s">
        <v>58</v>
      </c>
      <c r="R1873" s="18" t="s">
        <v>59</v>
      </c>
      <c r="S1873" s="18" t="s">
        <v>60</v>
      </c>
      <c r="T1873" s="18" t="b">
        <v>1</v>
      </c>
      <c r="U1873" s="18" t="s">
        <v>150</v>
      </c>
      <c r="V1873" s="18" t="s">
        <v>40</v>
      </c>
      <c r="W1873" s="18" t="s">
        <v>140</v>
      </c>
      <c r="X1873" s="18" t="s">
        <v>141</v>
      </c>
      <c r="Y1873" s="18">
        <v>1</v>
      </c>
      <c r="Z1873" s="18">
        <v>510800</v>
      </c>
      <c r="AA1873" s="18" t="s">
        <v>839</v>
      </c>
      <c r="AB1873" s="18" t="s">
        <v>367</v>
      </c>
      <c r="AC1873" s="18" t="s">
        <v>163</v>
      </c>
    </row>
    <row r="1874" s="18" customFormat="1" spans="1:29">
      <c r="A1874" s="18" t="s">
        <v>3911</v>
      </c>
      <c r="B1874" s="25" t="s">
        <v>3911</v>
      </c>
      <c r="C1874" s="26">
        <v>45712</v>
      </c>
      <c r="D1874" s="18" t="s">
        <v>533</v>
      </c>
      <c r="E1874" s="18" t="str">
        <f t="shared" si="29"/>
        <v>Powerpro</v>
      </c>
      <c r="F1874" s="27" t="e">
        <v>#N/A</v>
      </c>
      <c r="G1874" s="18" t="s">
        <v>147</v>
      </c>
      <c r="H1874" s="18" t="s">
        <v>148</v>
      </c>
      <c r="I1874" s="18" t="s">
        <v>207</v>
      </c>
      <c r="J1874" s="18" t="s">
        <v>249</v>
      </c>
      <c r="K1874" s="18" t="s">
        <v>56</v>
      </c>
      <c r="L1874" s="18" t="s">
        <v>36</v>
      </c>
      <c r="N1874" s="18">
        <v>6</v>
      </c>
      <c r="O1874" s="18" t="s">
        <v>88</v>
      </c>
      <c r="P1874" s="18" t="s">
        <v>38</v>
      </c>
      <c r="Q1874" s="18" t="s">
        <v>58</v>
      </c>
      <c r="R1874" s="18" t="s">
        <v>59</v>
      </c>
      <c r="S1874" s="18" t="s">
        <v>60</v>
      </c>
      <c r="T1874" s="18" t="b">
        <v>1</v>
      </c>
      <c r="U1874" s="18" t="s">
        <v>150</v>
      </c>
      <c r="V1874" s="18" t="s">
        <v>40</v>
      </c>
      <c r="W1874" s="18" t="s">
        <v>371</v>
      </c>
      <c r="X1874" s="18" t="s">
        <v>372</v>
      </c>
      <c r="Y1874" s="18">
        <v>1</v>
      </c>
      <c r="Z1874" s="18">
        <v>131000</v>
      </c>
      <c r="AA1874" s="18" t="s">
        <v>762</v>
      </c>
      <c r="AB1874" s="18" t="s">
        <v>763</v>
      </c>
      <c r="AC1874" s="18" t="s">
        <v>163</v>
      </c>
    </row>
    <row r="1875" s="18" customFormat="1" spans="1:29">
      <c r="A1875" s="18" t="s">
        <v>3912</v>
      </c>
      <c r="B1875" s="25" t="s">
        <v>3912</v>
      </c>
      <c r="C1875" s="26">
        <v>45712</v>
      </c>
      <c r="D1875" s="18" t="s">
        <v>559</v>
      </c>
      <c r="E1875" s="18" t="str">
        <f t="shared" si="29"/>
        <v>Red Carpet Events And Entertainment</v>
      </c>
      <c r="F1875" s="27" t="s">
        <v>560</v>
      </c>
      <c r="G1875" s="18" t="s">
        <v>147</v>
      </c>
      <c r="H1875" s="18" t="s">
        <v>148</v>
      </c>
      <c r="I1875" s="18" t="s">
        <v>207</v>
      </c>
      <c r="J1875" s="18" t="s">
        <v>249</v>
      </c>
      <c r="K1875" s="18" t="s">
        <v>56</v>
      </c>
      <c r="L1875" s="18" t="s">
        <v>36</v>
      </c>
      <c r="N1875" s="18">
        <v>6</v>
      </c>
      <c r="O1875" s="18" t="s">
        <v>88</v>
      </c>
      <c r="P1875" s="18" t="s">
        <v>38</v>
      </c>
      <c r="Q1875" s="18" t="s">
        <v>58</v>
      </c>
      <c r="R1875" s="18" t="s">
        <v>59</v>
      </c>
      <c r="S1875" s="18" t="s">
        <v>60</v>
      </c>
      <c r="T1875" s="18" t="b">
        <v>1</v>
      </c>
      <c r="U1875" s="18" t="s">
        <v>150</v>
      </c>
      <c r="V1875" s="18" t="s">
        <v>40</v>
      </c>
      <c r="W1875" s="18" t="s">
        <v>292</v>
      </c>
      <c r="X1875" s="18" t="s">
        <v>293</v>
      </c>
      <c r="Y1875" s="18">
        <v>1</v>
      </c>
      <c r="Z1875" s="18">
        <v>140000</v>
      </c>
      <c r="AA1875" s="18" t="s">
        <v>762</v>
      </c>
      <c r="AB1875" s="18" t="s">
        <v>763</v>
      </c>
      <c r="AC1875" s="18" t="e">
        <v>#N/A</v>
      </c>
    </row>
    <row r="1876" s="18" customFormat="1" spans="1:29">
      <c r="A1876" s="18" t="s">
        <v>3913</v>
      </c>
      <c r="B1876" s="25" t="s">
        <v>3913</v>
      </c>
      <c r="C1876" s="26">
        <v>45712</v>
      </c>
      <c r="D1876" s="18" t="s">
        <v>669</v>
      </c>
      <c r="E1876" s="18" t="str">
        <f t="shared" si="29"/>
        <v>Clear Span Events Pvt Ltd</v>
      </c>
      <c r="F1876" s="27" t="s">
        <v>670</v>
      </c>
      <c r="G1876" s="18" t="s">
        <v>147</v>
      </c>
      <c r="H1876" s="18" t="s">
        <v>148</v>
      </c>
      <c r="I1876" s="18" t="s">
        <v>207</v>
      </c>
      <c r="J1876" s="18" t="s">
        <v>249</v>
      </c>
      <c r="K1876" s="18" t="s">
        <v>56</v>
      </c>
      <c r="L1876" s="18" t="s">
        <v>36</v>
      </c>
      <c r="N1876" s="18">
        <v>6</v>
      </c>
      <c r="O1876" s="18" t="s">
        <v>88</v>
      </c>
      <c r="P1876" s="18" t="s">
        <v>38</v>
      </c>
      <c r="Q1876" s="18" t="s">
        <v>58</v>
      </c>
      <c r="R1876" s="18" t="s">
        <v>59</v>
      </c>
      <c r="S1876" s="18" t="s">
        <v>60</v>
      </c>
      <c r="T1876" s="18" t="b">
        <v>1</v>
      </c>
      <c r="U1876" s="18" t="s">
        <v>150</v>
      </c>
      <c r="V1876" s="18" t="s">
        <v>40</v>
      </c>
      <c r="W1876" s="18" t="s">
        <v>151</v>
      </c>
      <c r="X1876" s="18" t="s">
        <v>152</v>
      </c>
      <c r="Y1876" s="18">
        <v>1</v>
      </c>
      <c r="Z1876" s="18">
        <v>30000</v>
      </c>
      <c r="AA1876" s="18" t="s">
        <v>762</v>
      </c>
      <c r="AB1876" s="18" t="s">
        <v>763</v>
      </c>
      <c r="AC1876" s="18" t="s">
        <v>163</v>
      </c>
    </row>
    <row r="1877" s="18" customFormat="1" spans="1:29">
      <c r="A1877" s="18" t="s">
        <v>3914</v>
      </c>
      <c r="B1877" s="25" t="s">
        <v>3914</v>
      </c>
      <c r="C1877" s="26">
        <v>45712</v>
      </c>
      <c r="D1877" s="18" t="s">
        <v>3427</v>
      </c>
      <c r="E1877" s="18" t="str">
        <f t="shared" si="29"/>
        <v>Edge Decor Llp</v>
      </c>
      <c r="F1877" s="27" t="s">
        <v>3428</v>
      </c>
      <c r="G1877" s="18" t="s">
        <v>147</v>
      </c>
      <c r="H1877" s="18" t="s">
        <v>148</v>
      </c>
      <c r="I1877" s="18" t="s">
        <v>207</v>
      </c>
      <c r="J1877" s="18" t="s">
        <v>249</v>
      </c>
      <c r="K1877" s="18" t="s">
        <v>56</v>
      </c>
      <c r="L1877" s="18" t="s">
        <v>36</v>
      </c>
      <c r="N1877" s="18">
        <v>6</v>
      </c>
      <c r="O1877" s="18" t="s">
        <v>57</v>
      </c>
      <c r="P1877" s="18" t="s">
        <v>38</v>
      </c>
      <c r="Q1877" s="18" t="s">
        <v>58</v>
      </c>
      <c r="R1877" s="18" t="s">
        <v>59</v>
      </c>
      <c r="S1877" s="18" t="s">
        <v>60</v>
      </c>
      <c r="T1877" s="18" t="b">
        <v>1</v>
      </c>
      <c r="U1877" s="18" t="s">
        <v>150</v>
      </c>
      <c r="V1877" s="18" t="s">
        <v>40</v>
      </c>
      <c r="W1877" s="18" t="s">
        <v>151</v>
      </c>
      <c r="X1877" s="18" t="s">
        <v>152</v>
      </c>
      <c r="Y1877" s="18">
        <v>1</v>
      </c>
      <c r="Z1877" s="18">
        <v>30000</v>
      </c>
      <c r="AA1877" s="18" t="s">
        <v>762</v>
      </c>
      <c r="AB1877" s="18" t="s">
        <v>763</v>
      </c>
      <c r="AC1877" s="18" t="s">
        <v>163</v>
      </c>
    </row>
    <row r="1878" s="18" customFormat="1" spans="1:29">
      <c r="A1878" s="18" t="s">
        <v>3915</v>
      </c>
      <c r="B1878" s="25" t="s">
        <v>3915</v>
      </c>
      <c r="C1878" s="26">
        <v>45712</v>
      </c>
      <c r="D1878" s="18" t="s">
        <v>3427</v>
      </c>
      <c r="E1878" s="18" t="str">
        <f t="shared" si="29"/>
        <v>Edge Decor Llp</v>
      </c>
      <c r="F1878" s="27" t="s">
        <v>3428</v>
      </c>
      <c r="G1878" s="18" t="s">
        <v>147</v>
      </c>
      <c r="H1878" s="18" t="s">
        <v>148</v>
      </c>
      <c r="I1878" s="18" t="s">
        <v>207</v>
      </c>
      <c r="J1878" s="18" t="s">
        <v>249</v>
      </c>
      <c r="K1878" s="18" t="s">
        <v>56</v>
      </c>
      <c r="L1878" s="18" t="s">
        <v>36</v>
      </c>
      <c r="N1878" s="18">
        <v>6</v>
      </c>
      <c r="O1878" s="18" t="s">
        <v>57</v>
      </c>
      <c r="P1878" s="18" t="s">
        <v>38</v>
      </c>
      <c r="Q1878" s="18" t="s">
        <v>58</v>
      </c>
      <c r="R1878" s="18" t="s">
        <v>59</v>
      </c>
      <c r="S1878" s="18" t="s">
        <v>60</v>
      </c>
      <c r="T1878" s="18" t="b">
        <v>1</v>
      </c>
      <c r="U1878" s="18" t="s">
        <v>150</v>
      </c>
      <c r="V1878" s="18" t="s">
        <v>40</v>
      </c>
      <c r="W1878" s="18" t="s">
        <v>151</v>
      </c>
      <c r="X1878" s="18" t="s">
        <v>152</v>
      </c>
      <c r="Y1878" s="18">
        <v>1</v>
      </c>
      <c r="Z1878" s="18">
        <v>3600</v>
      </c>
      <c r="AA1878" s="18" t="s">
        <v>762</v>
      </c>
      <c r="AB1878" s="18" t="s">
        <v>763</v>
      </c>
      <c r="AC1878" s="18" t="s">
        <v>163</v>
      </c>
    </row>
    <row r="1879" s="18" customFormat="1" spans="1:29">
      <c r="A1879" s="18" t="s">
        <v>3916</v>
      </c>
      <c r="B1879" s="25" t="s">
        <v>3916</v>
      </c>
      <c r="C1879" s="26">
        <v>45712</v>
      </c>
      <c r="D1879" s="18" t="s">
        <v>472</v>
      </c>
      <c r="E1879" s="18" t="e">
        <f t="shared" si="29"/>
        <v>#N/A</v>
      </c>
      <c r="F1879" s="27" t="e">
        <v>#N/A</v>
      </c>
      <c r="G1879" s="18" t="s">
        <v>147</v>
      </c>
      <c r="H1879" s="18" t="s">
        <v>148</v>
      </c>
      <c r="I1879" s="18" t="s">
        <v>207</v>
      </c>
      <c r="K1879" s="18" t="s">
        <v>35</v>
      </c>
      <c r="L1879" s="18" t="s">
        <v>36</v>
      </c>
      <c r="N1879" s="18">
        <v>6</v>
      </c>
      <c r="P1879" s="18" t="s">
        <v>38</v>
      </c>
      <c r="T1879" s="18" t="b">
        <v>1</v>
      </c>
      <c r="U1879" s="18" t="s">
        <v>150</v>
      </c>
      <c r="V1879" s="18" t="s">
        <v>40</v>
      </c>
      <c r="W1879" s="18" t="e">
        <v>#N/A</v>
      </c>
      <c r="X1879" s="18" t="e">
        <v>#N/A</v>
      </c>
      <c r="Y1879" s="18" t="e">
        <v>#N/A</v>
      </c>
      <c r="Z1879" s="18" t="e">
        <v>#N/A</v>
      </c>
      <c r="AC1879" s="18" t="e">
        <v>#N/A</v>
      </c>
    </row>
    <row r="1880" s="18" customFormat="1" spans="1:29">
      <c r="A1880" s="18" t="s">
        <v>3917</v>
      </c>
      <c r="B1880" s="25" t="s">
        <v>3917</v>
      </c>
      <c r="C1880" s="26">
        <v>45712</v>
      </c>
      <c r="D1880" s="18" t="s">
        <v>3918</v>
      </c>
      <c r="E1880" s="18" t="str">
        <f t="shared" si="29"/>
        <v>Yana Hospitality Inc</v>
      </c>
      <c r="F1880" s="27" t="s">
        <v>3919</v>
      </c>
      <c r="G1880" s="18" t="s">
        <v>147</v>
      </c>
      <c r="H1880" s="18" t="s">
        <v>148</v>
      </c>
      <c r="I1880" s="18" t="s">
        <v>207</v>
      </c>
      <c r="J1880" s="18" t="s">
        <v>249</v>
      </c>
      <c r="K1880" s="18" t="s">
        <v>56</v>
      </c>
      <c r="L1880" s="18" t="s">
        <v>36</v>
      </c>
      <c r="N1880" s="18">
        <v>6</v>
      </c>
      <c r="O1880" s="18" t="s">
        <v>57</v>
      </c>
      <c r="P1880" s="18" t="s">
        <v>38</v>
      </c>
      <c r="Q1880" s="18" t="s">
        <v>58</v>
      </c>
      <c r="R1880" s="18" t="s">
        <v>59</v>
      </c>
      <c r="S1880" s="18" t="s">
        <v>60</v>
      </c>
      <c r="T1880" s="18" t="b">
        <v>1</v>
      </c>
      <c r="U1880" s="18" t="s">
        <v>150</v>
      </c>
      <c r="V1880" s="18" t="s">
        <v>40</v>
      </c>
      <c r="W1880" s="18" t="s">
        <v>347</v>
      </c>
      <c r="X1880" s="18" t="s">
        <v>348</v>
      </c>
      <c r="Y1880" s="18">
        <v>1</v>
      </c>
      <c r="Z1880" s="18">
        <v>47500</v>
      </c>
      <c r="AA1880" s="18" t="s">
        <v>762</v>
      </c>
      <c r="AB1880" s="18" t="s">
        <v>763</v>
      </c>
      <c r="AC1880" s="18" t="s">
        <v>163</v>
      </c>
    </row>
    <row r="1881" s="18" customFormat="1" spans="1:29">
      <c r="A1881" s="18" t="s">
        <v>3920</v>
      </c>
      <c r="B1881" s="25" t="s">
        <v>3920</v>
      </c>
      <c r="C1881" s="26">
        <v>45712</v>
      </c>
      <c r="D1881" s="18" t="s">
        <v>1729</v>
      </c>
      <c r="E1881" s="18" t="str">
        <f t="shared" si="29"/>
        <v>Bitu Kumar  </v>
      </c>
      <c r="F1881" s="27" t="e">
        <v>#N/A</v>
      </c>
      <c r="G1881" s="18" t="s">
        <v>147</v>
      </c>
      <c r="H1881" s="18" t="s">
        <v>148</v>
      </c>
      <c r="I1881" s="18" t="s">
        <v>54</v>
      </c>
      <c r="J1881" s="18" t="s">
        <v>466</v>
      </c>
      <c r="K1881" s="18" t="s">
        <v>56</v>
      </c>
      <c r="L1881" s="18" t="s">
        <v>36</v>
      </c>
      <c r="N1881" s="18">
        <v>6</v>
      </c>
      <c r="O1881" s="18" t="s">
        <v>93</v>
      </c>
      <c r="P1881" s="18" t="s">
        <v>38</v>
      </c>
      <c r="Q1881" s="18" t="s">
        <v>58</v>
      </c>
      <c r="R1881" s="18" t="s">
        <v>59</v>
      </c>
      <c r="S1881" s="18" t="s">
        <v>60</v>
      </c>
      <c r="T1881" s="18" t="b">
        <v>1</v>
      </c>
      <c r="U1881" s="18" t="s">
        <v>150</v>
      </c>
      <c r="V1881" s="18" t="s">
        <v>40</v>
      </c>
      <c r="W1881" s="18" t="s">
        <v>126</v>
      </c>
      <c r="X1881" s="18" t="s">
        <v>127</v>
      </c>
      <c r="Y1881" s="18">
        <v>1</v>
      </c>
      <c r="Z1881" s="18">
        <v>2581</v>
      </c>
      <c r="AA1881" s="18" t="s">
        <v>2540</v>
      </c>
      <c r="AB1881" s="18" t="s">
        <v>2541</v>
      </c>
      <c r="AC1881" s="18" t="e">
        <v>#N/A</v>
      </c>
    </row>
    <row r="1882" s="18" customFormat="1" spans="1:29">
      <c r="A1882" s="18" t="s">
        <v>3921</v>
      </c>
      <c r="B1882" s="25" t="s">
        <v>3921</v>
      </c>
      <c r="C1882" s="26">
        <v>45712</v>
      </c>
      <c r="D1882" s="18" t="s">
        <v>2525</v>
      </c>
      <c r="E1882" s="18" t="str">
        <f t="shared" si="29"/>
        <v>Naveen Mandal  </v>
      </c>
      <c r="F1882" s="27" t="s">
        <v>2526</v>
      </c>
      <c r="G1882" s="18" t="s">
        <v>147</v>
      </c>
      <c r="H1882" s="18" t="s">
        <v>148</v>
      </c>
      <c r="I1882" s="18" t="s">
        <v>54</v>
      </c>
      <c r="J1882" s="18" t="s">
        <v>1238</v>
      </c>
      <c r="K1882" s="18" t="s">
        <v>56</v>
      </c>
      <c r="L1882" s="18" t="s">
        <v>36</v>
      </c>
      <c r="N1882" s="18">
        <v>6</v>
      </c>
      <c r="O1882" s="18" t="s">
        <v>93</v>
      </c>
      <c r="P1882" s="18" t="s">
        <v>38</v>
      </c>
      <c r="Q1882" s="18" t="s">
        <v>58</v>
      </c>
      <c r="R1882" s="18" t="s">
        <v>59</v>
      </c>
      <c r="S1882" s="18" t="s">
        <v>60</v>
      </c>
      <c r="T1882" s="18" t="b">
        <v>1</v>
      </c>
      <c r="U1882" s="18" t="s">
        <v>150</v>
      </c>
      <c r="V1882" s="18" t="s">
        <v>40</v>
      </c>
      <c r="W1882" s="18" t="s">
        <v>126</v>
      </c>
      <c r="X1882" s="18" t="s">
        <v>127</v>
      </c>
      <c r="Y1882" s="18">
        <v>1</v>
      </c>
      <c r="Z1882" s="18">
        <v>2187</v>
      </c>
      <c r="AA1882" s="18" t="s">
        <v>1664</v>
      </c>
      <c r="AB1882" s="18" t="s">
        <v>1665</v>
      </c>
      <c r="AC1882" s="18" t="e">
        <v>#N/A</v>
      </c>
    </row>
    <row r="1883" s="18" customFormat="1" spans="1:29">
      <c r="A1883" s="18" t="s">
        <v>3922</v>
      </c>
      <c r="B1883" s="25" t="s">
        <v>3922</v>
      </c>
      <c r="C1883" s="26">
        <v>45712</v>
      </c>
      <c r="D1883" s="18" t="s">
        <v>1717</v>
      </c>
      <c r="E1883" s="18" t="str">
        <f t="shared" si="29"/>
        <v>Varun Sondhi  </v>
      </c>
      <c r="F1883" s="27" t="e">
        <v>#N/A</v>
      </c>
      <c r="G1883" s="18" t="s">
        <v>147</v>
      </c>
      <c r="H1883" s="18" t="s">
        <v>148</v>
      </c>
      <c r="I1883" s="18" t="s">
        <v>54</v>
      </c>
      <c r="J1883" s="18" t="s">
        <v>1238</v>
      </c>
      <c r="K1883" s="18" t="s">
        <v>56</v>
      </c>
      <c r="L1883" s="18" t="s">
        <v>36</v>
      </c>
      <c r="N1883" s="18">
        <v>6</v>
      </c>
      <c r="O1883" s="18" t="s">
        <v>93</v>
      </c>
      <c r="P1883" s="18" t="s">
        <v>38</v>
      </c>
      <c r="Q1883" s="18" t="s">
        <v>58</v>
      </c>
      <c r="R1883" s="18" t="s">
        <v>59</v>
      </c>
      <c r="S1883" s="18" t="s">
        <v>60</v>
      </c>
      <c r="T1883" s="18" t="b">
        <v>1</v>
      </c>
      <c r="U1883" s="18" t="s">
        <v>150</v>
      </c>
      <c r="V1883" s="18" t="s">
        <v>40</v>
      </c>
      <c r="W1883" s="18" t="s">
        <v>126</v>
      </c>
      <c r="X1883" s="18" t="s">
        <v>127</v>
      </c>
      <c r="Y1883" s="18">
        <v>1</v>
      </c>
      <c r="Z1883" s="18">
        <v>1604</v>
      </c>
      <c r="AA1883" s="18" t="s">
        <v>1718</v>
      </c>
      <c r="AB1883" s="18" t="s">
        <v>242</v>
      </c>
      <c r="AC1883" s="18" t="e">
        <v>#N/A</v>
      </c>
    </row>
    <row r="1884" s="18" customFormat="1" spans="1:29">
      <c r="A1884" s="18" t="s">
        <v>3923</v>
      </c>
      <c r="B1884" s="25" t="s">
        <v>3923</v>
      </c>
      <c r="C1884" s="26">
        <v>45712</v>
      </c>
      <c r="D1884" s="18" t="s">
        <v>2525</v>
      </c>
      <c r="E1884" s="18" t="str">
        <f t="shared" si="29"/>
        <v>Naveen Mandal  </v>
      </c>
      <c r="F1884" s="27" t="s">
        <v>2526</v>
      </c>
      <c r="G1884" s="18" t="s">
        <v>147</v>
      </c>
      <c r="H1884" s="18" t="s">
        <v>148</v>
      </c>
      <c r="I1884" s="18" t="s">
        <v>54</v>
      </c>
      <c r="J1884" s="18" t="s">
        <v>1609</v>
      </c>
      <c r="K1884" s="18" t="s">
        <v>56</v>
      </c>
      <c r="L1884" s="18" t="s">
        <v>36</v>
      </c>
      <c r="N1884" s="18">
        <v>6</v>
      </c>
      <c r="O1884" s="18" t="s">
        <v>93</v>
      </c>
      <c r="P1884" s="18" t="s">
        <v>38</v>
      </c>
      <c r="Q1884" s="18" t="s">
        <v>58</v>
      </c>
      <c r="R1884" s="18" t="s">
        <v>59</v>
      </c>
      <c r="S1884" s="18" t="s">
        <v>60</v>
      </c>
      <c r="T1884" s="18" t="b">
        <v>1</v>
      </c>
      <c r="U1884" s="18" t="s">
        <v>150</v>
      </c>
      <c r="V1884" s="18" t="s">
        <v>40</v>
      </c>
      <c r="W1884" s="18" t="s">
        <v>126</v>
      </c>
      <c r="X1884" s="18" t="s">
        <v>127</v>
      </c>
      <c r="Y1884" s="18">
        <v>1</v>
      </c>
      <c r="Z1884" s="18">
        <v>1121</v>
      </c>
      <c r="AA1884" s="18" t="s">
        <v>1664</v>
      </c>
      <c r="AB1884" s="18" t="s">
        <v>1665</v>
      </c>
      <c r="AC1884" s="18" t="e">
        <v>#N/A</v>
      </c>
    </row>
    <row r="1885" s="18" customFormat="1" spans="1:29">
      <c r="A1885" s="18" t="s">
        <v>3924</v>
      </c>
      <c r="B1885" s="25" t="s">
        <v>3924</v>
      </c>
      <c r="C1885" s="26">
        <v>45712</v>
      </c>
      <c r="D1885" s="18" t="s">
        <v>2517</v>
      </c>
      <c r="E1885" s="18" t="str">
        <f t="shared" si="29"/>
        <v>Amarpreet Singh........... </v>
      </c>
      <c r="F1885" s="27" t="e">
        <v>#N/A</v>
      </c>
      <c r="G1885" s="18" t="s">
        <v>147</v>
      </c>
      <c r="H1885" s="18" t="s">
        <v>148</v>
      </c>
      <c r="I1885" s="18" t="s">
        <v>54</v>
      </c>
      <c r="J1885" s="18" t="s">
        <v>2464</v>
      </c>
      <c r="K1885" s="18" t="s">
        <v>56</v>
      </c>
      <c r="L1885" s="18" t="s">
        <v>36</v>
      </c>
      <c r="N1885" s="18">
        <v>6</v>
      </c>
      <c r="O1885" s="18" t="s">
        <v>93</v>
      </c>
      <c r="P1885" s="18" t="s">
        <v>38</v>
      </c>
      <c r="Q1885" s="18" t="s">
        <v>58</v>
      </c>
      <c r="R1885" s="18" t="s">
        <v>59</v>
      </c>
      <c r="S1885" s="18" t="s">
        <v>60</v>
      </c>
      <c r="T1885" s="18" t="b">
        <v>1</v>
      </c>
      <c r="U1885" s="18" t="s">
        <v>150</v>
      </c>
      <c r="V1885" s="18" t="s">
        <v>40</v>
      </c>
      <c r="W1885" s="18" t="s">
        <v>233</v>
      </c>
      <c r="X1885" s="18" t="s">
        <v>234</v>
      </c>
      <c r="Y1885" s="18">
        <v>1</v>
      </c>
      <c r="Z1885" s="18">
        <v>24002</v>
      </c>
      <c r="AA1885" s="18" t="s">
        <v>1104</v>
      </c>
      <c r="AB1885" s="18" t="s">
        <v>464</v>
      </c>
      <c r="AC1885" s="18" t="e">
        <v>#N/A</v>
      </c>
    </row>
    <row r="1886" s="18" customFormat="1" spans="1:29">
      <c r="A1886" s="18" t="s">
        <v>3925</v>
      </c>
      <c r="B1886" s="25" t="s">
        <v>3925</v>
      </c>
      <c r="C1886" s="26">
        <v>45712</v>
      </c>
      <c r="D1886" s="18" t="s">
        <v>3037</v>
      </c>
      <c r="E1886" s="18" t="str">
        <f t="shared" si="29"/>
        <v>Bharat Sharma  </v>
      </c>
      <c r="F1886" s="27" t="e">
        <v>#N/A</v>
      </c>
      <c r="G1886" s="18" t="s">
        <v>147</v>
      </c>
      <c r="H1886" s="18" t="s">
        <v>148</v>
      </c>
      <c r="I1886" s="18" t="s">
        <v>54</v>
      </c>
      <c r="J1886" s="18" t="s">
        <v>2464</v>
      </c>
      <c r="K1886" s="18" t="s">
        <v>56</v>
      </c>
      <c r="L1886" s="18" t="s">
        <v>36</v>
      </c>
      <c r="N1886" s="18">
        <v>6</v>
      </c>
      <c r="O1886" s="18" t="s">
        <v>93</v>
      </c>
      <c r="P1886" s="18" t="s">
        <v>38</v>
      </c>
      <c r="Q1886" s="18" t="s">
        <v>58</v>
      </c>
      <c r="R1886" s="18" t="s">
        <v>59</v>
      </c>
      <c r="S1886" s="18" t="s">
        <v>60</v>
      </c>
      <c r="T1886" s="18" t="b">
        <v>1</v>
      </c>
      <c r="U1886" s="18" t="s">
        <v>150</v>
      </c>
      <c r="V1886" s="18" t="s">
        <v>40</v>
      </c>
      <c r="W1886" s="18" t="s">
        <v>126</v>
      </c>
      <c r="X1886" s="18" t="s">
        <v>127</v>
      </c>
      <c r="Y1886" s="18">
        <v>1</v>
      </c>
      <c r="Z1886" s="18">
        <v>5707</v>
      </c>
      <c r="AA1886" s="18" t="s">
        <v>3038</v>
      </c>
      <c r="AB1886" s="18" t="s">
        <v>1187</v>
      </c>
      <c r="AC1886" s="18" t="e">
        <v>#N/A</v>
      </c>
    </row>
    <row r="1887" s="18" customFormat="1" spans="1:29">
      <c r="A1887" s="18" t="s">
        <v>3926</v>
      </c>
      <c r="B1887" s="25" t="s">
        <v>3926</v>
      </c>
      <c r="C1887" s="26">
        <v>45712</v>
      </c>
      <c r="D1887" s="18" t="s">
        <v>2525</v>
      </c>
      <c r="E1887" s="18" t="str">
        <f t="shared" si="29"/>
        <v>Naveen Mandal  </v>
      </c>
      <c r="F1887" s="27" t="s">
        <v>2526</v>
      </c>
      <c r="G1887" s="18" t="s">
        <v>147</v>
      </c>
      <c r="H1887" s="18" t="s">
        <v>148</v>
      </c>
      <c r="I1887" s="18" t="s">
        <v>54</v>
      </c>
      <c r="J1887" s="18" t="s">
        <v>2464</v>
      </c>
      <c r="K1887" s="18" t="s">
        <v>56</v>
      </c>
      <c r="L1887" s="18" t="s">
        <v>36</v>
      </c>
      <c r="N1887" s="18">
        <v>6</v>
      </c>
      <c r="O1887" s="18" t="s">
        <v>93</v>
      </c>
      <c r="P1887" s="18" t="s">
        <v>38</v>
      </c>
      <c r="Q1887" s="18" t="s">
        <v>58</v>
      </c>
      <c r="R1887" s="18" t="s">
        <v>59</v>
      </c>
      <c r="S1887" s="18" t="s">
        <v>60</v>
      </c>
      <c r="T1887" s="18" t="b">
        <v>1</v>
      </c>
      <c r="U1887" s="18" t="s">
        <v>150</v>
      </c>
      <c r="V1887" s="18" t="s">
        <v>40</v>
      </c>
      <c r="W1887" s="18" t="s">
        <v>126</v>
      </c>
      <c r="X1887" s="18" t="s">
        <v>127</v>
      </c>
      <c r="Y1887" s="18">
        <v>1</v>
      </c>
      <c r="Z1887" s="18">
        <v>4710</v>
      </c>
      <c r="AA1887" s="18" t="s">
        <v>1664</v>
      </c>
      <c r="AB1887" s="18" t="s">
        <v>1665</v>
      </c>
      <c r="AC1887" s="18" t="e">
        <v>#N/A</v>
      </c>
    </row>
    <row r="1888" s="18" customFormat="1" spans="1:29">
      <c r="A1888" s="18" t="s">
        <v>3927</v>
      </c>
      <c r="B1888" s="25" t="s">
        <v>3927</v>
      </c>
      <c r="C1888" s="26">
        <v>45712</v>
      </c>
      <c r="D1888" s="18" t="s">
        <v>1742</v>
      </c>
      <c r="E1888" s="18" t="str">
        <f t="shared" si="29"/>
        <v>Puneet Kumar ........... </v>
      </c>
      <c r="F1888" s="27" t="e">
        <v>#N/A</v>
      </c>
      <c r="G1888" s="18" t="s">
        <v>147</v>
      </c>
      <c r="H1888" s="18" t="s">
        <v>148</v>
      </c>
      <c r="I1888" s="18" t="s">
        <v>54</v>
      </c>
      <c r="J1888" s="18" t="s">
        <v>2464</v>
      </c>
      <c r="K1888" s="18" t="s">
        <v>56</v>
      </c>
      <c r="L1888" s="18" t="s">
        <v>36</v>
      </c>
      <c r="N1888" s="18">
        <v>6</v>
      </c>
      <c r="O1888" s="18" t="s">
        <v>93</v>
      </c>
      <c r="P1888" s="18" t="s">
        <v>38</v>
      </c>
      <c r="Q1888" s="18" t="s">
        <v>58</v>
      </c>
      <c r="R1888" s="18" t="s">
        <v>59</v>
      </c>
      <c r="S1888" s="18" t="s">
        <v>60</v>
      </c>
      <c r="T1888" s="18" t="b">
        <v>1</v>
      </c>
      <c r="U1888" s="18" t="s">
        <v>150</v>
      </c>
      <c r="V1888" s="18" t="s">
        <v>40</v>
      </c>
      <c r="W1888" s="18" t="s">
        <v>126</v>
      </c>
      <c r="X1888" s="18" t="s">
        <v>127</v>
      </c>
      <c r="Y1888" s="18">
        <v>1</v>
      </c>
      <c r="Z1888" s="18">
        <v>780</v>
      </c>
      <c r="AA1888" s="18" t="s">
        <v>1743</v>
      </c>
      <c r="AB1888" s="18" t="s">
        <v>940</v>
      </c>
      <c r="AC1888" s="18" t="e">
        <v>#N/A</v>
      </c>
    </row>
    <row r="1889" s="18" customFormat="1" spans="1:29">
      <c r="A1889" s="18" t="s">
        <v>3928</v>
      </c>
      <c r="B1889" s="25" t="s">
        <v>3928</v>
      </c>
      <c r="C1889" s="26">
        <v>45712</v>
      </c>
      <c r="D1889" s="18" t="s">
        <v>1720</v>
      </c>
      <c r="E1889" s="18" t="str">
        <f t="shared" si="29"/>
        <v>Anil Kumar Singh..........</v>
      </c>
      <c r="F1889" s="27" t="e">
        <v>#N/A</v>
      </c>
      <c r="G1889" s="18" t="s">
        <v>147</v>
      </c>
      <c r="H1889" s="18" t="s">
        <v>148</v>
      </c>
      <c r="I1889" s="18" t="s">
        <v>54</v>
      </c>
      <c r="J1889" s="18" t="s">
        <v>2514</v>
      </c>
      <c r="K1889" s="18" t="s">
        <v>56</v>
      </c>
      <c r="L1889" s="18" t="s">
        <v>36</v>
      </c>
      <c r="N1889" s="18">
        <v>6</v>
      </c>
      <c r="O1889" s="18" t="s">
        <v>93</v>
      </c>
      <c r="P1889" s="18" t="s">
        <v>38</v>
      </c>
      <c r="Q1889" s="18" t="s">
        <v>58</v>
      </c>
      <c r="R1889" s="18" t="s">
        <v>59</v>
      </c>
      <c r="S1889" s="18" t="s">
        <v>60</v>
      </c>
      <c r="T1889" s="18" t="b">
        <v>1</v>
      </c>
      <c r="U1889" s="18" t="s">
        <v>150</v>
      </c>
      <c r="V1889" s="18" t="s">
        <v>40</v>
      </c>
      <c r="W1889" s="18" t="s">
        <v>126</v>
      </c>
      <c r="X1889" s="18" t="s">
        <v>127</v>
      </c>
      <c r="Y1889" s="18">
        <v>1</v>
      </c>
      <c r="Z1889" s="18">
        <v>3175</v>
      </c>
      <c r="AA1889" s="18" t="s">
        <v>3929</v>
      </c>
      <c r="AB1889" s="18" t="s">
        <v>1722</v>
      </c>
      <c r="AC1889" s="18" t="e">
        <v>#N/A</v>
      </c>
    </row>
    <row r="1890" s="18" customFormat="1" spans="1:29">
      <c r="A1890" s="18" t="s">
        <v>3930</v>
      </c>
      <c r="B1890" s="25" t="s">
        <v>3930</v>
      </c>
      <c r="C1890" s="26">
        <v>45712</v>
      </c>
      <c r="D1890" s="18" t="s">
        <v>1729</v>
      </c>
      <c r="E1890" s="18" t="str">
        <f t="shared" si="29"/>
        <v>Bitu Kumar  </v>
      </c>
      <c r="F1890" s="27" t="e">
        <v>#N/A</v>
      </c>
      <c r="G1890" s="18" t="s">
        <v>147</v>
      </c>
      <c r="H1890" s="18" t="s">
        <v>148</v>
      </c>
      <c r="I1890" s="18" t="s">
        <v>54</v>
      </c>
      <c r="J1890" s="18" t="s">
        <v>2514</v>
      </c>
      <c r="K1890" s="18" t="s">
        <v>56</v>
      </c>
      <c r="L1890" s="18" t="s">
        <v>36</v>
      </c>
      <c r="N1890" s="18">
        <v>6</v>
      </c>
      <c r="O1890" s="18" t="s">
        <v>93</v>
      </c>
      <c r="P1890" s="18" t="s">
        <v>38</v>
      </c>
      <c r="Q1890" s="18" t="s">
        <v>58</v>
      </c>
      <c r="R1890" s="18" t="s">
        <v>59</v>
      </c>
      <c r="S1890" s="18" t="s">
        <v>60</v>
      </c>
      <c r="T1890" s="18" t="b">
        <v>1</v>
      </c>
      <c r="U1890" s="18" t="s">
        <v>150</v>
      </c>
      <c r="V1890" s="18" t="s">
        <v>40</v>
      </c>
      <c r="W1890" s="18" t="s">
        <v>126</v>
      </c>
      <c r="X1890" s="18" t="s">
        <v>127</v>
      </c>
      <c r="Y1890" s="18">
        <v>1</v>
      </c>
      <c r="Z1890" s="18">
        <v>1185</v>
      </c>
      <c r="AA1890" s="18" t="s">
        <v>2540</v>
      </c>
      <c r="AB1890" s="18" t="s">
        <v>2541</v>
      </c>
      <c r="AC1890" s="18" t="e">
        <v>#N/A</v>
      </c>
    </row>
    <row r="1891" s="18" customFormat="1" spans="1:29">
      <c r="A1891" s="18" t="s">
        <v>3931</v>
      </c>
      <c r="B1891" s="25" t="s">
        <v>3931</v>
      </c>
      <c r="C1891" s="26">
        <v>45712</v>
      </c>
      <c r="D1891" s="18" t="s">
        <v>1742</v>
      </c>
      <c r="E1891" s="18" t="str">
        <f t="shared" si="29"/>
        <v>Puneet Kumar ........... </v>
      </c>
      <c r="F1891" s="27" t="e">
        <v>#N/A</v>
      </c>
      <c r="G1891" s="18" t="s">
        <v>147</v>
      </c>
      <c r="H1891" s="18" t="s">
        <v>148</v>
      </c>
      <c r="I1891" s="18" t="s">
        <v>54</v>
      </c>
      <c r="J1891" s="18" t="s">
        <v>2514</v>
      </c>
      <c r="K1891" s="18" t="s">
        <v>56</v>
      </c>
      <c r="L1891" s="18" t="s">
        <v>36</v>
      </c>
      <c r="N1891" s="18">
        <v>6</v>
      </c>
      <c r="O1891" s="18" t="s">
        <v>93</v>
      </c>
      <c r="P1891" s="18" t="s">
        <v>38</v>
      </c>
      <c r="Q1891" s="18" t="s">
        <v>58</v>
      </c>
      <c r="R1891" s="18" t="s">
        <v>59</v>
      </c>
      <c r="S1891" s="18" t="s">
        <v>60</v>
      </c>
      <c r="T1891" s="18" t="b">
        <v>1</v>
      </c>
      <c r="U1891" s="18" t="s">
        <v>150</v>
      </c>
      <c r="V1891" s="18" t="s">
        <v>40</v>
      </c>
      <c r="W1891" s="18" t="s">
        <v>126</v>
      </c>
      <c r="X1891" s="18" t="s">
        <v>127</v>
      </c>
      <c r="Y1891" s="18">
        <v>1</v>
      </c>
      <c r="Z1891" s="18">
        <v>830</v>
      </c>
      <c r="AA1891" s="18" t="s">
        <v>939</v>
      </c>
      <c r="AB1891" s="18" t="s">
        <v>940</v>
      </c>
      <c r="AC1891" s="18" t="e">
        <v>#N/A</v>
      </c>
    </row>
    <row r="1892" s="18" customFormat="1" spans="1:29">
      <c r="A1892" s="18" t="s">
        <v>3932</v>
      </c>
      <c r="B1892" s="25" t="s">
        <v>3932</v>
      </c>
      <c r="C1892" s="26">
        <v>45712</v>
      </c>
      <c r="D1892" s="18" t="s">
        <v>2517</v>
      </c>
      <c r="E1892" s="18" t="str">
        <f t="shared" si="29"/>
        <v>Amarpreet Singh........... </v>
      </c>
      <c r="F1892" s="27" t="e">
        <v>#N/A</v>
      </c>
      <c r="G1892" s="18" t="s">
        <v>147</v>
      </c>
      <c r="H1892" s="18" t="s">
        <v>148</v>
      </c>
      <c r="I1892" s="18" t="s">
        <v>54</v>
      </c>
      <c r="J1892" s="18" t="s">
        <v>2913</v>
      </c>
      <c r="K1892" s="18" t="s">
        <v>56</v>
      </c>
      <c r="L1892" s="18" t="s">
        <v>36</v>
      </c>
      <c r="N1892" s="18">
        <v>6</v>
      </c>
      <c r="O1892" s="18" t="s">
        <v>93</v>
      </c>
      <c r="P1892" s="18" t="s">
        <v>38</v>
      </c>
      <c r="Q1892" s="18" t="s">
        <v>58</v>
      </c>
      <c r="R1892" s="18" t="s">
        <v>59</v>
      </c>
      <c r="S1892" s="18" t="s">
        <v>60</v>
      </c>
      <c r="T1892" s="18" t="b">
        <v>1</v>
      </c>
      <c r="U1892" s="18" t="s">
        <v>150</v>
      </c>
      <c r="V1892" s="18" t="s">
        <v>40</v>
      </c>
      <c r="W1892" s="18" t="s">
        <v>126</v>
      </c>
      <c r="X1892" s="18" t="s">
        <v>127</v>
      </c>
      <c r="Y1892" s="18">
        <v>1</v>
      </c>
      <c r="Z1892" s="18">
        <v>1760</v>
      </c>
      <c r="AA1892" s="18" t="s">
        <v>1104</v>
      </c>
      <c r="AB1892" s="18" t="s">
        <v>464</v>
      </c>
      <c r="AC1892" s="18" t="e">
        <v>#N/A</v>
      </c>
    </row>
    <row r="1893" s="18" customFormat="1" spans="1:29">
      <c r="A1893" s="18" t="s">
        <v>3933</v>
      </c>
      <c r="B1893" s="25" t="s">
        <v>3933</v>
      </c>
      <c r="C1893" s="26">
        <v>45712</v>
      </c>
      <c r="D1893" s="18" t="s">
        <v>404</v>
      </c>
      <c r="E1893" s="18" t="str">
        <f t="shared" si="29"/>
        <v>Raghav Bhardwaj  </v>
      </c>
      <c r="F1893" s="27" t="e">
        <v>#N/A</v>
      </c>
      <c r="G1893" s="18" t="s">
        <v>147</v>
      </c>
      <c r="H1893" s="18" t="s">
        <v>148</v>
      </c>
      <c r="I1893" s="18" t="s">
        <v>54</v>
      </c>
      <c r="J1893" s="18" t="s">
        <v>2913</v>
      </c>
      <c r="K1893" s="18" t="s">
        <v>56</v>
      </c>
      <c r="L1893" s="18" t="s">
        <v>36</v>
      </c>
      <c r="N1893" s="18">
        <v>6</v>
      </c>
      <c r="O1893" s="18" t="s">
        <v>93</v>
      </c>
      <c r="P1893" s="18" t="s">
        <v>38</v>
      </c>
      <c r="Q1893" s="18" t="s">
        <v>58</v>
      </c>
      <c r="R1893" s="18" t="s">
        <v>59</v>
      </c>
      <c r="S1893" s="18" t="s">
        <v>60</v>
      </c>
      <c r="T1893" s="18" t="b">
        <v>1</v>
      </c>
      <c r="U1893" s="18" t="s">
        <v>150</v>
      </c>
      <c r="V1893" s="18" t="s">
        <v>40</v>
      </c>
      <c r="W1893" s="18" t="s">
        <v>412</v>
      </c>
      <c r="X1893" s="18" t="s">
        <v>413</v>
      </c>
      <c r="Y1893" s="18">
        <v>1</v>
      </c>
      <c r="Z1893" s="18">
        <v>11000</v>
      </c>
      <c r="AA1893" s="18" t="s">
        <v>1471</v>
      </c>
      <c r="AB1893" s="18" t="s">
        <v>406</v>
      </c>
      <c r="AC1893" s="18" t="e">
        <v>#N/A</v>
      </c>
    </row>
    <row r="1894" s="18" customFormat="1" spans="1:29">
      <c r="A1894" s="18" t="s">
        <v>3934</v>
      </c>
      <c r="B1894" s="25" t="s">
        <v>3934</v>
      </c>
      <c r="C1894" s="26">
        <v>45712</v>
      </c>
      <c r="D1894" s="18" t="s">
        <v>3935</v>
      </c>
      <c r="E1894" s="18" t="str">
        <f t="shared" si="29"/>
        <v>Ghanshyam ........  </v>
      </c>
      <c r="F1894" s="27" t="e">
        <v>#N/A</v>
      </c>
      <c r="G1894" s="18" t="s">
        <v>147</v>
      </c>
      <c r="H1894" s="18" t="s">
        <v>148</v>
      </c>
      <c r="I1894" s="18" t="s">
        <v>54</v>
      </c>
      <c r="J1894" s="18" t="s">
        <v>149</v>
      </c>
      <c r="K1894" s="18" t="s">
        <v>56</v>
      </c>
      <c r="L1894" s="18" t="s">
        <v>36</v>
      </c>
      <c r="N1894" s="18">
        <v>6</v>
      </c>
      <c r="O1894" s="18" t="s">
        <v>93</v>
      </c>
      <c r="P1894" s="18" t="s">
        <v>38</v>
      </c>
      <c r="Q1894" s="18" t="s">
        <v>58</v>
      </c>
      <c r="R1894" s="18" t="s">
        <v>59</v>
      </c>
      <c r="S1894" s="18" t="s">
        <v>60</v>
      </c>
      <c r="T1894" s="18" t="b">
        <v>1</v>
      </c>
      <c r="U1894" s="18" t="s">
        <v>150</v>
      </c>
      <c r="V1894" s="18" t="s">
        <v>40</v>
      </c>
      <c r="W1894" s="18" t="s">
        <v>126</v>
      </c>
      <c r="X1894" s="18" t="s">
        <v>127</v>
      </c>
      <c r="Y1894" s="18">
        <v>1</v>
      </c>
      <c r="Z1894" s="18">
        <v>5049</v>
      </c>
      <c r="AA1894" s="18" t="s">
        <v>3936</v>
      </c>
      <c r="AB1894" s="18" t="s">
        <v>2056</v>
      </c>
      <c r="AC1894" s="18" t="e">
        <v>#N/A</v>
      </c>
    </row>
    <row r="1895" s="18" customFormat="1" spans="1:29">
      <c r="A1895" s="18" t="s">
        <v>3937</v>
      </c>
      <c r="B1895" s="25" t="s">
        <v>3937</v>
      </c>
      <c r="C1895" s="26">
        <v>45712</v>
      </c>
      <c r="D1895" s="18" t="s">
        <v>3938</v>
      </c>
      <c r="E1895" s="18" t="str">
        <f t="shared" si="29"/>
        <v>Ishwar Adhikari  </v>
      </c>
      <c r="F1895" s="27" t="e">
        <v>#N/A</v>
      </c>
      <c r="G1895" s="18" t="s">
        <v>147</v>
      </c>
      <c r="H1895" s="18" t="s">
        <v>148</v>
      </c>
      <c r="I1895" s="18" t="s">
        <v>54</v>
      </c>
      <c r="J1895" s="18" t="s">
        <v>466</v>
      </c>
      <c r="K1895" s="18" t="s">
        <v>56</v>
      </c>
      <c r="L1895" s="18" t="s">
        <v>36</v>
      </c>
      <c r="N1895" s="18">
        <v>6</v>
      </c>
      <c r="O1895" s="18" t="s">
        <v>93</v>
      </c>
      <c r="P1895" s="18" t="s">
        <v>38</v>
      </c>
      <c r="Q1895" s="18" t="s">
        <v>58</v>
      </c>
      <c r="R1895" s="18" t="s">
        <v>59</v>
      </c>
      <c r="S1895" s="18" t="s">
        <v>60</v>
      </c>
      <c r="T1895" s="18" t="b">
        <v>1</v>
      </c>
      <c r="U1895" s="18" t="s">
        <v>150</v>
      </c>
      <c r="V1895" s="18" t="s">
        <v>40</v>
      </c>
      <c r="W1895" s="18" t="s">
        <v>126</v>
      </c>
      <c r="X1895" s="18" t="s">
        <v>127</v>
      </c>
      <c r="Y1895" s="18">
        <v>1</v>
      </c>
      <c r="Z1895" s="18">
        <v>8186</v>
      </c>
      <c r="AA1895" s="18" t="s">
        <v>3939</v>
      </c>
      <c r="AB1895" s="18" t="s">
        <v>3940</v>
      </c>
      <c r="AC1895" s="18" t="e">
        <v>#N/A</v>
      </c>
    </row>
    <row r="1896" s="18" customFormat="1" spans="1:29">
      <c r="A1896" s="18" t="s">
        <v>3941</v>
      </c>
      <c r="B1896" s="25" t="s">
        <v>3941</v>
      </c>
      <c r="C1896" s="26">
        <v>45712</v>
      </c>
      <c r="D1896" s="18" t="s">
        <v>360</v>
      </c>
      <c r="E1896" s="18" t="str">
        <f t="shared" si="29"/>
        <v>Yogesh Kumar Bansal  </v>
      </c>
      <c r="F1896" s="27" t="e">
        <v>#N/A</v>
      </c>
      <c r="G1896" s="18" t="s">
        <v>147</v>
      </c>
      <c r="H1896" s="18" t="s">
        <v>148</v>
      </c>
      <c r="I1896" s="18" t="s">
        <v>54</v>
      </c>
      <c r="J1896" s="18" t="s">
        <v>1238</v>
      </c>
      <c r="K1896" s="18" t="s">
        <v>56</v>
      </c>
      <c r="L1896" s="18" t="s">
        <v>36</v>
      </c>
      <c r="N1896" s="18">
        <v>6</v>
      </c>
      <c r="O1896" s="18" t="s">
        <v>93</v>
      </c>
      <c r="P1896" s="18" t="s">
        <v>38</v>
      </c>
      <c r="Q1896" s="18" t="s">
        <v>58</v>
      </c>
      <c r="R1896" s="18" t="s">
        <v>59</v>
      </c>
      <c r="S1896" s="18" t="s">
        <v>60</v>
      </c>
      <c r="T1896" s="18" t="b">
        <v>1</v>
      </c>
      <c r="U1896" s="18" t="s">
        <v>150</v>
      </c>
      <c r="V1896" s="18" t="s">
        <v>40</v>
      </c>
      <c r="W1896" s="18" t="s">
        <v>126</v>
      </c>
      <c r="X1896" s="18" t="s">
        <v>127</v>
      </c>
      <c r="Y1896" s="18">
        <v>1</v>
      </c>
      <c r="Z1896" s="18">
        <v>1248</v>
      </c>
      <c r="AA1896" s="18" t="s">
        <v>3942</v>
      </c>
      <c r="AB1896" s="18" t="s">
        <v>54</v>
      </c>
      <c r="AC1896" s="18" t="e">
        <v>#N/A</v>
      </c>
    </row>
    <row r="1897" s="18" customFormat="1" spans="1:29">
      <c r="A1897" s="18" t="s">
        <v>3943</v>
      </c>
      <c r="B1897" s="25" t="s">
        <v>3943</v>
      </c>
      <c r="C1897" s="26">
        <v>45712</v>
      </c>
      <c r="D1897" s="18" t="s">
        <v>356</v>
      </c>
      <c r="E1897" s="18" t="str">
        <f t="shared" si="29"/>
        <v>Nitin Kumar ...........  </v>
      </c>
      <c r="F1897" s="27" t="e">
        <v>#N/A</v>
      </c>
      <c r="G1897" s="18" t="s">
        <v>147</v>
      </c>
      <c r="H1897" s="18" t="s">
        <v>148</v>
      </c>
      <c r="I1897" s="18" t="s">
        <v>54</v>
      </c>
      <c r="J1897" s="18" t="s">
        <v>466</v>
      </c>
      <c r="K1897" s="18" t="s">
        <v>56</v>
      </c>
      <c r="L1897" s="18" t="s">
        <v>36</v>
      </c>
      <c r="N1897" s="18">
        <v>6</v>
      </c>
      <c r="O1897" s="18" t="s">
        <v>93</v>
      </c>
      <c r="P1897" s="18" t="s">
        <v>38</v>
      </c>
      <c r="Q1897" s="18" t="s">
        <v>58</v>
      </c>
      <c r="R1897" s="18" t="s">
        <v>59</v>
      </c>
      <c r="S1897" s="18" t="s">
        <v>60</v>
      </c>
      <c r="T1897" s="18" t="b">
        <v>1</v>
      </c>
      <c r="U1897" s="18" t="s">
        <v>150</v>
      </c>
      <c r="V1897" s="18" t="s">
        <v>40</v>
      </c>
      <c r="W1897" s="18" t="s">
        <v>126</v>
      </c>
      <c r="X1897" s="18" t="s">
        <v>127</v>
      </c>
      <c r="Y1897" s="18">
        <v>1</v>
      </c>
      <c r="Z1897" s="18">
        <v>2493</v>
      </c>
      <c r="AA1897" s="18" t="s">
        <v>3944</v>
      </c>
      <c r="AB1897" s="18" t="s">
        <v>1978</v>
      </c>
      <c r="AC1897" s="18" t="e">
        <v>#N/A</v>
      </c>
    </row>
    <row r="1898" s="18" customFormat="1" spans="1:29">
      <c r="A1898" s="18" t="s">
        <v>3945</v>
      </c>
      <c r="B1898" s="25" t="s">
        <v>3945</v>
      </c>
      <c r="C1898" s="26">
        <v>45712</v>
      </c>
      <c r="D1898" s="18" t="s">
        <v>702</v>
      </c>
      <c r="E1898" s="18" t="str">
        <f t="shared" si="29"/>
        <v>Shree Ram Computers</v>
      </c>
      <c r="F1898" s="27" t="s">
        <v>703</v>
      </c>
      <c r="G1898" s="18" t="s">
        <v>147</v>
      </c>
      <c r="H1898" s="18" t="s">
        <v>148</v>
      </c>
      <c r="I1898" s="18" t="s">
        <v>207</v>
      </c>
      <c r="J1898" s="18" t="s">
        <v>2264</v>
      </c>
      <c r="K1898" s="18" t="s">
        <v>56</v>
      </c>
      <c r="L1898" s="18" t="s">
        <v>36</v>
      </c>
      <c r="N1898" s="18">
        <v>6</v>
      </c>
      <c r="O1898" s="18" t="s">
        <v>57</v>
      </c>
      <c r="P1898" s="18" t="s">
        <v>38</v>
      </c>
      <c r="Q1898" s="18" t="s">
        <v>58</v>
      </c>
      <c r="R1898" s="18" t="s">
        <v>59</v>
      </c>
      <c r="S1898" s="18" t="s">
        <v>60</v>
      </c>
      <c r="T1898" s="18" t="b">
        <v>1</v>
      </c>
      <c r="U1898" s="18" t="s">
        <v>150</v>
      </c>
      <c r="V1898" s="18" t="s">
        <v>40</v>
      </c>
      <c r="W1898" s="18" t="s">
        <v>704</v>
      </c>
      <c r="X1898" s="18" t="s">
        <v>704</v>
      </c>
      <c r="Y1898" s="18">
        <v>1</v>
      </c>
      <c r="Z1898" s="18">
        <v>4800</v>
      </c>
      <c r="AA1898" s="18" t="s">
        <v>176</v>
      </c>
      <c r="AB1898" s="18" t="s">
        <v>173</v>
      </c>
      <c r="AC1898" s="18" t="s">
        <v>163</v>
      </c>
    </row>
    <row r="1899" s="18" customFormat="1" spans="1:29">
      <c r="A1899" s="18" t="s">
        <v>3946</v>
      </c>
      <c r="B1899" s="25" t="s">
        <v>3946</v>
      </c>
      <c r="C1899" s="26">
        <v>45712</v>
      </c>
      <c r="D1899" s="18" t="s">
        <v>3947</v>
      </c>
      <c r="E1899" s="18" t="str">
        <f t="shared" si="29"/>
        <v>Classic Fur1044835 Neetu Prakash Poojaryres</v>
      </c>
      <c r="F1899" s="27" t="s">
        <v>3948</v>
      </c>
      <c r="G1899" s="18" t="s">
        <v>147</v>
      </c>
      <c r="H1899" s="18" t="s">
        <v>148</v>
      </c>
      <c r="I1899" s="18" t="s">
        <v>159</v>
      </c>
      <c r="J1899" s="18" t="s">
        <v>2264</v>
      </c>
      <c r="K1899" s="18" t="s">
        <v>56</v>
      </c>
      <c r="L1899" s="18" t="s">
        <v>36</v>
      </c>
      <c r="N1899" s="18">
        <v>6</v>
      </c>
      <c r="O1899" s="18" t="s">
        <v>88</v>
      </c>
      <c r="P1899" s="18" t="s">
        <v>38</v>
      </c>
      <c r="Q1899" s="18" t="s">
        <v>58</v>
      </c>
      <c r="R1899" s="18" t="s">
        <v>59</v>
      </c>
      <c r="S1899" s="18" t="s">
        <v>60</v>
      </c>
      <c r="T1899" s="18" t="b">
        <v>1</v>
      </c>
      <c r="U1899" s="18" t="s">
        <v>150</v>
      </c>
      <c r="V1899" s="18" t="s">
        <v>40</v>
      </c>
      <c r="W1899" s="18" t="s">
        <v>151</v>
      </c>
      <c r="X1899" s="18" t="s">
        <v>152</v>
      </c>
      <c r="Y1899" s="18">
        <v>1</v>
      </c>
      <c r="Z1899" s="18">
        <v>176000</v>
      </c>
      <c r="AA1899" s="18" t="s">
        <v>3401</v>
      </c>
      <c r="AB1899" s="18" t="s">
        <v>2567</v>
      </c>
      <c r="AC1899" s="18" t="s">
        <v>163</v>
      </c>
    </row>
    <row r="1900" s="18" customFormat="1" spans="1:29">
      <c r="A1900" s="18" t="s">
        <v>3949</v>
      </c>
      <c r="B1900" s="25" t="s">
        <v>3949</v>
      </c>
      <c r="C1900" s="26">
        <v>45712</v>
      </c>
      <c r="D1900" s="18" t="s">
        <v>3950</v>
      </c>
      <c r="E1900" s="18" t="str">
        <f t="shared" si="29"/>
        <v>Mazai Tours and Travels LLP</v>
      </c>
      <c r="F1900" s="27" t="s">
        <v>3951</v>
      </c>
      <c r="G1900" s="18" t="s">
        <v>147</v>
      </c>
      <c r="H1900" s="18" t="s">
        <v>148</v>
      </c>
      <c r="I1900" s="18" t="s">
        <v>207</v>
      </c>
      <c r="J1900" s="18" t="s">
        <v>149</v>
      </c>
      <c r="K1900" s="18" t="s">
        <v>56</v>
      </c>
      <c r="L1900" s="18" t="s">
        <v>36</v>
      </c>
      <c r="N1900" s="18">
        <v>6</v>
      </c>
      <c r="O1900" s="18" t="s">
        <v>88</v>
      </c>
      <c r="P1900" s="18" t="s">
        <v>38</v>
      </c>
      <c r="Q1900" s="18" t="s">
        <v>58</v>
      </c>
      <c r="R1900" s="18" t="s">
        <v>59</v>
      </c>
      <c r="S1900" s="18" t="s">
        <v>60</v>
      </c>
      <c r="T1900" s="18" t="b">
        <v>1</v>
      </c>
      <c r="U1900" s="18" t="s">
        <v>150</v>
      </c>
      <c r="V1900" s="18" t="s">
        <v>40</v>
      </c>
      <c r="W1900" s="18" t="s">
        <v>276</v>
      </c>
      <c r="X1900" s="18" t="s">
        <v>276</v>
      </c>
      <c r="Y1900" s="18">
        <v>1</v>
      </c>
      <c r="Z1900" s="18">
        <v>133402</v>
      </c>
      <c r="AA1900" s="18" t="s">
        <v>2712</v>
      </c>
      <c r="AB1900" s="18" t="s">
        <v>763</v>
      </c>
      <c r="AC1900" s="18" t="s">
        <v>163</v>
      </c>
    </row>
    <row r="1901" s="18" customFormat="1" ht="29" spans="1:29">
      <c r="A1901" s="18" t="s">
        <v>3952</v>
      </c>
      <c r="B1901" s="25" t="s">
        <v>3952</v>
      </c>
      <c r="C1901" s="26">
        <v>45712</v>
      </c>
      <c r="D1901" s="18" t="s">
        <v>775</v>
      </c>
      <c r="E1901" s="18" t="str">
        <f t="shared" si="29"/>
        <v>Login Enterprises</v>
      </c>
      <c r="F1901" s="27" t="s">
        <v>776</v>
      </c>
      <c r="G1901" s="18" t="s">
        <v>182</v>
      </c>
      <c r="H1901" s="18" t="s">
        <v>473</v>
      </c>
      <c r="I1901" s="18" t="s">
        <v>184</v>
      </c>
      <c r="K1901" s="18" t="s">
        <v>35</v>
      </c>
      <c r="L1901" s="18" t="s">
        <v>36</v>
      </c>
      <c r="N1901" s="18">
        <v>6</v>
      </c>
      <c r="O1901" s="18" t="s">
        <v>88</v>
      </c>
      <c r="P1901" s="18" t="s">
        <v>38</v>
      </c>
      <c r="T1901" s="18" t="b">
        <v>0</v>
      </c>
      <c r="U1901" s="18" t="s">
        <v>187</v>
      </c>
      <c r="V1901" s="18" t="s">
        <v>40</v>
      </c>
      <c r="W1901" s="18" t="s">
        <v>777</v>
      </c>
      <c r="X1901" s="18" t="s">
        <v>777</v>
      </c>
      <c r="Y1901" s="18">
        <v>1</v>
      </c>
      <c r="Z1901" s="18">
        <v>24544.58</v>
      </c>
      <c r="AA1901" s="31" t="s">
        <v>3953</v>
      </c>
      <c r="AB1901" s="18" t="s">
        <v>3954</v>
      </c>
      <c r="AC1901" s="18" t="s">
        <v>200</v>
      </c>
    </row>
    <row r="1902" s="18" customFormat="1" spans="1:29">
      <c r="A1902" s="18" t="s">
        <v>3955</v>
      </c>
      <c r="B1902" s="25" t="s">
        <v>3955</v>
      </c>
      <c r="C1902" s="26">
        <v>45712</v>
      </c>
      <c r="D1902" s="18" t="s">
        <v>2030</v>
      </c>
      <c r="E1902" s="18" t="str">
        <f t="shared" si="29"/>
        <v>Sanil Thombare </v>
      </c>
      <c r="F1902" s="27" t="e">
        <v>#N/A</v>
      </c>
      <c r="G1902" s="18" t="s">
        <v>182</v>
      </c>
      <c r="H1902" s="18" t="s">
        <v>183</v>
      </c>
      <c r="I1902" s="18" t="s">
        <v>481</v>
      </c>
      <c r="J1902" s="18" t="s">
        <v>2690</v>
      </c>
      <c r="K1902" s="18" t="s">
        <v>56</v>
      </c>
      <c r="L1902" s="18" t="s">
        <v>36</v>
      </c>
      <c r="N1902" s="18">
        <v>6</v>
      </c>
      <c r="O1902" s="18" t="s">
        <v>93</v>
      </c>
      <c r="P1902" s="18" t="s">
        <v>38</v>
      </c>
      <c r="Q1902" s="18" t="s">
        <v>194</v>
      </c>
      <c r="R1902" s="18" t="s">
        <v>59</v>
      </c>
      <c r="S1902" s="18" t="s">
        <v>195</v>
      </c>
      <c r="T1902" s="18" t="b">
        <v>0</v>
      </c>
      <c r="U1902" s="18" t="s">
        <v>187</v>
      </c>
      <c r="V1902" s="18" t="s">
        <v>40</v>
      </c>
      <c r="W1902" s="18" t="s">
        <v>317</v>
      </c>
      <c r="X1902" s="18" t="s">
        <v>318</v>
      </c>
      <c r="Y1902" s="18">
        <v>1</v>
      </c>
      <c r="Z1902" s="18">
        <v>8913</v>
      </c>
      <c r="AC1902" s="18" t="e">
        <v>#N/A</v>
      </c>
    </row>
    <row r="1903" s="18" customFormat="1" spans="1:29">
      <c r="A1903" s="18" t="s">
        <v>3956</v>
      </c>
      <c r="B1903" s="25" t="s">
        <v>3956</v>
      </c>
      <c r="C1903" s="26">
        <v>45712</v>
      </c>
      <c r="D1903" s="18" t="s">
        <v>3063</v>
      </c>
      <c r="E1903" s="18" t="str">
        <f t="shared" si="29"/>
        <v>Sameer Doshi  </v>
      </c>
      <c r="F1903" s="27" t="e">
        <v>#N/A</v>
      </c>
      <c r="G1903" s="18" t="s">
        <v>182</v>
      </c>
      <c r="H1903" s="18" t="s">
        <v>183</v>
      </c>
      <c r="I1903" s="18" t="s">
        <v>481</v>
      </c>
      <c r="J1903" s="18" t="s">
        <v>3620</v>
      </c>
      <c r="K1903" s="18" t="s">
        <v>56</v>
      </c>
      <c r="L1903" s="18" t="s">
        <v>36</v>
      </c>
      <c r="N1903" s="18">
        <v>6</v>
      </c>
      <c r="O1903" s="18" t="s">
        <v>93</v>
      </c>
      <c r="P1903" s="18" t="s">
        <v>38</v>
      </c>
      <c r="Q1903" s="18" t="s">
        <v>194</v>
      </c>
      <c r="R1903" s="18" t="s">
        <v>59</v>
      </c>
      <c r="S1903" s="18" t="s">
        <v>195</v>
      </c>
      <c r="T1903" s="18" t="b">
        <v>0</v>
      </c>
      <c r="U1903" s="18" t="s">
        <v>187</v>
      </c>
      <c r="V1903" s="18" t="s">
        <v>40</v>
      </c>
      <c r="W1903" s="18" t="s">
        <v>126</v>
      </c>
      <c r="X1903" s="18" t="s">
        <v>127</v>
      </c>
      <c r="Y1903" s="18">
        <v>1</v>
      </c>
      <c r="Z1903" s="18">
        <v>2467</v>
      </c>
      <c r="AC1903" s="18" t="e">
        <v>#N/A</v>
      </c>
    </row>
    <row r="1904" s="18" customFormat="1" spans="1:29">
      <c r="A1904" s="18" t="s">
        <v>3957</v>
      </c>
      <c r="B1904" s="25" t="s">
        <v>3957</v>
      </c>
      <c r="C1904" s="26">
        <v>45712</v>
      </c>
      <c r="D1904" s="18" t="s">
        <v>3303</v>
      </c>
      <c r="E1904" s="18" t="str">
        <f t="shared" si="29"/>
        <v>Anita Singh  </v>
      </c>
      <c r="F1904" s="27" t="e">
        <v>#N/A</v>
      </c>
      <c r="G1904" s="18" t="s">
        <v>182</v>
      </c>
      <c r="H1904" s="18" t="s">
        <v>183</v>
      </c>
      <c r="I1904" s="18" t="s">
        <v>481</v>
      </c>
      <c r="J1904" s="18" t="s">
        <v>2277</v>
      </c>
      <c r="K1904" s="18" t="s">
        <v>56</v>
      </c>
      <c r="L1904" s="18" t="s">
        <v>36</v>
      </c>
      <c r="N1904" s="18">
        <v>6</v>
      </c>
      <c r="O1904" s="18" t="s">
        <v>93</v>
      </c>
      <c r="P1904" s="18" t="s">
        <v>38</v>
      </c>
      <c r="Q1904" s="18" t="s">
        <v>194</v>
      </c>
      <c r="R1904" s="18" t="s">
        <v>59</v>
      </c>
      <c r="S1904" s="18" t="s">
        <v>195</v>
      </c>
      <c r="T1904" s="18" t="b">
        <v>0</v>
      </c>
      <c r="U1904" s="18" t="s">
        <v>187</v>
      </c>
      <c r="V1904" s="18" t="s">
        <v>40</v>
      </c>
      <c r="W1904" s="18" t="s">
        <v>126</v>
      </c>
      <c r="X1904" s="18" t="s">
        <v>127</v>
      </c>
      <c r="Y1904" s="18">
        <v>1</v>
      </c>
      <c r="Z1904" s="18">
        <v>3339</v>
      </c>
      <c r="AC1904" s="18" t="e">
        <v>#N/A</v>
      </c>
    </row>
    <row r="1905" s="18" customFormat="1" spans="1:29">
      <c r="A1905" s="18" t="s">
        <v>3958</v>
      </c>
      <c r="B1905" s="25" t="s">
        <v>3958</v>
      </c>
      <c r="C1905" s="26">
        <v>45712</v>
      </c>
      <c r="D1905" s="18" t="s">
        <v>915</v>
      </c>
      <c r="E1905" s="18" t="str">
        <f t="shared" si="29"/>
        <v>Santosh Bhogal Cash  </v>
      </c>
      <c r="F1905" s="27" t="e">
        <v>#N/A</v>
      </c>
      <c r="G1905" s="18" t="s">
        <v>182</v>
      </c>
      <c r="H1905" s="18" t="s">
        <v>183</v>
      </c>
      <c r="I1905" s="18" t="s">
        <v>481</v>
      </c>
      <c r="J1905" s="18" t="s">
        <v>2160</v>
      </c>
      <c r="K1905" s="18" t="s">
        <v>56</v>
      </c>
      <c r="L1905" s="18" t="s">
        <v>36</v>
      </c>
      <c r="N1905" s="18">
        <v>6</v>
      </c>
      <c r="O1905" s="18" t="s">
        <v>93</v>
      </c>
      <c r="P1905" s="18" t="s">
        <v>38</v>
      </c>
      <c r="Q1905" s="18" t="s">
        <v>194</v>
      </c>
      <c r="R1905" s="18" t="s">
        <v>59</v>
      </c>
      <c r="S1905" s="18" t="s">
        <v>195</v>
      </c>
      <c r="T1905" s="18" t="b">
        <v>0</v>
      </c>
      <c r="U1905" s="18" t="s">
        <v>187</v>
      </c>
      <c r="V1905" s="18" t="s">
        <v>40</v>
      </c>
      <c r="W1905" s="18" t="s">
        <v>126</v>
      </c>
      <c r="X1905" s="18" t="s">
        <v>127</v>
      </c>
      <c r="Y1905" s="18">
        <v>1</v>
      </c>
      <c r="Z1905" s="18">
        <v>468</v>
      </c>
      <c r="AC1905" s="18" t="e">
        <v>#N/A</v>
      </c>
    </row>
    <row r="1906" s="18" customFormat="1" spans="1:29">
      <c r="A1906" s="18" t="s">
        <v>3959</v>
      </c>
      <c r="B1906" s="25" t="s">
        <v>3959</v>
      </c>
      <c r="C1906" s="26">
        <v>45712</v>
      </c>
      <c r="D1906" s="18" t="s">
        <v>1203</v>
      </c>
      <c r="E1906" s="18" t="str">
        <f t="shared" si="29"/>
        <v>Padmakar Jadhav </v>
      </c>
      <c r="F1906" s="27" t="e">
        <v>#N/A</v>
      </c>
      <c r="G1906" s="18" t="s">
        <v>182</v>
      </c>
      <c r="H1906" s="18" t="s">
        <v>183</v>
      </c>
      <c r="I1906" s="18" t="s">
        <v>481</v>
      </c>
      <c r="J1906" s="18" t="s">
        <v>2160</v>
      </c>
      <c r="K1906" s="18" t="s">
        <v>56</v>
      </c>
      <c r="L1906" s="18" t="s">
        <v>36</v>
      </c>
      <c r="N1906" s="18">
        <v>6</v>
      </c>
      <c r="O1906" s="18" t="s">
        <v>93</v>
      </c>
      <c r="P1906" s="18" t="s">
        <v>38</v>
      </c>
      <c r="Q1906" s="18" t="s">
        <v>194</v>
      </c>
      <c r="R1906" s="18" t="s">
        <v>59</v>
      </c>
      <c r="S1906" s="18" t="s">
        <v>195</v>
      </c>
      <c r="T1906" s="18" t="b">
        <v>0</v>
      </c>
      <c r="U1906" s="18" t="s">
        <v>187</v>
      </c>
      <c r="V1906" s="18" t="s">
        <v>40</v>
      </c>
      <c r="W1906" s="18" t="s">
        <v>126</v>
      </c>
      <c r="X1906" s="18" t="s">
        <v>127</v>
      </c>
      <c r="Y1906" s="18">
        <v>1</v>
      </c>
      <c r="Z1906" s="18">
        <v>539</v>
      </c>
      <c r="AC1906" s="18" t="e">
        <v>#N/A</v>
      </c>
    </row>
    <row r="1907" s="18" customFormat="1" spans="1:29">
      <c r="A1907" s="18" t="s">
        <v>3960</v>
      </c>
      <c r="B1907" s="25" t="s">
        <v>3960</v>
      </c>
      <c r="C1907" s="26">
        <v>45712</v>
      </c>
      <c r="D1907" s="18" t="s">
        <v>1203</v>
      </c>
      <c r="E1907" s="18" t="str">
        <f t="shared" si="29"/>
        <v>Padmakar Jadhav </v>
      </c>
      <c r="F1907" s="27" t="e">
        <v>#N/A</v>
      </c>
      <c r="G1907" s="18" t="s">
        <v>182</v>
      </c>
      <c r="H1907" s="18" t="s">
        <v>183</v>
      </c>
      <c r="I1907" s="18" t="s">
        <v>481</v>
      </c>
      <c r="J1907" s="18" t="s">
        <v>2319</v>
      </c>
      <c r="K1907" s="18" t="s">
        <v>56</v>
      </c>
      <c r="L1907" s="18" t="s">
        <v>36</v>
      </c>
      <c r="N1907" s="18">
        <v>6</v>
      </c>
      <c r="O1907" s="18" t="s">
        <v>93</v>
      </c>
      <c r="P1907" s="18" t="s">
        <v>38</v>
      </c>
      <c r="Q1907" s="18" t="s">
        <v>194</v>
      </c>
      <c r="R1907" s="18" t="s">
        <v>59</v>
      </c>
      <c r="S1907" s="18" t="s">
        <v>195</v>
      </c>
      <c r="T1907" s="18" t="b">
        <v>0</v>
      </c>
      <c r="U1907" s="18" t="s">
        <v>187</v>
      </c>
      <c r="V1907" s="18" t="s">
        <v>40</v>
      </c>
      <c r="W1907" s="18" t="s">
        <v>126</v>
      </c>
      <c r="X1907" s="18" t="s">
        <v>127</v>
      </c>
      <c r="Y1907" s="18">
        <v>1</v>
      </c>
      <c r="Z1907" s="18">
        <v>287</v>
      </c>
      <c r="AC1907" s="18" t="e">
        <v>#N/A</v>
      </c>
    </row>
    <row r="1908" s="18" customFormat="1" spans="1:29">
      <c r="A1908" s="18" t="s">
        <v>3961</v>
      </c>
      <c r="B1908" s="25" t="s">
        <v>3961</v>
      </c>
      <c r="C1908" s="26">
        <v>45712</v>
      </c>
      <c r="D1908" s="18" t="s">
        <v>1052</v>
      </c>
      <c r="E1908" s="18" t="str">
        <f t="shared" si="29"/>
        <v>Sachin Jadhav </v>
      </c>
      <c r="F1908" s="27" t="e">
        <v>#N/A</v>
      </c>
      <c r="G1908" s="18" t="s">
        <v>182</v>
      </c>
      <c r="H1908" s="18" t="s">
        <v>183</v>
      </c>
      <c r="I1908" s="18" t="s">
        <v>481</v>
      </c>
      <c r="J1908" s="18" t="s">
        <v>3209</v>
      </c>
      <c r="K1908" s="18" t="s">
        <v>56</v>
      </c>
      <c r="L1908" s="18" t="s">
        <v>36</v>
      </c>
      <c r="N1908" s="18">
        <v>6</v>
      </c>
      <c r="O1908" s="18" t="s">
        <v>93</v>
      </c>
      <c r="P1908" s="18" t="s">
        <v>38</v>
      </c>
      <c r="Q1908" s="18" t="s">
        <v>194</v>
      </c>
      <c r="R1908" s="18" t="s">
        <v>59</v>
      </c>
      <c r="S1908" s="18" t="s">
        <v>195</v>
      </c>
      <c r="T1908" s="18" t="b">
        <v>0</v>
      </c>
      <c r="U1908" s="18" t="s">
        <v>187</v>
      </c>
      <c r="V1908" s="18" t="s">
        <v>40</v>
      </c>
      <c r="W1908" s="18" t="s">
        <v>1055</v>
      </c>
      <c r="X1908" s="18" t="s">
        <v>1056</v>
      </c>
      <c r="Y1908" s="18">
        <v>1</v>
      </c>
      <c r="Z1908" s="18">
        <v>1800</v>
      </c>
      <c r="AC1908" s="18" t="e">
        <v>#N/A</v>
      </c>
    </row>
    <row r="1909" s="18" customFormat="1" spans="1:29">
      <c r="A1909" s="18" t="s">
        <v>3962</v>
      </c>
      <c r="B1909" s="25" t="s">
        <v>3962</v>
      </c>
      <c r="C1909" s="26">
        <v>45712</v>
      </c>
      <c r="D1909" s="18" t="s">
        <v>915</v>
      </c>
      <c r="E1909" s="18" t="str">
        <f t="shared" si="29"/>
        <v>Santosh Bhogal Cash  </v>
      </c>
      <c r="F1909" s="27" t="e">
        <v>#N/A</v>
      </c>
      <c r="G1909" s="18" t="s">
        <v>182</v>
      </c>
      <c r="H1909" s="18" t="s">
        <v>183</v>
      </c>
      <c r="I1909" s="18" t="s">
        <v>481</v>
      </c>
      <c r="J1909" s="18" t="s">
        <v>2953</v>
      </c>
      <c r="K1909" s="18" t="s">
        <v>56</v>
      </c>
      <c r="L1909" s="18" t="s">
        <v>36</v>
      </c>
      <c r="N1909" s="18">
        <v>6</v>
      </c>
      <c r="O1909" s="18" t="s">
        <v>93</v>
      </c>
      <c r="P1909" s="18" t="s">
        <v>38</v>
      </c>
      <c r="Q1909" s="18" t="s">
        <v>194</v>
      </c>
      <c r="R1909" s="18" t="s">
        <v>59</v>
      </c>
      <c r="S1909" s="18" t="s">
        <v>195</v>
      </c>
      <c r="T1909" s="18" t="b">
        <v>0</v>
      </c>
      <c r="U1909" s="18" t="s">
        <v>187</v>
      </c>
      <c r="V1909" s="18" t="s">
        <v>40</v>
      </c>
      <c r="W1909" s="18" t="s">
        <v>126</v>
      </c>
      <c r="X1909" s="18" t="s">
        <v>127</v>
      </c>
      <c r="Y1909" s="18">
        <v>1</v>
      </c>
      <c r="Z1909" s="18">
        <v>98</v>
      </c>
      <c r="AC1909" s="18" t="e">
        <v>#N/A</v>
      </c>
    </row>
    <row r="1910" s="18" customFormat="1" spans="1:29">
      <c r="A1910" s="18" t="s">
        <v>3963</v>
      </c>
      <c r="B1910" s="25" t="s">
        <v>3963</v>
      </c>
      <c r="C1910" s="26">
        <v>45712</v>
      </c>
      <c r="D1910" s="18" t="s">
        <v>3964</v>
      </c>
      <c r="E1910" s="18" t="str">
        <f t="shared" si="29"/>
        <v>Santosh Singh </v>
      </c>
      <c r="F1910" s="27" t="e">
        <v>#N/A</v>
      </c>
      <c r="G1910" s="18" t="s">
        <v>182</v>
      </c>
      <c r="H1910" s="18" t="s">
        <v>183</v>
      </c>
      <c r="I1910" s="18" t="s">
        <v>481</v>
      </c>
      <c r="J1910" s="18" t="s">
        <v>2953</v>
      </c>
      <c r="K1910" s="18" t="s">
        <v>56</v>
      </c>
      <c r="L1910" s="18" t="s">
        <v>36</v>
      </c>
      <c r="N1910" s="18">
        <v>6</v>
      </c>
      <c r="O1910" s="18" t="s">
        <v>93</v>
      </c>
      <c r="P1910" s="18" t="s">
        <v>38</v>
      </c>
      <c r="Q1910" s="18" t="s">
        <v>194</v>
      </c>
      <c r="R1910" s="18" t="s">
        <v>59</v>
      </c>
      <c r="S1910" s="18" t="s">
        <v>195</v>
      </c>
      <c r="T1910" s="18" t="b">
        <v>0</v>
      </c>
      <c r="U1910" s="18" t="s">
        <v>187</v>
      </c>
      <c r="V1910" s="18" t="s">
        <v>40</v>
      </c>
      <c r="W1910" s="18" t="s">
        <v>317</v>
      </c>
      <c r="X1910" s="18" t="s">
        <v>318</v>
      </c>
      <c r="Y1910" s="18">
        <v>1</v>
      </c>
      <c r="Z1910" s="18">
        <v>412</v>
      </c>
      <c r="AC1910" s="18" t="e">
        <v>#N/A</v>
      </c>
    </row>
    <row r="1911" s="18" customFormat="1" spans="1:29">
      <c r="A1911" s="18" t="s">
        <v>3965</v>
      </c>
      <c r="B1911" s="25" t="s">
        <v>3965</v>
      </c>
      <c r="C1911" s="26">
        <v>45712</v>
      </c>
      <c r="D1911" s="18" t="s">
        <v>1630</v>
      </c>
      <c r="E1911" s="18" t="str">
        <f t="shared" si="29"/>
        <v>Rutika Dhotre  </v>
      </c>
      <c r="F1911" s="27" t="e">
        <v>#N/A</v>
      </c>
      <c r="G1911" s="18" t="s">
        <v>182</v>
      </c>
      <c r="H1911" s="18" t="s">
        <v>183</v>
      </c>
      <c r="I1911" s="18" t="s">
        <v>481</v>
      </c>
      <c r="J1911" s="18" t="s">
        <v>2200</v>
      </c>
      <c r="K1911" s="18" t="s">
        <v>56</v>
      </c>
      <c r="L1911" s="18" t="s">
        <v>36</v>
      </c>
      <c r="N1911" s="18">
        <v>6</v>
      </c>
      <c r="O1911" s="18" t="s">
        <v>93</v>
      </c>
      <c r="P1911" s="18" t="s">
        <v>38</v>
      </c>
      <c r="Q1911" s="18" t="s">
        <v>194</v>
      </c>
      <c r="R1911" s="18" t="s">
        <v>59</v>
      </c>
      <c r="S1911" s="18" t="s">
        <v>195</v>
      </c>
      <c r="T1911" s="18" t="b">
        <v>0</v>
      </c>
      <c r="U1911" s="18" t="s">
        <v>187</v>
      </c>
      <c r="V1911" s="18" t="s">
        <v>40</v>
      </c>
      <c r="W1911" s="18" t="s">
        <v>126</v>
      </c>
      <c r="X1911" s="18" t="s">
        <v>127</v>
      </c>
      <c r="Y1911" s="18">
        <v>1</v>
      </c>
      <c r="Z1911" s="18">
        <v>939</v>
      </c>
      <c r="AC1911" s="18" t="e">
        <v>#N/A</v>
      </c>
    </row>
    <row r="1912" s="18" customFormat="1" spans="1:29">
      <c r="A1912" s="18" t="s">
        <v>3966</v>
      </c>
      <c r="B1912" s="25" t="s">
        <v>3966</v>
      </c>
      <c r="C1912" s="26">
        <v>45712</v>
      </c>
      <c r="D1912" s="18" t="s">
        <v>3967</v>
      </c>
      <c r="E1912" s="18" t="str">
        <f t="shared" si="29"/>
        <v>Harshal Ghadigaonkar </v>
      </c>
      <c r="F1912" s="27" t="e">
        <v>#N/A</v>
      </c>
      <c r="G1912" s="18" t="s">
        <v>182</v>
      </c>
      <c r="H1912" s="18" t="s">
        <v>183</v>
      </c>
      <c r="I1912" s="18" t="s">
        <v>481</v>
      </c>
      <c r="J1912" s="18" t="s">
        <v>2200</v>
      </c>
      <c r="K1912" s="18" t="s">
        <v>56</v>
      </c>
      <c r="L1912" s="18" t="s">
        <v>36</v>
      </c>
      <c r="N1912" s="18">
        <v>6</v>
      </c>
      <c r="O1912" s="18" t="s">
        <v>93</v>
      </c>
      <c r="P1912" s="18" t="s">
        <v>38</v>
      </c>
      <c r="Q1912" s="18" t="s">
        <v>194</v>
      </c>
      <c r="R1912" s="18" t="s">
        <v>59</v>
      </c>
      <c r="S1912" s="18" t="s">
        <v>195</v>
      </c>
      <c r="T1912" s="18" t="b">
        <v>0</v>
      </c>
      <c r="U1912" s="18" t="s">
        <v>187</v>
      </c>
      <c r="V1912" s="18" t="s">
        <v>40</v>
      </c>
      <c r="W1912" s="18" t="s">
        <v>61</v>
      </c>
      <c r="X1912" s="18" t="s">
        <v>62</v>
      </c>
      <c r="Y1912" s="18">
        <v>1</v>
      </c>
      <c r="Z1912" s="18">
        <v>11858</v>
      </c>
      <c r="AC1912" s="18" t="e">
        <v>#N/A</v>
      </c>
    </row>
    <row r="1913" s="18" customFormat="1" spans="1:29">
      <c r="A1913" s="18" t="s">
        <v>3968</v>
      </c>
      <c r="B1913" s="25" t="s">
        <v>3968</v>
      </c>
      <c r="C1913" s="26">
        <v>45712</v>
      </c>
      <c r="D1913" s="18" t="s">
        <v>2152</v>
      </c>
      <c r="E1913" s="18" t="str">
        <f t="shared" si="29"/>
        <v>Harsh Mudliyar  </v>
      </c>
      <c r="F1913" s="27" t="e">
        <v>#N/A</v>
      </c>
      <c r="G1913" s="18" t="s">
        <v>182</v>
      </c>
      <c r="H1913" s="18" t="s">
        <v>183</v>
      </c>
      <c r="I1913" s="18" t="s">
        <v>481</v>
      </c>
      <c r="J1913" s="18" t="s">
        <v>989</v>
      </c>
      <c r="K1913" s="18" t="s">
        <v>56</v>
      </c>
      <c r="L1913" s="18" t="s">
        <v>36</v>
      </c>
      <c r="N1913" s="18">
        <v>6</v>
      </c>
      <c r="O1913" s="18" t="s">
        <v>93</v>
      </c>
      <c r="P1913" s="18" t="s">
        <v>38</v>
      </c>
      <c r="Q1913" s="18" t="s">
        <v>194</v>
      </c>
      <c r="R1913" s="18" t="s">
        <v>59</v>
      </c>
      <c r="S1913" s="18" t="s">
        <v>195</v>
      </c>
      <c r="T1913" s="18" t="b">
        <v>0</v>
      </c>
      <c r="U1913" s="18" t="s">
        <v>187</v>
      </c>
      <c r="V1913" s="18" t="s">
        <v>40</v>
      </c>
      <c r="W1913" s="18" t="s">
        <v>61</v>
      </c>
      <c r="X1913" s="18" t="s">
        <v>62</v>
      </c>
      <c r="Y1913" s="18">
        <v>1</v>
      </c>
      <c r="Z1913" s="18">
        <v>7248</v>
      </c>
      <c r="AC1913" s="18" t="e">
        <v>#N/A</v>
      </c>
    </row>
    <row r="1914" s="18" customFormat="1" spans="1:29">
      <c r="A1914" s="18" t="s">
        <v>3969</v>
      </c>
      <c r="B1914" s="25" t="s">
        <v>3969</v>
      </c>
      <c r="C1914" s="26">
        <v>45712</v>
      </c>
      <c r="D1914" s="18" t="s">
        <v>3702</v>
      </c>
      <c r="E1914" s="18" t="str">
        <f t="shared" si="29"/>
        <v>Adil Jala  </v>
      </c>
      <c r="F1914" s="27" t="e">
        <v>#N/A</v>
      </c>
      <c r="G1914" s="18" t="s">
        <v>182</v>
      </c>
      <c r="H1914" s="18" t="s">
        <v>183</v>
      </c>
      <c r="I1914" s="18" t="s">
        <v>481</v>
      </c>
      <c r="J1914" s="18" t="s">
        <v>1535</v>
      </c>
      <c r="K1914" s="18" t="s">
        <v>56</v>
      </c>
      <c r="L1914" s="18" t="s">
        <v>36</v>
      </c>
      <c r="N1914" s="18">
        <v>6</v>
      </c>
      <c r="O1914" s="18" t="s">
        <v>93</v>
      </c>
      <c r="P1914" s="18" t="s">
        <v>38</v>
      </c>
      <c r="Q1914" s="18" t="s">
        <v>194</v>
      </c>
      <c r="R1914" s="18" t="s">
        <v>59</v>
      </c>
      <c r="S1914" s="18" t="s">
        <v>195</v>
      </c>
      <c r="T1914" s="18" t="b">
        <v>0</v>
      </c>
      <c r="U1914" s="18" t="s">
        <v>187</v>
      </c>
      <c r="V1914" s="18" t="s">
        <v>40</v>
      </c>
      <c r="W1914" s="18" t="s">
        <v>126</v>
      </c>
      <c r="X1914" s="18" t="s">
        <v>127</v>
      </c>
      <c r="Y1914" s="18">
        <v>1</v>
      </c>
      <c r="Z1914" s="18">
        <v>747</v>
      </c>
      <c r="AC1914" s="18" t="e">
        <v>#N/A</v>
      </c>
    </row>
    <row r="1915" s="18" customFormat="1" spans="1:29">
      <c r="A1915" s="18" t="s">
        <v>3970</v>
      </c>
      <c r="B1915" s="25" t="s">
        <v>3970</v>
      </c>
      <c r="C1915" s="26">
        <v>45712</v>
      </c>
      <c r="D1915" s="18" t="s">
        <v>915</v>
      </c>
      <c r="E1915" s="18" t="str">
        <f t="shared" si="29"/>
        <v>Santosh Bhogal Cash  </v>
      </c>
      <c r="F1915" s="27" t="e">
        <v>#N/A</v>
      </c>
      <c r="G1915" s="18" t="s">
        <v>182</v>
      </c>
      <c r="H1915" s="18" t="s">
        <v>183</v>
      </c>
      <c r="I1915" s="18" t="s">
        <v>481</v>
      </c>
      <c r="J1915" s="18" t="s">
        <v>2690</v>
      </c>
      <c r="K1915" s="18" t="s">
        <v>56</v>
      </c>
      <c r="L1915" s="18" t="s">
        <v>36</v>
      </c>
      <c r="N1915" s="18">
        <v>6</v>
      </c>
      <c r="O1915" s="18" t="s">
        <v>93</v>
      </c>
      <c r="P1915" s="18" t="s">
        <v>38</v>
      </c>
      <c r="Q1915" s="18" t="s">
        <v>194</v>
      </c>
      <c r="R1915" s="18" t="s">
        <v>59</v>
      </c>
      <c r="S1915" s="18" t="s">
        <v>195</v>
      </c>
      <c r="T1915" s="18" t="b">
        <v>0</v>
      </c>
      <c r="U1915" s="18" t="s">
        <v>187</v>
      </c>
      <c r="V1915" s="18" t="s">
        <v>40</v>
      </c>
      <c r="W1915" s="18" t="s">
        <v>126</v>
      </c>
      <c r="X1915" s="18" t="s">
        <v>127</v>
      </c>
      <c r="Y1915" s="18">
        <v>1</v>
      </c>
      <c r="Z1915" s="18">
        <v>406</v>
      </c>
      <c r="AC1915" s="18" t="e">
        <v>#N/A</v>
      </c>
    </row>
    <row r="1916" s="18" customFormat="1" spans="1:29">
      <c r="A1916" s="18" t="s">
        <v>3971</v>
      </c>
      <c r="B1916" s="25" t="s">
        <v>3971</v>
      </c>
      <c r="C1916" s="26">
        <v>45712</v>
      </c>
      <c r="D1916" s="18" t="s">
        <v>1938</v>
      </c>
      <c r="E1916" s="18" t="str">
        <f t="shared" ref="E1916:E1979" si="30">_xlfn.TEXTBEFORE(D1916,"-")</f>
        <v>Sudhakar Sawant   </v>
      </c>
      <c r="F1916" s="27" t="e">
        <v>#N/A</v>
      </c>
      <c r="G1916" s="18" t="s">
        <v>182</v>
      </c>
      <c r="H1916" s="18" t="s">
        <v>183</v>
      </c>
      <c r="I1916" s="18" t="s">
        <v>481</v>
      </c>
      <c r="J1916" s="18" t="s">
        <v>2930</v>
      </c>
      <c r="K1916" s="18" t="s">
        <v>56</v>
      </c>
      <c r="L1916" s="18" t="s">
        <v>36</v>
      </c>
      <c r="N1916" s="18">
        <v>6</v>
      </c>
      <c r="O1916" s="18" t="s">
        <v>93</v>
      </c>
      <c r="P1916" s="18" t="s">
        <v>38</v>
      </c>
      <c r="Q1916" s="18" t="s">
        <v>194</v>
      </c>
      <c r="R1916" s="18" t="s">
        <v>59</v>
      </c>
      <c r="S1916" s="18" t="s">
        <v>195</v>
      </c>
      <c r="T1916" s="18" t="b">
        <v>0</v>
      </c>
      <c r="U1916" s="18" t="s">
        <v>187</v>
      </c>
      <c r="V1916" s="18" t="s">
        <v>40</v>
      </c>
      <c r="W1916" s="18" t="s">
        <v>126</v>
      </c>
      <c r="X1916" s="18" t="s">
        <v>127</v>
      </c>
      <c r="Y1916" s="18">
        <v>1</v>
      </c>
      <c r="Z1916" s="18">
        <v>976</v>
      </c>
      <c r="AC1916" s="18" t="e">
        <v>#N/A</v>
      </c>
    </row>
    <row r="1917" s="18" customFormat="1" spans="1:29">
      <c r="A1917" s="18" t="s">
        <v>3972</v>
      </c>
      <c r="B1917" s="25" t="s">
        <v>3972</v>
      </c>
      <c r="C1917" s="26">
        <v>45712</v>
      </c>
      <c r="D1917" s="18" t="s">
        <v>1639</v>
      </c>
      <c r="E1917" s="18" t="str">
        <f t="shared" si="30"/>
        <v>Rajaram Shinde Cash </v>
      </c>
      <c r="F1917" s="27" t="e">
        <v>#N/A</v>
      </c>
      <c r="G1917" s="18" t="s">
        <v>182</v>
      </c>
      <c r="H1917" s="18" t="s">
        <v>183</v>
      </c>
      <c r="I1917" s="18" t="s">
        <v>481</v>
      </c>
      <c r="J1917" s="18" t="s">
        <v>2930</v>
      </c>
      <c r="K1917" s="18" t="s">
        <v>56</v>
      </c>
      <c r="L1917" s="18" t="s">
        <v>36</v>
      </c>
      <c r="N1917" s="18">
        <v>6</v>
      </c>
      <c r="O1917" s="18" t="s">
        <v>93</v>
      </c>
      <c r="P1917" s="18" t="s">
        <v>38</v>
      </c>
      <c r="Q1917" s="18" t="s">
        <v>194</v>
      </c>
      <c r="R1917" s="18" t="s">
        <v>59</v>
      </c>
      <c r="S1917" s="18" t="s">
        <v>195</v>
      </c>
      <c r="T1917" s="18" t="b">
        <v>0</v>
      </c>
      <c r="U1917" s="18" t="s">
        <v>187</v>
      </c>
      <c r="V1917" s="18" t="s">
        <v>40</v>
      </c>
      <c r="W1917" s="18" t="s">
        <v>317</v>
      </c>
      <c r="X1917" s="18" t="s">
        <v>318</v>
      </c>
      <c r="Y1917" s="18">
        <v>1</v>
      </c>
      <c r="Z1917" s="18">
        <v>14283</v>
      </c>
      <c r="AC1917" s="18" t="e">
        <v>#N/A</v>
      </c>
    </row>
    <row r="1918" s="18" customFormat="1" ht="43.5" spans="1:29">
      <c r="A1918" s="18" t="s">
        <v>3973</v>
      </c>
      <c r="B1918" s="25" t="s">
        <v>3973</v>
      </c>
      <c r="C1918" s="26">
        <v>45712</v>
      </c>
      <c r="D1918" s="18" t="s">
        <v>264</v>
      </c>
      <c r="E1918" s="18" t="str">
        <f t="shared" si="30"/>
        <v>The Indian Performing Right Society Ltd.</v>
      </c>
      <c r="F1918" s="27" t="e">
        <v>#N/A</v>
      </c>
      <c r="G1918" s="18" t="s">
        <v>182</v>
      </c>
      <c r="H1918" s="18" t="s">
        <v>183</v>
      </c>
      <c r="I1918" s="18" t="s">
        <v>184</v>
      </c>
      <c r="J1918" s="18" t="s">
        <v>3516</v>
      </c>
      <c r="K1918" s="18" t="s">
        <v>56</v>
      </c>
      <c r="L1918" s="18" t="s">
        <v>36</v>
      </c>
      <c r="N1918" s="18">
        <v>6</v>
      </c>
      <c r="O1918" s="18" t="s">
        <v>57</v>
      </c>
      <c r="P1918" s="18" t="s">
        <v>38</v>
      </c>
      <c r="Q1918" s="18" t="s">
        <v>117</v>
      </c>
      <c r="R1918" s="18" t="s">
        <v>59</v>
      </c>
      <c r="S1918" s="18" t="s">
        <v>186</v>
      </c>
      <c r="T1918" s="18" t="b">
        <v>0</v>
      </c>
      <c r="U1918" s="18" t="s">
        <v>187</v>
      </c>
      <c r="V1918" s="18" t="s">
        <v>40</v>
      </c>
      <c r="W1918" s="18" t="s">
        <v>256</v>
      </c>
      <c r="X1918" s="18" t="s">
        <v>257</v>
      </c>
      <c r="Y1918" s="18">
        <v>1</v>
      </c>
      <c r="Z1918" s="18">
        <v>75000</v>
      </c>
      <c r="AA1918" s="31" t="s">
        <v>2834</v>
      </c>
      <c r="AB1918" s="18" t="s">
        <v>259</v>
      </c>
      <c r="AC1918" s="18" t="s">
        <v>200</v>
      </c>
    </row>
    <row r="1919" s="18" customFormat="1" ht="43.5" spans="1:29">
      <c r="A1919" s="18" t="s">
        <v>3974</v>
      </c>
      <c r="B1919" s="25" t="s">
        <v>3974</v>
      </c>
      <c r="C1919" s="26">
        <v>45712</v>
      </c>
      <c r="D1919" s="18" t="s">
        <v>255</v>
      </c>
      <c r="E1919" s="18" t="str">
        <f t="shared" si="30"/>
        <v>Phonographic Performance Limited</v>
      </c>
      <c r="F1919" s="27" t="e">
        <v>#N/A</v>
      </c>
      <c r="G1919" s="18" t="s">
        <v>182</v>
      </c>
      <c r="H1919" s="18" t="s">
        <v>183</v>
      </c>
      <c r="I1919" s="18" t="s">
        <v>184</v>
      </c>
      <c r="J1919" s="18" t="s">
        <v>3516</v>
      </c>
      <c r="K1919" s="18" t="s">
        <v>56</v>
      </c>
      <c r="L1919" s="18" t="s">
        <v>36</v>
      </c>
      <c r="N1919" s="18">
        <v>6</v>
      </c>
      <c r="O1919" s="18" t="s">
        <v>88</v>
      </c>
      <c r="P1919" s="18" t="s">
        <v>38</v>
      </c>
      <c r="Q1919" s="18" t="s">
        <v>117</v>
      </c>
      <c r="R1919" s="18" t="s">
        <v>59</v>
      </c>
      <c r="S1919" s="18" t="s">
        <v>186</v>
      </c>
      <c r="T1919" s="18" t="b">
        <v>0</v>
      </c>
      <c r="U1919" s="18" t="s">
        <v>187</v>
      </c>
      <c r="V1919" s="18" t="s">
        <v>40</v>
      </c>
      <c r="W1919" s="18" t="s">
        <v>256</v>
      </c>
      <c r="X1919" s="18" t="s">
        <v>257</v>
      </c>
      <c r="Y1919" s="18">
        <v>1</v>
      </c>
      <c r="Z1919" s="18">
        <v>171125</v>
      </c>
      <c r="AA1919" s="31" t="s">
        <v>2834</v>
      </c>
      <c r="AB1919" s="18" t="s">
        <v>259</v>
      </c>
      <c r="AC1919" s="18" t="s">
        <v>200</v>
      </c>
    </row>
    <row r="1920" s="18" customFormat="1" ht="43.5" spans="1:29">
      <c r="A1920" s="18" t="s">
        <v>3975</v>
      </c>
      <c r="B1920" s="25" t="s">
        <v>3975</v>
      </c>
      <c r="C1920" s="26">
        <v>45712</v>
      </c>
      <c r="D1920" s="18" t="s">
        <v>261</v>
      </c>
      <c r="E1920" s="18" t="str">
        <f t="shared" si="30"/>
        <v>Novex Communications Pvt. Ltd.</v>
      </c>
      <c r="F1920" s="27" t="e">
        <v>#N/A</v>
      </c>
      <c r="G1920" s="18" t="s">
        <v>182</v>
      </c>
      <c r="H1920" s="18" t="s">
        <v>183</v>
      </c>
      <c r="I1920" s="18" t="s">
        <v>184</v>
      </c>
      <c r="J1920" s="18" t="s">
        <v>3516</v>
      </c>
      <c r="K1920" s="18" t="s">
        <v>56</v>
      </c>
      <c r="L1920" s="18" t="s">
        <v>36</v>
      </c>
      <c r="N1920" s="18">
        <v>6</v>
      </c>
      <c r="O1920" s="18" t="s">
        <v>88</v>
      </c>
      <c r="P1920" s="18" t="s">
        <v>38</v>
      </c>
      <c r="Q1920" s="18" t="s">
        <v>117</v>
      </c>
      <c r="R1920" s="18" t="s">
        <v>59</v>
      </c>
      <c r="S1920" s="18" t="s">
        <v>186</v>
      </c>
      <c r="T1920" s="18" t="b">
        <v>0</v>
      </c>
      <c r="U1920" s="18" t="s">
        <v>187</v>
      </c>
      <c r="V1920" s="18" t="s">
        <v>40</v>
      </c>
      <c r="W1920" s="18" t="s">
        <v>256</v>
      </c>
      <c r="X1920" s="18" t="s">
        <v>257</v>
      </c>
      <c r="Y1920" s="18">
        <v>1</v>
      </c>
      <c r="Z1920" s="18">
        <v>185250</v>
      </c>
      <c r="AA1920" s="31" t="s">
        <v>2834</v>
      </c>
      <c r="AB1920" s="18" t="s">
        <v>259</v>
      </c>
      <c r="AC1920" s="18" t="s">
        <v>200</v>
      </c>
    </row>
    <row r="1921" s="18" customFormat="1" ht="43.5" spans="1:29">
      <c r="A1921" s="18" t="s">
        <v>3976</v>
      </c>
      <c r="B1921" s="25" t="s">
        <v>3976</v>
      </c>
      <c r="C1921" s="26">
        <v>45712</v>
      </c>
      <c r="D1921" s="18" t="s">
        <v>1395</v>
      </c>
      <c r="E1921" s="18" t="str">
        <f t="shared" si="30"/>
        <v>KG Movie</v>
      </c>
      <c r="F1921" s="27" t="s">
        <v>1396</v>
      </c>
      <c r="G1921" s="18" t="s">
        <v>182</v>
      </c>
      <c r="H1921" s="18" t="s">
        <v>183</v>
      </c>
      <c r="I1921" s="18" t="s">
        <v>184</v>
      </c>
      <c r="J1921" s="18" t="s">
        <v>3299</v>
      </c>
      <c r="K1921" s="18" t="s">
        <v>56</v>
      </c>
      <c r="L1921" s="18" t="s">
        <v>36</v>
      </c>
      <c r="N1921" s="18">
        <v>6</v>
      </c>
      <c r="O1921" s="18" t="s">
        <v>88</v>
      </c>
      <c r="P1921" s="18" t="s">
        <v>38</v>
      </c>
      <c r="Q1921" s="18" t="s">
        <v>194</v>
      </c>
      <c r="R1921" s="18" t="s">
        <v>59</v>
      </c>
      <c r="S1921" s="18" t="s">
        <v>195</v>
      </c>
      <c r="T1921" s="18" t="b">
        <v>0</v>
      </c>
      <c r="U1921" s="18" t="s">
        <v>187</v>
      </c>
      <c r="V1921" s="18" t="s">
        <v>40</v>
      </c>
      <c r="W1921" s="18" t="s">
        <v>317</v>
      </c>
      <c r="X1921" s="18" t="s">
        <v>318</v>
      </c>
      <c r="Y1921" s="18">
        <v>1</v>
      </c>
      <c r="Z1921" s="18">
        <v>241000</v>
      </c>
      <c r="AA1921" s="31" t="s">
        <v>3977</v>
      </c>
      <c r="AB1921" s="18" t="s">
        <v>2112</v>
      </c>
      <c r="AC1921" s="18" t="s">
        <v>216</v>
      </c>
    </row>
    <row r="1922" s="18" customFormat="1" spans="1:29">
      <c r="A1922" s="18" t="s">
        <v>3978</v>
      </c>
      <c r="B1922" s="33" t="s">
        <v>3978</v>
      </c>
      <c r="C1922" s="34">
        <v>45712</v>
      </c>
      <c r="D1922" s="18" t="s">
        <v>247</v>
      </c>
      <c r="E1922" s="18" t="str">
        <f t="shared" si="30"/>
        <v>Black Hat Talent Solutions &amp; Consulting Pvt Ltd</v>
      </c>
      <c r="F1922" s="27" t="s">
        <v>248</v>
      </c>
      <c r="G1922" s="18" t="s">
        <v>182</v>
      </c>
      <c r="H1922" s="18" t="s">
        <v>183</v>
      </c>
      <c r="I1922" s="18" t="s">
        <v>207</v>
      </c>
      <c r="J1922" s="18" t="s">
        <v>3801</v>
      </c>
      <c r="K1922" s="18" t="s">
        <v>56</v>
      </c>
      <c r="L1922" s="18" t="s">
        <v>36</v>
      </c>
      <c r="N1922" s="18">
        <v>6</v>
      </c>
      <c r="O1922" s="18" t="s">
        <v>57</v>
      </c>
      <c r="P1922" s="18" t="s">
        <v>38</v>
      </c>
      <c r="Q1922" s="18" t="s">
        <v>58</v>
      </c>
      <c r="R1922" s="18" t="s">
        <v>59</v>
      </c>
      <c r="S1922" s="18" t="s">
        <v>60</v>
      </c>
      <c r="T1922" s="18" t="b">
        <v>0</v>
      </c>
      <c r="U1922" s="18" t="s">
        <v>187</v>
      </c>
      <c r="V1922" s="18" t="s">
        <v>40</v>
      </c>
      <c r="W1922" s="18" t="s">
        <v>250</v>
      </c>
      <c r="X1922" s="18" t="s">
        <v>251</v>
      </c>
      <c r="Y1922" s="18">
        <v>1</v>
      </c>
      <c r="Z1922" s="18">
        <v>200000</v>
      </c>
      <c r="AA1922" s="18" t="s">
        <v>3979</v>
      </c>
      <c r="AB1922" s="18" t="e">
        <v>#N/A</v>
      </c>
      <c r="AC1922" s="18" t="s">
        <v>200</v>
      </c>
    </row>
    <row r="1923" s="18" customFormat="1" ht="43.5" spans="1:29">
      <c r="A1923" s="18" t="s">
        <v>3980</v>
      </c>
      <c r="B1923" s="25" t="s">
        <v>3980</v>
      </c>
      <c r="C1923" s="26">
        <v>45712</v>
      </c>
      <c r="D1923" s="18" t="s">
        <v>3981</v>
      </c>
      <c r="E1923" s="18" t="str">
        <f t="shared" si="30"/>
        <v>Omkara Securitas Pvt Ltd</v>
      </c>
      <c r="F1923" s="27" t="s">
        <v>3982</v>
      </c>
      <c r="G1923" s="18" t="s">
        <v>182</v>
      </c>
      <c r="H1923" s="18" t="s">
        <v>183</v>
      </c>
      <c r="I1923" s="18" t="s">
        <v>184</v>
      </c>
      <c r="J1923" s="18" t="s">
        <v>2930</v>
      </c>
      <c r="K1923" s="18" t="s">
        <v>56</v>
      </c>
      <c r="L1923" s="18" t="s">
        <v>36</v>
      </c>
      <c r="N1923" s="18">
        <v>6</v>
      </c>
      <c r="O1923" s="18" t="s">
        <v>88</v>
      </c>
      <c r="P1923" s="18" t="s">
        <v>38</v>
      </c>
      <c r="Q1923" s="18" t="s">
        <v>194</v>
      </c>
      <c r="R1923" s="18" t="s">
        <v>59</v>
      </c>
      <c r="S1923" s="18" t="s">
        <v>195</v>
      </c>
      <c r="T1923" s="18" t="b">
        <v>0</v>
      </c>
      <c r="U1923" s="18" t="s">
        <v>187</v>
      </c>
      <c r="V1923" s="18" t="s">
        <v>40</v>
      </c>
      <c r="W1923" s="18" t="s">
        <v>212</v>
      </c>
      <c r="X1923" s="18" t="s">
        <v>213</v>
      </c>
      <c r="Y1923" s="18">
        <v>1</v>
      </c>
      <c r="Z1923" s="18">
        <v>7200</v>
      </c>
      <c r="AA1923" s="31" t="s">
        <v>2918</v>
      </c>
      <c r="AB1923" s="18" t="s">
        <v>963</v>
      </c>
      <c r="AC1923" s="18" t="s">
        <v>200</v>
      </c>
    </row>
    <row r="1924" s="18" customFormat="1" ht="43.5" spans="1:29">
      <c r="A1924" s="18" t="s">
        <v>3983</v>
      </c>
      <c r="B1924" s="25" t="s">
        <v>3983</v>
      </c>
      <c r="C1924" s="26">
        <v>45712</v>
      </c>
      <c r="D1924" s="18" t="s">
        <v>572</v>
      </c>
      <c r="E1924" s="18" t="str">
        <f t="shared" si="30"/>
        <v>Emblaze Events (Sunita Harihar Sharma)</v>
      </c>
      <c r="F1924" s="27" t="s">
        <v>573</v>
      </c>
      <c r="G1924" s="18" t="s">
        <v>182</v>
      </c>
      <c r="H1924" s="18" t="s">
        <v>183</v>
      </c>
      <c r="I1924" s="18" t="s">
        <v>184</v>
      </c>
      <c r="J1924" s="18" t="s">
        <v>2953</v>
      </c>
      <c r="K1924" s="18" t="s">
        <v>56</v>
      </c>
      <c r="L1924" s="18" t="s">
        <v>36</v>
      </c>
      <c r="N1924" s="18">
        <v>6</v>
      </c>
      <c r="O1924" s="18" t="s">
        <v>88</v>
      </c>
      <c r="P1924" s="18" t="s">
        <v>38</v>
      </c>
      <c r="Q1924" s="18" t="s">
        <v>194</v>
      </c>
      <c r="R1924" s="18" t="s">
        <v>59</v>
      </c>
      <c r="S1924" s="18" t="s">
        <v>195</v>
      </c>
      <c r="T1924" s="18" t="b">
        <v>0</v>
      </c>
      <c r="U1924" s="18" t="s">
        <v>187</v>
      </c>
      <c r="V1924" s="18" t="s">
        <v>40</v>
      </c>
      <c r="W1924" s="18" t="s">
        <v>292</v>
      </c>
      <c r="X1924" s="18" t="s">
        <v>293</v>
      </c>
      <c r="Y1924" s="18">
        <v>1</v>
      </c>
      <c r="Z1924" s="18">
        <v>56850</v>
      </c>
      <c r="AA1924" s="31" t="s">
        <v>3266</v>
      </c>
      <c r="AB1924" s="18" t="s">
        <v>985</v>
      </c>
      <c r="AC1924" s="18" t="s">
        <v>200</v>
      </c>
    </row>
    <row r="1925" s="18" customFormat="1" ht="43.5" spans="1:29">
      <c r="A1925" s="18" t="s">
        <v>3984</v>
      </c>
      <c r="B1925" s="25" t="s">
        <v>3984</v>
      </c>
      <c r="C1925" s="26">
        <v>45712</v>
      </c>
      <c r="D1925" s="18" t="s">
        <v>3985</v>
      </c>
      <c r="E1925" s="18" t="str">
        <f t="shared" si="30"/>
        <v>Alishan Trophies And Gifts</v>
      </c>
      <c r="F1925" s="27" t="s">
        <v>3986</v>
      </c>
      <c r="G1925" s="18" t="s">
        <v>182</v>
      </c>
      <c r="H1925" s="18" t="s">
        <v>183</v>
      </c>
      <c r="I1925" s="18" t="s">
        <v>184</v>
      </c>
      <c r="J1925" s="18" t="s">
        <v>3246</v>
      </c>
      <c r="K1925" s="18" t="s">
        <v>56</v>
      </c>
      <c r="L1925" s="18" t="s">
        <v>36</v>
      </c>
      <c r="N1925" s="18">
        <v>6</v>
      </c>
      <c r="O1925" s="18" t="s">
        <v>88</v>
      </c>
      <c r="P1925" s="18" t="s">
        <v>38</v>
      </c>
      <c r="Q1925" s="18" t="s">
        <v>194</v>
      </c>
      <c r="R1925" s="18" t="s">
        <v>59</v>
      </c>
      <c r="S1925" s="18" t="s">
        <v>195</v>
      </c>
      <c r="T1925" s="18" t="b">
        <v>0</v>
      </c>
      <c r="U1925" s="18" t="s">
        <v>187</v>
      </c>
      <c r="V1925" s="18" t="s">
        <v>40</v>
      </c>
      <c r="W1925" s="18" t="s">
        <v>140</v>
      </c>
      <c r="X1925" s="18" t="s">
        <v>141</v>
      </c>
      <c r="Y1925" s="18">
        <v>1</v>
      </c>
      <c r="Z1925" s="18">
        <v>24250</v>
      </c>
      <c r="AA1925" s="31" t="s">
        <v>3193</v>
      </c>
      <c r="AB1925" s="18" t="s">
        <v>199</v>
      </c>
      <c r="AC1925" s="18" t="s">
        <v>200</v>
      </c>
    </row>
    <row r="1926" s="18" customFormat="1" ht="29" spans="1:29">
      <c r="A1926" s="18" t="s">
        <v>3987</v>
      </c>
      <c r="B1926" s="25" t="s">
        <v>3987</v>
      </c>
      <c r="C1926" s="26">
        <v>45712</v>
      </c>
      <c r="D1926" s="18" t="s">
        <v>775</v>
      </c>
      <c r="E1926" s="18" t="str">
        <f t="shared" si="30"/>
        <v>Login Enterprises</v>
      </c>
      <c r="F1926" s="27" t="s">
        <v>776</v>
      </c>
      <c r="G1926" s="18" t="s">
        <v>182</v>
      </c>
      <c r="H1926" s="18" t="s">
        <v>183</v>
      </c>
      <c r="I1926" s="18" t="s">
        <v>184</v>
      </c>
      <c r="J1926" s="18" t="s">
        <v>924</v>
      </c>
      <c r="K1926" s="18" t="s">
        <v>56</v>
      </c>
      <c r="L1926" s="18" t="s">
        <v>36</v>
      </c>
      <c r="N1926" s="18">
        <v>6</v>
      </c>
      <c r="O1926" s="18" t="s">
        <v>88</v>
      </c>
      <c r="P1926" s="18" t="s">
        <v>38</v>
      </c>
      <c r="Q1926" s="18" t="s">
        <v>194</v>
      </c>
      <c r="R1926" s="18" t="s">
        <v>59</v>
      </c>
      <c r="S1926" s="18" t="s">
        <v>195</v>
      </c>
      <c r="T1926" s="18" t="b">
        <v>0</v>
      </c>
      <c r="U1926" s="18" t="s">
        <v>187</v>
      </c>
      <c r="V1926" s="18" t="s">
        <v>40</v>
      </c>
      <c r="W1926" s="18" t="s">
        <v>196</v>
      </c>
      <c r="X1926" s="18" t="s">
        <v>197</v>
      </c>
      <c r="Y1926" s="18">
        <v>1</v>
      </c>
      <c r="Z1926" s="18">
        <v>57685.9</v>
      </c>
      <c r="AA1926" s="31" t="s">
        <v>3988</v>
      </c>
      <c r="AB1926" s="18" t="s">
        <v>259</v>
      </c>
      <c r="AC1926" s="18" t="s">
        <v>200</v>
      </c>
    </row>
    <row r="1927" s="18" customFormat="1" spans="1:29">
      <c r="A1927" s="18" t="s">
        <v>3989</v>
      </c>
      <c r="B1927" s="25" t="s">
        <v>3989</v>
      </c>
      <c r="C1927" s="26">
        <v>45712</v>
      </c>
      <c r="D1927" s="18" t="s">
        <v>247</v>
      </c>
      <c r="E1927" s="18" t="str">
        <f t="shared" si="30"/>
        <v>Black Hat Talent Solutions &amp; Consulting Pvt Ltd</v>
      </c>
      <c r="F1927" s="27" t="s">
        <v>248</v>
      </c>
      <c r="G1927" s="18" t="s">
        <v>182</v>
      </c>
      <c r="H1927" s="18" t="s">
        <v>183</v>
      </c>
      <c r="I1927" s="18" t="s">
        <v>207</v>
      </c>
      <c r="J1927" s="18" t="s">
        <v>3801</v>
      </c>
      <c r="K1927" s="18" t="s">
        <v>56</v>
      </c>
      <c r="L1927" s="18" t="s">
        <v>36</v>
      </c>
      <c r="N1927" s="18">
        <v>6</v>
      </c>
      <c r="O1927" s="18" t="s">
        <v>57</v>
      </c>
      <c r="P1927" s="18" t="s">
        <v>38</v>
      </c>
      <c r="Q1927" s="18" t="s">
        <v>58</v>
      </c>
      <c r="R1927" s="18" t="s">
        <v>59</v>
      </c>
      <c r="S1927" s="18" t="s">
        <v>60</v>
      </c>
      <c r="T1927" s="18" t="b">
        <v>0</v>
      </c>
      <c r="U1927" s="18" t="s">
        <v>187</v>
      </c>
      <c r="V1927" s="18" t="s">
        <v>40</v>
      </c>
      <c r="W1927" s="18" t="s">
        <v>250</v>
      </c>
      <c r="X1927" s="18" t="s">
        <v>251</v>
      </c>
      <c r="Y1927" s="18">
        <v>1</v>
      </c>
      <c r="Z1927" s="18">
        <v>1297000</v>
      </c>
      <c r="AA1927" s="18" t="s">
        <v>3979</v>
      </c>
      <c r="AB1927" s="18" t="e">
        <v>#N/A</v>
      </c>
      <c r="AC1927" s="18" t="s">
        <v>200</v>
      </c>
    </row>
    <row r="1928" s="18" customFormat="1" ht="43.5" spans="1:29">
      <c r="A1928" s="18" t="s">
        <v>3990</v>
      </c>
      <c r="B1928" s="25" t="s">
        <v>3990</v>
      </c>
      <c r="C1928" s="26">
        <v>45712</v>
      </c>
      <c r="D1928" s="18" t="s">
        <v>922</v>
      </c>
      <c r="E1928" s="18" t="str">
        <f t="shared" si="30"/>
        <v>Bappa Creation</v>
      </c>
      <c r="F1928" s="27" t="s">
        <v>923</v>
      </c>
      <c r="G1928" s="18" t="s">
        <v>182</v>
      </c>
      <c r="H1928" s="18" t="s">
        <v>183</v>
      </c>
      <c r="I1928" s="18" t="s">
        <v>184</v>
      </c>
      <c r="J1928" s="18" t="s">
        <v>2690</v>
      </c>
      <c r="K1928" s="18" t="s">
        <v>56</v>
      </c>
      <c r="L1928" s="18" t="s">
        <v>36</v>
      </c>
      <c r="N1928" s="18">
        <v>6</v>
      </c>
      <c r="O1928" s="18" t="s">
        <v>57</v>
      </c>
      <c r="P1928" s="18" t="s">
        <v>38</v>
      </c>
      <c r="Q1928" s="18" t="s">
        <v>194</v>
      </c>
      <c r="R1928" s="18" t="s">
        <v>59</v>
      </c>
      <c r="S1928" s="18" t="s">
        <v>195</v>
      </c>
      <c r="T1928" s="18" t="b">
        <v>0</v>
      </c>
      <c r="U1928" s="18" t="s">
        <v>187</v>
      </c>
      <c r="V1928" s="18" t="s">
        <v>40</v>
      </c>
      <c r="W1928" s="18" t="s">
        <v>140</v>
      </c>
      <c r="X1928" s="18" t="s">
        <v>141</v>
      </c>
      <c r="Y1928" s="18">
        <v>1</v>
      </c>
      <c r="Z1928" s="18">
        <v>82950</v>
      </c>
      <c r="AA1928" s="31" t="s">
        <v>2834</v>
      </c>
      <c r="AB1928" s="18" t="s">
        <v>259</v>
      </c>
      <c r="AC1928" s="18" t="s">
        <v>200</v>
      </c>
    </row>
    <row r="1929" s="18" customFormat="1" ht="43.5" spans="1:29">
      <c r="A1929" s="18" t="s">
        <v>3991</v>
      </c>
      <c r="B1929" s="25" t="s">
        <v>3991</v>
      </c>
      <c r="C1929" s="26">
        <v>45712</v>
      </c>
      <c r="D1929" s="18" t="s">
        <v>928</v>
      </c>
      <c r="E1929" s="18" t="str">
        <f t="shared" si="30"/>
        <v>Metro Enterprises (Viral Hirabhai Patel)</v>
      </c>
      <c r="F1929" s="27" t="s">
        <v>929</v>
      </c>
      <c r="G1929" s="18" t="s">
        <v>182</v>
      </c>
      <c r="H1929" s="18" t="s">
        <v>183</v>
      </c>
      <c r="I1929" s="18" t="s">
        <v>184</v>
      </c>
      <c r="J1929" s="18" t="s">
        <v>2690</v>
      </c>
      <c r="K1929" s="18" t="s">
        <v>56</v>
      </c>
      <c r="L1929" s="18" t="s">
        <v>36</v>
      </c>
      <c r="N1929" s="18">
        <v>6</v>
      </c>
      <c r="O1929" s="18" t="s">
        <v>57</v>
      </c>
      <c r="P1929" s="18" t="s">
        <v>38</v>
      </c>
      <c r="Q1929" s="18" t="s">
        <v>194</v>
      </c>
      <c r="R1929" s="18" t="s">
        <v>59</v>
      </c>
      <c r="S1929" s="18" t="s">
        <v>195</v>
      </c>
      <c r="T1929" s="18" t="b">
        <v>0</v>
      </c>
      <c r="U1929" s="18" t="s">
        <v>187</v>
      </c>
      <c r="V1929" s="18" t="s">
        <v>40</v>
      </c>
      <c r="W1929" s="18" t="s">
        <v>196</v>
      </c>
      <c r="X1929" s="18" t="s">
        <v>197</v>
      </c>
      <c r="Y1929" s="18">
        <v>1</v>
      </c>
      <c r="Z1929" s="18">
        <v>7100</v>
      </c>
      <c r="AA1929" s="31" t="s">
        <v>2834</v>
      </c>
      <c r="AB1929" s="18" t="s">
        <v>259</v>
      </c>
      <c r="AC1929" s="18" t="s">
        <v>200</v>
      </c>
    </row>
    <row r="1930" s="18" customFormat="1" ht="43.5" spans="1:29">
      <c r="A1930" s="18" t="s">
        <v>3992</v>
      </c>
      <c r="B1930" s="25" t="s">
        <v>3992</v>
      </c>
      <c r="C1930" s="26">
        <v>45712</v>
      </c>
      <c r="D1930" s="18" t="s">
        <v>928</v>
      </c>
      <c r="E1930" s="18" t="str">
        <f t="shared" si="30"/>
        <v>Metro Enterprises (Viral Hirabhai Patel)</v>
      </c>
      <c r="F1930" s="27" t="s">
        <v>929</v>
      </c>
      <c r="G1930" s="18" t="s">
        <v>182</v>
      </c>
      <c r="H1930" s="18" t="s">
        <v>183</v>
      </c>
      <c r="I1930" s="18" t="s">
        <v>184</v>
      </c>
      <c r="J1930" s="18" t="s">
        <v>2407</v>
      </c>
      <c r="K1930" s="18" t="s">
        <v>56</v>
      </c>
      <c r="L1930" s="18" t="s">
        <v>36</v>
      </c>
      <c r="N1930" s="18">
        <v>6</v>
      </c>
      <c r="O1930" s="18" t="s">
        <v>88</v>
      </c>
      <c r="P1930" s="18" t="s">
        <v>38</v>
      </c>
      <c r="Q1930" s="18" t="s">
        <v>194</v>
      </c>
      <c r="R1930" s="18" t="s">
        <v>59</v>
      </c>
      <c r="S1930" s="18" t="s">
        <v>195</v>
      </c>
      <c r="T1930" s="18" t="b">
        <v>0</v>
      </c>
      <c r="U1930" s="18" t="s">
        <v>187</v>
      </c>
      <c r="V1930" s="18" t="s">
        <v>40</v>
      </c>
      <c r="W1930" s="18" t="s">
        <v>196</v>
      </c>
      <c r="X1930" s="18" t="s">
        <v>197</v>
      </c>
      <c r="Y1930" s="18">
        <v>1</v>
      </c>
      <c r="Z1930" s="18">
        <v>1960</v>
      </c>
      <c r="AA1930" s="31" t="s">
        <v>2834</v>
      </c>
      <c r="AB1930" s="18" t="s">
        <v>259</v>
      </c>
      <c r="AC1930" s="18" t="s">
        <v>200</v>
      </c>
    </row>
    <row r="1931" s="18" customFormat="1" spans="1:29">
      <c r="A1931" s="18" t="s">
        <v>3993</v>
      </c>
      <c r="B1931" s="25" t="s">
        <v>3993</v>
      </c>
      <c r="C1931" s="26">
        <v>45712</v>
      </c>
      <c r="D1931" s="18" t="s">
        <v>247</v>
      </c>
      <c r="E1931" s="18" t="str">
        <f t="shared" si="30"/>
        <v>Black Hat Talent Solutions &amp; Consulting Pvt Ltd</v>
      </c>
      <c r="F1931" s="27" t="s">
        <v>248</v>
      </c>
      <c r="G1931" s="18" t="s">
        <v>182</v>
      </c>
      <c r="H1931" s="18" t="s">
        <v>183</v>
      </c>
      <c r="I1931" s="18" t="s">
        <v>207</v>
      </c>
      <c r="J1931" s="18" t="s">
        <v>3994</v>
      </c>
      <c r="K1931" s="18" t="s">
        <v>56</v>
      </c>
      <c r="L1931" s="18" t="s">
        <v>36</v>
      </c>
      <c r="N1931" s="18">
        <v>6</v>
      </c>
      <c r="O1931" s="18" t="s">
        <v>57</v>
      </c>
      <c r="P1931" s="18" t="s">
        <v>38</v>
      </c>
      <c r="Q1931" s="18" t="s">
        <v>58</v>
      </c>
      <c r="R1931" s="18" t="s">
        <v>59</v>
      </c>
      <c r="S1931" s="18" t="s">
        <v>60</v>
      </c>
      <c r="T1931" s="18" t="b">
        <v>0</v>
      </c>
      <c r="U1931" s="18" t="s">
        <v>187</v>
      </c>
      <c r="V1931" s="18" t="s">
        <v>40</v>
      </c>
      <c r="W1931" s="18" t="s">
        <v>250</v>
      </c>
      <c r="X1931" s="18" t="s">
        <v>251</v>
      </c>
      <c r="Y1931" s="18">
        <v>1</v>
      </c>
      <c r="Z1931" s="18">
        <v>225000</v>
      </c>
      <c r="AA1931" s="18" t="s">
        <v>3979</v>
      </c>
      <c r="AB1931" s="18" t="e">
        <v>#N/A</v>
      </c>
      <c r="AC1931" s="18" t="s">
        <v>200</v>
      </c>
    </row>
    <row r="1932" s="18" customFormat="1" ht="43.5" spans="1:29">
      <c r="A1932" s="18" t="s">
        <v>3995</v>
      </c>
      <c r="B1932" s="25" t="s">
        <v>3995</v>
      </c>
      <c r="C1932" s="26">
        <v>45712</v>
      </c>
      <c r="D1932" s="18" t="s">
        <v>928</v>
      </c>
      <c r="E1932" s="18" t="str">
        <f t="shared" si="30"/>
        <v>Metro Enterprises (Viral Hirabhai Patel)</v>
      </c>
      <c r="F1932" s="27" t="s">
        <v>929</v>
      </c>
      <c r="G1932" s="18" t="s">
        <v>182</v>
      </c>
      <c r="H1932" s="18" t="s">
        <v>183</v>
      </c>
      <c r="I1932" s="18" t="s">
        <v>184</v>
      </c>
      <c r="J1932" s="18" t="s">
        <v>2683</v>
      </c>
      <c r="K1932" s="18" t="s">
        <v>56</v>
      </c>
      <c r="L1932" s="18" t="s">
        <v>36</v>
      </c>
      <c r="N1932" s="18">
        <v>6</v>
      </c>
      <c r="O1932" s="18" t="s">
        <v>88</v>
      </c>
      <c r="P1932" s="18" t="s">
        <v>38</v>
      </c>
      <c r="Q1932" s="18" t="s">
        <v>194</v>
      </c>
      <c r="R1932" s="18" t="s">
        <v>59</v>
      </c>
      <c r="S1932" s="18" t="s">
        <v>195</v>
      </c>
      <c r="T1932" s="18" t="b">
        <v>0</v>
      </c>
      <c r="U1932" s="18" t="s">
        <v>187</v>
      </c>
      <c r="V1932" s="18" t="s">
        <v>40</v>
      </c>
      <c r="W1932" s="18" t="s">
        <v>196</v>
      </c>
      <c r="X1932" s="18" t="s">
        <v>197</v>
      </c>
      <c r="Y1932" s="18">
        <v>1</v>
      </c>
      <c r="Z1932" s="18">
        <v>7200</v>
      </c>
      <c r="AA1932" s="31" t="s">
        <v>2834</v>
      </c>
      <c r="AB1932" s="18" t="s">
        <v>259</v>
      </c>
      <c r="AC1932" s="18" t="s">
        <v>200</v>
      </c>
    </row>
    <row r="1933" s="18" customFormat="1" ht="43.5" spans="1:29">
      <c r="A1933" s="18" t="s">
        <v>3996</v>
      </c>
      <c r="B1933" s="25" t="s">
        <v>3996</v>
      </c>
      <c r="C1933" s="26">
        <v>45712</v>
      </c>
      <c r="D1933" s="18" t="s">
        <v>3997</v>
      </c>
      <c r="E1933" s="18" t="str">
        <f t="shared" si="30"/>
        <v>Shivam Gift &amp; Novelties</v>
      </c>
      <c r="F1933" s="27" t="s">
        <v>3998</v>
      </c>
      <c r="G1933" s="18" t="s">
        <v>182</v>
      </c>
      <c r="H1933" s="18" t="s">
        <v>183</v>
      </c>
      <c r="I1933" s="18" t="s">
        <v>184</v>
      </c>
      <c r="J1933" s="18" t="s">
        <v>2690</v>
      </c>
      <c r="K1933" s="18" t="s">
        <v>56</v>
      </c>
      <c r="L1933" s="18" t="s">
        <v>36</v>
      </c>
      <c r="N1933" s="18">
        <v>6</v>
      </c>
      <c r="O1933" s="18" t="s">
        <v>88</v>
      </c>
      <c r="P1933" s="18" t="s">
        <v>38</v>
      </c>
      <c r="Q1933" s="18" t="s">
        <v>194</v>
      </c>
      <c r="R1933" s="18" t="s">
        <v>59</v>
      </c>
      <c r="S1933" s="18" t="s">
        <v>195</v>
      </c>
      <c r="T1933" s="18" t="b">
        <v>0</v>
      </c>
      <c r="U1933" s="18" t="s">
        <v>187</v>
      </c>
      <c r="V1933" s="18" t="s">
        <v>40</v>
      </c>
      <c r="W1933" s="18" t="s">
        <v>140</v>
      </c>
      <c r="X1933" s="18" t="s">
        <v>141</v>
      </c>
      <c r="Y1933" s="18">
        <v>1</v>
      </c>
      <c r="Z1933" s="18">
        <v>190050</v>
      </c>
      <c r="AA1933" s="31" t="s">
        <v>2834</v>
      </c>
      <c r="AB1933" s="18" t="s">
        <v>259</v>
      </c>
      <c r="AC1933" s="18" t="s">
        <v>200</v>
      </c>
    </row>
    <row r="1934" s="18" customFormat="1" ht="43.5" spans="1:29">
      <c r="A1934" s="18" t="s">
        <v>3999</v>
      </c>
      <c r="B1934" s="25" t="s">
        <v>3999</v>
      </c>
      <c r="C1934" s="26">
        <v>45712</v>
      </c>
      <c r="D1934" s="18" t="s">
        <v>1225</v>
      </c>
      <c r="E1934" s="18" t="str">
        <f t="shared" si="30"/>
        <v>Pyramid Production</v>
      </c>
      <c r="F1934" s="27" t="s">
        <v>1226</v>
      </c>
      <c r="G1934" s="18" t="s">
        <v>182</v>
      </c>
      <c r="H1934" s="18" t="s">
        <v>183</v>
      </c>
      <c r="I1934" s="18" t="s">
        <v>184</v>
      </c>
      <c r="J1934" s="18" t="s">
        <v>3246</v>
      </c>
      <c r="K1934" s="18" t="s">
        <v>56</v>
      </c>
      <c r="L1934" s="18" t="s">
        <v>36</v>
      </c>
      <c r="N1934" s="18">
        <v>6</v>
      </c>
      <c r="O1934" s="18" t="s">
        <v>88</v>
      </c>
      <c r="P1934" s="18" t="s">
        <v>38</v>
      </c>
      <c r="Q1934" s="18" t="s">
        <v>194</v>
      </c>
      <c r="R1934" s="18" t="s">
        <v>59</v>
      </c>
      <c r="S1934" s="18" t="s">
        <v>195</v>
      </c>
      <c r="T1934" s="18" t="b">
        <v>0</v>
      </c>
      <c r="U1934" s="18" t="s">
        <v>187</v>
      </c>
      <c r="V1934" s="18" t="s">
        <v>40</v>
      </c>
      <c r="W1934" s="18" t="s">
        <v>151</v>
      </c>
      <c r="X1934" s="18" t="s">
        <v>152</v>
      </c>
      <c r="Y1934" s="18">
        <v>1</v>
      </c>
      <c r="Z1934" s="18">
        <v>380000</v>
      </c>
      <c r="AA1934" s="31" t="s">
        <v>2733</v>
      </c>
      <c r="AB1934" s="18" t="s">
        <v>2734</v>
      </c>
      <c r="AC1934" s="18" t="s">
        <v>200</v>
      </c>
    </row>
    <row r="1935" s="18" customFormat="1" ht="43.5" spans="1:29">
      <c r="A1935" s="18" t="s">
        <v>4000</v>
      </c>
      <c r="B1935" s="25" t="s">
        <v>4000</v>
      </c>
      <c r="C1935" s="26">
        <v>45712</v>
      </c>
      <c r="D1935" s="18" t="s">
        <v>572</v>
      </c>
      <c r="E1935" s="18" t="str">
        <f t="shared" si="30"/>
        <v>Emblaze Events (Sunita Harihar Sharma)</v>
      </c>
      <c r="F1935" s="27" t="s">
        <v>573</v>
      </c>
      <c r="G1935" s="18" t="s">
        <v>182</v>
      </c>
      <c r="H1935" s="18" t="s">
        <v>183</v>
      </c>
      <c r="I1935" s="18" t="s">
        <v>184</v>
      </c>
      <c r="J1935" s="18" t="s">
        <v>2690</v>
      </c>
      <c r="K1935" s="18" t="s">
        <v>56</v>
      </c>
      <c r="L1935" s="18" t="s">
        <v>36</v>
      </c>
      <c r="N1935" s="18">
        <v>6</v>
      </c>
      <c r="O1935" s="18" t="s">
        <v>88</v>
      </c>
      <c r="P1935" s="18" t="s">
        <v>38</v>
      </c>
      <c r="Q1935" s="18" t="s">
        <v>194</v>
      </c>
      <c r="R1935" s="18" t="s">
        <v>59</v>
      </c>
      <c r="S1935" s="18" t="s">
        <v>195</v>
      </c>
      <c r="T1935" s="18" t="b">
        <v>0</v>
      </c>
      <c r="U1935" s="18" t="s">
        <v>187</v>
      </c>
      <c r="V1935" s="18" t="s">
        <v>40</v>
      </c>
      <c r="W1935" s="18" t="s">
        <v>292</v>
      </c>
      <c r="X1935" s="18" t="s">
        <v>293</v>
      </c>
      <c r="Y1935" s="18">
        <v>1</v>
      </c>
      <c r="Z1935" s="18">
        <v>28800</v>
      </c>
      <c r="AA1935" s="31" t="s">
        <v>2933</v>
      </c>
      <c r="AB1935" s="18" t="s">
        <v>1566</v>
      </c>
      <c r="AC1935" s="18" t="s">
        <v>200</v>
      </c>
    </row>
    <row r="1936" s="18" customFormat="1" ht="43.5" spans="1:29">
      <c r="A1936" s="18" t="s">
        <v>4001</v>
      </c>
      <c r="B1936" s="25" t="s">
        <v>4001</v>
      </c>
      <c r="C1936" s="26">
        <v>45712</v>
      </c>
      <c r="D1936" s="18" t="s">
        <v>572</v>
      </c>
      <c r="E1936" s="18" t="str">
        <f t="shared" si="30"/>
        <v>Emblaze Events (Sunita Harihar Sharma)</v>
      </c>
      <c r="F1936" s="27" t="s">
        <v>573</v>
      </c>
      <c r="G1936" s="18" t="s">
        <v>182</v>
      </c>
      <c r="H1936" s="18" t="s">
        <v>183</v>
      </c>
      <c r="I1936" s="18" t="s">
        <v>184</v>
      </c>
      <c r="J1936" s="18" t="s">
        <v>2683</v>
      </c>
      <c r="K1936" s="18" t="s">
        <v>56</v>
      </c>
      <c r="L1936" s="18" t="s">
        <v>36</v>
      </c>
      <c r="N1936" s="18">
        <v>6</v>
      </c>
      <c r="O1936" s="18" t="s">
        <v>88</v>
      </c>
      <c r="P1936" s="18" t="s">
        <v>38</v>
      </c>
      <c r="Q1936" s="18" t="s">
        <v>194</v>
      </c>
      <c r="R1936" s="18" t="s">
        <v>59</v>
      </c>
      <c r="S1936" s="18" t="s">
        <v>195</v>
      </c>
      <c r="T1936" s="18" t="b">
        <v>0</v>
      </c>
      <c r="U1936" s="18" t="s">
        <v>187</v>
      </c>
      <c r="V1936" s="18" t="s">
        <v>40</v>
      </c>
      <c r="W1936" s="18" t="s">
        <v>292</v>
      </c>
      <c r="X1936" s="18" t="s">
        <v>293</v>
      </c>
      <c r="Y1936" s="18">
        <v>1</v>
      </c>
      <c r="Z1936" s="18">
        <v>78450</v>
      </c>
      <c r="AA1936" s="31" t="s">
        <v>3193</v>
      </c>
      <c r="AB1936" s="18" t="s">
        <v>199</v>
      </c>
      <c r="AC1936" s="18" t="s">
        <v>200</v>
      </c>
    </row>
    <row r="1937" s="18" customFormat="1" spans="1:29">
      <c r="A1937" s="18" t="s">
        <v>4002</v>
      </c>
      <c r="B1937" s="25" t="s">
        <v>4002</v>
      </c>
      <c r="C1937" s="26">
        <v>45712</v>
      </c>
      <c r="D1937" s="18" t="s">
        <v>472</v>
      </c>
      <c r="E1937" s="18" t="e">
        <f t="shared" si="30"/>
        <v>#N/A</v>
      </c>
      <c r="F1937" s="27" t="e">
        <v>#N/A</v>
      </c>
      <c r="G1937" s="18" t="s">
        <v>182</v>
      </c>
      <c r="H1937" s="18" t="s">
        <v>183</v>
      </c>
      <c r="I1937" s="18" t="s">
        <v>184</v>
      </c>
      <c r="K1937" s="18" t="s">
        <v>35</v>
      </c>
      <c r="L1937" s="18" t="s">
        <v>36</v>
      </c>
      <c r="N1937" s="18">
        <v>6</v>
      </c>
      <c r="P1937" s="18" t="s">
        <v>38</v>
      </c>
      <c r="T1937" s="18" t="b">
        <v>0</v>
      </c>
      <c r="U1937" s="18" t="s">
        <v>187</v>
      </c>
      <c r="V1937" s="18" t="s">
        <v>40</v>
      </c>
      <c r="W1937" s="18" t="e">
        <v>#N/A</v>
      </c>
      <c r="X1937" s="18" t="e">
        <v>#N/A</v>
      </c>
      <c r="Y1937" s="18" t="e">
        <v>#N/A</v>
      </c>
      <c r="Z1937" s="18" t="e">
        <v>#N/A</v>
      </c>
      <c r="AC1937" s="18" t="e">
        <v>#N/A</v>
      </c>
    </row>
    <row r="1938" s="18" customFormat="1" ht="43.5" spans="1:29">
      <c r="A1938" s="18" t="s">
        <v>4003</v>
      </c>
      <c r="B1938" s="25" t="s">
        <v>4003</v>
      </c>
      <c r="C1938" s="26">
        <v>45712</v>
      </c>
      <c r="D1938" s="18" t="s">
        <v>192</v>
      </c>
      <c r="E1938" s="18" t="str">
        <f t="shared" si="30"/>
        <v>Noaman Digital Partnership Firm</v>
      </c>
      <c r="F1938" s="27" t="e">
        <v>#N/A</v>
      </c>
      <c r="G1938" s="18" t="s">
        <v>182</v>
      </c>
      <c r="H1938" s="18" t="s">
        <v>183</v>
      </c>
      <c r="I1938" s="18" t="s">
        <v>184</v>
      </c>
      <c r="J1938" s="18" t="s">
        <v>2930</v>
      </c>
      <c r="K1938" s="18" t="s">
        <v>56</v>
      </c>
      <c r="L1938" s="18" t="s">
        <v>36</v>
      </c>
      <c r="N1938" s="18">
        <v>6</v>
      </c>
      <c r="O1938" s="18" t="s">
        <v>88</v>
      </c>
      <c r="P1938" s="18" t="s">
        <v>38</v>
      </c>
      <c r="Q1938" s="18" t="s">
        <v>194</v>
      </c>
      <c r="R1938" s="18" t="s">
        <v>59</v>
      </c>
      <c r="S1938" s="18" t="s">
        <v>195</v>
      </c>
      <c r="T1938" s="18" t="b">
        <v>0</v>
      </c>
      <c r="U1938" s="18" t="s">
        <v>187</v>
      </c>
      <c r="V1938" s="18" t="s">
        <v>40</v>
      </c>
      <c r="W1938" s="18" t="s">
        <v>196</v>
      </c>
      <c r="X1938" s="18" t="s">
        <v>197</v>
      </c>
      <c r="Y1938" s="18">
        <v>1</v>
      </c>
      <c r="Z1938" s="18">
        <v>6370</v>
      </c>
      <c r="AA1938" s="31" t="s">
        <v>2918</v>
      </c>
      <c r="AB1938" s="18" t="s">
        <v>963</v>
      </c>
      <c r="AC1938" s="18" t="s">
        <v>200</v>
      </c>
    </row>
    <row r="1939" s="18" customFormat="1" ht="43.5" spans="1:29">
      <c r="A1939" s="18" t="s">
        <v>4004</v>
      </c>
      <c r="B1939" s="25" t="s">
        <v>4004</v>
      </c>
      <c r="C1939" s="26">
        <v>45712</v>
      </c>
      <c r="D1939" s="18" t="s">
        <v>192</v>
      </c>
      <c r="E1939" s="18" t="str">
        <f t="shared" si="30"/>
        <v>Noaman Digital Partnership Firm</v>
      </c>
      <c r="F1939" s="27" t="e">
        <v>#N/A</v>
      </c>
      <c r="G1939" s="18" t="s">
        <v>182</v>
      </c>
      <c r="H1939" s="18" t="s">
        <v>183</v>
      </c>
      <c r="I1939" s="18" t="s">
        <v>184</v>
      </c>
      <c r="J1939" s="18" t="s">
        <v>2690</v>
      </c>
      <c r="K1939" s="18" t="s">
        <v>56</v>
      </c>
      <c r="L1939" s="18" t="s">
        <v>36</v>
      </c>
      <c r="N1939" s="18">
        <v>6</v>
      </c>
      <c r="O1939" s="18" t="s">
        <v>88</v>
      </c>
      <c r="P1939" s="18" t="s">
        <v>38</v>
      </c>
      <c r="Q1939" s="18" t="s">
        <v>194</v>
      </c>
      <c r="R1939" s="18" t="s">
        <v>59</v>
      </c>
      <c r="S1939" s="18" t="s">
        <v>195</v>
      </c>
      <c r="T1939" s="18" t="b">
        <v>0</v>
      </c>
      <c r="U1939" s="18" t="s">
        <v>187</v>
      </c>
      <c r="V1939" s="18" t="s">
        <v>40</v>
      </c>
      <c r="W1939" s="18" t="s">
        <v>196</v>
      </c>
      <c r="X1939" s="18" t="s">
        <v>197</v>
      </c>
      <c r="Y1939" s="18">
        <v>1</v>
      </c>
      <c r="Z1939" s="18">
        <v>25140</v>
      </c>
      <c r="AA1939" s="31" t="s">
        <v>2933</v>
      </c>
      <c r="AB1939" s="18" t="s">
        <v>1566</v>
      </c>
      <c r="AC1939" s="18" t="s">
        <v>200</v>
      </c>
    </row>
    <row r="1940" s="18" customFormat="1" spans="1:29">
      <c r="A1940" s="18" t="s">
        <v>4005</v>
      </c>
      <c r="B1940" s="25" t="s">
        <v>4005</v>
      </c>
      <c r="C1940" s="26">
        <v>45712</v>
      </c>
      <c r="D1940" s="18" t="s">
        <v>1811</v>
      </c>
      <c r="E1940" s="18" t="str">
        <f t="shared" si="30"/>
        <v>Fabrile Productions</v>
      </c>
      <c r="F1940" s="27" t="s">
        <v>1812</v>
      </c>
      <c r="G1940" s="18" t="s">
        <v>182</v>
      </c>
      <c r="H1940" s="18" t="s">
        <v>183</v>
      </c>
      <c r="I1940" s="18" t="s">
        <v>184</v>
      </c>
      <c r="J1940" s="18" t="s">
        <v>2930</v>
      </c>
      <c r="K1940" s="18" t="s">
        <v>56</v>
      </c>
      <c r="L1940" s="18" t="s">
        <v>36</v>
      </c>
      <c r="N1940" s="18">
        <v>6</v>
      </c>
      <c r="O1940" s="18" t="s">
        <v>88</v>
      </c>
      <c r="P1940" s="18" t="s">
        <v>38</v>
      </c>
      <c r="Q1940" s="18" t="s">
        <v>194</v>
      </c>
      <c r="R1940" s="18" t="s">
        <v>59</v>
      </c>
      <c r="S1940" s="18" t="s">
        <v>195</v>
      </c>
      <c r="T1940" s="18" t="b">
        <v>0</v>
      </c>
      <c r="U1940" s="18" t="s">
        <v>187</v>
      </c>
      <c r="V1940" s="18" t="s">
        <v>40</v>
      </c>
      <c r="W1940" s="18" t="s">
        <v>151</v>
      </c>
      <c r="X1940" s="18" t="s">
        <v>152</v>
      </c>
      <c r="Y1940" s="18">
        <v>1</v>
      </c>
      <c r="Z1940" s="18">
        <v>48000</v>
      </c>
      <c r="AA1940" s="18" t="s">
        <v>4006</v>
      </c>
      <c r="AB1940" s="18" t="s">
        <v>1951</v>
      </c>
      <c r="AC1940" s="18" t="s">
        <v>200</v>
      </c>
    </row>
    <row r="1941" s="18" customFormat="1" spans="1:29">
      <c r="A1941" s="18" t="s">
        <v>4007</v>
      </c>
      <c r="B1941" s="25" t="s">
        <v>4007</v>
      </c>
      <c r="C1941" s="26">
        <v>45712</v>
      </c>
      <c r="D1941" s="18" t="s">
        <v>977</v>
      </c>
      <c r="E1941" s="18" t="str">
        <f t="shared" si="30"/>
        <v>Videowaves</v>
      </c>
      <c r="F1941" s="27" t="e">
        <v>#N/A</v>
      </c>
      <c r="G1941" s="18" t="s">
        <v>182</v>
      </c>
      <c r="H1941" s="18" t="s">
        <v>183</v>
      </c>
      <c r="I1941" s="18" t="s">
        <v>184</v>
      </c>
      <c r="J1941" s="18" t="s">
        <v>2930</v>
      </c>
      <c r="K1941" s="18" t="s">
        <v>56</v>
      </c>
      <c r="L1941" s="18" t="s">
        <v>36</v>
      </c>
      <c r="N1941" s="18">
        <v>6</v>
      </c>
      <c r="O1941" s="18" t="s">
        <v>88</v>
      </c>
      <c r="P1941" s="18" t="s">
        <v>38</v>
      </c>
      <c r="Q1941" s="18" t="s">
        <v>194</v>
      </c>
      <c r="R1941" s="18" t="s">
        <v>59</v>
      </c>
      <c r="S1941" s="18" t="s">
        <v>195</v>
      </c>
      <c r="T1941" s="18" t="b">
        <v>0</v>
      </c>
      <c r="U1941" s="18" t="s">
        <v>187</v>
      </c>
      <c r="V1941" s="18" t="s">
        <v>40</v>
      </c>
      <c r="W1941" s="18" t="s">
        <v>371</v>
      </c>
      <c r="X1941" s="18" t="s">
        <v>372</v>
      </c>
      <c r="Y1941" s="18">
        <v>1</v>
      </c>
      <c r="Z1941" s="18">
        <v>14500</v>
      </c>
      <c r="AA1941" s="18" t="s">
        <v>4006</v>
      </c>
      <c r="AB1941" s="18" t="s">
        <v>1951</v>
      </c>
      <c r="AC1941" s="18" t="s">
        <v>200</v>
      </c>
    </row>
    <row r="1942" s="18" customFormat="1" spans="1:29">
      <c r="A1942" s="18" t="s">
        <v>4008</v>
      </c>
      <c r="B1942" s="25" t="s">
        <v>4008</v>
      </c>
      <c r="C1942" s="26">
        <v>45712</v>
      </c>
      <c r="D1942" s="18" t="s">
        <v>2301</v>
      </c>
      <c r="E1942" s="18" t="str">
        <f t="shared" si="30"/>
        <v>M K Interior</v>
      </c>
      <c r="F1942" s="27" t="s">
        <v>2302</v>
      </c>
      <c r="G1942" s="18" t="s">
        <v>182</v>
      </c>
      <c r="H1942" s="18" t="s">
        <v>183</v>
      </c>
      <c r="I1942" s="18" t="s">
        <v>184</v>
      </c>
      <c r="J1942" s="18" t="s">
        <v>2930</v>
      </c>
      <c r="K1942" s="18" t="s">
        <v>56</v>
      </c>
      <c r="L1942" s="18" t="s">
        <v>36</v>
      </c>
      <c r="N1942" s="18">
        <v>6</v>
      </c>
      <c r="O1942" s="18" t="s">
        <v>57</v>
      </c>
      <c r="P1942" s="18" t="s">
        <v>38</v>
      </c>
      <c r="Q1942" s="18" t="s">
        <v>194</v>
      </c>
      <c r="R1942" s="18" t="s">
        <v>59</v>
      </c>
      <c r="S1942" s="18" t="s">
        <v>195</v>
      </c>
      <c r="T1942" s="18" t="b">
        <v>0</v>
      </c>
      <c r="U1942" s="18" t="s">
        <v>187</v>
      </c>
      <c r="V1942" s="18" t="s">
        <v>40</v>
      </c>
      <c r="W1942" s="18" t="s">
        <v>151</v>
      </c>
      <c r="X1942" s="18" t="s">
        <v>152</v>
      </c>
      <c r="Y1942" s="18">
        <v>1</v>
      </c>
      <c r="Z1942" s="18">
        <v>3900</v>
      </c>
      <c r="AA1942" s="18" t="s">
        <v>4006</v>
      </c>
      <c r="AB1942" s="18" t="s">
        <v>1951</v>
      </c>
      <c r="AC1942" s="18" t="s">
        <v>200</v>
      </c>
    </row>
    <row r="1943" s="18" customFormat="1" spans="1:29">
      <c r="A1943" s="18" t="s">
        <v>4009</v>
      </c>
      <c r="B1943" s="25" t="s">
        <v>4009</v>
      </c>
      <c r="C1943" s="26">
        <v>45712</v>
      </c>
      <c r="D1943" s="18" t="s">
        <v>4010</v>
      </c>
      <c r="E1943" s="18" t="str">
        <f t="shared" si="30"/>
        <v>Mahendra Kamble</v>
      </c>
      <c r="F1943" s="27" t="s">
        <v>4011</v>
      </c>
      <c r="G1943" s="18" t="s">
        <v>182</v>
      </c>
      <c r="H1943" s="18" t="s">
        <v>183</v>
      </c>
      <c r="I1943" s="18" t="s">
        <v>184</v>
      </c>
      <c r="J1943" s="18" t="s">
        <v>2930</v>
      </c>
      <c r="K1943" s="18" t="s">
        <v>56</v>
      </c>
      <c r="L1943" s="18" t="s">
        <v>36</v>
      </c>
      <c r="N1943" s="18">
        <v>6</v>
      </c>
      <c r="O1943" s="18" t="s">
        <v>57</v>
      </c>
      <c r="P1943" s="18" t="s">
        <v>38</v>
      </c>
      <c r="Q1943" s="18" t="s">
        <v>194</v>
      </c>
      <c r="R1943" s="18" t="s">
        <v>59</v>
      </c>
      <c r="S1943" s="18" t="s">
        <v>195</v>
      </c>
      <c r="T1943" s="18" t="b">
        <v>0</v>
      </c>
      <c r="U1943" s="18" t="s">
        <v>187</v>
      </c>
      <c r="V1943" s="18" t="s">
        <v>40</v>
      </c>
      <c r="W1943" s="18" t="s">
        <v>347</v>
      </c>
      <c r="X1943" s="18" t="s">
        <v>348</v>
      </c>
      <c r="Y1943" s="18">
        <v>1</v>
      </c>
      <c r="Z1943" s="18">
        <v>27000</v>
      </c>
      <c r="AA1943" s="18" t="s">
        <v>4006</v>
      </c>
      <c r="AB1943" s="18" t="s">
        <v>1951</v>
      </c>
      <c r="AC1943" s="18" t="e">
        <v>#N/A</v>
      </c>
    </row>
    <row r="1944" s="18" customFormat="1" spans="1:29">
      <c r="A1944" s="18" t="s">
        <v>4012</v>
      </c>
      <c r="B1944" s="25" t="s">
        <v>4012</v>
      </c>
      <c r="C1944" s="26">
        <v>45712</v>
      </c>
      <c r="D1944" s="18" t="s">
        <v>1886</v>
      </c>
      <c r="E1944" s="18" t="str">
        <f t="shared" si="30"/>
        <v>Kalasiddha Creations</v>
      </c>
      <c r="F1944" s="27" t="s">
        <v>1887</v>
      </c>
      <c r="G1944" s="18" t="s">
        <v>182</v>
      </c>
      <c r="H1944" s="18" t="s">
        <v>183</v>
      </c>
      <c r="I1944" s="18" t="s">
        <v>184</v>
      </c>
      <c r="J1944" s="18" t="s">
        <v>2953</v>
      </c>
      <c r="K1944" s="18" t="s">
        <v>56</v>
      </c>
      <c r="L1944" s="18" t="s">
        <v>36</v>
      </c>
      <c r="N1944" s="18">
        <v>6</v>
      </c>
      <c r="O1944" s="18" t="s">
        <v>88</v>
      </c>
      <c r="P1944" s="18" t="s">
        <v>38</v>
      </c>
      <c r="Q1944" s="18" t="s">
        <v>194</v>
      </c>
      <c r="R1944" s="18" t="s">
        <v>59</v>
      </c>
      <c r="S1944" s="18" t="s">
        <v>195</v>
      </c>
      <c r="T1944" s="18" t="b">
        <v>0</v>
      </c>
      <c r="U1944" s="18" t="s">
        <v>187</v>
      </c>
      <c r="V1944" s="18" t="s">
        <v>40</v>
      </c>
      <c r="W1944" s="18" t="s">
        <v>317</v>
      </c>
      <c r="X1944" s="18" t="s">
        <v>318</v>
      </c>
      <c r="Y1944" s="18">
        <v>1</v>
      </c>
      <c r="Z1944" s="18">
        <v>325000</v>
      </c>
      <c r="AA1944" s="18" t="s">
        <v>4013</v>
      </c>
      <c r="AB1944" s="18" t="s">
        <v>2112</v>
      </c>
      <c r="AC1944" s="18" t="s">
        <v>200</v>
      </c>
    </row>
    <row r="1945" s="18" customFormat="1" spans="1:29">
      <c r="A1945" s="18" t="s">
        <v>4014</v>
      </c>
      <c r="B1945" s="25" t="s">
        <v>4014</v>
      </c>
      <c r="C1945" s="26">
        <v>45712</v>
      </c>
      <c r="D1945" s="18" t="s">
        <v>1650</v>
      </c>
      <c r="E1945" s="18" t="str">
        <f t="shared" si="30"/>
        <v>A A Fur1044835 Neetu Prakash Poojaryre(Abbas Abdul Hussain Ujjainwala)</v>
      </c>
      <c r="F1945" s="27" t="s">
        <v>1651</v>
      </c>
      <c r="G1945" s="18" t="s">
        <v>182</v>
      </c>
      <c r="H1945" s="18" t="s">
        <v>183</v>
      </c>
      <c r="I1945" s="18" t="s">
        <v>184</v>
      </c>
      <c r="J1945" s="18" t="s">
        <v>2953</v>
      </c>
      <c r="K1945" s="18" t="s">
        <v>56</v>
      </c>
      <c r="L1945" s="18" t="s">
        <v>36</v>
      </c>
      <c r="N1945" s="18">
        <v>6</v>
      </c>
      <c r="O1945" s="18" t="s">
        <v>57</v>
      </c>
      <c r="P1945" s="18" t="s">
        <v>38</v>
      </c>
      <c r="Q1945" s="18" t="s">
        <v>194</v>
      </c>
      <c r="R1945" s="18" t="s">
        <v>59</v>
      </c>
      <c r="S1945" s="18" t="s">
        <v>195</v>
      </c>
      <c r="T1945" s="18" t="b">
        <v>0</v>
      </c>
      <c r="U1945" s="18" t="s">
        <v>187</v>
      </c>
      <c r="V1945" s="18" t="s">
        <v>40</v>
      </c>
      <c r="W1945" s="18" t="s">
        <v>151</v>
      </c>
      <c r="X1945" s="18" t="s">
        <v>152</v>
      </c>
      <c r="Y1945" s="18">
        <v>1</v>
      </c>
      <c r="Z1945" s="18">
        <v>240000</v>
      </c>
      <c r="AA1945" s="18" t="s">
        <v>4013</v>
      </c>
      <c r="AB1945" s="18" t="s">
        <v>2112</v>
      </c>
      <c r="AC1945" s="18" t="s">
        <v>200</v>
      </c>
    </row>
    <row r="1946" s="18" customFormat="1" spans="1:29">
      <c r="A1946" s="18" t="s">
        <v>4015</v>
      </c>
      <c r="B1946" s="25" t="s">
        <v>4015</v>
      </c>
      <c r="C1946" s="26">
        <v>45712</v>
      </c>
      <c r="D1946" s="18" t="s">
        <v>1893</v>
      </c>
      <c r="E1946" s="18" t="str">
        <f t="shared" si="30"/>
        <v>Right Angle Productions LLP</v>
      </c>
      <c r="F1946" s="27" t="s">
        <v>1894</v>
      </c>
      <c r="G1946" s="18" t="s">
        <v>182</v>
      </c>
      <c r="H1946" s="18" t="s">
        <v>183</v>
      </c>
      <c r="I1946" s="18" t="s">
        <v>184</v>
      </c>
      <c r="J1946" s="18" t="s">
        <v>2953</v>
      </c>
      <c r="K1946" s="18" t="s">
        <v>56</v>
      </c>
      <c r="L1946" s="18" t="s">
        <v>36</v>
      </c>
      <c r="N1946" s="18">
        <v>6</v>
      </c>
      <c r="O1946" s="18" t="s">
        <v>88</v>
      </c>
      <c r="P1946" s="18" t="s">
        <v>38</v>
      </c>
      <c r="Q1946" s="18" t="s">
        <v>194</v>
      </c>
      <c r="R1946" s="18" t="s">
        <v>59</v>
      </c>
      <c r="S1946" s="18" t="s">
        <v>195</v>
      </c>
      <c r="T1946" s="18" t="b">
        <v>0</v>
      </c>
      <c r="U1946" s="18" t="s">
        <v>187</v>
      </c>
      <c r="V1946" s="18" t="s">
        <v>40</v>
      </c>
      <c r="W1946" s="18" t="s">
        <v>151</v>
      </c>
      <c r="X1946" s="18" t="s">
        <v>152</v>
      </c>
      <c r="Y1946" s="18">
        <v>1</v>
      </c>
      <c r="Z1946" s="18">
        <v>380000</v>
      </c>
      <c r="AA1946" s="18" t="s">
        <v>4013</v>
      </c>
      <c r="AB1946" s="18" t="s">
        <v>2112</v>
      </c>
      <c r="AC1946" s="18" t="s">
        <v>200</v>
      </c>
    </row>
    <row r="1947" s="18" customFormat="1" spans="1:29">
      <c r="A1947" s="18" t="s">
        <v>4016</v>
      </c>
      <c r="B1947" s="25" t="s">
        <v>4016</v>
      </c>
      <c r="C1947" s="26">
        <v>45712</v>
      </c>
      <c r="D1947" s="18" t="s">
        <v>2594</v>
      </c>
      <c r="E1947" s="18" t="str">
        <f t="shared" si="30"/>
        <v>Sound Decisions.Com</v>
      </c>
      <c r="F1947" s="27" t="s">
        <v>2595</v>
      </c>
      <c r="G1947" s="18" t="s">
        <v>182</v>
      </c>
      <c r="H1947" s="18" t="s">
        <v>183</v>
      </c>
      <c r="I1947" s="18" t="s">
        <v>184</v>
      </c>
      <c r="J1947" s="18" t="s">
        <v>2953</v>
      </c>
      <c r="K1947" s="18" t="s">
        <v>56</v>
      </c>
      <c r="L1947" s="18" t="s">
        <v>36</v>
      </c>
      <c r="N1947" s="18">
        <v>6</v>
      </c>
      <c r="O1947" s="18" t="s">
        <v>57</v>
      </c>
      <c r="P1947" s="18" t="s">
        <v>38</v>
      </c>
      <c r="Q1947" s="18" t="s">
        <v>194</v>
      </c>
      <c r="R1947" s="18" t="s">
        <v>59</v>
      </c>
      <c r="S1947" s="18" t="s">
        <v>195</v>
      </c>
      <c r="T1947" s="18" t="b">
        <v>0</v>
      </c>
      <c r="U1947" s="18" t="s">
        <v>187</v>
      </c>
      <c r="V1947" s="18" t="s">
        <v>40</v>
      </c>
      <c r="W1947" s="18" t="s">
        <v>371</v>
      </c>
      <c r="X1947" s="18" t="s">
        <v>372</v>
      </c>
      <c r="Y1947" s="18">
        <v>1</v>
      </c>
      <c r="Z1947" s="18">
        <v>112000</v>
      </c>
      <c r="AA1947" s="18" t="s">
        <v>4013</v>
      </c>
      <c r="AB1947" s="18" t="s">
        <v>2112</v>
      </c>
      <c r="AC1947" s="18" t="s">
        <v>200</v>
      </c>
    </row>
    <row r="1948" s="18" customFormat="1" spans="1:29">
      <c r="A1948" s="18" t="s">
        <v>4017</v>
      </c>
      <c r="B1948" s="25" t="s">
        <v>4017</v>
      </c>
      <c r="C1948" s="26">
        <v>45712</v>
      </c>
      <c r="D1948" s="18" t="s">
        <v>1981</v>
      </c>
      <c r="E1948" s="18" t="str">
        <f t="shared" si="30"/>
        <v>Oriana Communications</v>
      </c>
      <c r="F1948" s="27" t="s">
        <v>1982</v>
      </c>
      <c r="G1948" s="18" t="s">
        <v>182</v>
      </c>
      <c r="H1948" s="18" t="s">
        <v>183</v>
      </c>
      <c r="I1948" s="18" t="s">
        <v>184</v>
      </c>
      <c r="J1948" s="18" t="s">
        <v>2953</v>
      </c>
      <c r="K1948" s="18" t="s">
        <v>56</v>
      </c>
      <c r="L1948" s="18" t="s">
        <v>36</v>
      </c>
      <c r="N1948" s="18">
        <v>6</v>
      </c>
      <c r="O1948" s="18" t="s">
        <v>57</v>
      </c>
      <c r="P1948" s="18" t="s">
        <v>38</v>
      </c>
      <c r="Q1948" s="18" t="s">
        <v>194</v>
      </c>
      <c r="R1948" s="18" t="s">
        <v>59</v>
      </c>
      <c r="S1948" s="18" t="s">
        <v>195</v>
      </c>
      <c r="T1948" s="18" t="b">
        <v>0</v>
      </c>
      <c r="U1948" s="18" t="s">
        <v>187</v>
      </c>
      <c r="V1948" s="18" t="s">
        <v>40</v>
      </c>
      <c r="W1948" s="18" t="s">
        <v>371</v>
      </c>
      <c r="X1948" s="18" t="s">
        <v>372</v>
      </c>
      <c r="Y1948" s="18">
        <v>1</v>
      </c>
      <c r="Z1948" s="18">
        <v>9600</v>
      </c>
      <c r="AA1948" s="18" t="s">
        <v>4013</v>
      </c>
      <c r="AB1948" s="18" t="s">
        <v>2112</v>
      </c>
      <c r="AC1948" s="18" t="s">
        <v>200</v>
      </c>
    </row>
    <row r="1949" s="18" customFormat="1" spans="1:29">
      <c r="A1949" s="18" t="s">
        <v>4018</v>
      </c>
      <c r="B1949" s="25" t="s">
        <v>4018</v>
      </c>
      <c r="C1949" s="26">
        <v>45712</v>
      </c>
      <c r="D1949" s="18" t="s">
        <v>977</v>
      </c>
      <c r="E1949" s="18" t="str">
        <f t="shared" si="30"/>
        <v>Videowaves</v>
      </c>
      <c r="F1949" s="27" t="e">
        <v>#N/A</v>
      </c>
      <c r="G1949" s="18" t="s">
        <v>182</v>
      </c>
      <c r="H1949" s="18" t="s">
        <v>183</v>
      </c>
      <c r="I1949" s="18" t="s">
        <v>184</v>
      </c>
      <c r="J1949" s="18" t="s">
        <v>2953</v>
      </c>
      <c r="K1949" s="18" t="s">
        <v>56</v>
      </c>
      <c r="L1949" s="18" t="s">
        <v>36</v>
      </c>
      <c r="N1949" s="18">
        <v>6</v>
      </c>
      <c r="O1949" s="18" t="s">
        <v>88</v>
      </c>
      <c r="P1949" s="18" t="s">
        <v>38</v>
      </c>
      <c r="Q1949" s="18" t="s">
        <v>194</v>
      </c>
      <c r="R1949" s="18" t="s">
        <v>59</v>
      </c>
      <c r="S1949" s="18" t="s">
        <v>195</v>
      </c>
      <c r="T1949" s="18" t="b">
        <v>0</v>
      </c>
      <c r="U1949" s="18" t="s">
        <v>187</v>
      </c>
      <c r="V1949" s="18" t="s">
        <v>40</v>
      </c>
      <c r="W1949" s="18" t="s">
        <v>371</v>
      </c>
      <c r="X1949" s="18" t="s">
        <v>372</v>
      </c>
      <c r="Y1949" s="18">
        <v>1</v>
      </c>
      <c r="Z1949" s="18">
        <v>150000</v>
      </c>
      <c r="AA1949" s="18" t="s">
        <v>4013</v>
      </c>
      <c r="AB1949" s="18" t="s">
        <v>2112</v>
      </c>
      <c r="AC1949" s="18" t="s">
        <v>200</v>
      </c>
    </row>
    <row r="1950" s="18" customFormat="1" spans="1:29">
      <c r="A1950" s="18" t="s">
        <v>4019</v>
      </c>
      <c r="B1950" s="25" t="s">
        <v>4019</v>
      </c>
      <c r="C1950" s="26">
        <v>45712</v>
      </c>
      <c r="D1950" s="18" t="s">
        <v>1960</v>
      </c>
      <c r="E1950" s="18" t="str">
        <f t="shared" si="30"/>
        <v>Shree Vision</v>
      </c>
      <c r="F1950" s="27" t="s">
        <v>1961</v>
      </c>
      <c r="G1950" s="18" t="s">
        <v>182</v>
      </c>
      <c r="H1950" s="18" t="s">
        <v>183</v>
      </c>
      <c r="I1950" s="18" t="s">
        <v>184</v>
      </c>
      <c r="J1950" s="18" t="s">
        <v>2953</v>
      </c>
      <c r="K1950" s="18" t="s">
        <v>56</v>
      </c>
      <c r="L1950" s="18" t="s">
        <v>36</v>
      </c>
      <c r="N1950" s="18">
        <v>6</v>
      </c>
      <c r="O1950" s="18" t="s">
        <v>88</v>
      </c>
      <c r="P1950" s="18" t="s">
        <v>38</v>
      </c>
      <c r="Q1950" s="18" t="s">
        <v>194</v>
      </c>
      <c r="R1950" s="18" t="s">
        <v>59</v>
      </c>
      <c r="S1950" s="18" t="s">
        <v>195</v>
      </c>
      <c r="T1950" s="18" t="b">
        <v>0</v>
      </c>
      <c r="U1950" s="18" t="s">
        <v>187</v>
      </c>
      <c r="V1950" s="18" t="s">
        <v>40</v>
      </c>
      <c r="W1950" s="18" t="s">
        <v>990</v>
      </c>
      <c r="X1950" s="18" t="s">
        <v>991</v>
      </c>
      <c r="Y1950" s="18">
        <v>1</v>
      </c>
      <c r="Z1950" s="18">
        <v>7000</v>
      </c>
      <c r="AA1950" s="18" t="s">
        <v>4013</v>
      </c>
      <c r="AB1950" s="18" t="s">
        <v>2112</v>
      </c>
      <c r="AC1950" s="18" t="s">
        <v>200</v>
      </c>
    </row>
    <row r="1951" s="18" customFormat="1" spans="1:29">
      <c r="A1951" s="18" t="s">
        <v>4020</v>
      </c>
      <c r="B1951" s="25" t="s">
        <v>4020</v>
      </c>
      <c r="C1951" s="26">
        <v>45712</v>
      </c>
      <c r="D1951" s="18" t="s">
        <v>974</v>
      </c>
      <c r="E1951" s="18" t="str">
        <f t="shared" si="30"/>
        <v>Shiv Shakti Enterprises</v>
      </c>
      <c r="F1951" s="27" t="s">
        <v>975</v>
      </c>
      <c r="G1951" s="18" t="s">
        <v>182</v>
      </c>
      <c r="H1951" s="18" t="s">
        <v>183</v>
      </c>
      <c r="I1951" s="18" t="s">
        <v>184</v>
      </c>
      <c r="J1951" s="18" t="s">
        <v>2953</v>
      </c>
      <c r="K1951" s="18" t="s">
        <v>56</v>
      </c>
      <c r="L1951" s="18" t="s">
        <v>36</v>
      </c>
      <c r="N1951" s="18">
        <v>6</v>
      </c>
      <c r="O1951" s="18" t="s">
        <v>57</v>
      </c>
      <c r="P1951" s="18" t="s">
        <v>38</v>
      </c>
      <c r="Q1951" s="18" t="s">
        <v>194</v>
      </c>
      <c r="R1951" s="18" t="s">
        <v>59</v>
      </c>
      <c r="S1951" s="18" t="s">
        <v>195</v>
      </c>
      <c r="T1951" s="18" t="b">
        <v>0</v>
      </c>
      <c r="U1951" s="18" t="s">
        <v>187</v>
      </c>
      <c r="V1951" s="18" t="s">
        <v>40</v>
      </c>
      <c r="W1951" s="18" t="s">
        <v>371</v>
      </c>
      <c r="X1951" s="18" t="s">
        <v>372</v>
      </c>
      <c r="Y1951" s="18">
        <v>1</v>
      </c>
      <c r="Z1951" s="18">
        <v>100000</v>
      </c>
      <c r="AA1951" s="18" t="s">
        <v>4013</v>
      </c>
      <c r="AB1951" s="18" t="s">
        <v>2112</v>
      </c>
      <c r="AC1951" s="18" t="s">
        <v>200</v>
      </c>
    </row>
    <row r="1952" s="18" customFormat="1" spans="1:29">
      <c r="A1952" s="18" t="s">
        <v>4021</v>
      </c>
      <c r="B1952" s="25" t="s">
        <v>4021</v>
      </c>
      <c r="C1952" s="26">
        <v>45712</v>
      </c>
      <c r="D1952" s="18" t="s">
        <v>1066</v>
      </c>
      <c r="E1952" s="18" t="str">
        <f t="shared" si="30"/>
        <v>Events Power</v>
      </c>
      <c r="F1952" s="27" t="s">
        <v>1067</v>
      </c>
      <c r="G1952" s="18" t="s">
        <v>182</v>
      </c>
      <c r="H1952" s="18" t="s">
        <v>183</v>
      </c>
      <c r="I1952" s="18" t="s">
        <v>184</v>
      </c>
      <c r="J1952" s="18" t="s">
        <v>2953</v>
      </c>
      <c r="K1952" s="18" t="s">
        <v>56</v>
      </c>
      <c r="L1952" s="18" t="s">
        <v>36</v>
      </c>
      <c r="N1952" s="18">
        <v>6</v>
      </c>
      <c r="O1952" s="18" t="s">
        <v>88</v>
      </c>
      <c r="P1952" s="18" t="s">
        <v>38</v>
      </c>
      <c r="Q1952" s="18" t="s">
        <v>194</v>
      </c>
      <c r="R1952" s="18" t="s">
        <v>59</v>
      </c>
      <c r="S1952" s="18" t="s">
        <v>195</v>
      </c>
      <c r="T1952" s="18" t="b">
        <v>0</v>
      </c>
      <c r="U1952" s="18" t="s">
        <v>187</v>
      </c>
      <c r="V1952" s="18" t="s">
        <v>40</v>
      </c>
      <c r="W1952" s="18" t="s">
        <v>371</v>
      </c>
      <c r="X1952" s="18" t="s">
        <v>372</v>
      </c>
      <c r="Y1952" s="18">
        <v>1</v>
      </c>
      <c r="Z1952" s="18">
        <v>107500</v>
      </c>
      <c r="AA1952" s="18" t="s">
        <v>4013</v>
      </c>
      <c r="AB1952" s="18" t="s">
        <v>2112</v>
      </c>
      <c r="AC1952" s="18" t="s">
        <v>200</v>
      </c>
    </row>
    <row r="1953" s="18" customFormat="1" spans="1:29">
      <c r="A1953" s="18" t="s">
        <v>4022</v>
      </c>
      <c r="B1953" s="25" t="s">
        <v>4022</v>
      </c>
      <c r="C1953" s="26">
        <v>45712</v>
      </c>
      <c r="D1953" s="18" t="s">
        <v>4010</v>
      </c>
      <c r="E1953" s="18" t="str">
        <f t="shared" si="30"/>
        <v>Mahendra Kamble</v>
      </c>
      <c r="F1953" s="27" t="s">
        <v>4011</v>
      </c>
      <c r="G1953" s="18" t="s">
        <v>182</v>
      </c>
      <c r="H1953" s="18" t="s">
        <v>183</v>
      </c>
      <c r="I1953" s="18" t="s">
        <v>184</v>
      </c>
      <c r="J1953" s="18" t="s">
        <v>2953</v>
      </c>
      <c r="K1953" s="18" t="s">
        <v>56</v>
      </c>
      <c r="L1953" s="18" t="s">
        <v>36</v>
      </c>
      <c r="N1953" s="18">
        <v>6</v>
      </c>
      <c r="O1953" s="18" t="s">
        <v>57</v>
      </c>
      <c r="P1953" s="18" t="s">
        <v>38</v>
      </c>
      <c r="Q1953" s="18" t="s">
        <v>194</v>
      </c>
      <c r="R1953" s="18" t="s">
        <v>59</v>
      </c>
      <c r="S1953" s="18" t="s">
        <v>195</v>
      </c>
      <c r="T1953" s="18" t="b">
        <v>0</v>
      </c>
      <c r="U1953" s="18" t="s">
        <v>187</v>
      </c>
      <c r="V1953" s="18" t="s">
        <v>40</v>
      </c>
      <c r="W1953" s="18" t="s">
        <v>347</v>
      </c>
      <c r="X1953" s="18" t="s">
        <v>348</v>
      </c>
      <c r="Y1953" s="18">
        <v>1</v>
      </c>
      <c r="Z1953" s="18">
        <v>16000</v>
      </c>
      <c r="AA1953" s="18" t="s">
        <v>4013</v>
      </c>
      <c r="AB1953" s="18" t="s">
        <v>2112</v>
      </c>
      <c r="AC1953" s="18" t="e">
        <v>#N/A</v>
      </c>
    </row>
    <row r="1954" s="18" customFormat="1" ht="43.5" spans="1:29">
      <c r="A1954" s="18" t="s">
        <v>4023</v>
      </c>
      <c r="B1954" s="25" t="s">
        <v>4023</v>
      </c>
      <c r="C1954" s="26">
        <v>45712</v>
      </c>
      <c r="D1954" s="18" t="s">
        <v>264</v>
      </c>
      <c r="E1954" s="18" t="str">
        <f t="shared" si="30"/>
        <v>The Indian Performing Right Society Ltd.</v>
      </c>
      <c r="F1954" s="27" t="e">
        <v>#N/A</v>
      </c>
      <c r="G1954" s="18" t="s">
        <v>182</v>
      </c>
      <c r="H1954" s="18" t="s">
        <v>183</v>
      </c>
      <c r="I1954" s="18" t="s">
        <v>184</v>
      </c>
      <c r="J1954" s="18" t="s">
        <v>1238</v>
      </c>
      <c r="K1954" s="18" t="s">
        <v>56</v>
      </c>
      <c r="L1954" s="18" t="s">
        <v>36</v>
      </c>
      <c r="N1954" s="18">
        <v>6</v>
      </c>
      <c r="O1954" s="18" t="s">
        <v>57</v>
      </c>
      <c r="P1954" s="18" t="s">
        <v>38</v>
      </c>
      <c r="Q1954" s="18" t="s">
        <v>58</v>
      </c>
      <c r="R1954" s="18" t="s">
        <v>59</v>
      </c>
      <c r="S1954" s="18" t="s">
        <v>60</v>
      </c>
      <c r="T1954" s="18" t="b">
        <v>0</v>
      </c>
      <c r="U1954" s="18" t="s">
        <v>187</v>
      </c>
      <c r="V1954" s="18" t="s">
        <v>40</v>
      </c>
      <c r="W1954" s="18" t="s">
        <v>256</v>
      </c>
      <c r="X1954" s="18" t="s">
        <v>257</v>
      </c>
      <c r="Y1954" s="18">
        <v>1</v>
      </c>
      <c r="Z1954" s="18">
        <v>30000</v>
      </c>
      <c r="AA1954" s="31" t="s">
        <v>2834</v>
      </c>
      <c r="AB1954" s="18" t="s">
        <v>259</v>
      </c>
      <c r="AC1954" s="18" t="s">
        <v>200</v>
      </c>
    </row>
    <row r="1955" s="18" customFormat="1" ht="43.5" spans="1:29">
      <c r="A1955" s="18" t="s">
        <v>4024</v>
      </c>
      <c r="B1955" s="25" t="s">
        <v>4024</v>
      </c>
      <c r="C1955" s="26">
        <v>45712</v>
      </c>
      <c r="D1955" s="18" t="s">
        <v>255</v>
      </c>
      <c r="E1955" s="18" t="str">
        <f t="shared" si="30"/>
        <v>Phonographic Performance Limited</v>
      </c>
      <c r="F1955" s="27" t="e">
        <v>#N/A</v>
      </c>
      <c r="G1955" s="18" t="s">
        <v>182</v>
      </c>
      <c r="H1955" s="18" t="s">
        <v>183</v>
      </c>
      <c r="I1955" s="18" t="s">
        <v>184</v>
      </c>
      <c r="J1955" s="18" t="s">
        <v>1238</v>
      </c>
      <c r="K1955" s="18" t="s">
        <v>56</v>
      </c>
      <c r="L1955" s="18" t="s">
        <v>36</v>
      </c>
      <c r="N1955" s="18">
        <v>6</v>
      </c>
      <c r="O1955" s="18" t="s">
        <v>88</v>
      </c>
      <c r="P1955" s="18" t="s">
        <v>38</v>
      </c>
      <c r="Q1955" s="18" t="s">
        <v>58</v>
      </c>
      <c r="R1955" s="18" t="s">
        <v>59</v>
      </c>
      <c r="S1955" s="18" t="s">
        <v>60</v>
      </c>
      <c r="T1955" s="18" t="b">
        <v>0</v>
      </c>
      <c r="U1955" s="18" t="s">
        <v>187</v>
      </c>
      <c r="V1955" s="18" t="s">
        <v>40</v>
      </c>
      <c r="W1955" s="18" t="s">
        <v>256</v>
      </c>
      <c r="X1955" s="18" t="s">
        <v>257</v>
      </c>
      <c r="Y1955" s="18">
        <v>1</v>
      </c>
      <c r="Z1955" s="18">
        <v>69375</v>
      </c>
      <c r="AA1955" s="31" t="s">
        <v>2834</v>
      </c>
      <c r="AB1955" s="18" t="s">
        <v>259</v>
      </c>
      <c r="AC1955" s="18" t="s">
        <v>200</v>
      </c>
    </row>
    <row r="1956" s="18" customFormat="1" ht="43.5" spans="1:29">
      <c r="A1956" s="18" t="s">
        <v>4025</v>
      </c>
      <c r="B1956" s="25" t="s">
        <v>4025</v>
      </c>
      <c r="C1956" s="26">
        <v>45712</v>
      </c>
      <c r="D1956" s="18" t="s">
        <v>261</v>
      </c>
      <c r="E1956" s="18" t="str">
        <f t="shared" si="30"/>
        <v>Novex Communications Pvt. Ltd.</v>
      </c>
      <c r="F1956" s="27" t="e">
        <v>#N/A</v>
      </c>
      <c r="G1956" s="18" t="s">
        <v>182</v>
      </c>
      <c r="H1956" s="18" t="s">
        <v>183</v>
      </c>
      <c r="I1956" s="18" t="s">
        <v>184</v>
      </c>
      <c r="J1956" s="18" t="s">
        <v>1238</v>
      </c>
      <c r="K1956" s="18" t="s">
        <v>56</v>
      </c>
      <c r="L1956" s="18" t="s">
        <v>36</v>
      </c>
      <c r="N1956" s="18">
        <v>6</v>
      </c>
      <c r="O1956" s="18" t="s">
        <v>88</v>
      </c>
      <c r="P1956" s="18" t="s">
        <v>38</v>
      </c>
      <c r="Q1956" s="18" t="s">
        <v>58</v>
      </c>
      <c r="R1956" s="18" t="s">
        <v>59</v>
      </c>
      <c r="S1956" s="18" t="s">
        <v>60</v>
      </c>
      <c r="T1956" s="18" t="b">
        <v>0</v>
      </c>
      <c r="U1956" s="18" t="s">
        <v>187</v>
      </c>
      <c r="V1956" s="18" t="s">
        <v>40</v>
      </c>
      <c r="W1956" s="18" t="s">
        <v>256</v>
      </c>
      <c r="X1956" s="18" t="s">
        <v>257</v>
      </c>
      <c r="Y1956" s="18">
        <v>1</v>
      </c>
      <c r="Z1956" s="18">
        <v>60000</v>
      </c>
      <c r="AA1956" s="31" t="s">
        <v>2834</v>
      </c>
      <c r="AB1956" s="18" t="s">
        <v>259</v>
      </c>
      <c r="AC1956" s="18" t="s">
        <v>200</v>
      </c>
    </row>
    <row r="1957" s="18" customFormat="1" ht="43.5" spans="1:29">
      <c r="A1957" s="18" t="s">
        <v>4026</v>
      </c>
      <c r="B1957" s="25" t="s">
        <v>4026</v>
      </c>
      <c r="C1957" s="26">
        <v>45712</v>
      </c>
      <c r="D1957" s="18" t="s">
        <v>4027</v>
      </c>
      <c r="E1957" s="18" t="str">
        <f t="shared" si="30"/>
        <v>Wheel Deal</v>
      </c>
      <c r="F1957" s="27" t="s">
        <v>4028</v>
      </c>
      <c r="G1957" s="18" t="s">
        <v>182</v>
      </c>
      <c r="H1957" s="18" t="s">
        <v>183</v>
      </c>
      <c r="I1957" s="18" t="s">
        <v>184</v>
      </c>
      <c r="J1957" s="18" t="s">
        <v>2736</v>
      </c>
      <c r="K1957" s="18" t="s">
        <v>56</v>
      </c>
      <c r="L1957" s="18" t="s">
        <v>36</v>
      </c>
      <c r="N1957" s="18">
        <v>6</v>
      </c>
      <c r="O1957" s="18" t="s">
        <v>88</v>
      </c>
      <c r="P1957" s="18" t="s">
        <v>38</v>
      </c>
      <c r="Q1957" s="18" t="s">
        <v>194</v>
      </c>
      <c r="R1957" s="18" t="s">
        <v>59</v>
      </c>
      <c r="S1957" s="18" t="s">
        <v>195</v>
      </c>
      <c r="T1957" s="18" t="b">
        <v>0</v>
      </c>
      <c r="U1957" s="18" t="s">
        <v>187</v>
      </c>
      <c r="V1957" s="18" t="s">
        <v>40</v>
      </c>
      <c r="W1957" s="18" t="s">
        <v>119</v>
      </c>
      <c r="X1957" s="18" t="s">
        <v>120</v>
      </c>
      <c r="Y1957" s="18">
        <v>1</v>
      </c>
      <c r="Z1957" s="18">
        <v>186000</v>
      </c>
      <c r="AA1957" s="31" t="s">
        <v>3237</v>
      </c>
      <c r="AB1957" s="18" t="s">
        <v>798</v>
      </c>
      <c r="AC1957" s="18" t="e">
        <v>#N/A</v>
      </c>
    </row>
    <row r="1958" s="18" customFormat="1" spans="1:29">
      <c r="A1958" s="18" t="s">
        <v>4029</v>
      </c>
      <c r="B1958" s="25" t="s">
        <v>4029</v>
      </c>
      <c r="C1958" s="26">
        <v>45712</v>
      </c>
      <c r="D1958" s="18" t="s">
        <v>966</v>
      </c>
      <c r="E1958" s="18" t="str">
        <f t="shared" si="30"/>
        <v>Om Screen Art Events</v>
      </c>
      <c r="F1958" s="27" t="s">
        <v>967</v>
      </c>
      <c r="G1958" s="18" t="s">
        <v>182</v>
      </c>
      <c r="H1958" s="18" t="s">
        <v>183</v>
      </c>
      <c r="I1958" s="18" t="s">
        <v>184</v>
      </c>
      <c r="J1958" s="18" t="s">
        <v>3123</v>
      </c>
      <c r="K1958" s="18" t="s">
        <v>56</v>
      </c>
      <c r="L1958" s="18" t="s">
        <v>36</v>
      </c>
      <c r="N1958" s="18">
        <v>6</v>
      </c>
      <c r="O1958" s="18" t="s">
        <v>88</v>
      </c>
      <c r="P1958" s="18" t="s">
        <v>38</v>
      </c>
      <c r="Q1958" s="18" t="s">
        <v>194</v>
      </c>
      <c r="R1958" s="18" t="s">
        <v>59</v>
      </c>
      <c r="S1958" s="18" t="s">
        <v>195</v>
      </c>
      <c r="T1958" s="18" t="b">
        <v>0</v>
      </c>
      <c r="U1958" s="18" t="s">
        <v>187</v>
      </c>
      <c r="V1958" s="18" t="s">
        <v>40</v>
      </c>
      <c r="W1958" s="18" t="s">
        <v>151</v>
      </c>
      <c r="X1958" s="18" t="s">
        <v>152</v>
      </c>
      <c r="Y1958" s="18">
        <v>1</v>
      </c>
      <c r="Z1958" s="18">
        <v>100000</v>
      </c>
      <c r="AA1958" s="18" t="s">
        <v>3433</v>
      </c>
      <c r="AB1958" s="18" t="s">
        <v>1944</v>
      </c>
      <c r="AC1958" s="18" t="s">
        <v>200</v>
      </c>
    </row>
    <row r="1959" s="18" customFormat="1" spans="1:29">
      <c r="A1959" s="18" t="s">
        <v>4030</v>
      </c>
      <c r="B1959" s="25" t="s">
        <v>4030</v>
      </c>
      <c r="C1959" s="26">
        <v>45712</v>
      </c>
      <c r="D1959" s="18" t="s">
        <v>1941</v>
      </c>
      <c r="E1959" s="18" t="str">
        <f t="shared" si="30"/>
        <v>Woodcraft Production</v>
      </c>
      <c r="F1959" s="27" t="s">
        <v>1942</v>
      </c>
      <c r="G1959" s="18" t="s">
        <v>182</v>
      </c>
      <c r="H1959" s="18" t="s">
        <v>183</v>
      </c>
      <c r="I1959" s="18" t="s">
        <v>184</v>
      </c>
      <c r="J1959" s="18" t="s">
        <v>3123</v>
      </c>
      <c r="K1959" s="18" t="s">
        <v>56</v>
      </c>
      <c r="L1959" s="18" t="s">
        <v>36</v>
      </c>
      <c r="N1959" s="18">
        <v>6</v>
      </c>
      <c r="O1959" s="18" t="s">
        <v>88</v>
      </c>
      <c r="P1959" s="18" t="s">
        <v>38</v>
      </c>
      <c r="Q1959" s="18" t="s">
        <v>194</v>
      </c>
      <c r="R1959" s="18" t="s">
        <v>59</v>
      </c>
      <c r="S1959" s="18" t="s">
        <v>195</v>
      </c>
      <c r="T1959" s="18" t="b">
        <v>0</v>
      </c>
      <c r="U1959" s="18" t="s">
        <v>187</v>
      </c>
      <c r="V1959" s="18" t="s">
        <v>40</v>
      </c>
      <c r="W1959" s="18" t="s">
        <v>151</v>
      </c>
      <c r="X1959" s="18" t="s">
        <v>152</v>
      </c>
      <c r="Y1959" s="18">
        <v>1</v>
      </c>
      <c r="Z1959" s="18">
        <v>263000</v>
      </c>
      <c r="AA1959" s="18" t="s">
        <v>3433</v>
      </c>
      <c r="AB1959" s="18" t="s">
        <v>1944</v>
      </c>
      <c r="AC1959" s="18" t="s">
        <v>200</v>
      </c>
    </row>
    <row r="1960" s="18" customFormat="1" spans="1:29">
      <c r="A1960" s="18" t="s">
        <v>4031</v>
      </c>
      <c r="B1960" s="25" t="s">
        <v>4031</v>
      </c>
      <c r="C1960" s="26">
        <v>45712</v>
      </c>
      <c r="D1960" s="18" t="s">
        <v>1650</v>
      </c>
      <c r="E1960" s="18" t="str">
        <f t="shared" si="30"/>
        <v>A A Fur1044835 Neetu Prakash Poojaryre(Abbas Abdul Hussain Ujjainwala)</v>
      </c>
      <c r="F1960" s="27" t="s">
        <v>1651</v>
      </c>
      <c r="G1960" s="18" t="s">
        <v>182</v>
      </c>
      <c r="H1960" s="18" t="s">
        <v>183</v>
      </c>
      <c r="I1960" s="18" t="s">
        <v>184</v>
      </c>
      <c r="J1960" s="18" t="s">
        <v>3123</v>
      </c>
      <c r="K1960" s="18" t="s">
        <v>56</v>
      </c>
      <c r="L1960" s="18" t="s">
        <v>36</v>
      </c>
      <c r="N1960" s="18">
        <v>6</v>
      </c>
      <c r="O1960" s="18" t="s">
        <v>57</v>
      </c>
      <c r="P1960" s="18" t="s">
        <v>38</v>
      </c>
      <c r="Q1960" s="18" t="s">
        <v>194</v>
      </c>
      <c r="R1960" s="18" t="s">
        <v>59</v>
      </c>
      <c r="S1960" s="18" t="s">
        <v>195</v>
      </c>
      <c r="T1960" s="18" t="b">
        <v>0</v>
      </c>
      <c r="U1960" s="18" t="s">
        <v>187</v>
      </c>
      <c r="V1960" s="18" t="s">
        <v>40</v>
      </c>
      <c r="W1960" s="18" t="s">
        <v>151</v>
      </c>
      <c r="X1960" s="18" t="s">
        <v>152</v>
      </c>
      <c r="Y1960" s="18">
        <v>1</v>
      </c>
      <c r="Z1960" s="18">
        <v>42800</v>
      </c>
      <c r="AA1960" s="18" t="s">
        <v>3433</v>
      </c>
      <c r="AB1960" s="18" t="s">
        <v>1944</v>
      </c>
      <c r="AC1960" s="18" t="s">
        <v>200</v>
      </c>
    </row>
    <row r="1961" s="18" customFormat="1" spans="1:29">
      <c r="A1961" s="18" t="s">
        <v>4032</v>
      </c>
      <c r="B1961" s="25" t="s">
        <v>4032</v>
      </c>
      <c r="C1961" s="26">
        <v>45712</v>
      </c>
      <c r="D1961" s="18" t="s">
        <v>268</v>
      </c>
      <c r="E1961" s="18" t="str">
        <f t="shared" si="30"/>
        <v>Rentastic</v>
      </c>
      <c r="F1961" s="27" t="e">
        <v>#N/A</v>
      </c>
      <c r="G1961" s="18" t="s">
        <v>182</v>
      </c>
      <c r="H1961" s="18" t="s">
        <v>183</v>
      </c>
      <c r="I1961" s="18" t="s">
        <v>184</v>
      </c>
      <c r="J1961" s="18" t="s">
        <v>3123</v>
      </c>
      <c r="K1961" s="18" t="s">
        <v>56</v>
      </c>
      <c r="L1961" s="18" t="s">
        <v>36</v>
      </c>
      <c r="N1961" s="18">
        <v>6</v>
      </c>
      <c r="O1961" s="18" t="s">
        <v>88</v>
      </c>
      <c r="P1961" s="18" t="s">
        <v>38</v>
      </c>
      <c r="Q1961" s="18" t="s">
        <v>194</v>
      </c>
      <c r="R1961" s="18" t="s">
        <v>59</v>
      </c>
      <c r="S1961" s="18" t="s">
        <v>195</v>
      </c>
      <c r="T1961" s="18" t="b">
        <v>0</v>
      </c>
      <c r="U1961" s="18" t="s">
        <v>187</v>
      </c>
      <c r="V1961" s="18" t="s">
        <v>40</v>
      </c>
      <c r="W1961" s="18" t="s">
        <v>151</v>
      </c>
      <c r="X1961" s="18" t="s">
        <v>152</v>
      </c>
      <c r="Y1961" s="18">
        <v>1</v>
      </c>
      <c r="Z1961" s="18">
        <v>14550</v>
      </c>
      <c r="AA1961" s="18" t="s">
        <v>3433</v>
      </c>
      <c r="AB1961" s="18" t="s">
        <v>1944</v>
      </c>
      <c r="AC1961" s="18" t="s">
        <v>200</v>
      </c>
    </row>
    <row r="1962" s="18" customFormat="1" spans="1:29">
      <c r="A1962" s="18" t="s">
        <v>4033</v>
      </c>
      <c r="B1962" s="25" t="s">
        <v>4033</v>
      </c>
      <c r="C1962" s="26">
        <v>45712</v>
      </c>
      <c r="D1962" s="18" t="s">
        <v>4034</v>
      </c>
      <c r="E1962" s="18" t="str">
        <f t="shared" si="30"/>
        <v>Celebrity Decorator (Ashok Dudhnath Chawan)</v>
      </c>
      <c r="F1962" s="27" t="s">
        <v>4035</v>
      </c>
      <c r="G1962" s="18" t="s">
        <v>182</v>
      </c>
      <c r="H1962" s="18" t="s">
        <v>183</v>
      </c>
      <c r="I1962" s="18" t="s">
        <v>184</v>
      </c>
      <c r="J1962" s="18" t="s">
        <v>3123</v>
      </c>
      <c r="K1962" s="18" t="s">
        <v>56</v>
      </c>
      <c r="L1962" s="18" t="s">
        <v>36</v>
      </c>
      <c r="N1962" s="18">
        <v>6</v>
      </c>
      <c r="O1962" s="18" t="s">
        <v>88</v>
      </c>
      <c r="P1962" s="18" t="s">
        <v>38</v>
      </c>
      <c r="Q1962" s="18" t="s">
        <v>194</v>
      </c>
      <c r="R1962" s="18" t="s">
        <v>59</v>
      </c>
      <c r="S1962" s="18" t="s">
        <v>195</v>
      </c>
      <c r="T1962" s="18" t="b">
        <v>0</v>
      </c>
      <c r="U1962" s="18" t="s">
        <v>187</v>
      </c>
      <c r="V1962" s="18" t="s">
        <v>40</v>
      </c>
      <c r="W1962" s="18" t="s">
        <v>151</v>
      </c>
      <c r="X1962" s="18" t="s">
        <v>152</v>
      </c>
      <c r="Y1962" s="18">
        <v>1</v>
      </c>
      <c r="Z1962" s="18">
        <v>28000</v>
      </c>
      <c r="AA1962" s="18" t="s">
        <v>3433</v>
      </c>
      <c r="AB1962" s="18" t="s">
        <v>1944</v>
      </c>
      <c r="AC1962" s="18" t="s">
        <v>200</v>
      </c>
    </row>
    <row r="1963" s="18" customFormat="1" spans="1:29">
      <c r="A1963" s="18" t="s">
        <v>4036</v>
      </c>
      <c r="B1963" s="25" t="s">
        <v>4036</v>
      </c>
      <c r="C1963" s="26">
        <v>45712</v>
      </c>
      <c r="D1963" s="18" t="s">
        <v>3435</v>
      </c>
      <c r="E1963" s="18" t="str">
        <f t="shared" si="30"/>
        <v>Global Production Services</v>
      </c>
      <c r="F1963" s="27" t="s">
        <v>3436</v>
      </c>
      <c r="G1963" s="18" t="s">
        <v>182</v>
      </c>
      <c r="H1963" s="18" t="s">
        <v>183</v>
      </c>
      <c r="I1963" s="18" t="s">
        <v>184</v>
      </c>
      <c r="J1963" s="18" t="s">
        <v>3123</v>
      </c>
      <c r="K1963" s="18" t="s">
        <v>56</v>
      </c>
      <c r="L1963" s="18" t="s">
        <v>36</v>
      </c>
      <c r="N1963" s="18">
        <v>6</v>
      </c>
      <c r="O1963" s="18" t="s">
        <v>88</v>
      </c>
      <c r="P1963" s="18" t="s">
        <v>38</v>
      </c>
      <c r="Q1963" s="18" t="s">
        <v>194</v>
      </c>
      <c r="R1963" s="18" t="s">
        <v>59</v>
      </c>
      <c r="S1963" s="18" t="s">
        <v>195</v>
      </c>
      <c r="T1963" s="18" t="b">
        <v>0</v>
      </c>
      <c r="U1963" s="18" t="s">
        <v>187</v>
      </c>
      <c r="V1963" s="18" t="s">
        <v>40</v>
      </c>
      <c r="W1963" s="18" t="s">
        <v>371</v>
      </c>
      <c r="X1963" s="18" t="s">
        <v>372</v>
      </c>
      <c r="Y1963" s="18">
        <v>1</v>
      </c>
      <c r="Z1963" s="18">
        <v>202500</v>
      </c>
      <c r="AA1963" s="18" t="s">
        <v>3433</v>
      </c>
      <c r="AB1963" s="18" t="s">
        <v>1944</v>
      </c>
      <c r="AC1963" s="18" t="s">
        <v>200</v>
      </c>
    </row>
    <row r="1964" s="18" customFormat="1" spans="1:29">
      <c r="A1964" s="18" t="s">
        <v>4037</v>
      </c>
      <c r="B1964" s="25" t="s">
        <v>4037</v>
      </c>
      <c r="C1964" s="26">
        <v>45712</v>
      </c>
      <c r="D1964" s="18" t="s">
        <v>974</v>
      </c>
      <c r="E1964" s="18" t="str">
        <f t="shared" si="30"/>
        <v>Shiv Shakti Enterprises</v>
      </c>
      <c r="F1964" s="27" t="s">
        <v>975</v>
      </c>
      <c r="G1964" s="18" t="s">
        <v>182</v>
      </c>
      <c r="H1964" s="18" t="s">
        <v>183</v>
      </c>
      <c r="I1964" s="18" t="s">
        <v>184</v>
      </c>
      <c r="J1964" s="18" t="s">
        <v>3123</v>
      </c>
      <c r="K1964" s="18" t="s">
        <v>56</v>
      </c>
      <c r="L1964" s="18" t="s">
        <v>36</v>
      </c>
      <c r="N1964" s="18">
        <v>6</v>
      </c>
      <c r="O1964" s="18" t="s">
        <v>57</v>
      </c>
      <c r="P1964" s="18" t="s">
        <v>38</v>
      </c>
      <c r="Q1964" s="18" t="s">
        <v>194</v>
      </c>
      <c r="R1964" s="18" t="s">
        <v>59</v>
      </c>
      <c r="S1964" s="18" t="s">
        <v>195</v>
      </c>
      <c r="T1964" s="18" t="b">
        <v>0</v>
      </c>
      <c r="U1964" s="18" t="s">
        <v>187</v>
      </c>
      <c r="V1964" s="18" t="s">
        <v>40</v>
      </c>
      <c r="W1964" s="18" t="s">
        <v>371</v>
      </c>
      <c r="X1964" s="18" t="s">
        <v>372</v>
      </c>
      <c r="Y1964" s="18">
        <v>1</v>
      </c>
      <c r="Z1964" s="18">
        <v>225000</v>
      </c>
      <c r="AA1964" s="18" t="s">
        <v>3433</v>
      </c>
      <c r="AB1964" s="18" t="s">
        <v>1944</v>
      </c>
      <c r="AC1964" s="18" t="s">
        <v>200</v>
      </c>
    </row>
    <row r="1965" s="18" customFormat="1" ht="43.5" spans="1:29">
      <c r="A1965" s="18" t="s">
        <v>4038</v>
      </c>
      <c r="B1965" s="25" t="s">
        <v>4038</v>
      </c>
      <c r="C1965" s="26">
        <v>45712</v>
      </c>
      <c r="D1965" s="18" t="s">
        <v>3580</v>
      </c>
      <c r="E1965" s="18" t="str">
        <f t="shared" si="30"/>
        <v>Om Audio Visual India</v>
      </c>
      <c r="F1965" s="27" t="e">
        <v>#N/A</v>
      </c>
      <c r="G1965" s="18" t="s">
        <v>182</v>
      </c>
      <c r="H1965" s="18" t="s">
        <v>183</v>
      </c>
      <c r="I1965" s="18" t="s">
        <v>184</v>
      </c>
      <c r="J1965" s="18" t="s">
        <v>3123</v>
      </c>
      <c r="K1965" s="18" t="s">
        <v>56</v>
      </c>
      <c r="L1965" s="18" t="s">
        <v>36</v>
      </c>
      <c r="N1965" s="18">
        <v>6</v>
      </c>
      <c r="O1965" s="18" t="s">
        <v>88</v>
      </c>
      <c r="P1965" s="18" t="s">
        <v>38</v>
      </c>
      <c r="Q1965" s="18" t="s">
        <v>194</v>
      </c>
      <c r="R1965" s="18" t="s">
        <v>59</v>
      </c>
      <c r="S1965" s="18" t="s">
        <v>195</v>
      </c>
      <c r="T1965" s="18" t="b">
        <v>0</v>
      </c>
      <c r="U1965" s="18" t="s">
        <v>187</v>
      </c>
      <c r="V1965" s="18" t="s">
        <v>40</v>
      </c>
      <c r="W1965" s="18" t="s">
        <v>371</v>
      </c>
      <c r="X1965" s="18" t="s">
        <v>372</v>
      </c>
      <c r="Y1965" s="18">
        <v>1</v>
      </c>
      <c r="Z1965" s="18">
        <v>200000</v>
      </c>
      <c r="AA1965" s="31" t="s">
        <v>2857</v>
      </c>
      <c r="AB1965" s="18" t="s">
        <v>1944</v>
      </c>
      <c r="AC1965" s="18" t="s">
        <v>200</v>
      </c>
    </row>
    <row r="1966" s="18" customFormat="1" spans="1:29">
      <c r="A1966" s="18" t="s">
        <v>4039</v>
      </c>
      <c r="B1966" s="25" t="s">
        <v>4039</v>
      </c>
      <c r="C1966" s="26">
        <v>45712</v>
      </c>
      <c r="D1966" s="18" t="s">
        <v>1957</v>
      </c>
      <c r="E1966" s="18" t="str">
        <f t="shared" si="30"/>
        <v>Bizzaro Event</v>
      </c>
      <c r="F1966" s="27" t="s">
        <v>1958</v>
      </c>
      <c r="G1966" s="18" t="s">
        <v>182</v>
      </c>
      <c r="H1966" s="18" t="s">
        <v>183</v>
      </c>
      <c r="I1966" s="18" t="s">
        <v>184</v>
      </c>
      <c r="J1966" s="18" t="s">
        <v>3123</v>
      </c>
      <c r="K1966" s="18" t="s">
        <v>56</v>
      </c>
      <c r="L1966" s="18" t="s">
        <v>36</v>
      </c>
      <c r="N1966" s="18">
        <v>6</v>
      </c>
      <c r="O1966" s="18" t="s">
        <v>88</v>
      </c>
      <c r="P1966" s="18" t="s">
        <v>38</v>
      </c>
      <c r="Q1966" s="18" t="s">
        <v>194</v>
      </c>
      <c r="R1966" s="18" t="s">
        <v>59</v>
      </c>
      <c r="S1966" s="18" t="s">
        <v>195</v>
      </c>
      <c r="T1966" s="18" t="b">
        <v>0</v>
      </c>
      <c r="U1966" s="18" t="s">
        <v>187</v>
      </c>
      <c r="V1966" s="18" t="s">
        <v>40</v>
      </c>
      <c r="W1966" s="18" t="s">
        <v>371</v>
      </c>
      <c r="X1966" s="18" t="s">
        <v>372</v>
      </c>
      <c r="Y1966" s="18">
        <v>1</v>
      </c>
      <c r="Z1966" s="18">
        <v>32000</v>
      </c>
      <c r="AA1966" s="18" t="s">
        <v>3433</v>
      </c>
      <c r="AB1966" s="18" t="s">
        <v>1944</v>
      </c>
      <c r="AC1966" s="18" t="s">
        <v>200</v>
      </c>
    </row>
    <row r="1967" s="18" customFormat="1" spans="1:29">
      <c r="A1967" s="18" t="s">
        <v>4040</v>
      </c>
      <c r="B1967" s="25" t="s">
        <v>4040</v>
      </c>
      <c r="C1967" s="26">
        <v>45712</v>
      </c>
      <c r="D1967" s="18" t="s">
        <v>884</v>
      </c>
      <c r="E1967" s="18" t="str">
        <f t="shared" si="30"/>
        <v>Vinit Video Vision</v>
      </c>
      <c r="F1967" s="27" t="s">
        <v>885</v>
      </c>
      <c r="G1967" s="18" t="s">
        <v>182</v>
      </c>
      <c r="H1967" s="18" t="s">
        <v>183</v>
      </c>
      <c r="I1967" s="18" t="s">
        <v>184</v>
      </c>
      <c r="J1967" s="18" t="s">
        <v>3123</v>
      </c>
      <c r="K1967" s="18" t="s">
        <v>56</v>
      </c>
      <c r="L1967" s="18" t="s">
        <v>36</v>
      </c>
      <c r="N1967" s="18">
        <v>6</v>
      </c>
      <c r="O1967" s="18" t="s">
        <v>57</v>
      </c>
      <c r="P1967" s="18" t="s">
        <v>38</v>
      </c>
      <c r="Q1967" s="18" t="s">
        <v>194</v>
      </c>
      <c r="R1967" s="18" t="s">
        <v>59</v>
      </c>
      <c r="S1967" s="18" t="s">
        <v>195</v>
      </c>
      <c r="T1967" s="18" t="b">
        <v>0</v>
      </c>
      <c r="U1967" s="18" t="s">
        <v>187</v>
      </c>
      <c r="V1967" s="18" t="s">
        <v>40</v>
      </c>
      <c r="W1967" s="18" t="s">
        <v>401</v>
      </c>
      <c r="X1967" s="18" t="s">
        <v>402</v>
      </c>
      <c r="Y1967" s="18">
        <v>1</v>
      </c>
      <c r="Z1967" s="18">
        <v>26000</v>
      </c>
      <c r="AA1967" s="18" t="s">
        <v>3433</v>
      </c>
      <c r="AB1967" s="18" t="s">
        <v>1944</v>
      </c>
      <c r="AC1967" s="18" t="s">
        <v>200</v>
      </c>
    </row>
    <row r="1968" s="18" customFormat="1" spans="1:29">
      <c r="A1968" s="18" t="s">
        <v>4041</v>
      </c>
      <c r="B1968" s="25" t="s">
        <v>4041</v>
      </c>
      <c r="C1968" s="26">
        <v>45712</v>
      </c>
      <c r="D1968" s="18" t="s">
        <v>2845</v>
      </c>
      <c r="E1968" s="18" t="str">
        <f t="shared" si="30"/>
        <v>Sudesh Patankar</v>
      </c>
      <c r="F1968" s="27" t="s">
        <v>2846</v>
      </c>
      <c r="G1968" s="18" t="s">
        <v>182</v>
      </c>
      <c r="H1968" s="18" t="s">
        <v>183</v>
      </c>
      <c r="I1968" s="18" t="s">
        <v>184</v>
      </c>
      <c r="J1968" s="18" t="s">
        <v>3123</v>
      </c>
      <c r="K1968" s="18" t="s">
        <v>56</v>
      </c>
      <c r="L1968" s="18" t="s">
        <v>36</v>
      </c>
      <c r="N1968" s="18">
        <v>6</v>
      </c>
      <c r="O1968" s="18" t="s">
        <v>57</v>
      </c>
      <c r="P1968" s="18" t="s">
        <v>38</v>
      </c>
      <c r="Q1968" s="18" t="s">
        <v>194</v>
      </c>
      <c r="R1968" s="18" t="s">
        <v>59</v>
      </c>
      <c r="S1968" s="18" t="s">
        <v>195</v>
      </c>
      <c r="T1968" s="18" t="b">
        <v>0</v>
      </c>
      <c r="U1968" s="18" t="s">
        <v>187</v>
      </c>
      <c r="V1968" s="18" t="s">
        <v>40</v>
      </c>
      <c r="W1968" s="18" t="s">
        <v>371</v>
      </c>
      <c r="X1968" s="18" t="s">
        <v>372</v>
      </c>
      <c r="Y1968" s="18">
        <v>1</v>
      </c>
      <c r="Z1968" s="18">
        <v>15000</v>
      </c>
      <c r="AA1968" s="18" t="s">
        <v>3433</v>
      </c>
      <c r="AB1968" s="18" t="s">
        <v>1944</v>
      </c>
      <c r="AC1968" s="18" t="e">
        <v>#N/A</v>
      </c>
    </row>
    <row r="1969" s="18" customFormat="1" spans="1:29">
      <c r="A1969" s="18" t="s">
        <v>4042</v>
      </c>
      <c r="B1969" s="25" t="s">
        <v>4042</v>
      </c>
      <c r="C1969" s="26">
        <v>45712</v>
      </c>
      <c r="D1969" s="18" t="s">
        <v>3838</v>
      </c>
      <c r="E1969" s="18" t="str">
        <f t="shared" si="30"/>
        <v>A S Teleprompters</v>
      </c>
      <c r="F1969" s="27" t="s">
        <v>3839</v>
      </c>
      <c r="G1969" s="18" t="s">
        <v>182</v>
      </c>
      <c r="H1969" s="18" t="s">
        <v>183</v>
      </c>
      <c r="I1969" s="18" t="s">
        <v>184</v>
      </c>
      <c r="J1969" s="18" t="s">
        <v>3123</v>
      </c>
      <c r="K1969" s="18" t="s">
        <v>56</v>
      </c>
      <c r="L1969" s="18" t="s">
        <v>36</v>
      </c>
      <c r="N1969" s="18">
        <v>6</v>
      </c>
      <c r="O1969" s="18" t="s">
        <v>57</v>
      </c>
      <c r="P1969" s="18" t="s">
        <v>38</v>
      </c>
      <c r="Q1969" s="18" t="s">
        <v>194</v>
      </c>
      <c r="R1969" s="18" t="s">
        <v>59</v>
      </c>
      <c r="S1969" s="18" t="s">
        <v>195</v>
      </c>
      <c r="T1969" s="18" t="b">
        <v>0</v>
      </c>
      <c r="U1969" s="18" t="s">
        <v>187</v>
      </c>
      <c r="V1969" s="18" t="s">
        <v>40</v>
      </c>
      <c r="W1969" s="18" t="s">
        <v>371</v>
      </c>
      <c r="X1969" s="18" t="s">
        <v>372</v>
      </c>
      <c r="Y1969" s="18">
        <v>1</v>
      </c>
      <c r="Z1969" s="18">
        <v>22500</v>
      </c>
      <c r="AA1969" s="18" t="s">
        <v>3433</v>
      </c>
      <c r="AB1969" s="18" t="s">
        <v>1944</v>
      </c>
      <c r="AC1969" s="18" t="s">
        <v>200</v>
      </c>
    </row>
    <row r="1970" s="18" customFormat="1" spans="1:29">
      <c r="A1970" s="18" t="s">
        <v>4043</v>
      </c>
      <c r="B1970" s="25" t="s">
        <v>4043</v>
      </c>
      <c r="C1970" s="26">
        <v>45712</v>
      </c>
      <c r="D1970" s="18" t="s">
        <v>4044</v>
      </c>
      <c r="E1970" s="18" t="str">
        <f t="shared" si="30"/>
        <v>Aditya Sawant Photography</v>
      </c>
      <c r="F1970" s="27" t="s">
        <v>4045</v>
      </c>
      <c r="G1970" s="18" t="s">
        <v>182</v>
      </c>
      <c r="H1970" s="18" t="s">
        <v>183</v>
      </c>
      <c r="I1970" s="18" t="s">
        <v>184</v>
      </c>
      <c r="J1970" s="18" t="s">
        <v>3123</v>
      </c>
      <c r="K1970" s="18" t="s">
        <v>56</v>
      </c>
      <c r="L1970" s="18" t="s">
        <v>36</v>
      </c>
      <c r="N1970" s="18">
        <v>6</v>
      </c>
      <c r="O1970" s="18" t="s">
        <v>57</v>
      </c>
      <c r="P1970" s="18" t="s">
        <v>38</v>
      </c>
      <c r="Q1970" s="18" t="s">
        <v>194</v>
      </c>
      <c r="R1970" s="18" t="s">
        <v>59</v>
      </c>
      <c r="S1970" s="18" t="s">
        <v>195</v>
      </c>
      <c r="T1970" s="18" t="b">
        <v>0</v>
      </c>
      <c r="U1970" s="18" t="s">
        <v>187</v>
      </c>
      <c r="V1970" s="18" t="s">
        <v>40</v>
      </c>
      <c r="W1970" s="18" t="s">
        <v>292</v>
      </c>
      <c r="X1970" s="18" t="s">
        <v>293</v>
      </c>
      <c r="Y1970" s="18">
        <v>1</v>
      </c>
      <c r="Z1970" s="18">
        <v>2000</v>
      </c>
      <c r="AA1970" s="18" t="s">
        <v>3433</v>
      </c>
      <c r="AB1970" s="18" t="s">
        <v>1944</v>
      </c>
      <c r="AC1970" s="18" t="e">
        <v>#N/A</v>
      </c>
    </row>
    <row r="1971" s="18" customFormat="1" spans="1:29">
      <c r="A1971" s="18" t="s">
        <v>4046</v>
      </c>
      <c r="B1971" s="25" t="s">
        <v>4046</v>
      </c>
      <c r="C1971" s="26">
        <v>45712</v>
      </c>
      <c r="D1971" s="18" t="s">
        <v>1981</v>
      </c>
      <c r="E1971" s="18" t="str">
        <f t="shared" si="30"/>
        <v>Oriana Communications</v>
      </c>
      <c r="F1971" s="27" t="s">
        <v>1982</v>
      </c>
      <c r="G1971" s="18" t="s">
        <v>182</v>
      </c>
      <c r="H1971" s="18" t="s">
        <v>183</v>
      </c>
      <c r="I1971" s="18" t="s">
        <v>184</v>
      </c>
      <c r="J1971" s="18" t="s">
        <v>3123</v>
      </c>
      <c r="K1971" s="18" t="s">
        <v>56</v>
      </c>
      <c r="L1971" s="18" t="s">
        <v>36</v>
      </c>
      <c r="N1971" s="18">
        <v>6</v>
      </c>
      <c r="O1971" s="18" t="s">
        <v>57</v>
      </c>
      <c r="P1971" s="18" t="s">
        <v>38</v>
      </c>
      <c r="Q1971" s="18" t="s">
        <v>194</v>
      </c>
      <c r="R1971" s="18" t="s">
        <v>59</v>
      </c>
      <c r="S1971" s="18" t="s">
        <v>195</v>
      </c>
      <c r="T1971" s="18" t="b">
        <v>0</v>
      </c>
      <c r="U1971" s="18" t="s">
        <v>187</v>
      </c>
      <c r="V1971" s="18" t="s">
        <v>40</v>
      </c>
      <c r="W1971" s="18" t="s">
        <v>371</v>
      </c>
      <c r="X1971" s="18" t="s">
        <v>372</v>
      </c>
      <c r="Y1971" s="18">
        <v>1</v>
      </c>
      <c r="Z1971" s="18">
        <v>6500</v>
      </c>
      <c r="AA1971" s="18" t="s">
        <v>3433</v>
      </c>
      <c r="AB1971" s="18" t="s">
        <v>1944</v>
      </c>
      <c r="AC1971" s="18" t="s">
        <v>200</v>
      </c>
    </row>
    <row r="1972" s="18" customFormat="1" spans="1:29">
      <c r="A1972" s="18" t="s">
        <v>4047</v>
      </c>
      <c r="B1972" s="25" t="s">
        <v>4047</v>
      </c>
      <c r="C1972" s="26">
        <v>45712</v>
      </c>
      <c r="D1972" s="18" t="s">
        <v>1960</v>
      </c>
      <c r="E1972" s="18" t="str">
        <f t="shared" si="30"/>
        <v>Shree Vision</v>
      </c>
      <c r="F1972" s="27" t="s">
        <v>1961</v>
      </c>
      <c r="G1972" s="18" t="s">
        <v>182</v>
      </c>
      <c r="H1972" s="18" t="s">
        <v>183</v>
      </c>
      <c r="I1972" s="18" t="s">
        <v>184</v>
      </c>
      <c r="J1972" s="18" t="s">
        <v>3123</v>
      </c>
      <c r="K1972" s="18" t="s">
        <v>56</v>
      </c>
      <c r="L1972" s="18" t="s">
        <v>36</v>
      </c>
      <c r="N1972" s="18">
        <v>6</v>
      </c>
      <c r="O1972" s="18" t="s">
        <v>88</v>
      </c>
      <c r="P1972" s="18" t="s">
        <v>38</v>
      </c>
      <c r="Q1972" s="18" t="s">
        <v>194</v>
      </c>
      <c r="R1972" s="18" t="s">
        <v>59</v>
      </c>
      <c r="S1972" s="18" t="s">
        <v>195</v>
      </c>
      <c r="T1972" s="18" t="b">
        <v>0</v>
      </c>
      <c r="U1972" s="18" t="s">
        <v>187</v>
      </c>
      <c r="V1972" s="18" t="s">
        <v>40</v>
      </c>
      <c r="W1972" s="18" t="s">
        <v>990</v>
      </c>
      <c r="X1972" s="18" t="s">
        <v>991</v>
      </c>
      <c r="Y1972" s="18">
        <v>1</v>
      </c>
      <c r="Z1972" s="18">
        <v>6000</v>
      </c>
      <c r="AA1972" s="18" t="s">
        <v>3433</v>
      </c>
      <c r="AB1972" s="18" t="s">
        <v>1944</v>
      </c>
      <c r="AC1972" s="18" t="s">
        <v>200</v>
      </c>
    </row>
    <row r="1973" s="18" customFormat="1" spans="1:29">
      <c r="A1973" s="18" t="s">
        <v>4048</v>
      </c>
      <c r="B1973" s="25" t="s">
        <v>4048</v>
      </c>
      <c r="C1973" s="26">
        <v>45712</v>
      </c>
      <c r="D1973" s="18" t="s">
        <v>878</v>
      </c>
      <c r="E1973" s="18" t="str">
        <f t="shared" si="30"/>
        <v>Ultimate Source</v>
      </c>
      <c r="F1973" s="27" t="s">
        <v>879</v>
      </c>
      <c r="G1973" s="18" t="s">
        <v>182</v>
      </c>
      <c r="H1973" s="18" t="s">
        <v>183</v>
      </c>
      <c r="I1973" s="18" t="s">
        <v>184</v>
      </c>
      <c r="J1973" s="18" t="s">
        <v>3123</v>
      </c>
      <c r="K1973" s="18" t="s">
        <v>56</v>
      </c>
      <c r="L1973" s="18" t="s">
        <v>36</v>
      </c>
      <c r="N1973" s="18">
        <v>6</v>
      </c>
      <c r="O1973" s="18" t="s">
        <v>88</v>
      </c>
      <c r="P1973" s="18" t="s">
        <v>38</v>
      </c>
      <c r="Q1973" s="18" t="s">
        <v>194</v>
      </c>
      <c r="R1973" s="18" t="s">
        <v>59</v>
      </c>
      <c r="S1973" s="18" t="s">
        <v>195</v>
      </c>
      <c r="T1973" s="18" t="b">
        <v>0</v>
      </c>
      <c r="U1973" s="18" t="s">
        <v>187</v>
      </c>
      <c r="V1973" s="18" t="s">
        <v>40</v>
      </c>
      <c r="W1973" s="18" t="s">
        <v>371</v>
      </c>
      <c r="X1973" s="18" t="s">
        <v>372</v>
      </c>
      <c r="Y1973" s="18">
        <v>1</v>
      </c>
      <c r="Z1973" s="18">
        <v>20000</v>
      </c>
      <c r="AA1973" s="18" t="s">
        <v>3433</v>
      </c>
      <c r="AB1973" s="18" t="s">
        <v>1944</v>
      </c>
      <c r="AC1973" s="18" t="s">
        <v>200</v>
      </c>
    </row>
    <row r="1974" s="18" customFormat="1" ht="43.5" spans="1:29">
      <c r="A1974" s="18" t="s">
        <v>4049</v>
      </c>
      <c r="B1974" s="25" t="s">
        <v>4049</v>
      </c>
      <c r="C1974" s="26">
        <v>45712</v>
      </c>
      <c r="D1974" s="18" t="s">
        <v>4050</v>
      </c>
      <c r="E1974" s="18" t="str">
        <f t="shared" si="30"/>
        <v>The Westin Mumbai Powai Lake (Chalet Hotels Ltd)</v>
      </c>
      <c r="F1974" s="27" t="s">
        <v>4051</v>
      </c>
      <c r="G1974" s="18" t="s">
        <v>182</v>
      </c>
      <c r="H1974" s="18" t="s">
        <v>183</v>
      </c>
      <c r="I1974" s="18" t="s">
        <v>184</v>
      </c>
      <c r="J1974" s="18" t="s">
        <v>4052</v>
      </c>
      <c r="K1974" s="18" t="s">
        <v>56</v>
      </c>
      <c r="L1974" s="18" t="s">
        <v>36</v>
      </c>
      <c r="N1974" s="18">
        <v>6</v>
      </c>
      <c r="O1974" s="18" t="s">
        <v>57</v>
      </c>
      <c r="P1974" s="18" t="s">
        <v>38</v>
      </c>
      <c r="Q1974" s="18" t="s">
        <v>194</v>
      </c>
      <c r="R1974" s="18" t="s">
        <v>59</v>
      </c>
      <c r="S1974" s="18" t="s">
        <v>195</v>
      </c>
      <c r="T1974" s="18" t="b">
        <v>0</v>
      </c>
      <c r="U1974" s="18" t="s">
        <v>187</v>
      </c>
      <c r="V1974" s="18" t="s">
        <v>40</v>
      </c>
      <c r="W1974" s="18" t="s">
        <v>1176</v>
      </c>
      <c r="X1974" s="18" t="s">
        <v>1177</v>
      </c>
      <c r="Y1974" s="18">
        <v>1</v>
      </c>
      <c r="Z1974" s="18">
        <v>138275</v>
      </c>
      <c r="AA1974" s="31" t="s">
        <v>3261</v>
      </c>
      <c r="AB1974" s="18" t="s">
        <v>2343</v>
      </c>
      <c r="AC1974" s="18" t="s">
        <v>676</v>
      </c>
    </row>
    <row r="1975" s="18" customFormat="1" ht="43.5" spans="1:29">
      <c r="A1975" s="18" t="s">
        <v>4053</v>
      </c>
      <c r="B1975" s="25" t="s">
        <v>4053</v>
      </c>
      <c r="C1975" s="26">
        <v>45712</v>
      </c>
      <c r="D1975" s="18" t="s">
        <v>4054</v>
      </c>
      <c r="E1975" s="18" t="str">
        <f t="shared" si="30"/>
        <v>JW Marriott, Chandigarh (Lok Priya Buildwell Pvt Ltd)</v>
      </c>
      <c r="F1975" s="27" t="e">
        <v>#N/A</v>
      </c>
      <c r="G1975" s="18" t="s">
        <v>182</v>
      </c>
      <c r="H1975" s="18" t="s">
        <v>183</v>
      </c>
      <c r="I1975" s="18" t="s">
        <v>184</v>
      </c>
      <c r="J1975" s="18" t="s">
        <v>4055</v>
      </c>
      <c r="K1975" s="18" t="s">
        <v>56</v>
      </c>
      <c r="L1975" s="18" t="s">
        <v>36</v>
      </c>
      <c r="N1975" s="18">
        <v>6</v>
      </c>
      <c r="O1975" s="18" t="s">
        <v>57</v>
      </c>
      <c r="P1975" s="18" t="s">
        <v>38</v>
      </c>
      <c r="Q1975" s="18" t="s">
        <v>194</v>
      </c>
      <c r="R1975" s="18" t="s">
        <v>59</v>
      </c>
      <c r="S1975" s="18" t="s">
        <v>195</v>
      </c>
      <c r="T1975" s="18" t="b">
        <v>0</v>
      </c>
      <c r="U1975" s="18" t="s">
        <v>187</v>
      </c>
      <c r="V1975" s="18" t="s">
        <v>40</v>
      </c>
      <c r="W1975" s="18" t="s">
        <v>1176</v>
      </c>
      <c r="X1975" s="18" t="s">
        <v>1177</v>
      </c>
      <c r="Y1975" s="18">
        <v>1</v>
      </c>
      <c r="Z1975" s="18">
        <v>215000</v>
      </c>
      <c r="AA1975" s="31" t="s">
        <v>4056</v>
      </c>
      <c r="AB1975" s="18" t="s">
        <v>581</v>
      </c>
      <c r="AC1975" s="18" t="s">
        <v>764</v>
      </c>
    </row>
    <row r="1976" s="18" customFormat="1" ht="43.5" spans="1:29">
      <c r="A1976" s="18" t="s">
        <v>4057</v>
      </c>
      <c r="B1976" s="25" t="s">
        <v>4057</v>
      </c>
      <c r="C1976" s="26">
        <v>45712</v>
      </c>
      <c r="D1976" s="18" t="s">
        <v>268</v>
      </c>
      <c r="E1976" s="18" t="str">
        <f t="shared" si="30"/>
        <v>Rentastic</v>
      </c>
      <c r="F1976" s="27" t="e">
        <v>#N/A</v>
      </c>
      <c r="G1976" s="18" t="s">
        <v>182</v>
      </c>
      <c r="H1976" s="18" t="s">
        <v>183</v>
      </c>
      <c r="I1976" s="18" t="s">
        <v>184</v>
      </c>
      <c r="J1976" s="18" t="s">
        <v>3479</v>
      </c>
      <c r="K1976" s="18" t="s">
        <v>56</v>
      </c>
      <c r="L1976" s="18" t="s">
        <v>36</v>
      </c>
      <c r="N1976" s="18">
        <v>6</v>
      </c>
      <c r="O1976" s="18" t="s">
        <v>88</v>
      </c>
      <c r="P1976" s="18" t="s">
        <v>38</v>
      </c>
      <c r="Q1976" s="18" t="s">
        <v>194</v>
      </c>
      <c r="R1976" s="18" t="s">
        <v>59</v>
      </c>
      <c r="S1976" s="18" t="s">
        <v>195</v>
      </c>
      <c r="T1976" s="18" t="b">
        <v>0</v>
      </c>
      <c r="U1976" s="18" t="s">
        <v>187</v>
      </c>
      <c r="V1976" s="18" t="s">
        <v>40</v>
      </c>
      <c r="W1976" s="18" t="s">
        <v>151</v>
      </c>
      <c r="X1976" s="18" t="s">
        <v>152</v>
      </c>
      <c r="Y1976" s="18">
        <v>1</v>
      </c>
      <c r="Z1976" s="18">
        <v>7700</v>
      </c>
      <c r="AA1976" s="31" t="s">
        <v>2933</v>
      </c>
      <c r="AB1976" s="18" t="s">
        <v>1566</v>
      </c>
      <c r="AC1976" s="18" t="s">
        <v>200</v>
      </c>
    </row>
    <row r="1977" s="18" customFormat="1" ht="43.5" spans="1:29">
      <c r="A1977" s="18" t="s">
        <v>4058</v>
      </c>
      <c r="B1977" s="25" t="s">
        <v>4058</v>
      </c>
      <c r="C1977" s="26">
        <v>45713</v>
      </c>
      <c r="D1977" s="18" t="s">
        <v>635</v>
      </c>
      <c r="E1977" s="18" t="str">
        <f t="shared" si="30"/>
        <v>Ashik Mobile Generator</v>
      </c>
      <c r="F1977" s="27" t="s">
        <v>636</v>
      </c>
      <c r="G1977" s="18" t="s">
        <v>32</v>
      </c>
      <c r="H1977" s="18" t="s">
        <v>33</v>
      </c>
      <c r="I1977" s="18" t="s">
        <v>184</v>
      </c>
      <c r="J1977" s="18" t="s">
        <v>2319</v>
      </c>
      <c r="K1977" s="18" t="s">
        <v>56</v>
      </c>
      <c r="L1977" s="18" t="s">
        <v>36</v>
      </c>
      <c r="N1977" s="18">
        <v>6</v>
      </c>
      <c r="O1977" s="18" t="s">
        <v>88</v>
      </c>
      <c r="P1977" s="18" t="s">
        <v>38</v>
      </c>
      <c r="Q1977" s="18" t="s">
        <v>194</v>
      </c>
      <c r="R1977" s="18" t="s">
        <v>59</v>
      </c>
      <c r="S1977" s="18" t="s">
        <v>195</v>
      </c>
      <c r="T1977" s="18" t="b">
        <v>1</v>
      </c>
      <c r="U1977" s="18" t="s">
        <v>39</v>
      </c>
      <c r="V1977" s="18" t="s">
        <v>40</v>
      </c>
      <c r="W1977" s="18" t="s">
        <v>371</v>
      </c>
      <c r="X1977" s="18" t="s">
        <v>372</v>
      </c>
      <c r="Y1977" s="18">
        <v>1</v>
      </c>
      <c r="Z1977" s="18">
        <v>70200</v>
      </c>
      <c r="AA1977" s="31" t="s">
        <v>3102</v>
      </c>
      <c r="AB1977" s="18" t="s">
        <v>969</v>
      </c>
      <c r="AC1977" s="18" t="s">
        <v>43</v>
      </c>
    </row>
    <row r="1978" s="18" customFormat="1" spans="1:29">
      <c r="A1978" s="18" t="s">
        <v>4059</v>
      </c>
      <c r="B1978" s="25" t="s">
        <v>4059</v>
      </c>
      <c r="C1978" s="26">
        <v>45713</v>
      </c>
      <c r="D1978" s="18" t="s">
        <v>4060</v>
      </c>
      <c r="E1978" s="18" t="str">
        <f t="shared" si="30"/>
        <v>Sridevi Rao</v>
      </c>
      <c r="F1978" s="27" t="s">
        <v>4061</v>
      </c>
      <c r="G1978" s="18" t="s">
        <v>32</v>
      </c>
      <c r="H1978" s="18" t="s">
        <v>33</v>
      </c>
      <c r="I1978" s="18" t="s">
        <v>34</v>
      </c>
      <c r="J1978" s="18" t="s">
        <v>4062</v>
      </c>
      <c r="K1978" s="18" t="s">
        <v>56</v>
      </c>
      <c r="L1978" s="18" t="s">
        <v>36</v>
      </c>
      <c r="N1978" s="18">
        <v>6</v>
      </c>
      <c r="O1978" s="18" t="s">
        <v>57</v>
      </c>
      <c r="P1978" s="18" t="s">
        <v>38</v>
      </c>
      <c r="Q1978" s="18" t="s">
        <v>117</v>
      </c>
      <c r="R1978" s="18" t="s">
        <v>59</v>
      </c>
      <c r="S1978" s="18" t="s">
        <v>118</v>
      </c>
      <c r="T1978" s="18" t="b">
        <v>1</v>
      </c>
      <c r="U1978" s="18" t="s">
        <v>39</v>
      </c>
      <c r="V1978" s="18" t="s">
        <v>40</v>
      </c>
      <c r="W1978" s="18" t="s">
        <v>347</v>
      </c>
      <c r="X1978" s="18" t="s">
        <v>348</v>
      </c>
      <c r="Y1978" s="18">
        <v>1</v>
      </c>
      <c r="Z1978" s="18">
        <v>150000</v>
      </c>
      <c r="AA1978" s="18" t="s">
        <v>4063</v>
      </c>
      <c r="AB1978" s="18" t="s">
        <v>4064</v>
      </c>
      <c r="AC1978" s="18" t="s">
        <v>43</v>
      </c>
    </row>
    <row r="1979" s="18" customFormat="1" ht="43.5" spans="1:29">
      <c r="A1979" s="18" t="s">
        <v>4065</v>
      </c>
      <c r="B1979" s="25" t="s">
        <v>4065</v>
      </c>
      <c r="C1979" s="26">
        <v>45713</v>
      </c>
      <c r="D1979" s="18" t="s">
        <v>4066</v>
      </c>
      <c r="E1979" s="18" t="str">
        <f t="shared" si="30"/>
        <v>The Ritz</v>
      </c>
      <c r="F1979" s="27" t="e">
        <v>#N/A</v>
      </c>
      <c r="G1979" s="18" t="s">
        <v>32</v>
      </c>
      <c r="H1979" s="18" t="s">
        <v>33</v>
      </c>
      <c r="I1979" s="18" t="s">
        <v>184</v>
      </c>
      <c r="J1979" s="18" t="s">
        <v>4067</v>
      </c>
      <c r="K1979" s="18" t="s">
        <v>56</v>
      </c>
      <c r="L1979" s="18" t="s">
        <v>36</v>
      </c>
      <c r="N1979" s="18">
        <v>6</v>
      </c>
      <c r="O1979" s="18" t="s">
        <v>57</v>
      </c>
      <c r="P1979" s="18" t="s">
        <v>38</v>
      </c>
      <c r="Q1979" s="18" t="s">
        <v>117</v>
      </c>
      <c r="R1979" s="18" t="s">
        <v>59</v>
      </c>
      <c r="S1979" s="18" t="s">
        <v>118</v>
      </c>
      <c r="T1979" s="18" t="b">
        <v>1</v>
      </c>
      <c r="U1979" s="18" t="s">
        <v>39</v>
      </c>
      <c r="V1979" s="18" t="s">
        <v>40</v>
      </c>
      <c r="W1979" s="18" t="s">
        <v>276</v>
      </c>
      <c r="X1979" s="18" t="s">
        <v>276</v>
      </c>
      <c r="Y1979" s="18">
        <v>1</v>
      </c>
      <c r="Z1979" s="18">
        <v>249925</v>
      </c>
      <c r="AA1979" s="31" t="s">
        <v>3176</v>
      </c>
      <c r="AB1979" s="18" t="s">
        <v>1424</v>
      </c>
      <c r="AC1979" s="18" t="s">
        <v>43</v>
      </c>
    </row>
    <row r="1980" s="18" customFormat="1" spans="1:29">
      <c r="A1980" s="18" t="s">
        <v>4068</v>
      </c>
      <c r="B1980" s="25" t="s">
        <v>4068</v>
      </c>
      <c r="C1980" s="26">
        <v>45713</v>
      </c>
      <c r="D1980" s="18" t="s">
        <v>284</v>
      </c>
      <c r="E1980" s="18" t="str">
        <f t="shared" ref="E1980:E2043" si="31">_xlfn.TEXTBEFORE(D1980,"-")</f>
        <v>Abdul Rehman </v>
      </c>
      <c r="F1980" s="27" t="e">
        <v>#N/A</v>
      </c>
      <c r="G1980" s="18" t="s">
        <v>32</v>
      </c>
      <c r="H1980" s="18" t="s">
        <v>33</v>
      </c>
      <c r="I1980" s="18" t="s">
        <v>1246</v>
      </c>
      <c r="J1980" s="18" t="s">
        <v>2078</v>
      </c>
      <c r="K1980" s="18" t="s">
        <v>56</v>
      </c>
      <c r="L1980" s="18" t="s">
        <v>36</v>
      </c>
      <c r="N1980" s="18">
        <v>6</v>
      </c>
      <c r="O1980" s="18" t="s">
        <v>93</v>
      </c>
      <c r="P1980" s="18" t="s">
        <v>38</v>
      </c>
      <c r="Q1980" s="18" t="s">
        <v>194</v>
      </c>
      <c r="R1980" s="18" t="s">
        <v>59</v>
      </c>
      <c r="S1980" s="18" t="s">
        <v>195</v>
      </c>
      <c r="T1980" s="18" t="b">
        <v>1</v>
      </c>
      <c r="U1980" s="18" t="s">
        <v>39</v>
      </c>
      <c r="V1980" s="18" t="s">
        <v>40</v>
      </c>
      <c r="W1980" s="18" t="s">
        <v>196</v>
      </c>
      <c r="X1980" s="18" t="s">
        <v>197</v>
      </c>
      <c r="Y1980" s="18">
        <v>1</v>
      </c>
      <c r="Z1980" s="18">
        <v>7330</v>
      </c>
      <c r="AA1980" s="18" t="s">
        <v>286</v>
      </c>
      <c r="AB1980" s="18" t="s">
        <v>287</v>
      </c>
      <c r="AC1980" s="18" t="e">
        <v>#N/A</v>
      </c>
    </row>
    <row r="1981" s="18" customFormat="1" ht="29" spans="1:29">
      <c r="A1981" s="18" t="s">
        <v>4069</v>
      </c>
      <c r="B1981" s="25" t="s">
        <v>4069</v>
      </c>
      <c r="C1981" s="26">
        <v>45713</v>
      </c>
      <c r="D1981" s="31" t="s">
        <v>1327</v>
      </c>
      <c r="E1981" s="18" t="str">
        <f t="shared" si="31"/>
        <v>Thirtha Patil  </v>
      </c>
      <c r="F1981" s="27" t="e">
        <v>#N/A</v>
      </c>
      <c r="G1981" s="18" t="s">
        <v>32</v>
      </c>
      <c r="H1981" s="18" t="s">
        <v>33</v>
      </c>
      <c r="I1981" s="18" t="s">
        <v>133</v>
      </c>
      <c r="J1981" s="18" t="s">
        <v>115</v>
      </c>
      <c r="K1981" s="18" t="s">
        <v>56</v>
      </c>
      <c r="L1981" s="18" t="s">
        <v>36</v>
      </c>
      <c r="N1981" s="18">
        <v>6</v>
      </c>
      <c r="O1981" s="18" t="s">
        <v>93</v>
      </c>
      <c r="P1981" s="18" t="s">
        <v>38</v>
      </c>
      <c r="Q1981" s="18" t="s">
        <v>117</v>
      </c>
      <c r="R1981" s="18" t="s">
        <v>59</v>
      </c>
      <c r="S1981" s="18" t="s">
        <v>118</v>
      </c>
      <c r="T1981" s="18" t="b">
        <v>1</v>
      </c>
      <c r="U1981" s="18" t="s">
        <v>39</v>
      </c>
      <c r="V1981" s="18" t="s">
        <v>40</v>
      </c>
      <c r="W1981" s="18" t="s">
        <v>61</v>
      </c>
      <c r="X1981" s="18" t="s">
        <v>62</v>
      </c>
      <c r="Y1981" s="18">
        <v>1</v>
      </c>
      <c r="Z1981" s="18">
        <v>59280</v>
      </c>
      <c r="AA1981" s="18" t="s">
        <v>128</v>
      </c>
      <c r="AB1981" s="18" t="s">
        <v>129</v>
      </c>
      <c r="AC1981" s="18" t="e">
        <v>#N/A</v>
      </c>
    </row>
    <row r="1982" s="18" customFormat="1" spans="1:29">
      <c r="A1982" s="18" t="s">
        <v>4070</v>
      </c>
      <c r="B1982" s="25" t="s">
        <v>4070</v>
      </c>
      <c r="C1982" s="26">
        <v>45713</v>
      </c>
      <c r="D1982" s="18" t="s">
        <v>4071</v>
      </c>
      <c r="E1982" s="18" t="str">
        <f t="shared" si="31"/>
        <v>Pgm party links</v>
      </c>
      <c r="F1982" s="27" t="s">
        <v>4072</v>
      </c>
      <c r="G1982" s="18" t="s">
        <v>32</v>
      </c>
      <c r="H1982" s="18" t="s">
        <v>33</v>
      </c>
      <c r="I1982" s="18" t="s">
        <v>1246</v>
      </c>
      <c r="J1982" s="18" t="s">
        <v>2338</v>
      </c>
      <c r="K1982" s="18" t="s">
        <v>56</v>
      </c>
      <c r="L1982" s="18" t="s">
        <v>36</v>
      </c>
      <c r="N1982" s="18">
        <v>6</v>
      </c>
      <c r="O1982" s="18" t="s">
        <v>88</v>
      </c>
      <c r="P1982" s="18" t="s">
        <v>38</v>
      </c>
      <c r="Q1982" s="18" t="s">
        <v>117</v>
      </c>
      <c r="R1982" s="18" t="s">
        <v>59</v>
      </c>
      <c r="S1982" s="18" t="s">
        <v>118</v>
      </c>
      <c r="T1982" s="18" t="b">
        <v>1</v>
      </c>
      <c r="U1982" s="18" t="s">
        <v>39</v>
      </c>
      <c r="V1982" s="18" t="s">
        <v>40</v>
      </c>
      <c r="W1982" s="18" t="s">
        <v>151</v>
      </c>
      <c r="X1982" s="18" t="s">
        <v>152</v>
      </c>
      <c r="Y1982" s="18">
        <v>1</v>
      </c>
      <c r="Z1982" s="18">
        <v>63000</v>
      </c>
      <c r="AA1982" s="18" t="s">
        <v>622</v>
      </c>
      <c r="AB1982" s="18" t="s">
        <v>623</v>
      </c>
      <c r="AC1982" s="18" t="s">
        <v>43</v>
      </c>
    </row>
    <row r="1983" s="18" customFormat="1" spans="1:29">
      <c r="A1983" s="18" t="s">
        <v>4073</v>
      </c>
      <c r="B1983" s="25" t="s">
        <v>4073</v>
      </c>
      <c r="C1983" s="26">
        <v>45713</v>
      </c>
      <c r="D1983" s="18" t="s">
        <v>4074</v>
      </c>
      <c r="E1983" s="18" t="str">
        <f t="shared" si="31"/>
        <v>Umme Salma</v>
      </c>
      <c r="F1983" s="27" t="s">
        <v>4075</v>
      </c>
      <c r="G1983" s="18" t="s">
        <v>32</v>
      </c>
      <c r="H1983" s="18" t="s">
        <v>33</v>
      </c>
      <c r="I1983" s="18" t="s">
        <v>1246</v>
      </c>
      <c r="J1983" s="18" t="s">
        <v>4062</v>
      </c>
      <c r="K1983" s="18" t="s">
        <v>56</v>
      </c>
      <c r="L1983" s="18" t="s">
        <v>36</v>
      </c>
      <c r="N1983" s="18">
        <v>6</v>
      </c>
      <c r="O1983" s="18" t="s">
        <v>57</v>
      </c>
      <c r="P1983" s="18" t="s">
        <v>38</v>
      </c>
      <c r="Q1983" s="18" t="s">
        <v>117</v>
      </c>
      <c r="R1983" s="18" t="s">
        <v>59</v>
      </c>
      <c r="S1983" s="18" t="s">
        <v>118</v>
      </c>
      <c r="T1983" s="18" t="b">
        <v>1</v>
      </c>
      <c r="U1983" s="18" t="s">
        <v>39</v>
      </c>
      <c r="V1983" s="18" t="s">
        <v>40</v>
      </c>
      <c r="W1983" s="18" t="s">
        <v>250</v>
      </c>
      <c r="X1983" s="18" t="s">
        <v>251</v>
      </c>
      <c r="Y1983" s="18">
        <v>1</v>
      </c>
      <c r="Z1983" s="18">
        <v>30000</v>
      </c>
      <c r="AA1983" s="18" t="s">
        <v>4076</v>
      </c>
      <c r="AB1983" s="18" t="s">
        <v>1128</v>
      </c>
      <c r="AC1983" s="18" t="e">
        <v>#N/A</v>
      </c>
    </row>
    <row r="1984" s="18" customFormat="1" spans="1:29">
      <c r="A1984" s="18" t="s">
        <v>4077</v>
      </c>
      <c r="B1984" s="25" t="s">
        <v>4077</v>
      </c>
      <c r="C1984" s="26">
        <v>45713</v>
      </c>
      <c r="D1984" s="18" t="s">
        <v>1441</v>
      </c>
      <c r="E1984" s="18" t="str">
        <f t="shared" si="31"/>
        <v>Reverb Sound And Light Studio</v>
      </c>
      <c r="F1984" s="27" t="s">
        <v>1442</v>
      </c>
      <c r="G1984" s="18" t="s">
        <v>32</v>
      </c>
      <c r="H1984" s="18" t="s">
        <v>33</v>
      </c>
      <c r="I1984" s="18" t="s">
        <v>1246</v>
      </c>
      <c r="J1984" s="18" t="s">
        <v>2338</v>
      </c>
      <c r="K1984" s="18" t="s">
        <v>56</v>
      </c>
      <c r="L1984" s="18" t="s">
        <v>36</v>
      </c>
      <c r="N1984" s="18">
        <v>6</v>
      </c>
      <c r="O1984" s="18" t="s">
        <v>88</v>
      </c>
      <c r="P1984" s="18" t="s">
        <v>38</v>
      </c>
      <c r="Q1984" s="18" t="s">
        <v>117</v>
      </c>
      <c r="R1984" s="18" t="s">
        <v>59</v>
      </c>
      <c r="S1984" s="18" t="s">
        <v>118</v>
      </c>
      <c r="T1984" s="18" t="b">
        <v>1</v>
      </c>
      <c r="U1984" s="18" t="s">
        <v>39</v>
      </c>
      <c r="V1984" s="18" t="s">
        <v>40</v>
      </c>
      <c r="W1984" s="18" t="s">
        <v>371</v>
      </c>
      <c r="X1984" s="18" t="s">
        <v>372</v>
      </c>
      <c r="Y1984" s="18">
        <v>1</v>
      </c>
      <c r="Z1984" s="18">
        <v>85000</v>
      </c>
      <c r="AA1984" s="18" t="s">
        <v>622</v>
      </c>
      <c r="AB1984" s="18" t="s">
        <v>623</v>
      </c>
      <c r="AC1984" s="18" t="s">
        <v>43</v>
      </c>
    </row>
    <row r="1985" s="18" customFormat="1" spans="1:29">
      <c r="A1985" s="18" t="s">
        <v>4078</v>
      </c>
      <c r="B1985" s="25" t="s">
        <v>4078</v>
      </c>
      <c r="C1985" s="26">
        <v>45713</v>
      </c>
      <c r="D1985" s="18" t="s">
        <v>301</v>
      </c>
      <c r="E1985" s="18" t="str">
        <f t="shared" si="31"/>
        <v>Yash Gifts</v>
      </c>
      <c r="F1985" s="27" t="s">
        <v>302</v>
      </c>
      <c r="G1985" s="18" t="s">
        <v>32</v>
      </c>
      <c r="H1985" s="18" t="s">
        <v>33</v>
      </c>
      <c r="I1985" s="18" t="s">
        <v>1246</v>
      </c>
      <c r="J1985" s="18" t="s">
        <v>2338</v>
      </c>
      <c r="K1985" s="18" t="s">
        <v>56</v>
      </c>
      <c r="L1985" s="18" t="s">
        <v>36</v>
      </c>
      <c r="N1985" s="18">
        <v>6</v>
      </c>
      <c r="O1985" s="18" t="s">
        <v>88</v>
      </c>
      <c r="P1985" s="18" t="s">
        <v>38</v>
      </c>
      <c r="Q1985" s="18" t="s">
        <v>117</v>
      </c>
      <c r="R1985" s="18" t="s">
        <v>59</v>
      </c>
      <c r="S1985" s="18" t="s">
        <v>118</v>
      </c>
      <c r="T1985" s="18" t="b">
        <v>1</v>
      </c>
      <c r="U1985" s="18" t="s">
        <v>39</v>
      </c>
      <c r="V1985" s="18" t="s">
        <v>40</v>
      </c>
      <c r="W1985" s="18" t="s">
        <v>140</v>
      </c>
      <c r="X1985" s="18" t="s">
        <v>141</v>
      </c>
      <c r="Y1985" s="18">
        <v>1</v>
      </c>
      <c r="Z1985" s="18">
        <v>27250</v>
      </c>
      <c r="AA1985" s="18" t="s">
        <v>303</v>
      </c>
      <c r="AB1985" s="18" t="s">
        <v>282</v>
      </c>
      <c r="AC1985" s="18" t="s">
        <v>43</v>
      </c>
    </row>
    <row r="1986" s="18" customFormat="1" spans="1:29">
      <c r="A1986" s="18" t="s">
        <v>4079</v>
      </c>
      <c r="B1986" s="25" t="s">
        <v>4079</v>
      </c>
      <c r="C1986" s="26">
        <v>45713</v>
      </c>
      <c r="D1986" s="18" t="s">
        <v>628</v>
      </c>
      <c r="E1986" s="18" t="str">
        <f t="shared" si="31"/>
        <v>New Print House</v>
      </c>
      <c r="F1986" s="27" t="s">
        <v>629</v>
      </c>
      <c r="G1986" s="18" t="s">
        <v>32</v>
      </c>
      <c r="H1986" s="18" t="s">
        <v>33</v>
      </c>
      <c r="I1986" s="18" t="s">
        <v>1246</v>
      </c>
      <c r="J1986" s="18" t="s">
        <v>2338</v>
      </c>
      <c r="K1986" s="18" t="s">
        <v>56</v>
      </c>
      <c r="L1986" s="18" t="s">
        <v>36</v>
      </c>
      <c r="N1986" s="18">
        <v>6</v>
      </c>
      <c r="O1986" s="18" t="s">
        <v>88</v>
      </c>
      <c r="P1986" s="18" t="s">
        <v>38</v>
      </c>
      <c r="Q1986" s="18" t="s">
        <v>117</v>
      </c>
      <c r="R1986" s="18" t="s">
        <v>59</v>
      </c>
      <c r="S1986" s="18" t="s">
        <v>118</v>
      </c>
      <c r="T1986" s="18" t="b">
        <v>1</v>
      </c>
      <c r="U1986" s="18" t="s">
        <v>39</v>
      </c>
      <c r="V1986" s="18" t="s">
        <v>40</v>
      </c>
      <c r="W1986" s="18" t="s">
        <v>140</v>
      </c>
      <c r="X1986" s="18" t="s">
        <v>141</v>
      </c>
      <c r="Y1986" s="18">
        <v>1</v>
      </c>
      <c r="Z1986" s="18">
        <v>13750</v>
      </c>
      <c r="AA1986" s="18" t="s">
        <v>622</v>
      </c>
      <c r="AB1986" s="18" t="s">
        <v>623</v>
      </c>
      <c r="AC1986" s="18" t="s">
        <v>43</v>
      </c>
    </row>
    <row r="1987" s="18" customFormat="1" spans="1:29">
      <c r="A1987" s="18" t="s">
        <v>4080</v>
      </c>
      <c r="B1987" s="25" t="s">
        <v>4080</v>
      </c>
      <c r="C1987" s="26">
        <v>45713</v>
      </c>
      <c r="D1987" s="18" t="s">
        <v>2440</v>
      </c>
      <c r="E1987" s="18" t="str">
        <f t="shared" si="31"/>
        <v>Rea Studio</v>
      </c>
      <c r="F1987" s="27" t="s">
        <v>2441</v>
      </c>
      <c r="G1987" s="18" t="s">
        <v>32</v>
      </c>
      <c r="H1987" s="18" t="s">
        <v>33</v>
      </c>
      <c r="I1987" s="18" t="s">
        <v>1246</v>
      </c>
      <c r="J1987" s="18" t="s">
        <v>2338</v>
      </c>
      <c r="K1987" s="18" t="s">
        <v>56</v>
      </c>
      <c r="L1987" s="18" t="s">
        <v>36</v>
      </c>
      <c r="N1987" s="18">
        <v>6</v>
      </c>
      <c r="O1987" s="18" t="s">
        <v>57</v>
      </c>
      <c r="P1987" s="18" t="s">
        <v>38</v>
      </c>
      <c r="Q1987" s="18" t="s">
        <v>117</v>
      </c>
      <c r="R1987" s="18" t="s">
        <v>59</v>
      </c>
      <c r="S1987" s="18" t="s">
        <v>118</v>
      </c>
      <c r="T1987" s="18" t="b">
        <v>1</v>
      </c>
      <c r="U1987" s="18" t="s">
        <v>39</v>
      </c>
      <c r="V1987" s="18" t="s">
        <v>40</v>
      </c>
      <c r="W1987" s="18" t="s">
        <v>401</v>
      </c>
      <c r="X1987" s="18" t="s">
        <v>402</v>
      </c>
      <c r="Y1987" s="18">
        <v>1</v>
      </c>
      <c r="Z1987" s="18">
        <v>12000</v>
      </c>
      <c r="AA1987" s="18" t="s">
        <v>622</v>
      </c>
      <c r="AB1987" s="18" t="s">
        <v>623</v>
      </c>
      <c r="AC1987" s="18" t="s">
        <v>43</v>
      </c>
    </row>
    <row r="1988" s="18" customFormat="1" spans="1:29">
      <c r="A1988" s="18" t="s">
        <v>4081</v>
      </c>
      <c r="B1988" s="25" t="s">
        <v>4081</v>
      </c>
      <c r="C1988" s="26">
        <v>45713</v>
      </c>
      <c r="D1988" s="18" t="s">
        <v>4082</v>
      </c>
      <c r="E1988" s="18" t="str">
        <f t="shared" si="31"/>
        <v>Bharatesh N S (DJ Bobby)</v>
      </c>
      <c r="F1988" s="27" t="s">
        <v>4083</v>
      </c>
      <c r="G1988" s="18" t="s">
        <v>32</v>
      </c>
      <c r="H1988" s="18" t="s">
        <v>33</v>
      </c>
      <c r="I1988" s="18" t="s">
        <v>1246</v>
      </c>
      <c r="J1988" s="18" t="s">
        <v>2338</v>
      </c>
      <c r="K1988" s="18" t="s">
        <v>56</v>
      </c>
      <c r="L1988" s="18" t="s">
        <v>36</v>
      </c>
      <c r="N1988" s="18">
        <v>6</v>
      </c>
      <c r="O1988" s="18" t="s">
        <v>57</v>
      </c>
      <c r="P1988" s="18" t="s">
        <v>38</v>
      </c>
      <c r="Q1988" s="18" t="s">
        <v>117</v>
      </c>
      <c r="R1988" s="18" t="s">
        <v>59</v>
      </c>
      <c r="S1988" s="18" t="s">
        <v>118</v>
      </c>
      <c r="T1988" s="18" t="b">
        <v>1</v>
      </c>
      <c r="U1988" s="18" t="s">
        <v>39</v>
      </c>
      <c r="V1988" s="18" t="s">
        <v>40</v>
      </c>
      <c r="W1988" s="18" t="s">
        <v>250</v>
      </c>
      <c r="X1988" s="18" t="s">
        <v>251</v>
      </c>
      <c r="Y1988" s="18">
        <v>1</v>
      </c>
      <c r="Z1988" s="18">
        <v>70000</v>
      </c>
      <c r="AA1988" s="18" t="s">
        <v>622</v>
      </c>
      <c r="AB1988" s="18" t="s">
        <v>623</v>
      </c>
      <c r="AC1988" s="18" t="e">
        <v>#N/A</v>
      </c>
    </row>
    <row r="1989" s="18" customFormat="1" spans="1:29">
      <c r="A1989" s="18" t="s">
        <v>4084</v>
      </c>
      <c r="B1989" s="25" t="s">
        <v>4084</v>
      </c>
      <c r="C1989" s="26">
        <v>45713</v>
      </c>
      <c r="D1989" s="18" t="s">
        <v>644</v>
      </c>
      <c r="E1989" s="18" t="str">
        <f t="shared" si="31"/>
        <v>Blue Gem Entertainment and Events</v>
      </c>
      <c r="F1989" s="27" t="s">
        <v>645</v>
      </c>
      <c r="G1989" s="18" t="s">
        <v>32</v>
      </c>
      <c r="H1989" s="18" t="s">
        <v>33</v>
      </c>
      <c r="I1989" s="18" t="s">
        <v>1246</v>
      </c>
      <c r="J1989" s="18" t="s">
        <v>2338</v>
      </c>
      <c r="K1989" s="18" t="s">
        <v>56</v>
      </c>
      <c r="L1989" s="18" t="s">
        <v>36</v>
      </c>
      <c r="N1989" s="18">
        <v>6</v>
      </c>
      <c r="O1989" s="18" t="s">
        <v>88</v>
      </c>
      <c r="P1989" s="18" t="s">
        <v>38</v>
      </c>
      <c r="Q1989" s="18" t="s">
        <v>117</v>
      </c>
      <c r="R1989" s="18" t="s">
        <v>59</v>
      </c>
      <c r="S1989" s="18" t="s">
        <v>118</v>
      </c>
      <c r="T1989" s="18" t="b">
        <v>1</v>
      </c>
      <c r="U1989" s="18" t="s">
        <v>39</v>
      </c>
      <c r="V1989" s="18" t="s">
        <v>40</v>
      </c>
      <c r="W1989" s="18" t="s">
        <v>292</v>
      </c>
      <c r="X1989" s="18" t="s">
        <v>293</v>
      </c>
      <c r="Y1989" s="18">
        <v>1</v>
      </c>
      <c r="Z1989" s="18">
        <v>15000</v>
      </c>
      <c r="AA1989" s="18" t="s">
        <v>622</v>
      </c>
      <c r="AB1989" s="18" t="s">
        <v>623</v>
      </c>
      <c r="AC1989" s="18" t="s">
        <v>43</v>
      </c>
    </row>
    <row r="1990" s="18" customFormat="1" spans="1:29">
      <c r="A1990" s="18" t="s">
        <v>4085</v>
      </c>
      <c r="B1990" s="25" t="s">
        <v>4085</v>
      </c>
      <c r="C1990" s="26">
        <v>45713</v>
      </c>
      <c r="D1990" s="18" t="s">
        <v>3643</v>
      </c>
      <c r="E1990" s="18" t="str">
        <f t="shared" si="31"/>
        <v>Brijesh L  </v>
      </c>
      <c r="F1990" s="27" t="s">
        <v>3644</v>
      </c>
      <c r="G1990" s="18" t="s">
        <v>99</v>
      </c>
      <c r="H1990" s="18" t="s">
        <v>100</v>
      </c>
      <c r="I1990" s="18" t="s">
        <v>34</v>
      </c>
      <c r="J1990" s="18" t="s">
        <v>2996</v>
      </c>
      <c r="K1990" s="18" t="s">
        <v>56</v>
      </c>
      <c r="L1990" s="18" t="s">
        <v>36</v>
      </c>
      <c r="N1990" s="18">
        <v>6</v>
      </c>
      <c r="O1990" s="18" t="s">
        <v>93</v>
      </c>
      <c r="P1990" s="18" t="s">
        <v>38</v>
      </c>
      <c r="Q1990" s="18" t="s">
        <v>58</v>
      </c>
      <c r="R1990" s="18" t="s">
        <v>59</v>
      </c>
      <c r="S1990" s="18" t="s">
        <v>60</v>
      </c>
      <c r="T1990" s="18" t="b">
        <v>1</v>
      </c>
      <c r="U1990" s="18" t="s">
        <v>101</v>
      </c>
      <c r="V1990" s="18" t="s">
        <v>40</v>
      </c>
      <c r="W1990" s="18" t="s">
        <v>276</v>
      </c>
      <c r="X1990" s="18" t="s">
        <v>276</v>
      </c>
      <c r="Y1990" s="18">
        <v>1</v>
      </c>
      <c r="Z1990" s="18">
        <v>17000</v>
      </c>
      <c r="AA1990" s="18" t="s">
        <v>603</v>
      </c>
      <c r="AB1990" s="18" t="s">
        <v>600</v>
      </c>
      <c r="AC1990" s="18" t="e">
        <v>#N/A</v>
      </c>
    </row>
    <row r="1991" s="18" customFormat="1" spans="1:29">
      <c r="A1991" s="18" t="s">
        <v>4086</v>
      </c>
      <c r="B1991" s="25" t="s">
        <v>4086</v>
      </c>
      <c r="C1991" s="26">
        <v>45713</v>
      </c>
      <c r="D1991" s="18" t="s">
        <v>331</v>
      </c>
      <c r="E1991" s="18" t="str">
        <f t="shared" si="31"/>
        <v>Clinton J  for Expense</v>
      </c>
      <c r="F1991" s="27" t="e">
        <v>#N/A</v>
      </c>
      <c r="G1991" s="18" t="s">
        <v>99</v>
      </c>
      <c r="H1991" s="18" t="s">
        <v>100</v>
      </c>
      <c r="I1991" s="18" t="s">
        <v>34</v>
      </c>
      <c r="J1991" s="18" t="s">
        <v>4087</v>
      </c>
      <c r="K1991" s="18" t="s">
        <v>56</v>
      </c>
      <c r="L1991" s="18" t="s">
        <v>36</v>
      </c>
      <c r="N1991" s="18">
        <v>6</v>
      </c>
      <c r="O1991" s="18" t="s">
        <v>93</v>
      </c>
      <c r="P1991" s="18" t="s">
        <v>38</v>
      </c>
      <c r="Q1991" s="18" t="s">
        <v>58</v>
      </c>
      <c r="R1991" s="18" t="s">
        <v>59</v>
      </c>
      <c r="S1991" s="18" t="s">
        <v>60</v>
      </c>
      <c r="T1991" s="18" t="b">
        <v>1</v>
      </c>
      <c r="U1991" s="18" t="s">
        <v>101</v>
      </c>
      <c r="V1991" s="18" t="s">
        <v>40</v>
      </c>
      <c r="W1991" s="18" t="s">
        <v>126</v>
      </c>
      <c r="X1991" s="18" t="s">
        <v>127</v>
      </c>
      <c r="Y1991" s="18">
        <v>1</v>
      </c>
      <c r="Z1991" s="18">
        <v>1450</v>
      </c>
      <c r="AA1991" s="18" t="s">
        <v>603</v>
      </c>
      <c r="AB1991" s="18" t="s">
        <v>600</v>
      </c>
      <c r="AC1991" s="18" t="e">
        <v>#N/A</v>
      </c>
    </row>
    <row r="1992" s="18" customFormat="1" spans="1:29">
      <c r="A1992" s="18" t="s">
        <v>4088</v>
      </c>
      <c r="B1992" s="25" t="s">
        <v>4088</v>
      </c>
      <c r="C1992" s="26">
        <v>45713</v>
      </c>
      <c r="D1992" s="18" t="s">
        <v>4089</v>
      </c>
      <c r="E1992" s="18" t="str">
        <f t="shared" si="31"/>
        <v>Saiyam  Dhamija  </v>
      </c>
      <c r="F1992" s="27" t="e">
        <v>#N/A</v>
      </c>
      <c r="G1992" s="18" t="s">
        <v>147</v>
      </c>
      <c r="H1992" s="18" t="s">
        <v>148</v>
      </c>
      <c r="I1992" s="18" t="s">
        <v>54</v>
      </c>
      <c r="J1992" s="18" t="s">
        <v>466</v>
      </c>
      <c r="K1992" s="18" t="s">
        <v>56</v>
      </c>
      <c r="L1992" s="18" t="s">
        <v>36</v>
      </c>
      <c r="N1992" s="18">
        <v>6</v>
      </c>
      <c r="O1992" s="18" t="s">
        <v>93</v>
      </c>
      <c r="P1992" s="18" t="s">
        <v>38</v>
      </c>
      <c r="Q1992" s="18" t="s">
        <v>58</v>
      </c>
      <c r="R1992" s="18" t="s">
        <v>59</v>
      </c>
      <c r="S1992" s="18" t="s">
        <v>60</v>
      </c>
      <c r="T1992" s="18" t="b">
        <v>1</v>
      </c>
      <c r="U1992" s="18" t="s">
        <v>150</v>
      </c>
      <c r="V1992" s="18" t="s">
        <v>40</v>
      </c>
      <c r="W1992" s="18" t="s">
        <v>126</v>
      </c>
      <c r="X1992" s="18" t="s">
        <v>127</v>
      </c>
      <c r="Y1992" s="18">
        <v>1</v>
      </c>
      <c r="Z1992" s="18">
        <v>8962</v>
      </c>
      <c r="AA1992" s="18" t="s">
        <v>4090</v>
      </c>
      <c r="AB1992" s="18" t="s">
        <v>4091</v>
      </c>
      <c r="AC1992" s="18" t="e">
        <v>#N/A</v>
      </c>
    </row>
    <row r="1993" s="18" customFormat="1" spans="1:29">
      <c r="A1993" s="18" t="s">
        <v>4092</v>
      </c>
      <c r="B1993" s="25" t="s">
        <v>4092</v>
      </c>
      <c r="C1993" s="26">
        <v>45713</v>
      </c>
      <c r="D1993" s="18" t="s">
        <v>4093</v>
      </c>
      <c r="E1993" s="18" t="str">
        <f t="shared" si="31"/>
        <v>Subdev Raj Bhagat  </v>
      </c>
      <c r="F1993" s="27" t="e">
        <v>#N/A</v>
      </c>
      <c r="G1993" s="18" t="s">
        <v>147</v>
      </c>
      <c r="H1993" s="18" t="s">
        <v>148</v>
      </c>
      <c r="I1993" s="18" t="s">
        <v>54</v>
      </c>
      <c r="J1993" s="18" t="s">
        <v>2913</v>
      </c>
      <c r="K1993" s="18" t="s">
        <v>56</v>
      </c>
      <c r="L1993" s="18" t="s">
        <v>36</v>
      </c>
      <c r="N1993" s="18">
        <v>6</v>
      </c>
      <c r="O1993" s="18" t="s">
        <v>93</v>
      </c>
      <c r="P1993" s="18" t="s">
        <v>38</v>
      </c>
      <c r="Q1993" s="18" t="s">
        <v>58</v>
      </c>
      <c r="R1993" s="18" t="s">
        <v>59</v>
      </c>
      <c r="S1993" s="18" t="s">
        <v>60</v>
      </c>
      <c r="T1993" s="18" t="b">
        <v>1</v>
      </c>
      <c r="U1993" s="18" t="s">
        <v>150</v>
      </c>
      <c r="V1993" s="18" t="s">
        <v>40</v>
      </c>
      <c r="W1993" s="18" t="s">
        <v>126</v>
      </c>
      <c r="X1993" s="18" t="s">
        <v>127</v>
      </c>
      <c r="Y1993" s="18">
        <v>1</v>
      </c>
      <c r="Z1993" s="18">
        <v>4518</v>
      </c>
      <c r="AA1993" s="18" t="s">
        <v>4094</v>
      </c>
      <c r="AB1993" s="18" t="e">
        <v>#N/A</v>
      </c>
      <c r="AC1993" s="18" t="e">
        <v>#N/A</v>
      </c>
    </row>
    <row r="1994" s="18" customFormat="1" spans="1:29">
      <c r="A1994" s="18" t="s">
        <v>4095</v>
      </c>
      <c r="B1994" s="25" t="s">
        <v>4095</v>
      </c>
      <c r="C1994" s="26">
        <v>45713</v>
      </c>
      <c r="D1994" s="18" t="s">
        <v>4096</v>
      </c>
      <c r="E1994" s="18" t="str">
        <f t="shared" si="31"/>
        <v>Sunny Kapoor........ </v>
      </c>
      <c r="F1994" s="27" t="e">
        <v>#N/A</v>
      </c>
      <c r="G1994" s="18" t="s">
        <v>147</v>
      </c>
      <c r="H1994" s="18" t="s">
        <v>148</v>
      </c>
      <c r="I1994" s="18" t="s">
        <v>54</v>
      </c>
      <c r="J1994" s="18" t="s">
        <v>149</v>
      </c>
      <c r="K1994" s="18" t="s">
        <v>56</v>
      </c>
      <c r="L1994" s="18" t="s">
        <v>36</v>
      </c>
      <c r="N1994" s="18">
        <v>6</v>
      </c>
      <c r="O1994" s="18" t="s">
        <v>93</v>
      </c>
      <c r="P1994" s="18" t="s">
        <v>38</v>
      </c>
      <c r="Q1994" s="18" t="s">
        <v>58</v>
      </c>
      <c r="R1994" s="18" t="s">
        <v>59</v>
      </c>
      <c r="S1994" s="18" t="s">
        <v>60</v>
      </c>
      <c r="T1994" s="18" t="b">
        <v>1</v>
      </c>
      <c r="U1994" s="18" t="s">
        <v>150</v>
      </c>
      <c r="V1994" s="18" t="s">
        <v>40</v>
      </c>
      <c r="W1994" s="18" t="s">
        <v>126</v>
      </c>
      <c r="X1994" s="18" t="s">
        <v>127</v>
      </c>
      <c r="Y1994" s="18">
        <v>1</v>
      </c>
      <c r="Z1994" s="18">
        <v>2652</v>
      </c>
      <c r="AA1994" s="18" t="s">
        <v>4097</v>
      </c>
      <c r="AB1994" s="18" t="s">
        <v>4098</v>
      </c>
      <c r="AC1994" s="18" t="e">
        <v>#N/A</v>
      </c>
    </row>
    <row r="1995" s="18" customFormat="1" spans="1:29">
      <c r="A1995" s="18" t="s">
        <v>4099</v>
      </c>
      <c r="B1995" s="25" t="s">
        <v>4099</v>
      </c>
      <c r="C1995" s="26">
        <v>45713</v>
      </c>
      <c r="D1995" s="18" t="s">
        <v>1717</v>
      </c>
      <c r="E1995" s="18" t="str">
        <f t="shared" si="31"/>
        <v>Varun Sondhi  </v>
      </c>
      <c r="F1995" s="27" t="e">
        <v>#N/A</v>
      </c>
      <c r="G1995" s="18" t="s">
        <v>147</v>
      </c>
      <c r="H1995" s="18" t="s">
        <v>148</v>
      </c>
      <c r="I1995" s="18" t="s">
        <v>54</v>
      </c>
      <c r="J1995" s="18" t="s">
        <v>1370</v>
      </c>
      <c r="K1995" s="18" t="s">
        <v>56</v>
      </c>
      <c r="L1995" s="18" t="s">
        <v>36</v>
      </c>
      <c r="N1995" s="18">
        <v>6</v>
      </c>
      <c r="O1995" s="18" t="s">
        <v>93</v>
      </c>
      <c r="P1995" s="18" t="s">
        <v>38</v>
      </c>
      <c r="Q1995" s="18" t="s">
        <v>58</v>
      </c>
      <c r="R1995" s="18" t="s">
        <v>59</v>
      </c>
      <c r="S1995" s="18" t="s">
        <v>60</v>
      </c>
      <c r="T1995" s="18" t="b">
        <v>1</v>
      </c>
      <c r="U1995" s="18" t="s">
        <v>150</v>
      </c>
      <c r="V1995" s="18" t="s">
        <v>40</v>
      </c>
      <c r="W1995" s="18" t="s">
        <v>233</v>
      </c>
      <c r="X1995" s="18" t="s">
        <v>234</v>
      </c>
      <c r="Y1995" s="18">
        <v>1</v>
      </c>
      <c r="Z1995" s="18">
        <v>37500</v>
      </c>
      <c r="AA1995" s="18" t="s">
        <v>1718</v>
      </c>
      <c r="AB1995" s="18" t="s">
        <v>242</v>
      </c>
      <c r="AC1995" s="18" t="e">
        <v>#N/A</v>
      </c>
    </row>
    <row r="1996" s="18" customFormat="1" spans="1:29">
      <c r="A1996" s="18" t="s">
        <v>4100</v>
      </c>
      <c r="B1996" s="25" t="s">
        <v>4100</v>
      </c>
      <c r="C1996" s="26">
        <v>45713</v>
      </c>
      <c r="D1996" s="18" t="s">
        <v>4101</v>
      </c>
      <c r="E1996" s="18" t="str">
        <f t="shared" si="31"/>
        <v>Nidansh Kaul  </v>
      </c>
      <c r="F1996" s="27" t="e">
        <v>#N/A</v>
      </c>
      <c r="G1996" s="18" t="s">
        <v>147</v>
      </c>
      <c r="H1996" s="18" t="s">
        <v>148</v>
      </c>
      <c r="I1996" s="18" t="s">
        <v>54</v>
      </c>
      <c r="J1996" s="18" t="s">
        <v>2464</v>
      </c>
      <c r="K1996" s="18" t="s">
        <v>56</v>
      </c>
      <c r="L1996" s="18" t="s">
        <v>36</v>
      </c>
      <c r="N1996" s="18">
        <v>6</v>
      </c>
      <c r="O1996" s="18" t="s">
        <v>93</v>
      </c>
      <c r="P1996" s="18" t="s">
        <v>38</v>
      </c>
      <c r="Q1996" s="18" t="s">
        <v>58</v>
      </c>
      <c r="R1996" s="18" t="s">
        <v>59</v>
      </c>
      <c r="S1996" s="18" t="s">
        <v>60</v>
      </c>
      <c r="T1996" s="18" t="b">
        <v>1</v>
      </c>
      <c r="U1996" s="18" t="s">
        <v>150</v>
      </c>
      <c r="V1996" s="18" t="s">
        <v>40</v>
      </c>
      <c r="W1996" s="18" t="s">
        <v>126</v>
      </c>
      <c r="X1996" s="18" t="s">
        <v>127</v>
      </c>
      <c r="Y1996" s="18">
        <v>1</v>
      </c>
      <c r="Z1996" s="18">
        <v>3783</v>
      </c>
      <c r="AA1996" s="18" t="s">
        <v>4102</v>
      </c>
      <c r="AB1996" s="18" t="s">
        <v>4103</v>
      </c>
      <c r="AC1996" s="18" t="e">
        <v>#N/A</v>
      </c>
    </row>
    <row r="1997" s="18" customFormat="1" spans="1:29">
      <c r="A1997" s="18" t="s">
        <v>4104</v>
      </c>
      <c r="B1997" s="25" t="s">
        <v>4104</v>
      </c>
      <c r="C1997" s="26">
        <v>45713</v>
      </c>
      <c r="D1997" s="18" t="s">
        <v>4105</v>
      </c>
      <c r="E1997" s="18" t="str">
        <f t="shared" si="31"/>
        <v>Sachin Kumar  </v>
      </c>
      <c r="F1997" s="27" t="e">
        <v>#N/A</v>
      </c>
      <c r="G1997" s="18" t="s">
        <v>147</v>
      </c>
      <c r="H1997" s="18" t="s">
        <v>148</v>
      </c>
      <c r="I1997" s="18" t="s">
        <v>54</v>
      </c>
      <c r="J1997" s="18" t="s">
        <v>249</v>
      </c>
      <c r="K1997" s="18" t="s">
        <v>56</v>
      </c>
      <c r="L1997" s="18" t="s">
        <v>36</v>
      </c>
      <c r="N1997" s="18">
        <v>6</v>
      </c>
      <c r="O1997" s="18" t="s">
        <v>93</v>
      </c>
      <c r="P1997" s="18" t="s">
        <v>38</v>
      </c>
      <c r="Q1997" s="18" t="s">
        <v>58</v>
      </c>
      <c r="R1997" s="18" t="s">
        <v>59</v>
      </c>
      <c r="S1997" s="18" t="s">
        <v>60</v>
      </c>
      <c r="T1997" s="18" t="b">
        <v>1</v>
      </c>
      <c r="U1997" s="18" t="s">
        <v>150</v>
      </c>
      <c r="V1997" s="18" t="s">
        <v>40</v>
      </c>
      <c r="W1997" s="18" t="s">
        <v>126</v>
      </c>
      <c r="X1997" s="18" t="s">
        <v>127</v>
      </c>
      <c r="Y1997" s="18">
        <v>1</v>
      </c>
      <c r="Z1997" s="18">
        <v>3600</v>
      </c>
      <c r="AA1997" s="18" t="s">
        <v>4106</v>
      </c>
      <c r="AB1997" s="18" t="s">
        <v>4107</v>
      </c>
      <c r="AC1997" s="18" t="e">
        <v>#N/A</v>
      </c>
    </row>
    <row r="1998" s="18" customFormat="1" spans="1:29">
      <c r="A1998" s="18" t="s">
        <v>4108</v>
      </c>
      <c r="B1998" s="25" t="s">
        <v>4108</v>
      </c>
      <c r="C1998" s="26">
        <v>45713</v>
      </c>
      <c r="D1998" s="18" t="s">
        <v>4109</v>
      </c>
      <c r="E1998" s="18" t="str">
        <f t="shared" si="31"/>
        <v>Komal Vajpai  </v>
      </c>
      <c r="F1998" s="27" t="e">
        <v>#N/A</v>
      </c>
      <c r="G1998" s="18" t="s">
        <v>147</v>
      </c>
      <c r="H1998" s="18" t="s">
        <v>148</v>
      </c>
      <c r="I1998" s="18" t="s">
        <v>54</v>
      </c>
      <c r="J1998" s="18" t="s">
        <v>1180</v>
      </c>
      <c r="K1998" s="18" t="s">
        <v>56</v>
      </c>
      <c r="L1998" s="18" t="s">
        <v>36</v>
      </c>
      <c r="N1998" s="18">
        <v>6</v>
      </c>
      <c r="O1998" s="18" t="s">
        <v>93</v>
      </c>
      <c r="P1998" s="18" t="s">
        <v>38</v>
      </c>
      <c r="Q1998" s="18" t="s">
        <v>58</v>
      </c>
      <c r="R1998" s="18" t="s">
        <v>59</v>
      </c>
      <c r="S1998" s="18" t="s">
        <v>60</v>
      </c>
      <c r="T1998" s="18" t="b">
        <v>1</v>
      </c>
      <c r="U1998" s="18" t="s">
        <v>150</v>
      </c>
      <c r="V1998" s="18" t="s">
        <v>40</v>
      </c>
      <c r="W1998" s="18" t="s">
        <v>126</v>
      </c>
      <c r="X1998" s="18" t="s">
        <v>127</v>
      </c>
      <c r="Y1998" s="18">
        <v>1</v>
      </c>
      <c r="Z1998" s="18">
        <v>1633</v>
      </c>
      <c r="AA1998" s="18" t="s">
        <v>4110</v>
      </c>
      <c r="AB1998" s="18" t="s">
        <v>4111</v>
      </c>
      <c r="AC1998" s="18" t="e">
        <v>#N/A</v>
      </c>
    </row>
    <row r="1999" s="18" customFormat="1" spans="1:29">
      <c r="A1999" s="18" t="s">
        <v>4112</v>
      </c>
      <c r="B1999" s="25" t="s">
        <v>4112</v>
      </c>
      <c r="C1999" s="26">
        <v>45713</v>
      </c>
      <c r="D1999" s="18" t="s">
        <v>1807</v>
      </c>
      <c r="E1999" s="18" t="str">
        <f t="shared" si="31"/>
        <v>Travelnama</v>
      </c>
      <c r="F1999" s="27" t="e">
        <v>#N/A</v>
      </c>
      <c r="G1999" s="18" t="s">
        <v>147</v>
      </c>
      <c r="H1999" s="18" t="s">
        <v>148</v>
      </c>
      <c r="I1999" s="18" t="s">
        <v>207</v>
      </c>
      <c r="J1999" s="18" t="s">
        <v>1370</v>
      </c>
      <c r="K1999" s="18" t="s">
        <v>56</v>
      </c>
      <c r="L1999" s="18" t="s">
        <v>36</v>
      </c>
      <c r="N1999" s="18">
        <v>6</v>
      </c>
      <c r="O1999" s="18" t="s">
        <v>88</v>
      </c>
      <c r="P1999" s="18" t="s">
        <v>38</v>
      </c>
      <c r="Q1999" s="18" t="s">
        <v>58</v>
      </c>
      <c r="R1999" s="18" t="s">
        <v>59</v>
      </c>
      <c r="S1999" s="18" t="s">
        <v>60</v>
      </c>
      <c r="T1999" s="18" t="b">
        <v>1</v>
      </c>
      <c r="U1999" s="18" t="s">
        <v>150</v>
      </c>
      <c r="V1999" s="18" t="s">
        <v>40</v>
      </c>
      <c r="W1999" s="18" t="s">
        <v>734</v>
      </c>
      <c r="X1999" s="18" t="s">
        <v>735</v>
      </c>
      <c r="Y1999" s="18">
        <v>1</v>
      </c>
      <c r="Z1999" s="18">
        <v>28369</v>
      </c>
      <c r="AA1999" s="18" t="s">
        <v>1809</v>
      </c>
      <c r="AB1999" s="18" t="s">
        <v>143</v>
      </c>
      <c r="AC1999" s="18" t="s">
        <v>155</v>
      </c>
    </row>
    <row r="2000" s="18" customFormat="1" spans="1:29">
      <c r="A2000" s="18" t="s">
        <v>4113</v>
      </c>
      <c r="B2000" s="25" t="s">
        <v>4113</v>
      </c>
      <c r="C2000" s="26">
        <v>45713</v>
      </c>
      <c r="D2000" s="18" t="s">
        <v>4114</v>
      </c>
      <c r="E2000" s="18" t="str">
        <f t="shared" si="31"/>
        <v>Rohan Oberoi  </v>
      </c>
      <c r="F2000" s="27" t="e">
        <v>#N/A</v>
      </c>
      <c r="G2000" s="18" t="s">
        <v>147</v>
      </c>
      <c r="H2000" s="18" t="s">
        <v>148</v>
      </c>
      <c r="I2000" s="18" t="s">
        <v>54</v>
      </c>
      <c r="J2000" s="18" t="s">
        <v>1180</v>
      </c>
      <c r="K2000" s="18" t="s">
        <v>56</v>
      </c>
      <c r="L2000" s="18" t="s">
        <v>36</v>
      </c>
      <c r="N2000" s="18">
        <v>6</v>
      </c>
      <c r="O2000" s="18" t="s">
        <v>93</v>
      </c>
      <c r="P2000" s="18" t="s">
        <v>38</v>
      </c>
      <c r="Q2000" s="18" t="s">
        <v>58</v>
      </c>
      <c r="R2000" s="18" t="s">
        <v>59</v>
      </c>
      <c r="S2000" s="18" t="s">
        <v>60</v>
      </c>
      <c r="T2000" s="18" t="b">
        <v>1</v>
      </c>
      <c r="U2000" s="18" t="s">
        <v>150</v>
      </c>
      <c r="V2000" s="18" t="s">
        <v>40</v>
      </c>
      <c r="W2000" s="18" t="s">
        <v>126</v>
      </c>
      <c r="X2000" s="18" t="s">
        <v>127</v>
      </c>
      <c r="Y2000" s="18">
        <v>1</v>
      </c>
      <c r="Z2000" s="18">
        <v>3393</v>
      </c>
      <c r="AA2000" s="18" t="s">
        <v>4115</v>
      </c>
      <c r="AB2000" s="18" t="s">
        <v>4116</v>
      </c>
      <c r="AC2000" s="18" t="e">
        <v>#N/A</v>
      </c>
    </row>
    <row r="2001" s="18" customFormat="1" spans="1:29">
      <c r="A2001" s="18" t="s">
        <v>4117</v>
      </c>
      <c r="B2001" s="25" t="s">
        <v>4117</v>
      </c>
      <c r="C2001" s="26">
        <v>45713</v>
      </c>
      <c r="D2001" s="18" t="s">
        <v>4118</v>
      </c>
      <c r="E2001" s="18" t="str">
        <f t="shared" si="31"/>
        <v>Pradeep Singh Rawat  </v>
      </c>
      <c r="F2001" s="27" t="e">
        <v>#N/A</v>
      </c>
      <c r="G2001" s="18" t="s">
        <v>147</v>
      </c>
      <c r="H2001" s="18" t="s">
        <v>148</v>
      </c>
      <c r="I2001" s="18" t="s">
        <v>54</v>
      </c>
      <c r="J2001" s="18" t="s">
        <v>2264</v>
      </c>
      <c r="K2001" s="18" t="s">
        <v>56</v>
      </c>
      <c r="L2001" s="18" t="s">
        <v>36</v>
      </c>
      <c r="N2001" s="18">
        <v>6</v>
      </c>
      <c r="O2001" s="18" t="s">
        <v>93</v>
      </c>
      <c r="P2001" s="18" t="s">
        <v>38</v>
      </c>
      <c r="Q2001" s="18" t="s">
        <v>58</v>
      </c>
      <c r="R2001" s="18" t="s">
        <v>59</v>
      </c>
      <c r="S2001" s="18" t="s">
        <v>60</v>
      </c>
      <c r="T2001" s="18" t="b">
        <v>1</v>
      </c>
      <c r="U2001" s="18" t="s">
        <v>150</v>
      </c>
      <c r="V2001" s="18" t="s">
        <v>40</v>
      </c>
      <c r="W2001" s="18" t="s">
        <v>126</v>
      </c>
      <c r="X2001" s="18" t="s">
        <v>127</v>
      </c>
      <c r="Y2001" s="18">
        <v>1</v>
      </c>
      <c r="Z2001" s="18">
        <v>1191</v>
      </c>
      <c r="AA2001" s="18" t="s">
        <v>4119</v>
      </c>
      <c r="AB2001" s="18" t="s">
        <v>3251</v>
      </c>
      <c r="AC2001" s="18" t="e">
        <v>#N/A</v>
      </c>
    </row>
    <row r="2002" s="18" customFormat="1" spans="1:29">
      <c r="A2002" s="18" t="s">
        <v>4120</v>
      </c>
      <c r="B2002" s="25" t="s">
        <v>4120</v>
      </c>
      <c r="C2002" s="26">
        <v>45713</v>
      </c>
      <c r="D2002" s="18" t="s">
        <v>4121</v>
      </c>
      <c r="E2002" s="18" t="str">
        <f t="shared" si="31"/>
        <v>Puja Myne  </v>
      </c>
      <c r="F2002" s="27" t="e">
        <v>#N/A</v>
      </c>
      <c r="G2002" s="18" t="s">
        <v>147</v>
      </c>
      <c r="H2002" s="18" t="s">
        <v>148</v>
      </c>
      <c r="I2002" s="18" t="s">
        <v>3808</v>
      </c>
      <c r="J2002" s="18" t="s">
        <v>1426</v>
      </c>
      <c r="K2002" s="18" t="s">
        <v>56</v>
      </c>
      <c r="L2002" s="18" t="s">
        <v>36</v>
      </c>
      <c r="N2002" s="18">
        <v>6</v>
      </c>
      <c r="O2002" s="18" t="s">
        <v>93</v>
      </c>
      <c r="P2002" s="18" t="s">
        <v>38</v>
      </c>
      <c r="Q2002" s="18" t="s">
        <v>58</v>
      </c>
      <c r="R2002" s="18" t="s">
        <v>59</v>
      </c>
      <c r="S2002" s="18" t="s">
        <v>60</v>
      </c>
      <c r="T2002" s="18" t="b">
        <v>1</v>
      </c>
      <c r="U2002" s="18" t="s">
        <v>150</v>
      </c>
      <c r="V2002" s="18" t="s">
        <v>40</v>
      </c>
      <c r="W2002" s="18" t="s">
        <v>803</v>
      </c>
      <c r="X2002" s="18" t="s">
        <v>804</v>
      </c>
      <c r="Y2002" s="18">
        <v>1</v>
      </c>
      <c r="Z2002" s="18">
        <v>74637</v>
      </c>
      <c r="AA2002" s="18" t="s">
        <v>4122</v>
      </c>
      <c r="AB2002" s="18" t="s">
        <v>4123</v>
      </c>
      <c r="AC2002" s="18" t="e">
        <v>#N/A</v>
      </c>
    </row>
    <row r="2003" s="18" customFormat="1" spans="1:29">
      <c r="A2003" s="18" t="s">
        <v>4124</v>
      </c>
      <c r="B2003" s="25" t="s">
        <v>4124</v>
      </c>
      <c r="C2003" s="26">
        <v>45713</v>
      </c>
      <c r="D2003" s="18" t="s">
        <v>4121</v>
      </c>
      <c r="E2003" s="18" t="str">
        <f t="shared" si="31"/>
        <v>Puja Myne  </v>
      </c>
      <c r="F2003" s="27" t="e">
        <v>#N/A</v>
      </c>
      <c r="G2003" s="18" t="s">
        <v>147</v>
      </c>
      <c r="H2003" s="18" t="s">
        <v>148</v>
      </c>
      <c r="I2003" s="18" t="s">
        <v>3808</v>
      </c>
      <c r="J2003" s="18" t="s">
        <v>1426</v>
      </c>
      <c r="K2003" s="18" t="s">
        <v>56</v>
      </c>
      <c r="L2003" s="18" t="s">
        <v>36</v>
      </c>
      <c r="N2003" s="18">
        <v>6</v>
      </c>
      <c r="O2003" s="18" t="s">
        <v>93</v>
      </c>
      <c r="P2003" s="18" t="s">
        <v>38</v>
      </c>
      <c r="Q2003" s="18" t="s">
        <v>58</v>
      </c>
      <c r="R2003" s="18" t="s">
        <v>59</v>
      </c>
      <c r="S2003" s="18" t="s">
        <v>60</v>
      </c>
      <c r="T2003" s="18" t="b">
        <v>1</v>
      </c>
      <c r="U2003" s="18" t="s">
        <v>150</v>
      </c>
      <c r="V2003" s="18" t="s">
        <v>40</v>
      </c>
      <c r="W2003" s="18" t="s">
        <v>126</v>
      </c>
      <c r="X2003" s="18" t="s">
        <v>127</v>
      </c>
      <c r="Y2003" s="18">
        <v>1</v>
      </c>
      <c r="Z2003" s="18">
        <v>1274</v>
      </c>
      <c r="AC2003" s="18" t="e">
        <v>#N/A</v>
      </c>
    </row>
    <row r="2004" s="18" customFormat="1" spans="1:29">
      <c r="A2004" s="18" t="s">
        <v>4125</v>
      </c>
      <c r="B2004" s="25" t="s">
        <v>4125</v>
      </c>
      <c r="C2004" s="26">
        <v>45713</v>
      </c>
      <c r="D2004" s="18" t="s">
        <v>856</v>
      </c>
      <c r="E2004" s="18" t="str">
        <f t="shared" si="31"/>
        <v>Sajid Khan  </v>
      </c>
      <c r="F2004" s="27" t="e">
        <v>#N/A</v>
      </c>
      <c r="G2004" s="18" t="s">
        <v>147</v>
      </c>
      <c r="H2004" s="18" t="s">
        <v>148</v>
      </c>
      <c r="I2004" s="18" t="s">
        <v>54</v>
      </c>
      <c r="J2004" s="18" t="s">
        <v>149</v>
      </c>
      <c r="K2004" s="18" t="s">
        <v>56</v>
      </c>
      <c r="L2004" s="18" t="s">
        <v>36</v>
      </c>
      <c r="N2004" s="18">
        <v>6</v>
      </c>
      <c r="O2004" s="18" t="s">
        <v>93</v>
      </c>
      <c r="P2004" s="18" t="s">
        <v>38</v>
      </c>
      <c r="Q2004" s="18" t="s">
        <v>58</v>
      </c>
      <c r="R2004" s="18" t="s">
        <v>59</v>
      </c>
      <c r="S2004" s="18" t="s">
        <v>60</v>
      </c>
      <c r="T2004" s="18" t="b">
        <v>1</v>
      </c>
      <c r="U2004" s="18" t="s">
        <v>150</v>
      </c>
      <c r="V2004" s="18" t="s">
        <v>40</v>
      </c>
      <c r="W2004" s="18" t="s">
        <v>126</v>
      </c>
      <c r="X2004" s="18" t="s">
        <v>127</v>
      </c>
      <c r="Y2004" s="18">
        <v>1</v>
      </c>
      <c r="Z2004" s="18">
        <v>3922</v>
      </c>
      <c r="AA2004" s="18" t="s">
        <v>4126</v>
      </c>
      <c r="AB2004" s="18" t="s">
        <v>858</v>
      </c>
      <c r="AC2004" s="18" t="e">
        <v>#N/A</v>
      </c>
    </row>
    <row r="2005" s="18" customFormat="1" spans="1:29">
      <c r="A2005" s="18" t="s">
        <v>4127</v>
      </c>
      <c r="B2005" s="25" t="s">
        <v>4127</v>
      </c>
      <c r="C2005" s="26">
        <v>45713</v>
      </c>
      <c r="D2005" s="18" t="s">
        <v>4128</v>
      </c>
      <c r="E2005" s="18" t="str">
        <f t="shared" si="31"/>
        <v>Ananya Mall  </v>
      </c>
      <c r="F2005" s="27" t="e">
        <v>#N/A</v>
      </c>
      <c r="G2005" s="18" t="s">
        <v>147</v>
      </c>
      <c r="H2005" s="18" t="s">
        <v>148</v>
      </c>
      <c r="I2005" s="18" t="s">
        <v>54</v>
      </c>
      <c r="J2005" s="18" t="s">
        <v>1098</v>
      </c>
      <c r="K2005" s="18" t="s">
        <v>56</v>
      </c>
      <c r="L2005" s="18" t="s">
        <v>36</v>
      </c>
      <c r="N2005" s="18">
        <v>6</v>
      </c>
      <c r="O2005" s="18" t="s">
        <v>93</v>
      </c>
      <c r="P2005" s="18" t="s">
        <v>38</v>
      </c>
      <c r="Q2005" s="18" t="s">
        <v>58</v>
      </c>
      <c r="R2005" s="18" t="s">
        <v>59</v>
      </c>
      <c r="S2005" s="18" t="s">
        <v>60</v>
      </c>
      <c r="T2005" s="18" t="b">
        <v>1</v>
      </c>
      <c r="U2005" s="18" t="s">
        <v>150</v>
      </c>
      <c r="V2005" s="18" t="s">
        <v>40</v>
      </c>
      <c r="W2005" s="18" t="s">
        <v>126</v>
      </c>
      <c r="X2005" s="18" t="s">
        <v>127</v>
      </c>
      <c r="Y2005" s="18">
        <v>1</v>
      </c>
      <c r="Z2005" s="18">
        <v>5238</v>
      </c>
      <c r="AA2005" s="18" t="s">
        <v>1601</v>
      </c>
      <c r="AB2005" s="18" t="s">
        <v>1100</v>
      </c>
      <c r="AC2005" s="18" t="e">
        <v>#N/A</v>
      </c>
    </row>
    <row r="2006" s="18" customFormat="1" spans="1:29">
      <c r="A2006" s="18" t="s">
        <v>4129</v>
      </c>
      <c r="B2006" s="25" t="s">
        <v>4129</v>
      </c>
      <c r="C2006" s="26">
        <v>45713</v>
      </c>
      <c r="D2006" s="18" t="s">
        <v>384</v>
      </c>
      <c r="E2006" s="18" t="str">
        <f t="shared" si="31"/>
        <v>Anurag Jadli  </v>
      </c>
      <c r="F2006" s="27" t="e">
        <v>#N/A</v>
      </c>
      <c r="G2006" s="18" t="s">
        <v>147</v>
      </c>
      <c r="H2006" s="18" t="s">
        <v>148</v>
      </c>
      <c r="I2006" s="18" t="s">
        <v>3808</v>
      </c>
      <c r="J2006" s="18" t="s">
        <v>1426</v>
      </c>
      <c r="K2006" s="18" t="s">
        <v>56</v>
      </c>
      <c r="L2006" s="18" t="s">
        <v>36</v>
      </c>
      <c r="N2006" s="18">
        <v>6</v>
      </c>
      <c r="O2006" s="18" t="s">
        <v>93</v>
      </c>
      <c r="P2006" s="18" t="s">
        <v>38</v>
      </c>
      <c r="Q2006" s="18" t="s">
        <v>58</v>
      </c>
      <c r="R2006" s="18" t="s">
        <v>59</v>
      </c>
      <c r="S2006" s="18" t="s">
        <v>60</v>
      </c>
      <c r="T2006" s="18" t="b">
        <v>1</v>
      </c>
      <c r="U2006" s="18" t="s">
        <v>150</v>
      </c>
      <c r="V2006" s="18" t="s">
        <v>40</v>
      </c>
      <c r="W2006" s="18" t="s">
        <v>803</v>
      </c>
      <c r="X2006" s="18" t="s">
        <v>804</v>
      </c>
      <c r="Y2006" s="18">
        <v>1</v>
      </c>
      <c r="Z2006" s="18">
        <v>3726</v>
      </c>
      <c r="AA2006" s="18" t="s">
        <v>1715</v>
      </c>
      <c r="AB2006" s="18" t="s">
        <v>386</v>
      </c>
      <c r="AC2006" s="18" t="e">
        <v>#N/A</v>
      </c>
    </row>
    <row r="2007" s="18" customFormat="1" spans="1:29">
      <c r="A2007" s="18" t="s">
        <v>4130</v>
      </c>
      <c r="B2007" s="25" t="s">
        <v>4130</v>
      </c>
      <c r="C2007" s="26">
        <v>45713</v>
      </c>
      <c r="D2007" s="18" t="s">
        <v>384</v>
      </c>
      <c r="E2007" s="18" t="str">
        <f t="shared" si="31"/>
        <v>Anurag Jadli  </v>
      </c>
      <c r="F2007" s="27" t="e">
        <v>#N/A</v>
      </c>
      <c r="G2007" s="18" t="s">
        <v>147</v>
      </c>
      <c r="H2007" s="18" t="s">
        <v>148</v>
      </c>
      <c r="I2007" s="18" t="s">
        <v>54</v>
      </c>
      <c r="J2007" s="18" t="s">
        <v>1426</v>
      </c>
      <c r="K2007" s="18" t="s">
        <v>56</v>
      </c>
      <c r="L2007" s="18" t="s">
        <v>36</v>
      </c>
      <c r="N2007" s="18">
        <v>6</v>
      </c>
      <c r="O2007" s="18" t="s">
        <v>93</v>
      </c>
      <c r="P2007" s="18" t="s">
        <v>38</v>
      </c>
      <c r="Q2007" s="18" t="s">
        <v>58</v>
      </c>
      <c r="R2007" s="18" t="s">
        <v>59</v>
      </c>
      <c r="S2007" s="18" t="s">
        <v>60</v>
      </c>
      <c r="T2007" s="18" t="b">
        <v>1</v>
      </c>
      <c r="U2007" s="18" t="s">
        <v>150</v>
      </c>
      <c r="V2007" s="18" t="s">
        <v>40</v>
      </c>
      <c r="W2007" s="18" t="s">
        <v>233</v>
      </c>
      <c r="X2007" s="18" t="s">
        <v>234</v>
      </c>
      <c r="Y2007" s="18">
        <v>1</v>
      </c>
      <c r="Z2007" s="18">
        <v>4718</v>
      </c>
      <c r="AA2007" s="18" t="s">
        <v>1715</v>
      </c>
      <c r="AB2007" s="18" t="s">
        <v>386</v>
      </c>
      <c r="AC2007" s="18" t="e">
        <v>#N/A</v>
      </c>
    </row>
    <row r="2008" s="18" customFormat="1" spans="1:29">
      <c r="A2008" s="18" t="s">
        <v>4131</v>
      </c>
      <c r="B2008" s="25" t="s">
        <v>4131</v>
      </c>
      <c r="C2008" s="26">
        <v>45713</v>
      </c>
      <c r="D2008" s="18" t="s">
        <v>4132</v>
      </c>
      <c r="E2008" s="18" t="str">
        <f t="shared" si="31"/>
        <v>Pindrop Voices Pvt Ltd</v>
      </c>
      <c r="F2008" s="27" t="s">
        <v>4133</v>
      </c>
      <c r="G2008" s="18" t="s">
        <v>147</v>
      </c>
      <c r="H2008" s="18" t="s">
        <v>148</v>
      </c>
      <c r="I2008" s="18" t="s">
        <v>207</v>
      </c>
      <c r="J2008" s="18" t="s">
        <v>1426</v>
      </c>
      <c r="K2008" s="18" t="s">
        <v>56</v>
      </c>
      <c r="L2008" s="18" t="s">
        <v>36</v>
      </c>
      <c r="N2008" s="18">
        <v>6</v>
      </c>
      <c r="O2008" s="18" t="s">
        <v>57</v>
      </c>
      <c r="P2008" s="18" t="s">
        <v>38</v>
      </c>
      <c r="Q2008" s="18" t="s">
        <v>58</v>
      </c>
      <c r="R2008" s="18" t="s">
        <v>59</v>
      </c>
      <c r="S2008" s="18" t="s">
        <v>60</v>
      </c>
      <c r="T2008" s="18" t="b">
        <v>1</v>
      </c>
      <c r="U2008" s="18" t="s">
        <v>150</v>
      </c>
      <c r="V2008" s="18" t="s">
        <v>40</v>
      </c>
      <c r="W2008" s="18" t="s">
        <v>347</v>
      </c>
      <c r="X2008" s="18" t="s">
        <v>348</v>
      </c>
      <c r="Y2008" s="18">
        <v>1</v>
      </c>
      <c r="Z2008" s="18">
        <v>45000</v>
      </c>
      <c r="AA2008" s="18" t="s">
        <v>3270</v>
      </c>
      <c r="AB2008" s="18" t="s">
        <v>1246</v>
      </c>
      <c r="AC2008" s="18" t="s">
        <v>163</v>
      </c>
    </row>
    <row r="2009" s="18" customFormat="1" spans="1:29">
      <c r="A2009" s="18" t="s">
        <v>4134</v>
      </c>
      <c r="B2009" s="25" t="s">
        <v>4134</v>
      </c>
      <c r="C2009" s="26">
        <v>45713</v>
      </c>
      <c r="D2009" s="18" t="s">
        <v>4132</v>
      </c>
      <c r="E2009" s="18" t="str">
        <f t="shared" si="31"/>
        <v>Pindrop Voices Pvt Ltd</v>
      </c>
      <c r="F2009" s="27" t="s">
        <v>4133</v>
      </c>
      <c r="G2009" s="18" t="s">
        <v>147</v>
      </c>
      <c r="H2009" s="18" t="s">
        <v>148</v>
      </c>
      <c r="I2009" s="18" t="s">
        <v>207</v>
      </c>
      <c r="J2009" s="18" t="s">
        <v>139</v>
      </c>
      <c r="K2009" s="18" t="s">
        <v>56</v>
      </c>
      <c r="L2009" s="18" t="s">
        <v>36</v>
      </c>
      <c r="N2009" s="18">
        <v>6</v>
      </c>
      <c r="O2009" s="18" t="s">
        <v>57</v>
      </c>
      <c r="P2009" s="18" t="s">
        <v>38</v>
      </c>
      <c r="Q2009" s="18" t="s">
        <v>58</v>
      </c>
      <c r="R2009" s="18" t="s">
        <v>59</v>
      </c>
      <c r="S2009" s="18" t="s">
        <v>60</v>
      </c>
      <c r="T2009" s="18" t="b">
        <v>1</v>
      </c>
      <c r="U2009" s="18" t="s">
        <v>150</v>
      </c>
      <c r="V2009" s="18" t="s">
        <v>40</v>
      </c>
      <c r="W2009" s="18" t="s">
        <v>347</v>
      </c>
      <c r="X2009" s="18" t="s">
        <v>348</v>
      </c>
      <c r="Y2009" s="18">
        <v>1</v>
      </c>
      <c r="Z2009" s="18">
        <v>30000</v>
      </c>
      <c r="AA2009" s="18" t="s">
        <v>1447</v>
      </c>
      <c r="AC2009" s="18" t="s">
        <v>163</v>
      </c>
    </row>
    <row r="2010" s="18" customFormat="1" spans="1:29">
      <c r="A2010" s="18" t="s">
        <v>4135</v>
      </c>
      <c r="B2010" s="25" t="s">
        <v>4135</v>
      </c>
      <c r="C2010" s="26">
        <v>45713</v>
      </c>
      <c r="D2010" s="18" t="s">
        <v>456</v>
      </c>
      <c r="E2010" s="18" t="str">
        <f t="shared" si="31"/>
        <v>Sidhant Saxena.....</v>
      </c>
      <c r="F2010" s="27" t="e">
        <v>#N/A</v>
      </c>
      <c r="G2010" s="18" t="s">
        <v>147</v>
      </c>
      <c r="H2010" s="18" t="s">
        <v>148</v>
      </c>
      <c r="I2010" s="18" t="s">
        <v>207</v>
      </c>
      <c r="J2010" s="18" t="s">
        <v>1426</v>
      </c>
      <c r="K2010" s="18" t="s">
        <v>56</v>
      </c>
      <c r="L2010" s="18" t="s">
        <v>36</v>
      </c>
      <c r="N2010" s="18">
        <v>6</v>
      </c>
      <c r="O2010" s="18" t="s">
        <v>93</v>
      </c>
      <c r="P2010" s="18" t="s">
        <v>38</v>
      </c>
      <c r="Q2010" s="18" t="s">
        <v>58</v>
      </c>
      <c r="R2010" s="18" t="s">
        <v>59</v>
      </c>
      <c r="S2010" s="18" t="s">
        <v>60</v>
      </c>
      <c r="T2010" s="18" t="b">
        <v>1</v>
      </c>
      <c r="U2010" s="18" t="s">
        <v>150</v>
      </c>
      <c r="V2010" s="18" t="s">
        <v>40</v>
      </c>
      <c r="W2010" s="18" t="s">
        <v>803</v>
      </c>
      <c r="X2010" s="18" t="s">
        <v>804</v>
      </c>
      <c r="Y2010" s="18">
        <v>1</v>
      </c>
      <c r="Z2010" s="18">
        <v>63875</v>
      </c>
      <c r="AA2010" s="18" t="s">
        <v>4136</v>
      </c>
      <c r="AB2010" s="18" t="s">
        <v>458</v>
      </c>
      <c r="AC2010" s="18" t="e">
        <v>#N/A</v>
      </c>
    </row>
    <row r="2011" s="18" customFormat="1" spans="1:29">
      <c r="A2011" s="18" t="s">
        <v>4137</v>
      </c>
      <c r="B2011" s="25" t="s">
        <v>4137</v>
      </c>
      <c r="C2011" s="26">
        <v>45713</v>
      </c>
      <c r="D2011" s="18" t="s">
        <v>2894</v>
      </c>
      <c r="E2011" s="18" t="str">
        <f t="shared" si="31"/>
        <v>Jatin Arora  </v>
      </c>
      <c r="F2011" s="27" t="s">
        <v>2895</v>
      </c>
      <c r="G2011" s="18" t="s">
        <v>147</v>
      </c>
      <c r="H2011" s="18" t="s">
        <v>148</v>
      </c>
      <c r="I2011" s="18" t="s">
        <v>207</v>
      </c>
      <c r="J2011" s="18" t="s">
        <v>1426</v>
      </c>
      <c r="K2011" s="18" t="s">
        <v>56</v>
      </c>
      <c r="L2011" s="18" t="s">
        <v>36</v>
      </c>
      <c r="N2011" s="18">
        <v>6</v>
      </c>
      <c r="O2011" s="18" t="s">
        <v>93</v>
      </c>
      <c r="P2011" s="18" t="s">
        <v>38</v>
      </c>
      <c r="Q2011" s="18" t="s">
        <v>58</v>
      </c>
      <c r="R2011" s="18" t="s">
        <v>59</v>
      </c>
      <c r="S2011" s="18" t="s">
        <v>60</v>
      </c>
      <c r="T2011" s="18" t="b">
        <v>1</v>
      </c>
      <c r="U2011" s="18" t="s">
        <v>150</v>
      </c>
      <c r="V2011" s="18" t="s">
        <v>40</v>
      </c>
      <c r="W2011" s="18" t="s">
        <v>803</v>
      </c>
      <c r="X2011" s="18" t="s">
        <v>804</v>
      </c>
      <c r="Y2011" s="18">
        <v>1</v>
      </c>
      <c r="Z2011" s="18">
        <v>97338</v>
      </c>
      <c r="AA2011" s="18" t="s">
        <v>1181</v>
      </c>
      <c r="AB2011" s="18" t="s">
        <v>1182</v>
      </c>
      <c r="AC2011" s="18" t="e">
        <v>#N/A</v>
      </c>
    </row>
    <row r="2012" s="18" customFormat="1" spans="1:29">
      <c r="A2012" s="18" t="s">
        <v>4138</v>
      </c>
      <c r="B2012" s="25" t="s">
        <v>4138</v>
      </c>
      <c r="C2012" s="26">
        <v>45713</v>
      </c>
      <c r="D2012" s="18" t="s">
        <v>238</v>
      </c>
      <c r="E2012" s="18" t="str">
        <f t="shared" si="31"/>
        <v>Studio Merchandise Pvt Ltd</v>
      </c>
      <c r="F2012" s="27" t="s">
        <v>239</v>
      </c>
      <c r="G2012" s="18" t="s">
        <v>147</v>
      </c>
      <c r="H2012" s="18" t="s">
        <v>148</v>
      </c>
      <c r="I2012" s="18" t="s">
        <v>54</v>
      </c>
      <c r="J2012" s="18" t="s">
        <v>1253</v>
      </c>
      <c r="K2012" s="18" t="s">
        <v>56</v>
      </c>
      <c r="L2012" s="18" t="s">
        <v>36</v>
      </c>
      <c r="N2012" s="18">
        <v>6</v>
      </c>
      <c r="O2012" s="18" t="s">
        <v>88</v>
      </c>
      <c r="P2012" s="18" t="s">
        <v>38</v>
      </c>
      <c r="Q2012" s="18" t="s">
        <v>58</v>
      </c>
      <c r="R2012" s="18" t="s">
        <v>59</v>
      </c>
      <c r="S2012" s="18" t="s">
        <v>60</v>
      </c>
      <c r="T2012" s="18" t="b">
        <v>1</v>
      </c>
      <c r="U2012" s="18" t="s">
        <v>150</v>
      </c>
      <c r="V2012" s="18" t="s">
        <v>40</v>
      </c>
      <c r="W2012" s="18" t="s">
        <v>140</v>
      </c>
      <c r="X2012" s="18" t="s">
        <v>141</v>
      </c>
      <c r="Y2012" s="18">
        <v>1</v>
      </c>
      <c r="Z2012" s="18">
        <v>124800</v>
      </c>
      <c r="AA2012" s="18" t="s">
        <v>1718</v>
      </c>
      <c r="AB2012" s="18" t="s">
        <v>242</v>
      </c>
      <c r="AC2012" s="18" t="s">
        <v>163</v>
      </c>
    </row>
    <row r="2013" s="18" customFormat="1" spans="1:29">
      <c r="A2013" s="18" t="s">
        <v>4139</v>
      </c>
      <c r="B2013" s="25" t="s">
        <v>4139</v>
      </c>
      <c r="C2013" s="26">
        <v>45713</v>
      </c>
      <c r="D2013" s="18" t="s">
        <v>1357</v>
      </c>
      <c r="E2013" s="18" t="str">
        <f t="shared" si="31"/>
        <v>H V Communication Pvt Ltd</v>
      </c>
      <c r="F2013" s="27" t="e">
        <v>#N/A</v>
      </c>
      <c r="G2013" s="18" t="s">
        <v>147</v>
      </c>
      <c r="H2013" s="18" t="s">
        <v>148</v>
      </c>
      <c r="I2013" s="18" t="s">
        <v>159</v>
      </c>
      <c r="J2013" s="18" t="s">
        <v>395</v>
      </c>
      <c r="K2013" s="18" t="s">
        <v>56</v>
      </c>
      <c r="L2013" s="18" t="s">
        <v>36</v>
      </c>
      <c r="N2013" s="18">
        <v>6</v>
      </c>
      <c r="O2013" s="18" t="s">
        <v>88</v>
      </c>
      <c r="P2013" s="18" t="s">
        <v>38</v>
      </c>
      <c r="Q2013" s="18" t="s">
        <v>58</v>
      </c>
      <c r="R2013" s="18" t="s">
        <v>59</v>
      </c>
      <c r="S2013" s="18" t="s">
        <v>60</v>
      </c>
      <c r="T2013" s="18" t="b">
        <v>1</v>
      </c>
      <c r="U2013" s="18" t="s">
        <v>150</v>
      </c>
      <c r="V2013" s="18" t="s">
        <v>40</v>
      </c>
      <c r="W2013" s="18" t="s">
        <v>371</v>
      </c>
      <c r="X2013" s="18" t="s">
        <v>372</v>
      </c>
      <c r="Y2013" s="18">
        <v>1</v>
      </c>
      <c r="Z2013" s="18">
        <v>28400</v>
      </c>
      <c r="AA2013" s="18" t="s">
        <v>3532</v>
      </c>
      <c r="AB2013" s="18" t="s">
        <v>1182</v>
      </c>
      <c r="AC2013" s="18" t="s">
        <v>163</v>
      </c>
    </row>
    <row r="2014" s="18" customFormat="1" spans="1:29">
      <c r="A2014" s="18" t="s">
        <v>4140</v>
      </c>
      <c r="B2014" s="25" t="s">
        <v>4140</v>
      </c>
      <c r="C2014" s="26">
        <v>45713</v>
      </c>
      <c r="D2014" s="18" t="s">
        <v>2894</v>
      </c>
      <c r="E2014" s="18" t="str">
        <f t="shared" si="31"/>
        <v>Jatin Arora  </v>
      </c>
      <c r="F2014" s="27" t="s">
        <v>2895</v>
      </c>
      <c r="G2014" s="18" t="s">
        <v>147</v>
      </c>
      <c r="H2014" s="18" t="s">
        <v>148</v>
      </c>
      <c r="I2014" s="18" t="s">
        <v>54</v>
      </c>
      <c r="J2014" s="18" t="s">
        <v>1426</v>
      </c>
      <c r="K2014" s="18" t="s">
        <v>56</v>
      </c>
      <c r="L2014" s="18" t="s">
        <v>36</v>
      </c>
      <c r="N2014" s="18">
        <v>6</v>
      </c>
      <c r="O2014" s="18" t="s">
        <v>93</v>
      </c>
      <c r="P2014" s="18" t="s">
        <v>38</v>
      </c>
      <c r="Q2014" s="18" t="s">
        <v>58</v>
      </c>
      <c r="R2014" s="18" t="s">
        <v>59</v>
      </c>
      <c r="S2014" s="18" t="s">
        <v>60</v>
      </c>
      <c r="T2014" s="18" t="b">
        <v>1</v>
      </c>
      <c r="U2014" s="18" t="s">
        <v>150</v>
      </c>
      <c r="V2014" s="18" t="s">
        <v>40</v>
      </c>
      <c r="W2014" s="18" t="s">
        <v>233</v>
      </c>
      <c r="X2014" s="18" t="s">
        <v>234</v>
      </c>
      <c r="Y2014" s="18">
        <v>1</v>
      </c>
      <c r="Z2014" s="18">
        <v>3552</v>
      </c>
      <c r="AA2014" s="18" t="s">
        <v>3532</v>
      </c>
      <c r="AB2014" s="18" t="s">
        <v>1182</v>
      </c>
      <c r="AC2014" s="18" t="e">
        <v>#N/A</v>
      </c>
    </row>
    <row r="2015" s="18" customFormat="1" spans="1:29">
      <c r="A2015" s="18" t="s">
        <v>4141</v>
      </c>
      <c r="B2015" s="25" t="s">
        <v>4141</v>
      </c>
      <c r="C2015" s="26">
        <v>45713</v>
      </c>
      <c r="D2015" s="18" t="s">
        <v>2894</v>
      </c>
      <c r="E2015" s="18" t="str">
        <f t="shared" si="31"/>
        <v>Jatin Arora  </v>
      </c>
      <c r="F2015" s="27" t="s">
        <v>2895</v>
      </c>
      <c r="G2015" s="18" t="s">
        <v>147</v>
      </c>
      <c r="H2015" s="18" t="s">
        <v>148</v>
      </c>
      <c r="I2015" s="18" t="s">
        <v>54</v>
      </c>
      <c r="J2015" s="18" t="s">
        <v>2464</v>
      </c>
      <c r="K2015" s="18" t="s">
        <v>56</v>
      </c>
      <c r="L2015" s="18" t="s">
        <v>36</v>
      </c>
      <c r="N2015" s="18">
        <v>6</v>
      </c>
      <c r="O2015" s="18" t="s">
        <v>93</v>
      </c>
      <c r="P2015" s="18" t="s">
        <v>38</v>
      </c>
      <c r="Q2015" s="18" t="s">
        <v>58</v>
      </c>
      <c r="R2015" s="18" t="s">
        <v>59</v>
      </c>
      <c r="S2015" s="18" t="s">
        <v>60</v>
      </c>
      <c r="T2015" s="18" t="b">
        <v>1</v>
      </c>
      <c r="U2015" s="18" t="s">
        <v>150</v>
      </c>
      <c r="V2015" s="18" t="s">
        <v>40</v>
      </c>
      <c r="W2015" s="18" t="s">
        <v>126</v>
      </c>
      <c r="X2015" s="18" t="s">
        <v>127</v>
      </c>
      <c r="Y2015" s="18">
        <v>1</v>
      </c>
      <c r="Z2015" s="18">
        <v>1812</v>
      </c>
      <c r="AA2015" s="18" t="s">
        <v>3532</v>
      </c>
      <c r="AB2015" s="18" t="s">
        <v>1182</v>
      </c>
      <c r="AC2015" s="18" t="e">
        <v>#N/A</v>
      </c>
    </row>
    <row r="2016" s="19" customFormat="1" ht="43.5" spans="1:29">
      <c r="A2016" s="19" t="s">
        <v>4142</v>
      </c>
      <c r="B2016" s="28" t="s">
        <v>4142</v>
      </c>
      <c r="C2016" s="29">
        <v>45713</v>
      </c>
      <c r="D2016" s="19" t="s">
        <v>1257</v>
      </c>
      <c r="E2016" s="19" t="str">
        <f t="shared" si="31"/>
        <v>Dell International Services India Pvt Ltd (CR)</v>
      </c>
      <c r="F2016" s="30" t="e">
        <v>#N/A</v>
      </c>
      <c r="G2016" s="19" t="s">
        <v>182</v>
      </c>
      <c r="H2016" s="19" t="s">
        <v>473</v>
      </c>
      <c r="I2016" s="19" t="s">
        <v>184</v>
      </c>
      <c r="K2016" s="19" t="s">
        <v>35</v>
      </c>
      <c r="L2016" s="19" t="s">
        <v>36</v>
      </c>
      <c r="N2016" s="19">
        <v>6</v>
      </c>
      <c r="O2016" s="19" t="s">
        <v>57</v>
      </c>
      <c r="P2016" s="19" t="s">
        <v>38</v>
      </c>
      <c r="T2016" s="19" t="b">
        <v>0</v>
      </c>
      <c r="U2016" s="19" t="s">
        <v>187</v>
      </c>
      <c r="V2016" s="19" t="s">
        <v>40</v>
      </c>
      <c r="W2016" s="19" t="s">
        <v>1271</v>
      </c>
      <c r="X2016" s="19" t="e">
        <v>#N/A</v>
      </c>
      <c r="Y2016" s="19">
        <v>1</v>
      </c>
      <c r="Z2016" s="19">
        <v>130240</v>
      </c>
      <c r="AA2016" s="32" t="s">
        <v>2826</v>
      </c>
      <c r="AB2016" s="19" t="s">
        <v>993</v>
      </c>
      <c r="AC2016" s="19" t="s">
        <v>200</v>
      </c>
    </row>
    <row r="2017" s="18" customFormat="1" spans="1:29">
      <c r="A2017" s="18" t="s">
        <v>4143</v>
      </c>
      <c r="B2017" s="25" t="s">
        <v>4143</v>
      </c>
      <c r="C2017" s="26">
        <v>45713</v>
      </c>
      <c r="D2017" s="18" t="s">
        <v>1203</v>
      </c>
      <c r="E2017" s="18" t="str">
        <f t="shared" si="31"/>
        <v>Padmakar Jadhav </v>
      </c>
      <c r="F2017" s="27" t="e">
        <v>#N/A</v>
      </c>
      <c r="G2017" s="18" t="s">
        <v>182</v>
      </c>
      <c r="H2017" s="18" t="s">
        <v>183</v>
      </c>
      <c r="I2017" s="18" t="s">
        <v>481</v>
      </c>
      <c r="J2017" s="18" t="s">
        <v>1871</v>
      </c>
      <c r="K2017" s="18" t="s">
        <v>56</v>
      </c>
      <c r="L2017" s="18" t="s">
        <v>36</v>
      </c>
      <c r="N2017" s="18">
        <v>6</v>
      </c>
      <c r="O2017" s="18" t="s">
        <v>93</v>
      </c>
      <c r="P2017" s="18" t="s">
        <v>38</v>
      </c>
      <c r="Q2017" s="18" t="s">
        <v>117</v>
      </c>
      <c r="R2017" s="18" t="s">
        <v>59</v>
      </c>
      <c r="S2017" s="18" t="s">
        <v>118</v>
      </c>
      <c r="T2017" s="18" t="b">
        <v>0</v>
      </c>
      <c r="U2017" s="18" t="s">
        <v>187</v>
      </c>
      <c r="V2017" s="18" t="s">
        <v>40</v>
      </c>
      <c r="W2017" s="18" t="s">
        <v>126</v>
      </c>
      <c r="X2017" s="18" t="s">
        <v>127</v>
      </c>
      <c r="Y2017" s="18">
        <v>1</v>
      </c>
      <c r="Z2017" s="18">
        <v>146</v>
      </c>
      <c r="AC2017" s="18" t="e">
        <v>#N/A</v>
      </c>
    </row>
    <row r="2018" s="18" customFormat="1" spans="1:29">
      <c r="A2018" s="18" t="s">
        <v>4144</v>
      </c>
      <c r="B2018" s="25" t="s">
        <v>4144</v>
      </c>
      <c r="C2018" s="26">
        <v>45713</v>
      </c>
      <c r="D2018" s="18" t="s">
        <v>4145</v>
      </c>
      <c r="E2018" s="18" t="str">
        <f t="shared" si="31"/>
        <v>Raj Ansari  </v>
      </c>
      <c r="F2018" s="27" t="e">
        <v>#N/A</v>
      </c>
      <c r="G2018" s="18" t="s">
        <v>182</v>
      </c>
      <c r="H2018" s="18" t="s">
        <v>183</v>
      </c>
      <c r="I2018" s="18" t="s">
        <v>481</v>
      </c>
      <c r="J2018" s="18" t="s">
        <v>3299</v>
      </c>
      <c r="K2018" s="18" t="s">
        <v>56</v>
      </c>
      <c r="L2018" s="18" t="s">
        <v>36</v>
      </c>
      <c r="N2018" s="18">
        <v>6</v>
      </c>
      <c r="O2018" s="18" t="s">
        <v>93</v>
      </c>
      <c r="P2018" s="18" t="s">
        <v>38</v>
      </c>
      <c r="Q2018" s="18" t="s">
        <v>194</v>
      </c>
      <c r="R2018" s="18" t="s">
        <v>59</v>
      </c>
      <c r="S2018" s="18" t="s">
        <v>195</v>
      </c>
      <c r="T2018" s="18" t="b">
        <v>0</v>
      </c>
      <c r="U2018" s="18" t="s">
        <v>187</v>
      </c>
      <c r="V2018" s="18" t="s">
        <v>40</v>
      </c>
      <c r="W2018" s="18" t="s">
        <v>126</v>
      </c>
      <c r="X2018" s="18" t="s">
        <v>127</v>
      </c>
      <c r="Y2018" s="18">
        <v>1</v>
      </c>
      <c r="Z2018" s="18">
        <v>1057</v>
      </c>
      <c r="AC2018" s="18" t="e">
        <v>#N/A</v>
      </c>
    </row>
    <row r="2019" s="18" customFormat="1" spans="1:29">
      <c r="A2019" s="18" t="s">
        <v>4146</v>
      </c>
      <c r="B2019" s="25" t="s">
        <v>4146</v>
      </c>
      <c r="C2019" s="26">
        <v>45713</v>
      </c>
      <c r="D2019" s="18" t="s">
        <v>2853</v>
      </c>
      <c r="E2019" s="18" t="str">
        <f t="shared" si="31"/>
        <v>Abhishek Jadhav  </v>
      </c>
      <c r="F2019" s="27" t="e">
        <v>#N/A</v>
      </c>
      <c r="G2019" s="18" t="s">
        <v>182</v>
      </c>
      <c r="H2019" s="18" t="s">
        <v>183</v>
      </c>
      <c r="I2019" s="18" t="s">
        <v>481</v>
      </c>
      <c r="J2019" s="18" t="s">
        <v>2756</v>
      </c>
      <c r="K2019" s="18" t="s">
        <v>56</v>
      </c>
      <c r="L2019" s="18" t="s">
        <v>36</v>
      </c>
      <c r="N2019" s="18">
        <v>6</v>
      </c>
      <c r="O2019" s="18" t="s">
        <v>93</v>
      </c>
      <c r="P2019" s="18" t="s">
        <v>38</v>
      </c>
      <c r="Q2019" s="18" t="s">
        <v>194</v>
      </c>
      <c r="R2019" s="18" t="s">
        <v>59</v>
      </c>
      <c r="S2019" s="18" t="s">
        <v>195</v>
      </c>
      <c r="T2019" s="18" t="b">
        <v>0</v>
      </c>
      <c r="U2019" s="18" t="s">
        <v>187</v>
      </c>
      <c r="V2019" s="18" t="s">
        <v>40</v>
      </c>
      <c r="W2019" s="18" t="s">
        <v>412</v>
      </c>
      <c r="X2019" s="18" t="s">
        <v>413</v>
      </c>
      <c r="Y2019" s="18">
        <v>1</v>
      </c>
      <c r="Z2019" s="18">
        <v>1336</v>
      </c>
      <c r="AC2019" s="18" t="e">
        <v>#N/A</v>
      </c>
    </row>
    <row r="2020" s="18" customFormat="1" spans="1:29">
      <c r="A2020" s="18" t="s">
        <v>4147</v>
      </c>
      <c r="B2020" s="25" t="s">
        <v>4147</v>
      </c>
      <c r="C2020" s="26">
        <v>45713</v>
      </c>
      <c r="D2020" s="18" t="s">
        <v>860</v>
      </c>
      <c r="E2020" s="18" t="str">
        <f t="shared" si="31"/>
        <v>Mahendra Mane </v>
      </c>
      <c r="F2020" s="27" t="e">
        <v>#N/A</v>
      </c>
      <c r="G2020" s="18" t="s">
        <v>182</v>
      </c>
      <c r="H2020" s="18" t="s">
        <v>183</v>
      </c>
      <c r="I2020" s="18" t="s">
        <v>481</v>
      </c>
      <c r="J2020" s="18" t="s">
        <v>2277</v>
      </c>
      <c r="K2020" s="18" t="s">
        <v>56</v>
      </c>
      <c r="L2020" s="18" t="s">
        <v>36</v>
      </c>
      <c r="N2020" s="18">
        <v>6</v>
      </c>
      <c r="O2020" s="18" t="s">
        <v>93</v>
      </c>
      <c r="P2020" s="18" t="s">
        <v>38</v>
      </c>
      <c r="Q2020" s="18" t="s">
        <v>194</v>
      </c>
      <c r="R2020" s="18" t="s">
        <v>59</v>
      </c>
      <c r="S2020" s="18" t="s">
        <v>195</v>
      </c>
      <c r="T2020" s="18" t="b">
        <v>0</v>
      </c>
      <c r="U2020" s="18" t="s">
        <v>187</v>
      </c>
      <c r="V2020" s="18" t="s">
        <v>40</v>
      </c>
      <c r="W2020" s="18" t="s">
        <v>317</v>
      </c>
      <c r="X2020" s="18" t="s">
        <v>318</v>
      </c>
      <c r="Y2020" s="18">
        <v>1</v>
      </c>
      <c r="Z2020" s="18">
        <v>1875</v>
      </c>
      <c r="AC2020" s="18" t="e">
        <v>#N/A</v>
      </c>
    </row>
    <row r="2021" s="18" customFormat="1" ht="43.5" spans="1:29">
      <c r="A2021" s="18" t="s">
        <v>4148</v>
      </c>
      <c r="B2021" s="25" t="s">
        <v>4148</v>
      </c>
      <c r="C2021" s="26">
        <v>45713</v>
      </c>
      <c r="D2021" s="18" t="s">
        <v>192</v>
      </c>
      <c r="E2021" s="18" t="str">
        <f t="shared" si="31"/>
        <v>Noaman Digital Partnership Firm</v>
      </c>
      <c r="F2021" s="27" t="e">
        <v>#N/A</v>
      </c>
      <c r="G2021" s="18" t="s">
        <v>182</v>
      </c>
      <c r="H2021" s="18" t="s">
        <v>183</v>
      </c>
      <c r="I2021" s="18" t="s">
        <v>184</v>
      </c>
      <c r="J2021" s="18" t="s">
        <v>2953</v>
      </c>
      <c r="K2021" s="18" t="s">
        <v>56</v>
      </c>
      <c r="L2021" s="18" t="s">
        <v>36</v>
      </c>
      <c r="N2021" s="18">
        <v>6</v>
      </c>
      <c r="O2021" s="18" t="s">
        <v>88</v>
      </c>
      <c r="P2021" s="18" t="s">
        <v>38</v>
      </c>
      <c r="Q2021" s="18" t="s">
        <v>194</v>
      </c>
      <c r="R2021" s="18" t="s">
        <v>59</v>
      </c>
      <c r="S2021" s="18" t="s">
        <v>195</v>
      </c>
      <c r="T2021" s="18" t="b">
        <v>0</v>
      </c>
      <c r="U2021" s="18" t="s">
        <v>187</v>
      </c>
      <c r="V2021" s="18" t="s">
        <v>40</v>
      </c>
      <c r="W2021" s="18" t="s">
        <v>196</v>
      </c>
      <c r="X2021" s="18" t="s">
        <v>197</v>
      </c>
      <c r="Y2021" s="18">
        <v>1</v>
      </c>
      <c r="Z2021" s="18">
        <v>365536.25</v>
      </c>
      <c r="AA2021" s="31" t="s">
        <v>3266</v>
      </c>
      <c r="AB2021" s="18" t="s">
        <v>985</v>
      </c>
      <c r="AC2021" s="18" t="s">
        <v>200</v>
      </c>
    </row>
    <row r="2022" s="18" customFormat="1" spans="1:29">
      <c r="A2022" s="18" t="s">
        <v>4149</v>
      </c>
      <c r="B2022" s="25" t="s">
        <v>4149</v>
      </c>
      <c r="C2022" s="26">
        <v>45713</v>
      </c>
      <c r="D2022" s="18" t="s">
        <v>4150</v>
      </c>
      <c r="E2022" s="18" t="str">
        <f t="shared" si="31"/>
        <v>Omar Khan  </v>
      </c>
      <c r="F2022" s="27" t="e">
        <v>#N/A</v>
      </c>
      <c r="G2022" s="18" t="s">
        <v>182</v>
      </c>
      <c r="H2022" s="18" t="s">
        <v>183</v>
      </c>
      <c r="I2022" s="18" t="s">
        <v>481</v>
      </c>
      <c r="J2022" s="18" t="s">
        <v>2591</v>
      </c>
      <c r="K2022" s="18" t="s">
        <v>56</v>
      </c>
      <c r="L2022" s="18" t="s">
        <v>36</v>
      </c>
      <c r="N2022" s="18">
        <v>6</v>
      </c>
      <c r="O2022" s="18" t="s">
        <v>93</v>
      </c>
      <c r="P2022" s="18" t="s">
        <v>38</v>
      </c>
      <c r="Q2022" s="18" t="s">
        <v>194</v>
      </c>
      <c r="R2022" s="18" t="s">
        <v>59</v>
      </c>
      <c r="S2022" s="18" t="s">
        <v>195</v>
      </c>
      <c r="T2022" s="18" t="b">
        <v>0</v>
      </c>
      <c r="U2022" s="18" t="s">
        <v>187</v>
      </c>
      <c r="V2022" s="18" t="s">
        <v>40</v>
      </c>
      <c r="W2022" s="18" t="s">
        <v>126</v>
      </c>
      <c r="X2022" s="18" t="s">
        <v>127</v>
      </c>
      <c r="Y2022" s="18">
        <v>1</v>
      </c>
      <c r="Z2022" s="18">
        <v>1374</v>
      </c>
      <c r="AC2022" s="18" t="e">
        <v>#N/A</v>
      </c>
    </row>
    <row r="2023" s="18" customFormat="1" spans="1:29">
      <c r="A2023" s="18" t="s">
        <v>4151</v>
      </c>
      <c r="B2023" s="25" t="s">
        <v>4151</v>
      </c>
      <c r="C2023" s="26">
        <v>45713</v>
      </c>
      <c r="D2023" s="18" t="s">
        <v>3431</v>
      </c>
      <c r="E2023" s="18" t="str">
        <f t="shared" si="31"/>
        <v>Mehraan Shaikh  </v>
      </c>
      <c r="F2023" s="27" t="e">
        <v>#N/A</v>
      </c>
      <c r="G2023" s="18" t="s">
        <v>182</v>
      </c>
      <c r="H2023" s="18" t="s">
        <v>183</v>
      </c>
      <c r="I2023" s="18" t="s">
        <v>481</v>
      </c>
      <c r="J2023" s="18" t="s">
        <v>3123</v>
      </c>
      <c r="K2023" s="18" t="s">
        <v>56</v>
      </c>
      <c r="L2023" s="18" t="s">
        <v>36</v>
      </c>
      <c r="N2023" s="18">
        <v>6</v>
      </c>
      <c r="O2023" s="18" t="s">
        <v>93</v>
      </c>
      <c r="P2023" s="18" t="s">
        <v>38</v>
      </c>
      <c r="Q2023" s="18" t="s">
        <v>194</v>
      </c>
      <c r="R2023" s="18" t="s">
        <v>59</v>
      </c>
      <c r="S2023" s="18" t="s">
        <v>195</v>
      </c>
      <c r="T2023" s="18" t="b">
        <v>0</v>
      </c>
      <c r="U2023" s="18" t="s">
        <v>187</v>
      </c>
      <c r="V2023" s="18" t="s">
        <v>40</v>
      </c>
      <c r="W2023" s="18" t="s">
        <v>126</v>
      </c>
      <c r="X2023" s="18" t="s">
        <v>127</v>
      </c>
      <c r="Y2023" s="18">
        <v>1</v>
      </c>
      <c r="Z2023" s="18">
        <v>3859</v>
      </c>
      <c r="AC2023" s="18" t="e">
        <v>#N/A</v>
      </c>
    </row>
    <row r="2024" s="18" customFormat="1" spans="1:29">
      <c r="A2024" s="18" t="s">
        <v>4152</v>
      </c>
      <c r="B2024" s="25" t="s">
        <v>4152</v>
      </c>
      <c r="C2024" s="26">
        <v>45713</v>
      </c>
      <c r="D2024" s="18" t="s">
        <v>1209</v>
      </c>
      <c r="E2024" s="18" t="str">
        <f t="shared" si="31"/>
        <v>Hemanshu Sawant  </v>
      </c>
      <c r="F2024" s="27" t="e">
        <v>#N/A</v>
      </c>
      <c r="G2024" s="18" t="s">
        <v>182</v>
      </c>
      <c r="H2024" s="18" t="s">
        <v>183</v>
      </c>
      <c r="I2024" s="18" t="s">
        <v>481</v>
      </c>
      <c r="J2024" s="18" t="s">
        <v>2690</v>
      </c>
      <c r="K2024" s="18" t="s">
        <v>56</v>
      </c>
      <c r="L2024" s="18" t="s">
        <v>36</v>
      </c>
      <c r="N2024" s="18">
        <v>6</v>
      </c>
      <c r="O2024" s="18" t="s">
        <v>93</v>
      </c>
      <c r="P2024" s="18" t="s">
        <v>38</v>
      </c>
      <c r="Q2024" s="18" t="s">
        <v>194</v>
      </c>
      <c r="R2024" s="18" t="s">
        <v>59</v>
      </c>
      <c r="S2024" s="18" t="s">
        <v>195</v>
      </c>
      <c r="T2024" s="18" t="b">
        <v>0</v>
      </c>
      <c r="U2024" s="18" t="s">
        <v>187</v>
      </c>
      <c r="V2024" s="18" t="s">
        <v>40</v>
      </c>
      <c r="W2024" s="18" t="s">
        <v>126</v>
      </c>
      <c r="X2024" s="18" t="s">
        <v>127</v>
      </c>
      <c r="Y2024" s="18">
        <v>1</v>
      </c>
      <c r="Z2024" s="18">
        <v>3486.41</v>
      </c>
      <c r="AC2024" s="18" t="e">
        <v>#N/A</v>
      </c>
    </row>
    <row r="2025" s="18" customFormat="1" spans="1:29">
      <c r="A2025" s="18" t="s">
        <v>4153</v>
      </c>
      <c r="B2025" s="25" t="s">
        <v>4153</v>
      </c>
      <c r="C2025" s="26">
        <v>45713</v>
      </c>
      <c r="D2025" s="18" t="s">
        <v>860</v>
      </c>
      <c r="E2025" s="18" t="str">
        <f t="shared" si="31"/>
        <v>Mahendra Mane </v>
      </c>
      <c r="F2025" s="27" t="e">
        <v>#N/A</v>
      </c>
      <c r="G2025" s="18" t="s">
        <v>182</v>
      </c>
      <c r="H2025" s="18" t="s">
        <v>183</v>
      </c>
      <c r="I2025" s="18" t="s">
        <v>481</v>
      </c>
      <c r="J2025" s="18" t="s">
        <v>2707</v>
      </c>
      <c r="K2025" s="18" t="s">
        <v>56</v>
      </c>
      <c r="L2025" s="18" t="s">
        <v>36</v>
      </c>
      <c r="N2025" s="18">
        <v>6</v>
      </c>
      <c r="O2025" s="18" t="s">
        <v>93</v>
      </c>
      <c r="P2025" s="18" t="s">
        <v>38</v>
      </c>
      <c r="Q2025" s="18" t="s">
        <v>194</v>
      </c>
      <c r="R2025" s="18" t="s">
        <v>59</v>
      </c>
      <c r="S2025" s="18" t="s">
        <v>195</v>
      </c>
      <c r="T2025" s="18" t="b">
        <v>0</v>
      </c>
      <c r="U2025" s="18" t="s">
        <v>187</v>
      </c>
      <c r="V2025" s="18" t="s">
        <v>40</v>
      </c>
      <c r="W2025" s="18" t="s">
        <v>126</v>
      </c>
      <c r="X2025" s="18" t="s">
        <v>127</v>
      </c>
      <c r="Y2025" s="18">
        <v>1</v>
      </c>
      <c r="Z2025" s="18">
        <v>550</v>
      </c>
      <c r="AC2025" s="18" t="e">
        <v>#N/A</v>
      </c>
    </row>
    <row r="2026" s="18" customFormat="1" spans="1:29">
      <c r="A2026" s="18" t="s">
        <v>4154</v>
      </c>
      <c r="B2026" s="25" t="s">
        <v>4154</v>
      </c>
      <c r="C2026" s="26">
        <v>45713</v>
      </c>
      <c r="D2026" s="18" t="s">
        <v>1054</v>
      </c>
      <c r="E2026" s="18" t="str">
        <f t="shared" si="31"/>
        <v>Suresh Pardhle  </v>
      </c>
      <c r="F2026" s="27" t="e">
        <v>#N/A</v>
      </c>
      <c r="G2026" s="18" t="s">
        <v>182</v>
      </c>
      <c r="H2026" s="18" t="s">
        <v>183</v>
      </c>
      <c r="I2026" s="18" t="s">
        <v>481</v>
      </c>
      <c r="J2026" s="18" t="s">
        <v>2591</v>
      </c>
      <c r="K2026" s="18" t="s">
        <v>56</v>
      </c>
      <c r="L2026" s="18" t="s">
        <v>36</v>
      </c>
      <c r="N2026" s="18">
        <v>6</v>
      </c>
      <c r="O2026" s="18" t="s">
        <v>93</v>
      </c>
      <c r="P2026" s="18" t="s">
        <v>38</v>
      </c>
      <c r="Q2026" s="18" t="s">
        <v>194</v>
      </c>
      <c r="R2026" s="18" t="s">
        <v>59</v>
      </c>
      <c r="S2026" s="18" t="s">
        <v>195</v>
      </c>
      <c r="T2026" s="18" t="b">
        <v>0</v>
      </c>
      <c r="U2026" s="18" t="s">
        <v>187</v>
      </c>
      <c r="V2026" s="18" t="s">
        <v>40</v>
      </c>
      <c r="W2026" s="18" t="s">
        <v>126</v>
      </c>
      <c r="X2026" s="18" t="s">
        <v>127</v>
      </c>
      <c r="Y2026" s="18">
        <v>1</v>
      </c>
      <c r="Z2026" s="18">
        <v>88</v>
      </c>
      <c r="AC2026" s="18" t="e">
        <v>#N/A</v>
      </c>
    </row>
    <row r="2027" s="18" customFormat="1" spans="1:29">
      <c r="A2027" s="18" t="s">
        <v>4155</v>
      </c>
      <c r="B2027" s="25" t="s">
        <v>4155</v>
      </c>
      <c r="C2027" s="26">
        <v>45713</v>
      </c>
      <c r="D2027" s="18" t="s">
        <v>2030</v>
      </c>
      <c r="E2027" s="18" t="str">
        <f t="shared" si="31"/>
        <v>Sanil Thombare </v>
      </c>
      <c r="F2027" s="27" t="e">
        <v>#N/A</v>
      </c>
      <c r="G2027" s="18" t="s">
        <v>182</v>
      </c>
      <c r="H2027" s="18" t="s">
        <v>183</v>
      </c>
      <c r="I2027" s="18" t="s">
        <v>481</v>
      </c>
      <c r="J2027" s="18" t="s">
        <v>2690</v>
      </c>
      <c r="K2027" s="18" t="s">
        <v>56</v>
      </c>
      <c r="L2027" s="18" t="s">
        <v>36</v>
      </c>
      <c r="N2027" s="18">
        <v>6</v>
      </c>
      <c r="O2027" s="18" t="s">
        <v>93</v>
      </c>
      <c r="P2027" s="18" t="s">
        <v>38</v>
      </c>
      <c r="Q2027" s="18" t="s">
        <v>194</v>
      </c>
      <c r="R2027" s="18" t="s">
        <v>59</v>
      </c>
      <c r="S2027" s="18" t="s">
        <v>195</v>
      </c>
      <c r="T2027" s="18" t="b">
        <v>0</v>
      </c>
      <c r="U2027" s="18" t="s">
        <v>187</v>
      </c>
      <c r="V2027" s="18" t="s">
        <v>40</v>
      </c>
      <c r="W2027" s="18" t="s">
        <v>317</v>
      </c>
      <c r="X2027" s="18" t="s">
        <v>318</v>
      </c>
      <c r="Y2027" s="18">
        <v>1</v>
      </c>
      <c r="Z2027" s="18">
        <v>1105</v>
      </c>
      <c r="AC2027" s="18" t="e">
        <v>#N/A</v>
      </c>
    </row>
    <row r="2028" s="18" customFormat="1" spans="1:29">
      <c r="A2028" s="18" t="s">
        <v>4156</v>
      </c>
      <c r="B2028" s="25" t="s">
        <v>4156</v>
      </c>
      <c r="C2028" s="26">
        <v>45713</v>
      </c>
      <c r="D2028" s="18" t="s">
        <v>1054</v>
      </c>
      <c r="E2028" s="18" t="str">
        <f t="shared" si="31"/>
        <v>Suresh Pardhle  </v>
      </c>
      <c r="F2028" s="27" t="e">
        <v>#N/A</v>
      </c>
      <c r="G2028" s="18" t="s">
        <v>182</v>
      </c>
      <c r="H2028" s="18" t="s">
        <v>183</v>
      </c>
      <c r="I2028" s="18" t="s">
        <v>481</v>
      </c>
      <c r="J2028" s="18" t="s">
        <v>4157</v>
      </c>
      <c r="K2028" s="18" t="s">
        <v>56</v>
      </c>
      <c r="L2028" s="18" t="s">
        <v>36</v>
      </c>
      <c r="N2028" s="18">
        <v>6</v>
      </c>
      <c r="O2028" s="18" t="s">
        <v>93</v>
      </c>
      <c r="P2028" s="18" t="s">
        <v>38</v>
      </c>
      <c r="Q2028" s="18" t="s">
        <v>194</v>
      </c>
      <c r="R2028" s="18" t="s">
        <v>59</v>
      </c>
      <c r="S2028" s="18" t="s">
        <v>195</v>
      </c>
      <c r="T2028" s="18" t="b">
        <v>0</v>
      </c>
      <c r="U2028" s="18" t="s">
        <v>187</v>
      </c>
      <c r="V2028" s="18" t="s">
        <v>40</v>
      </c>
      <c r="W2028" s="18" t="s">
        <v>126</v>
      </c>
      <c r="X2028" s="18" t="s">
        <v>127</v>
      </c>
      <c r="Y2028" s="18">
        <v>1</v>
      </c>
      <c r="Z2028" s="18">
        <v>100</v>
      </c>
      <c r="AC2028" s="18" t="e">
        <v>#N/A</v>
      </c>
    </row>
    <row r="2029" s="18" customFormat="1" spans="1:29">
      <c r="A2029" s="18" t="s">
        <v>4158</v>
      </c>
      <c r="B2029" s="25" t="s">
        <v>4158</v>
      </c>
      <c r="C2029" s="26">
        <v>45713</v>
      </c>
      <c r="D2029" s="18" t="s">
        <v>1203</v>
      </c>
      <c r="E2029" s="18" t="str">
        <f t="shared" si="31"/>
        <v>Padmakar Jadhav </v>
      </c>
      <c r="F2029" s="27" t="e">
        <v>#N/A</v>
      </c>
      <c r="G2029" s="18" t="s">
        <v>182</v>
      </c>
      <c r="H2029" s="18" t="s">
        <v>183</v>
      </c>
      <c r="I2029" s="18" t="s">
        <v>481</v>
      </c>
      <c r="J2029" s="18" t="s">
        <v>4157</v>
      </c>
      <c r="K2029" s="18" t="s">
        <v>56</v>
      </c>
      <c r="L2029" s="18" t="s">
        <v>36</v>
      </c>
      <c r="N2029" s="18">
        <v>6</v>
      </c>
      <c r="O2029" s="18" t="s">
        <v>93</v>
      </c>
      <c r="P2029" s="18" t="s">
        <v>38</v>
      </c>
      <c r="Q2029" s="18" t="s">
        <v>194</v>
      </c>
      <c r="R2029" s="18" t="s">
        <v>59</v>
      </c>
      <c r="S2029" s="18" t="s">
        <v>195</v>
      </c>
      <c r="T2029" s="18" t="b">
        <v>0</v>
      </c>
      <c r="U2029" s="18" t="s">
        <v>187</v>
      </c>
      <c r="V2029" s="18" t="s">
        <v>40</v>
      </c>
      <c r="W2029" s="18" t="s">
        <v>317</v>
      </c>
      <c r="X2029" s="18" t="s">
        <v>318</v>
      </c>
      <c r="Y2029" s="18">
        <v>1</v>
      </c>
      <c r="Z2029" s="18">
        <v>1500</v>
      </c>
      <c r="AC2029" s="18" t="e">
        <v>#N/A</v>
      </c>
    </row>
    <row r="2030" s="18" customFormat="1" spans="1:29">
      <c r="A2030" s="18" t="s">
        <v>4159</v>
      </c>
      <c r="B2030" s="25" t="s">
        <v>4159</v>
      </c>
      <c r="C2030" s="26">
        <v>45713</v>
      </c>
      <c r="D2030" s="18" t="s">
        <v>1203</v>
      </c>
      <c r="E2030" s="18" t="str">
        <f t="shared" si="31"/>
        <v>Padmakar Jadhav </v>
      </c>
      <c r="F2030" s="27" t="e">
        <v>#N/A</v>
      </c>
      <c r="G2030" s="18" t="s">
        <v>182</v>
      </c>
      <c r="H2030" s="18" t="s">
        <v>183</v>
      </c>
      <c r="I2030" s="18" t="s">
        <v>481</v>
      </c>
      <c r="J2030" s="18" t="s">
        <v>3479</v>
      </c>
      <c r="K2030" s="18" t="s">
        <v>56</v>
      </c>
      <c r="L2030" s="18" t="s">
        <v>36</v>
      </c>
      <c r="N2030" s="18">
        <v>6</v>
      </c>
      <c r="O2030" s="18" t="s">
        <v>93</v>
      </c>
      <c r="P2030" s="18" t="s">
        <v>38</v>
      </c>
      <c r="Q2030" s="18" t="s">
        <v>194</v>
      </c>
      <c r="R2030" s="18" t="s">
        <v>59</v>
      </c>
      <c r="S2030" s="18" t="s">
        <v>195</v>
      </c>
      <c r="T2030" s="18" t="b">
        <v>0</v>
      </c>
      <c r="U2030" s="18" t="s">
        <v>187</v>
      </c>
      <c r="V2030" s="18" t="s">
        <v>40</v>
      </c>
      <c r="W2030" s="18" t="s">
        <v>205</v>
      </c>
      <c r="X2030" s="18" t="s">
        <v>205</v>
      </c>
      <c r="Y2030" s="18">
        <v>1</v>
      </c>
      <c r="Z2030" s="18">
        <v>550</v>
      </c>
      <c r="AC2030" s="18" t="e">
        <v>#N/A</v>
      </c>
    </row>
    <row r="2031" s="18" customFormat="1" spans="1:29">
      <c r="A2031" s="18" t="s">
        <v>4160</v>
      </c>
      <c r="B2031" s="25" t="s">
        <v>4160</v>
      </c>
      <c r="C2031" s="26">
        <v>45713</v>
      </c>
      <c r="D2031" s="18" t="s">
        <v>1203</v>
      </c>
      <c r="E2031" s="18" t="str">
        <f t="shared" si="31"/>
        <v>Padmakar Jadhav </v>
      </c>
      <c r="F2031" s="27" t="e">
        <v>#N/A</v>
      </c>
      <c r="G2031" s="18" t="s">
        <v>182</v>
      </c>
      <c r="H2031" s="18" t="s">
        <v>183</v>
      </c>
      <c r="I2031" s="18" t="s">
        <v>481</v>
      </c>
      <c r="J2031" s="18" t="s">
        <v>2690</v>
      </c>
      <c r="K2031" s="18" t="s">
        <v>56</v>
      </c>
      <c r="L2031" s="18" t="s">
        <v>36</v>
      </c>
      <c r="N2031" s="18">
        <v>6</v>
      </c>
      <c r="O2031" s="18" t="s">
        <v>93</v>
      </c>
      <c r="P2031" s="18" t="s">
        <v>38</v>
      </c>
      <c r="Q2031" s="18" t="s">
        <v>194</v>
      </c>
      <c r="R2031" s="18" t="s">
        <v>59</v>
      </c>
      <c r="S2031" s="18" t="s">
        <v>195</v>
      </c>
      <c r="T2031" s="18" t="b">
        <v>0</v>
      </c>
      <c r="U2031" s="18" t="s">
        <v>187</v>
      </c>
      <c r="V2031" s="18" t="s">
        <v>40</v>
      </c>
      <c r="W2031" s="18" t="s">
        <v>317</v>
      </c>
      <c r="X2031" s="18" t="s">
        <v>318</v>
      </c>
      <c r="Y2031" s="18">
        <v>1</v>
      </c>
      <c r="Z2031" s="18">
        <v>3200</v>
      </c>
      <c r="AC2031" s="18" t="e">
        <v>#N/A</v>
      </c>
    </row>
    <row r="2032" s="18" customFormat="1" spans="1:29">
      <c r="A2032" s="18" t="s">
        <v>4161</v>
      </c>
      <c r="B2032" s="25" t="s">
        <v>4161</v>
      </c>
      <c r="C2032" s="26">
        <v>45713</v>
      </c>
      <c r="D2032" s="18" t="s">
        <v>860</v>
      </c>
      <c r="E2032" s="18" t="str">
        <f t="shared" si="31"/>
        <v>Mahendra Mane </v>
      </c>
      <c r="F2032" s="27" t="e">
        <v>#N/A</v>
      </c>
      <c r="G2032" s="18" t="s">
        <v>182</v>
      </c>
      <c r="H2032" s="18" t="s">
        <v>183</v>
      </c>
      <c r="I2032" s="18" t="s">
        <v>481</v>
      </c>
      <c r="J2032" s="18" t="s">
        <v>2417</v>
      </c>
      <c r="K2032" s="18" t="s">
        <v>56</v>
      </c>
      <c r="L2032" s="18" t="s">
        <v>36</v>
      </c>
      <c r="N2032" s="18">
        <v>6</v>
      </c>
      <c r="O2032" s="18" t="s">
        <v>93</v>
      </c>
      <c r="P2032" s="18" t="s">
        <v>38</v>
      </c>
      <c r="Q2032" s="18" t="s">
        <v>194</v>
      </c>
      <c r="R2032" s="18" t="s">
        <v>59</v>
      </c>
      <c r="S2032" s="18" t="s">
        <v>195</v>
      </c>
      <c r="T2032" s="18" t="b">
        <v>0</v>
      </c>
      <c r="U2032" s="18" t="s">
        <v>187</v>
      </c>
      <c r="V2032" s="18" t="s">
        <v>40</v>
      </c>
      <c r="W2032" s="18" t="s">
        <v>1055</v>
      </c>
      <c r="X2032" s="18" t="s">
        <v>1056</v>
      </c>
      <c r="Y2032" s="18">
        <v>1</v>
      </c>
      <c r="Z2032" s="18">
        <v>2500</v>
      </c>
      <c r="AC2032" s="18" t="e">
        <v>#N/A</v>
      </c>
    </row>
    <row r="2033" s="18" customFormat="1" ht="43.5" spans="1:29">
      <c r="A2033" s="18" t="s">
        <v>4162</v>
      </c>
      <c r="B2033" s="25" t="s">
        <v>4162</v>
      </c>
      <c r="C2033" s="26">
        <v>45713</v>
      </c>
      <c r="D2033" s="18" t="s">
        <v>4163</v>
      </c>
      <c r="E2033" s="18" t="str">
        <f t="shared" si="31"/>
        <v>Navin Enterprises</v>
      </c>
      <c r="F2033" s="27" t="s">
        <v>4164</v>
      </c>
      <c r="G2033" s="18" t="s">
        <v>182</v>
      </c>
      <c r="H2033" s="18" t="s">
        <v>183</v>
      </c>
      <c r="I2033" s="18" t="s">
        <v>184</v>
      </c>
      <c r="J2033" s="18" t="s">
        <v>2736</v>
      </c>
      <c r="K2033" s="18" t="s">
        <v>56</v>
      </c>
      <c r="L2033" s="18" t="s">
        <v>36</v>
      </c>
      <c r="N2033" s="18">
        <v>6</v>
      </c>
      <c r="O2033" s="18" t="s">
        <v>88</v>
      </c>
      <c r="P2033" s="18" t="s">
        <v>38</v>
      </c>
      <c r="Q2033" s="18" t="s">
        <v>194</v>
      </c>
      <c r="R2033" s="18" t="s">
        <v>59</v>
      </c>
      <c r="S2033" s="18" t="s">
        <v>195</v>
      </c>
      <c r="T2033" s="18" t="b">
        <v>0</v>
      </c>
      <c r="U2033" s="18" t="s">
        <v>187</v>
      </c>
      <c r="V2033" s="18" t="s">
        <v>40</v>
      </c>
      <c r="W2033" s="18" t="s">
        <v>151</v>
      </c>
      <c r="X2033" s="18" t="s">
        <v>152</v>
      </c>
      <c r="Y2033" s="18">
        <v>1</v>
      </c>
      <c r="Z2033" s="18">
        <v>26600</v>
      </c>
      <c r="AA2033" s="31" t="s">
        <v>4165</v>
      </c>
      <c r="AB2033" s="18" t="s">
        <v>4166</v>
      </c>
      <c r="AC2033" s="18" t="s">
        <v>200</v>
      </c>
    </row>
    <row r="2034" s="18" customFormat="1" ht="43.5" spans="1:29">
      <c r="A2034" s="18" t="s">
        <v>4167</v>
      </c>
      <c r="B2034" s="25" t="s">
        <v>4167</v>
      </c>
      <c r="C2034" s="26">
        <v>45713</v>
      </c>
      <c r="D2034" s="18" t="s">
        <v>192</v>
      </c>
      <c r="E2034" s="18" t="str">
        <f t="shared" si="31"/>
        <v>Noaman Digital Partnership Firm</v>
      </c>
      <c r="F2034" s="27" t="e">
        <v>#N/A</v>
      </c>
      <c r="G2034" s="18" t="s">
        <v>182</v>
      </c>
      <c r="H2034" s="18" t="s">
        <v>183</v>
      </c>
      <c r="I2034" s="18" t="s">
        <v>184</v>
      </c>
      <c r="J2034" s="18" t="s">
        <v>3123</v>
      </c>
      <c r="K2034" s="18" t="s">
        <v>56</v>
      </c>
      <c r="L2034" s="18" t="s">
        <v>36</v>
      </c>
      <c r="N2034" s="18">
        <v>6</v>
      </c>
      <c r="O2034" s="18" t="s">
        <v>88</v>
      </c>
      <c r="P2034" s="18" t="s">
        <v>38</v>
      </c>
      <c r="Q2034" s="18" t="s">
        <v>194</v>
      </c>
      <c r="R2034" s="18" t="s">
        <v>59</v>
      </c>
      <c r="S2034" s="18" t="s">
        <v>195</v>
      </c>
      <c r="T2034" s="18" t="b">
        <v>0</v>
      </c>
      <c r="U2034" s="18" t="s">
        <v>187</v>
      </c>
      <c r="V2034" s="18" t="s">
        <v>40</v>
      </c>
      <c r="W2034" s="18" t="s">
        <v>196</v>
      </c>
      <c r="X2034" s="18" t="s">
        <v>197</v>
      </c>
      <c r="Y2034" s="18">
        <v>1</v>
      </c>
      <c r="Z2034" s="18">
        <v>73225</v>
      </c>
      <c r="AA2034" s="31" t="s">
        <v>3124</v>
      </c>
      <c r="AB2034" s="18" t="s">
        <v>570</v>
      </c>
      <c r="AC2034" s="18" t="s">
        <v>200</v>
      </c>
    </row>
    <row r="2035" s="18" customFormat="1" ht="43.5" spans="1:29">
      <c r="A2035" s="18" t="s">
        <v>4168</v>
      </c>
      <c r="B2035" s="25" t="s">
        <v>4168</v>
      </c>
      <c r="C2035" s="26">
        <v>45713</v>
      </c>
      <c r="D2035" s="18" t="s">
        <v>3472</v>
      </c>
      <c r="E2035" s="18" t="str">
        <f t="shared" si="31"/>
        <v>Yash Shah</v>
      </c>
      <c r="F2035" s="27" t="s">
        <v>3473</v>
      </c>
      <c r="G2035" s="18" t="s">
        <v>182</v>
      </c>
      <c r="H2035" s="18" t="s">
        <v>183</v>
      </c>
      <c r="I2035" s="18" t="s">
        <v>184</v>
      </c>
      <c r="J2035" s="18" t="s">
        <v>3123</v>
      </c>
      <c r="K2035" s="18" t="s">
        <v>56</v>
      </c>
      <c r="L2035" s="18" t="s">
        <v>36</v>
      </c>
      <c r="N2035" s="18">
        <v>6</v>
      </c>
      <c r="O2035" s="18" t="s">
        <v>57</v>
      </c>
      <c r="P2035" s="18" t="s">
        <v>38</v>
      </c>
      <c r="Q2035" s="18" t="s">
        <v>194</v>
      </c>
      <c r="R2035" s="18" t="s">
        <v>59</v>
      </c>
      <c r="S2035" s="18" t="s">
        <v>195</v>
      </c>
      <c r="T2035" s="18" t="b">
        <v>0</v>
      </c>
      <c r="U2035" s="18" t="s">
        <v>187</v>
      </c>
      <c r="V2035" s="18" t="s">
        <v>40</v>
      </c>
      <c r="W2035" s="18" t="s">
        <v>347</v>
      </c>
      <c r="X2035" s="18" t="s">
        <v>348</v>
      </c>
      <c r="Y2035" s="18">
        <v>1</v>
      </c>
      <c r="Z2035" s="18">
        <v>15000</v>
      </c>
      <c r="AA2035" s="31" t="s">
        <v>3124</v>
      </c>
      <c r="AB2035" s="18" t="s">
        <v>570</v>
      </c>
      <c r="AC2035" s="18" t="e">
        <v>#N/A</v>
      </c>
    </row>
    <row r="2036" s="18" customFormat="1" spans="1:29">
      <c r="A2036" s="18" t="s">
        <v>4169</v>
      </c>
      <c r="B2036" s="25" t="s">
        <v>4169</v>
      </c>
      <c r="C2036" s="26">
        <v>45713</v>
      </c>
      <c r="D2036" s="18" t="s">
        <v>732</v>
      </c>
      <c r="E2036" s="18" t="str">
        <f t="shared" si="31"/>
        <v>Musafir.Com India Pvt Ltd</v>
      </c>
      <c r="F2036" s="27" t="s">
        <v>733</v>
      </c>
      <c r="G2036" s="18" t="s">
        <v>182</v>
      </c>
      <c r="H2036" s="18" t="s">
        <v>183</v>
      </c>
      <c r="I2036" s="18" t="s">
        <v>184</v>
      </c>
      <c r="J2036" s="18" t="s">
        <v>486</v>
      </c>
      <c r="K2036" s="18" t="s">
        <v>56</v>
      </c>
      <c r="L2036" s="18" t="s">
        <v>36</v>
      </c>
      <c r="N2036" s="18">
        <v>6</v>
      </c>
      <c r="O2036" s="18" t="s">
        <v>57</v>
      </c>
      <c r="P2036" s="18" t="s">
        <v>38</v>
      </c>
      <c r="Q2036" s="18" t="s">
        <v>58</v>
      </c>
      <c r="R2036" s="18" t="s">
        <v>59</v>
      </c>
      <c r="S2036" s="18" t="s">
        <v>60</v>
      </c>
      <c r="T2036" s="18" t="b">
        <v>0</v>
      </c>
      <c r="U2036" s="18" t="s">
        <v>187</v>
      </c>
      <c r="V2036" s="18" t="s">
        <v>40</v>
      </c>
      <c r="W2036" s="18" t="s">
        <v>734</v>
      </c>
      <c r="X2036" s="18" t="s">
        <v>735</v>
      </c>
      <c r="Y2036" s="18">
        <v>1</v>
      </c>
      <c r="Z2036" s="18">
        <v>1193870</v>
      </c>
      <c r="AA2036" s="18" t="s">
        <v>736</v>
      </c>
      <c r="AB2036" s="18" t="s">
        <v>737</v>
      </c>
      <c r="AC2036" s="18" t="e">
        <v>#N/A</v>
      </c>
    </row>
    <row r="2037" s="18" customFormat="1" ht="43.5" spans="1:29">
      <c r="A2037" s="18" t="s">
        <v>4170</v>
      </c>
      <c r="B2037" s="25" t="s">
        <v>4170</v>
      </c>
      <c r="C2037" s="26">
        <v>45713</v>
      </c>
      <c r="D2037" s="18" t="s">
        <v>3191</v>
      </c>
      <c r="E2037" s="18" t="str">
        <f t="shared" si="31"/>
        <v>Blushfox Studios LLP</v>
      </c>
      <c r="F2037" s="27" t="s">
        <v>3192</v>
      </c>
      <c r="G2037" s="18" t="s">
        <v>182</v>
      </c>
      <c r="H2037" s="18" t="s">
        <v>183</v>
      </c>
      <c r="I2037" s="18" t="s">
        <v>184</v>
      </c>
      <c r="J2037" s="18" t="s">
        <v>3209</v>
      </c>
      <c r="K2037" s="18" t="s">
        <v>56</v>
      </c>
      <c r="L2037" s="18" t="s">
        <v>36</v>
      </c>
      <c r="N2037" s="18">
        <v>6</v>
      </c>
      <c r="O2037" s="18" t="s">
        <v>57</v>
      </c>
      <c r="P2037" s="18" t="s">
        <v>38</v>
      </c>
      <c r="Q2037" s="18" t="s">
        <v>194</v>
      </c>
      <c r="R2037" s="18" t="s">
        <v>59</v>
      </c>
      <c r="S2037" s="18" t="s">
        <v>195</v>
      </c>
      <c r="T2037" s="18" t="b">
        <v>0</v>
      </c>
      <c r="U2037" s="18" t="s">
        <v>187</v>
      </c>
      <c r="V2037" s="18" t="s">
        <v>40</v>
      </c>
      <c r="W2037" s="18" t="s">
        <v>401</v>
      </c>
      <c r="X2037" s="18" t="s">
        <v>402</v>
      </c>
      <c r="Y2037" s="18">
        <v>1</v>
      </c>
      <c r="Z2037" s="18">
        <v>45000</v>
      </c>
      <c r="AA2037" s="31" t="s">
        <v>3193</v>
      </c>
      <c r="AB2037" s="18" t="s">
        <v>199</v>
      </c>
      <c r="AC2037" s="18" t="e">
        <v>#N/A</v>
      </c>
    </row>
    <row r="2038" s="18" customFormat="1" ht="43.5" spans="1:29">
      <c r="A2038" s="18" t="s">
        <v>4171</v>
      </c>
      <c r="B2038" s="25" t="s">
        <v>4171</v>
      </c>
      <c r="C2038" s="26">
        <v>45713</v>
      </c>
      <c r="D2038" s="18" t="s">
        <v>192</v>
      </c>
      <c r="E2038" s="18" t="str">
        <f t="shared" si="31"/>
        <v>Noaman Digital Partnership Firm</v>
      </c>
      <c r="F2038" s="27" t="e">
        <v>#N/A</v>
      </c>
      <c r="G2038" s="18" t="s">
        <v>182</v>
      </c>
      <c r="H2038" s="18" t="s">
        <v>183</v>
      </c>
      <c r="I2038" s="18" t="s">
        <v>184</v>
      </c>
      <c r="J2038" s="18" t="s">
        <v>3209</v>
      </c>
      <c r="K2038" s="18" t="s">
        <v>56</v>
      </c>
      <c r="L2038" s="18" t="s">
        <v>36</v>
      </c>
      <c r="N2038" s="18">
        <v>6</v>
      </c>
      <c r="O2038" s="18" t="s">
        <v>88</v>
      </c>
      <c r="P2038" s="18" t="s">
        <v>38</v>
      </c>
      <c r="Q2038" s="18" t="s">
        <v>194</v>
      </c>
      <c r="R2038" s="18" t="s">
        <v>59</v>
      </c>
      <c r="S2038" s="18" t="s">
        <v>195</v>
      </c>
      <c r="T2038" s="18" t="b">
        <v>0</v>
      </c>
      <c r="U2038" s="18" t="s">
        <v>187</v>
      </c>
      <c r="V2038" s="18" t="s">
        <v>40</v>
      </c>
      <c r="W2038" s="18" t="s">
        <v>196</v>
      </c>
      <c r="X2038" s="18" t="s">
        <v>197</v>
      </c>
      <c r="Y2038" s="18">
        <v>1</v>
      </c>
      <c r="Z2038" s="18">
        <v>97173.75</v>
      </c>
      <c r="AA2038" s="31" t="s">
        <v>3193</v>
      </c>
      <c r="AB2038" s="18" t="s">
        <v>199</v>
      </c>
      <c r="AC2038" s="18" t="s">
        <v>200</v>
      </c>
    </row>
    <row r="2039" s="18" customFormat="1" ht="43.5" spans="1:29">
      <c r="A2039" s="18" t="s">
        <v>4172</v>
      </c>
      <c r="B2039" s="25" t="s">
        <v>4172</v>
      </c>
      <c r="C2039" s="26">
        <v>45713</v>
      </c>
      <c r="D2039" s="18" t="s">
        <v>192</v>
      </c>
      <c r="E2039" s="18" t="str">
        <f t="shared" si="31"/>
        <v>Noaman Digital Partnership Firm</v>
      </c>
      <c r="F2039" s="27" t="e">
        <v>#N/A</v>
      </c>
      <c r="G2039" s="18" t="s">
        <v>182</v>
      </c>
      <c r="H2039" s="18" t="s">
        <v>183</v>
      </c>
      <c r="I2039" s="18" t="s">
        <v>184</v>
      </c>
      <c r="J2039" s="18" t="s">
        <v>3246</v>
      </c>
      <c r="K2039" s="18" t="s">
        <v>56</v>
      </c>
      <c r="L2039" s="18" t="s">
        <v>36</v>
      </c>
      <c r="N2039" s="18">
        <v>6</v>
      </c>
      <c r="O2039" s="18" t="s">
        <v>88</v>
      </c>
      <c r="P2039" s="18" t="s">
        <v>38</v>
      </c>
      <c r="Q2039" s="18" t="s">
        <v>194</v>
      </c>
      <c r="R2039" s="18" t="s">
        <v>59</v>
      </c>
      <c r="S2039" s="18" t="s">
        <v>195</v>
      </c>
      <c r="T2039" s="18" t="b">
        <v>0</v>
      </c>
      <c r="U2039" s="18" t="s">
        <v>187</v>
      </c>
      <c r="V2039" s="18" t="s">
        <v>40</v>
      </c>
      <c r="W2039" s="18" t="s">
        <v>196</v>
      </c>
      <c r="X2039" s="18" t="s">
        <v>197</v>
      </c>
      <c r="Y2039" s="18">
        <v>1</v>
      </c>
      <c r="Z2039" s="18">
        <v>50975</v>
      </c>
      <c r="AA2039" s="31" t="s">
        <v>3193</v>
      </c>
      <c r="AB2039" s="18" t="s">
        <v>199</v>
      </c>
      <c r="AC2039" s="18" t="s">
        <v>200</v>
      </c>
    </row>
    <row r="2040" s="18" customFormat="1" ht="43.5" spans="1:29">
      <c r="A2040" s="18" t="s">
        <v>4173</v>
      </c>
      <c r="B2040" s="25" t="s">
        <v>4173</v>
      </c>
      <c r="C2040" s="26">
        <v>45713</v>
      </c>
      <c r="D2040" s="18" t="s">
        <v>572</v>
      </c>
      <c r="E2040" s="18" t="str">
        <f t="shared" si="31"/>
        <v>Emblaze Events (Sunita Harihar Sharma)</v>
      </c>
      <c r="F2040" s="27" t="s">
        <v>573</v>
      </c>
      <c r="G2040" s="18" t="s">
        <v>182</v>
      </c>
      <c r="H2040" s="18" t="s">
        <v>183</v>
      </c>
      <c r="I2040" s="18" t="s">
        <v>184</v>
      </c>
      <c r="J2040" s="18" t="s">
        <v>3209</v>
      </c>
      <c r="K2040" s="18" t="s">
        <v>56</v>
      </c>
      <c r="L2040" s="18" t="s">
        <v>36</v>
      </c>
      <c r="N2040" s="18">
        <v>6</v>
      </c>
      <c r="O2040" s="18" t="s">
        <v>88</v>
      </c>
      <c r="P2040" s="18" t="s">
        <v>38</v>
      </c>
      <c r="Q2040" s="18" t="s">
        <v>194</v>
      </c>
      <c r="R2040" s="18" t="s">
        <v>59</v>
      </c>
      <c r="S2040" s="18" t="s">
        <v>195</v>
      </c>
      <c r="T2040" s="18" t="b">
        <v>0</v>
      </c>
      <c r="U2040" s="18" t="s">
        <v>187</v>
      </c>
      <c r="V2040" s="18" t="s">
        <v>40</v>
      </c>
      <c r="W2040" s="18" t="s">
        <v>292</v>
      </c>
      <c r="X2040" s="18" t="s">
        <v>293</v>
      </c>
      <c r="Y2040" s="18">
        <v>1</v>
      </c>
      <c r="Z2040" s="18">
        <v>18600</v>
      </c>
      <c r="AA2040" s="31" t="s">
        <v>3193</v>
      </c>
      <c r="AB2040" s="18" t="s">
        <v>199</v>
      </c>
      <c r="AC2040" s="18" t="s">
        <v>200</v>
      </c>
    </row>
    <row r="2041" s="18" customFormat="1" ht="43.5" spans="1:29">
      <c r="A2041" s="18" t="s">
        <v>4174</v>
      </c>
      <c r="B2041" s="25" t="s">
        <v>4174</v>
      </c>
      <c r="C2041" s="26">
        <v>45713</v>
      </c>
      <c r="D2041" s="18" t="s">
        <v>572</v>
      </c>
      <c r="E2041" s="18" t="str">
        <f t="shared" si="31"/>
        <v>Emblaze Events (Sunita Harihar Sharma)</v>
      </c>
      <c r="F2041" s="27" t="s">
        <v>573</v>
      </c>
      <c r="G2041" s="18" t="s">
        <v>182</v>
      </c>
      <c r="H2041" s="18" t="s">
        <v>183</v>
      </c>
      <c r="I2041" s="18" t="s">
        <v>184</v>
      </c>
      <c r="J2041" s="18" t="s">
        <v>3246</v>
      </c>
      <c r="K2041" s="18" t="s">
        <v>56</v>
      </c>
      <c r="L2041" s="18" t="s">
        <v>36</v>
      </c>
      <c r="N2041" s="18">
        <v>6</v>
      </c>
      <c r="O2041" s="18" t="s">
        <v>88</v>
      </c>
      <c r="P2041" s="18" t="s">
        <v>38</v>
      </c>
      <c r="Q2041" s="18" t="s">
        <v>194</v>
      </c>
      <c r="R2041" s="18" t="s">
        <v>59</v>
      </c>
      <c r="S2041" s="18" t="s">
        <v>195</v>
      </c>
      <c r="T2041" s="18" t="b">
        <v>0</v>
      </c>
      <c r="U2041" s="18" t="s">
        <v>187</v>
      </c>
      <c r="V2041" s="18" t="s">
        <v>40</v>
      </c>
      <c r="W2041" s="18" t="s">
        <v>292</v>
      </c>
      <c r="X2041" s="18" t="s">
        <v>293</v>
      </c>
      <c r="Y2041" s="18">
        <v>1</v>
      </c>
      <c r="Z2041" s="18">
        <v>36140</v>
      </c>
      <c r="AA2041" s="31" t="s">
        <v>3193</v>
      </c>
      <c r="AB2041" s="18" t="s">
        <v>199</v>
      </c>
      <c r="AC2041" s="18" t="s">
        <v>200</v>
      </c>
    </row>
    <row r="2042" s="18" customFormat="1" ht="43.5" spans="1:29">
      <c r="A2042" s="18" t="s">
        <v>4175</v>
      </c>
      <c r="B2042" s="25" t="s">
        <v>4175</v>
      </c>
      <c r="C2042" s="26">
        <v>45713</v>
      </c>
      <c r="D2042" s="18" t="s">
        <v>4176</v>
      </c>
      <c r="E2042" s="18" t="str">
        <f t="shared" si="31"/>
        <v>Osho Creation</v>
      </c>
      <c r="F2042" s="27" t="s">
        <v>4177</v>
      </c>
      <c r="G2042" s="18" t="s">
        <v>182</v>
      </c>
      <c r="H2042" s="18" t="s">
        <v>183</v>
      </c>
      <c r="I2042" s="18" t="s">
        <v>184</v>
      </c>
      <c r="J2042" s="18" t="s">
        <v>2736</v>
      </c>
      <c r="K2042" s="18" t="s">
        <v>56</v>
      </c>
      <c r="L2042" s="18" t="s">
        <v>36</v>
      </c>
      <c r="N2042" s="18">
        <v>6</v>
      </c>
      <c r="O2042" s="18" t="s">
        <v>57</v>
      </c>
      <c r="P2042" s="18" t="s">
        <v>38</v>
      </c>
      <c r="Q2042" s="18" t="s">
        <v>194</v>
      </c>
      <c r="R2042" s="18" t="s">
        <v>59</v>
      </c>
      <c r="S2042" s="18" t="s">
        <v>195</v>
      </c>
      <c r="T2042" s="18" t="b">
        <v>0</v>
      </c>
      <c r="U2042" s="18" t="s">
        <v>187</v>
      </c>
      <c r="V2042" s="18" t="s">
        <v>40</v>
      </c>
      <c r="W2042" s="18" t="s">
        <v>683</v>
      </c>
      <c r="X2042" s="18" t="s">
        <v>684</v>
      </c>
      <c r="Y2042" s="18">
        <v>1</v>
      </c>
      <c r="Z2042" s="18">
        <v>8000</v>
      </c>
      <c r="AA2042" s="31" t="s">
        <v>3237</v>
      </c>
      <c r="AB2042" s="18" t="s">
        <v>798</v>
      </c>
      <c r="AC2042" s="18" t="e">
        <v>#N/A</v>
      </c>
    </row>
    <row r="2043" s="18" customFormat="1" ht="43.5" spans="1:29">
      <c r="A2043" s="18" t="s">
        <v>4178</v>
      </c>
      <c r="B2043" s="25" t="s">
        <v>4178</v>
      </c>
      <c r="C2043" s="26">
        <v>45713</v>
      </c>
      <c r="D2043" s="18" t="s">
        <v>926</v>
      </c>
      <c r="E2043" s="18" t="str">
        <f t="shared" si="31"/>
        <v>A. J. Creation</v>
      </c>
      <c r="F2043" s="27" t="e">
        <v>#N/A</v>
      </c>
      <c r="G2043" s="18" t="s">
        <v>182</v>
      </c>
      <c r="H2043" s="18" t="s">
        <v>183</v>
      </c>
      <c r="I2043" s="18" t="s">
        <v>184</v>
      </c>
      <c r="J2043" s="18" t="s">
        <v>3620</v>
      </c>
      <c r="K2043" s="18" t="s">
        <v>56</v>
      </c>
      <c r="L2043" s="18" t="s">
        <v>36</v>
      </c>
      <c r="N2043" s="18">
        <v>6</v>
      </c>
      <c r="O2043" s="18" t="s">
        <v>88</v>
      </c>
      <c r="P2043" s="18" t="s">
        <v>38</v>
      </c>
      <c r="Q2043" s="18" t="s">
        <v>194</v>
      </c>
      <c r="R2043" s="18" t="s">
        <v>59</v>
      </c>
      <c r="S2043" s="18" t="s">
        <v>195</v>
      </c>
      <c r="T2043" s="18" t="b">
        <v>0</v>
      </c>
      <c r="U2043" s="18" t="s">
        <v>187</v>
      </c>
      <c r="V2043" s="18" t="s">
        <v>40</v>
      </c>
      <c r="W2043" s="18" t="s">
        <v>140</v>
      </c>
      <c r="X2043" s="18" t="s">
        <v>141</v>
      </c>
      <c r="Y2043" s="18">
        <v>1</v>
      </c>
      <c r="Z2043" s="18">
        <v>58725</v>
      </c>
      <c r="AA2043" s="31" t="s">
        <v>3621</v>
      </c>
      <c r="AB2043" s="18" t="s">
        <v>795</v>
      </c>
      <c r="AC2043" s="18" t="s">
        <v>200</v>
      </c>
    </row>
    <row r="2044" s="18" customFormat="1" ht="43.5" spans="1:29">
      <c r="A2044" s="18" t="s">
        <v>4179</v>
      </c>
      <c r="B2044" s="25" t="s">
        <v>4179</v>
      </c>
      <c r="C2044" s="26">
        <v>45713</v>
      </c>
      <c r="D2044" s="18" t="s">
        <v>192</v>
      </c>
      <c r="E2044" s="18" t="str">
        <f t="shared" ref="E2044:E2107" si="32">_xlfn.TEXTBEFORE(D2044,"-")</f>
        <v>Noaman Digital Partnership Firm</v>
      </c>
      <c r="F2044" s="27" t="e">
        <v>#N/A</v>
      </c>
      <c r="G2044" s="18" t="s">
        <v>182</v>
      </c>
      <c r="H2044" s="18" t="s">
        <v>183</v>
      </c>
      <c r="I2044" s="18" t="s">
        <v>184</v>
      </c>
      <c r="J2044" s="18" t="s">
        <v>2946</v>
      </c>
      <c r="K2044" s="18" t="s">
        <v>56</v>
      </c>
      <c r="L2044" s="18" t="s">
        <v>36</v>
      </c>
      <c r="N2044" s="18">
        <v>6</v>
      </c>
      <c r="O2044" s="18" t="s">
        <v>88</v>
      </c>
      <c r="P2044" s="18" t="s">
        <v>38</v>
      </c>
      <c r="Q2044" s="18" t="s">
        <v>194</v>
      </c>
      <c r="R2044" s="18" t="s">
        <v>59</v>
      </c>
      <c r="S2044" s="18" t="s">
        <v>195</v>
      </c>
      <c r="T2044" s="18" t="b">
        <v>0</v>
      </c>
      <c r="U2044" s="18" t="s">
        <v>187</v>
      </c>
      <c r="V2044" s="18" t="s">
        <v>40</v>
      </c>
      <c r="W2044" s="18" t="s">
        <v>196</v>
      </c>
      <c r="X2044" s="18" t="s">
        <v>197</v>
      </c>
      <c r="Y2044" s="18">
        <v>1</v>
      </c>
      <c r="Z2044" s="18">
        <v>95960</v>
      </c>
      <c r="AA2044" s="31" t="s">
        <v>2834</v>
      </c>
      <c r="AB2044" s="18" t="s">
        <v>259</v>
      </c>
      <c r="AC2044" s="18" t="s">
        <v>200</v>
      </c>
    </row>
    <row r="2045" s="18" customFormat="1" ht="43.5" spans="1:29">
      <c r="A2045" s="18" t="s">
        <v>4180</v>
      </c>
      <c r="B2045" s="25" t="s">
        <v>4180</v>
      </c>
      <c r="C2045" s="26">
        <v>45713</v>
      </c>
      <c r="D2045" s="18" t="s">
        <v>2594</v>
      </c>
      <c r="E2045" s="18" t="str">
        <f t="shared" si="32"/>
        <v>Sound Decisions.Com</v>
      </c>
      <c r="F2045" s="27" t="s">
        <v>2595</v>
      </c>
      <c r="G2045" s="18" t="s">
        <v>182</v>
      </c>
      <c r="H2045" s="18" t="s">
        <v>183</v>
      </c>
      <c r="I2045" s="18" t="s">
        <v>184</v>
      </c>
      <c r="J2045" s="18" t="s">
        <v>1880</v>
      </c>
      <c r="K2045" s="18" t="s">
        <v>56</v>
      </c>
      <c r="L2045" s="18" t="s">
        <v>36</v>
      </c>
      <c r="N2045" s="18">
        <v>6</v>
      </c>
      <c r="O2045" s="18" t="s">
        <v>57</v>
      </c>
      <c r="P2045" s="18" t="s">
        <v>38</v>
      </c>
      <c r="Q2045" s="18" t="s">
        <v>194</v>
      </c>
      <c r="R2045" s="18" t="s">
        <v>59</v>
      </c>
      <c r="S2045" s="18" t="s">
        <v>195</v>
      </c>
      <c r="T2045" s="18" t="b">
        <v>0</v>
      </c>
      <c r="U2045" s="18" t="s">
        <v>187</v>
      </c>
      <c r="V2045" s="18" t="s">
        <v>40</v>
      </c>
      <c r="W2045" s="18" t="s">
        <v>371</v>
      </c>
      <c r="X2045" s="18" t="s">
        <v>372</v>
      </c>
      <c r="Y2045" s="18">
        <v>1</v>
      </c>
      <c r="Z2045" s="18">
        <v>50000</v>
      </c>
      <c r="AA2045" s="31" t="s">
        <v>2857</v>
      </c>
      <c r="AB2045" s="18" t="s">
        <v>1944</v>
      </c>
      <c r="AC2045" s="18" t="s">
        <v>200</v>
      </c>
    </row>
    <row r="2046" s="18" customFormat="1" ht="43.5" spans="1:29">
      <c r="A2046" s="18" t="s">
        <v>4181</v>
      </c>
      <c r="B2046" s="25" t="s">
        <v>4181</v>
      </c>
      <c r="C2046" s="26">
        <v>45713</v>
      </c>
      <c r="D2046" s="18" t="s">
        <v>966</v>
      </c>
      <c r="E2046" s="18" t="str">
        <f t="shared" si="32"/>
        <v>Om Screen Art Events</v>
      </c>
      <c r="F2046" s="27" t="s">
        <v>967</v>
      </c>
      <c r="G2046" s="18" t="s">
        <v>182</v>
      </c>
      <c r="H2046" s="18" t="s">
        <v>183</v>
      </c>
      <c r="I2046" s="18" t="s">
        <v>184</v>
      </c>
      <c r="J2046" s="18" t="s">
        <v>1880</v>
      </c>
      <c r="K2046" s="18" t="s">
        <v>56</v>
      </c>
      <c r="L2046" s="18" t="s">
        <v>36</v>
      </c>
      <c r="N2046" s="18">
        <v>6</v>
      </c>
      <c r="O2046" s="18" t="s">
        <v>88</v>
      </c>
      <c r="P2046" s="18" t="s">
        <v>38</v>
      </c>
      <c r="Q2046" s="18" t="s">
        <v>194</v>
      </c>
      <c r="R2046" s="18" t="s">
        <v>59</v>
      </c>
      <c r="S2046" s="18" t="s">
        <v>195</v>
      </c>
      <c r="T2046" s="18" t="b">
        <v>0</v>
      </c>
      <c r="U2046" s="18" t="s">
        <v>187</v>
      </c>
      <c r="V2046" s="18" t="s">
        <v>40</v>
      </c>
      <c r="W2046" s="18" t="s">
        <v>151</v>
      </c>
      <c r="X2046" s="18" t="s">
        <v>152</v>
      </c>
      <c r="Y2046" s="18">
        <v>1</v>
      </c>
      <c r="Z2046" s="18">
        <v>45000</v>
      </c>
      <c r="AA2046" s="31" t="s">
        <v>2857</v>
      </c>
      <c r="AB2046" s="18" t="s">
        <v>1944</v>
      </c>
      <c r="AC2046" s="18" t="s">
        <v>200</v>
      </c>
    </row>
    <row r="2047" s="18" customFormat="1" ht="43.5" spans="1:29">
      <c r="A2047" s="18" t="s">
        <v>4182</v>
      </c>
      <c r="B2047" s="25" t="s">
        <v>4182</v>
      </c>
      <c r="C2047" s="26">
        <v>45713</v>
      </c>
      <c r="D2047" s="18" t="s">
        <v>4183</v>
      </c>
      <c r="E2047" s="18" t="str">
        <f t="shared" si="32"/>
        <v>UPS Rental Service (I) Pvt Ltd</v>
      </c>
      <c r="F2047" s="27" t="s">
        <v>4184</v>
      </c>
      <c r="G2047" s="18" t="s">
        <v>182</v>
      </c>
      <c r="H2047" s="18" t="s">
        <v>183</v>
      </c>
      <c r="I2047" s="18" t="s">
        <v>184</v>
      </c>
      <c r="J2047" s="18" t="s">
        <v>1880</v>
      </c>
      <c r="K2047" s="18" t="s">
        <v>56</v>
      </c>
      <c r="L2047" s="18" t="s">
        <v>36</v>
      </c>
      <c r="N2047" s="18">
        <v>6</v>
      </c>
      <c r="O2047" s="18" t="s">
        <v>88</v>
      </c>
      <c r="P2047" s="18" t="s">
        <v>38</v>
      </c>
      <c r="Q2047" s="18" t="s">
        <v>194</v>
      </c>
      <c r="R2047" s="18" t="s">
        <v>59</v>
      </c>
      <c r="S2047" s="18" t="s">
        <v>195</v>
      </c>
      <c r="T2047" s="18" t="b">
        <v>0</v>
      </c>
      <c r="U2047" s="18" t="s">
        <v>187</v>
      </c>
      <c r="V2047" s="18" t="s">
        <v>40</v>
      </c>
      <c r="W2047" s="18" t="s">
        <v>371</v>
      </c>
      <c r="X2047" s="18" t="s">
        <v>372</v>
      </c>
      <c r="Y2047" s="18">
        <v>1</v>
      </c>
      <c r="Z2047" s="18">
        <v>10000</v>
      </c>
      <c r="AA2047" s="31" t="s">
        <v>2857</v>
      </c>
      <c r="AB2047" s="18" t="s">
        <v>1944</v>
      </c>
      <c r="AC2047" s="18" t="s">
        <v>200</v>
      </c>
    </row>
    <row r="2048" s="18" customFormat="1" ht="43.5" spans="1:29">
      <c r="A2048" s="18" t="s">
        <v>4185</v>
      </c>
      <c r="B2048" s="25" t="s">
        <v>4185</v>
      </c>
      <c r="C2048" s="26">
        <v>45713</v>
      </c>
      <c r="D2048" s="18" t="s">
        <v>4186</v>
      </c>
      <c r="E2048" s="18" t="str">
        <f t="shared" si="32"/>
        <v>Reliance Industries Ltd</v>
      </c>
      <c r="F2048" s="27" t="s">
        <v>4187</v>
      </c>
      <c r="G2048" s="18" t="s">
        <v>182</v>
      </c>
      <c r="H2048" s="18" t="s">
        <v>183</v>
      </c>
      <c r="I2048" s="18" t="s">
        <v>184</v>
      </c>
      <c r="J2048" s="18" t="s">
        <v>4188</v>
      </c>
      <c r="K2048" s="18" t="s">
        <v>56</v>
      </c>
      <c r="L2048" s="18" t="s">
        <v>36</v>
      </c>
      <c r="N2048" s="18">
        <v>6</v>
      </c>
      <c r="O2048" s="18" t="s">
        <v>57</v>
      </c>
      <c r="P2048" s="18" t="s">
        <v>38</v>
      </c>
      <c r="Q2048" s="18" t="s">
        <v>194</v>
      </c>
      <c r="R2048" s="18" t="s">
        <v>59</v>
      </c>
      <c r="S2048" s="18" t="s">
        <v>195</v>
      </c>
      <c r="T2048" s="18" t="b">
        <v>0</v>
      </c>
      <c r="U2048" s="18" t="s">
        <v>187</v>
      </c>
      <c r="V2048" s="18" t="s">
        <v>40</v>
      </c>
      <c r="W2048" s="18" t="s">
        <v>276</v>
      </c>
      <c r="X2048" s="18" t="s">
        <v>276</v>
      </c>
      <c r="Y2048" s="18">
        <v>1</v>
      </c>
      <c r="Z2048" s="18">
        <v>387000</v>
      </c>
      <c r="AA2048" s="31" t="s">
        <v>3176</v>
      </c>
      <c r="AB2048" s="18" t="s">
        <v>1424</v>
      </c>
      <c r="AC2048" s="18" t="s">
        <v>676</v>
      </c>
    </row>
    <row r="2049" s="18" customFormat="1" ht="43.5" spans="1:29">
      <c r="A2049" s="18" t="s">
        <v>4189</v>
      </c>
      <c r="B2049" s="25" t="s">
        <v>4189</v>
      </c>
      <c r="C2049" s="26">
        <v>45714</v>
      </c>
      <c r="D2049" s="18" t="s">
        <v>1233</v>
      </c>
      <c r="E2049" s="18" t="str">
        <f t="shared" si="32"/>
        <v>Megascule</v>
      </c>
      <c r="F2049" s="27" t="e">
        <v>#N/A</v>
      </c>
      <c r="G2049" s="18" t="s">
        <v>32</v>
      </c>
      <c r="H2049" s="18" t="s">
        <v>33</v>
      </c>
      <c r="I2049" s="18" t="s">
        <v>184</v>
      </c>
      <c r="J2049" s="18" t="s">
        <v>4190</v>
      </c>
      <c r="K2049" s="18" t="s">
        <v>56</v>
      </c>
      <c r="L2049" s="18" t="s">
        <v>36</v>
      </c>
      <c r="N2049" s="18">
        <v>6</v>
      </c>
      <c r="O2049" s="18" t="s">
        <v>88</v>
      </c>
      <c r="P2049" s="18" t="s">
        <v>38</v>
      </c>
      <c r="Q2049" s="18" t="s">
        <v>194</v>
      </c>
      <c r="R2049" s="18" t="s">
        <v>59</v>
      </c>
      <c r="S2049" s="18" t="s">
        <v>195</v>
      </c>
      <c r="T2049" s="18" t="b">
        <v>1</v>
      </c>
      <c r="U2049" s="18" t="s">
        <v>39</v>
      </c>
      <c r="V2049" s="18" t="s">
        <v>40</v>
      </c>
      <c r="W2049" s="18" t="s">
        <v>140</v>
      </c>
      <c r="X2049" s="18" t="s">
        <v>141</v>
      </c>
      <c r="Y2049" s="18">
        <v>1</v>
      </c>
      <c r="Z2049" s="18">
        <v>8200</v>
      </c>
      <c r="AA2049" s="31" t="s">
        <v>4191</v>
      </c>
      <c r="AB2049" s="18" t="s">
        <v>4192</v>
      </c>
      <c r="AC2049" s="18" t="s">
        <v>43</v>
      </c>
    </row>
    <row r="2050" s="18" customFormat="1" ht="43.5" spans="1:29">
      <c r="A2050" s="18" t="s">
        <v>4193</v>
      </c>
      <c r="B2050" s="25" t="s">
        <v>4193</v>
      </c>
      <c r="C2050" s="26">
        <v>45714</v>
      </c>
      <c r="D2050" s="18" t="s">
        <v>1454</v>
      </c>
      <c r="E2050" s="18" t="str">
        <f t="shared" si="32"/>
        <v>Silvercrest Events &amp; Promotions Pvt Ltd</v>
      </c>
      <c r="F2050" s="27" t="s">
        <v>1455</v>
      </c>
      <c r="G2050" s="18" t="s">
        <v>147</v>
      </c>
      <c r="H2050" s="18" t="s">
        <v>148</v>
      </c>
      <c r="I2050" s="18" t="s">
        <v>184</v>
      </c>
      <c r="J2050" s="18" t="s">
        <v>2160</v>
      </c>
      <c r="K2050" s="18" t="s">
        <v>56</v>
      </c>
      <c r="L2050" s="18" t="s">
        <v>36</v>
      </c>
      <c r="N2050" s="18">
        <v>6</v>
      </c>
      <c r="O2050" s="18" t="s">
        <v>88</v>
      </c>
      <c r="P2050" s="18" t="s">
        <v>38</v>
      </c>
      <c r="Q2050" s="18" t="s">
        <v>194</v>
      </c>
      <c r="R2050" s="18" t="s">
        <v>59</v>
      </c>
      <c r="S2050" s="18" t="s">
        <v>195</v>
      </c>
      <c r="T2050" s="18" t="b">
        <v>1</v>
      </c>
      <c r="U2050" s="18" t="s">
        <v>150</v>
      </c>
      <c r="V2050" s="18" t="s">
        <v>40</v>
      </c>
      <c r="W2050" s="18" t="s">
        <v>317</v>
      </c>
      <c r="X2050" s="18" t="s">
        <v>318</v>
      </c>
      <c r="Y2050" s="18">
        <v>1</v>
      </c>
      <c r="Z2050" s="18">
        <v>80000</v>
      </c>
      <c r="AA2050" s="31" t="s">
        <v>3069</v>
      </c>
      <c r="AB2050" s="18" t="s">
        <v>1457</v>
      </c>
      <c r="AC2050" s="18" t="s">
        <v>163</v>
      </c>
    </row>
    <row r="2051" s="18" customFormat="1" ht="43.5" spans="1:29">
      <c r="A2051" s="18" t="s">
        <v>4194</v>
      </c>
      <c r="B2051" s="25" t="s">
        <v>4194</v>
      </c>
      <c r="C2051" s="26">
        <v>45714</v>
      </c>
      <c r="D2051" s="18" t="s">
        <v>1454</v>
      </c>
      <c r="E2051" s="18" t="str">
        <f t="shared" si="32"/>
        <v>Silvercrest Events &amp; Promotions Pvt Ltd</v>
      </c>
      <c r="F2051" s="27" t="s">
        <v>1455</v>
      </c>
      <c r="G2051" s="18" t="s">
        <v>147</v>
      </c>
      <c r="H2051" s="18" t="s">
        <v>148</v>
      </c>
      <c r="I2051" s="18" t="s">
        <v>184</v>
      </c>
      <c r="J2051" s="18" t="s">
        <v>3479</v>
      </c>
      <c r="K2051" s="18" t="s">
        <v>56</v>
      </c>
      <c r="L2051" s="18" t="s">
        <v>36</v>
      </c>
      <c r="N2051" s="18">
        <v>6</v>
      </c>
      <c r="O2051" s="18" t="s">
        <v>88</v>
      </c>
      <c r="P2051" s="18" t="s">
        <v>38</v>
      </c>
      <c r="Q2051" s="18" t="s">
        <v>194</v>
      </c>
      <c r="R2051" s="18" t="s">
        <v>59</v>
      </c>
      <c r="S2051" s="18" t="s">
        <v>195</v>
      </c>
      <c r="T2051" s="18" t="b">
        <v>1</v>
      </c>
      <c r="U2051" s="18" t="s">
        <v>150</v>
      </c>
      <c r="V2051" s="18" t="s">
        <v>40</v>
      </c>
      <c r="W2051" s="18" t="s">
        <v>371</v>
      </c>
      <c r="X2051" s="18" t="s">
        <v>372</v>
      </c>
      <c r="Y2051" s="18">
        <v>1</v>
      </c>
      <c r="Z2051" s="18">
        <v>1010000</v>
      </c>
      <c r="AA2051" s="31" t="s">
        <v>3069</v>
      </c>
      <c r="AB2051" s="18" t="s">
        <v>1457</v>
      </c>
      <c r="AC2051" s="18" t="s">
        <v>163</v>
      </c>
    </row>
    <row r="2052" s="18" customFormat="1" ht="43.5" spans="1:29">
      <c r="A2052" s="18" t="s">
        <v>4195</v>
      </c>
      <c r="B2052" s="25" t="s">
        <v>4195</v>
      </c>
      <c r="C2052" s="26">
        <v>45714</v>
      </c>
      <c r="D2052" s="18" t="s">
        <v>4196</v>
      </c>
      <c r="E2052" s="18" t="str">
        <f t="shared" si="32"/>
        <v>Natural Entertainers</v>
      </c>
      <c r="F2052" s="27" t="s">
        <v>4197</v>
      </c>
      <c r="G2052" s="18" t="s">
        <v>147</v>
      </c>
      <c r="H2052" s="18" t="s">
        <v>148</v>
      </c>
      <c r="I2052" s="18" t="s">
        <v>184</v>
      </c>
      <c r="J2052" s="18" t="s">
        <v>4055</v>
      </c>
      <c r="K2052" s="18" t="s">
        <v>56</v>
      </c>
      <c r="L2052" s="18" t="s">
        <v>36</v>
      </c>
      <c r="N2052" s="18">
        <v>6</v>
      </c>
      <c r="O2052" s="18" t="s">
        <v>88</v>
      </c>
      <c r="P2052" s="18" t="s">
        <v>38</v>
      </c>
      <c r="Q2052" s="18" t="s">
        <v>194</v>
      </c>
      <c r="R2052" s="18" t="s">
        <v>59</v>
      </c>
      <c r="S2052" s="18" t="s">
        <v>195</v>
      </c>
      <c r="T2052" s="18" t="b">
        <v>1</v>
      </c>
      <c r="U2052" s="18" t="s">
        <v>150</v>
      </c>
      <c r="V2052" s="18" t="s">
        <v>40</v>
      </c>
      <c r="W2052" s="18" t="s">
        <v>317</v>
      </c>
      <c r="X2052" s="18" t="s">
        <v>318</v>
      </c>
      <c r="Y2052" s="18">
        <v>1</v>
      </c>
      <c r="Z2052" s="18">
        <v>167000</v>
      </c>
      <c r="AA2052" s="31" t="s">
        <v>3826</v>
      </c>
      <c r="AB2052" s="18" t="s">
        <v>3827</v>
      </c>
      <c r="AC2052" s="18" t="s">
        <v>155</v>
      </c>
    </row>
    <row r="2053" s="18" customFormat="1" ht="43.5" spans="1:29">
      <c r="A2053" s="18" t="s">
        <v>4198</v>
      </c>
      <c r="B2053" s="25" t="s">
        <v>4198</v>
      </c>
      <c r="C2053" s="26">
        <v>45714</v>
      </c>
      <c r="D2053" s="18" t="s">
        <v>4199</v>
      </c>
      <c r="E2053" s="18" t="str">
        <f t="shared" si="32"/>
        <v>Staietechllp</v>
      </c>
      <c r="F2053" s="27" t="e">
        <v>#N/A</v>
      </c>
      <c r="G2053" s="18" t="s">
        <v>147</v>
      </c>
      <c r="H2053" s="18" t="s">
        <v>148</v>
      </c>
      <c r="I2053" s="18" t="s">
        <v>184</v>
      </c>
      <c r="J2053" s="18" t="s">
        <v>4200</v>
      </c>
      <c r="K2053" s="18" t="s">
        <v>56</v>
      </c>
      <c r="L2053" s="18" t="s">
        <v>36</v>
      </c>
      <c r="N2053" s="18">
        <v>6</v>
      </c>
      <c r="O2053" s="18" t="s">
        <v>88</v>
      </c>
      <c r="P2053" s="18" t="s">
        <v>38</v>
      </c>
      <c r="Q2053" s="18" t="s">
        <v>194</v>
      </c>
      <c r="R2053" s="18" t="s">
        <v>59</v>
      </c>
      <c r="S2053" s="18" t="s">
        <v>195</v>
      </c>
      <c r="T2053" s="18" t="b">
        <v>1</v>
      </c>
      <c r="U2053" s="18" t="s">
        <v>150</v>
      </c>
      <c r="V2053" s="18" t="s">
        <v>40</v>
      </c>
      <c r="W2053" s="18" t="s">
        <v>151</v>
      </c>
      <c r="X2053" s="18" t="s">
        <v>152</v>
      </c>
      <c r="Y2053" s="18">
        <v>1</v>
      </c>
      <c r="Z2053" s="18">
        <v>332000</v>
      </c>
      <c r="AA2053" s="31" t="s">
        <v>2933</v>
      </c>
      <c r="AB2053" s="18" t="s">
        <v>1566</v>
      </c>
      <c r="AC2053" s="18" t="s">
        <v>155</v>
      </c>
    </row>
    <row r="2054" s="18" customFormat="1" spans="1:29">
      <c r="A2054" s="18" t="s">
        <v>4201</v>
      </c>
      <c r="B2054" s="25" t="s">
        <v>4201</v>
      </c>
      <c r="C2054" s="26">
        <v>45714</v>
      </c>
      <c r="D2054" s="18" t="s">
        <v>1544</v>
      </c>
      <c r="E2054" s="18" t="str">
        <f t="shared" si="32"/>
        <v>Ghanshyam Asolkar </v>
      </c>
      <c r="F2054" s="27" t="e">
        <v>#N/A</v>
      </c>
      <c r="G2054" s="18" t="s">
        <v>182</v>
      </c>
      <c r="H2054" s="18" t="s">
        <v>183</v>
      </c>
      <c r="I2054" s="18" t="s">
        <v>481</v>
      </c>
      <c r="J2054" s="18" t="s">
        <v>2319</v>
      </c>
      <c r="K2054" s="18" t="s">
        <v>56</v>
      </c>
      <c r="L2054" s="18" t="s">
        <v>36</v>
      </c>
      <c r="N2054" s="18">
        <v>6</v>
      </c>
      <c r="O2054" s="18" t="s">
        <v>93</v>
      </c>
      <c r="P2054" s="18" t="s">
        <v>38</v>
      </c>
      <c r="Q2054" s="18" t="s">
        <v>194</v>
      </c>
      <c r="R2054" s="18" t="s">
        <v>59</v>
      </c>
      <c r="S2054" s="18" t="s">
        <v>195</v>
      </c>
      <c r="T2054" s="18" t="b">
        <v>0</v>
      </c>
      <c r="U2054" s="18" t="s">
        <v>187</v>
      </c>
      <c r="V2054" s="18" t="s">
        <v>40</v>
      </c>
      <c r="W2054" s="18" t="s">
        <v>126</v>
      </c>
      <c r="X2054" s="18" t="s">
        <v>127</v>
      </c>
      <c r="Y2054" s="18">
        <v>1</v>
      </c>
      <c r="Z2054" s="18">
        <v>680</v>
      </c>
      <c r="AC2054" s="18" t="e">
        <v>#N/A</v>
      </c>
    </row>
    <row r="2055" s="18" customFormat="1" spans="1:29">
      <c r="A2055" s="18" t="s">
        <v>4202</v>
      </c>
      <c r="B2055" s="25" t="s">
        <v>4202</v>
      </c>
      <c r="C2055" s="26">
        <v>45714</v>
      </c>
      <c r="D2055" s="18" t="s">
        <v>3964</v>
      </c>
      <c r="E2055" s="18" t="str">
        <f t="shared" si="32"/>
        <v>Santosh Singh </v>
      </c>
      <c r="F2055" s="27" t="e">
        <v>#N/A</v>
      </c>
      <c r="G2055" s="18" t="s">
        <v>182</v>
      </c>
      <c r="H2055" s="18" t="s">
        <v>183</v>
      </c>
      <c r="I2055" s="18" t="s">
        <v>481</v>
      </c>
      <c r="J2055" s="18" t="s">
        <v>1995</v>
      </c>
      <c r="K2055" s="18" t="s">
        <v>56</v>
      </c>
      <c r="L2055" s="18" t="s">
        <v>36</v>
      </c>
      <c r="N2055" s="18">
        <v>6</v>
      </c>
      <c r="O2055" s="18" t="s">
        <v>93</v>
      </c>
      <c r="P2055" s="18" t="s">
        <v>38</v>
      </c>
      <c r="Q2055" s="18" t="s">
        <v>194</v>
      </c>
      <c r="R2055" s="18" t="s">
        <v>59</v>
      </c>
      <c r="S2055" s="18" t="s">
        <v>195</v>
      </c>
      <c r="T2055" s="18" t="b">
        <v>0</v>
      </c>
      <c r="U2055" s="18" t="s">
        <v>187</v>
      </c>
      <c r="V2055" s="18" t="s">
        <v>40</v>
      </c>
      <c r="W2055" s="18" t="s">
        <v>126</v>
      </c>
      <c r="X2055" s="18" t="s">
        <v>127</v>
      </c>
      <c r="Y2055" s="18">
        <v>1</v>
      </c>
      <c r="Z2055" s="18">
        <v>7664</v>
      </c>
      <c r="AC2055" s="18" t="e">
        <v>#N/A</v>
      </c>
    </row>
    <row r="2056" s="18" customFormat="1" spans="1:29">
      <c r="A2056" s="18" t="s">
        <v>4203</v>
      </c>
      <c r="B2056" s="25" t="s">
        <v>4203</v>
      </c>
      <c r="C2056" s="26">
        <v>45714</v>
      </c>
      <c r="D2056" s="18" t="s">
        <v>4204</v>
      </c>
      <c r="E2056" s="18" t="str">
        <f t="shared" si="32"/>
        <v>Harish Aawade </v>
      </c>
      <c r="F2056" s="27" t="e">
        <v>#N/A</v>
      </c>
      <c r="G2056" s="18" t="s">
        <v>182</v>
      </c>
      <c r="H2056" s="18" t="s">
        <v>183</v>
      </c>
      <c r="I2056" s="18" t="s">
        <v>481</v>
      </c>
      <c r="J2056" s="18" t="s">
        <v>1995</v>
      </c>
      <c r="K2056" s="18" t="s">
        <v>56</v>
      </c>
      <c r="L2056" s="18" t="s">
        <v>36</v>
      </c>
      <c r="N2056" s="18">
        <v>6</v>
      </c>
      <c r="O2056" s="18" t="s">
        <v>93</v>
      </c>
      <c r="P2056" s="18" t="s">
        <v>38</v>
      </c>
      <c r="Q2056" s="18" t="s">
        <v>194</v>
      </c>
      <c r="R2056" s="18" t="s">
        <v>59</v>
      </c>
      <c r="S2056" s="18" t="s">
        <v>195</v>
      </c>
      <c r="T2056" s="18" t="b">
        <v>0</v>
      </c>
      <c r="U2056" s="18" t="s">
        <v>187</v>
      </c>
      <c r="V2056" s="18" t="s">
        <v>40</v>
      </c>
      <c r="W2056" s="18" t="s">
        <v>126</v>
      </c>
      <c r="X2056" s="18" t="s">
        <v>127</v>
      </c>
      <c r="Y2056" s="18">
        <v>1</v>
      </c>
      <c r="Z2056" s="18">
        <v>1480</v>
      </c>
      <c r="AC2056" s="18" t="e">
        <v>#N/A</v>
      </c>
    </row>
    <row r="2057" s="18" customFormat="1" spans="1:29">
      <c r="A2057" s="18" t="s">
        <v>4205</v>
      </c>
      <c r="B2057" s="25" t="s">
        <v>4205</v>
      </c>
      <c r="C2057" s="26">
        <v>45714</v>
      </c>
      <c r="D2057" s="18" t="s">
        <v>2030</v>
      </c>
      <c r="E2057" s="18" t="str">
        <f t="shared" si="32"/>
        <v>Sanil Thombare </v>
      </c>
      <c r="F2057" s="27" t="e">
        <v>#N/A</v>
      </c>
      <c r="G2057" s="18" t="s">
        <v>182</v>
      </c>
      <c r="H2057" s="18" t="s">
        <v>183</v>
      </c>
      <c r="I2057" s="18" t="s">
        <v>481</v>
      </c>
      <c r="J2057" s="18" t="s">
        <v>1968</v>
      </c>
      <c r="K2057" s="18" t="s">
        <v>56</v>
      </c>
      <c r="L2057" s="18" t="s">
        <v>36</v>
      </c>
      <c r="N2057" s="18">
        <v>6</v>
      </c>
      <c r="O2057" s="18" t="s">
        <v>93</v>
      </c>
      <c r="P2057" s="18" t="s">
        <v>38</v>
      </c>
      <c r="Q2057" s="18" t="s">
        <v>194</v>
      </c>
      <c r="R2057" s="18" t="s">
        <v>59</v>
      </c>
      <c r="S2057" s="18" t="s">
        <v>195</v>
      </c>
      <c r="T2057" s="18" t="b">
        <v>0</v>
      </c>
      <c r="U2057" s="18" t="s">
        <v>187</v>
      </c>
      <c r="V2057" s="18" t="s">
        <v>40</v>
      </c>
      <c r="W2057" s="18" t="s">
        <v>317</v>
      </c>
      <c r="X2057" s="18" t="s">
        <v>318</v>
      </c>
      <c r="Y2057" s="18">
        <v>1</v>
      </c>
      <c r="Z2057" s="18">
        <v>38820</v>
      </c>
      <c r="AC2057" s="18" t="e">
        <v>#N/A</v>
      </c>
    </row>
    <row r="2058" s="18" customFormat="1" spans="1:29">
      <c r="A2058" s="18" t="s">
        <v>4206</v>
      </c>
      <c r="B2058" s="25" t="s">
        <v>4206</v>
      </c>
      <c r="C2058" s="26">
        <v>45714</v>
      </c>
      <c r="D2058" s="18" t="s">
        <v>565</v>
      </c>
      <c r="E2058" s="18" t="str">
        <f t="shared" si="32"/>
        <v>Abhimanyu Awate </v>
      </c>
      <c r="F2058" s="27" t="e">
        <v>#N/A</v>
      </c>
      <c r="G2058" s="18" t="s">
        <v>182</v>
      </c>
      <c r="H2058" s="18" t="s">
        <v>183</v>
      </c>
      <c r="I2058" s="18" t="s">
        <v>481</v>
      </c>
      <c r="J2058" s="18" t="s">
        <v>3299</v>
      </c>
      <c r="K2058" s="18" t="s">
        <v>56</v>
      </c>
      <c r="L2058" s="18" t="s">
        <v>36</v>
      </c>
      <c r="N2058" s="18">
        <v>6</v>
      </c>
      <c r="O2058" s="18" t="s">
        <v>93</v>
      </c>
      <c r="P2058" s="18" t="s">
        <v>38</v>
      </c>
      <c r="Q2058" s="18" t="s">
        <v>194</v>
      </c>
      <c r="R2058" s="18" t="s">
        <v>59</v>
      </c>
      <c r="S2058" s="18" t="s">
        <v>195</v>
      </c>
      <c r="T2058" s="18" t="b">
        <v>0</v>
      </c>
      <c r="U2058" s="18" t="s">
        <v>187</v>
      </c>
      <c r="V2058" s="18" t="s">
        <v>40</v>
      </c>
      <c r="W2058" s="18" t="s">
        <v>126</v>
      </c>
      <c r="X2058" s="18" t="s">
        <v>127</v>
      </c>
      <c r="Y2058" s="18">
        <v>1</v>
      </c>
      <c r="Z2058" s="18">
        <v>4735</v>
      </c>
      <c r="AC2058" s="18" t="e">
        <v>#N/A</v>
      </c>
    </row>
    <row r="2059" s="18" customFormat="1" spans="1:29">
      <c r="A2059" s="18" t="s">
        <v>4207</v>
      </c>
      <c r="B2059" s="25" t="s">
        <v>4207</v>
      </c>
      <c r="C2059" s="26">
        <v>45714</v>
      </c>
      <c r="D2059" s="18" t="s">
        <v>1206</v>
      </c>
      <c r="E2059" s="18" t="str">
        <f t="shared" si="32"/>
        <v>PARESH SURVE ADV FOR EXPENCES</v>
      </c>
      <c r="F2059" s="27" t="e">
        <v>#N/A</v>
      </c>
      <c r="G2059" s="18" t="s">
        <v>182</v>
      </c>
      <c r="H2059" s="18" t="s">
        <v>183</v>
      </c>
      <c r="I2059" s="18" t="s">
        <v>481</v>
      </c>
      <c r="J2059" s="18" t="s">
        <v>3299</v>
      </c>
      <c r="K2059" s="18" t="s">
        <v>56</v>
      </c>
      <c r="L2059" s="18" t="s">
        <v>36</v>
      </c>
      <c r="N2059" s="18">
        <v>6</v>
      </c>
      <c r="O2059" s="18" t="s">
        <v>93</v>
      </c>
      <c r="P2059" s="18" t="s">
        <v>38</v>
      </c>
      <c r="Q2059" s="18" t="s">
        <v>194</v>
      </c>
      <c r="R2059" s="18" t="s">
        <v>59</v>
      </c>
      <c r="S2059" s="18" t="s">
        <v>195</v>
      </c>
      <c r="T2059" s="18" t="b">
        <v>0</v>
      </c>
      <c r="U2059" s="18" t="s">
        <v>187</v>
      </c>
      <c r="V2059" s="18" t="s">
        <v>40</v>
      </c>
      <c r="W2059" s="18" t="s">
        <v>412</v>
      </c>
      <c r="X2059" s="18" t="s">
        <v>413</v>
      </c>
      <c r="Y2059" s="18">
        <v>1</v>
      </c>
      <c r="Z2059" s="18">
        <v>3734.82</v>
      </c>
      <c r="AC2059" s="18" t="e">
        <v>#N/A</v>
      </c>
    </row>
    <row r="2060" s="18" customFormat="1" spans="1:29">
      <c r="A2060" s="18" t="s">
        <v>4208</v>
      </c>
      <c r="B2060" s="25" t="s">
        <v>4208</v>
      </c>
      <c r="C2060" s="26">
        <v>45714</v>
      </c>
      <c r="D2060" s="18" t="s">
        <v>2047</v>
      </c>
      <c r="E2060" s="18" t="str">
        <f t="shared" si="32"/>
        <v>Pritam Amberkar  </v>
      </c>
      <c r="F2060" s="27" t="e">
        <v>#N/A</v>
      </c>
      <c r="G2060" s="18" t="s">
        <v>182</v>
      </c>
      <c r="H2060" s="18" t="s">
        <v>183</v>
      </c>
      <c r="I2060" s="18" t="s">
        <v>481</v>
      </c>
      <c r="J2060" s="18" t="s">
        <v>2591</v>
      </c>
      <c r="K2060" s="18" t="s">
        <v>56</v>
      </c>
      <c r="L2060" s="18" t="s">
        <v>36</v>
      </c>
      <c r="N2060" s="18">
        <v>6</v>
      </c>
      <c r="O2060" s="18" t="s">
        <v>93</v>
      </c>
      <c r="P2060" s="18" t="s">
        <v>38</v>
      </c>
      <c r="Q2060" s="18" t="s">
        <v>194</v>
      </c>
      <c r="R2060" s="18" t="s">
        <v>59</v>
      </c>
      <c r="S2060" s="18" t="s">
        <v>195</v>
      </c>
      <c r="T2060" s="18" t="b">
        <v>0</v>
      </c>
      <c r="U2060" s="18" t="s">
        <v>187</v>
      </c>
      <c r="V2060" s="18" t="s">
        <v>40</v>
      </c>
      <c r="W2060" s="18" t="s">
        <v>126</v>
      </c>
      <c r="X2060" s="18" t="s">
        <v>127</v>
      </c>
      <c r="Y2060" s="18">
        <v>1</v>
      </c>
      <c r="Z2060" s="18">
        <v>1290</v>
      </c>
      <c r="AC2060" s="18" t="e">
        <v>#N/A</v>
      </c>
    </row>
    <row r="2061" s="18" customFormat="1" spans="1:29">
      <c r="A2061" s="18" t="s">
        <v>4209</v>
      </c>
      <c r="B2061" s="25" t="s">
        <v>4209</v>
      </c>
      <c r="C2061" s="26">
        <v>45714</v>
      </c>
      <c r="D2061" s="18" t="s">
        <v>1035</v>
      </c>
      <c r="E2061" s="18" t="str">
        <f t="shared" si="32"/>
        <v>Nikhita Vora  </v>
      </c>
      <c r="F2061" s="27" t="e">
        <v>#N/A</v>
      </c>
      <c r="G2061" s="18" t="s">
        <v>182</v>
      </c>
      <c r="H2061" s="18" t="s">
        <v>183</v>
      </c>
      <c r="I2061" s="18" t="s">
        <v>481</v>
      </c>
      <c r="J2061" s="18" t="s">
        <v>1535</v>
      </c>
      <c r="K2061" s="18" t="s">
        <v>56</v>
      </c>
      <c r="L2061" s="18" t="s">
        <v>36</v>
      </c>
      <c r="N2061" s="18">
        <v>6</v>
      </c>
      <c r="O2061" s="18" t="s">
        <v>93</v>
      </c>
      <c r="P2061" s="18" t="s">
        <v>38</v>
      </c>
      <c r="Q2061" s="18" t="s">
        <v>194</v>
      </c>
      <c r="R2061" s="18" t="s">
        <v>59</v>
      </c>
      <c r="S2061" s="18" t="s">
        <v>195</v>
      </c>
      <c r="T2061" s="18" t="b">
        <v>0</v>
      </c>
      <c r="U2061" s="18" t="s">
        <v>187</v>
      </c>
      <c r="V2061" s="18" t="s">
        <v>40</v>
      </c>
      <c r="W2061" s="18" t="s">
        <v>126</v>
      </c>
      <c r="X2061" s="18" t="s">
        <v>127</v>
      </c>
      <c r="Y2061" s="18">
        <v>1</v>
      </c>
      <c r="Z2061" s="18">
        <v>386</v>
      </c>
      <c r="AC2061" s="18" t="e">
        <v>#N/A</v>
      </c>
    </row>
    <row r="2062" s="18" customFormat="1" spans="1:29">
      <c r="A2062" s="18" t="s">
        <v>4210</v>
      </c>
      <c r="B2062" s="25" t="s">
        <v>4210</v>
      </c>
      <c r="C2062" s="26">
        <v>45714</v>
      </c>
      <c r="D2062" s="18" t="s">
        <v>1938</v>
      </c>
      <c r="E2062" s="18" t="str">
        <f t="shared" si="32"/>
        <v>Sudhakar Sawant   </v>
      </c>
      <c r="F2062" s="27" t="e">
        <v>#N/A</v>
      </c>
      <c r="G2062" s="18" t="s">
        <v>182</v>
      </c>
      <c r="H2062" s="18" t="s">
        <v>183</v>
      </c>
      <c r="I2062" s="18" t="s">
        <v>481</v>
      </c>
      <c r="J2062" s="18" t="s">
        <v>3299</v>
      </c>
      <c r="K2062" s="18" t="s">
        <v>56</v>
      </c>
      <c r="L2062" s="18" t="s">
        <v>36</v>
      </c>
      <c r="N2062" s="18">
        <v>6</v>
      </c>
      <c r="O2062" s="18" t="s">
        <v>93</v>
      </c>
      <c r="P2062" s="18" t="s">
        <v>38</v>
      </c>
      <c r="Q2062" s="18" t="s">
        <v>194</v>
      </c>
      <c r="R2062" s="18" t="s">
        <v>59</v>
      </c>
      <c r="S2062" s="18" t="s">
        <v>195</v>
      </c>
      <c r="T2062" s="18" t="b">
        <v>0</v>
      </c>
      <c r="U2062" s="18" t="s">
        <v>187</v>
      </c>
      <c r="V2062" s="18" t="s">
        <v>40</v>
      </c>
      <c r="W2062" s="18" t="s">
        <v>126</v>
      </c>
      <c r="X2062" s="18" t="s">
        <v>127</v>
      </c>
      <c r="Y2062" s="18">
        <v>1</v>
      </c>
      <c r="Z2062" s="18">
        <v>275</v>
      </c>
      <c r="AC2062" s="18" t="e">
        <v>#N/A</v>
      </c>
    </row>
    <row r="2063" s="18" customFormat="1" spans="1:29">
      <c r="A2063" s="18" t="s">
        <v>4211</v>
      </c>
      <c r="B2063" s="25" t="s">
        <v>4211</v>
      </c>
      <c r="C2063" s="26">
        <v>45714</v>
      </c>
      <c r="D2063" s="18" t="s">
        <v>2152</v>
      </c>
      <c r="E2063" s="18" t="str">
        <f t="shared" si="32"/>
        <v>Harsh Mudliyar  </v>
      </c>
      <c r="F2063" s="27" t="e">
        <v>#N/A</v>
      </c>
      <c r="G2063" s="18" t="s">
        <v>182</v>
      </c>
      <c r="H2063" s="18" t="s">
        <v>183</v>
      </c>
      <c r="I2063" s="18" t="s">
        <v>481</v>
      </c>
      <c r="J2063" s="18" t="s">
        <v>3161</v>
      </c>
      <c r="K2063" s="18" t="s">
        <v>56</v>
      </c>
      <c r="L2063" s="18" t="s">
        <v>36</v>
      </c>
      <c r="N2063" s="18">
        <v>6</v>
      </c>
      <c r="O2063" s="18" t="s">
        <v>93</v>
      </c>
      <c r="P2063" s="18" t="s">
        <v>38</v>
      </c>
      <c r="Q2063" s="18" t="s">
        <v>194</v>
      </c>
      <c r="R2063" s="18" t="s">
        <v>59</v>
      </c>
      <c r="S2063" s="18" t="s">
        <v>195</v>
      </c>
      <c r="T2063" s="18" t="b">
        <v>0</v>
      </c>
      <c r="U2063" s="18" t="s">
        <v>187</v>
      </c>
      <c r="V2063" s="18" t="s">
        <v>40</v>
      </c>
      <c r="W2063" s="18" t="s">
        <v>126</v>
      </c>
      <c r="X2063" s="18" t="s">
        <v>127</v>
      </c>
      <c r="Y2063" s="18">
        <v>1</v>
      </c>
      <c r="Z2063" s="18">
        <v>3668.38</v>
      </c>
      <c r="AC2063" s="18" t="e">
        <v>#N/A</v>
      </c>
    </row>
    <row r="2064" s="18" customFormat="1" spans="1:29">
      <c r="A2064" s="18" t="s">
        <v>4212</v>
      </c>
      <c r="B2064" s="25" t="s">
        <v>4212</v>
      </c>
      <c r="C2064" s="26">
        <v>45714</v>
      </c>
      <c r="D2064" s="18" t="s">
        <v>860</v>
      </c>
      <c r="E2064" s="18" t="str">
        <f t="shared" si="32"/>
        <v>Mahendra Mane </v>
      </c>
      <c r="F2064" s="27" t="e">
        <v>#N/A</v>
      </c>
      <c r="G2064" s="18" t="s">
        <v>182</v>
      </c>
      <c r="H2064" s="18" t="s">
        <v>183</v>
      </c>
      <c r="I2064" s="18" t="s">
        <v>481</v>
      </c>
      <c r="J2064" s="18" t="s">
        <v>2707</v>
      </c>
      <c r="K2064" s="18" t="s">
        <v>56</v>
      </c>
      <c r="L2064" s="18" t="s">
        <v>36</v>
      </c>
      <c r="N2064" s="18">
        <v>6</v>
      </c>
      <c r="O2064" s="18" t="s">
        <v>93</v>
      </c>
      <c r="P2064" s="18" t="s">
        <v>38</v>
      </c>
      <c r="Q2064" s="18" t="s">
        <v>194</v>
      </c>
      <c r="R2064" s="18" t="s">
        <v>59</v>
      </c>
      <c r="S2064" s="18" t="s">
        <v>195</v>
      </c>
      <c r="T2064" s="18" t="b">
        <v>0</v>
      </c>
      <c r="U2064" s="18" t="s">
        <v>187</v>
      </c>
      <c r="V2064" s="18" t="s">
        <v>40</v>
      </c>
      <c r="W2064" s="18" t="s">
        <v>317</v>
      </c>
      <c r="X2064" s="18" t="s">
        <v>318</v>
      </c>
      <c r="Y2064" s="18">
        <v>1</v>
      </c>
      <c r="Z2064" s="18">
        <v>13602</v>
      </c>
      <c r="AC2064" s="18" t="e">
        <v>#N/A</v>
      </c>
    </row>
    <row r="2065" s="18" customFormat="1" spans="1:29">
      <c r="A2065" s="18" t="s">
        <v>4213</v>
      </c>
      <c r="B2065" s="25" t="s">
        <v>4213</v>
      </c>
      <c r="C2065" s="26">
        <v>45714</v>
      </c>
      <c r="D2065" s="18" t="s">
        <v>3714</v>
      </c>
      <c r="E2065" s="18" t="str">
        <f t="shared" si="32"/>
        <v>Sagar Bamnolikar </v>
      </c>
      <c r="F2065" s="27" t="e">
        <v>#N/A</v>
      </c>
      <c r="G2065" s="18" t="s">
        <v>182</v>
      </c>
      <c r="H2065" s="18" t="s">
        <v>183</v>
      </c>
      <c r="I2065" s="18" t="s">
        <v>481</v>
      </c>
      <c r="J2065" s="18" t="s">
        <v>2591</v>
      </c>
      <c r="K2065" s="18" t="s">
        <v>56</v>
      </c>
      <c r="L2065" s="18" t="s">
        <v>36</v>
      </c>
      <c r="N2065" s="18">
        <v>6</v>
      </c>
      <c r="O2065" s="18" t="s">
        <v>93</v>
      </c>
      <c r="P2065" s="18" t="s">
        <v>38</v>
      </c>
      <c r="Q2065" s="18" t="s">
        <v>194</v>
      </c>
      <c r="R2065" s="18" t="s">
        <v>59</v>
      </c>
      <c r="S2065" s="18" t="s">
        <v>195</v>
      </c>
      <c r="T2065" s="18" t="b">
        <v>0</v>
      </c>
      <c r="U2065" s="18" t="s">
        <v>187</v>
      </c>
      <c r="V2065" s="18" t="s">
        <v>40</v>
      </c>
      <c r="W2065" s="18" t="s">
        <v>126</v>
      </c>
      <c r="X2065" s="18" t="s">
        <v>127</v>
      </c>
      <c r="Y2065" s="18">
        <v>1</v>
      </c>
      <c r="Z2065" s="18">
        <v>3644</v>
      </c>
      <c r="AC2065" s="18" t="e">
        <v>#N/A</v>
      </c>
    </row>
    <row r="2066" s="18" customFormat="1" spans="1:29">
      <c r="A2066" s="18" t="s">
        <v>4214</v>
      </c>
      <c r="B2066" s="25" t="s">
        <v>4214</v>
      </c>
      <c r="C2066" s="26">
        <v>45714</v>
      </c>
      <c r="D2066" s="18" t="s">
        <v>1544</v>
      </c>
      <c r="E2066" s="18" t="str">
        <f t="shared" si="32"/>
        <v>Ghanshyam Asolkar </v>
      </c>
      <c r="F2066" s="27" t="e">
        <v>#N/A</v>
      </c>
      <c r="G2066" s="18" t="s">
        <v>182</v>
      </c>
      <c r="H2066" s="18" t="s">
        <v>183</v>
      </c>
      <c r="I2066" s="18" t="s">
        <v>481</v>
      </c>
      <c r="J2066" s="18" t="s">
        <v>2591</v>
      </c>
      <c r="K2066" s="18" t="s">
        <v>56</v>
      </c>
      <c r="L2066" s="18" t="s">
        <v>36</v>
      </c>
      <c r="N2066" s="18">
        <v>6</v>
      </c>
      <c r="O2066" s="18" t="s">
        <v>93</v>
      </c>
      <c r="P2066" s="18" t="s">
        <v>38</v>
      </c>
      <c r="Q2066" s="18" t="s">
        <v>194</v>
      </c>
      <c r="R2066" s="18" t="s">
        <v>59</v>
      </c>
      <c r="S2066" s="18" t="s">
        <v>195</v>
      </c>
      <c r="T2066" s="18" t="b">
        <v>0</v>
      </c>
      <c r="U2066" s="18" t="s">
        <v>187</v>
      </c>
      <c r="V2066" s="18" t="s">
        <v>40</v>
      </c>
      <c r="W2066" s="18" t="s">
        <v>126</v>
      </c>
      <c r="X2066" s="18" t="s">
        <v>127</v>
      </c>
      <c r="Y2066" s="18">
        <v>1</v>
      </c>
      <c r="Z2066" s="18">
        <v>418</v>
      </c>
      <c r="AC2066" s="18" t="e">
        <v>#N/A</v>
      </c>
    </row>
    <row r="2067" s="18" customFormat="1" spans="1:29">
      <c r="A2067" s="18" t="s">
        <v>4215</v>
      </c>
      <c r="B2067" s="25" t="s">
        <v>4215</v>
      </c>
      <c r="C2067" s="26">
        <v>45714</v>
      </c>
      <c r="D2067" s="18" t="s">
        <v>1213</v>
      </c>
      <c r="E2067" s="18" t="str">
        <f t="shared" si="32"/>
        <v>Sanjay Kathale Cash </v>
      </c>
      <c r="F2067" s="27" t="e">
        <v>#N/A</v>
      </c>
      <c r="G2067" s="18" t="s">
        <v>182</v>
      </c>
      <c r="H2067" s="18" t="s">
        <v>183</v>
      </c>
      <c r="I2067" s="18" t="s">
        <v>481</v>
      </c>
      <c r="J2067" s="18" t="s">
        <v>3123</v>
      </c>
      <c r="K2067" s="18" t="s">
        <v>56</v>
      </c>
      <c r="L2067" s="18" t="s">
        <v>36</v>
      </c>
      <c r="N2067" s="18">
        <v>6</v>
      </c>
      <c r="O2067" s="18" t="s">
        <v>93</v>
      </c>
      <c r="P2067" s="18" t="s">
        <v>38</v>
      </c>
      <c r="Q2067" s="18" t="s">
        <v>194</v>
      </c>
      <c r="R2067" s="18" t="s">
        <v>59</v>
      </c>
      <c r="S2067" s="18" t="s">
        <v>195</v>
      </c>
      <c r="T2067" s="18" t="b">
        <v>0</v>
      </c>
      <c r="U2067" s="18" t="s">
        <v>187</v>
      </c>
      <c r="V2067" s="18" t="s">
        <v>40</v>
      </c>
      <c r="W2067" s="18" t="s">
        <v>1055</v>
      </c>
      <c r="X2067" s="18" t="s">
        <v>1056</v>
      </c>
      <c r="Y2067" s="18">
        <v>1</v>
      </c>
      <c r="Z2067" s="18">
        <v>4550</v>
      </c>
      <c r="AC2067" s="18" t="e">
        <v>#N/A</v>
      </c>
    </row>
    <row r="2068" s="18" customFormat="1" spans="1:29">
      <c r="A2068" s="18" t="s">
        <v>4216</v>
      </c>
      <c r="B2068" s="25" t="s">
        <v>4216</v>
      </c>
      <c r="C2068" s="26">
        <v>45714</v>
      </c>
      <c r="D2068" s="18" t="s">
        <v>1478</v>
      </c>
      <c r="E2068" s="18" t="str">
        <f t="shared" si="32"/>
        <v>Supriya Naik  </v>
      </c>
      <c r="F2068" s="27" t="e">
        <v>#N/A</v>
      </c>
      <c r="G2068" s="18" t="s">
        <v>182</v>
      </c>
      <c r="H2068" s="18" t="s">
        <v>183</v>
      </c>
      <c r="I2068" s="18" t="s">
        <v>481</v>
      </c>
      <c r="J2068" s="18" t="s">
        <v>3123</v>
      </c>
      <c r="K2068" s="18" t="s">
        <v>56</v>
      </c>
      <c r="L2068" s="18" t="s">
        <v>36</v>
      </c>
      <c r="N2068" s="18">
        <v>6</v>
      </c>
      <c r="O2068" s="18" t="s">
        <v>93</v>
      </c>
      <c r="P2068" s="18" t="s">
        <v>38</v>
      </c>
      <c r="Q2068" s="18" t="s">
        <v>194</v>
      </c>
      <c r="R2068" s="18" t="s">
        <v>59</v>
      </c>
      <c r="S2068" s="18" t="s">
        <v>195</v>
      </c>
      <c r="T2068" s="18" t="b">
        <v>0</v>
      </c>
      <c r="U2068" s="18" t="s">
        <v>187</v>
      </c>
      <c r="V2068" s="18" t="s">
        <v>40</v>
      </c>
      <c r="W2068" s="18" t="s">
        <v>126</v>
      </c>
      <c r="X2068" s="18" t="s">
        <v>127</v>
      </c>
      <c r="Y2068" s="18">
        <v>1</v>
      </c>
      <c r="Z2068" s="18">
        <v>1469</v>
      </c>
      <c r="AC2068" s="18" t="e">
        <v>#N/A</v>
      </c>
    </row>
    <row r="2069" s="18" customFormat="1" spans="1:29">
      <c r="A2069" s="18" t="s">
        <v>4217</v>
      </c>
      <c r="B2069" s="25" t="s">
        <v>4217</v>
      </c>
      <c r="C2069" s="26">
        <v>45714</v>
      </c>
      <c r="D2069" s="18" t="s">
        <v>4218</v>
      </c>
      <c r="E2069" s="18" t="str">
        <f t="shared" si="32"/>
        <v>Sarita Stokes </v>
      </c>
      <c r="F2069" s="27" t="e">
        <v>#N/A</v>
      </c>
      <c r="G2069" s="18" t="s">
        <v>182</v>
      </c>
      <c r="H2069" s="18" t="s">
        <v>183</v>
      </c>
      <c r="I2069" s="18" t="s">
        <v>481</v>
      </c>
      <c r="J2069" s="18" t="s">
        <v>3123</v>
      </c>
      <c r="K2069" s="18" t="s">
        <v>56</v>
      </c>
      <c r="L2069" s="18" t="s">
        <v>36</v>
      </c>
      <c r="N2069" s="18">
        <v>6</v>
      </c>
      <c r="O2069" s="18" t="s">
        <v>93</v>
      </c>
      <c r="P2069" s="18" t="s">
        <v>38</v>
      </c>
      <c r="Q2069" s="18" t="s">
        <v>194</v>
      </c>
      <c r="R2069" s="18" t="s">
        <v>59</v>
      </c>
      <c r="S2069" s="18" t="s">
        <v>195</v>
      </c>
      <c r="T2069" s="18" t="b">
        <v>0</v>
      </c>
      <c r="U2069" s="18" t="s">
        <v>187</v>
      </c>
      <c r="V2069" s="18" t="s">
        <v>40</v>
      </c>
      <c r="W2069" s="18" t="s">
        <v>317</v>
      </c>
      <c r="X2069" s="18" t="s">
        <v>318</v>
      </c>
      <c r="Y2069" s="18">
        <v>1</v>
      </c>
      <c r="Z2069" s="18">
        <v>26809</v>
      </c>
      <c r="AC2069" s="18" t="e">
        <v>#N/A</v>
      </c>
    </row>
    <row r="2070" s="18" customFormat="1" spans="1:29">
      <c r="A2070" s="18" t="s">
        <v>4219</v>
      </c>
      <c r="B2070" s="25" t="s">
        <v>4219</v>
      </c>
      <c r="C2070" s="26">
        <v>45714</v>
      </c>
      <c r="D2070" s="18" t="s">
        <v>3303</v>
      </c>
      <c r="E2070" s="18" t="str">
        <f t="shared" si="32"/>
        <v>Anita Singh  </v>
      </c>
      <c r="F2070" s="27" t="e">
        <v>#N/A</v>
      </c>
      <c r="G2070" s="18" t="s">
        <v>182</v>
      </c>
      <c r="H2070" s="18" t="s">
        <v>183</v>
      </c>
      <c r="I2070" s="18" t="s">
        <v>481</v>
      </c>
      <c r="J2070" s="18" t="s">
        <v>3123</v>
      </c>
      <c r="K2070" s="18" t="s">
        <v>56</v>
      </c>
      <c r="L2070" s="18" t="s">
        <v>36</v>
      </c>
      <c r="N2070" s="18">
        <v>6</v>
      </c>
      <c r="O2070" s="18" t="s">
        <v>93</v>
      </c>
      <c r="P2070" s="18" t="s">
        <v>38</v>
      </c>
      <c r="Q2070" s="18" t="s">
        <v>194</v>
      </c>
      <c r="R2070" s="18" t="s">
        <v>59</v>
      </c>
      <c r="S2070" s="18" t="s">
        <v>195</v>
      </c>
      <c r="T2070" s="18" t="b">
        <v>0</v>
      </c>
      <c r="U2070" s="18" t="s">
        <v>187</v>
      </c>
      <c r="V2070" s="18" t="s">
        <v>40</v>
      </c>
      <c r="W2070" s="18" t="s">
        <v>317</v>
      </c>
      <c r="X2070" s="18" t="s">
        <v>318</v>
      </c>
      <c r="Y2070" s="18">
        <v>1</v>
      </c>
      <c r="Z2070" s="18">
        <v>1109.7</v>
      </c>
      <c r="AC2070" s="18" t="e">
        <v>#N/A</v>
      </c>
    </row>
    <row r="2071" s="18" customFormat="1" spans="1:29">
      <c r="A2071" s="18" t="s">
        <v>4220</v>
      </c>
      <c r="B2071" s="25" t="s">
        <v>4220</v>
      </c>
      <c r="C2071" s="26">
        <v>45714</v>
      </c>
      <c r="D2071" s="18" t="s">
        <v>2039</v>
      </c>
      <c r="E2071" s="18" t="str">
        <f t="shared" si="32"/>
        <v>Chahek Poddar  </v>
      </c>
      <c r="F2071" s="27" t="e">
        <v>#N/A</v>
      </c>
      <c r="G2071" s="18" t="s">
        <v>182</v>
      </c>
      <c r="H2071" s="18" t="s">
        <v>183</v>
      </c>
      <c r="I2071" s="18" t="s">
        <v>481</v>
      </c>
      <c r="J2071" s="18" t="s">
        <v>728</v>
      </c>
      <c r="K2071" s="18" t="s">
        <v>56</v>
      </c>
      <c r="L2071" s="18" t="s">
        <v>36</v>
      </c>
      <c r="N2071" s="18">
        <v>6</v>
      </c>
      <c r="O2071" s="18" t="s">
        <v>93</v>
      </c>
      <c r="P2071" s="18" t="s">
        <v>38</v>
      </c>
      <c r="Q2071" s="18" t="s">
        <v>194</v>
      </c>
      <c r="R2071" s="18" t="s">
        <v>59</v>
      </c>
      <c r="S2071" s="18" t="s">
        <v>195</v>
      </c>
      <c r="T2071" s="18" t="b">
        <v>0</v>
      </c>
      <c r="U2071" s="18" t="s">
        <v>187</v>
      </c>
      <c r="V2071" s="18" t="s">
        <v>40</v>
      </c>
      <c r="W2071" s="18" t="s">
        <v>317</v>
      </c>
      <c r="X2071" s="18" t="s">
        <v>318</v>
      </c>
      <c r="Y2071" s="18">
        <v>1</v>
      </c>
      <c r="Z2071" s="18">
        <v>40015</v>
      </c>
      <c r="AC2071" s="18" t="e">
        <v>#N/A</v>
      </c>
    </row>
    <row r="2072" s="18" customFormat="1" spans="1:29">
      <c r="A2072" s="18" t="s">
        <v>4221</v>
      </c>
      <c r="B2072" s="25" t="s">
        <v>4221</v>
      </c>
      <c r="C2072" s="26">
        <v>45714</v>
      </c>
      <c r="D2072" s="18" t="s">
        <v>4222</v>
      </c>
      <c r="E2072" s="18" t="str">
        <f t="shared" si="32"/>
        <v>Neel Khakhar  </v>
      </c>
      <c r="F2072" s="27" t="e">
        <v>#N/A</v>
      </c>
      <c r="G2072" s="18" t="s">
        <v>182</v>
      </c>
      <c r="H2072" s="18" t="s">
        <v>183</v>
      </c>
      <c r="I2072" s="18" t="s">
        <v>481</v>
      </c>
      <c r="J2072" s="18" t="s">
        <v>728</v>
      </c>
      <c r="K2072" s="18" t="s">
        <v>56</v>
      </c>
      <c r="L2072" s="18" t="s">
        <v>36</v>
      </c>
      <c r="N2072" s="18">
        <v>6</v>
      </c>
      <c r="O2072" s="18" t="s">
        <v>93</v>
      </c>
      <c r="P2072" s="18" t="s">
        <v>38</v>
      </c>
      <c r="Q2072" s="18" t="s">
        <v>194</v>
      </c>
      <c r="R2072" s="18" t="s">
        <v>59</v>
      </c>
      <c r="S2072" s="18" t="s">
        <v>195</v>
      </c>
      <c r="T2072" s="18" t="b">
        <v>0</v>
      </c>
      <c r="U2072" s="18" t="s">
        <v>187</v>
      </c>
      <c r="V2072" s="18" t="s">
        <v>40</v>
      </c>
      <c r="W2072" s="18" t="s">
        <v>126</v>
      </c>
      <c r="X2072" s="18" t="s">
        <v>127</v>
      </c>
      <c r="Y2072" s="18">
        <v>1</v>
      </c>
      <c r="Z2072" s="18">
        <v>2577</v>
      </c>
      <c r="AC2072" s="18" t="e">
        <v>#N/A</v>
      </c>
    </row>
    <row r="2073" s="18" customFormat="1" spans="1:29">
      <c r="A2073" s="18" t="s">
        <v>4223</v>
      </c>
      <c r="B2073" s="25" t="s">
        <v>4223</v>
      </c>
      <c r="C2073" s="26">
        <v>45714</v>
      </c>
      <c r="D2073" s="18" t="s">
        <v>1054</v>
      </c>
      <c r="E2073" s="18" t="str">
        <f t="shared" si="32"/>
        <v>Suresh Pardhle  </v>
      </c>
      <c r="F2073" s="27" t="e">
        <v>#N/A</v>
      </c>
      <c r="G2073" s="18" t="s">
        <v>182</v>
      </c>
      <c r="H2073" s="18" t="s">
        <v>183</v>
      </c>
      <c r="I2073" s="18" t="s">
        <v>481</v>
      </c>
      <c r="J2073" s="18" t="s">
        <v>3246</v>
      </c>
      <c r="K2073" s="18" t="s">
        <v>56</v>
      </c>
      <c r="L2073" s="18" t="s">
        <v>36</v>
      </c>
      <c r="N2073" s="18">
        <v>6</v>
      </c>
      <c r="O2073" s="18" t="s">
        <v>93</v>
      </c>
      <c r="P2073" s="18" t="s">
        <v>38</v>
      </c>
      <c r="Q2073" s="18" t="s">
        <v>194</v>
      </c>
      <c r="R2073" s="18" t="s">
        <v>59</v>
      </c>
      <c r="S2073" s="18" t="s">
        <v>195</v>
      </c>
      <c r="T2073" s="18" t="b">
        <v>0</v>
      </c>
      <c r="U2073" s="18" t="s">
        <v>187</v>
      </c>
      <c r="V2073" s="18" t="s">
        <v>40</v>
      </c>
      <c r="W2073" s="18" t="s">
        <v>126</v>
      </c>
      <c r="X2073" s="18" t="s">
        <v>127</v>
      </c>
      <c r="Y2073" s="18">
        <v>1</v>
      </c>
      <c r="Z2073" s="18">
        <v>3018</v>
      </c>
      <c r="AC2073" s="18" t="e">
        <v>#N/A</v>
      </c>
    </row>
    <row r="2074" s="18" customFormat="1" spans="1:29">
      <c r="A2074" s="18" t="s">
        <v>4224</v>
      </c>
      <c r="B2074" s="25" t="s">
        <v>4224</v>
      </c>
      <c r="C2074" s="26">
        <v>45714</v>
      </c>
      <c r="D2074" s="18" t="s">
        <v>1647</v>
      </c>
      <c r="E2074" s="18" t="str">
        <f t="shared" si="32"/>
        <v>Aftab Shaikh  </v>
      </c>
      <c r="F2074" s="27" t="e">
        <v>#N/A</v>
      </c>
      <c r="G2074" s="18" t="s">
        <v>182</v>
      </c>
      <c r="H2074" s="18" t="s">
        <v>183</v>
      </c>
      <c r="I2074" s="18" t="s">
        <v>481</v>
      </c>
      <c r="J2074" s="18" t="s">
        <v>3246</v>
      </c>
      <c r="K2074" s="18" t="s">
        <v>56</v>
      </c>
      <c r="L2074" s="18" t="s">
        <v>36</v>
      </c>
      <c r="N2074" s="18">
        <v>6</v>
      </c>
      <c r="O2074" s="18" t="s">
        <v>93</v>
      </c>
      <c r="P2074" s="18" t="s">
        <v>38</v>
      </c>
      <c r="Q2074" s="18" t="s">
        <v>194</v>
      </c>
      <c r="R2074" s="18" t="s">
        <v>59</v>
      </c>
      <c r="S2074" s="18" t="s">
        <v>195</v>
      </c>
      <c r="T2074" s="18" t="b">
        <v>0</v>
      </c>
      <c r="U2074" s="18" t="s">
        <v>187</v>
      </c>
      <c r="V2074" s="18" t="s">
        <v>40</v>
      </c>
      <c r="W2074" s="18" t="s">
        <v>126</v>
      </c>
      <c r="X2074" s="18" t="s">
        <v>127</v>
      </c>
      <c r="Y2074" s="18">
        <v>1</v>
      </c>
      <c r="Z2074" s="18">
        <v>1447</v>
      </c>
      <c r="AC2074" s="18" t="e">
        <v>#N/A</v>
      </c>
    </row>
    <row r="2075" s="18" customFormat="1" spans="1:29">
      <c r="A2075" s="18" t="s">
        <v>4225</v>
      </c>
      <c r="B2075" s="25" t="s">
        <v>4225</v>
      </c>
      <c r="C2075" s="26">
        <v>45714</v>
      </c>
      <c r="D2075" s="18" t="s">
        <v>1054</v>
      </c>
      <c r="E2075" s="18" t="str">
        <f t="shared" si="32"/>
        <v>Suresh Pardhle  </v>
      </c>
      <c r="F2075" s="27" t="e">
        <v>#N/A</v>
      </c>
      <c r="G2075" s="18" t="s">
        <v>182</v>
      </c>
      <c r="H2075" s="18" t="s">
        <v>183</v>
      </c>
      <c r="I2075" s="18" t="s">
        <v>481</v>
      </c>
      <c r="J2075" s="18" t="s">
        <v>3209</v>
      </c>
      <c r="K2075" s="18" t="s">
        <v>56</v>
      </c>
      <c r="L2075" s="18" t="s">
        <v>36</v>
      </c>
      <c r="N2075" s="18">
        <v>6</v>
      </c>
      <c r="O2075" s="18" t="s">
        <v>93</v>
      </c>
      <c r="P2075" s="18" t="s">
        <v>38</v>
      </c>
      <c r="Q2075" s="18" t="s">
        <v>194</v>
      </c>
      <c r="R2075" s="18" t="s">
        <v>59</v>
      </c>
      <c r="S2075" s="18" t="s">
        <v>195</v>
      </c>
      <c r="T2075" s="18" t="b">
        <v>0</v>
      </c>
      <c r="U2075" s="18" t="s">
        <v>187</v>
      </c>
      <c r="V2075" s="18" t="s">
        <v>40</v>
      </c>
      <c r="W2075" s="18" t="s">
        <v>126</v>
      </c>
      <c r="X2075" s="18" t="s">
        <v>127</v>
      </c>
      <c r="Y2075" s="18">
        <v>1</v>
      </c>
      <c r="Z2075" s="18">
        <v>559</v>
      </c>
      <c r="AC2075" s="18" t="e">
        <v>#N/A</v>
      </c>
    </row>
    <row r="2076" s="18" customFormat="1" spans="1:29">
      <c r="A2076" s="18" t="s">
        <v>4226</v>
      </c>
      <c r="B2076" s="25" t="s">
        <v>4226</v>
      </c>
      <c r="C2076" s="26">
        <v>45714</v>
      </c>
      <c r="D2076" s="18" t="s">
        <v>3964</v>
      </c>
      <c r="E2076" s="18" t="str">
        <f t="shared" si="32"/>
        <v>Santosh Singh </v>
      </c>
      <c r="F2076" s="27" t="e">
        <v>#N/A</v>
      </c>
      <c r="G2076" s="18" t="s">
        <v>182</v>
      </c>
      <c r="H2076" s="18" t="s">
        <v>183</v>
      </c>
      <c r="I2076" s="18" t="s">
        <v>481</v>
      </c>
      <c r="J2076" s="18" t="s">
        <v>2930</v>
      </c>
      <c r="K2076" s="18" t="s">
        <v>56</v>
      </c>
      <c r="L2076" s="18" t="s">
        <v>36</v>
      </c>
      <c r="N2076" s="18">
        <v>6</v>
      </c>
      <c r="O2076" s="18" t="s">
        <v>93</v>
      </c>
      <c r="P2076" s="18" t="s">
        <v>38</v>
      </c>
      <c r="Q2076" s="18" t="s">
        <v>194</v>
      </c>
      <c r="R2076" s="18" t="s">
        <v>59</v>
      </c>
      <c r="S2076" s="18" t="s">
        <v>195</v>
      </c>
      <c r="T2076" s="18" t="b">
        <v>0</v>
      </c>
      <c r="U2076" s="18" t="s">
        <v>187</v>
      </c>
      <c r="V2076" s="18" t="s">
        <v>40</v>
      </c>
      <c r="W2076" s="18" t="s">
        <v>126</v>
      </c>
      <c r="X2076" s="18" t="s">
        <v>127</v>
      </c>
      <c r="Y2076" s="18">
        <v>1</v>
      </c>
      <c r="Z2076" s="18">
        <v>6592</v>
      </c>
      <c r="AC2076" s="18" t="e">
        <v>#N/A</v>
      </c>
    </row>
    <row r="2077" s="18" customFormat="1" spans="1:29">
      <c r="A2077" s="18" t="s">
        <v>4227</v>
      </c>
      <c r="B2077" s="25" t="s">
        <v>4227</v>
      </c>
      <c r="C2077" s="26">
        <v>45714</v>
      </c>
      <c r="D2077" s="18" t="s">
        <v>860</v>
      </c>
      <c r="E2077" s="18" t="str">
        <f t="shared" si="32"/>
        <v>Mahendra Mane </v>
      </c>
      <c r="F2077" s="27" t="e">
        <v>#N/A</v>
      </c>
      <c r="G2077" s="18" t="s">
        <v>182</v>
      </c>
      <c r="H2077" s="18" t="s">
        <v>183</v>
      </c>
      <c r="I2077" s="18" t="s">
        <v>481</v>
      </c>
      <c r="J2077" s="18" t="s">
        <v>2930</v>
      </c>
      <c r="K2077" s="18" t="s">
        <v>56</v>
      </c>
      <c r="L2077" s="18" t="s">
        <v>36</v>
      </c>
      <c r="N2077" s="18">
        <v>6</v>
      </c>
      <c r="O2077" s="18" t="s">
        <v>93</v>
      </c>
      <c r="P2077" s="18" t="s">
        <v>38</v>
      </c>
      <c r="Q2077" s="18" t="s">
        <v>194</v>
      </c>
      <c r="R2077" s="18" t="s">
        <v>59</v>
      </c>
      <c r="S2077" s="18" t="s">
        <v>195</v>
      </c>
      <c r="T2077" s="18" t="b">
        <v>0</v>
      </c>
      <c r="U2077" s="18" t="s">
        <v>187</v>
      </c>
      <c r="V2077" s="18" t="s">
        <v>40</v>
      </c>
      <c r="W2077" s="18" t="s">
        <v>317</v>
      </c>
      <c r="X2077" s="18" t="s">
        <v>318</v>
      </c>
      <c r="Y2077" s="18">
        <v>1</v>
      </c>
      <c r="Z2077" s="18">
        <v>1278</v>
      </c>
      <c r="AC2077" s="18" t="e">
        <v>#N/A</v>
      </c>
    </row>
    <row r="2078" s="18" customFormat="1" spans="1:29">
      <c r="A2078" s="18" t="s">
        <v>4228</v>
      </c>
      <c r="B2078" s="25" t="s">
        <v>4228</v>
      </c>
      <c r="C2078" s="26">
        <v>45714</v>
      </c>
      <c r="D2078" s="18" t="s">
        <v>2674</v>
      </c>
      <c r="E2078" s="18" t="str">
        <f t="shared" si="32"/>
        <v>Justin Francis Vadakkan  </v>
      </c>
      <c r="F2078" s="27" t="e">
        <v>#N/A</v>
      </c>
      <c r="G2078" s="18" t="s">
        <v>182</v>
      </c>
      <c r="H2078" s="18" t="s">
        <v>183</v>
      </c>
      <c r="I2078" s="18" t="s">
        <v>481</v>
      </c>
      <c r="J2078" s="18" t="s">
        <v>2930</v>
      </c>
      <c r="K2078" s="18" t="s">
        <v>56</v>
      </c>
      <c r="L2078" s="18" t="s">
        <v>36</v>
      </c>
      <c r="N2078" s="18">
        <v>6</v>
      </c>
      <c r="O2078" s="18" t="s">
        <v>93</v>
      </c>
      <c r="P2078" s="18" t="s">
        <v>38</v>
      </c>
      <c r="Q2078" s="18" t="s">
        <v>194</v>
      </c>
      <c r="R2078" s="18" t="s">
        <v>59</v>
      </c>
      <c r="S2078" s="18" t="s">
        <v>195</v>
      </c>
      <c r="T2078" s="18" t="b">
        <v>0</v>
      </c>
      <c r="U2078" s="18" t="s">
        <v>187</v>
      </c>
      <c r="V2078" s="18" t="s">
        <v>40</v>
      </c>
      <c r="W2078" s="18" t="s">
        <v>126</v>
      </c>
      <c r="X2078" s="18" t="s">
        <v>127</v>
      </c>
      <c r="Y2078" s="18">
        <v>1</v>
      </c>
      <c r="Z2078" s="18">
        <v>8132</v>
      </c>
      <c r="AC2078" s="18" t="e">
        <v>#N/A</v>
      </c>
    </row>
    <row r="2079" s="18" customFormat="1" spans="1:29">
      <c r="A2079" s="18" t="s">
        <v>4229</v>
      </c>
      <c r="B2079" s="25" t="s">
        <v>4229</v>
      </c>
      <c r="C2079" s="26">
        <v>45714</v>
      </c>
      <c r="D2079" s="18" t="s">
        <v>4204</v>
      </c>
      <c r="E2079" s="18" t="str">
        <f t="shared" si="32"/>
        <v>Harish Aawade </v>
      </c>
      <c r="F2079" s="27" t="e">
        <v>#N/A</v>
      </c>
      <c r="G2079" s="18" t="s">
        <v>182</v>
      </c>
      <c r="H2079" s="18" t="s">
        <v>183</v>
      </c>
      <c r="I2079" s="18" t="s">
        <v>481</v>
      </c>
      <c r="J2079" s="18" t="s">
        <v>2319</v>
      </c>
      <c r="K2079" s="18" t="s">
        <v>56</v>
      </c>
      <c r="L2079" s="18" t="s">
        <v>36</v>
      </c>
      <c r="N2079" s="18">
        <v>6</v>
      </c>
      <c r="O2079" s="18" t="s">
        <v>93</v>
      </c>
      <c r="P2079" s="18" t="s">
        <v>38</v>
      </c>
      <c r="Q2079" s="18" t="s">
        <v>194</v>
      </c>
      <c r="R2079" s="18" t="s">
        <v>59</v>
      </c>
      <c r="S2079" s="18" t="s">
        <v>195</v>
      </c>
      <c r="T2079" s="18" t="b">
        <v>0</v>
      </c>
      <c r="U2079" s="18" t="s">
        <v>187</v>
      </c>
      <c r="V2079" s="18" t="s">
        <v>40</v>
      </c>
      <c r="W2079" s="18" t="s">
        <v>126</v>
      </c>
      <c r="X2079" s="18" t="s">
        <v>127</v>
      </c>
      <c r="Y2079" s="18">
        <v>1</v>
      </c>
      <c r="Z2079" s="18">
        <v>680</v>
      </c>
      <c r="AC2079" s="18" t="e">
        <v>#N/A</v>
      </c>
    </row>
    <row r="2080" s="18" customFormat="1" spans="1:29">
      <c r="A2080" s="18" t="s">
        <v>4230</v>
      </c>
      <c r="B2080" s="25" t="s">
        <v>4230</v>
      </c>
      <c r="C2080" s="26">
        <v>45714</v>
      </c>
      <c r="D2080" s="18" t="s">
        <v>1647</v>
      </c>
      <c r="E2080" s="18" t="str">
        <f t="shared" si="32"/>
        <v>Aftab Shaikh  </v>
      </c>
      <c r="F2080" s="27" t="e">
        <v>#N/A</v>
      </c>
      <c r="G2080" s="18" t="s">
        <v>182</v>
      </c>
      <c r="H2080" s="18" t="s">
        <v>183</v>
      </c>
      <c r="I2080" s="18" t="s">
        <v>481</v>
      </c>
      <c r="J2080" s="18" t="s">
        <v>3123</v>
      </c>
      <c r="K2080" s="18" t="s">
        <v>56</v>
      </c>
      <c r="L2080" s="18" t="s">
        <v>36</v>
      </c>
      <c r="N2080" s="18">
        <v>6</v>
      </c>
      <c r="O2080" s="18" t="s">
        <v>93</v>
      </c>
      <c r="P2080" s="18" t="s">
        <v>38</v>
      </c>
      <c r="Q2080" s="18" t="s">
        <v>194</v>
      </c>
      <c r="R2080" s="18" t="s">
        <v>59</v>
      </c>
      <c r="S2080" s="18" t="s">
        <v>195</v>
      </c>
      <c r="T2080" s="18" t="b">
        <v>0</v>
      </c>
      <c r="U2080" s="18" t="s">
        <v>187</v>
      </c>
      <c r="V2080" s="18" t="s">
        <v>40</v>
      </c>
      <c r="W2080" s="18" t="s">
        <v>126</v>
      </c>
      <c r="X2080" s="18" t="s">
        <v>127</v>
      </c>
      <c r="Y2080" s="18">
        <v>1</v>
      </c>
      <c r="Z2080" s="18">
        <v>2239.9</v>
      </c>
      <c r="AC2080" s="18" t="e">
        <v>#N/A</v>
      </c>
    </row>
    <row r="2081" s="18" customFormat="1" ht="43.5" spans="1:29">
      <c r="A2081" s="18" t="s">
        <v>4231</v>
      </c>
      <c r="B2081" s="25" t="s">
        <v>4231</v>
      </c>
      <c r="C2081" s="26">
        <v>45714</v>
      </c>
      <c r="D2081" s="18" t="s">
        <v>4232</v>
      </c>
      <c r="E2081" s="18" t="str">
        <f t="shared" si="32"/>
        <v>Mavone Studios Pvt Ltd</v>
      </c>
      <c r="F2081" s="27" t="s">
        <v>4233</v>
      </c>
      <c r="G2081" s="18" t="s">
        <v>182</v>
      </c>
      <c r="H2081" s="18" t="s">
        <v>183</v>
      </c>
      <c r="I2081" s="18" t="s">
        <v>184</v>
      </c>
      <c r="J2081" s="18" t="s">
        <v>3123</v>
      </c>
      <c r="K2081" s="18" t="s">
        <v>56</v>
      </c>
      <c r="L2081" s="18" t="s">
        <v>36</v>
      </c>
      <c r="N2081" s="18">
        <v>6</v>
      </c>
      <c r="O2081" s="18" t="s">
        <v>88</v>
      </c>
      <c r="P2081" s="18" t="s">
        <v>38</v>
      </c>
      <c r="Q2081" s="18" t="s">
        <v>194</v>
      </c>
      <c r="R2081" s="18" t="s">
        <v>59</v>
      </c>
      <c r="S2081" s="18" t="s">
        <v>195</v>
      </c>
      <c r="T2081" s="18" t="b">
        <v>0</v>
      </c>
      <c r="U2081" s="18" t="s">
        <v>187</v>
      </c>
      <c r="V2081" s="18" t="s">
        <v>40</v>
      </c>
      <c r="W2081" s="18" t="s">
        <v>683</v>
      </c>
      <c r="X2081" s="18" t="s">
        <v>684</v>
      </c>
      <c r="Y2081" s="18">
        <v>1</v>
      </c>
      <c r="Z2081" s="18">
        <v>100000</v>
      </c>
      <c r="AA2081" s="31" t="s">
        <v>3124</v>
      </c>
      <c r="AB2081" s="18" t="s">
        <v>570</v>
      </c>
      <c r="AC2081" s="18" t="s">
        <v>200</v>
      </c>
    </row>
    <row r="2082" s="18" customFormat="1" spans="1:29">
      <c r="A2082" s="18" t="s">
        <v>4234</v>
      </c>
      <c r="B2082" s="25" t="s">
        <v>4234</v>
      </c>
      <c r="C2082" s="26">
        <v>45714</v>
      </c>
      <c r="D2082" s="18" t="s">
        <v>4235</v>
      </c>
      <c r="E2082" s="18" t="str">
        <f t="shared" si="32"/>
        <v>Flora Collection (Happay)</v>
      </c>
      <c r="F2082" s="27" t="s">
        <v>4236</v>
      </c>
      <c r="G2082" s="18" t="s">
        <v>182</v>
      </c>
      <c r="H2082" s="18" t="s">
        <v>183</v>
      </c>
      <c r="I2082" s="18" t="s">
        <v>184</v>
      </c>
      <c r="J2082" s="18" t="s">
        <v>2707</v>
      </c>
      <c r="K2082" s="18" t="s">
        <v>56</v>
      </c>
      <c r="L2082" s="18" t="s">
        <v>36</v>
      </c>
      <c r="N2082" s="18">
        <v>6</v>
      </c>
      <c r="O2082" s="18" t="s">
        <v>57</v>
      </c>
      <c r="P2082" s="18" t="s">
        <v>38</v>
      </c>
      <c r="Q2082" s="18" t="s">
        <v>194</v>
      </c>
      <c r="R2082" s="18" t="s">
        <v>59</v>
      </c>
      <c r="S2082" s="18" t="s">
        <v>195</v>
      </c>
      <c r="T2082" s="18" t="b">
        <v>0</v>
      </c>
      <c r="U2082" s="18" t="s">
        <v>187</v>
      </c>
      <c r="V2082" s="18" t="s">
        <v>40</v>
      </c>
      <c r="W2082" s="18" t="s">
        <v>140</v>
      </c>
      <c r="X2082" s="18" t="s">
        <v>141</v>
      </c>
      <c r="Y2082" s="18">
        <v>1</v>
      </c>
      <c r="Z2082" s="18">
        <v>6750</v>
      </c>
      <c r="AA2082" s="18" t="s">
        <v>4237</v>
      </c>
      <c r="AB2082" s="18" t="s">
        <v>4238</v>
      </c>
      <c r="AC2082" s="18" t="s">
        <v>200</v>
      </c>
    </row>
    <row r="2083" s="18" customFormat="1" ht="43.5" spans="1:29">
      <c r="A2083" s="18" t="s">
        <v>4239</v>
      </c>
      <c r="B2083" s="25" t="s">
        <v>4239</v>
      </c>
      <c r="C2083" s="26">
        <v>45714</v>
      </c>
      <c r="D2083" s="18" t="s">
        <v>264</v>
      </c>
      <c r="E2083" s="18" t="str">
        <f t="shared" si="32"/>
        <v>The Indian Performing Right Society Ltd.</v>
      </c>
      <c r="F2083" s="27" t="e">
        <v>#N/A</v>
      </c>
      <c r="G2083" s="18" t="s">
        <v>182</v>
      </c>
      <c r="H2083" s="18" t="s">
        <v>183</v>
      </c>
      <c r="I2083" s="18" t="s">
        <v>184</v>
      </c>
      <c r="J2083" s="18" t="s">
        <v>1700</v>
      </c>
      <c r="K2083" s="18" t="s">
        <v>56</v>
      </c>
      <c r="L2083" s="18" t="s">
        <v>36</v>
      </c>
      <c r="N2083" s="18">
        <v>6</v>
      </c>
      <c r="O2083" s="18" t="s">
        <v>57</v>
      </c>
      <c r="P2083" s="18" t="s">
        <v>38</v>
      </c>
      <c r="Q2083" s="18" t="s">
        <v>58</v>
      </c>
      <c r="R2083" s="18" t="s">
        <v>59</v>
      </c>
      <c r="S2083" s="18" t="s">
        <v>60</v>
      </c>
      <c r="T2083" s="18" t="b">
        <v>0</v>
      </c>
      <c r="U2083" s="18" t="s">
        <v>187</v>
      </c>
      <c r="V2083" s="18" t="s">
        <v>40</v>
      </c>
      <c r="W2083" s="18" t="s">
        <v>256</v>
      </c>
      <c r="X2083" s="18" t="s">
        <v>257</v>
      </c>
      <c r="Y2083" s="18">
        <v>1</v>
      </c>
      <c r="Z2083" s="18">
        <v>30000</v>
      </c>
      <c r="AA2083" s="31" t="s">
        <v>2834</v>
      </c>
      <c r="AB2083" s="18" t="s">
        <v>259</v>
      </c>
      <c r="AC2083" s="18" t="s">
        <v>200</v>
      </c>
    </row>
    <row r="2084" s="18" customFormat="1" ht="43.5" spans="1:29">
      <c r="A2084" s="18" t="s">
        <v>4240</v>
      </c>
      <c r="B2084" s="25" t="s">
        <v>4240</v>
      </c>
      <c r="C2084" s="26">
        <v>45714</v>
      </c>
      <c r="D2084" s="18" t="s">
        <v>255</v>
      </c>
      <c r="E2084" s="18" t="str">
        <f t="shared" si="32"/>
        <v>Phonographic Performance Limited</v>
      </c>
      <c r="F2084" s="27" t="e">
        <v>#N/A</v>
      </c>
      <c r="G2084" s="18" t="s">
        <v>182</v>
      </c>
      <c r="H2084" s="18" t="s">
        <v>183</v>
      </c>
      <c r="I2084" s="18" t="s">
        <v>184</v>
      </c>
      <c r="J2084" s="18" t="s">
        <v>1700</v>
      </c>
      <c r="K2084" s="18" t="s">
        <v>56</v>
      </c>
      <c r="L2084" s="18" t="s">
        <v>36</v>
      </c>
      <c r="N2084" s="18">
        <v>6</v>
      </c>
      <c r="O2084" s="18" t="s">
        <v>88</v>
      </c>
      <c r="P2084" s="18" t="s">
        <v>38</v>
      </c>
      <c r="Q2084" s="18" t="s">
        <v>58</v>
      </c>
      <c r="R2084" s="18" t="s">
        <v>59</v>
      </c>
      <c r="S2084" s="18" t="s">
        <v>60</v>
      </c>
      <c r="T2084" s="18" t="b">
        <v>0</v>
      </c>
      <c r="U2084" s="18" t="s">
        <v>187</v>
      </c>
      <c r="V2084" s="18" t="s">
        <v>40</v>
      </c>
      <c r="W2084" s="18" t="s">
        <v>256</v>
      </c>
      <c r="X2084" s="18" t="s">
        <v>257</v>
      </c>
      <c r="Y2084" s="18">
        <v>1</v>
      </c>
      <c r="Z2084" s="18">
        <v>111000</v>
      </c>
      <c r="AA2084" s="31" t="s">
        <v>2834</v>
      </c>
      <c r="AB2084" s="18" t="s">
        <v>259</v>
      </c>
      <c r="AC2084" s="18" t="s">
        <v>200</v>
      </c>
    </row>
    <row r="2085" s="18" customFormat="1" ht="43.5" spans="1:29">
      <c r="A2085" s="18" t="s">
        <v>4241</v>
      </c>
      <c r="B2085" s="25" t="s">
        <v>4241</v>
      </c>
      <c r="C2085" s="26">
        <v>45714</v>
      </c>
      <c r="D2085" s="18" t="s">
        <v>261</v>
      </c>
      <c r="E2085" s="18" t="str">
        <f t="shared" si="32"/>
        <v>Novex Communications Pvt. Ltd.</v>
      </c>
      <c r="F2085" s="27" t="e">
        <v>#N/A</v>
      </c>
      <c r="G2085" s="18" t="s">
        <v>182</v>
      </c>
      <c r="H2085" s="18" t="s">
        <v>183</v>
      </c>
      <c r="I2085" s="18" t="s">
        <v>184</v>
      </c>
      <c r="J2085" s="18" t="s">
        <v>1700</v>
      </c>
      <c r="K2085" s="18" t="s">
        <v>56</v>
      </c>
      <c r="L2085" s="18" t="s">
        <v>36</v>
      </c>
      <c r="N2085" s="18">
        <v>6</v>
      </c>
      <c r="O2085" s="18" t="s">
        <v>88</v>
      </c>
      <c r="P2085" s="18" t="s">
        <v>38</v>
      </c>
      <c r="Q2085" s="18" t="s">
        <v>58</v>
      </c>
      <c r="R2085" s="18" t="s">
        <v>59</v>
      </c>
      <c r="S2085" s="18" t="s">
        <v>60</v>
      </c>
      <c r="T2085" s="18" t="b">
        <v>0</v>
      </c>
      <c r="U2085" s="18" t="s">
        <v>187</v>
      </c>
      <c r="V2085" s="18" t="s">
        <v>40</v>
      </c>
      <c r="W2085" s="18" t="s">
        <v>256</v>
      </c>
      <c r="X2085" s="18" t="s">
        <v>257</v>
      </c>
      <c r="Y2085" s="18">
        <v>1</v>
      </c>
      <c r="Z2085" s="18">
        <v>120000</v>
      </c>
      <c r="AA2085" s="31" t="s">
        <v>2834</v>
      </c>
      <c r="AB2085" s="18" t="s">
        <v>259</v>
      </c>
      <c r="AC2085" s="18" t="s">
        <v>200</v>
      </c>
    </row>
    <row r="2086" s="18" customFormat="1" ht="43.5" spans="1:29">
      <c r="A2086" s="18" t="s">
        <v>4242</v>
      </c>
      <c r="B2086" s="25" t="s">
        <v>4242</v>
      </c>
      <c r="C2086" s="26">
        <v>45714</v>
      </c>
      <c r="D2086" s="18" t="s">
        <v>4243</v>
      </c>
      <c r="E2086" s="18" t="str">
        <f t="shared" si="32"/>
        <v>Rudra Creations</v>
      </c>
      <c r="F2086" s="27" t="s">
        <v>4244</v>
      </c>
      <c r="G2086" s="18" t="s">
        <v>182</v>
      </c>
      <c r="H2086" s="18" t="s">
        <v>183</v>
      </c>
      <c r="I2086" s="18" t="s">
        <v>184</v>
      </c>
      <c r="J2086" s="18" t="s">
        <v>2756</v>
      </c>
      <c r="K2086" s="18" t="s">
        <v>56</v>
      </c>
      <c r="L2086" s="18" t="s">
        <v>36</v>
      </c>
      <c r="N2086" s="18">
        <v>6</v>
      </c>
      <c r="O2086" s="18" t="s">
        <v>88</v>
      </c>
      <c r="P2086" s="18" t="s">
        <v>38</v>
      </c>
      <c r="Q2086" s="18" t="s">
        <v>194</v>
      </c>
      <c r="R2086" s="18" t="s">
        <v>59</v>
      </c>
      <c r="S2086" s="18" t="s">
        <v>195</v>
      </c>
      <c r="T2086" s="18" t="b">
        <v>0</v>
      </c>
      <c r="U2086" s="18" t="s">
        <v>187</v>
      </c>
      <c r="V2086" s="18" t="s">
        <v>40</v>
      </c>
      <c r="W2086" s="18" t="s">
        <v>140</v>
      </c>
      <c r="X2086" s="18" t="s">
        <v>141</v>
      </c>
      <c r="Y2086" s="18">
        <v>1</v>
      </c>
      <c r="Z2086" s="18">
        <v>378000</v>
      </c>
      <c r="AA2086" s="31" t="s">
        <v>3071</v>
      </c>
      <c r="AB2086" s="18" t="s">
        <v>1554</v>
      </c>
      <c r="AC2086" s="18" t="s">
        <v>4245</v>
      </c>
    </row>
    <row r="2087" s="18" customFormat="1" ht="43.5" spans="1:29">
      <c r="A2087" s="18" t="s">
        <v>4246</v>
      </c>
      <c r="B2087" s="25" t="s">
        <v>4246</v>
      </c>
      <c r="C2087" s="26">
        <v>45714</v>
      </c>
      <c r="D2087" s="18" t="s">
        <v>264</v>
      </c>
      <c r="E2087" s="18" t="str">
        <f t="shared" si="32"/>
        <v>The Indian Performing Right Society Ltd.</v>
      </c>
      <c r="F2087" s="27" t="e">
        <v>#N/A</v>
      </c>
      <c r="G2087" s="18" t="s">
        <v>182</v>
      </c>
      <c r="H2087" s="18" t="s">
        <v>183</v>
      </c>
      <c r="I2087" s="18" t="s">
        <v>184</v>
      </c>
      <c r="J2087" s="18" t="s">
        <v>2803</v>
      </c>
      <c r="K2087" s="18" t="s">
        <v>56</v>
      </c>
      <c r="L2087" s="18" t="s">
        <v>36</v>
      </c>
      <c r="N2087" s="18">
        <v>6</v>
      </c>
      <c r="O2087" s="18" t="s">
        <v>57</v>
      </c>
      <c r="P2087" s="18" t="s">
        <v>38</v>
      </c>
      <c r="Q2087" s="18" t="s">
        <v>58</v>
      </c>
      <c r="R2087" s="18" t="s">
        <v>59</v>
      </c>
      <c r="S2087" s="18" t="s">
        <v>60</v>
      </c>
      <c r="T2087" s="18" t="b">
        <v>0</v>
      </c>
      <c r="U2087" s="18" t="s">
        <v>187</v>
      </c>
      <c r="V2087" s="18" t="s">
        <v>40</v>
      </c>
      <c r="W2087" s="18" t="s">
        <v>256</v>
      </c>
      <c r="X2087" s="18" t="s">
        <v>257</v>
      </c>
      <c r="Y2087" s="18">
        <v>1</v>
      </c>
      <c r="Z2087" s="18">
        <v>30000</v>
      </c>
      <c r="AA2087" s="31" t="s">
        <v>2834</v>
      </c>
      <c r="AB2087" s="18" t="s">
        <v>259</v>
      </c>
      <c r="AC2087" s="18" t="s">
        <v>200</v>
      </c>
    </row>
    <row r="2088" s="18" customFormat="1" ht="43.5" spans="1:29">
      <c r="A2088" s="18" t="s">
        <v>4247</v>
      </c>
      <c r="B2088" s="25" t="s">
        <v>4247</v>
      </c>
      <c r="C2088" s="26">
        <v>45714</v>
      </c>
      <c r="D2088" s="18" t="s">
        <v>255</v>
      </c>
      <c r="E2088" s="18" t="str">
        <f t="shared" si="32"/>
        <v>Phonographic Performance Limited</v>
      </c>
      <c r="F2088" s="27" t="e">
        <v>#N/A</v>
      </c>
      <c r="G2088" s="18" t="s">
        <v>182</v>
      </c>
      <c r="H2088" s="18" t="s">
        <v>183</v>
      </c>
      <c r="I2088" s="18" t="s">
        <v>184</v>
      </c>
      <c r="J2088" s="18" t="s">
        <v>2803</v>
      </c>
      <c r="K2088" s="18" t="s">
        <v>56</v>
      </c>
      <c r="L2088" s="18" t="s">
        <v>36</v>
      </c>
      <c r="N2088" s="18">
        <v>6</v>
      </c>
      <c r="O2088" s="18" t="s">
        <v>88</v>
      </c>
      <c r="P2088" s="18" t="s">
        <v>38</v>
      </c>
      <c r="Q2088" s="18" t="s">
        <v>58</v>
      </c>
      <c r="R2088" s="18" t="s">
        <v>59</v>
      </c>
      <c r="S2088" s="18" t="s">
        <v>60</v>
      </c>
      <c r="T2088" s="18" t="b">
        <v>0</v>
      </c>
      <c r="U2088" s="18" t="s">
        <v>187</v>
      </c>
      <c r="V2088" s="18" t="s">
        <v>40</v>
      </c>
      <c r="W2088" s="18" t="s">
        <v>256</v>
      </c>
      <c r="X2088" s="18" t="s">
        <v>257</v>
      </c>
      <c r="Y2088" s="18">
        <v>1</v>
      </c>
      <c r="Z2088" s="18">
        <v>235000</v>
      </c>
      <c r="AA2088" s="31" t="s">
        <v>2834</v>
      </c>
      <c r="AB2088" s="18" t="s">
        <v>259</v>
      </c>
      <c r="AC2088" s="18" t="s">
        <v>200</v>
      </c>
    </row>
    <row r="2089" s="18" customFormat="1" ht="43.5" spans="1:29">
      <c r="A2089" s="18" t="s">
        <v>4248</v>
      </c>
      <c r="B2089" s="25" t="s">
        <v>4248</v>
      </c>
      <c r="C2089" s="26">
        <v>45714</v>
      </c>
      <c r="D2089" s="18" t="s">
        <v>261</v>
      </c>
      <c r="E2089" s="18" t="str">
        <f t="shared" si="32"/>
        <v>Novex Communications Pvt. Ltd.</v>
      </c>
      <c r="F2089" s="27" t="e">
        <v>#N/A</v>
      </c>
      <c r="G2089" s="18" t="s">
        <v>182</v>
      </c>
      <c r="H2089" s="18" t="s">
        <v>183</v>
      </c>
      <c r="I2089" s="18" t="s">
        <v>184</v>
      </c>
      <c r="J2089" s="18" t="s">
        <v>2803</v>
      </c>
      <c r="K2089" s="18" t="s">
        <v>56</v>
      </c>
      <c r="L2089" s="18" t="s">
        <v>36</v>
      </c>
      <c r="N2089" s="18">
        <v>6</v>
      </c>
      <c r="O2089" s="18" t="s">
        <v>88</v>
      </c>
      <c r="P2089" s="18" t="s">
        <v>38</v>
      </c>
      <c r="Q2089" s="18" t="s">
        <v>58</v>
      </c>
      <c r="R2089" s="18" t="s">
        <v>59</v>
      </c>
      <c r="S2089" s="18" t="s">
        <v>60</v>
      </c>
      <c r="T2089" s="18" t="b">
        <v>0</v>
      </c>
      <c r="U2089" s="18" t="s">
        <v>187</v>
      </c>
      <c r="V2089" s="18" t="s">
        <v>40</v>
      </c>
      <c r="W2089" s="18" t="s">
        <v>256</v>
      </c>
      <c r="X2089" s="18" t="s">
        <v>257</v>
      </c>
      <c r="Y2089" s="18">
        <v>1</v>
      </c>
      <c r="Z2089" s="18">
        <v>80000</v>
      </c>
      <c r="AA2089" s="31" t="s">
        <v>2834</v>
      </c>
      <c r="AB2089" s="18" t="s">
        <v>259</v>
      </c>
      <c r="AC2089" s="18" t="s">
        <v>200</v>
      </c>
    </row>
    <row r="2090" s="18" customFormat="1" ht="43.5" spans="1:29">
      <c r="A2090" s="18" t="s">
        <v>4249</v>
      </c>
      <c r="B2090" s="25" t="s">
        <v>4249</v>
      </c>
      <c r="C2090" s="26">
        <v>45714</v>
      </c>
      <c r="D2090" s="18" t="s">
        <v>4250</v>
      </c>
      <c r="E2090" s="18" t="str">
        <f t="shared" si="32"/>
        <v>Aroush Event</v>
      </c>
      <c r="F2090" s="27" t="s">
        <v>4251</v>
      </c>
      <c r="G2090" s="18" t="s">
        <v>182</v>
      </c>
      <c r="H2090" s="18" t="s">
        <v>183</v>
      </c>
      <c r="I2090" s="18" t="s">
        <v>184</v>
      </c>
      <c r="J2090" s="18" t="s">
        <v>3479</v>
      </c>
      <c r="K2090" s="18" t="s">
        <v>56</v>
      </c>
      <c r="L2090" s="18" t="s">
        <v>36</v>
      </c>
      <c r="N2090" s="18">
        <v>6</v>
      </c>
      <c r="O2090" s="18" t="s">
        <v>88</v>
      </c>
      <c r="P2090" s="18" t="s">
        <v>38</v>
      </c>
      <c r="Q2090" s="18" t="s">
        <v>194</v>
      </c>
      <c r="R2090" s="18" t="s">
        <v>59</v>
      </c>
      <c r="S2090" s="18" t="s">
        <v>195</v>
      </c>
      <c r="T2090" s="18" t="b">
        <v>0</v>
      </c>
      <c r="U2090" s="18" t="s">
        <v>187</v>
      </c>
      <c r="V2090" s="18" t="s">
        <v>40</v>
      </c>
      <c r="W2090" s="18" t="s">
        <v>317</v>
      </c>
      <c r="X2090" s="18" t="s">
        <v>318</v>
      </c>
      <c r="Y2090" s="18">
        <v>1</v>
      </c>
      <c r="Z2090" s="18">
        <v>225000</v>
      </c>
      <c r="AA2090" s="31" t="s">
        <v>3069</v>
      </c>
      <c r="AB2090" s="18" t="s">
        <v>1457</v>
      </c>
      <c r="AC2090" s="18" t="s">
        <v>216</v>
      </c>
    </row>
    <row r="2091" s="18" customFormat="1" ht="43.5" spans="1:29">
      <c r="A2091" s="18" t="s">
        <v>4252</v>
      </c>
      <c r="B2091" s="25" t="s">
        <v>4252</v>
      </c>
      <c r="C2091" s="26">
        <v>45714</v>
      </c>
      <c r="D2091" s="18" t="s">
        <v>2275</v>
      </c>
      <c r="E2091" s="18" t="str">
        <f t="shared" si="32"/>
        <v>Atharva Shinde</v>
      </c>
      <c r="F2091" s="27" t="s">
        <v>2276</v>
      </c>
      <c r="G2091" s="18" t="s">
        <v>182</v>
      </c>
      <c r="H2091" s="18" t="s">
        <v>183</v>
      </c>
      <c r="I2091" s="18" t="s">
        <v>184</v>
      </c>
      <c r="J2091" s="18" t="s">
        <v>3123</v>
      </c>
      <c r="K2091" s="18" t="s">
        <v>56</v>
      </c>
      <c r="L2091" s="18" t="s">
        <v>36</v>
      </c>
      <c r="N2091" s="18">
        <v>6</v>
      </c>
      <c r="O2091" s="18" t="s">
        <v>57</v>
      </c>
      <c r="P2091" s="18" t="s">
        <v>38</v>
      </c>
      <c r="Q2091" s="18" t="s">
        <v>194</v>
      </c>
      <c r="R2091" s="18" t="s">
        <v>59</v>
      </c>
      <c r="S2091" s="18" t="s">
        <v>195</v>
      </c>
      <c r="T2091" s="18" t="b">
        <v>0</v>
      </c>
      <c r="U2091" s="18" t="s">
        <v>187</v>
      </c>
      <c r="V2091" s="18" t="s">
        <v>40</v>
      </c>
      <c r="W2091" s="18" t="s">
        <v>347</v>
      </c>
      <c r="X2091" s="18" t="s">
        <v>348</v>
      </c>
      <c r="Y2091" s="18">
        <v>1</v>
      </c>
      <c r="Z2091" s="18">
        <v>82500</v>
      </c>
      <c r="AA2091" s="31" t="s">
        <v>4253</v>
      </c>
      <c r="AB2091" s="18" t="s">
        <v>2279</v>
      </c>
      <c r="AC2091" s="18" t="e">
        <v>#N/A</v>
      </c>
    </row>
    <row r="2092" s="18" customFormat="1" spans="1:29">
      <c r="A2092" s="18" t="s">
        <v>4254</v>
      </c>
      <c r="B2092" s="25" t="s">
        <v>4254</v>
      </c>
      <c r="C2092" s="26">
        <v>45714</v>
      </c>
      <c r="D2092" s="18" t="s">
        <v>1485</v>
      </c>
      <c r="E2092" s="18" t="str">
        <f t="shared" si="32"/>
        <v>Alliance International Tours &amp; Travels</v>
      </c>
      <c r="F2092" s="27" t="s">
        <v>1486</v>
      </c>
      <c r="G2092" s="18" t="s">
        <v>182</v>
      </c>
      <c r="H2092" s="18" t="s">
        <v>183</v>
      </c>
      <c r="I2092" s="18" t="s">
        <v>184</v>
      </c>
      <c r="J2092" s="18" t="s">
        <v>2930</v>
      </c>
      <c r="K2092" s="18" t="s">
        <v>56</v>
      </c>
      <c r="L2092" s="18" t="s">
        <v>36</v>
      </c>
      <c r="N2092" s="18">
        <v>6</v>
      </c>
      <c r="O2092" s="18" t="s">
        <v>88</v>
      </c>
      <c r="P2092" s="18" t="s">
        <v>38</v>
      </c>
      <c r="Q2092" s="18" t="s">
        <v>194</v>
      </c>
      <c r="R2092" s="18" t="s">
        <v>59</v>
      </c>
      <c r="S2092" s="18" t="s">
        <v>195</v>
      </c>
      <c r="T2092" s="18" t="b">
        <v>0</v>
      </c>
      <c r="U2092" s="18" t="s">
        <v>187</v>
      </c>
      <c r="V2092" s="18" t="s">
        <v>40</v>
      </c>
      <c r="W2092" s="18" t="s">
        <v>734</v>
      </c>
      <c r="X2092" s="18" t="s">
        <v>735</v>
      </c>
      <c r="Y2092" s="18">
        <v>1</v>
      </c>
      <c r="Z2092" s="18">
        <v>508500</v>
      </c>
      <c r="AA2092" s="18" t="s">
        <v>1487</v>
      </c>
      <c r="AB2092" s="18" t="s">
        <v>1488</v>
      </c>
      <c r="AC2092" s="18" t="e">
        <v>#N/A</v>
      </c>
    </row>
    <row r="2093" s="18" customFormat="1" ht="43.5" spans="1:29">
      <c r="A2093" s="18" t="s">
        <v>4255</v>
      </c>
      <c r="B2093" s="25" t="s">
        <v>4255</v>
      </c>
      <c r="C2093" s="26">
        <v>45714</v>
      </c>
      <c r="D2093" s="18" t="s">
        <v>4256</v>
      </c>
      <c r="E2093" s="18" t="str">
        <f t="shared" si="32"/>
        <v>Trupti Rahate</v>
      </c>
      <c r="F2093" s="27" t="s">
        <v>4257</v>
      </c>
      <c r="G2093" s="18" t="s">
        <v>182</v>
      </c>
      <c r="H2093" s="18" t="s">
        <v>183</v>
      </c>
      <c r="I2093" s="18" t="s">
        <v>184</v>
      </c>
      <c r="J2093" s="18" t="s">
        <v>2930</v>
      </c>
      <c r="K2093" s="18" t="s">
        <v>56</v>
      </c>
      <c r="L2093" s="18" t="s">
        <v>36</v>
      </c>
      <c r="N2093" s="18">
        <v>6</v>
      </c>
      <c r="O2093" s="18" t="s">
        <v>57</v>
      </c>
      <c r="P2093" s="18" t="s">
        <v>38</v>
      </c>
      <c r="Q2093" s="18" t="s">
        <v>194</v>
      </c>
      <c r="R2093" s="18" t="s">
        <v>59</v>
      </c>
      <c r="S2093" s="18" t="s">
        <v>195</v>
      </c>
      <c r="T2093" s="18" t="b">
        <v>0</v>
      </c>
      <c r="U2093" s="18" t="s">
        <v>187</v>
      </c>
      <c r="V2093" s="18" t="s">
        <v>40</v>
      </c>
      <c r="W2093" s="18" t="s">
        <v>347</v>
      </c>
      <c r="X2093" s="18" t="s">
        <v>348</v>
      </c>
      <c r="Y2093" s="18">
        <v>1</v>
      </c>
      <c r="Z2093" s="18">
        <v>63000</v>
      </c>
      <c r="AA2093" s="31" t="s">
        <v>2918</v>
      </c>
      <c r="AB2093" s="18" t="s">
        <v>963</v>
      </c>
      <c r="AC2093" s="18" t="e">
        <v>#N/A</v>
      </c>
    </row>
    <row r="2094" s="18" customFormat="1" spans="1:29">
      <c r="A2094" s="18" t="s">
        <v>4258</v>
      </c>
      <c r="B2094" s="25" t="s">
        <v>4258</v>
      </c>
      <c r="C2094" s="26">
        <v>45714</v>
      </c>
      <c r="D2094" s="18" t="s">
        <v>4259</v>
      </c>
      <c r="E2094" s="18" t="str">
        <f t="shared" si="32"/>
        <v>Nicobar Design Pvt Ltd (Happay)</v>
      </c>
      <c r="F2094" s="27" t="s">
        <v>4260</v>
      </c>
      <c r="G2094" s="18" t="s">
        <v>182</v>
      </c>
      <c r="H2094" s="18" t="s">
        <v>183</v>
      </c>
      <c r="I2094" s="18" t="s">
        <v>184</v>
      </c>
      <c r="J2094" s="18" t="s">
        <v>3246</v>
      </c>
      <c r="K2094" s="18" t="s">
        <v>56</v>
      </c>
      <c r="L2094" s="18" t="s">
        <v>36</v>
      </c>
      <c r="N2094" s="18">
        <v>6</v>
      </c>
      <c r="O2094" s="18" t="s">
        <v>57</v>
      </c>
      <c r="P2094" s="18" t="s">
        <v>38</v>
      </c>
      <c r="Q2094" s="18" t="s">
        <v>194</v>
      </c>
      <c r="R2094" s="18" t="s">
        <v>59</v>
      </c>
      <c r="S2094" s="18" t="s">
        <v>195</v>
      </c>
      <c r="T2094" s="18" t="b">
        <v>0</v>
      </c>
      <c r="U2094" s="18" t="s">
        <v>187</v>
      </c>
      <c r="V2094" s="18" t="s">
        <v>40</v>
      </c>
      <c r="W2094" s="18" t="s">
        <v>140</v>
      </c>
      <c r="X2094" s="18" t="s">
        <v>141</v>
      </c>
      <c r="Y2094" s="18">
        <v>1</v>
      </c>
      <c r="Z2094" s="18">
        <v>23214.3</v>
      </c>
      <c r="AA2094" s="18" t="s">
        <v>4261</v>
      </c>
      <c r="AB2094" s="18" t="s">
        <v>199</v>
      </c>
      <c r="AC2094" s="18" t="s">
        <v>200</v>
      </c>
    </row>
    <row r="2095" s="18" customFormat="1" ht="43.5" spans="1:29">
      <c r="A2095" s="18" t="s">
        <v>4262</v>
      </c>
      <c r="B2095" s="25" t="s">
        <v>4262</v>
      </c>
      <c r="C2095" s="26">
        <v>45715</v>
      </c>
      <c r="D2095" s="18" t="s">
        <v>305</v>
      </c>
      <c r="E2095" s="18" t="str">
        <f t="shared" si="32"/>
        <v>Sumair Shariff</v>
      </c>
      <c r="F2095" s="27" t="s">
        <v>306</v>
      </c>
      <c r="G2095" s="18" t="s">
        <v>32</v>
      </c>
      <c r="H2095" s="18" t="s">
        <v>33</v>
      </c>
      <c r="I2095" s="18" t="s">
        <v>184</v>
      </c>
      <c r="J2095" s="18" t="s">
        <v>2200</v>
      </c>
      <c r="K2095" s="18" t="s">
        <v>56</v>
      </c>
      <c r="L2095" s="18" t="s">
        <v>36</v>
      </c>
      <c r="N2095" s="18">
        <v>6</v>
      </c>
      <c r="O2095" s="18" t="s">
        <v>57</v>
      </c>
      <c r="P2095" s="18" t="s">
        <v>38</v>
      </c>
      <c r="Q2095" s="18" t="s">
        <v>194</v>
      </c>
      <c r="R2095" s="18" t="s">
        <v>59</v>
      </c>
      <c r="S2095" s="18" t="s">
        <v>195</v>
      </c>
      <c r="T2095" s="18" t="b">
        <v>1</v>
      </c>
      <c r="U2095" s="18" t="s">
        <v>39</v>
      </c>
      <c r="V2095" s="18" t="s">
        <v>40</v>
      </c>
      <c r="W2095" s="18" t="s">
        <v>292</v>
      </c>
      <c r="X2095" s="18" t="s">
        <v>293</v>
      </c>
      <c r="Y2095" s="18">
        <v>1</v>
      </c>
      <c r="Z2095" s="18">
        <v>48500</v>
      </c>
      <c r="AA2095" s="31" t="s">
        <v>2760</v>
      </c>
      <c r="AB2095" s="18" t="s">
        <v>282</v>
      </c>
      <c r="AC2095" s="18" t="e">
        <v>#N/A</v>
      </c>
    </row>
    <row r="2096" s="18" customFormat="1" ht="43.5" spans="1:29">
      <c r="A2096" s="18" t="s">
        <v>4263</v>
      </c>
      <c r="B2096" s="25" t="s">
        <v>4263</v>
      </c>
      <c r="C2096" s="26">
        <v>45715</v>
      </c>
      <c r="D2096" s="18" t="s">
        <v>1085</v>
      </c>
      <c r="E2096" s="18" t="str">
        <f t="shared" si="32"/>
        <v>Thinking Brahma</v>
      </c>
      <c r="F2096" s="27" t="s">
        <v>1086</v>
      </c>
      <c r="G2096" s="18" t="s">
        <v>32</v>
      </c>
      <c r="H2096" s="18" t="s">
        <v>33</v>
      </c>
      <c r="I2096" s="18" t="s">
        <v>184</v>
      </c>
      <c r="J2096" s="18" t="s">
        <v>2200</v>
      </c>
      <c r="K2096" s="18" t="s">
        <v>56</v>
      </c>
      <c r="L2096" s="18" t="s">
        <v>36</v>
      </c>
      <c r="N2096" s="18">
        <v>6</v>
      </c>
      <c r="O2096" s="18" t="s">
        <v>88</v>
      </c>
      <c r="P2096" s="18" t="s">
        <v>38</v>
      </c>
      <c r="Q2096" s="18" t="s">
        <v>194</v>
      </c>
      <c r="R2096" s="18" t="s">
        <v>59</v>
      </c>
      <c r="S2096" s="18" t="s">
        <v>195</v>
      </c>
      <c r="T2096" s="18" t="b">
        <v>1</v>
      </c>
      <c r="U2096" s="18" t="s">
        <v>39</v>
      </c>
      <c r="V2096" s="18" t="s">
        <v>40</v>
      </c>
      <c r="W2096" s="18" t="s">
        <v>401</v>
      </c>
      <c r="X2096" s="18" t="s">
        <v>402</v>
      </c>
      <c r="Y2096" s="18">
        <v>1</v>
      </c>
      <c r="Z2096" s="18">
        <v>51000</v>
      </c>
      <c r="AA2096" s="31" t="s">
        <v>2760</v>
      </c>
      <c r="AB2096" s="18" t="s">
        <v>282</v>
      </c>
      <c r="AC2096" s="18" t="s">
        <v>43</v>
      </c>
    </row>
    <row r="2097" s="18" customFormat="1" ht="43.5" spans="1:29">
      <c r="A2097" s="18" t="s">
        <v>4264</v>
      </c>
      <c r="B2097" s="25" t="s">
        <v>4264</v>
      </c>
      <c r="C2097" s="26">
        <v>45715</v>
      </c>
      <c r="D2097" s="18" t="s">
        <v>1085</v>
      </c>
      <c r="E2097" s="18" t="str">
        <f t="shared" si="32"/>
        <v>Thinking Brahma</v>
      </c>
      <c r="F2097" s="27" t="s">
        <v>1086</v>
      </c>
      <c r="G2097" s="18" t="s">
        <v>32</v>
      </c>
      <c r="H2097" s="18" t="s">
        <v>33</v>
      </c>
      <c r="I2097" s="18" t="s">
        <v>184</v>
      </c>
      <c r="J2097" s="18" t="s">
        <v>4265</v>
      </c>
      <c r="K2097" s="18" t="s">
        <v>56</v>
      </c>
      <c r="L2097" s="18" t="s">
        <v>36</v>
      </c>
      <c r="N2097" s="18">
        <v>6</v>
      </c>
      <c r="O2097" s="18" t="s">
        <v>88</v>
      </c>
      <c r="P2097" s="18" t="s">
        <v>38</v>
      </c>
      <c r="Q2097" s="18" t="s">
        <v>194</v>
      </c>
      <c r="R2097" s="18" t="s">
        <v>59</v>
      </c>
      <c r="S2097" s="18" t="s">
        <v>195</v>
      </c>
      <c r="T2097" s="18" t="b">
        <v>1</v>
      </c>
      <c r="U2097" s="18" t="s">
        <v>39</v>
      </c>
      <c r="V2097" s="18" t="s">
        <v>40</v>
      </c>
      <c r="W2097" s="18" t="s">
        <v>401</v>
      </c>
      <c r="X2097" s="18" t="s">
        <v>402</v>
      </c>
      <c r="Y2097" s="18">
        <v>1</v>
      </c>
      <c r="Z2097" s="18">
        <v>14500</v>
      </c>
      <c r="AA2097" s="31" t="s">
        <v>2760</v>
      </c>
      <c r="AB2097" s="18" t="s">
        <v>282</v>
      </c>
      <c r="AC2097" s="18" t="s">
        <v>43</v>
      </c>
    </row>
    <row r="2098" s="18" customFormat="1" ht="43.5" spans="1:29">
      <c r="A2098" s="18" t="s">
        <v>4266</v>
      </c>
      <c r="B2098" s="25" t="s">
        <v>4266</v>
      </c>
      <c r="C2098" s="26">
        <v>45715</v>
      </c>
      <c r="D2098" s="18" t="s">
        <v>1089</v>
      </c>
      <c r="E2098" s="18" t="str">
        <f t="shared" si="32"/>
        <v>Kolorkode</v>
      </c>
      <c r="F2098" s="27" t="e">
        <v>#N/A</v>
      </c>
      <c r="G2098" s="18" t="s">
        <v>32</v>
      </c>
      <c r="H2098" s="18" t="s">
        <v>33</v>
      </c>
      <c r="I2098" s="18" t="s">
        <v>184</v>
      </c>
      <c r="J2098" s="18" t="s">
        <v>4265</v>
      </c>
      <c r="K2098" s="18" t="s">
        <v>56</v>
      </c>
      <c r="L2098" s="18" t="s">
        <v>36</v>
      </c>
      <c r="N2098" s="18">
        <v>6</v>
      </c>
      <c r="O2098" s="18" t="s">
        <v>57</v>
      </c>
      <c r="P2098" s="18" t="s">
        <v>38</v>
      </c>
      <c r="Q2098" s="18" t="s">
        <v>194</v>
      </c>
      <c r="R2098" s="18" t="s">
        <v>59</v>
      </c>
      <c r="S2098" s="18" t="s">
        <v>195</v>
      </c>
      <c r="T2098" s="18" t="b">
        <v>1</v>
      </c>
      <c r="U2098" s="18" t="s">
        <v>39</v>
      </c>
      <c r="V2098" s="18" t="s">
        <v>40</v>
      </c>
      <c r="W2098" s="18" t="s">
        <v>196</v>
      </c>
      <c r="X2098" s="18" t="s">
        <v>197</v>
      </c>
      <c r="Y2098" s="18">
        <v>1</v>
      </c>
      <c r="Z2098" s="18">
        <v>8050</v>
      </c>
      <c r="AA2098" s="31" t="s">
        <v>2760</v>
      </c>
      <c r="AB2098" s="18" t="s">
        <v>282</v>
      </c>
      <c r="AC2098" s="18" t="s">
        <v>43</v>
      </c>
    </row>
    <row r="2099" s="18" customFormat="1" ht="43.5" spans="1:29">
      <c r="A2099" s="18" t="s">
        <v>4267</v>
      </c>
      <c r="B2099" s="25" t="s">
        <v>4267</v>
      </c>
      <c r="C2099" s="26">
        <v>45715</v>
      </c>
      <c r="D2099" s="18" t="s">
        <v>4268</v>
      </c>
      <c r="E2099" s="18" t="str">
        <f t="shared" si="32"/>
        <v>Taj MG Road, Bangalore (Piem Hotels Ltd)</v>
      </c>
      <c r="F2099" s="27" t="e">
        <v>#N/A</v>
      </c>
      <c r="G2099" s="18" t="s">
        <v>32</v>
      </c>
      <c r="H2099" s="18" t="s">
        <v>33</v>
      </c>
      <c r="I2099" s="18" t="s">
        <v>184</v>
      </c>
      <c r="J2099" s="18" t="s">
        <v>4269</v>
      </c>
      <c r="K2099" s="18" t="s">
        <v>56</v>
      </c>
      <c r="L2099" s="18" t="s">
        <v>36</v>
      </c>
      <c r="N2099" s="18">
        <v>6</v>
      </c>
      <c r="O2099" s="18" t="s">
        <v>57</v>
      </c>
      <c r="P2099" s="18" t="s">
        <v>38</v>
      </c>
      <c r="Q2099" s="18" t="s">
        <v>117</v>
      </c>
      <c r="R2099" s="18" t="s">
        <v>59</v>
      </c>
      <c r="S2099" s="18" t="s">
        <v>118</v>
      </c>
      <c r="T2099" s="18" t="b">
        <v>1</v>
      </c>
      <c r="U2099" s="18" t="s">
        <v>39</v>
      </c>
      <c r="V2099" s="18" t="s">
        <v>40</v>
      </c>
      <c r="W2099" s="18" t="s">
        <v>276</v>
      </c>
      <c r="X2099" s="18" t="s">
        <v>276</v>
      </c>
      <c r="Y2099" s="18">
        <v>1</v>
      </c>
      <c r="Z2099" s="18">
        <v>168130</v>
      </c>
      <c r="AA2099" s="31" t="s">
        <v>3176</v>
      </c>
      <c r="AB2099" s="18" t="s">
        <v>1424</v>
      </c>
      <c r="AC2099" s="18" t="s">
        <v>43</v>
      </c>
    </row>
    <row r="2100" s="18" customFormat="1" spans="1:29">
      <c r="A2100" s="18" t="s">
        <v>4270</v>
      </c>
      <c r="B2100" s="25" t="s">
        <v>4270</v>
      </c>
      <c r="C2100" s="26">
        <v>45715</v>
      </c>
      <c r="D2100" s="18" t="s">
        <v>4271</v>
      </c>
      <c r="E2100" s="18" t="str">
        <f t="shared" si="32"/>
        <v>Brand Recall Integrated Services</v>
      </c>
      <c r="F2100" s="27" t="s">
        <v>4272</v>
      </c>
      <c r="G2100" s="18" t="s">
        <v>99</v>
      </c>
      <c r="H2100" s="18" t="s">
        <v>100</v>
      </c>
      <c r="I2100" s="18" t="s">
        <v>54</v>
      </c>
      <c r="J2100" s="18" t="s">
        <v>4087</v>
      </c>
      <c r="K2100" s="18" t="s">
        <v>56</v>
      </c>
      <c r="L2100" s="18" t="s">
        <v>36</v>
      </c>
      <c r="N2100" s="18">
        <v>6</v>
      </c>
      <c r="O2100" s="18" t="s">
        <v>88</v>
      </c>
      <c r="P2100" s="18" t="s">
        <v>38</v>
      </c>
      <c r="Q2100" s="18" t="s">
        <v>58</v>
      </c>
      <c r="R2100" s="18" t="s">
        <v>59</v>
      </c>
      <c r="S2100" s="18" t="s">
        <v>60</v>
      </c>
      <c r="T2100" s="18" t="b">
        <v>1</v>
      </c>
      <c r="U2100" s="18" t="s">
        <v>101</v>
      </c>
      <c r="V2100" s="18" t="s">
        <v>40</v>
      </c>
      <c r="W2100" s="18" t="s">
        <v>151</v>
      </c>
      <c r="X2100" s="18" t="s">
        <v>152</v>
      </c>
      <c r="Y2100" s="18">
        <v>1</v>
      </c>
      <c r="Z2100" s="18">
        <v>105900</v>
      </c>
      <c r="AA2100" s="18" t="s">
        <v>4273</v>
      </c>
      <c r="AB2100" s="18" t="s">
        <v>514</v>
      </c>
      <c r="AC2100" s="18" t="s">
        <v>111</v>
      </c>
    </row>
    <row r="2101" s="18" customFormat="1" ht="43.5" spans="1:29">
      <c r="A2101" s="18" t="s">
        <v>4274</v>
      </c>
      <c r="B2101" s="25" t="s">
        <v>4274</v>
      </c>
      <c r="C2101" s="26">
        <v>45715</v>
      </c>
      <c r="D2101" s="18" t="s">
        <v>652</v>
      </c>
      <c r="E2101" s="18" t="str">
        <f t="shared" si="32"/>
        <v>Kunal Sharma</v>
      </c>
      <c r="F2101" s="27" t="s">
        <v>653</v>
      </c>
      <c r="G2101" s="18" t="s">
        <v>147</v>
      </c>
      <c r="H2101" s="18" t="s">
        <v>148</v>
      </c>
      <c r="I2101" s="18" t="s">
        <v>184</v>
      </c>
      <c r="J2101" s="18" t="s">
        <v>2756</v>
      </c>
      <c r="K2101" s="18" t="s">
        <v>56</v>
      </c>
      <c r="L2101" s="18" t="s">
        <v>36</v>
      </c>
      <c r="N2101" s="18">
        <v>6</v>
      </c>
      <c r="O2101" s="18" t="s">
        <v>57</v>
      </c>
      <c r="P2101" s="18" t="s">
        <v>38</v>
      </c>
      <c r="Q2101" s="18" t="s">
        <v>194</v>
      </c>
      <c r="R2101" s="18" t="s">
        <v>59</v>
      </c>
      <c r="S2101" s="18" t="s">
        <v>195</v>
      </c>
      <c r="T2101" s="18" t="b">
        <v>1</v>
      </c>
      <c r="U2101" s="18" t="s">
        <v>150</v>
      </c>
      <c r="V2101" s="18" t="s">
        <v>40</v>
      </c>
      <c r="W2101" s="18" t="s">
        <v>250</v>
      </c>
      <c r="X2101" s="18" t="s">
        <v>251</v>
      </c>
      <c r="Y2101" s="18">
        <v>1</v>
      </c>
      <c r="Z2101" s="18">
        <v>25000</v>
      </c>
      <c r="AA2101" s="31" t="s">
        <v>3071</v>
      </c>
      <c r="AB2101" s="18" t="s">
        <v>1554</v>
      </c>
      <c r="AC2101" s="18" t="e">
        <v>#N/A</v>
      </c>
    </row>
    <row r="2102" s="18" customFormat="1" ht="43.5" spans="1:29">
      <c r="A2102" s="18" t="s">
        <v>4275</v>
      </c>
      <c r="B2102" s="25" t="s">
        <v>4275</v>
      </c>
      <c r="C2102" s="26">
        <v>45715</v>
      </c>
      <c r="D2102" s="18" t="s">
        <v>4276</v>
      </c>
      <c r="E2102" s="18" t="str">
        <f t="shared" si="32"/>
        <v>Qutab Entertainment Pvt Ltd</v>
      </c>
      <c r="F2102" s="27" t="s">
        <v>4277</v>
      </c>
      <c r="G2102" s="18" t="s">
        <v>147</v>
      </c>
      <c r="H2102" s="18" t="s">
        <v>148</v>
      </c>
      <c r="I2102" s="18" t="s">
        <v>184</v>
      </c>
      <c r="J2102" s="18" t="s">
        <v>4278</v>
      </c>
      <c r="K2102" s="18" t="s">
        <v>56</v>
      </c>
      <c r="L2102" s="18" t="s">
        <v>36</v>
      </c>
      <c r="N2102" s="18">
        <v>6</v>
      </c>
      <c r="O2102" s="18" t="s">
        <v>57</v>
      </c>
      <c r="P2102" s="18" t="s">
        <v>38</v>
      </c>
      <c r="Q2102" s="18" t="s">
        <v>117</v>
      </c>
      <c r="R2102" s="18" t="s">
        <v>59</v>
      </c>
      <c r="S2102" s="18" t="s">
        <v>118</v>
      </c>
      <c r="T2102" s="18" t="b">
        <v>1</v>
      </c>
      <c r="U2102" s="18" t="s">
        <v>150</v>
      </c>
      <c r="V2102" s="18" t="s">
        <v>40</v>
      </c>
      <c r="W2102" s="18" t="s">
        <v>276</v>
      </c>
      <c r="X2102" s="18" t="s">
        <v>276</v>
      </c>
      <c r="Y2102" s="18">
        <v>1</v>
      </c>
      <c r="Z2102" s="18">
        <v>285744.8</v>
      </c>
      <c r="AA2102" s="31" t="s">
        <v>3176</v>
      </c>
      <c r="AB2102" s="18" t="s">
        <v>1424</v>
      </c>
      <c r="AC2102" s="18" t="s">
        <v>676</v>
      </c>
    </row>
    <row r="2103" s="18" customFormat="1" spans="1:29">
      <c r="A2103" s="18" t="s">
        <v>4279</v>
      </c>
      <c r="B2103" s="25" t="s">
        <v>4279</v>
      </c>
      <c r="C2103" s="26">
        <v>45715</v>
      </c>
      <c r="D2103" s="18" t="s">
        <v>4280</v>
      </c>
      <c r="E2103" s="18" t="str">
        <f t="shared" si="32"/>
        <v>Manchanda Bag Industries</v>
      </c>
      <c r="F2103" s="27" t="s">
        <v>4281</v>
      </c>
      <c r="G2103" s="18" t="s">
        <v>147</v>
      </c>
      <c r="H2103" s="18" t="s">
        <v>148</v>
      </c>
      <c r="I2103" s="18" t="s">
        <v>54</v>
      </c>
      <c r="J2103" s="18" t="s">
        <v>4282</v>
      </c>
      <c r="K2103" s="18" t="s">
        <v>56</v>
      </c>
      <c r="L2103" s="18" t="s">
        <v>36</v>
      </c>
      <c r="N2103" s="18">
        <v>6</v>
      </c>
      <c r="O2103" s="18" t="s">
        <v>57</v>
      </c>
      <c r="P2103" s="18" t="s">
        <v>38</v>
      </c>
      <c r="Q2103" s="18" t="s">
        <v>58</v>
      </c>
      <c r="R2103" s="18" t="s">
        <v>59</v>
      </c>
      <c r="S2103" s="18" t="s">
        <v>60</v>
      </c>
      <c r="T2103" s="18" t="b">
        <v>1</v>
      </c>
      <c r="U2103" s="18" t="s">
        <v>150</v>
      </c>
      <c r="V2103" s="18" t="s">
        <v>40</v>
      </c>
      <c r="W2103" s="18" t="s">
        <v>140</v>
      </c>
      <c r="X2103" s="18" t="s">
        <v>141</v>
      </c>
      <c r="Y2103" s="18">
        <v>1</v>
      </c>
      <c r="Z2103" s="18">
        <v>1070400</v>
      </c>
      <c r="AA2103" s="18" t="s">
        <v>463</v>
      </c>
      <c r="AB2103" s="18" t="s">
        <v>464</v>
      </c>
      <c r="AC2103" s="18" t="s">
        <v>695</v>
      </c>
    </row>
    <row r="2104" s="18" customFormat="1" spans="1:29">
      <c r="A2104" s="18" t="s">
        <v>4283</v>
      </c>
      <c r="B2104" s="25" t="s">
        <v>4283</v>
      </c>
      <c r="C2104" s="26">
        <v>45715</v>
      </c>
      <c r="D2104" s="18" t="s">
        <v>4284</v>
      </c>
      <c r="E2104" s="18" t="str">
        <f t="shared" si="32"/>
        <v>Success Tea Consultants</v>
      </c>
      <c r="F2104" s="27" t="s">
        <v>4285</v>
      </c>
      <c r="G2104" s="18" t="s">
        <v>147</v>
      </c>
      <c r="H2104" s="18" t="s">
        <v>148</v>
      </c>
      <c r="I2104" s="18" t="s">
        <v>54</v>
      </c>
      <c r="J2104" s="18" t="s">
        <v>1700</v>
      </c>
      <c r="K2104" s="18" t="s">
        <v>56</v>
      </c>
      <c r="L2104" s="18" t="s">
        <v>36</v>
      </c>
      <c r="N2104" s="18">
        <v>6</v>
      </c>
      <c r="O2104" s="18" t="s">
        <v>88</v>
      </c>
      <c r="P2104" s="18" t="s">
        <v>38</v>
      </c>
      <c r="Q2104" s="18" t="s">
        <v>58</v>
      </c>
      <c r="R2104" s="18" t="s">
        <v>59</v>
      </c>
      <c r="S2104" s="18" t="s">
        <v>60</v>
      </c>
      <c r="T2104" s="18" t="b">
        <v>1</v>
      </c>
      <c r="U2104" s="18" t="s">
        <v>150</v>
      </c>
      <c r="V2104" s="18" t="s">
        <v>40</v>
      </c>
      <c r="W2104" s="18" t="s">
        <v>347</v>
      </c>
      <c r="X2104" s="18" t="s">
        <v>348</v>
      </c>
      <c r="Y2104" s="18">
        <v>1</v>
      </c>
      <c r="Z2104" s="18">
        <v>275000</v>
      </c>
      <c r="AA2104" s="18" t="s">
        <v>299</v>
      </c>
      <c r="AB2104" s="18" t="s">
        <v>295</v>
      </c>
      <c r="AC2104" s="18" t="s">
        <v>155</v>
      </c>
    </row>
    <row r="2105" s="18" customFormat="1" spans="1:29">
      <c r="A2105" s="18" t="s">
        <v>4286</v>
      </c>
      <c r="B2105" s="25" t="s">
        <v>4286</v>
      </c>
      <c r="C2105" s="26">
        <v>45715</v>
      </c>
      <c r="D2105" s="18" t="s">
        <v>2473</v>
      </c>
      <c r="E2105" s="18" t="str">
        <f t="shared" si="32"/>
        <v>Sarfaraz Memon </v>
      </c>
      <c r="F2105" s="27" t="e">
        <v>#N/A</v>
      </c>
      <c r="G2105" s="18" t="s">
        <v>182</v>
      </c>
      <c r="H2105" s="18" t="s">
        <v>183</v>
      </c>
      <c r="I2105" s="18" t="s">
        <v>481</v>
      </c>
      <c r="J2105" s="18" t="s">
        <v>3123</v>
      </c>
      <c r="K2105" s="18" t="s">
        <v>56</v>
      </c>
      <c r="L2105" s="18" t="s">
        <v>36</v>
      </c>
      <c r="N2105" s="18">
        <v>6</v>
      </c>
      <c r="O2105" s="18" t="s">
        <v>93</v>
      </c>
      <c r="P2105" s="18" t="s">
        <v>38</v>
      </c>
      <c r="Q2105" s="18" t="s">
        <v>194</v>
      </c>
      <c r="R2105" s="18" t="s">
        <v>59</v>
      </c>
      <c r="S2105" s="18" t="s">
        <v>195</v>
      </c>
      <c r="T2105" s="18" t="b">
        <v>0</v>
      </c>
      <c r="U2105" s="18" t="s">
        <v>187</v>
      </c>
      <c r="V2105" s="18" t="s">
        <v>40</v>
      </c>
      <c r="W2105" s="18" t="s">
        <v>126</v>
      </c>
      <c r="X2105" s="18" t="s">
        <v>127</v>
      </c>
      <c r="Y2105" s="18">
        <v>1</v>
      </c>
      <c r="Z2105" s="18">
        <v>300</v>
      </c>
      <c r="AC2105" s="18" t="e">
        <v>#N/A</v>
      </c>
    </row>
    <row r="2106" s="18" customFormat="1" ht="43.5" spans="1:29">
      <c r="A2106" s="18" t="s">
        <v>4287</v>
      </c>
      <c r="B2106" s="25" t="s">
        <v>4287</v>
      </c>
      <c r="C2106" s="26">
        <v>45715</v>
      </c>
      <c r="D2106" s="18" t="s">
        <v>1506</v>
      </c>
      <c r="E2106" s="18" t="str">
        <f t="shared" si="32"/>
        <v>Shivam Logistics</v>
      </c>
      <c r="F2106" s="27" t="s">
        <v>1507</v>
      </c>
      <c r="G2106" s="18" t="s">
        <v>182</v>
      </c>
      <c r="H2106" s="18" t="s">
        <v>183</v>
      </c>
      <c r="I2106" s="18" t="s">
        <v>184</v>
      </c>
      <c r="J2106" s="18" t="s">
        <v>4288</v>
      </c>
      <c r="K2106" s="18" t="s">
        <v>56</v>
      </c>
      <c r="L2106" s="18" t="s">
        <v>36</v>
      </c>
      <c r="N2106" s="18">
        <v>6</v>
      </c>
      <c r="O2106" s="18" t="s">
        <v>88</v>
      </c>
      <c r="P2106" s="18" t="s">
        <v>38</v>
      </c>
      <c r="Q2106" s="18" t="s">
        <v>194</v>
      </c>
      <c r="R2106" s="18" t="s">
        <v>59</v>
      </c>
      <c r="S2106" s="18" t="s">
        <v>195</v>
      </c>
      <c r="T2106" s="18" t="b">
        <v>0</v>
      </c>
      <c r="U2106" s="18" t="s">
        <v>187</v>
      </c>
      <c r="V2106" s="18" t="s">
        <v>40</v>
      </c>
      <c r="W2106" s="18" t="s">
        <v>205</v>
      </c>
      <c r="X2106" s="18" t="s">
        <v>205</v>
      </c>
      <c r="Y2106" s="18">
        <v>1</v>
      </c>
      <c r="Z2106" s="18">
        <v>116994</v>
      </c>
      <c r="AA2106" s="31" t="s">
        <v>4289</v>
      </c>
      <c r="AB2106" s="18" t="s">
        <v>779</v>
      </c>
      <c r="AC2106" s="18" t="s">
        <v>200</v>
      </c>
    </row>
    <row r="2107" s="18" customFormat="1" spans="1:29">
      <c r="A2107" s="18" t="s">
        <v>4290</v>
      </c>
      <c r="B2107" s="25" t="s">
        <v>4290</v>
      </c>
      <c r="C2107" s="26">
        <v>45715</v>
      </c>
      <c r="D2107" s="18" t="s">
        <v>1480</v>
      </c>
      <c r="E2107" s="18" t="str">
        <f t="shared" si="32"/>
        <v>Gulfaam Shaikh  </v>
      </c>
      <c r="F2107" s="27" t="e">
        <v>#N/A</v>
      </c>
      <c r="G2107" s="18" t="s">
        <v>182</v>
      </c>
      <c r="H2107" s="18" t="s">
        <v>183</v>
      </c>
      <c r="I2107" s="18" t="s">
        <v>481</v>
      </c>
      <c r="J2107" s="18" t="s">
        <v>2591</v>
      </c>
      <c r="K2107" s="18" t="s">
        <v>56</v>
      </c>
      <c r="L2107" s="18" t="s">
        <v>36</v>
      </c>
      <c r="N2107" s="18">
        <v>6</v>
      </c>
      <c r="O2107" s="18" t="s">
        <v>93</v>
      </c>
      <c r="P2107" s="18" t="s">
        <v>38</v>
      </c>
      <c r="Q2107" s="18" t="s">
        <v>194</v>
      </c>
      <c r="R2107" s="18" t="s">
        <v>59</v>
      </c>
      <c r="S2107" s="18" t="s">
        <v>195</v>
      </c>
      <c r="T2107" s="18" t="b">
        <v>0</v>
      </c>
      <c r="U2107" s="18" t="s">
        <v>187</v>
      </c>
      <c r="V2107" s="18" t="s">
        <v>40</v>
      </c>
      <c r="W2107" s="18" t="s">
        <v>126</v>
      </c>
      <c r="X2107" s="18" t="s">
        <v>127</v>
      </c>
      <c r="Y2107" s="18">
        <v>1</v>
      </c>
      <c r="Z2107" s="18">
        <v>3639</v>
      </c>
      <c r="AC2107" s="18" t="e">
        <v>#N/A</v>
      </c>
    </row>
    <row r="2108" s="18" customFormat="1" spans="1:29">
      <c r="A2108" s="18" t="s">
        <v>4291</v>
      </c>
      <c r="B2108" s="25" t="s">
        <v>4291</v>
      </c>
      <c r="C2108" s="26">
        <v>45715</v>
      </c>
      <c r="D2108" s="18" t="s">
        <v>2674</v>
      </c>
      <c r="E2108" s="18" t="str">
        <f t="shared" ref="E2108:E2171" si="33">_xlfn.TEXTBEFORE(D2108,"-")</f>
        <v>Justin Francis Vadakkan  </v>
      </c>
      <c r="F2108" s="27" t="e">
        <v>#N/A</v>
      </c>
      <c r="G2108" s="18" t="s">
        <v>182</v>
      </c>
      <c r="H2108" s="18" t="s">
        <v>183</v>
      </c>
      <c r="I2108" s="18" t="s">
        <v>481</v>
      </c>
      <c r="J2108" s="18" t="s">
        <v>3161</v>
      </c>
      <c r="K2108" s="18" t="s">
        <v>56</v>
      </c>
      <c r="L2108" s="18" t="s">
        <v>36</v>
      </c>
      <c r="N2108" s="18">
        <v>6</v>
      </c>
      <c r="O2108" s="18" t="s">
        <v>93</v>
      </c>
      <c r="P2108" s="18" t="s">
        <v>38</v>
      </c>
      <c r="Q2108" s="18" t="s">
        <v>194</v>
      </c>
      <c r="R2108" s="18" t="s">
        <v>59</v>
      </c>
      <c r="S2108" s="18" t="s">
        <v>195</v>
      </c>
      <c r="T2108" s="18" t="b">
        <v>0</v>
      </c>
      <c r="U2108" s="18" t="s">
        <v>187</v>
      </c>
      <c r="V2108" s="18" t="s">
        <v>40</v>
      </c>
      <c r="W2108" s="18" t="s">
        <v>126</v>
      </c>
      <c r="X2108" s="18" t="s">
        <v>127</v>
      </c>
      <c r="Y2108" s="18">
        <v>1</v>
      </c>
      <c r="Z2108" s="18">
        <v>6930</v>
      </c>
      <c r="AC2108" s="18" t="e">
        <v>#N/A</v>
      </c>
    </row>
    <row r="2109" s="18" customFormat="1" spans="1:29">
      <c r="A2109" s="18" t="s">
        <v>4292</v>
      </c>
      <c r="B2109" s="25" t="s">
        <v>4292</v>
      </c>
      <c r="C2109" s="26">
        <v>45715</v>
      </c>
      <c r="D2109" s="18" t="s">
        <v>4293</v>
      </c>
      <c r="E2109" s="18" t="str">
        <f t="shared" si="33"/>
        <v>Sikandar Shaikh Adv. </v>
      </c>
      <c r="F2109" s="27" t="e">
        <v>#N/A</v>
      </c>
      <c r="G2109" s="18" t="s">
        <v>182</v>
      </c>
      <c r="H2109" s="18" t="s">
        <v>183</v>
      </c>
      <c r="I2109" s="18" t="s">
        <v>481</v>
      </c>
      <c r="J2109" s="18" t="s">
        <v>2953</v>
      </c>
      <c r="K2109" s="18" t="s">
        <v>56</v>
      </c>
      <c r="L2109" s="18" t="s">
        <v>36</v>
      </c>
      <c r="N2109" s="18">
        <v>6</v>
      </c>
      <c r="O2109" s="18" t="s">
        <v>93</v>
      </c>
      <c r="P2109" s="18" t="s">
        <v>38</v>
      </c>
      <c r="Q2109" s="18" t="s">
        <v>194</v>
      </c>
      <c r="R2109" s="18" t="s">
        <v>59</v>
      </c>
      <c r="S2109" s="18" t="s">
        <v>195</v>
      </c>
      <c r="T2109" s="18" t="b">
        <v>0</v>
      </c>
      <c r="U2109" s="18" t="s">
        <v>187</v>
      </c>
      <c r="V2109" s="18" t="s">
        <v>40</v>
      </c>
      <c r="W2109" s="18" t="s">
        <v>126</v>
      </c>
      <c r="X2109" s="18" t="s">
        <v>127</v>
      </c>
      <c r="Y2109" s="18">
        <v>1</v>
      </c>
      <c r="Z2109" s="18">
        <v>1188</v>
      </c>
      <c r="AC2109" s="18" t="e">
        <v>#N/A</v>
      </c>
    </row>
    <row r="2110" s="18" customFormat="1" spans="1:29">
      <c r="A2110" s="18" t="s">
        <v>4294</v>
      </c>
      <c r="B2110" s="25" t="s">
        <v>4294</v>
      </c>
      <c r="C2110" s="26">
        <v>45715</v>
      </c>
      <c r="D2110" s="18" t="s">
        <v>3964</v>
      </c>
      <c r="E2110" s="18" t="str">
        <f t="shared" si="33"/>
        <v>Santosh Singh </v>
      </c>
      <c r="F2110" s="27" t="e">
        <v>#N/A</v>
      </c>
      <c r="G2110" s="18" t="s">
        <v>182</v>
      </c>
      <c r="H2110" s="18" t="s">
        <v>183</v>
      </c>
      <c r="I2110" s="18" t="s">
        <v>481</v>
      </c>
      <c r="J2110" s="18" t="s">
        <v>2953</v>
      </c>
      <c r="K2110" s="18" t="s">
        <v>56</v>
      </c>
      <c r="L2110" s="18" t="s">
        <v>36</v>
      </c>
      <c r="N2110" s="18">
        <v>6</v>
      </c>
      <c r="O2110" s="18" t="s">
        <v>93</v>
      </c>
      <c r="P2110" s="18" t="s">
        <v>38</v>
      </c>
      <c r="Q2110" s="18" t="s">
        <v>194</v>
      </c>
      <c r="R2110" s="18" t="s">
        <v>59</v>
      </c>
      <c r="S2110" s="18" t="s">
        <v>195</v>
      </c>
      <c r="T2110" s="18" t="b">
        <v>0</v>
      </c>
      <c r="U2110" s="18" t="s">
        <v>187</v>
      </c>
      <c r="V2110" s="18" t="s">
        <v>40</v>
      </c>
      <c r="W2110" s="18" t="s">
        <v>1055</v>
      </c>
      <c r="X2110" s="18" t="s">
        <v>1056</v>
      </c>
      <c r="Y2110" s="18">
        <v>1</v>
      </c>
      <c r="Z2110" s="18">
        <v>355</v>
      </c>
      <c r="AC2110" s="18" t="e">
        <v>#N/A</v>
      </c>
    </row>
    <row r="2111" s="18" customFormat="1" spans="1:29">
      <c r="A2111" s="18" t="s">
        <v>4295</v>
      </c>
      <c r="B2111" s="25" t="s">
        <v>4295</v>
      </c>
      <c r="C2111" s="26">
        <v>45715</v>
      </c>
      <c r="D2111" s="18" t="s">
        <v>2152</v>
      </c>
      <c r="E2111" s="18" t="str">
        <f t="shared" si="33"/>
        <v>Harsh Mudliyar  </v>
      </c>
      <c r="F2111" s="27" t="e">
        <v>#N/A</v>
      </c>
      <c r="G2111" s="18" t="s">
        <v>182</v>
      </c>
      <c r="H2111" s="18" t="s">
        <v>183</v>
      </c>
      <c r="I2111" s="18" t="s">
        <v>481</v>
      </c>
      <c r="J2111" s="18" t="s">
        <v>3299</v>
      </c>
      <c r="K2111" s="18" t="s">
        <v>56</v>
      </c>
      <c r="L2111" s="18" t="s">
        <v>36</v>
      </c>
      <c r="N2111" s="18">
        <v>6</v>
      </c>
      <c r="O2111" s="18" t="s">
        <v>93</v>
      </c>
      <c r="P2111" s="18" t="s">
        <v>38</v>
      </c>
      <c r="Q2111" s="18" t="s">
        <v>194</v>
      </c>
      <c r="R2111" s="18" t="s">
        <v>59</v>
      </c>
      <c r="S2111" s="18" t="s">
        <v>195</v>
      </c>
      <c r="T2111" s="18" t="b">
        <v>0</v>
      </c>
      <c r="U2111" s="18" t="s">
        <v>187</v>
      </c>
      <c r="V2111" s="18" t="s">
        <v>40</v>
      </c>
      <c r="W2111" s="18" t="s">
        <v>317</v>
      </c>
      <c r="X2111" s="18" t="s">
        <v>318</v>
      </c>
      <c r="Y2111" s="18">
        <v>1</v>
      </c>
      <c r="Z2111" s="18">
        <v>12917.3</v>
      </c>
      <c r="AC2111" s="18" t="e">
        <v>#N/A</v>
      </c>
    </row>
    <row r="2112" s="18" customFormat="1" spans="1:29">
      <c r="A2112" s="18" t="s">
        <v>4296</v>
      </c>
      <c r="B2112" s="25" t="s">
        <v>4296</v>
      </c>
      <c r="C2112" s="26">
        <v>45715</v>
      </c>
      <c r="D2112" s="18" t="s">
        <v>1203</v>
      </c>
      <c r="E2112" s="18" t="str">
        <f t="shared" si="33"/>
        <v>Padmakar Jadhav </v>
      </c>
      <c r="F2112" s="27" t="e">
        <v>#N/A</v>
      </c>
      <c r="G2112" s="18" t="s">
        <v>182</v>
      </c>
      <c r="H2112" s="18" t="s">
        <v>183</v>
      </c>
      <c r="I2112" s="18" t="s">
        <v>481</v>
      </c>
      <c r="J2112" s="18" t="s">
        <v>3123</v>
      </c>
      <c r="K2112" s="18" t="s">
        <v>56</v>
      </c>
      <c r="L2112" s="18" t="s">
        <v>36</v>
      </c>
      <c r="N2112" s="18">
        <v>6</v>
      </c>
      <c r="O2112" s="18" t="s">
        <v>93</v>
      </c>
      <c r="P2112" s="18" t="s">
        <v>38</v>
      </c>
      <c r="Q2112" s="18" t="s">
        <v>194</v>
      </c>
      <c r="R2112" s="18" t="s">
        <v>59</v>
      </c>
      <c r="S2112" s="18" t="s">
        <v>195</v>
      </c>
      <c r="T2112" s="18" t="b">
        <v>0</v>
      </c>
      <c r="U2112" s="18" t="s">
        <v>187</v>
      </c>
      <c r="V2112" s="18" t="s">
        <v>40</v>
      </c>
      <c r="W2112" s="18" t="s">
        <v>126</v>
      </c>
      <c r="X2112" s="18" t="s">
        <v>127</v>
      </c>
      <c r="Y2112" s="18">
        <v>1</v>
      </c>
      <c r="Z2112" s="18">
        <v>350</v>
      </c>
      <c r="AC2112" s="18" t="e">
        <v>#N/A</v>
      </c>
    </row>
    <row r="2113" s="18" customFormat="1" spans="1:29">
      <c r="A2113" s="18" t="s">
        <v>4297</v>
      </c>
      <c r="B2113" s="25" t="s">
        <v>4297</v>
      </c>
      <c r="C2113" s="26">
        <v>45715</v>
      </c>
      <c r="D2113" s="18" t="s">
        <v>1643</v>
      </c>
      <c r="E2113" s="18" t="str">
        <f t="shared" si="33"/>
        <v>Ashwin Mishra  </v>
      </c>
      <c r="F2113" s="27" t="e">
        <v>#N/A</v>
      </c>
      <c r="G2113" s="18" t="s">
        <v>182</v>
      </c>
      <c r="H2113" s="18" t="s">
        <v>183</v>
      </c>
      <c r="I2113" s="18" t="s">
        <v>481</v>
      </c>
      <c r="J2113" s="18" t="s">
        <v>3123</v>
      </c>
      <c r="K2113" s="18" t="s">
        <v>56</v>
      </c>
      <c r="L2113" s="18" t="s">
        <v>36</v>
      </c>
      <c r="N2113" s="18">
        <v>6</v>
      </c>
      <c r="O2113" s="18" t="s">
        <v>93</v>
      </c>
      <c r="P2113" s="18" t="s">
        <v>38</v>
      </c>
      <c r="Q2113" s="18" t="s">
        <v>194</v>
      </c>
      <c r="R2113" s="18" t="s">
        <v>59</v>
      </c>
      <c r="S2113" s="18" t="s">
        <v>195</v>
      </c>
      <c r="T2113" s="18" t="b">
        <v>0</v>
      </c>
      <c r="U2113" s="18" t="s">
        <v>187</v>
      </c>
      <c r="V2113" s="18" t="s">
        <v>40</v>
      </c>
      <c r="W2113" s="18" t="s">
        <v>126</v>
      </c>
      <c r="X2113" s="18" t="s">
        <v>127</v>
      </c>
      <c r="Y2113" s="18">
        <v>1</v>
      </c>
      <c r="Z2113" s="18">
        <v>4389</v>
      </c>
      <c r="AC2113" s="18" t="e">
        <v>#N/A</v>
      </c>
    </row>
    <row r="2114" s="18" customFormat="1" spans="1:29">
      <c r="A2114" s="18" t="s">
        <v>4298</v>
      </c>
      <c r="B2114" s="25" t="s">
        <v>4298</v>
      </c>
      <c r="C2114" s="26">
        <v>45715</v>
      </c>
      <c r="D2114" s="18" t="s">
        <v>1050</v>
      </c>
      <c r="E2114" s="18" t="str">
        <f t="shared" si="33"/>
        <v>Nitin Kamble  </v>
      </c>
      <c r="F2114" s="27" t="e">
        <v>#N/A</v>
      </c>
      <c r="G2114" s="18" t="s">
        <v>182</v>
      </c>
      <c r="H2114" s="18" t="s">
        <v>183</v>
      </c>
      <c r="I2114" s="18" t="s">
        <v>481</v>
      </c>
      <c r="J2114" s="18" t="s">
        <v>2690</v>
      </c>
      <c r="K2114" s="18" t="s">
        <v>56</v>
      </c>
      <c r="L2114" s="18" t="s">
        <v>36</v>
      </c>
      <c r="N2114" s="18">
        <v>6</v>
      </c>
      <c r="O2114" s="18" t="s">
        <v>93</v>
      </c>
      <c r="P2114" s="18" t="s">
        <v>38</v>
      </c>
      <c r="Q2114" s="18" t="s">
        <v>194</v>
      </c>
      <c r="R2114" s="18" t="s">
        <v>59</v>
      </c>
      <c r="S2114" s="18" t="s">
        <v>195</v>
      </c>
      <c r="T2114" s="18" t="b">
        <v>0</v>
      </c>
      <c r="U2114" s="18" t="s">
        <v>187</v>
      </c>
      <c r="V2114" s="18" t="s">
        <v>40</v>
      </c>
      <c r="W2114" s="18" t="s">
        <v>126</v>
      </c>
      <c r="X2114" s="18" t="s">
        <v>127</v>
      </c>
      <c r="Y2114" s="18">
        <v>1</v>
      </c>
      <c r="Z2114" s="18">
        <v>2320</v>
      </c>
      <c r="AC2114" s="18" t="e">
        <v>#N/A</v>
      </c>
    </row>
    <row r="2115" s="18" customFormat="1" spans="1:29">
      <c r="A2115" s="18" t="s">
        <v>4299</v>
      </c>
      <c r="B2115" s="25" t="s">
        <v>4299</v>
      </c>
      <c r="C2115" s="26">
        <v>45715</v>
      </c>
      <c r="D2115" s="18" t="s">
        <v>1544</v>
      </c>
      <c r="E2115" s="18" t="str">
        <f t="shared" si="33"/>
        <v>Ghanshyam Asolkar </v>
      </c>
      <c r="F2115" s="27" t="e">
        <v>#N/A</v>
      </c>
      <c r="G2115" s="18" t="s">
        <v>182</v>
      </c>
      <c r="H2115" s="18" t="s">
        <v>183</v>
      </c>
      <c r="I2115" s="18" t="s">
        <v>481</v>
      </c>
      <c r="J2115" s="18" t="s">
        <v>2690</v>
      </c>
      <c r="K2115" s="18" t="s">
        <v>56</v>
      </c>
      <c r="L2115" s="18" t="s">
        <v>36</v>
      </c>
      <c r="N2115" s="18">
        <v>6</v>
      </c>
      <c r="O2115" s="18" t="s">
        <v>93</v>
      </c>
      <c r="P2115" s="18" t="s">
        <v>38</v>
      </c>
      <c r="Q2115" s="18" t="s">
        <v>194</v>
      </c>
      <c r="R2115" s="18" t="s">
        <v>59</v>
      </c>
      <c r="S2115" s="18" t="s">
        <v>195</v>
      </c>
      <c r="T2115" s="18" t="b">
        <v>0</v>
      </c>
      <c r="U2115" s="18" t="s">
        <v>187</v>
      </c>
      <c r="V2115" s="18" t="s">
        <v>40</v>
      </c>
      <c r="W2115" s="18" t="s">
        <v>126</v>
      </c>
      <c r="X2115" s="18" t="s">
        <v>127</v>
      </c>
      <c r="Y2115" s="18">
        <v>1</v>
      </c>
      <c r="Z2115" s="18">
        <v>1399</v>
      </c>
      <c r="AC2115" s="18" t="e">
        <v>#N/A</v>
      </c>
    </row>
    <row r="2116" s="18" customFormat="1" spans="1:29">
      <c r="A2116" s="18" t="s">
        <v>4300</v>
      </c>
      <c r="B2116" s="25" t="s">
        <v>4300</v>
      </c>
      <c r="C2116" s="26">
        <v>45715</v>
      </c>
      <c r="D2116" s="18" t="s">
        <v>1203</v>
      </c>
      <c r="E2116" s="18" t="str">
        <f t="shared" si="33"/>
        <v>Padmakar Jadhav </v>
      </c>
      <c r="F2116" s="27" t="e">
        <v>#N/A</v>
      </c>
      <c r="G2116" s="18" t="s">
        <v>182</v>
      </c>
      <c r="H2116" s="18" t="s">
        <v>183</v>
      </c>
      <c r="I2116" s="18" t="s">
        <v>481</v>
      </c>
      <c r="J2116" s="18" t="s">
        <v>2464</v>
      </c>
      <c r="K2116" s="18" t="s">
        <v>56</v>
      </c>
      <c r="L2116" s="18" t="s">
        <v>36</v>
      </c>
      <c r="N2116" s="18">
        <v>6</v>
      </c>
      <c r="O2116" s="18" t="s">
        <v>93</v>
      </c>
      <c r="P2116" s="18" t="s">
        <v>38</v>
      </c>
      <c r="Q2116" s="18" t="s">
        <v>58</v>
      </c>
      <c r="R2116" s="18" t="s">
        <v>59</v>
      </c>
      <c r="S2116" s="18" t="s">
        <v>60</v>
      </c>
      <c r="T2116" s="18" t="b">
        <v>0</v>
      </c>
      <c r="U2116" s="18" t="s">
        <v>187</v>
      </c>
      <c r="V2116" s="18" t="s">
        <v>40</v>
      </c>
      <c r="W2116" s="18" t="s">
        <v>1055</v>
      </c>
      <c r="X2116" s="18" t="s">
        <v>1056</v>
      </c>
      <c r="Y2116" s="18">
        <v>1</v>
      </c>
      <c r="Z2116" s="18">
        <v>1000</v>
      </c>
      <c r="AC2116" s="18" t="e">
        <v>#N/A</v>
      </c>
    </row>
    <row r="2117" s="18" customFormat="1" spans="1:29">
      <c r="A2117" s="18" t="s">
        <v>4301</v>
      </c>
      <c r="B2117" s="25" t="s">
        <v>4301</v>
      </c>
      <c r="C2117" s="26">
        <v>45715</v>
      </c>
      <c r="D2117" s="18" t="s">
        <v>907</v>
      </c>
      <c r="E2117" s="18" t="str">
        <f t="shared" si="33"/>
        <v>Mangesh Waghmare </v>
      </c>
      <c r="F2117" s="27" t="e">
        <v>#N/A</v>
      </c>
      <c r="G2117" s="18" t="s">
        <v>182</v>
      </c>
      <c r="H2117" s="18" t="s">
        <v>183</v>
      </c>
      <c r="I2117" s="18" t="s">
        <v>481</v>
      </c>
      <c r="J2117" s="18" t="s">
        <v>2946</v>
      </c>
      <c r="K2117" s="18" t="s">
        <v>56</v>
      </c>
      <c r="L2117" s="18" t="s">
        <v>36</v>
      </c>
      <c r="N2117" s="18">
        <v>6</v>
      </c>
      <c r="O2117" s="18" t="s">
        <v>93</v>
      </c>
      <c r="P2117" s="18" t="s">
        <v>38</v>
      </c>
      <c r="Q2117" s="18" t="s">
        <v>194</v>
      </c>
      <c r="R2117" s="18" t="s">
        <v>59</v>
      </c>
      <c r="S2117" s="18" t="s">
        <v>195</v>
      </c>
      <c r="T2117" s="18" t="b">
        <v>0</v>
      </c>
      <c r="U2117" s="18" t="s">
        <v>187</v>
      </c>
      <c r="V2117" s="18" t="s">
        <v>40</v>
      </c>
      <c r="W2117" s="18" t="s">
        <v>317</v>
      </c>
      <c r="X2117" s="18" t="s">
        <v>318</v>
      </c>
      <c r="Y2117" s="18">
        <v>1</v>
      </c>
      <c r="Z2117" s="18">
        <v>90</v>
      </c>
      <c r="AC2117" s="18" t="e">
        <v>#N/A</v>
      </c>
    </row>
    <row r="2118" s="18" customFormat="1" spans="1:29">
      <c r="A2118" s="18" t="s">
        <v>4302</v>
      </c>
      <c r="B2118" s="25" t="s">
        <v>4302</v>
      </c>
      <c r="C2118" s="26">
        <v>45715</v>
      </c>
      <c r="D2118" s="18" t="s">
        <v>1404</v>
      </c>
      <c r="E2118" s="18" t="str">
        <f t="shared" si="33"/>
        <v>Mohammad Danish  </v>
      </c>
      <c r="F2118" s="27" t="s">
        <v>1405</v>
      </c>
      <c r="G2118" s="18" t="s">
        <v>182</v>
      </c>
      <c r="H2118" s="18" t="s">
        <v>183</v>
      </c>
      <c r="I2118" s="18" t="s">
        <v>481</v>
      </c>
      <c r="J2118" s="18" t="s">
        <v>2756</v>
      </c>
      <c r="K2118" s="18" t="s">
        <v>56</v>
      </c>
      <c r="L2118" s="18" t="s">
        <v>36</v>
      </c>
      <c r="N2118" s="18">
        <v>6</v>
      </c>
      <c r="O2118" s="18" t="s">
        <v>93</v>
      </c>
      <c r="P2118" s="18" t="s">
        <v>38</v>
      </c>
      <c r="Q2118" s="18" t="s">
        <v>194</v>
      </c>
      <c r="R2118" s="18" t="s">
        <v>59</v>
      </c>
      <c r="S2118" s="18" t="s">
        <v>195</v>
      </c>
      <c r="T2118" s="18" t="b">
        <v>0</v>
      </c>
      <c r="U2118" s="18" t="s">
        <v>187</v>
      </c>
      <c r="V2118" s="18" t="s">
        <v>40</v>
      </c>
      <c r="W2118" s="18" t="s">
        <v>126</v>
      </c>
      <c r="X2118" s="18" t="s">
        <v>127</v>
      </c>
      <c r="Y2118" s="18">
        <v>1</v>
      </c>
      <c r="Z2118" s="18">
        <v>6181</v>
      </c>
      <c r="AC2118" s="18" t="e">
        <v>#N/A</v>
      </c>
    </row>
    <row r="2119" s="18" customFormat="1" spans="1:29">
      <c r="A2119" s="18" t="s">
        <v>4303</v>
      </c>
      <c r="B2119" s="25" t="s">
        <v>4303</v>
      </c>
      <c r="C2119" s="26">
        <v>45715</v>
      </c>
      <c r="D2119" s="18" t="s">
        <v>1643</v>
      </c>
      <c r="E2119" s="18" t="str">
        <f t="shared" si="33"/>
        <v>Ashwin Mishra  </v>
      </c>
      <c r="F2119" s="27" t="e">
        <v>#N/A</v>
      </c>
      <c r="G2119" s="18" t="s">
        <v>182</v>
      </c>
      <c r="H2119" s="18" t="s">
        <v>183</v>
      </c>
      <c r="I2119" s="18" t="s">
        <v>481</v>
      </c>
      <c r="J2119" s="18" t="s">
        <v>2277</v>
      </c>
      <c r="K2119" s="18" t="s">
        <v>56</v>
      </c>
      <c r="L2119" s="18" t="s">
        <v>36</v>
      </c>
      <c r="N2119" s="18">
        <v>6</v>
      </c>
      <c r="O2119" s="18" t="s">
        <v>93</v>
      </c>
      <c r="P2119" s="18" t="s">
        <v>38</v>
      </c>
      <c r="Q2119" s="18" t="s">
        <v>194</v>
      </c>
      <c r="R2119" s="18" t="s">
        <v>59</v>
      </c>
      <c r="S2119" s="18" t="s">
        <v>195</v>
      </c>
      <c r="T2119" s="18" t="b">
        <v>0</v>
      </c>
      <c r="U2119" s="18" t="s">
        <v>187</v>
      </c>
      <c r="V2119" s="18" t="s">
        <v>40</v>
      </c>
      <c r="W2119" s="18" t="s">
        <v>126</v>
      </c>
      <c r="X2119" s="18" t="s">
        <v>127</v>
      </c>
      <c r="Y2119" s="18">
        <v>1</v>
      </c>
      <c r="Z2119" s="18">
        <v>2504</v>
      </c>
      <c r="AC2119" s="18" t="e">
        <v>#N/A</v>
      </c>
    </row>
    <row r="2120" s="18" customFormat="1" spans="1:29">
      <c r="A2120" s="18" t="s">
        <v>4304</v>
      </c>
      <c r="B2120" s="25" t="s">
        <v>4304</v>
      </c>
      <c r="C2120" s="26">
        <v>45715</v>
      </c>
      <c r="D2120" s="18" t="s">
        <v>3481</v>
      </c>
      <c r="E2120" s="18" t="str">
        <f t="shared" si="33"/>
        <v>Atish Pawar  </v>
      </c>
      <c r="F2120" s="27" t="e">
        <v>#N/A</v>
      </c>
      <c r="G2120" s="18" t="s">
        <v>182</v>
      </c>
      <c r="H2120" s="18" t="s">
        <v>183</v>
      </c>
      <c r="I2120" s="18" t="s">
        <v>481</v>
      </c>
      <c r="J2120" s="18" t="s">
        <v>2464</v>
      </c>
      <c r="K2120" s="18" t="s">
        <v>56</v>
      </c>
      <c r="L2120" s="18" t="s">
        <v>36</v>
      </c>
      <c r="N2120" s="18">
        <v>6</v>
      </c>
      <c r="O2120" s="18" t="s">
        <v>93</v>
      </c>
      <c r="P2120" s="18" t="s">
        <v>38</v>
      </c>
      <c r="Q2120" s="18" t="s">
        <v>58</v>
      </c>
      <c r="R2120" s="18" t="s">
        <v>59</v>
      </c>
      <c r="S2120" s="18" t="s">
        <v>60</v>
      </c>
      <c r="T2120" s="18" t="b">
        <v>0</v>
      </c>
      <c r="U2120" s="18" t="s">
        <v>187</v>
      </c>
      <c r="V2120" s="18" t="s">
        <v>40</v>
      </c>
      <c r="W2120" s="18" t="s">
        <v>126</v>
      </c>
      <c r="X2120" s="18" t="s">
        <v>127</v>
      </c>
      <c r="Y2120" s="18">
        <v>1</v>
      </c>
      <c r="Z2120" s="18">
        <v>520</v>
      </c>
      <c r="AC2120" s="18" t="e">
        <v>#N/A</v>
      </c>
    </row>
    <row r="2121" s="18" customFormat="1" spans="1:29">
      <c r="A2121" s="18" t="s">
        <v>4305</v>
      </c>
      <c r="B2121" s="25" t="s">
        <v>4305</v>
      </c>
      <c r="C2121" s="26">
        <v>45715</v>
      </c>
      <c r="D2121" s="18" t="s">
        <v>915</v>
      </c>
      <c r="E2121" s="18" t="str">
        <f t="shared" si="33"/>
        <v>Santosh Bhogal Cash  </v>
      </c>
      <c r="F2121" s="27" t="e">
        <v>#N/A</v>
      </c>
      <c r="G2121" s="18" t="s">
        <v>182</v>
      </c>
      <c r="H2121" s="18" t="s">
        <v>183</v>
      </c>
      <c r="I2121" s="18" t="s">
        <v>481</v>
      </c>
      <c r="J2121" s="18" t="s">
        <v>1880</v>
      </c>
      <c r="K2121" s="18" t="s">
        <v>56</v>
      </c>
      <c r="L2121" s="18" t="s">
        <v>36</v>
      </c>
      <c r="N2121" s="18">
        <v>6</v>
      </c>
      <c r="O2121" s="18" t="s">
        <v>93</v>
      </c>
      <c r="P2121" s="18" t="s">
        <v>38</v>
      </c>
      <c r="Q2121" s="18" t="s">
        <v>194</v>
      </c>
      <c r="R2121" s="18" t="s">
        <v>59</v>
      </c>
      <c r="S2121" s="18" t="s">
        <v>195</v>
      </c>
      <c r="T2121" s="18" t="b">
        <v>0</v>
      </c>
      <c r="U2121" s="18" t="s">
        <v>187</v>
      </c>
      <c r="V2121" s="18" t="s">
        <v>40</v>
      </c>
      <c r="W2121" s="18" t="s">
        <v>317</v>
      </c>
      <c r="X2121" s="18" t="s">
        <v>318</v>
      </c>
      <c r="Y2121" s="18">
        <v>1</v>
      </c>
      <c r="Z2121" s="18">
        <v>2360</v>
      </c>
      <c r="AC2121" s="18" t="e">
        <v>#N/A</v>
      </c>
    </row>
    <row r="2122" s="18" customFormat="1" spans="1:29">
      <c r="A2122" s="18" t="s">
        <v>4306</v>
      </c>
      <c r="B2122" s="25" t="s">
        <v>4306</v>
      </c>
      <c r="C2122" s="26">
        <v>45715</v>
      </c>
      <c r="D2122" s="18" t="s">
        <v>244</v>
      </c>
      <c r="E2122" s="18" t="str">
        <f t="shared" si="33"/>
        <v>Fairfield By Marriott Mumbai (Associated Hospitality Pvt Ltd)</v>
      </c>
      <c r="F2122" s="27" t="s">
        <v>245</v>
      </c>
      <c r="G2122" s="18" t="s">
        <v>182</v>
      </c>
      <c r="H2122" s="18" t="s">
        <v>183</v>
      </c>
      <c r="I2122" s="18" t="s">
        <v>54</v>
      </c>
      <c r="J2122" s="18" t="s">
        <v>1275</v>
      </c>
      <c r="K2122" s="18" t="s">
        <v>56</v>
      </c>
      <c r="L2122" s="18" t="s">
        <v>36</v>
      </c>
      <c r="N2122" s="18">
        <v>6</v>
      </c>
      <c r="O2122" s="18" t="s">
        <v>93</v>
      </c>
      <c r="P2122" s="18" t="s">
        <v>38</v>
      </c>
      <c r="Q2122" s="18" t="s">
        <v>58</v>
      </c>
      <c r="R2122" s="18" t="s">
        <v>59</v>
      </c>
      <c r="S2122" s="18" t="s">
        <v>60</v>
      </c>
      <c r="T2122" s="18" t="b">
        <v>0</v>
      </c>
      <c r="U2122" s="18" t="s">
        <v>187</v>
      </c>
      <c r="V2122" s="18" t="s">
        <v>40</v>
      </c>
      <c r="W2122" s="18" t="s">
        <v>61</v>
      </c>
      <c r="X2122" s="18" t="s">
        <v>62</v>
      </c>
      <c r="Y2122" s="18">
        <v>1</v>
      </c>
      <c r="Z2122" s="18">
        <v>10000</v>
      </c>
      <c r="AA2122" s="18" t="s">
        <v>63</v>
      </c>
      <c r="AB2122" s="18" t="s">
        <v>64</v>
      </c>
      <c r="AC2122" s="18" t="s">
        <v>200</v>
      </c>
    </row>
    <row r="2123" s="18" customFormat="1" ht="43.5" spans="1:29">
      <c r="A2123" s="18" t="s">
        <v>4307</v>
      </c>
      <c r="B2123" s="25" t="s">
        <v>4307</v>
      </c>
      <c r="C2123" s="26">
        <v>45715</v>
      </c>
      <c r="D2123" s="18" t="s">
        <v>3468</v>
      </c>
      <c r="E2123" s="18" t="str">
        <f t="shared" si="33"/>
        <v>Dhenuka Jyoti Shekhar</v>
      </c>
      <c r="F2123" s="27" t="s">
        <v>3469</v>
      </c>
      <c r="G2123" s="18" t="s">
        <v>182</v>
      </c>
      <c r="H2123" s="18" t="s">
        <v>183</v>
      </c>
      <c r="I2123" s="18" t="s">
        <v>184</v>
      </c>
      <c r="J2123" s="18" t="s">
        <v>2756</v>
      </c>
      <c r="K2123" s="18" t="s">
        <v>56</v>
      </c>
      <c r="L2123" s="18" t="s">
        <v>36</v>
      </c>
      <c r="N2123" s="18">
        <v>6</v>
      </c>
      <c r="O2123" s="18" t="s">
        <v>57</v>
      </c>
      <c r="P2123" s="18" t="s">
        <v>38</v>
      </c>
      <c r="Q2123" s="18" t="s">
        <v>194</v>
      </c>
      <c r="R2123" s="18" t="s">
        <v>59</v>
      </c>
      <c r="S2123" s="18" t="s">
        <v>195</v>
      </c>
      <c r="T2123" s="18" t="b">
        <v>0</v>
      </c>
      <c r="U2123" s="18" t="s">
        <v>187</v>
      </c>
      <c r="V2123" s="18" t="s">
        <v>40</v>
      </c>
      <c r="W2123" s="18" t="s">
        <v>317</v>
      </c>
      <c r="X2123" s="18" t="s">
        <v>318</v>
      </c>
      <c r="Y2123" s="18">
        <v>1</v>
      </c>
      <c r="Z2123" s="18">
        <v>405000</v>
      </c>
      <c r="AA2123" s="31" t="s">
        <v>3071</v>
      </c>
      <c r="AB2123" s="18" t="s">
        <v>1554</v>
      </c>
      <c r="AC2123" s="18" t="e">
        <v>#N/A</v>
      </c>
    </row>
    <row r="2124" s="18" customFormat="1" ht="43.5" spans="1:29">
      <c r="A2124" s="18" t="s">
        <v>4308</v>
      </c>
      <c r="B2124" s="25" t="s">
        <v>4308</v>
      </c>
      <c r="C2124" s="26">
        <v>45715</v>
      </c>
      <c r="D2124" s="18" t="s">
        <v>4309</v>
      </c>
      <c r="E2124" s="18" t="str">
        <f t="shared" si="33"/>
        <v>Prasad Nagotkar</v>
      </c>
      <c r="F2124" s="27" t="s">
        <v>4310</v>
      </c>
      <c r="G2124" s="18" t="s">
        <v>182</v>
      </c>
      <c r="H2124" s="18" t="s">
        <v>183</v>
      </c>
      <c r="I2124" s="18" t="s">
        <v>184</v>
      </c>
      <c r="J2124" s="18" t="s">
        <v>2756</v>
      </c>
      <c r="K2124" s="18" t="s">
        <v>56</v>
      </c>
      <c r="L2124" s="18" t="s">
        <v>36</v>
      </c>
      <c r="N2124" s="18">
        <v>6</v>
      </c>
      <c r="O2124" s="18" t="s">
        <v>57</v>
      </c>
      <c r="P2124" s="18" t="s">
        <v>38</v>
      </c>
      <c r="Q2124" s="18" t="s">
        <v>194</v>
      </c>
      <c r="R2124" s="18" t="s">
        <v>59</v>
      </c>
      <c r="S2124" s="18" t="s">
        <v>195</v>
      </c>
      <c r="T2124" s="18" t="b">
        <v>0</v>
      </c>
      <c r="U2124" s="18" t="s">
        <v>187</v>
      </c>
      <c r="V2124" s="18" t="s">
        <v>40</v>
      </c>
      <c r="W2124" s="18" t="s">
        <v>250</v>
      </c>
      <c r="X2124" s="18" t="s">
        <v>251</v>
      </c>
      <c r="Y2124" s="18">
        <v>1</v>
      </c>
      <c r="Z2124" s="18">
        <v>100000</v>
      </c>
      <c r="AA2124" s="31" t="s">
        <v>3071</v>
      </c>
      <c r="AB2124" s="18" t="s">
        <v>1554</v>
      </c>
      <c r="AC2124" s="18" t="e">
        <v>#N/A</v>
      </c>
    </row>
    <row r="2125" s="18" customFormat="1" ht="43.5" spans="1:29">
      <c r="A2125" s="18" t="s">
        <v>4311</v>
      </c>
      <c r="B2125" s="25" t="s">
        <v>4311</v>
      </c>
      <c r="C2125" s="26">
        <v>45715</v>
      </c>
      <c r="D2125" s="18" t="s">
        <v>4312</v>
      </c>
      <c r="E2125" s="18" t="str">
        <f t="shared" si="33"/>
        <v>Illuminati</v>
      </c>
      <c r="F2125" s="27" t="e">
        <v>#N/A</v>
      </c>
      <c r="G2125" s="18" t="s">
        <v>182</v>
      </c>
      <c r="H2125" s="18" t="s">
        <v>183</v>
      </c>
      <c r="I2125" s="18" t="s">
        <v>184</v>
      </c>
      <c r="J2125" s="18" t="s">
        <v>2756</v>
      </c>
      <c r="K2125" s="18" t="s">
        <v>56</v>
      </c>
      <c r="L2125" s="18" t="s">
        <v>36</v>
      </c>
      <c r="N2125" s="18">
        <v>6</v>
      </c>
      <c r="O2125" s="18" t="s">
        <v>88</v>
      </c>
      <c r="P2125" s="18" t="s">
        <v>38</v>
      </c>
      <c r="Q2125" s="18" t="s">
        <v>194</v>
      </c>
      <c r="R2125" s="18" t="s">
        <v>59</v>
      </c>
      <c r="S2125" s="18" t="s">
        <v>195</v>
      </c>
      <c r="T2125" s="18" t="b">
        <v>0</v>
      </c>
      <c r="U2125" s="18" t="s">
        <v>187</v>
      </c>
      <c r="V2125" s="18" t="s">
        <v>40</v>
      </c>
      <c r="W2125" s="18" t="s">
        <v>250</v>
      </c>
      <c r="X2125" s="18" t="s">
        <v>251</v>
      </c>
      <c r="Y2125" s="18">
        <v>1</v>
      </c>
      <c r="Z2125" s="18">
        <v>350000</v>
      </c>
      <c r="AA2125" s="31" t="s">
        <v>3071</v>
      </c>
      <c r="AB2125" s="18" t="s">
        <v>1554</v>
      </c>
      <c r="AC2125" s="18" t="s">
        <v>200</v>
      </c>
    </row>
    <row r="2126" s="18" customFormat="1" ht="43.5" spans="1:29">
      <c r="A2126" s="18" t="s">
        <v>4313</v>
      </c>
      <c r="B2126" s="25" t="s">
        <v>4313</v>
      </c>
      <c r="C2126" s="26">
        <v>45715</v>
      </c>
      <c r="D2126" s="18" t="s">
        <v>1621</v>
      </c>
      <c r="E2126" s="18" t="str">
        <f t="shared" si="33"/>
        <v>Mahesh Borade</v>
      </c>
      <c r="F2126" s="27" t="s">
        <v>1622</v>
      </c>
      <c r="G2126" s="18" t="s">
        <v>182</v>
      </c>
      <c r="H2126" s="18" t="s">
        <v>183</v>
      </c>
      <c r="I2126" s="18" t="s">
        <v>184</v>
      </c>
      <c r="J2126" s="18" t="s">
        <v>3620</v>
      </c>
      <c r="K2126" s="18" t="s">
        <v>56</v>
      </c>
      <c r="L2126" s="18" t="s">
        <v>36</v>
      </c>
      <c r="N2126" s="18">
        <v>6</v>
      </c>
      <c r="O2126" s="18" t="s">
        <v>57</v>
      </c>
      <c r="P2126" s="18" t="s">
        <v>38</v>
      </c>
      <c r="Q2126" s="18" t="s">
        <v>194</v>
      </c>
      <c r="R2126" s="18" t="s">
        <v>59</v>
      </c>
      <c r="S2126" s="18" t="s">
        <v>195</v>
      </c>
      <c r="T2126" s="18" t="b">
        <v>0</v>
      </c>
      <c r="U2126" s="18" t="s">
        <v>187</v>
      </c>
      <c r="V2126" s="18" t="s">
        <v>40</v>
      </c>
      <c r="W2126" s="18" t="s">
        <v>347</v>
      </c>
      <c r="X2126" s="18" t="s">
        <v>348</v>
      </c>
      <c r="Y2126" s="18">
        <v>1</v>
      </c>
      <c r="Z2126" s="18">
        <v>75000</v>
      </c>
      <c r="AA2126" s="31" t="s">
        <v>3071</v>
      </c>
      <c r="AB2126" s="18" t="s">
        <v>1554</v>
      </c>
      <c r="AC2126" s="18" t="s">
        <v>200</v>
      </c>
    </row>
    <row r="2127" s="18" customFormat="1" ht="43.5" spans="1:29">
      <c r="A2127" s="18" t="s">
        <v>4314</v>
      </c>
      <c r="B2127" s="25" t="s">
        <v>4314</v>
      </c>
      <c r="C2127" s="26">
        <v>45715</v>
      </c>
      <c r="D2127" s="18" t="s">
        <v>4315</v>
      </c>
      <c r="E2127" s="18" t="str">
        <f t="shared" si="33"/>
        <v>50FPS Fillms</v>
      </c>
      <c r="F2127" s="27" t="s">
        <v>4316</v>
      </c>
      <c r="G2127" s="18" t="s">
        <v>182</v>
      </c>
      <c r="H2127" s="18" t="s">
        <v>183</v>
      </c>
      <c r="I2127" s="18" t="s">
        <v>184</v>
      </c>
      <c r="J2127" s="18" t="s">
        <v>2854</v>
      </c>
      <c r="K2127" s="18" t="s">
        <v>56</v>
      </c>
      <c r="L2127" s="18" t="s">
        <v>36</v>
      </c>
      <c r="N2127" s="18">
        <v>6</v>
      </c>
      <c r="O2127" s="18" t="s">
        <v>57</v>
      </c>
      <c r="P2127" s="18" t="s">
        <v>38</v>
      </c>
      <c r="Q2127" s="18" t="s">
        <v>194</v>
      </c>
      <c r="R2127" s="18" t="s">
        <v>59</v>
      </c>
      <c r="S2127" s="18" t="s">
        <v>195</v>
      </c>
      <c r="T2127" s="18" t="b">
        <v>0</v>
      </c>
      <c r="U2127" s="18" t="s">
        <v>187</v>
      </c>
      <c r="V2127" s="18" t="s">
        <v>40</v>
      </c>
      <c r="W2127" s="18" t="s">
        <v>683</v>
      </c>
      <c r="X2127" s="18" t="s">
        <v>684</v>
      </c>
      <c r="Y2127" s="18">
        <v>1</v>
      </c>
      <c r="Z2127" s="18">
        <v>350000</v>
      </c>
      <c r="AA2127" s="31" t="s">
        <v>3071</v>
      </c>
      <c r="AB2127" s="18" t="s">
        <v>1554</v>
      </c>
      <c r="AC2127" s="18" t="s">
        <v>200</v>
      </c>
    </row>
    <row r="2128" s="18" customFormat="1" ht="43.5" spans="1:29">
      <c r="A2128" s="18" t="s">
        <v>4317</v>
      </c>
      <c r="B2128" s="25" t="s">
        <v>4317</v>
      </c>
      <c r="C2128" s="26">
        <v>45715</v>
      </c>
      <c r="D2128" s="18" t="s">
        <v>4318</v>
      </c>
      <c r="E2128" s="18" t="str">
        <f t="shared" si="33"/>
        <v>Success Gift Solutions</v>
      </c>
      <c r="F2128" s="27" t="s">
        <v>4319</v>
      </c>
      <c r="G2128" s="18" t="s">
        <v>182</v>
      </c>
      <c r="H2128" s="18" t="s">
        <v>183</v>
      </c>
      <c r="I2128" s="18" t="s">
        <v>184</v>
      </c>
      <c r="J2128" s="18" t="s">
        <v>4320</v>
      </c>
      <c r="K2128" s="18" t="s">
        <v>56</v>
      </c>
      <c r="L2128" s="18" t="s">
        <v>36</v>
      </c>
      <c r="N2128" s="18">
        <v>6</v>
      </c>
      <c r="O2128" s="18" t="s">
        <v>88</v>
      </c>
      <c r="P2128" s="18" t="s">
        <v>38</v>
      </c>
      <c r="Q2128" s="18" t="s">
        <v>194</v>
      </c>
      <c r="R2128" s="18" t="s">
        <v>59</v>
      </c>
      <c r="S2128" s="18" t="s">
        <v>195</v>
      </c>
      <c r="T2128" s="18" t="b">
        <v>0</v>
      </c>
      <c r="U2128" s="18" t="s">
        <v>187</v>
      </c>
      <c r="V2128" s="18" t="s">
        <v>40</v>
      </c>
      <c r="W2128" s="18" t="s">
        <v>140</v>
      </c>
      <c r="X2128" s="18" t="s">
        <v>141</v>
      </c>
      <c r="Y2128" s="18">
        <v>1</v>
      </c>
      <c r="Z2128" s="18">
        <v>120000</v>
      </c>
      <c r="AA2128" s="31" t="s">
        <v>3071</v>
      </c>
      <c r="AB2128" s="18" t="s">
        <v>1554</v>
      </c>
      <c r="AC2128" s="18" t="s">
        <v>200</v>
      </c>
    </row>
    <row r="2129" s="18" customFormat="1" ht="43.5" spans="1:29">
      <c r="A2129" s="18" t="s">
        <v>4321</v>
      </c>
      <c r="B2129" s="25" t="s">
        <v>4321</v>
      </c>
      <c r="C2129" s="26">
        <v>45715</v>
      </c>
      <c r="D2129" s="18" t="s">
        <v>4318</v>
      </c>
      <c r="E2129" s="18" t="str">
        <f t="shared" si="33"/>
        <v>Success Gift Solutions</v>
      </c>
      <c r="F2129" s="27" t="s">
        <v>4319</v>
      </c>
      <c r="G2129" s="18" t="s">
        <v>182</v>
      </c>
      <c r="H2129" s="18" t="s">
        <v>183</v>
      </c>
      <c r="I2129" s="18" t="s">
        <v>184</v>
      </c>
      <c r="J2129" s="18" t="s">
        <v>2854</v>
      </c>
      <c r="K2129" s="18" t="s">
        <v>56</v>
      </c>
      <c r="L2129" s="18" t="s">
        <v>36</v>
      </c>
      <c r="N2129" s="18">
        <v>6</v>
      </c>
      <c r="O2129" s="18" t="s">
        <v>88</v>
      </c>
      <c r="P2129" s="18" t="s">
        <v>38</v>
      </c>
      <c r="Q2129" s="18" t="s">
        <v>194</v>
      </c>
      <c r="R2129" s="18" t="s">
        <v>59</v>
      </c>
      <c r="S2129" s="18" t="s">
        <v>195</v>
      </c>
      <c r="T2129" s="18" t="b">
        <v>0</v>
      </c>
      <c r="U2129" s="18" t="s">
        <v>187</v>
      </c>
      <c r="V2129" s="18" t="s">
        <v>40</v>
      </c>
      <c r="W2129" s="18" t="s">
        <v>140</v>
      </c>
      <c r="X2129" s="18" t="s">
        <v>141</v>
      </c>
      <c r="Y2129" s="18">
        <v>1</v>
      </c>
      <c r="Z2129" s="18">
        <v>16255</v>
      </c>
      <c r="AA2129" s="31" t="s">
        <v>3071</v>
      </c>
      <c r="AB2129" s="18" t="s">
        <v>1554</v>
      </c>
      <c r="AC2129" s="18" t="s">
        <v>200</v>
      </c>
    </row>
    <row r="2130" s="18" customFormat="1" ht="43.5" spans="1:29">
      <c r="A2130" s="18" t="s">
        <v>4322</v>
      </c>
      <c r="B2130" s="25" t="s">
        <v>4322</v>
      </c>
      <c r="C2130" s="26">
        <v>45715</v>
      </c>
      <c r="D2130" s="18" t="s">
        <v>4323</v>
      </c>
      <c r="E2130" s="18" t="str">
        <f t="shared" si="33"/>
        <v>Lite Bite Foods Pvt Ltd</v>
      </c>
      <c r="F2130" s="27" t="s">
        <v>4324</v>
      </c>
      <c r="G2130" s="18" t="s">
        <v>182</v>
      </c>
      <c r="H2130" s="18" t="s">
        <v>183</v>
      </c>
      <c r="I2130" s="18" t="s">
        <v>184</v>
      </c>
      <c r="J2130" s="18" t="s">
        <v>4188</v>
      </c>
      <c r="K2130" s="18" t="s">
        <v>56</v>
      </c>
      <c r="L2130" s="18" t="s">
        <v>36</v>
      </c>
      <c r="N2130" s="18">
        <v>6</v>
      </c>
      <c r="O2130" s="18" t="s">
        <v>57</v>
      </c>
      <c r="P2130" s="18" t="s">
        <v>38</v>
      </c>
      <c r="Q2130" s="18" t="s">
        <v>194</v>
      </c>
      <c r="R2130" s="18" t="s">
        <v>59</v>
      </c>
      <c r="S2130" s="18" t="s">
        <v>195</v>
      </c>
      <c r="T2130" s="18" t="b">
        <v>0</v>
      </c>
      <c r="U2130" s="18" t="s">
        <v>187</v>
      </c>
      <c r="V2130" s="18" t="s">
        <v>40</v>
      </c>
      <c r="W2130" s="18" t="s">
        <v>276</v>
      </c>
      <c r="X2130" s="18" t="s">
        <v>276</v>
      </c>
      <c r="Y2130" s="18">
        <v>1</v>
      </c>
      <c r="Z2130" s="18">
        <v>34000</v>
      </c>
      <c r="AA2130" s="31" t="s">
        <v>3109</v>
      </c>
      <c r="AB2130" s="18" t="s">
        <v>730</v>
      </c>
      <c r="AC2130" s="18" t="s">
        <v>676</v>
      </c>
    </row>
    <row r="2131" s="18" customFormat="1" spans="1:29">
      <c r="A2131" s="18" t="s">
        <v>4325</v>
      </c>
      <c r="B2131" s="25" t="s">
        <v>4325</v>
      </c>
      <c r="C2131" s="26">
        <v>45715</v>
      </c>
      <c r="D2131" s="18" t="s">
        <v>802</v>
      </c>
      <c r="E2131" s="18" t="str">
        <f t="shared" si="33"/>
        <v>Shutterstock.Inc</v>
      </c>
      <c r="F2131" s="27" t="e">
        <v>#N/A</v>
      </c>
      <c r="G2131" s="18" t="s">
        <v>182</v>
      </c>
      <c r="H2131" s="18" t="s">
        <v>183</v>
      </c>
      <c r="I2131" s="18" t="s">
        <v>54</v>
      </c>
      <c r="J2131" s="18" t="s">
        <v>1700</v>
      </c>
      <c r="K2131" s="18" t="s">
        <v>56</v>
      </c>
      <c r="L2131" s="18" t="s">
        <v>36</v>
      </c>
      <c r="N2131" s="18">
        <v>6</v>
      </c>
      <c r="O2131" s="18" t="s">
        <v>57</v>
      </c>
      <c r="P2131" s="18" t="s">
        <v>38</v>
      </c>
      <c r="Q2131" s="18" t="s">
        <v>58</v>
      </c>
      <c r="R2131" s="18" t="s">
        <v>59</v>
      </c>
      <c r="S2131" s="18" t="s">
        <v>60</v>
      </c>
      <c r="T2131" s="18" t="b">
        <v>0</v>
      </c>
      <c r="U2131" s="18" t="s">
        <v>187</v>
      </c>
      <c r="V2131" s="18" t="s">
        <v>40</v>
      </c>
      <c r="W2131" s="18" t="s">
        <v>803</v>
      </c>
      <c r="X2131" s="18" t="s">
        <v>804</v>
      </c>
      <c r="Y2131" s="18">
        <v>1</v>
      </c>
      <c r="Z2131" s="18">
        <v>20692.58</v>
      </c>
      <c r="AA2131" s="18" t="s">
        <v>349</v>
      </c>
      <c r="AB2131" s="18" t="s">
        <v>350</v>
      </c>
      <c r="AC2131" s="18" t="e">
        <v>#N/A</v>
      </c>
    </row>
    <row r="2132" s="18" customFormat="1" spans="1:29">
      <c r="A2132" s="18" t="s">
        <v>4326</v>
      </c>
      <c r="B2132" s="25" t="s">
        <v>4326</v>
      </c>
      <c r="C2132" s="26">
        <v>45715</v>
      </c>
      <c r="D2132" s="18" t="s">
        <v>4327</v>
      </c>
      <c r="E2132" s="18" t="str">
        <f t="shared" si="33"/>
        <v>Adobe Systems Software Ireland Ltd</v>
      </c>
      <c r="F2132" s="27" t="s">
        <v>4328</v>
      </c>
      <c r="G2132" s="18" t="s">
        <v>182</v>
      </c>
      <c r="H2132" s="18" t="s">
        <v>183</v>
      </c>
      <c r="I2132" s="18" t="s">
        <v>54</v>
      </c>
      <c r="J2132" s="18" t="s">
        <v>1700</v>
      </c>
      <c r="K2132" s="18" t="s">
        <v>56</v>
      </c>
      <c r="L2132" s="18" t="s">
        <v>36</v>
      </c>
      <c r="N2132" s="18">
        <v>6</v>
      </c>
      <c r="O2132" s="18" t="s">
        <v>220</v>
      </c>
      <c r="P2132" s="18" t="s">
        <v>38</v>
      </c>
      <c r="Q2132" s="18" t="s">
        <v>58</v>
      </c>
      <c r="R2132" s="18" t="s">
        <v>59</v>
      </c>
      <c r="S2132" s="18" t="s">
        <v>60</v>
      </c>
      <c r="T2132" s="18" t="b">
        <v>0</v>
      </c>
      <c r="U2132" s="18" t="s">
        <v>187</v>
      </c>
      <c r="V2132" s="18" t="s">
        <v>40</v>
      </c>
      <c r="W2132" s="18" t="s">
        <v>803</v>
      </c>
      <c r="X2132" s="18" t="s">
        <v>804</v>
      </c>
      <c r="Y2132" s="18">
        <v>1</v>
      </c>
      <c r="Z2132" s="18">
        <v>4735</v>
      </c>
      <c r="AA2132" s="18" t="s">
        <v>349</v>
      </c>
      <c r="AB2132" s="18" t="s">
        <v>350</v>
      </c>
      <c r="AC2132" s="18" t="e">
        <v>#N/A</v>
      </c>
    </row>
    <row r="2133" s="18" customFormat="1" spans="1:29">
      <c r="A2133" s="18" t="s">
        <v>4329</v>
      </c>
      <c r="B2133" s="25" t="s">
        <v>4329</v>
      </c>
      <c r="C2133" s="26">
        <v>45715</v>
      </c>
      <c r="D2133" s="18" t="s">
        <v>247</v>
      </c>
      <c r="E2133" s="18" t="str">
        <f t="shared" si="33"/>
        <v>Black Hat Talent Solutions &amp; Consulting Pvt Ltd</v>
      </c>
      <c r="F2133" s="27" t="s">
        <v>248</v>
      </c>
      <c r="G2133" s="18" t="s">
        <v>182</v>
      </c>
      <c r="H2133" s="18" t="s">
        <v>183</v>
      </c>
      <c r="I2133" s="18" t="s">
        <v>184</v>
      </c>
      <c r="J2133" s="18" t="s">
        <v>2736</v>
      </c>
      <c r="K2133" s="18" t="s">
        <v>56</v>
      </c>
      <c r="L2133" s="18" t="s">
        <v>36</v>
      </c>
      <c r="N2133" s="18">
        <v>6</v>
      </c>
      <c r="O2133" s="18" t="s">
        <v>57</v>
      </c>
      <c r="P2133" s="18" t="s">
        <v>38</v>
      </c>
      <c r="Q2133" s="18" t="s">
        <v>194</v>
      </c>
      <c r="R2133" s="18" t="s">
        <v>59</v>
      </c>
      <c r="S2133" s="18" t="s">
        <v>195</v>
      </c>
      <c r="T2133" s="18" t="b">
        <v>0</v>
      </c>
      <c r="U2133" s="18" t="s">
        <v>187</v>
      </c>
      <c r="V2133" s="18" t="s">
        <v>40</v>
      </c>
      <c r="W2133" s="18" t="s">
        <v>250</v>
      </c>
      <c r="X2133" s="18" t="s">
        <v>251</v>
      </c>
      <c r="Y2133" s="18">
        <v>1</v>
      </c>
      <c r="Z2133" s="18">
        <v>85000</v>
      </c>
      <c r="AA2133" s="18" t="s">
        <v>4330</v>
      </c>
      <c r="AB2133" s="18" t="s">
        <v>798</v>
      </c>
      <c r="AC2133" s="18" t="s">
        <v>200</v>
      </c>
    </row>
    <row r="2134" s="18" customFormat="1" ht="43.5" spans="1:29">
      <c r="A2134" s="18" t="s">
        <v>4331</v>
      </c>
      <c r="B2134" s="25" t="s">
        <v>4331</v>
      </c>
      <c r="C2134" s="26">
        <v>45715</v>
      </c>
      <c r="D2134" s="18" t="s">
        <v>264</v>
      </c>
      <c r="E2134" s="18" t="str">
        <f t="shared" si="33"/>
        <v>The Indian Performing Right Society Ltd.</v>
      </c>
      <c r="F2134" s="27" t="e">
        <v>#N/A</v>
      </c>
      <c r="G2134" s="18" t="s">
        <v>182</v>
      </c>
      <c r="H2134" s="18" t="s">
        <v>183</v>
      </c>
      <c r="I2134" s="18" t="s">
        <v>184</v>
      </c>
      <c r="J2134" s="18" t="s">
        <v>2915</v>
      </c>
      <c r="K2134" s="18" t="s">
        <v>56</v>
      </c>
      <c r="L2134" s="18" t="s">
        <v>36</v>
      </c>
      <c r="N2134" s="18">
        <v>6</v>
      </c>
      <c r="O2134" s="18" t="s">
        <v>57</v>
      </c>
      <c r="P2134" s="18" t="s">
        <v>38</v>
      </c>
      <c r="Q2134" s="18" t="s">
        <v>194</v>
      </c>
      <c r="R2134" s="18" t="s">
        <v>59</v>
      </c>
      <c r="S2134" s="18" t="s">
        <v>195</v>
      </c>
      <c r="T2134" s="18" t="b">
        <v>0</v>
      </c>
      <c r="U2134" s="18" t="s">
        <v>187</v>
      </c>
      <c r="V2134" s="18" t="s">
        <v>40</v>
      </c>
      <c r="W2134" s="18" t="s">
        <v>256</v>
      </c>
      <c r="X2134" s="18" t="s">
        <v>257</v>
      </c>
      <c r="Y2134" s="18">
        <v>1</v>
      </c>
      <c r="Z2134" s="18">
        <v>67500</v>
      </c>
      <c r="AA2134" s="31" t="s">
        <v>2834</v>
      </c>
      <c r="AB2134" s="18" t="s">
        <v>259</v>
      </c>
      <c r="AC2134" s="18" t="s">
        <v>200</v>
      </c>
    </row>
    <row r="2135" s="18" customFormat="1" ht="43.5" spans="1:29">
      <c r="A2135" s="18" t="s">
        <v>4332</v>
      </c>
      <c r="B2135" s="25" t="s">
        <v>4332</v>
      </c>
      <c r="C2135" s="26">
        <v>45715</v>
      </c>
      <c r="D2135" s="18" t="s">
        <v>255</v>
      </c>
      <c r="E2135" s="18" t="str">
        <f t="shared" si="33"/>
        <v>Phonographic Performance Limited</v>
      </c>
      <c r="F2135" s="27" t="e">
        <v>#N/A</v>
      </c>
      <c r="G2135" s="18" t="s">
        <v>182</v>
      </c>
      <c r="H2135" s="18" t="s">
        <v>183</v>
      </c>
      <c r="I2135" s="18" t="s">
        <v>184</v>
      </c>
      <c r="J2135" s="18" t="s">
        <v>2915</v>
      </c>
      <c r="K2135" s="18" t="s">
        <v>56</v>
      </c>
      <c r="L2135" s="18" t="s">
        <v>36</v>
      </c>
      <c r="N2135" s="18">
        <v>6</v>
      </c>
      <c r="O2135" s="18" t="s">
        <v>88</v>
      </c>
      <c r="P2135" s="18" t="s">
        <v>38</v>
      </c>
      <c r="Q2135" s="18" t="s">
        <v>194</v>
      </c>
      <c r="R2135" s="18" t="s">
        <v>59</v>
      </c>
      <c r="S2135" s="18" t="s">
        <v>195</v>
      </c>
      <c r="T2135" s="18" t="b">
        <v>0</v>
      </c>
      <c r="U2135" s="18" t="s">
        <v>187</v>
      </c>
      <c r="V2135" s="18" t="s">
        <v>40</v>
      </c>
      <c r="W2135" s="18" t="s">
        <v>256</v>
      </c>
      <c r="X2135" s="18" t="s">
        <v>257</v>
      </c>
      <c r="Y2135" s="18">
        <v>1</v>
      </c>
      <c r="Z2135" s="18">
        <v>69375</v>
      </c>
      <c r="AA2135" s="31" t="s">
        <v>2834</v>
      </c>
      <c r="AB2135" s="18" t="s">
        <v>259</v>
      </c>
      <c r="AC2135" s="18" t="s">
        <v>200</v>
      </c>
    </row>
    <row r="2136" s="18" customFormat="1" ht="43.5" spans="1:29">
      <c r="A2136" s="18" t="s">
        <v>4333</v>
      </c>
      <c r="B2136" s="25" t="s">
        <v>4333</v>
      </c>
      <c r="C2136" s="26">
        <v>45715</v>
      </c>
      <c r="D2136" s="18" t="s">
        <v>261</v>
      </c>
      <c r="E2136" s="18" t="str">
        <f t="shared" si="33"/>
        <v>Novex Communications Pvt. Ltd.</v>
      </c>
      <c r="F2136" s="27" t="e">
        <v>#N/A</v>
      </c>
      <c r="G2136" s="18" t="s">
        <v>182</v>
      </c>
      <c r="H2136" s="18" t="s">
        <v>183</v>
      </c>
      <c r="I2136" s="18" t="s">
        <v>184</v>
      </c>
      <c r="J2136" s="18" t="s">
        <v>2915</v>
      </c>
      <c r="K2136" s="18" t="s">
        <v>56</v>
      </c>
      <c r="L2136" s="18" t="s">
        <v>36</v>
      </c>
      <c r="N2136" s="18">
        <v>6</v>
      </c>
      <c r="O2136" s="18" t="s">
        <v>88</v>
      </c>
      <c r="P2136" s="18" t="s">
        <v>38</v>
      </c>
      <c r="Q2136" s="18" t="s">
        <v>194</v>
      </c>
      <c r="R2136" s="18" t="s">
        <v>59</v>
      </c>
      <c r="S2136" s="18" t="s">
        <v>195</v>
      </c>
      <c r="T2136" s="18" t="b">
        <v>0</v>
      </c>
      <c r="U2136" s="18" t="s">
        <v>187</v>
      </c>
      <c r="V2136" s="18" t="s">
        <v>40</v>
      </c>
      <c r="W2136" s="18" t="s">
        <v>256</v>
      </c>
      <c r="X2136" s="18" t="s">
        <v>257</v>
      </c>
      <c r="Y2136" s="18">
        <v>1</v>
      </c>
      <c r="Z2136" s="18">
        <v>103500</v>
      </c>
      <c r="AA2136" s="31" t="s">
        <v>2834</v>
      </c>
      <c r="AB2136" s="18" t="s">
        <v>259</v>
      </c>
      <c r="AC2136" s="18" t="s">
        <v>200</v>
      </c>
    </row>
    <row r="2137" s="18" customFormat="1" ht="43.5" spans="1:29">
      <c r="A2137" s="18" t="s">
        <v>4334</v>
      </c>
      <c r="B2137" s="25" t="s">
        <v>4334</v>
      </c>
      <c r="C2137" s="26">
        <v>45715</v>
      </c>
      <c r="D2137" s="18" t="s">
        <v>264</v>
      </c>
      <c r="E2137" s="18" t="str">
        <f t="shared" si="33"/>
        <v>The Indian Performing Right Society Ltd.</v>
      </c>
      <c r="F2137" s="27" t="e">
        <v>#N/A</v>
      </c>
      <c r="G2137" s="18" t="s">
        <v>182</v>
      </c>
      <c r="H2137" s="18" t="s">
        <v>183</v>
      </c>
      <c r="I2137" s="18" t="s">
        <v>184</v>
      </c>
      <c r="J2137" s="18" t="s">
        <v>1370</v>
      </c>
      <c r="K2137" s="18" t="s">
        <v>56</v>
      </c>
      <c r="L2137" s="18" t="s">
        <v>36</v>
      </c>
      <c r="N2137" s="18">
        <v>6</v>
      </c>
      <c r="O2137" s="18" t="s">
        <v>57</v>
      </c>
      <c r="P2137" s="18" t="s">
        <v>38</v>
      </c>
      <c r="Q2137" s="18" t="s">
        <v>58</v>
      </c>
      <c r="R2137" s="18" t="s">
        <v>59</v>
      </c>
      <c r="S2137" s="18" t="s">
        <v>60</v>
      </c>
      <c r="T2137" s="18" t="b">
        <v>0</v>
      </c>
      <c r="U2137" s="18" t="s">
        <v>187</v>
      </c>
      <c r="V2137" s="18" t="s">
        <v>40</v>
      </c>
      <c r="W2137" s="18" t="s">
        <v>256</v>
      </c>
      <c r="X2137" s="18" t="s">
        <v>257</v>
      </c>
      <c r="Y2137" s="18">
        <v>1</v>
      </c>
      <c r="Z2137" s="18">
        <v>30000</v>
      </c>
      <c r="AA2137" s="31" t="s">
        <v>2834</v>
      </c>
      <c r="AB2137" s="18" t="s">
        <v>259</v>
      </c>
      <c r="AC2137" s="18" t="s">
        <v>200</v>
      </c>
    </row>
    <row r="2138" s="18" customFormat="1" ht="43.5" spans="1:29">
      <c r="A2138" s="18" t="s">
        <v>4335</v>
      </c>
      <c r="B2138" s="25" t="s">
        <v>4335</v>
      </c>
      <c r="C2138" s="26">
        <v>45715</v>
      </c>
      <c r="D2138" s="18" t="s">
        <v>255</v>
      </c>
      <c r="E2138" s="18" t="str">
        <f t="shared" si="33"/>
        <v>Phonographic Performance Limited</v>
      </c>
      <c r="F2138" s="27" t="e">
        <v>#N/A</v>
      </c>
      <c r="G2138" s="18" t="s">
        <v>182</v>
      </c>
      <c r="H2138" s="18" t="s">
        <v>183</v>
      </c>
      <c r="I2138" s="18" t="s">
        <v>184</v>
      </c>
      <c r="J2138" s="18" t="s">
        <v>1370</v>
      </c>
      <c r="K2138" s="18" t="s">
        <v>56</v>
      </c>
      <c r="L2138" s="18" t="s">
        <v>36</v>
      </c>
      <c r="N2138" s="18">
        <v>6</v>
      </c>
      <c r="O2138" s="18" t="s">
        <v>88</v>
      </c>
      <c r="P2138" s="18" t="s">
        <v>38</v>
      </c>
      <c r="Q2138" s="18" t="s">
        <v>58</v>
      </c>
      <c r="R2138" s="18" t="s">
        <v>59</v>
      </c>
      <c r="S2138" s="18" t="s">
        <v>60</v>
      </c>
      <c r="T2138" s="18" t="b">
        <v>0</v>
      </c>
      <c r="U2138" s="18" t="s">
        <v>187</v>
      </c>
      <c r="V2138" s="18" t="s">
        <v>40</v>
      </c>
      <c r="W2138" s="18" t="s">
        <v>256</v>
      </c>
      <c r="X2138" s="18" t="s">
        <v>257</v>
      </c>
      <c r="Y2138" s="18">
        <v>1</v>
      </c>
      <c r="Z2138" s="18">
        <v>83250</v>
      </c>
      <c r="AA2138" s="31" t="s">
        <v>2834</v>
      </c>
      <c r="AB2138" s="18" t="s">
        <v>259</v>
      </c>
      <c r="AC2138" s="18" t="s">
        <v>200</v>
      </c>
    </row>
    <row r="2139" s="18" customFormat="1" ht="43.5" spans="1:29">
      <c r="A2139" s="18" t="s">
        <v>4336</v>
      </c>
      <c r="B2139" s="25" t="s">
        <v>4336</v>
      </c>
      <c r="C2139" s="26">
        <v>45715</v>
      </c>
      <c r="D2139" s="18" t="s">
        <v>261</v>
      </c>
      <c r="E2139" s="18" t="str">
        <f t="shared" si="33"/>
        <v>Novex Communications Pvt. Ltd.</v>
      </c>
      <c r="F2139" s="27" t="e">
        <v>#N/A</v>
      </c>
      <c r="G2139" s="18" t="s">
        <v>182</v>
      </c>
      <c r="H2139" s="18" t="s">
        <v>183</v>
      </c>
      <c r="I2139" s="18" t="s">
        <v>184</v>
      </c>
      <c r="J2139" s="18" t="s">
        <v>1370</v>
      </c>
      <c r="K2139" s="18" t="s">
        <v>56</v>
      </c>
      <c r="L2139" s="18" t="s">
        <v>36</v>
      </c>
      <c r="N2139" s="18">
        <v>6</v>
      </c>
      <c r="O2139" s="18" t="s">
        <v>88</v>
      </c>
      <c r="P2139" s="18" t="s">
        <v>38</v>
      </c>
      <c r="Q2139" s="18" t="s">
        <v>58</v>
      </c>
      <c r="R2139" s="18" t="s">
        <v>59</v>
      </c>
      <c r="S2139" s="18" t="s">
        <v>60</v>
      </c>
      <c r="T2139" s="18" t="b">
        <v>0</v>
      </c>
      <c r="U2139" s="18" t="s">
        <v>187</v>
      </c>
      <c r="V2139" s="18" t="s">
        <v>40</v>
      </c>
      <c r="W2139" s="18" t="s">
        <v>256</v>
      </c>
      <c r="X2139" s="18" t="s">
        <v>257</v>
      </c>
      <c r="Y2139" s="18">
        <v>1</v>
      </c>
      <c r="Z2139" s="18">
        <v>95000</v>
      </c>
      <c r="AA2139" s="31" t="s">
        <v>2834</v>
      </c>
      <c r="AB2139" s="18" t="s">
        <v>259</v>
      </c>
      <c r="AC2139" s="18" t="s">
        <v>200</v>
      </c>
    </row>
    <row r="2140" s="18" customFormat="1" ht="43.5" spans="1:29">
      <c r="A2140" s="18" t="s">
        <v>4337</v>
      </c>
      <c r="B2140" s="25" t="s">
        <v>4337</v>
      </c>
      <c r="C2140" s="26">
        <v>45715</v>
      </c>
      <c r="D2140" s="18" t="s">
        <v>918</v>
      </c>
      <c r="E2140" s="18" t="str">
        <f t="shared" si="33"/>
        <v>Recorded Music Performance Ltd</v>
      </c>
      <c r="F2140" s="27" t="s">
        <v>919</v>
      </c>
      <c r="G2140" s="18" t="s">
        <v>182</v>
      </c>
      <c r="H2140" s="18" t="s">
        <v>183</v>
      </c>
      <c r="I2140" s="18" t="s">
        <v>184</v>
      </c>
      <c r="J2140" s="18" t="s">
        <v>1370</v>
      </c>
      <c r="K2140" s="18" t="s">
        <v>56</v>
      </c>
      <c r="L2140" s="18" t="s">
        <v>36</v>
      </c>
      <c r="N2140" s="18">
        <v>6</v>
      </c>
      <c r="O2140" s="18" t="s">
        <v>57</v>
      </c>
      <c r="P2140" s="18" t="s">
        <v>38</v>
      </c>
      <c r="Q2140" s="18" t="s">
        <v>58</v>
      </c>
      <c r="R2140" s="18" t="s">
        <v>59</v>
      </c>
      <c r="S2140" s="18" t="s">
        <v>60</v>
      </c>
      <c r="T2140" s="18" t="b">
        <v>0</v>
      </c>
      <c r="U2140" s="18" t="s">
        <v>187</v>
      </c>
      <c r="V2140" s="18" t="s">
        <v>40</v>
      </c>
      <c r="W2140" s="18" t="s">
        <v>256</v>
      </c>
      <c r="X2140" s="18" t="s">
        <v>257</v>
      </c>
      <c r="Y2140" s="18">
        <v>1</v>
      </c>
      <c r="Z2140" s="18">
        <v>30000</v>
      </c>
      <c r="AA2140" s="31" t="s">
        <v>2834</v>
      </c>
      <c r="AB2140" s="18" t="s">
        <v>259</v>
      </c>
      <c r="AC2140" s="18" t="s">
        <v>200</v>
      </c>
    </row>
    <row r="2141" s="18" customFormat="1" ht="43.5" spans="1:29">
      <c r="A2141" s="18" t="s">
        <v>4338</v>
      </c>
      <c r="B2141" s="25" t="s">
        <v>4338</v>
      </c>
      <c r="C2141" s="26">
        <v>45715</v>
      </c>
      <c r="D2141" s="18" t="s">
        <v>2003</v>
      </c>
      <c r="E2141" s="18" t="str">
        <f t="shared" si="33"/>
        <v>Vista Services (Sainath Govind Shirke)</v>
      </c>
      <c r="F2141" s="27" t="s">
        <v>2004</v>
      </c>
      <c r="G2141" s="18" t="s">
        <v>182</v>
      </c>
      <c r="H2141" s="18" t="s">
        <v>183</v>
      </c>
      <c r="I2141" s="18" t="s">
        <v>184</v>
      </c>
      <c r="J2141" s="18" t="s">
        <v>1370</v>
      </c>
      <c r="K2141" s="18" t="s">
        <v>56</v>
      </c>
      <c r="L2141" s="18" t="s">
        <v>36</v>
      </c>
      <c r="N2141" s="18">
        <v>6</v>
      </c>
      <c r="O2141" s="18" t="s">
        <v>57</v>
      </c>
      <c r="P2141" s="18" t="s">
        <v>38</v>
      </c>
      <c r="Q2141" s="18" t="s">
        <v>58</v>
      </c>
      <c r="R2141" s="18" t="s">
        <v>59</v>
      </c>
      <c r="S2141" s="18" t="s">
        <v>60</v>
      </c>
      <c r="T2141" s="18" t="b">
        <v>0</v>
      </c>
      <c r="U2141" s="18" t="s">
        <v>187</v>
      </c>
      <c r="V2141" s="18" t="s">
        <v>40</v>
      </c>
      <c r="W2141" s="18" t="s">
        <v>256</v>
      </c>
      <c r="X2141" s="18" t="s">
        <v>257</v>
      </c>
      <c r="Y2141" s="18">
        <v>1</v>
      </c>
      <c r="Z2141" s="18">
        <v>10000</v>
      </c>
      <c r="AA2141" s="31" t="s">
        <v>2834</v>
      </c>
      <c r="AB2141" s="18" t="s">
        <v>259</v>
      </c>
      <c r="AC2141" s="18" t="s">
        <v>200</v>
      </c>
    </row>
    <row r="2142" s="18" customFormat="1" ht="43.5" spans="1:29">
      <c r="A2142" s="18" t="s">
        <v>4339</v>
      </c>
      <c r="B2142" s="25" t="s">
        <v>4339</v>
      </c>
      <c r="C2142" s="26">
        <v>45715</v>
      </c>
      <c r="D2142" s="18" t="s">
        <v>974</v>
      </c>
      <c r="E2142" s="18" t="str">
        <f t="shared" si="33"/>
        <v>Shiv Shakti Enterprises</v>
      </c>
      <c r="F2142" s="27" t="s">
        <v>975</v>
      </c>
      <c r="G2142" s="18" t="s">
        <v>182</v>
      </c>
      <c r="H2142" s="18" t="s">
        <v>183</v>
      </c>
      <c r="I2142" s="18" t="s">
        <v>184</v>
      </c>
      <c r="J2142" s="18" t="s">
        <v>2756</v>
      </c>
      <c r="K2142" s="18" t="s">
        <v>56</v>
      </c>
      <c r="L2142" s="18" t="s">
        <v>36</v>
      </c>
      <c r="N2142" s="18">
        <v>6</v>
      </c>
      <c r="O2142" s="18" t="s">
        <v>57</v>
      </c>
      <c r="P2142" s="18" t="s">
        <v>38</v>
      </c>
      <c r="Q2142" s="18" t="s">
        <v>194</v>
      </c>
      <c r="R2142" s="18" t="s">
        <v>59</v>
      </c>
      <c r="S2142" s="18" t="s">
        <v>195</v>
      </c>
      <c r="T2142" s="18" t="b">
        <v>0</v>
      </c>
      <c r="U2142" s="18" t="s">
        <v>187</v>
      </c>
      <c r="V2142" s="18" t="s">
        <v>40</v>
      </c>
      <c r="W2142" s="18" t="s">
        <v>371</v>
      </c>
      <c r="X2142" s="18" t="s">
        <v>372</v>
      </c>
      <c r="Y2142" s="18">
        <v>1</v>
      </c>
      <c r="Z2142" s="18">
        <v>35000</v>
      </c>
      <c r="AA2142" s="31" t="s">
        <v>2733</v>
      </c>
      <c r="AB2142" s="18" t="s">
        <v>2734</v>
      </c>
      <c r="AC2142" s="18" t="s">
        <v>200</v>
      </c>
    </row>
    <row r="2143" s="18" customFormat="1" ht="43.5" spans="1:29">
      <c r="A2143" s="18" t="s">
        <v>4340</v>
      </c>
      <c r="B2143" s="25" t="s">
        <v>4340</v>
      </c>
      <c r="C2143" s="26">
        <v>45715</v>
      </c>
      <c r="D2143" s="18" t="s">
        <v>1981</v>
      </c>
      <c r="E2143" s="18" t="str">
        <f t="shared" si="33"/>
        <v>Oriana Communications</v>
      </c>
      <c r="F2143" s="27" t="s">
        <v>1982</v>
      </c>
      <c r="G2143" s="18" t="s">
        <v>182</v>
      </c>
      <c r="H2143" s="18" t="s">
        <v>183</v>
      </c>
      <c r="I2143" s="18" t="s">
        <v>184</v>
      </c>
      <c r="J2143" s="18" t="s">
        <v>2756</v>
      </c>
      <c r="K2143" s="18" t="s">
        <v>56</v>
      </c>
      <c r="L2143" s="18" t="s">
        <v>36</v>
      </c>
      <c r="N2143" s="18">
        <v>6</v>
      </c>
      <c r="O2143" s="18" t="s">
        <v>57</v>
      </c>
      <c r="P2143" s="18" t="s">
        <v>38</v>
      </c>
      <c r="Q2143" s="18" t="s">
        <v>194</v>
      </c>
      <c r="R2143" s="18" t="s">
        <v>59</v>
      </c>
      <c r="S2143" s="18" t="s">
        <v>195</v>
      </c>
      <c r="T2143" s="18" t="b">
        <v>0</v>
      </c>
      <c r="U2143" s="18" t="s">
        <v>187</v>
      </c>
      <c r="V2143" s="18" t="s">
        <v>40</v>
      </c>
      <c r="W2143" s="18" t="s">
        <v>371</v>
      </c>
      <c r="X2143" s="18" t="s">
        <v>372</v>
      </c>
      <c r="Y2143" s="18">
        <v>1</v>
      </c>
      <c r="Z2143" s="18">
        <v>6500</v>
      </c>
      <c r="AA2143" s="31" t="s">
        <v>2733</v>
      </c>
      <c r="AB2143" s="18" t="s">
        <v>2734</v>
      </c>
      <c r="AC2143" s="18" t="s">
        <v>200</v>
      </c>
    </row>
    <row r="2144" s="18" customFormat="1" ht="43.5" spans="1:29">
      <c r="A2144" s="18" t="s">
        <v>4341</v>
      </c>
      <c r="B2144" s="25" t="s">
        <v>4341</v>
      </c>
      <c r="C2144" s="26">
        <v>45715</v>
      </c>
      <c r="D2144" s="18" t="s">
        <v>1957</v>
      </c>
      <c r="E2144" s="18" t="str">
        <f t="shared" si="33"/>
        <v>Bizzaro Event</v>
      </c>
      <c r="F2144" s="27" t="s">
        <v>1958</v>
      </c>
      <c r="G2144" s="18" t="s">
        <v>182</v>
      </c>
      <c r="H2144" s="18" t="s">
        <v>183</v>
      </c>
      <c r="I2144" s="18" t="s">
        <v>184</v>
      </c>
      <c r="J2144" s="18" t="s">
        <v>2756</v>
      </c>
      <c r="K2144" s="18" t="s">
        <v>56</v>
      </c>
      <c r="L2144" s="18" t="s">
        <v>36</v>
      </c>
      <c r="N2144" s="18">
        <v>6</v>
      </c>
      <c r="O2144" s="18" t="s">
        <v>88</v>
      </c>
      <c r="P2144" s="18" t="s">
        <v>38</v>
      </c>
      <c r="Q2144" s="18" t="s">
        <v>194</v>
      </c>
      <c r="R2144" s="18" t="s">
        <v>59</v>
      </c>
      <c r="S2144" s="18" t="s">
        <v>195</v>
      </c>
      <c r="T2144" s="18" t="b">
        <v>0</v>
      </c>
      <c r="U2144" s="18" t="s">
        <v>187</v>
      </c>
      <c r="V2144" s="18" t="s">
        <v>40</v>
      </c>
      <c r="W2144" s="18" t="s">
        <v>371</v>
      </c>
      <c r="X2144" s="18" t="s">
        <v>372</v>
      </c>
      <c r="Y2144" s="18">
        <v>1</v>
      </c>
      <c r="Z2144" s="18">
        <v>5000</v>
      </c>
      <c r="AA2144" s="31" t="s">
        <v>2733</v>
      </c>
      <c r="AB2144" s="18" t="s">
        <v>2734</v>
      </c>
      <c r="AC2144" s="18" t="s">
        <v>200</v>
      </c>
    </row>
    <row r="2145" s="18" customFormat="1" ht="43.5" spans="1:29">
      <c r="A2145" s="18" t="s">
        <v>4342</v>
      </c>
      <c r="B2145" s="25" t="s">
        <v>4342</v>
      </c>
      <c r="C2145" s="26">
        <v>45715</v>
      </c>
      <c r="D2145" s="18" t="s">
        <v>1225</v>
      </c>
      <c r="E2145" s="18" t="str">
        <f t="shared" si="33"/>
        <v>Pyramid Production</v>
      </c>
      <c r="F2145" s="27" t="s">
        <v>1226</v>
      </c>
      <c r="G2145" s="18" t="s">
        <v>182</v>
      </c>
      <c r="H2145" s="18" t="s">
        <v>183</v>
      </c>
      <c r="I2145" s="18" t="s">
        <v>184</v>
      </c>
      <c r="J2145" s="18" t="s">
        <v>2756</v>
      </c>
      <c r="K2145" s="18" t="s">
        <v>56</v>
      </c>
      <c r="L2145" s="18" t="s">
        <v>36</v>
      </c>
      <c r="N2145" s="18">
        <v>6</v>
      </c>
      <c r="O2145" s="18" t="s">
        <v>88</v>
      </c>
      <c r="P2145" s="18" t="s">
        <v>38</v>
      </c>
      <c r="Q2145" s="18" t="s">
        <v>194</v>
      </c>
      <c r="R2145" s="18" t="s">
        <v>59</v>
      </c>
      <c r="S2145" s="18" t="s">
        <v>195</v>
      </c>
      <c r="T2145" s="18" t="b">
        <v>0</v>
      </c>
      <c r="U2145" s="18" t="s">
        <v>187</v>
      </c>
      <c r="V2145" s="18" t="s">
        <v>40</v>
      </c>
      <c r="W2145" s="18" t="s">
        <v>151</v>
      </c>
      <c r="X2145" s="18" t="s">
        <v>152</v>
      </c>
      <c r="Y2145" s="18">
        <v>1</v>
      </c>
      <c r="Z2145" s="18">
        <v>128000</v>
      </c>
      <c r="AA2145" s="31" t="s">
        <v>2733</v>
      </c>
      <c r="AB2145" s="18" t="s">
        <v>2734</v>
      </c>
      <c r="AC2145" s="18" t="s">
        <v>200</v>
      </c>
    </row>
    <row r="2146" s="18" customFormat="1" spans="1:29">
      <c r="A2146" s="18" t="s">
        <v>4343</v>
      </c>
      <c r="B2146" s="25" t="s">
        <v>4343</v>
      </c>
      <c r="C2146" s="26">
        <v>45715</v>
      </c>
      <c r="D2146" s="18" t="s">
        <v>4344</v>
      </c>
      <c r="E2146" s="18" t="str">
        <f t="shared" si="33"/>
        <v>Mehul Baloons India</v>
      </c>
      <c r="F2146" s="27" t="s">
        <v>4345</v>
      </c>
      <c r="G2146" s="18" t="s">
        <v>182</v>
      </c>
      <c r="H2146" s="18" t="s">
        <v>183</v>
      </c>
      <c r="I2146" s="18" t="s">
        <v>184</v>
      </c>
      <c r="J2146" s="18" t="s">
        <v>1535</v>
      </c>
      <c r="K2146" s="18" t="s">
        <v>56</v>
      </c>
      <c r="L2146" s="18" t="s">
        <v>36</v>
      </c>
      <c r="N2146" s="18">
        <v>6</v>
      </c>
      <c r="O2146" s="18" t="s">
        <v>88</v>
      </c>
      <c r="P2146" s="18" t="s">
        <v>38</v>
      </c>
      <c r="Q2146" s="18" t="s">
        <v>194</v>
      </c>
      <c r="R2146" s="18" t="s">
        <v>59</v>
      </c>
      <c r="S2146" s="18" t="s">
        <v>195</v>
      </c>
      <c r="T2146" s="18" t="b">
        <v>0</v>
      </c>
      <c r="U2146" s="18" t="s">
        <v>187</v>
      </c>
      <c r="V2146" s="18" t="s">
        <v>40</v>
      </c>
      <c r="W2146" s="18" t="s">
        <v>140</v>
      </c>
      <c r="X2146" s="18" t="s">
        <v>141</v>
      </c>
      <c r="Y2146" s="18">
        <v>1</v>
      </c>
      <c r="Z2146" s="18">
        <v>89000</v>
      </c>
      <c r="AA2146" s="18" t="s">
        <v>4346</v>
      </c>
      <c r="AB2146" s="18" t="e">
        <v>#N/A</v>
      </c>
      <c r="AC2146" s="18" t="s">
        <v>200</v>
      </c>
    </row>
    <row r="2147" s="18" customFormat="1" spans="1:29">
      <c r="A2147" s="18" t="s">
        <v>4347</v>
      </c>
      <c r="B2147" s="25" t="s">
        <v>4347</v>
      </c>
      <c r="C2147" s="26">
        <v>45715</v>
      </c>
      <c r="D2147" s="18" t="s">
        <v>4348</v>
      </c>
      <c r="E2147" s="18" t="str">
        <f t="shared" si="33"/>
        <v>ProEvents and Promotions Pvt Ltd</v>
      </c>
      <c r="F2147" s="27" t="s">
        <v>4349</v>
      </c>
      <c r="G2147" s="18" t="s">
        <v>182</v>
      </c>
      <c r="H2147" s="18" t="s">
        <v>183</v>
      </c>
      <c r="I2147" s="18" t="s">
        <v>34</v>
      </c>
      <c r="J2147" s="18" t="s">
        <v>4350</v>
      </c>
      <c r="K2147" s="18" t="s">
        <v>56</v>
      </c>
      <c r="L2147" s="18" t="s">
        <v>36</v>
      </c>
      <c r="N2147" s="18">
        <v>6</v>
      </c>
      <c r="O2147" s="18" t="s">
        <v>88</v>
      </c>
      <c r="P2147" s="18" t="s">
        <v>38</v>
      </c>
      <c r="Q2147" s="18" t="s">
        <v>117</v>
      </c>
      <c r="R2147" s="18" t="s">
        <v>59</v>
      </c>
      <c r="S2147" s="18" t="s">
        <v>118</v>
      </c>
      <c r="T2147" s="18" t="b">
        <v>0</v>
      </c>
      <c r="U2147" s="18" t="s">
        <v>187</v>
      </c>
      <c r="V2147" s="18" t="s">
        <v>40</v>
      </c>
      <c r="W2147" s="18" t="s">
        <v>317</v>
      </c>
      <c r="X2147" s="18" t="s">
        <v>318</v>
      </c>
      <c r="Y2147" s="18">
        <v>1</v>
      </c>
      <c r="Z2147" s="18">
        <v>275000</v>
      </c>
      <c r="AA2147" s="18" t="s">
        <v>622</v>
      </c>
      <c r="AB2147" s="18" t="s">
        <v>623</v>
      </c>
      <c r="AC2147" s="18" t="s">
        <v>216</v>
      </c>
    </row>
    <row r="2148" s="18" customFormat="1" ht="43.5" spans="1:29">
      <c r="A2148" s="18" t="s">
        <v>4351</v>
      </c>
      <c r="B2148" s="25" t="s">
        <v>4351</v>
      </c>
      <c r="C2148" s="26">
        <v>45715</v>
      </c>
      <c r="D2148" s="18" t="s">
        <v>4352</v>
      </c>
      <c r="E2148" s="18" t="str">
        <f t="shared" si="33"/>
        <v>Ethos Ltd (OTV)</v>
      </c>
      <c r="F2148" s="27" t="s">
        <v>4353</v>
      </c>
      <c r="G2148" s="18" t="s">
        <v>182</v>
      </c>
      <c r="H2148" s="18" t="s">
        <v>183</v>
      </c>
      <c r="I2148" s="18" t="s">
        <v>184</v>
      </c>
      <c r="J2148" s="18" t="s">
        <v>4354</v>
      </c>
      <c r="K2148" s="18" t="s">
        <v>56</v>
      </c>
      <c r="L2148" s="18" t="s">
        <v>36</v>
      </c>
      <c r="N2148" s="18">
        <v>6</v>
      </c>
      <c r="O2148" s="18" t="s">
        <v>57</v>
      </c>
      <c r="P2148" s="18" t="s">
        <v>38</v>
      </c>
      <c r="Q2148" s="18" t="s">
        <v>194</v>
      </c>
      <c r="R2148" s="18" t="s">
        <v>59</v>
      </c>
      <c r="S2148" s="18" t="s">
        <v>195</v>
      </c>
      <c r="T2148" s="18" t="b">
        <v>0</v>
      </c>
      <c r="U2148" s="18" t="s">
        <v>187</v>
      </c>
      <c r="V2148" s="18" t="s">
        <v>40</v>
      </c>
      <c r="W2148" s="18" t="s">
        <v>140</v>
      </c>
      <c r="X2148" s="18" t="s">
        <v>141</v>
      </c>
      <c r="Y2148" s="18">
        <v>1</v>
      </c>
      <c r="Z2148" s="18">
        <v>168220</v>
      </c>
      <c r="AA2148" s="31" t="s">
        <v>4355</v>
      </c>
      <c r="AB2148" s="18" t="s">
        <v>4356</v>
      </c>
      <c r="AC2148" s="18" t="s">
        <v>200</v>
      </c>
    </row>
    <row r="2149" s="18" customFormat="1" spans="1:29">
      <c r="A2149" s="18" t="s">
        <v>4357</v>
      </c>
      <c r="B2149" s="25" t="s">
        <v>4357</v>
      </c>
      <c r="C2149" s="26">
        <v>45715</v>
      </c>
      <c r="D2149" s="18" t="s">
        <v>732</v>
      </c>
      <c r="E2149" s="18" t="str">
        <f t="shared" si="33"/>
        <v>Musafir.Com India Pvt Ltd</v>
      </c>
      <c r="F2149" s="27" t="s">
        <v>733</v>
      </c>
      <c r="G2149" s="18" t="s">
        <v>182</v>
      </c>
      <c r="H2149" s="18" t="s">
        <v>183</v>
      </c>
      <c r="I2149" s="18" t="s">
        <v>184</v>
      </c>
      <c r="J2149" s="18" t="s">
        <v>1370</v>
      </c>
      <c r="K2149" s="18" t="s">
        <v>56</v>
      </c>
      <c r="L2149" s="18" t="s">
        <v>36</v>
      </c>
      <c r="N2149" s="18">
        <v>6</v>
      </c>
      <c r="O2149" s="18" t="s">
        <v>57</v>
      </c>
      <c r="P2149" s="18" t="s">
        <v>38</v>
      </c>
      <c r="Q2149" s="18" t="s">
        <v>58</v>
      </c>
      <c r="R2149" s="18" t="s">
        <v>59</v>
      </c>
      <c r="S2149" s="18" t="s">
        <v>60</v>
      </c>
      <c r="T2149" s="18" t="b">
        <v>0</v>
      </c>
      <c r="U2149" s="18" t="s">
        <v>187</v>
      </c>
      <c r="V2149" s="18" t="s">
        <v>40</v>
      </c>
      <c r="W2149" s="18" t="s">
        <v>734</v>
      </c>
      <c r="X2149" s="18" t="s">
        <v>735</v>
      </c>
      <c r="Y2149" s="18">
        <v>1</v>
      </c>
      <c r="Z2149" s="18">
        <v>1401547</v>
      </c>
      <c r="AA2149" s="18" t="s">
        <v>736</v>
      </c>
      <c r="AB2149" s="18" t="s">
        <v>737</v>
      </c>
      <c r="AC2149" s="18" t="e">
        <v>#N/A</v>
      </c>
    </row>
    <row r="2150" s="18" customFormat="1" spans="3:6">
      <c r="C2150" s="26"/>
      <c r="F2150" s="27"/>
    </row>
    <row r="2151" s="18" customFormat="1" spans="3:6">
      <c r="C2151" s="26"/>
      <c r="F2151" s="27"/>
    </row>
    <row r="2152" s="18" customFormat="1" spans="3:6">
      <c r="C2152" s="26"/>
      <c r="F2152" s="27"/>
    </row>
    <row r="2153" s="18" customFormat="1" spans="3:6">
      <c r="C2153" s="26"/>
      <c r="F2153" s="27"/>
    </row>
    <row r="2154" s="18" customFormat="1" spans="3:6">
      <c r="C2154" s="26"/>
      <c r="F2154" s="27"/>
    </row>
    <row r="2155" s="18" customFormat="1" spans="3:6">
      <c r="C2155" s="26"/>
      <c r="F2155" s="27"/>
    </row>
    <row r="2156" s="18" customFormat="1" spans="3:6">
      <c r="C2156" s="26"/>
      <c r="F2156" s="27"/>
    </row>
    <row r="2157" s="18" customFormat="1" spans="3:6">
      <c r="C2157" s="26"/>
      <c r="F2157" s="27"/>
    </row>
    <row r="2158" s="18" customFormat="1" spans="3:6">
      <c r="C2158" s="26"/>
      <c r="F2158" s="27"/>
    </row>
    <row r="2159" s="18" customFormat="1" spans="3:6">
      <c r="C2159" s="26"/>
      <c r="F2159" s="27"/>
    </row>
    <row r="2160" s="18" customFormat="1" spans="3:6">
      <c r="C2160" s="26"/>
      <c r="F2160" s="27"/>
    </row>
    <row r="2161" s="18" customFormat="1" spans="3:6">
      <c r="C2161" s="26"/>
      <c r="F2161" s="27"/>
    </row>
    <row r="2162" s="18" customFormat="1" spans="3:6">
      <c r="C2162" s="26"/>
      <c r="F2162" s="27"/>
    </row>
    <row r="2163" s="18" customFormat="1" spans="3:6">
      <c r="C2163" s="26"/>
      <c r="F2163" s="27"/>
    </row>
    <row r="2164" s="18" customFormat="1" spans="3:6">
      <c r="C2164" s="26"/>
      <c r="F2164" s="27"/>
    </row>
    <row r="2165" s="18" customFormat="1" spans="3:6">
      <c r="C2165" s="26"/>
      <c r="F2165" s="27"/>
    </row>
    <row r="2166" s="18" customFormat="1" spans="3:6">
      <c r="C2166" s="26"/>
      <c r="F2166" s="27"/>
    </row>
    <row r="2167" s="18" customFormat="1" spans="3:6">
      <c r="C2167" s="26"/>
      <c r="F2167" s="27"/>
    </row>
    <row r="2168" s="18" customFormat="1" spans="3:6">
      <c r="C2168" s="26"/>
      <c r="F2168" s="27"/>
    </row>
    <row r="2169" s="18" customFormat="1" spans="3:6">
      <c r="C2169" s="26"/>
      <c r="F2169" s="27"/>
    </row>
    <row r="2170" s="18" customFormat="1" spans="3:6">
      <c r="C2170" s="26"/>
      <c r="F2170" s="27"/>
    </row>
    <row r="2171" s="18" customFormat="1" spans="3:6">
      <c r="C2171" s="26"/>
      <c r="F2171" s="27"/>
    </row>
    <row r="2172" s="18" customFormat="1" spans="3:6">
      <c r="C2172" s="26"/>
      <c r="F2172" s="27"/>
    </row>
    <row r="2173" s="18" customFormat="1" spans="3:6">
      <c r="C2173" s="26"/>
      <c r="F2173" s="27"/>
    </row>
    <row r="2174" s="18" customFormat="1" spans="3:6">
      <c r="C2174" s="26"/>
      <c r="F2174" s="27"/>
    </row>
    <row r="2175" s="18" customFormat="1" spans="3:6">
      <c r="C2175" s="26"/>
      <c r="F2175" s="27"/>
    </row>
    <row r="2176" s="18" customFormat="1" spans="3:6">
      <c r="C2176" s="26"/>
      <c r="F2176" s="27"/>
    </row>
    <row r="2177" s="18" customFormat="1" spans="3:6">
      <c r="C2177" s="26"/>
      <c r="F2177" s="27"/>
    </row>
    <row r="2178" s="18" customFormat="1" spans="3:6">
      <c r="C2178" s="26"/>
      <c r="F2178" s="27"/>
    </row>
    <row r="2179" s="18" customFormat="1" spans="3:6">
      <c r="C2179" s="26"/>
      <c r="F2179" s="27"/>
    </row>
    <row r="2180" s="18" customFormat="1" spans="3:6">
      <c r="C2180" s="26"/>
      <c r="F2180" s="27"/>
    </row>
    <row r="2181" s="18" customFormat="1" spans="3:6">
      <c r="C2181" s="26"/>
      <c r="F2181" s="27"/>
    </row>
    <row r="2182" s="18" customFormat="1" spans="3:6">
      <c r="C2182" s="26"/>
      <c r="F2182" s="27"/>
    </row>
    <row r="2183" s="18" customFormat="1" spans="3:6">
      <c r="C2183" s="26"/>
      <c r="F2183" s="27"/>
    </row>
    <row r="2184" s="18" customFormat="1" spans="3:6">
      <c r="C2184" s="26"/>
      <c r="F2184" s="27"/>
    </row>
    <row r="2185" s="18" customFormat="1" spans="3:6">
      <c r="C2185" s="26"/>
      <c r="F2185" s="27"/>
    </row>
    <row r="2186" s="18" customFormat="1" spans="3:6">
      <c r="C2186" s="26"/>
      <c r="F2186" s="27"/>
    </row>
    <row r="2187" s="18" customFormat="1" spans="3:6">
      <c r="C2187" s="26"/>
      <c r="F2187" s="27"/>
    </row>
    <row r="2188" s="18" customFormat="1" spans="3:6">
      <c r="C2188" s="26"/>
      <c r="F2188" s="27"/>
    </row>
    <row r="2189" s="18" customFormat="1" spans="3:6">
      <c r="C2189" s="26"/>
      <c r="F2189" s="27"/>
    </row>
    <row r="2190" s="18" customFormat="1" spans="3:6">
      <c r="C2190" s="26"/>
      <c r="F2190" s="27"/>
    </row>
    <row r="2191" s="18" customFormat="1" spans="3:6">
      <c r="C2191" s="26"/>
      <c r="F2191" s="27"/>
    </row>
    <row r="2192" s="18" customFormat="1" spans="3:6">
      <c r="C2192" s="26"/>
      <c r="F2192" s="27"/>
    </row>
    <row r="2193" s="18" customFormat="1" spans="3:6">
      <c r="C2193" s="26"/>
      <c r="F2193" s="27"/>
    </row>
    <row r="2194" s="18" customFormat="1" spans="3:6">
      <c r="C2194" s="26"/>
      <c r="F2194" s="27"/>
    </row>
    <row r="2195" s="18" customFormat="1" spans="3:6">
      <c r="C2195" s="26"/>
      <c r="F2195" s="27"/>
    </row>
    <row r="2196" s="18" customFormat="1" spans="3:6">
      <c r="C2196" s="26"/>
      <c r="F2196" s="27"/>
    </row>
    <row r="2197" s="18" customFormat="1" spans="3:6">
      <c r="C2197" s="26"/>
      <c r="F2197" s="27"/>
    </row>
    <row r="2198" s="18" customFormat="1" spans="3:6">
      <c r="C2198" s="26"/>
      <c r="F2198" s="27"/>
    </row>
    <row r="2199" s="18" customFormat="1" spans="3:6">
      <c r="C2199" s="26"/>
      <c r="F2199" s="27"/>
    </row>
    <row r="2200" s="18" customFormat="1" spans="3:6">
      <c r="C2200" s="26"/>
      <c r="F2200" s="27"/>
    </row>
    <row r="2201" s="18" customFormat="1" spans="3:6">
      <c r="C2201" s="26"/>
      <c r="F2201" s="27"/>
    </row>
    <row r="2202" s="18" customFormat="1" spans="3:6">
      <c r="C2202" s="26"/>
      <c r="F2202" s="27"/>
    </row>
    <row r="2203" s="18" customFormat="1" spans="3:6">
      <c r="C2203" s="26"/>
      <c r="F2203" s="27"/>
    </row>
    <row r="2204" s="18" customFormat="1" spans="3:6">
      <c r="C2204" s="26"/>
      <c r="F2204" s="27"/>
    </row>
    <row r="2205" s="18" customFormat="1" spans="3:6">
      <c r="C2205" s="26"/>
      <c r="F2205" s="27"/>
    </row>
    <row r="2206" s="18" customFormat="1" spans="3:6">
      <c r="C2206" s="26"/>
      <c r="F2206" s="27"/>
    </row>
    <row r="2207" s="18" customFormat="1" spans="3:6">
      <c r="C2207" s="26"/>
      <c r="F2207" s="27"/>
    </row>
    <row r="2208" s="18" customFormat="1" spans="3:6">
      <c r="C2208" s="26"/>
      <c r="F2208" s="27"/>
    </row>
    <row r="2209" s="18" customFormat="1" spans="3:6">
      <c r="C2209" s="26"/>
      <c r="F2209" s="27"/>
    </row>
    <row r="2210" s="18" customFormat="1" spans="3:6">
      <c r="C2210" s="26"/>
      <c r="F2210" s="27"/>
    </row>
    <row r="2211" s="18" customFormat="1" spans="3:6">
      <c r="C2211" s="26"/>
      <c r="F2211" s="27"/>
    </row>
    <row r="2212" s="18" customFormat="1" spans="3:6">
      <c r="C2212" s="26"/>
      <c r="F2212" s="27"/>
    </row>
    <row r="2213" s="18" customFormat="1" spans="3:6">
      <c r="C2213" s="26"/>
      <c r="F2213" s="27"/>
    </row>
    <row r="2214" s="18" customFormat="1" spans="3:6">
      <c r="C2214" s="26"/>
      <c r="F2214" s="27"/>
    </row>
    <row r="2215" s="18" customFormat="1" spans="3:6">
      <c r="C2215" s="26"/>
      <c r="F2215" s="27"/>
    </row>
    <row r="2216" s="18" customFormat="1" spans="3:6">
      <c r="C2216" s="26"/>
      <c r="F2216" s="27"/>
    </row>
    <row r="2217" s="18" customFormat="1" spans="3:6">
      <c r="C2217" s="26"/>
      <c r="F2217" s="27"/>
    </row>
    <row r="2218" s="18" customFormat="1" spans="3:6">
      <c r="C2218" s="26"/>
      <c r="F2218" s="27"/>
    </row>
    <row r="2219" s="18" customFormat="1" spans="3:6">
      <c r="C2219" s="26"/>
      <c r="F2219" s="27"/>
    </row>
    <row r="2220" s="18" customFormat="1" spans="3:6">
      <c r="C2220" s="26"/>
      <c r="F2220" s="27"/>
    </row>
    <row r="2221" s="18" customFormat="1" spans="3:6">
      <c r="C2221" s="26"/>
      <c r="F2221" s="27"/>
    </row>
    <row r="2222" s="18" customFormat="1" spans="3:6">
      <c r="C2222" s="26"/>
      <c r="F2222" s="27"/>
    </row>
    <row r="2223" s="18" customFormat="1" spans="3:6">
      <c r="C2223" s="26"/>
      <c r="F2223" s="27"/>
    </row>
    <row r="2224" s="18" customFormat="1" spans="3:6">
      <c r="C2224" s="26"/>
      <c r="F2224" s="27"/>
    </row>
    <row r="2225" s="18" customFormat="1" spans="3:6">
      <c r="C2225" s="26"/>
      <c r="F2225" s="27"/>
    </row>
    <row r="2226" s="18" customFormat="1" spans="3:6">
      <c r="C2226" s="26"/>
      <c r="F2226" s="27"/>
    </row>
    <row r="2227" s="18" customFormat="1" spans="3:6">
      <c r="C2227" s="26"/>
      <c r="F2227" s="27"/>
    </row>
    <row r="2228" s="18" customFormat="1" spans="3:6">
      <c r="C2228" s="26"/>
      <c r="F2228" s="27"/>
    </row>
    <row r="2229" s="18" customFormat="1" spans="3:6">
      <c r="C2229" s="26"/>
      <c r="F2229" s="27"/>
    </row>
    <row r="2230" s="18" customFormat="1" spans="3:6">
      <c r="C2230" s="26"/>
      <c r="F2230" s="27"/>
    </row>
    <row r="2231" s="18" customFormat="1" spans="3:6">
      <c r="C2231" s="26"/>
      <c r="F2231" s="27"/>
    </row>
    <row r="2232" s="18" customFormat="1" spans="3:6">
      <c r="C2232" s="26"/>
      <c r="F2232" s="27"/>
    </row>
    <row r="2233" s="18" customFormat="1" spans="3:6">
      <c r="C2233" s="26"/>
      <c r="F2233" s="27"/>
    </row>
    <row r="2234" s="18" customFormat="1" spans="3:6">
      <c r="C2234" s="26"/>
      <c r="F2234" s="27"/>
    </row>
    <row r="2235" s="18" customFormat="1" spans="3:6">
      <c r="C2235" s="26"/>
      <c r="F2235" s="27"/>
    </row>
    <row r="2236" s="18" customFormat="1" spans="3:6">
      <c r="C2236" s="26"/>
      <c r="F2236" s="27"/>
    </row>
    <row r="2237" s="18" customFormat="1" spans="3:6">
      <c r="C2237" s="26"/>
      <c r="F2237" s="27"/>
    </row>
    <row r="2238" s="18" customFormat="1" spans="3:6">
      <c r="C2238" s="26"/>
      <c r="F2238" s="27"/>
    </row>
    <row r="2239" s="18" customFormat="1" spans="3:6">
      <c r="C2239" s="26"/>
      <c r="F2239" s="27"/>
    </row>
    <row r="2240" s="18" customFormat="1" spans="3:6">
      <c r="C2240" s="26"/>
      <c r="F2240" s="27"/>
    </row>
    <row r="2241" s="18" customFormat="1" spans="3:6">
      <c r="C2241" s="26"/>
      <c r="F2241" s="27"/>
    </row>
    <row r="2242" s="18" customFormat="1" spans="3:6">
      <c r="C2242" s="26"/>
      <c r="F2242" s="27"/>
    </row>
    <row r="2243" s="18" customFormat="1" spans="3:6">
      <c r="C2243" s="26"/>
      <c r="F2243" s="27"/>
    </row>
    <row r="2244" s="18" customFormat="1" spans="3:6">
      <c r="C2244" s="26"/>
      <c r="F2244" s="27"/>
    </row>
    <row r="2245" s="18" customFormat="1" spans="3:6">
      <c r="C2245" s="26"/>
      <c r="F2245" s="27"/>
    </row>
    <row r="2246" s="18" customFormat="1" spans="3:6">
      <c r="C2246" s="26"/>
      <c r="F2246" s="27"/>
    </row>
    <row r="2247" s="18" customFormat="1" spans="3:6">
      <c r="C2247" s="26"/>
      <c r="F2247" s="27"/>
    </row>
    <row r="2248" s="18" customFormat="1" spans="3:6">
      <c r="C2248" s="26"/>
      <c r="F2248" s="27"/>
    </row>
    <row r="2249" s="18" customFormat="1" spans="3:6">
      <c r="C2249" s="26"/>
      <c r="F2249" s="27"/>
    </row>
    <row r="2250" s="18" customFormat="1" spans="3:6">
      <c r="C2250" s="26"/>
      <c r="F2250" s="27"/>
    </row>
    <row r="2251" s="18" customFormat="1" spans="3:6">
      <c r="C2251" s="26"/>
      <c r="F2251" s="27"/>
    </row>
    <row r="2252" s="18" customFormat="1" spans="3:6">
      <c r="C2252" s="26"/>
      <c r="F2252" s="27"/>
    </row>
    <row r="2253" s="18" customFormat="1" spans="3:6">
      <c r="C2253" s="26"/>
      <c r="F2253" s="27"/>
    </row>
    <row r="2254" s="18" customFormat="1" spans="3:6">
      <c r="C2254" s="26"/>
      <c r="F2254" s="27"/>
    </row>
    <row r="2255" s="18" customFormat="1" spans="3:6">
      <c r="C2255" s="26"/>
      <c r="F2255" s="27"/>
    </row>
    <row r="2256" s="18" customFormat="1" spans="3:6">
      <c r="C2256" s="26"/>
      <c r="F2256" s="27"/>
    </row>
    <row r="2257" s="18" customFormat="1" spans="3:6">
      <c r="C2257" s="26"/>
      <c r="F2257" s="27"/>
    </row>
    <row r="2258" s="18" customFormat="1" spans="3:6">
      <c r="C2258" s="26"/>
      <c r="F2258" s="27"/>
    </row>
    <row r="2259" s="18" customFormat="1" spans="3:6">
      <c r="C2259" s="26"/>
      <c r="F2259" s="27"/>
    </row>
    <row r="2260" s="18" customFormat="1" spans="3:6">
      <c r="C2260" s="26"/>
      <c r="F2260" s="27"/>
    </row>
    <row r="2261" s="18" customFormat="1" spans="3:6">
      <c r="C2261" s="26"/>
      <c r="F2261" s="27"/>
    </row>
    <row r="2262" s="18" customFormat="1" spans="3:6">
      <c r="C2262" s="26"/>
      <c r="F2262" s="27"/>
    </row>
    <row r="2263" s="18" customFormat="1" spans="3:6">
      <c r="C2263" s="26"/>
      <c r="F2263" s="27"/>
    </row>
    <row r="2264" s="18" customFormat="1" spans="3:6">
      <c r="C2264" s="26"/>
      <c r="F2264" s="27"/>
    </row>
    <row r="2265" s="18" customFormat="1" spans="3:6">
      <c r="C2265" s="26"/>
      <c r="F2265" s="27"/>
    </row>
    <row r="2266" s="18" customFormat="1" spans="3:6">
      <c r="C2266" s="26"/>
      <c r="F2266" s="27"/>
    </row>
    <row r="2267" s="18" customFormat="1" spans="3:6">
      <c r="C2267" s="26"/>
      <c r="F2267" s="27"/>
    </row>
    <row r="2268" s="18" customFormat="1" spans="3:6">
      <c r="C2268" s="26"/>
      <c r="F2268" s="27"/>
    </row>
    <row r="2269" s="18" customFormat="1" spans="3:6">
      <c r="C2269" s="26"/>
      <c r="F2269" s="27"/>
    </row>
    <row r="2270" s="18" customFormat="1" spans="3:6">
      <c r="C2270" s="26"/>
      <c r="F2270" s="27"/>
    </row>
    <row r="2271" s="18" customFormat="1" spans="3:6">
      <c r="C2271" s="26"/>
      <c r="F2271" s="27"/>
    </row>
    <row r="2272" s="18" customFormat="1" spans="3:6">
      <c r="C2272" s="26"/>
      <c r="F2272" s="27"/>
    </row>
    <row r="2273" s="18" customFormat="1" spans="3:6">
      <c r="C2273" s="26"/>
      <c r="F2273" s="27"/>
    </row>
    <row r="2274" s="18" customFormat="1" spans="3:6">
      <c r="C2274" s="26"/>
      <c r="F2274" s="27"/>
    </row>
    <row r="2275" s="18" customFormat="1" spans="3:6">
      <c r="C2275" s="26"/>
      <c r="F2275" s="27"/>
    </row>
    <row r="2276" s="18" customFormat="1" spans="3:6">
      <c r="C2276" s="26"/>
      <c r="F2276" s="27"/>
    </row>
    <row r="2277" s="18" customFormat="1" spans="3:6">
      <c r="C2277" s="26"/>
      <c r="F2277" s="27"/>
    </row>
    <row r="2278" s="18" customFormat="1" spans="3:6">
      <c r="C2278" s="26"/>
      <c r="F2278" s="27"/>
    </row>
    <row r="2279" s="18" customFormat="1" spans="3:6">
      <c r="C2279" s="26"/>
      <c r="F2279" s="27"/>
    </row>
    <row r="2280" s="18" customFormat="1" spans="3:6">
      <c r="C2280" s="26"/>
      <c r="F2280" s="27"/>
    </row>
    <row r="2281" s="18" customFormat="1" spans="3:6">
      <c r="C2281" s="26"/>
      <c r="F2281" s="27"/>
    </row>
    <row r="2282" s="18" customFormat="1" spans="3:6">
      <c r="C2282" s="26"/>
      <c r="F2282" s="27"/>
    </row>
    <row r="2283" s="18" customFormat="1" spans="3:6">
      <c r="C2283" s="26"/>
      <c r="F2283" s="27"/>
    </row>
    <row r="2284" s="18" customFormat="1" spans="3:6">
      <c r="C2284" s="26"/>
      <c r="F2284" s="27"/>
    </row>
    <row r="2285" s="18" customFormat="1" spans="3:6">
      <c r="C2285" s="26"/>
      <c r="F2285" s="27"/>
    </row>
    <row r="2286" s="18" customFormat="1" spans="3:6">
      <c r="C2286" s="26"/>
      <c r="F2286" s="27"/>
    </row>
    <row r="2287" s="18" customFormat="1" spans="3:6">
      <c r="C2287" s="26"/>
      <c r="F2287" s="27"/>
    </row>
    <row r="2288" s="18" customFormat="1" spans="3:6">
      <c r="C2288" s="26"/>
      <c r="F2288" s="27"/>
    </row>
    <row r="2289" s="18" customFormat="1" spans="3:6">
      <c r="C2289" s="26"/>
      <c r="F2289" s="27"/>
    </row>
    <row r="2290" s="18" customFormat="1" spans="3:6">
      <c r="C2290" s="26"/>
      <c r="F2290" s="27"/>
    </row>
    <row r="2291" s="18" customFormat="1" spans="3:6">
      <c r="C2291" s="26"/>
      <c r="F2291" s="27"/>
    </row>
    <row r="2292" s="18" customFormat="1" spans="3:6">
      <c r="C2292" s="26"/>
      <c r="F2292" s="27"/>
    </row>
    <row r="2293" s="18" customFormat="1" spans="3:6">
      <c r="C2293" s="26"/>
      <c r="F2293" s="27"/>
    </row>
    <row r="2294" s="18" customFormat="1" spans="3:6">
      <c r="C2294" s="26"/>
      <c r="F2294" s="27"/>
    </row>
    <row r="2295" s="18" customFormat="1" spans="3:6">
      <c r="C2295" s="26"/>
      <c r="F2295" s="27"/>
    </row>
    <row r="2296" s="18" customFormat="1" spans="3:6">
      <c r="C2296" s="26"/>
      <c r="F2296" s="27"/>
    </row>
    <row r="2297" s="18" customFormat="1" spans="3:6">
      <c r="C2297" s="26"/>
      <c r="F2297" s="27"/>
    </row>
    <row r="2298" s="18" customFormat="1" spans="3:6">
      <c r="C2298" s="26"/>
      <c r="F2298" s="27"/>
    </row>
    <row r="2299" s="18" customFormat="1" spans="3:6">
      <c r="C2299" s="26"/>
      <c r="F2299" s="27"/>
    </row>
    <row r="2300" s="18" customFormat="1" spans="3:6">
      <c r="C2300" s="26"/>
      <c r="F2300" s="27"/>
    </row>
    <row r="2301" s="18" customFormat="1" spans="3:6">
      <c r="C2301" s="26"/>
      <c r="F2301" s="27"/>
    </row>
    <row r="2302" s="18" customFormat="1" spans="3:6">
      <c r="C2302" s="26"/>
      <c r="F2302" s="27"/>
    </row>
    <row r="2303" s="18" customFormat="1" spans="3:6">
      <c r="C2303" s="26"/>
      <c r="F2303" s="27"/>
    </row>
    <row r="2304" s="18" customFormat="1" spans="3:6">
      <c r="C2304" s="26"/>
      <c r="F2304" s="27"/>
    </row>
    <row r="2305" s="18" customFormat="1" spans="3:6">
      <c r="C2305" s="26"/>
      <c r="F2305" s="27"/>
    </row>
    <row r="2306" s="18" customFormat="1" spans="3:6">
      <c r="C2306" s="26"/>
      <c r="F2306" s="27"/>
    </row>
    <row r="2307" s="18" customFormat="1" spans="3:6">
      <c r="C2307" s="26"/>
      <c r="F2307" s="27"/>
    </row>
    <row r="2308" s="18" customFormat="1" spans="3:6">
      <c r="C2308" s="26"/>
      <c r="F2308" s="27"/>
    </row>
    <row r="2309" s="18" customFormat="1" spans="3:6">
      <c r="C2309" s="26"/>
      <c r="F2309" s="27"/>
    </row>
    <row r="2310" s="18" customFormat="1" spans="3:6">
      <c r="C2310" s="26"/>
      <c r="F2310" s="27"/>
    </row>
    <row r="2311" s="18" customFormat="1" spans="3:6">
      <c r="C2311" s="26"/>
      <c r="F2311" s="27"/>
    </row>
    <row r="2312" s="18" customFormat="1" spans="3:6">
      <c r="C2312" s="26"/>
      <c r="F2312" s="27"/>
    </row>
    <row r="2313" s="18" customFormat="1" spans="3:6">
      <c r="C2313" s="26"/>
      <c r="F2313" s="27"/>
    </row>
    <row r="2314" s="18" customFormat="1" spans="3:6">
      <c r="C2314" s="26"/>
      <c r="F2314" s="27"/>
    </row>
    <row r="2315" s="18" customFormat="1" spans="3:6">
      <c r="C2315" s="26"/>
      <c r="F2315" s="27"/>
    </row>
    <row r="2316" s="18" customFormat="1" spans="3:6">
      <c r="C2316" s="26"/>
      <c r="F2316" s="27"/>
    </row>
    <row r="2317" s="18" customFormat="1" spans="3:6">
      <c r="C2317" s="26"/>
      <c r="F2317" s="27"/>
    </row>
    <row r="2318" s="18" customFormat="1" spans="3:6">
      <c r="C2318" s="26"/>
      <c r="F2318" s="27"/>
    </row>
    <row r="2319" s="18" customFormat="1" spans="3:6">
      <c r="C2319" s="26"/>
      <c r="F2319" s="27"/>
    </row>
    <row r="2320" s="18" customFormat="1" spans="3:6">
      <c r="C2320" s="26"/>
      <c r="F2320" s="27"/>
    </row>
    <row r="2321" s="18" customFormat="1" spans="3:6">
      <c r="C2321" s="26"/>
      <c r="F2321" s="27"/>
    </row>
    <row r="2322" s="18" customFormat="1" spans="3:6">
      <c r="C2322" s="26"/>
      <c r="F2322" s="27"/>
    </row>
    <row r="2323" s="18" customFormat="1" spans="3:6">
      <c r="C2323" s="26"/>
      <c r="F2323" s="27"/>
    </row>
    <row r="2324" s="18" customFormat="1" spans="3:6">
      <c r="C2324" s="26"/>
      <c r="F2324" s="27"/>
    </row>
    <row r="2325" s="18" customFormat="1" spans="3:6">
      <c r="C2325" s="26"/>
      <c r="F2325" s="27"/>
    </row>
    <row r="2326" s="18" customFormat="1" spans="3:6">
      <c r="C2326" s="26"/>
      <c r="F2326" s="27"/>
    </row>
    <row r="2327" s="18" customFormat="1" spans="3:6">
      <c r="C2327" s="26"/>
      <c r="F2327" s="27"/>
    </row>
    <row r="2328" s="18" customFormat="1" spans="3:6">
      <c r="C2328" s="26"/>
      <c r="F2328" s="27"/>
    </row>
    <row r="2329" s="18" customFormat="1" spans="3:6">
      <c r="C2329" s="26"/>
      <c r="F2329" s="27"/>
    </row>
    <row r="2330" s="18" customFormat="1" spans="3:6">
      <c r="C2330" s="26"/>
      <c r="F2330" s="27"/>
    </row>
    <row r="2331" s="18" customFormat="1" spans="3:6">
      <c r="C2331" s="26"/>
      <c r="F2331" s="27"/>
    </row>
    <row r="2332" s="18" customFormat="1" spans="3:6">
      <c r="C2332" s="26"/>
      <c r="F2332" s="27"/>
    </row>
    <row r="2333" s="18" customFormat="1" spans="3:6">
      <c r="C2333" s="26"/>
      <c r="F2333" s="27"/>
    </row>
    <row r="2334" s="18" customFormat="1" spans="3:6">
      <c r="C2334" s="26"/>
      <c r="F2334" s="27"/>
    </row>
    <row r="2335" s="18" customFormat="1" spans="3:6">
      <c r="C2335" s="26"/>
      <c r="F2335" s="27"/>
    </row>
    <row r="2336" s="18" customFormat="1" spans="3:6">
      <c r="C2336" s="26"/>
      <c r="F2336" s="27"/>
    </row>
    <row r="2337" s="18" customFormat="1" spans="3:6">
      <c r="C2337" s="26"/>
      <c r="F2337" s="27"/>
    </row>
    <row r="2338" s="18" customFormat="1" spans="3:6">
      <c r="C2338" s="26"/>
      <c r="F2338" s="27"/>
    </row>
    <row r="2339" s="18" customFormat="1" spans="3:6">
      <c r="C2339" s="26"/>
      <c r="F2339" s="27"/>
    </row>
    <row r="2340" s="18" customFormat="1" spans="3:6">
      <c r="C2340" s="26"/>
      <c r="F2340" s="27"/>
    </row>
    <row r="2341" s="18" customFormat="1" spans="3:6">
      <c r="C2341" s="26"/>
      <c r="F2341" s="27"/>
    </row>
    <row r="2342" s="18" customFormat="1" spans="3:6">
      <c r="C2342" s="26"/>
      <c r="F2342" s="27"/>
    </row>
    <row r="2343" s="18" customFormat="1" spans="3:6">
      <c r="C2343" s="26"/>
      <c r="F2343" s="27"/>
    </row>
    <row r="2344" s="18" customFormat="1" spans="3:6">
      <c r="C2344" s="26"/>
      <c r="F2344" s="27"/>
    </row>
    <row r="2345" s="18" customFormat="1" spans="3:6">
      <c r="C2345" s="26"/>
      <c r="F2345" s="27"/>
    </row>
    <row r="2346" s="18" customFormat="1" spans="3:6">
      <c r="C2346" s="26"/>
      <c r="F2346" s="27"/>
    </row>
    <row r="2347" s="18" customFormat="1" spans="3:6">
      <c r="C2347" s="26"/>
      <c r="F2347" s="27"/>
    </row>
    <row r="2348" s="18" customFormat="1" spans="3:6">
      <c r="C2348" s="26"/>
      <c r="F2348" s="27"/>
    </row>
    <row r="2349" s="18" customFormat="1" spans="3:6">
      <c r="C2349" s="26"/>
      <c r="F2349" s="27"/>
    </row>
    <row r="2350" s="18" customFormat="1" spans="3:6">
      <c r="C2350" s="26"/>
      <c r="F2350" s="27"/>
    </row>
    <row r="2351" s="18" customFormat="1" spans="3:6">
      <c r="C2351" s="26"/>
      <c r="F2351" s="27"/>
    </row>
    <row r="2352" s="18" customFormat="1" spans="3:6">
      <c r="C2352" s="26"/>
      <c r="F2352" s="27"/>
    </row>
    <row r="2353" s="18" customFormat="1" spans="3:6">
      <c r="C2353" s="26"/>
      <c r="F2353" s="27"/>
    </row>
    <row r="2354" s="18" customFormat="1" spans="3:6">
      <c r="C2354" s="26"/>
      <c r="F2354" s="27"/>
    </row>
    <row r="2355" s="18" customFormat="1" spans="3:6">
      <c r="C2355" s="26"/>
      <c r="F2355" s="27"/>
    </row>
    <row r="2356" s="18" customFormat="1" spans="3:6">
      <c r="C2356" s="26"/>
      <c r="F2356" s="27"/>
    </row>
    <row r="2357" s="18" customFormat="1" spans="3:6">
      <c r="C2357" s="26"/>
      <c r="F2357" s="27"/>
    </row>
    <row r="2358" s="18" customFormat="1" spans="3:6">
      <c r="C2358" s="26"/>
      <c r="F2358" s="27"/>
    </row>
    <row r="2359" s="18" customFormat="1" spans="3:6">
      <c r="C2359" s="26"/>
      <c r="F2359" s="27"/>
    </row>
    <row r="2360" s="18" customFormat="1" spans="3:6">
      <c r="C2360" s="26"/>
      <c r="F2360" s="27"/>
    </row>
    <row r="2361" s="18" customFormat="1" spans="3:6">
      <c r="C2361" s="26"/>
      <c r="F2361" s="27"/>
    </row>
    <row r="2362" s="18" customFormat="1" spans="3:6">
      <c r="C2362" s="26"/>
      <c r="F2362" s="27"/>
    </row>
    <row r="2363" s="18" customFormat="1" spans="3:6">
      <c r="C2363" s="26"/>
      <c r="F2363" s="27"/>
    </row>
    <row r="2364" s="18" customFormat="1" spans="3:6">
      <c r="C2364" s="26"/>
      <c r="F2364" s="27"/>
    </row>
    <row r="2365" s="18" customFormat="1" spans="3:6">
      <c r="C2365" s="26"/>
      <c r="F2365" s="27"/>
    </row>
    <row r="2366" s="18" customFormat="1" spans="3:6">
      <c r="C2366" s="26"/>
      <c r="F2366" s="27"/>
    </row>
    <row r="2367" s="18" customFormat="1" spans="3:6">
      <c r="C2367" s="26"/>
      <c r="F2367" s="27"/>
    </row>
    <row r="2368" s="18" customFormat="1" spans="3:6">
      <c r="C2368" s="26"/>
      <c r="F2368" s="27"/>
    </row>
    <row r="2369" s="18" customFormat="1" spans="3:6">
      <c r="C2369" s="26"/>
      <c r="F2369" s="27"/>
    </row>
    <row r="2370" s="18" customFormat="1" spans="3:6">
      <c r="C2370" s="26"/>
      <c r="F2370" s="27"/>
    </row>
    <row r="2371" s="18" customFormat="1" spans="3:6">
      <c r="C2371" s="26"/>
      <c r="F2371" s="27"/>
    </row>
    <row r="2372" s="18" customFormat="1" spans="3:6">
      <c r="C2372" s="26"/>
      <c r="F2372" s="27"/>
    </row>
    <row r="2373" s="18" customFormat="1" spans="3:6">
      <c r="C2373" s="26"/>
      <c r="F2373" s="27"/>
    </row>
    <row r="2374" s="18" customFormat="1" spans="3:6">
      <c r="C2374" s="26"/>
      <c r="F2374" s="27"/>
    </row>
    <row r="2375" s="18" customFormat="1" spans="3:6">
      <c r="C2375" s="26"/>
      <c r="F2375" s="27"/>
    </row>
    <row r="2376" s="18" customFormat="1" spans="3:6">
      <c r="C2376" s="26"/>
      <c r="F2376" s="27"/>
    </row>
    <row r="2377" s="18" customFormat="1" spans="3:6">
      <c r="C2377" s="26"/>
      <c r="F2377" s="27"/>
    </row>
    <row r="2378" s="18" customFormat="1" spans="3:6">
      <c r="C2378" s="26"/>
      <c r="F2378" s="27"/>
    </row>
    <row r="2379" s="18" customFormat="1" spans="3:6">
      <c r="C2379" s="26"/>
      <c r="F2379" s="27"/>
    </row>
    <row r="2380" s="18" customFormat="1" spans="3:6">
      <c r="C2380" s="26"/>
      <c r="F2380" s="27"/>
    </row>
    <row r="2381" s="18" customFormat="1" spans="3:6">
      <c r="C2381" s="26"/>
      <c r="F2381" s="27"/>
    </row>
    <row r="2382" s="18" customFormat="1" spans="3:6">
      <c r="C2382" s="26"/>
      <c r="F2382" s="27"/>
    </row>
    <row r="2383" s="18" customFormat="1" spans="3:6">
      <c r="C2383" s="26"/>
      <c r="F2383" s="27"/>
    </row>
    <row r="2384" s="18" customFormat="1" spans="3:6">
      <c r="C2384" s="26"/>
      <c r="F2384" s="27"/>
    </row>
    <row r="2385" s="18" customFormat="1" spans="3:6">
      <c r="C2385" s="26"/>
      <c r="F2385" s="27"/>
    </row>
    <row r="2386" s="18" customFormat="1" spans="3:6">
      <c r="C2386" s="26"/>
      <c r="F2386" s="27"/>
    </row>
    <row r="2387" s="18" customFormat="1" spans="3:6">
      <c r="C2387" s="26"/>
      <c r="F2387" s="27"/>
    </row>
    <row r="2388" s="18" customFormat="1" spans="3:6">
      <c r="C2388" s="26"/>
      <c r="F2388" s="27"/>
    </row>
    <row r="2389" s="18" customFormat="1" spans="3:6">
      <c r="C2389" s="26"/>
      <c r="F2389" s="27"/>
    </row>
    <row r="2390" s="18" customFormat="1" spans="3:6">
      <c r="C2390" s="26"/>
      <c r="F2390" s="27"/>
    </row>
    <row r="2391" s="18" customFormat="1" spans="3:6">
      <c r="C2391" s="26"/>
      <c r="F2391" s="27"/>
    </row>
    <row r="2392" s="18" customFormat="1" spans="3:6">
      <c r="C2392" s="26"/>
      <c r="F2392" s="27"/>
    </row>
    <row r="2393" s="18" customFormat="1" spans="3:6">
      <c r="C2393" s="26"/>
      <c r="F2393" s="27"/>
    </row>
    <row r="2394" s="18" customFormat="1" spans="3:6">
      <c r="C2394" s="26"/>
      <c r="F2394" s="27"/>
    </row>
    <row r="2395" s="18" customFormat="1" spans="3:6">
      <c r="C2395" s="26"/>
      <c r="F2395" s="27"/>
    </row>
    <row r="2396" s="18" customFormat="1" spans="3:6">
      <c r="C2396" s="26"/>
      <c r="F2396" s="27"/>
    </row>
    <row r="2397" s="18" customFormat="1" spans="3:6">
      <c r="C2397" s="26"/>
      <c r="F2397" s="27"/>
    </row>
    <row r="2398" s="18" customFormat="1" spans="3:6">
      <c r="C2398" s="26"/>
      <c r="F2398" s="27"/>
    </row>
    <row r="2399" s="18" customFormat="1" spans="3:6">
      <c r="C2399" s="26"/>
      <c r="F2399" s="27"/>
    </row>
    <row r="2400" s="18" customFormat="1" spans="3:6">
      <c r="C2400" s="26"/>
      <c r="F2400" s="27"/>
    </row>
    <row r="2401" s="18" customFormat="1" spans="3:6">
      <c r="C2401" s="26"/>
      <c r="F2401" s="27"/>
    </row>
    <row r="2402" s="18" customFormat="1" spans="3:6">
      <c r="C2402" s="26"/>
      <c r="F2402" s="27"/>
    </row>
    <row r="2403" s="18" customFormat="1" spans="3:6">
      <c r="C2403" s="26"/>
      <c r="F2403" s="27"/>
    </row>
    <row r="2404" s="18" customFormat="1" spans="3:6">
      <c r="C2404" s="26"/>
      <c r="F2404" s="27"/>
    </row>
    <row r="2405" s="18" customFormat="1" spans="3:6">
      <c r="C2405" s="26"/>
      <c r="F2405" s="27"/>
    </row>
    <row r="2406" s="18" customFormat="1" spans="3:6">
      <c r="C2406" s="26"/>
      <c r="F2406" s="27"/>
    </row>
    <row r="2407" s="18" customFormat="1" spans="3:6">
      <c r="C2407" s="26"/>
      <c r="F2407" s="27"/>
    </row>
    <row r="2408" s="18" customFormat="1" spans="3:6">
      <c r="C2408" s="26"/>
      <c r="F2408" s="27"/>
    </row>
    <row r="2409" s="18" customFormat="1" spans="3:6">
      <c r="C2409" s="26"/>
      <c r="F2409" s="27"/>
    </row>
    <row r="2410" s="18" customFormat="1" spans="3:6">
      <c r="C2410" s="26"/>
      <c r="F2410" s="27"/>
    </row>
    <row r="2411" s="18" customFormat="1" spans="3:6">
      <c r="C2411" s="26"/>
      <c r="F2411" s="27"/>
    </row>
    <row r="2412" s="18" customFormat="1" spans="3:6">
      <c r="C2412" s="26"/>
      <c r="F2412" s="27"/>
    </row>
    <row r="2413" s="18" customFormat="1" spans="3:6">
      <c r="C2413" s="26"/>
      <c r="F2413" s="27"/>
    </row>
    <row r="2414" s="18" customFormat="1" spans="3:6">
      <c r="C2414" s="26"/>
      <c r="F2414" s="27"/>
    </row>
    <row r="2415" s="18" customFormat="1" spans="3:6">
      <c r="C2415" s="26"/>
      <c r="F2415" s="27"/>
    </row>
    <row r="2416" s="18" customFormat="1" spans="3:6">
      <c r="C2416" s="26"/>
      <c r="F2416" s="27"/>
    </row>
    <row r="2417" s="18" customFormat="1" spans="3:6">
      <c r="C2417" s="26"/>
      <c r="F2417" s="27"/>
    </row>
    <row r="2418" s="18" customFormat="1" spans="3:6">
      <c r="C2418" s="26"/>
      <c r="F2418" s="27"/>
    </row>
    <row r="2419" s="18" customFormat="1" spans="3:6">
      <c r="C2419" s="26"/>
      <c r="F2419" s="27"/>
    </row>
    <row r="2420" s="18" customFormat="1" spans="3:6">
      <c r="C2420" s="26"/>
      <c r="F2420" s="27"/>
    </row>
    <row r="2421" s="18" customFormat="1" spans="3:6">
      <c r="C2421" s="26"/>
      <c r="F2421" s="27"/>
    </row>
    <row r="2422" s="18" customFormat="1" spans="3:6">
      <c r="C2422" s="26"/>
      <c r="F2422" s="27"/>
    </row>
    <row r="2423" s="18" customFormat="1" spans="3:6">
      <c r="C2423" s="26"/>
      <c r="F2423" s="27"/>
    </row>
    <row r="2424" s="18" customFormat="1" spans="3:6">
      <c r="C2424" s="26"/>
      <c r="F2424" s="27"/>
    </row>
    <row r="2425" s="18" customFormat="1" spans="3:6">
      <c r="C2425" s="26"/>
      <c r="F2425" s="27"/>
    </row>
    <row r="2426" s="18" customFormat="1" spans="3:6">
      <c r="C2426" s="26"/>
      <c r="F2426" s="27"/>
    </row>
    <row r="2427" s="18" customFormat="1" spans="3:6">
      <c r="C2427" s="26"/>
      <c r="F2427" s="27"/>
    </row>
    <row r="2428" s="18" customFormat="1" spans="3:6">
      <c r="C2428" s="26"/>
      <c r="F2428" s="27"/>
    </row>
    <row r="2429" s="18" customFormat="1" spans="3:6">
      <c r="C2429" s="26"/>
      <c r="F2429" s="27"/>
    </row>
    <row r="2430" s="18" customFormat="1" spans="3:6">
      <c r="C2430" s="26"/>
      <c r="F2430" s="27"/>
    </row>
    <row r="2431" s="18" customFormat="1" spans="3:6">
      <c r="C2431" s="26"/>
      <c r="F2431" s="27"/>
    </row>
    <row r="2432" s="18" customFormat="1" spans="3:6">
      <c r="C2432" s="26"/>
      <c r="F2432" s="27"/>
    </row>
    <row r="2433" s="18" customFormat="1" spans="3:6">
      <c r="C2433" s="26"/>
      <c r="F2433" s="27"/>
    </row>
    <row r="2434" s="18" customFormat="1" spans="3:6">
      <c r="C2434" s="26"/>
      <c r="F2434" s="27"/>
    </row>
    <row r="2435" s="18" customFormat="1" spans="3:6">
      <c r="C2435" s="26"/>
      <c r="F2435" s="27"/>
    </row>
    <row r="2436" s="18" customFormat="1" spans="3:6">
      <c r="C2436" s="26"/>
      <c r="F2436" s="27"/>
    </row>
    <row r="2437" s="18" customFormat="1" spans="3:6">
      <c r="C2437" s="26"/>
      <c r="F2437" s="27"/>
    </row>
    <row r="2438" s="18" customFormat="1" spans="3:6">
      <c r="C2438" s="26"/>
      <c r="F2438" s="27"/>
    </row>
    <row r="2439" s="18" customFormat="1" spans="3:6">
      <c r="C2439" s="26"/>
      <c r="F2439" s="27"/>
    </row>
    <row r="2440" s="18" customFormat="1" spans="3:6">
      <c r="C2440" s="26"/>
      <c r="F2440" s="27"/>
    </row>
    <row r="2441" s="18" customFormat="1" spans="3:6">
      <c r="C2441" s="26"/>
      <c r="F2441" s="27"/>
    </row>
    <row r="2442" s="18" customFormat="1" spans="3:6">
      <c r="C2442" s="26"/>
      <c r="F2442" s="27"/>
    </row>
    <row r="2443" s="18" customFormat="1" spans="3:6">
      <c r="C2443" s="26"/>
      <c r="F2443" s="27"/>
    </row>
    <row r="2444" s="18" customFormat="1" spans="3:6">
      <c r="C2444" s="26"/>
      <c r="F2444" s="27"/>
    </row>
    <row r="2445" s="18" customFormat="1" spans="3:6">
      <c r="C2445" s="26"/>
      <c r="F2445" s="27"/>
    </row>
    <row r="2446" s="18" customFormat="1" spans="3:6">
      <c r="C2446" s="26"/>
      <c r="F2446" s="27"/>
    </row>
    <row r="2447" s="18" customFormat="1" spans="3:6">
      <c r="C2447" s="26"/>
      <c r="F2447" s="27"/>
    </row>
    <row r="2448" s="18" customFormat="1" spans="3:6">
      <c r="C2448" s="26"/>
      <c r="F2448" s="27"/>
    </row>
    <row r="2449" s="18" customFormat="1" spans="3:6">
      <c r="C2449" s="26"/>
      <c r="F2449" s="27"/>
    </row>
    <row r="2450" s="18" customFormat="1" spans="3:6">
      <c r="C2450" s="26"/>
      <c r="F2450" s="27"/>
    </row>
    <row r="2451" s="18" customFormat="1" spans="3:6">
      <c r="C2451" s="26"/>
      <c r="F2451" s="27"/>
    </row>
    <row r="2452" s="18" customFormat="1" spans="3:6">
      <c r="C2452" s="26"/>
      <c r="F2452" s="27"/>
    </row>
    <row r="2453" s="18" customFormat="1" spans="3:6">
      <c r="C2453" s="26"/>
      <c r="F2453" s="27"/>
    </row>
    <row r="2454" s="18" customFormat="1" spans="3:6">
      <c r="C2454" s="26"/>
      <c r="F2454" s="27"/>
    </row>
    <row r="2455" s="18" customFormat="1" spans="3:6">
      <c r="C2455" s="26"/>
      <c r="F2455" s="27"/>
    </row>
    <row r="2456" s="18" customFormat="1" spans="3:6">
      <c r="C2456" s="26"/>
      <c r="F2456" s="27"/>
    </row>
    <row r="2457" s="18" customFormat="1" spans="3:6">
      <c r="C2457" s="26"/>
      <c r="F2457" s="27"/>
    </row>
    <row r="2458" s="18" customFormat="1" spans="3:6">
      <c r="C2458" s="26"/>
      <c r="F2458" s="27"/>
    </row>
    <row r="2459" s="18" customFormat="1" spans="3:6">
      <c r="C2459" s="26"/>
      <c r="F2459" s="27"/>
    </row>
    <row r="2460" s="18" customFormat="1" spans="3:6">
      <c r="C2460" s="26"/>
      <c r="F2460" s="27"/>
    </row>
    <row r="2461" s="18" customFormat="1" spans="3:6">
      <c r="C2461" s="26"/>
      <c r="F2461" s="27"/>
    </row>
    <row r="2462" s="18" customFormat="1" spans="3:6">
      <c r="C2462" s="26"/>
      <c r="F2462" s="27"/>
    </row>
    <row r="2463" s="18" customFormat="1" spans="3:6">
      <c r="C2463" s="26"/>
      <c r="F2463" s="27"/>
    </row>
    <row r="2464" s="18" customFormat="1" spans="3:6">
      <c r="C2464" s="26"/>
      <c r="F2464" s="27"/>
    </row>
    <row r="2465" s="18" customFormat="1" spans="3:6">
      <c r="C2465" s="26"/>
      <c r="F2465" s="27"/>
    </row>
    <row r="2466" s="18" customFormat="1" spans="3:6">
      <c r="C2466" s="26"/>
      <c r="F2466" s="27"/>
    </row>
    <row r="2467" s="18" customFormat="1" spans="3:6">
      <c r="C2467" s="26"/>
      <c r="F2467" s="27"/>
    </row>
    <row r="2468" s="18" customFormat="1" spans="3:6">
      <c r="C2468" s="26"/>
      <c r="F2468" s="27"/>
    </row>
    <row r="2469" s="18" customFormat="1" spans="3:6">
      <c r="C2469" s="26"/>
      <c r="F2469" s="27"/>
    </row>
    <row r="2470" s="18" customFormat="1" spans="3:6">
      <c r="C2470" s="26"/>
      <c r="F2470" s="27"/>
    </row>
    <row r="2471" s="18" customFormat="1" spans="3:6">
      <c r="C2471" s="26"/>
      <c r="F2471" s="27"/>
    </row>
    <row r="2472" s="18" customFormat="1" spans="3:6">
      <c r="C2472" s="26"/>
      <c r="F2472" s="27"/>
    </row>
    <row r="2473" s="18" customFormat="1" spans="3:6">
      <c r="C2473" s="26"/>
      <c r="F2473" s="27"/>
    </row>
    <row r="2474" s="18" customFormat="1" spans="3:6">
      <c r="C2474" s="26"/>
      <c r="F2474" s="27"/>
    </row>
    <row r="2475" s="18" customFormat="1" spans="3:6">
      <c r="C2475" s="26"/>
      <c r="F2475" s="27"/>
    </row>
    <row r="2476" s="18" customFormat="1" spans="3:6">
      <c r="C2476" s="26"/>
      <c r="F2476" s="27"/>
    </row>
    <row r="2477" s="18" customFormat="1" spans="3:6">
      <c r="C2477" s="26"/>
      <c r="F2477" s="27"/>
    </row>
    <row r="2478" s="18" customFormat="1" spans="3:6">
      <c r="C2478" s="26"/>
      <c r="F2478" s="27"/>
    </row>
    <row r="2479" s="18" customFormat="1" spans="3:6">
      <c r="C2479" s="26"/>
      <c r="F2479" s="27"/>
    </row>
    <row r="2480" s="18" customFormat="1" spans="3:6">
      <c r="C2480" s="26"/>
      <c r="F2480" s="27"/>
    </row>
    <row r="2481" s="18" customFormat="1" spans="3:6">
      <c r="C2481" s="26"/>
      <c r="F2481" s="27"/>
    </row>
    <row r="2482" s="18" customFormat="1" spans="3:6">
      <c r="C2482" s="26"/>
      <c r="F2482" s="27"/>
    </row>
    <row r="2483" s="18" customFormat="1" spans="3:6">
      <c r="C2483" s="26"/>
      <c r="F2483" s="27"/>
    </row>
    <row r="2484" s="18" customFormat="1" spans="3:6">
      <c r="C2484" s="26"/>
      <c r="F2484" s="27"/>
    </row>
    <row r="2485" s="18" customFormat="1" spans="3:6">
      <c r="C2485" s="26"/>
      <c r="F2485" s="27"/>
    </row>
    <row r="2486" s="18" customFormat="1" spans="3:6">
      <c r="C2486" s="26"/>
      <c r="F2486" s="27"/>
    </row>
    <row r="2487" s="18" customFormat="1" spans="3:6">
      <c r="C2487" s="26"/>
      <c r="F2487" s="27"/>
    </row>
    <row r="2488" s="18" customFormat="1" spans="3:6">
      <c r="C2488" s="26"/>
      <c r="F2488" s="27"/>
    </row>
    <row r="2489" s="18" customFormat="1" spans="3:6">
      <c r="C2489" s="26"/>
      <c r="F2489" s="27"/>
    </row>
    <row r="2490" s="18" customFormat="1" spans="3:6">
      <c r="C2490" s="26"/>
      <c r="F2490" s="27"/>
    </row>
    <row r="2491" s="18" customFormat="1" spans="3:6">
      <c r="C2491" s="26"/>
      <c r="F2491" s="27"/>
    </row>
    <row r="2492" s="18" customFormat="1" spans="3:6">
      <c r="C2492" s="26"/>
      <c r="F2492" s="27"/>
    </row>
    <row r="2493" s="18" customFormat="1" spans="3:6">
      <c r="C2493" s="26"/>
      <c r="F2493" s="27"/>
    </row>
    <row r="2494" s="18" customFormat="1" spans="3:6">
      <c r="C2494" s="26"/>
      <c r="F2494" s="27"/>
    </row>
    <row r="2495" s="18" customFormat="1" spans="3:6">
      <c r="C2495" s="26"/>
      <c r="F2495" s="27"/>
    </row>
    <row r="2496" s="18" customFormat="1" spans="3:6">
      <c r="C2496" s="26"/>
      <c r="F2496" s="27"/>
    </row>
    <row r="2497" s="18" customFormat="1" spans="3:6">
      <c r="C2497" s="26"/>
      <c r="F2497" s="27"/>
    </row>
    <row r="2498" s="18" customFormat="1" spans="3:6">
      <c r="C2498" s="26"/>
      <c r="F2498" s="27"/>
    </row>
    <row r="2499" s="18" customFormat="1" spans="3:6">
      <c r="C2499" s="26"/>
      <c r="F2499" s="27"/>
    </row>
    <row r="2500" s="18" customFormat="1" spans="3:6">
      <c r="C2500" s="26"/>
      <c r="F2500" s="27"/>
    </row>
    <row r="2501" s="18" customFormat="1" spans="3:6">
      <c r="C2501" s="26"/>
      <c r="F2501" s="27"/>
    </row>
    <row r="2502" s="18" customFormat="1" spans="3:6">
      <c r="C2502" s="26"/>
      <c r="F2502" s="27"/>
    </row>
    <row r="2503" s="18" customFormat="1" spans="3:6">
      <c r="C2503" s="26"/>
      <c r="F2503" s="27"/>
    </row>
    <row r="2504" s="18" customFormat="1" spans="3:6">
      <c r="C2504" s="26"/>
      <c r="F2504" s="27"/>
    </row>
    <row r="2505" s="18" customFormat="1" spans="3:6">
      <c r="C2505" s="26"/>
      <c r="F2505" s="27"/>
    </row>
    <row r="2506" s="18" customFormat="1" spans="3:6">
      <c r="C2506" s="26"/>
      <c r="F2506" s="27"/>
    </row>
    <row r="2507" s="18" customFormat="1" spans="3:6">
      <c r="C2507" s="26"/>
      <c r="F2507" s="27"/>
    </row>
    <row r="2508" s="18" customFormat="1" spans="3:6">
      <c r="C2508" s="26"/>
      <c r="F2508" s="27"/>
    </row>
    <row r="2509" s="18" customFormat="1" spans="3:6">
      <c r="C2509" s="26"/>
      <c r="F2509" s="27"/>
    </row>
    <row r="2510" s="18" customFormat="1" spans="3:6">
      <c r="C2510" s="26"/>
      <c r="F2510" s="27"/>
    </row>
    <row r="2511" s="18" customFormat="1" spans="3:6">
      <c r="C2511" s="26"/>
      <c r="F2511" s="27"/>
    </row>
    <row r="2512" s="18" customFormat="1" spans="3:6">
      <c r="C2512" s="26"/>
      <c r="F2512" s="27"/>
    </row>
    <row r="2513" s="18" customFormat="1" spans="3:6">
      <c r="C2513" s="26"/>
      <c r="F2513" s="27"/>
    </row>
    <row r="2514" s="18" customFormat="1" spans="3:6">
      <c r="C2514" s="26"/>
      <c r="F2514" s="27"/>
    </row>
    <row r="2515" s="18" customFormat="1" spans="3:6">
      <c r="C2515" s="26"/>
      <c r="F2515" s="27"/>
    </row>
    <row r="2516" s="18" customFormat="1" spans="3:6">
      <c r="C2516" s="26"/>
      <c r="F2516" s="27"/>
    </row>
    <row r="2517" s="18" customFormat="1" spans="3:6">
      <c r="C2517" s="26"/>
      <c r="F2517" s="27"/>
    </row>
    <row r="2518" s="18" customFormat="1" spans="3:6">
      <c r="C2518" s="26"/>
      <c r="F2518" s="27"/>
    </row>
    <row r="2519" s="18" customFormat="1" spans="3:6">
      <c r="C2519" s="26"/>
      <c r="F2519" s="27"/>
    </row>
    <row r="2520" s="18" customFormat="1" spans="3:6">
      <c r="C2520" s="26"/>
      <c r="F2520" s="27"/>
    </row>
    <row r="2521" s="18" customFormat="1" spans="3:6">
      <c r="C2521" s="26"/>
      <c r="F2521" s="27"/>
    </row>
    <row r="2522" s="18" customFormat="1" spans="3:6">
      <c r="C2522" s="26"/>
      <c r="F2522" s="27"/>
    </row>
    <row r="2523" s="18" customFormat="1" spans="3:6">
      <c r="C2523" s="26"/>
      <c r="F2523" s="27"/>
    </row>
    <row r="2524" s="18" customFormat="1" spans="3:6">
      <c r="C2524" s="26"/>
      <c r="F2524" s="27"/>
    </row>
    <row r="2525" s="18" customFormat="1" spans="3:6">
      <c r="C2525" s="26"/>
      <c r="F2525" s="27"/>
    </row>
    <row r="2526" s="18" customFormat="1" spans="3:6">
      <c r="C2526" s="26"/>
      <c r="F2526" s="27"/>
    </row>
    <row r="2527" s="18" customFormat="1" spans="3:6">
      <c r="C2527" s="26"/>
      <c r="F2527" s="27"/>
    </row>
    <row r="2528" s="18" customFormat="1" spans="3:6">
      <c r="C2528" s="26"/>
      <c r="F2528" s="27"/>
    </row>
    <row r="2529" s="18" customFormat="1" spans="3:6">
      <c r="C2529" s="26"/>
      <c r="F2529" s="27"/>
    </row>
    <row r="2530" s="18" customFormat="1" spans="3:6">
      <c r="C2530" s="26"/>
      <c r="F2530" s="27"/>
    </row>
    <row r="2531" s="18" customFormat="1" spans="3:6">
      <c r="C2531" s="26"/>
      <c r="F2531" s="27"/>
    </row>
    <row r="2532" s="18" customFormat="1" spans="3:6">
      <c r="C2532" s="26"/>
      <c r="F2532" s="27"/>
    </row>
    <row r="2533" s="18" customFormat="1" spans="3:6">
      <c r="C2533" s="26"/>
      <c r="F2533" s="27"/>
    </row>
    <row r="2534" s="18" customFormat="1" spans="3:6">
      <c r="C2534" s="26"/>
      <c r="F2534" s="27"/>
    </row>
    <row r="2535" s="18" customFormat="1" spans="3:6">
      <c r="C2535" s="26"/>
      <c r="F2535" s="27"/>
    </row>
    <row r="2536" s="18" customFormat="1" spans="3:6">
      <c r="C2536" s="26"/>
      <c r="F2536" s="27"/>
    </row>
    <row r="2537" s="18" customFormat="1" spans="3:6">
      <c r="C2537" s="26"/>
      <c r="F2537" s="27"/>
    </row>
    <row r="2538" s="18" customFormat="1" spans="3:6">
      <c r="C2538" s="26"/>
      <c r="F2538" s="27"/>
    </row>
    <row r="2539" s="18" customFormat="1" spans="3:6">
      <c r="C2539" s="26"/>
      <c r="F2539" s="27"/>
    </row>
    <row r="2540" s="18" customFormat="1" spans="3:6">
      <c r="C2540" s="26"/>
      <c r="F2540" s="27"/>
    </row>
    <row r="2541" s="18" customFormat="1" spans="3:6">
      <c r="C2541" s="26"/>
      <c r="F2541" s="27"/>
    </row>
    <row r="2542" s="18" customFormat="1" spans="3:6">
      <c r="C2542" s="26"/>
      <c r="F2542" s="27"/>
    </row>
    <row r="2543" s="18" customFormat="1" spans="3:6">
      <c r="C2543" s="26"/>
      <c r="F2543" s="27"/>
    </row>
    <row r="2544" s="18" customFormat="1" spans="3:6">
      <c r="C2544" s="26"/>
      <c r="F2544" s="27"/>
    </row>
    <row r="2545" s="18" customFormat="1" spans="3:6">
      <c r="C2545" s="26"/>
      <c r="F2545" s="27"/>
    </row>
    <row r="2546" s="18" customFormat="1" spans="3:6">
      <c r="C2546" s="26"/>
      <c r="F2546" s="27"/>
    </row>
    <row r="2547" s="18" customFormat="1" spans="3:6">
      <c r="C2547" s="26"/>
      <c r="F2547" s="27"/>
    </row>
    <row r="2548" s="18" customFormat="1" spans="3:6">
      <c r="C2548" s="26"/>
      <c r="F2548" s="27"/>
    </row>
    <row r="2549" s="18" customFormat="1" spans="3:6">
      <c r="C2549" s="26"/>
      <c r="F2549" s="27"/>
    </row>
    <row r="2550" s="18" customFormat="1" spans="3:6">
      <c r="C2550" s="26"/>
      <c r="F2550" s="27"/>
    </row>
    <row r="2551" s="18" customFormat="1" spans="3:6">
      <c r="C2551" s="26"/>
      <c r="F2551" s="27"/>
    </row>
    <row r="2552" s="18" customFormat="1" spans="3:6">
      <c r="C2552" s="26"/>
      <c r="F2552" s="27"/>
    </row>
    <row r="2553" s="18" customFormat="1" spans="3:6">
      <c r="C2553" s="26"/>
      <c r="F2553" s="27"/>
    </row>
    <row r="2554" s="18" customFormat="1" spans="3:6">
      <c r="C2554" s="26"/>
      <c r="F2554" s="27"/>
    </row>
    <row r="2555" s="18" customFormat="1" spans="3:6">
      <c r="C2555" s="26"/>
      <c r="F2555" s="27"/>
    </row>
    <row r="2556" s="18" customFormat="1" spans="3:6">
      <c r="C2556" s="26"/>
      <c r="F2556" s="27"/>
    </row>
    <row r="2557" s="18" customFormat="1" spans="3:6">
      <c r="C2557" s="26"/>
      <c r="F2557" s="27"/>
    </row>
    <row r="2558" s="18" customFormat="1" spans="3:6">
      <c r="C2558" s="26"/>
      <c r="F2558" s="27"/>
    </row>
    <row r="2559" s="18" customFormat="1" spans="3:6">
      <c r="C2559" s="26"/>
      <c r="F2559" s="27"/>
    </row>
    <row r="2560" s="18" customFormat="1" spans="3:6">
      <c r="C2560" s="26"/>
      <c r="F2560" s="27"/>
    </row>
    <row r="2561" s="18" customFormat="1" spans="3:6">
      <c r="C2561" s="26"/>
      <c r="F2561" s="27"/>
    </row>
    <row r="2562" s="18" customFormat="1" spans="3:6">
      <c r="C2562" s="26"/>
      <c r="F2562" s="27"/>
    </row>
    <row r="2563" s="18" customFormat="1" spans="3:6">
      <c r="C2563" s="26"/>
      <c r="F2563" s="27"/>
    </row>
    <row r="2564" s="18" customFormat="1" spans="3:6">
      <c r="C2564" s="26"/>
      <c r="F2564" s="27"/>
    </row>
    <row r="2565" s="18" customFormat="1" spans="3:6">
      <c r="C2565" s="26"/>
      <c r="F2565" s="27"/>
    </row>
    <row r="2566" s="18" customFormat="1" spans="3:6">
      <c r="C2566" s="26"/>
      <c r="F2566" s="27"/>
    </row>
    <row r="2567" s="18" customFormat="1" spans="3:6">
      <c r="C2567" s="26"/>
      <c r="F2567" s="27"/>
    </row>
    <row r="2568" s="18" customFormat="1" spans="3:6">
      <c r="C2568" s="26"/>
      <c r="F2568" s="27"/>
    </row>
    <row r="2569" s="18" customFormat="1" spans="3:6">
      <c r="C2569" s="26"/>
      <c r="F2569" s="27"/>
    </row>
    <row r="2570" s="18" customFormat="1" spans="3:6">
      <c r="C2570" s="26"/>
      <c r="F2570" s="27"/>
    </row>
    <row r="2571" s="18" customFormat="1" spans="3:6">
      <c r="C2571" s="26"/>
      <c r="F2571" s="27"/>
    </row>
    <row r="2572" s="18" customFormat="1" spans="3:6">
      <c r="C2572" s="26"/>
      <c r="F2572" s="27"/>
    </row>
    <row r="2573" s="18" customFormat="1" spans="3:6">
      <c r="C2573" s="26"/>
      <c r="F2573" s="27"/>
    </row>
    <row r="2574" s="18" customFormat="1" spans="3:6">
      <c r="C2574" s="26"/>
      <c r="F2574" s="27"/>
    </row>
    <row r="2575" s="18" customFormat="1" spans="3:6">
      <c r="C2575" s="26"/>
      <c r="F2575" s="27"/>
    </row>
    <row r="2576" s="18" customFormat="1" spans="3:6">
      <c r="C2576" s="26"/>
      <c r="F2576" s="27"/>
    </row>
    <row r="2577" s="18" customFormat="1" spans="3:6">
      <c r="C2577" s="26"/>
      <c r="F2577" s="27"/>
    </row>
    <row r="2578" s="18" customFormat="1" spans="3:6">
      <c r="C2578" s="26"/>
      <c r="F2578" s="27"/>
    </row>
    <row r="2579" s="18" customFormat="1" spans="3:6">
      <c r="C2579" s="26"/>
      <c r="F2579" s="27"/>
    </row>
    <row r="2580" s="18" customFormat="1" spans="3:6">
      <c r="C2580" s="26"/>
      <c r="F2580" s="27"/>
    </row>
    <row r="2581" s="18" customFormat="1" spans="3:6">
      <c r="C2581" s="26"/>
      <c r="F2581" s="27"/>
    </row>
    <row r="2582" s="18" customFormat="1" spans="3:6">
      <c r="C2582" s="26"/>
      <c r="F2582" s="27"/>
    </row>
    <row r="2583" s="18" customFormat="1" spans="3:6">
      <c r="C2583" s="26"/>
      <c r="F2583" s="27"/>
    </row>
    <row r="2584" s="18" customFormat="1" spans="3:6">
      <c r="C2584" s="26"/>
      <c r="F2584" s="27"/>
    </row>
    <row r="2585" s="18" customFormat="1" spans="3:6">
      <c r="C2585" s="26"/>
      <c r="F2585" s="27"/>
    </row>
    <row r="2586" s="18" customFormat="1" spans="3:6">
      <c r="C2586" s="26"/>
      <c r="F2586" s="27"/>
    </row>
    <row r="2587" s="18" customFormat="1" spans="3:6">
      <c r="C2587" s="26"/>
      <c r="F2587" s="27"/>
    </row>
    <row r="2588" s="18" customFormat="1" spans="3:6">
      <c r="C2588" s="26"/>
      <c r="F2588" s="27"/>
    </row>
    <row r="2589" s="18" customFormat="1" spans="3:6">
      <c r="C2589" s="26"/>
      <c r="F2589" s="27"/>
    </row>
    <row r="2590" s="18" customFormat="1" spans="3:6">
      <c r="C2590" s="26"/>
      <c r="F2590" s="27"/>
    </row>
    <row r="2591" s="18" customFormat="1" spans="3:6">
      <c r="C2591" s="26"/>
      <c r="F2591" s="27"/>
    </row>
    <row r="2592" s="18" customFormat="1" spans="3:6">
      <c r="C2592" s="26"/>
      <c r="F2592" s="27"/>
    </row>
    <row r="2593" s="18" customFormat="1" spans="3:6">
      <c r="C2593" s="26"/>
      <c r="F2593" s="27"/>
    </row>
    <row r="2594" s="18" customFormat="1" spans="3:6">
      <c r="C2594" s="26"/>
      <c r="F2594" s="27"/>
    </row>
    <row r="2595" s="18" customFormat="1" spans="3:6">
      <c r="C2595" s="26"/>
      <c r="F2595" s="27"/>
    </row>
    <row r="2596" s="18" customFormat="1" spans="3:6">
      <c r="C2596" s="26"/>
      <c r="F2596" s="27"/>
    </row>
    <row r="2597" s="18" customFormat="1" spans="3:6">
      <c r="C2597" s="26"/>
      <c r="F2597" s="27"/>
    </row>
    <row r="2598" s="18" customFormat="1" spans="3:6">
      <c r="C2598" s="26"/>
      <c r="F2598" s="27"/>
    </row>
    <row r="2599" s="18" customFormat="1" spans="3:6">
      <c r="C2599" s="26"/>
      <c r="F2599" s="27"/>
    </row>
    <row r="2600" s="18" customFormat="1" spans="3:6">
      <c r="C2600" s="26"/>
      <c r="F2600" s="27"/>
    </row>
    <row r="2601" s="18" customFormat="1" spans="3:6">
      <c r="C2601" s="26"/>
      <c r="F2601" s="27"/>
    </row>
    <row r="2602" s="18" customFormat="1" spans="3:6">
      <c r="C2602" s="26"/>
      <c r="F2602" s="27"/>
    </row>
    <row r="2603" s="18" customFormat="1" spans="3:6">
      <c r="C2603" s="26"/>
      <c r="F2603" s="27"/>
    </row>
    <row r="2604" s="18" customFormat="1" spans="3:6">
      <c r="C2604" s="26"/>
      <c r="F2604" s="27"/>
    </row>
    <row r="2605" s="18" customFormat="1" spans="3:6">
      <c r="C2605" s="26"/>
      <c r="F2605" s="27"/>
    </row>
    <row r="2606" s="18" customFormat="1" spans="3:6">
      <c r="C2606" s="26"/>
      <c r="F2606" s="27"/>
    </row>
    <row r="2607" s="18" customFormat="1" spans="3:6">
      <c r="C2607" s="26"/>
      <c r="F2607" s="27"/>
    </row>
    <row r="2608" s="18" customFormat="1" spans="3:6">
      <c r="C2608" s="26"/>
      <c r="F2608" s="27"/>
    </row>
    <row r="2609" s="18" customFormat="1" spans="3:6">
      <c r="C2609" s="26"/>
      <c r="F2609" s="27"/>
    </row>
    <row r="2610" s="18" customFormat="1" spans="3:6">
      <c r="C2610" s="26"/>
      <c r="F2610" s="27"/>
    </row>
    <row r="2611" s="18" customFormat="1" spans="3:6">
      <c r="C2611" s="26"/>
      <c r="F2611" s="27"/>
    </row>
    <row r="2612" s="18" customFormat="1" spans="3:6">
      <c r="C2612" s="26"/>
      <c r="F2612" s="27"/>
    </row>
    <row r="2613" s="18" customFormat="1" spans="3:6">
      <c r="C2613" s="26"/>
      <c r="F2613" s="27"/>
    </row>
    <row r="2614" s="18" customFormat="1" spans="3:6">
      <c r="C2614" s="26"/>
      <c r="F2614" s="27"/>
    </row>
    <row r="2615" s="18" customFormat="1" spans="3:6">
      <c r="C2615" s="26"/>
      <c r="F2615" s="27"/>
    </row>
    <row r="2616" s="18" customFormat="1" spans="3:6">
      <c r="C2616" s="26"/>
      <c r="F2616" s="27"/>
    </row>
    <row r="2617" s="18" customFormat="1" spans="3:6">
      <c r="C2617" s="26"/>
      <c r="F2617" s="27"/>
    </row>
    <row r="2618" s="18" customFormat="1" spans="3:6">
      <c r="C2618" s="26"/>
      <c r="F2618" s="27"/>
    </row>
    <row r="2619" s="18" customFormat="1" spans="3:6">
      <c r="C2619" s="26"/>
      <c r="F2619" s="27"/>
    </row>
    <row r="2620" s="18" customFormat="1" spans="3:6">
      <c r="C2620" s="26"/>
      <c r="F2620" s="27"/>
    </row>
    <row r="2621" s="18" customFormat="1" spans="3:6">
      <c r="C2621" s="26"/>
      <c r="F2621" s="27"/>
    </row>
    <row r="2622" s="18" customFormat="1" spans="3:6">
      <c r="C2622" s="26"/>
      <c r="F2622" s="27"/>
    </row>
    <row r="2623" s="18" customFormat="1" spans="3:6">
      <c r="C2623" s="26"/>
      <c r="F2623" s="27"/>
    </row>
    <row r="2624" s="18" customFormat="1" spans="3:6">
      <c r="C2624" s="26"/>
      <c r="F2624" s="27"/>
    </row>
    <row r="2625" s="18" customFormat="1" spans="3:6">
      <c r="C2625" s="26"/>
      <c r="F2625" s="27"/>
    </row>
    <row r="2626" s="18" customFormat="1" spans="3:6">
      <c r="C2626" s="26"/>
      <c r="F2626" s="27"/>
    </row>
    <row r="2627" s="18" customFormat="1" spans="3:6">
      <c r="C2627" s="26"/>
      <c r="F2627" s="27"/>
    </row>
    <row r="2628" s="18" customFormat="1" spans="3:6">
      <c r="C2628" s="26"/>
      <c r="F2628" s="27"/>
    </row>
    <row r="2629" s="18" customFormat="1" spans="3:6">
      <c r="C2629" s="26"/>
      <c r="F2629" s="27"/>
    </row>
    <row r="2630" s="18" customFormat="1" spans="3:6">
      <c r="C2630" s="26"/>
      <c r="F2630" s="27"/>
    </row>
    <row r="2631" s="18" customFormat="1" spans="3:6">
      <c r="C2631" s="26"/>
      <c r="F2631" s="27"/>
    </row>
    <row r="2632" s="18" customFormat="1" spans="3:6">
      <c r="C2632" s="26"/>
      <c r="F2632" s="27"/>
    </row>
    <row r="2633" s="18" customFormat="1" spans="3:6">
      <c r="C2633" s="26"/>
      <c r="F2633" s="27"/>
    </row>
    <row r="2634" s="18" customFormat="1" spans="3:6">
      <c r="C2634" s="26"/>
      <c r="F2634" s="27"/>
    </row>
    <row r="2635" s="18" customFormat="1" spans="3:6">
      <c r="C2635" s="26"/>
      <c r="F2635" s="27"/>
    </row>
    <row r="2636" s="18" customFormat="1" spans="3:6">
      <c r="C2636" s="26"/>
      <c r="F2636" s="27"/>
    </row>
    <row r="2637" s="18" customFormat="1" spans="3:6">
      <c r="C2637" s="26"/>
      <c r="F2637" s="27"/>
    </row>
    <row r="2638" s="18" customFormat="1" spans="3:6">
      <c r="C2638" s="26"/>
      <c r="F2638" s="27"/>
    </row>
    <row r="2639" s="18" customFormat="1" spans="3:6">
      <c r="C2639" s="26"/>
      <c r="F2639" s="27"/>
    </row>
    <row r="2640" s="18" customFormat="1" spans="3:6">
      <c r="C2640" s="26"/>
      <c r="F2640" s="27"/>
    </row>
    <row r="2641" s="18" customFormat="1" spans="3:6">
      <c r="C2641" s="26"/>
      <c r="F2641" s="27"/>
    </row>
    <row r="2642" s="18" customFormat="1" spans="3:6">
      <c r="C2642" s="26"/>
      <c r="F2642" s="27"/>
    </row>
    <row r="2643" s="18" customFormat="1" spans="3:6">
      <c r="C2643" s="26"/>
      <c r="F2643" s="27"/>
    </row>
    <row r="2644" s="18" customFormat="1" spans="3:6">
      <c r="C2644" s="26"/>
      <c r="F2644" s="27"/>
    </row>
    <row r="2645" s="18" customFormat="1" spans="3:6">
      <c r="C2645" s="26"/>
      <c r="F2645" s="27"/>
    </row>
    <row r="2646" s="18" customFormat="1" spans="3:6">
      <c r="C2646" s="26"/>
      <c r="F2646" s="27"/>
    </row>
    <row r="2647" s="18" customFormat="1" spans="3:6">
      <c r="C2647" s="26"/>
      <c r="F2647" s="27"/>
    </row>
    <row r="2648" s="18" customFormat="1" spans="3:6">
      <c r="C2648" s="26"/>
      <c r="F2648" s="27"/>
    </row>
    <row r="2649" s="18" customFormat="1" spans="3:6">
      <c r="C2649" s="26"/>
      <c r="F2649" s="27"/>
    </row>
    <row r="2650" s="18" customFormat="1" spans="3:6">
      <c r="C2650" s="26"/>
      <c r="F2650" s="27"/>
    </row>
    <row r="2651" s="18" customFormat="1" spans="3:6">
      <c r="C2651" s="26"/>
      <c r="F2651" s="27"/>
    </row>
    <row r="2652" s="18" customFormat="1" spans="3:6">
      <c r="C2652" s="26"/>
      <c r="F2652" s="27"/>
    </row>
    <row r="2653" s="18" customFormat="1" spans="3:6">
      <c r="C2653" s="26"/>
      <c r="F2653" s="27"/>
    </row>
    <row r="2654" s="18" customFormat="1" spans="3:6">
      <c r="C2654" s="26"/>
      <c r="F2654" s="27"/>
    </row>
    <row r="2655" s="18" customFormat="1" spans="3:6">
      <c r="C2655" s="26"/>
      <c r="F2655" s="27"/>
    </row>
    <row r="2656" s="18" customFormat="1" spans="3:6">
      <c r="C2656" s="26"/>
      <c r="F2656" s="27"/>
    </row>
    <row r="2657" s="18" customFormat="1" spans="3:6">
      <c r="C2657" s="26"/>
      <c r="F2657" s="27"/>
    </row>
    <row r="2658" s="18" customFormat="1" spans="3:6">
      <c r="C2658" s="26"/>
      <c r="F2658" s="27"/>
    </row>
    <row r="2659" s="18" customFormat="1" spans="3:6">
      <c r="C2659" s="26"/>
      <c r="F2659" s="27"/>
    </row>
    <row r="2660" s="18" customFormat="1" spans="3:6">
      <c r="C2660" s="26"/>
      <c r="F2660" s="27"/>
    </row>
    <row r="2661" s="18" customFormat="1" spans="3:6">
      <c r="C2661" s="26"/>
      <c r="F2661" s="27"/>
    </row>
    <row r="2662" s="18" customFormat="1" spans="3:6">
      <c r="C2662" s="26"/>
      <c r="F2662" s="27"/>
    </row>
    <row r="2663" s="18" customFormat="1" spans="3:6">
      <c r="C2663" s="26"/>
      <c r="F2663" s="27"/>
    </row>
    <row r="2664" s="18" customFormat="1" spans="3:6">
      <c r="C2664" s="26"/>
      <c r="F2664" s="27"/>
    </row>
    <row r="2665" s="18" customFormat="1" spans="3:6">
      <c r="C2665" s="26"/>
      <c r="F2665" s="27"/>
    </row>
    <row r="2666" s="18" customFormat="1" spans="3:6">
      <c r="C2666" s="26"/>
      <c r="F2666" s="27"/>
    </row>
    <row r="2667" s="18" customFormat="1" spans="3:6">
      <c r="C2667" s="26"/>
      <c r="F2667" s="27"/>
    </row>
    <row r="2668" s="18" customFormat="1" spans="3:6">
      <c r="C2668" s="26"/>
      <c r="F2668" s="27"/>
    </row>
    <row r="2669" s="18" customFormat="1" spans="3:6">
      <c r="C2669" s="26"/>
      <c r="F2669" s="27"/>
    </row>
    <row r="2670" s="18" customFormat="1" spans="3:6">
      <c r="C2670" s="26"/>
      <c r="F2670" s="27"/>
    </row>
    <row r="2671" s="18" customFormat="1" spans="3:6">
      <c r="C2671" s="26"/>
      <c r="F2671" s="27"/>
    </row>
    <row r="2672" s="18" customFormat="1" spans="3:6">
      <c r="C2672" s="26"/>
      <c r="F2672" s="27"/>
    </row>
    <row r="2673" s="18" customFormat="1" spans="3:6">
      <c r="C2673" s="26"/>
      <c r="F2673" s="27"/>
    </row>
    <row r="2674" s="18" customFormat="1" spans="3:6">
      <c r="C2674" s="26"/>
      <c r="F2674" s="27"/>
    </row>
    <row r="2675" s="18" customFormat="1" spans="3:6">
      <c r="C2675" s="26"/>
      <c r="F2675" s="27"/>
    </row>
    <row r="2676" s="18" customFormat="1" spans="3:6">
      <c r="C2676" s="26"/>
      <c r="F2676" s="27"/>
    </row>
    <row r="2677" s="18" customFormat="1" spans="3:6">
      <c r="C2677" s="26"/>
      <c r="F2677" s="27"/>
    </row>
    <row r="2678" s="18" customFormat="1" spans="3:6">
      <c r="C2678" s="26"/>
      <c r="F2678" s="27"/>
    </row>
    <row r="2679" s="18" customFormat="1" spans="3:6">
      <c r="C2679" s="26"/>
      <c r="F2679" s="27"/>
    </row>
    <row r="2680" s="18" customFormat="1" spans="3:6">
      <c r="C2680" s="26"/>
      <c r="F2680" s="27"/>
    </row>
    <row r="2681" s="18" customFormat="1" spans="3:6">
      <c r="C2681" s="26"/>
      <c r="F2681" s="27"/>
    </row>
    <row r="2682" s="18" customFormat="1" spans="3:6">
      <c r="C2682" s="26"/>
      <c r="F2682" s="27"/>
    </row>
    <row r="2683" s="18" customFormat="1" spans="3:6">
      <c r="C2683" s="26"/>
      <c r="F2683" s="27"/>
    </row>
    <row r="2684" s="18" customFormat="1" spans="3:6">
      <c r="C2684" s="26"/>
      <c r="F2684" s="27"/>
    </row>
    <row r="2685" s="18" customFormat="1" spans="3:6">
      <c r="C2685" s="26"/>
      <c r="F2685" s="27"/>
    </row>
    <row r="2686" s="18" customFormat="1" spans="3:6">
      <c r="C2686" s="26"/>
      <c r="F2686" s="27"/>
    </row>
    <row r="2687" s="18" customFormat="1" spans="3:6">
      <c r="C2687" s="26"/>
      <c r="F2687" s="27"/>
    </row>
    <row r="2688" s="18" customFormat="1" spans="3:6">
      <c r="C2688" s="26"/>
      <c r="F2688" s="27"/>
    </row>
    <row r="2689" s="18" customFormat="1" spans="3:6">
      <c r="C2689" s="26"/>
      <c r="F2689" s="27"/>
    </row>
    <row r="2690" s="18" customFormat="1" spans="3:6">
      <c r="C2690" s="26"/>
      <c r="F2690" s="27"/>
    </row>
    <row r="2691" s="18" customFormat="1" spans="3:6">
      <c r="C2691" s="26"/>
      <c r="F2691" s="27"/>
    </row>
    <row r="2692" s="18" customFormat="1" spans="3:6">
      <c r="C2692" s="26"/>
      <c r="F2692" s="27"/>
    </row>
    <row r="2693" s="18" customFormat="1" spans="3:6">
      <c r="C2693" s="26"/>
      <c r="F2693" s="27"/>
    </row>
    <row r="2694" s="18" customFormat="1" spans="3:6">
      <c r="C2694" s="26"/>
      <c r="F2694" s="27"/>
    </row>
    <row r="2695" s="18" customFormat="1" spans="3:6">
      <c r="C2695" s="26"/>
      <c r="F2695" s="27"/>
    </row>
    <row r="2696" s="18" customFormat="1" spans="3:6">
      <c r="C2696" s="26"/>
      <c r="F2696" s="27"/>
    </row>
    <row r="2697" s="18" customFormat="1" spans="3:6">
      <c r="C2697" s="26"/>
      <c r="F2697" s="27"/>
    </row>
    <row r="2698" s="18" customFormat="1" spans="3:6">
      <c r="C2698" s="26"/>
      <c r="F2698" s="27"/>
    </row>
    <row r="2699" s="18" customFormat="1" spans="3:6">
      <c r="C2699" s="26"/>
      <c r="F2699" s="27"/>
    </row>
    <row r="2700" s="18" customFormat="1" spans="3:6">
      <c r="C2700" s="26"/>
      <c r="F2700" s="27"/>
    </row>
    <row r="2701" s="18" customFormat="1" spans="3:6">
      <c r="C2701" s="26"/>
      <c r="F2701" s="27"/>
    </row>
    <row r="2702" s="18" customFormat="1" spans="3:6">
      <c r="C2702" s="26"/>
      <c r="F2702" s="27"/>
    </row>
    <row r="2703" s="18" customFormat="1" spans="3:6">
      <c r="C2703" s="26"/>
      <c r="F2703" s="27"/>
    </row>
    <row r="2704" s="18" customFormat="1" spans="3:6">
      <c r="C2704" s="26"/>
      <c r="F2704" s="27"/>
    </row>
    <row r="2705" s="18" customFormat="1" spans="3:6">
      <c r="C2705" s="26"/>
      <c r="F2705" s="27"/>
    </row>
    <row r="2706" s="18" customFormat="1" spans="3:6">
      <c r="C2706" s="26"/>
      <c r="F2706" s="27"/>
    </row>
    <row r="2707" s="18" customFormat="1" spans="3:6">
      <c r="C2707" s="26"/>
      <c r="F2707" s="27"/>
    </row>
    <row r="2708" s="18" customFormat="1" spans="3:6">
      <c r="C2708" s="26"/>
      <c r="F2708" s="27"/>
    </row>
    <row r="2709" s="18" customFormat="1" spans="3:6">
      <c r="C2709" s="26"/>
      <c r="F2709" s="27"/>
    </row>
    <row r="2710" s="18" customFormat="1" spans="3:6">
      <c r="C2710" s="26"/>
      <c r="F2710" s="27"/>
    </row>
    <row r="2711" s="18" customFormat="1" spans="3:6">
      <c r="C2711" s="26"/>
      <c r="F2711" s="27"/>
    </row>
    <row r="2712" s="18" customFormat="1" spans="3:6">
      <c r="C2712" s="26"/>
      <c r="F2712" s="27"/>
    </row>
    <row r="2713" s="18" customFormat="1" spans="3:6">
      <c r="C2713" s="26"/>
      <c r="F2713" s="27"/>
    </row>
    <row r="2714" s="18" customFormat="1" spans="3:6">
      <c r="C2714" s="26"/>
      <c r="F2714" s="27"/>
    </row>
    <row r="2715" s="18" customFormat="1" spans="3:6">
      <c r="C2715" s="26"/>
      <c r="F2715" s="27"/>
    </row>
    <row r="2716" s="18" customFormat="1" spans="3:6">
      <c r="C2716" s="26"/>
      <c r="F2716" s="27"/>
    </row>
    <row r="2717" s="18" customFormat="1" spans="3:6">
      <c r="C2717" s="26"/>
      <c r="F2717" s="27"/>
    </row>
    <row r="2718" s="18" customFormat="1" spans="3:6">
      <c r="C2718" s="26"/>
      <c r="F2718" s="27"/>
    </row>
    <row r="2719" s="18" customFormat="1" spans="3:6">
      <c r="C2719" s="26"/>
      <c r="F2719" s="27"/>
    </row>
    <row r="2720" s="18" customFormat="1" spans="3:6">
      <c r="C2720" s="26"/>
      <c r="F2720" s="27"/>
    </row>
    <row r="2721" s="18" customFormat="1" spans="3:6">
      <c r="C2721" s="26"/>
      <c r="F2721" s="27"/>
    </row>
    <row r="2722" s="18" customFormat="1" spans="3:6">
      <c r="C2722" s="26"/>
      <c r="F2722" s="27"/>
    </row>
    <row r="2723" s="18" customFormat="1" spans="3:6">
      <c r="C2723" s="26"/>
      <c r="F2723" s="27"/>
    </row>
    <row r="2724" s="18" customFormat="1" spans="3:6">
      <c r="C2724" s="26"/>
      <c r="F2724" s="27"/>
    </row>
    <row r="2725" s="18" customFormat="1" spans="3:6">
      <c r="C2725" s="26"/>
      <c r="F2725" s="27"/>
    </row>
    <row r="2726" s="18" customFormat="1" spans="3:6">
      <c r="C2726" s="26"/>
      <c r="F2726" s="27"/>
    </row>
    <row r="2727" s="18" customFormat="1" spans="3:6">
      <c r="C2727" s="26"/>
      <c r="F2727" s="27"/>
    </row>
    <row r="2728" s="18" customFormat="1" spans="3:6">
      <c r="C2728" s="26"/>
      <c r="F2728" s="27"/>
    </row>
    <row r="2729" s="18" customFormat="1" spans="3:6">
      <c r="C2729" s="26"/>
      <c r="F2729" s="27"/>
    </row>
    <row r="2730" s="18" customFormat="1" spans="3:6">
      <c r="C2730" s="26"/>
      <c r="F2730" s="27"/>
    </row>
    <row r="2731" s="18" customFormat="1" spans="3:6">
      <c r="C2731" s="26"/>
      <c r="F2731" s="27"/>
    </row>
    <row r="2732" s="18" customFormat="1" spans="3:6">
      <c r="C2732" s="26"/>
      <c r="F2732" s="27"/>
    </row>
    <row r="2733" s="18" customFormat="1" spans="3:6">
      <c r="C2733" s="26"/>
      <c r="F2733" s="27"/>
    </row>
    <row r="2734" s="18" customFormat="1" spans="3:6">
      <c r="C2734" s="26"/>
      <c r="F2734" s="27"/>
    </row>
    <row r="2735" s="18" customFormat="1" spans="3:6">
      <c r="C2735" s="26"/>
      <c r="F2735" s="27"/>
    </row>
    <row r="2736" s="18" customFormat="1" spans="3:6">
      <c r="C2736" s="26"/>
      <c r="F2736" s="27"/>
    </row>
    <row r="2737" s="18" customFormat="1" spans="3:6">
      <c r="C2737" s="26"/>
      <c r="F2737" s="27"/>
    </row>
    <row r="2738" s="18" customFormat="1" spans="3:6">
      <c r="C2738" s="26"/>
      <c r="F2738" s="27"/>
    </row>
    <row r="2739" s="18" customFormat="1" spans="3:6">
      <c r="C2739" s="26"/>
      <c r="F2739" s="27"/>
    </row>
    <row r="2740" s="18" customFormat="1" spans="3:6">
      <c r="C2740" s="26"/>
      <c r="F2740" s="27"/>
    </row>
    <row r="2741" s="18" customFormat="1" spans="3:6">
      <c r="C2741" s="26"/>
      <c r="F2741" s="27"/>
    </row>
    <row r="2742" s="18" customFormat="1" spans="3:6">
      <c r="C2742" s="26"/>
      <c r="F2742" s="27"/>
    </row>
    <row r="2743" s="18" customFormat="1" spans="3:6">
      <c r="C2743" s="26"/>
      <c r="F2743" s="27"/>
    </row>
    <row r="2744" s="18" customFormat="1" spans="3:6">
      <c r="C2744" s="26"/>
      <c r="F2744" s="27"/>
    </row>
    <row r="2745" s="18" customFormat="1" spans="3:6">
      <c r="C2745" s="26"/>
      <c r="F2745" s="27"/>
    </row>
    <row r="2746" s="18" customFormat="1" spans="3:6">
      <c r="C2746" s="26"/>
      <c r="F2746" s="27"/>
    </row>
    <row r="2747" s="18" customFormat="1" spans="3:6">
      <c r="C2747" s="26"/>
      <c r="F2747" s="27"/>
    </row>
    <row r="2748" s="18" customFormat="1" spans="3:6">
      <c r="C2748" s="26"/>
      <c r="F2748" s="27"/>
    </row>
    <row r="2749" s="18" customFormat="1" spans="3:6">
      <c r="C2749" s="26"/>
      <c r="F2749" s="27"/>
    </row>
    <row r="2750" s="18" customFormat="1" spans="3:6">
      <c r="C2750" s="26"/>
      <c r="F2750" s="27"/>
    </row>
    <row r="2751" s="18" customFormat="1" spans="3:6">
      <c r="C2751" s="26"/>
      <c r="F2751" s="27"/>
    </row>
    <row r="2752" s="18" customFormat="1" spans="3:6">
      <c r="C2752" s="26"/>
      <c r="F2752" s="27"/>
    </row>
    <row r="2753" s="18" customFormat="1" spans="3:6">
      <c r="C2753" s="26"/>
      <c r="F2753" s="27"/>
    </row>
    <row r="2754" s="18" customFormat="1" spans="3:6">
      <c r="C2754" s="26"/>
      <c r="F2754" s="27"/>
    </row>
    <row r="2755" s="18" customFormat="1" spans="3:6">
      <c r="C2755" s="26"/>
      <c r="F2755" s="27"/>
    </row>
    <row r="2756" s="18" customFormat="1" spans="3:6">
      <c r="C2756" s="26"/>
      <c r="F2756" s="27"/>
    </row>
    <row r="2757" s="18" customFormat="1" spans="3:6">
      <c r="C2757" s="26"/>
      <c r="F2757" s="27"/>
    </row>
    <row r="2758" s="18" customFormat="1" spans="3:6">
      <c r="C2758" s="26"/>
      <c r="F2758" s="27"/>
    </row>
    <row r="2759" s="18" customFormat="1" spans="3:6">
      <c r="C2759" s="26"/>
      <c r="F2759" s="27"/>
    </row>
    <row r="2760" s="18" customFormat="1" spans="3:6">
      <c r="C2760" s="26"/>
      <c r="F2760" s="27"/>
    </row>
    <row r="2761" s="18" customFormat="1" spans="3:6">
      <c r="C2761" s="26"/>
      <c r="F2761" s="27"/>
    </row>
    <row r="2762" s="18" customFormat="1" spans="3:6">
      <c r="C2762" s="26"/>
      <c r="F2762" s="27"/>
    </row>
    <row r="2763" s="18" customFormat="1" spans="3:6">
      <c r="C2763" s="26"/>
      <c r="F2763" s="27"/>
    </row>
    <row r="2764" s="18" customFormat="1" spans="3:6">
      <c r="C2764" s="26"/>
      <c r="F2764" s="27"/>
    </row>
    <row r="2765" s="18" customFormat="1" spans="3:6">
      <c r="C2765" s="26"/>
      <c r="F2765" s="27"/>
    </row>
    <row r="2766" s="18" customFormat="1" spans="3:6">
      <c r="C2766" s="26"/>
      <c r="F2766" s="27"/>
    </row>
    <row r="2767" s="18" customFormat="1" spans="3:6">
      <c r="C2767" s="26"/>
      <c r="F2767" s="27"/>
    </row>
    <row r="2768" s="18" customFormat="1" spans="3:6">
      <c r="C2768" s="26"/>
      <c r="F2768" s="27"/>
    </row>
    <row r="2769" s="18" customFormat="1" spans="3:6">
      <c r="C2769" s="26"/>
      <c r="F2769" s="27"/>
    </row>
    <row r="2770" s="18" customFormat="1" spans="3:6">
      <c r="C2770" s="26"/>
      <c r="F2770" s="27"/>
    </row>
    <row r="2771" s="18" customFormat="1" spans="3:6">
      <c r="C2771" s="26"/>
      <c r="F2771" s="27"/>
    </row>
    <row r="2772" s="18" customFormat="1" spans="3:6">
      <c r="C2772" s="26"/>
      <c r="F2772" s="27"/>
    </row>
    <row r="2773" s="18" customFormat="1" spans="3:6">
      <c r="C2773" s="26"/>
      <c r="F2773" s="27"/>
    </row>
    <row r="2774" s="18" customFormat="1" spans="3:6">
      <c r="C2774" s="26"/>
      <c r="F2774" s="27"/>
    </row>
    <row r="2775" s="18" customFormat="1" spans="3:6">
      <c r="C2775" s="26"/>
      <c r="F2775" s="27"/>
    </row>
    <row r="2776" s="18" customFormat="1" spans="3:6">
      <c r="C2776" s="26"/>
      <c r="F2776" s="27"/>
    </row>
    <row r="2777" s="18" customFormat="1" spans="3:6">
      <c r="C2777" s="26"/>
      <c r="F2777" s="27"/>
    </row>
    <row r="2778" s="18" customFormat="1" spans="3:6">
      <c r="C2778" s="26"/>
      <c r="F2778" s="27"/>
    </row>
    <row r="2779" s="18" customFormat="1" spans="3:6">
      <c r="C2779" s="26"/>
      <c r="F2779" s="27"/>
    </row>
    <row r="2780" s="18" customFormat="1" spans="3:6">
      <c r="C2780" s="26"/>
      <c r="F2780" s="27"/>
    </row>
    <row r="2781" s="18" customFormat="1" spans="3:6">
      <c r="C2781" s="26"/>
      <c r="F2781" s="27"/>
    </row>
    <row r="2782" s="18" customFormat="1" spans="3:6">
      <c r="C2782" s="26"/>
      <c r="F2782" s="27"/>
    </row>
    <row r="2783" s="18" customFormat="1" spans="3:6">
      <c r="C2783" s="26"/>
      <c r="F2783" s="27"/>
    </row>
    <row r="2784" s="18" customFormat="1" spans="3:6">
      <c r="C2784" s="26"/>
      <c r="F2784" s="27"/>
    </row>
    <row r="2785" s="18" customFormat="1" spans="3:6">
      <c r="C2785" s="26"/>
      <c r="F2785" s="27"/>
    </row>
    <row r="2786" s="18" customFormat="1" spans="3:6">
      <c r="C2786" s="26"/>
      <c r="F2786" s="27"/>
    </row>
    <row r="2787" s="18" customFormat="1" spans="3:6">
      <c r="C2787" s="26"/>
      <c r="F2787" s="27"/>
    </row>
    <row r="2788" s="18" customFormat="1" spans="3:6">
      <c r="C2788" s="26"/>
      <c r="F2788" s="27"/>
    </row>
    <row r="2789" s="18" customFormat="1" spans="3:6">
      <c r="C2789" s="26"/>
      <c r="F2789" s="27"/>
    </row>
    <row r="2790" s="18" customFormat="1" spans="3:6">
      <c r="C2790" s="26"/>
      <c r="F2790" s="27"/>
    </row>
    <row r="2791" s="18" customFormat="1" spans="3:6">
      <c r="C2791" s="26"/>
      <c r="F2791" s="27"/>
    </row>
    <row r="2792" s="18" customFormat="1" spans="3:6">
      <c r="C2792" s="26"/>
      <c r="F2792" s="27"/>
    </row>
    <row r="2793" s="18" customFormat="1" spans="3:6">
      <c r="C2793" s="26"/>
      <c r="F2793" s="27"/>
    </row>
    <row r="2794" s="18" customFormat="1" spans="3:6">
      <c r="C2794" s="26"/>
      <c r="F2794" s="27"/>
    </row>
    <row r="2795" s="18" customFormat="1" spans="3:6">
      <c r="C2795" s="26"/>
      <c r="F2795" s="27"/>
    </row>
    <row r="2796" s="18" customFormat="1" spans="3:6">
      <c r="C2796" s="26"/>
      <c r="F2796" s="27"/>
    </row>
    <row r="2797" s="18" customFormat="1" spans="3:6">
      <c r="C2797" s="26"/>
      <c r="F2797" s="27"/>
    </row>
    <row r="2798" s="18" customFormat="1" spans="3:6">
      <c r="C2798" s="26"/>
      <c r="F2798" s="27"/>
    </row>
    <row r="2799" s="18" customFormat="1" spans="3:6">
      <c r="C2799" s="26"/>
      <c r="F2799" s="27"/>
    </row>
    <row r="2800" s="18" customFormat="1" spans="3:6">
      <c r="C2800" s="26"/>
      <c r="F2800" s="27"/>
    </row>
    <row r="2801" s="18" customFormat="1" spans="3:6">
      <c r="C2801" s="26"/>
      <c r="F2801" s="27"/>
    </row>
    <row r="2802" s="18" customFormat="1" spans="3:6">
      <c r="C2802" s="26"/>
      <c r="F2802" s="27"/>
    </row>
    <row r="2803" s="18" customFormat="1" spans="3:6">
      <c r="C2803" s="26"/>
      <c r="F2803" s="27"/>
    </row>
    <row r="2804" s="18" customFormat="1" spans="3:6">
      <c r="C2804" s="26"/>
      <c r="F2804" s="27"/>
    </row>
    <row r="2805" s="18" customFormat="1" spans="3:6">
      <c r="C2805" s="26"/>
      <c r="F2805" s="27"/>
    </row>
    <row r="2806" s="18" customFormat="1" spans="3:6">
      <c r="C2806" s="26"/>
      <c r="F2806" s="27"/>
    </row>
    <row r="2807" s="18" customFormat="1" spans="3:6">
      <c r="C2807" s="26"/>
      <c r="F2807" s="27"/>
    </row>
    <row r="2808" s="18" customFormat="1" spans="3:6">
      <c r="C2808" s="26"/>
      <c r="F2808" s="27"/>
    </row>
    <row r="2809" s="18" customFormat="1" spans="3:6">
      <c r="C2809" s="26"/>
      <c r="F2809" s="27"/>
    </row>
    <row r="2810" s="18" customFormat="1" spans="3:6">
      <c r="C2810" s="26"/>
      <c r="F2810" s="27"/>
    </row>
    <row r="2811" s="18" customFormat="1" spans="3:6">
      <c r="C2811" s="26"/>
      <c r="F2811" s="27"/>
    </row>
    <row r="2812" s="18" customFormat="1" spans="3:6">
      <c r="C2812" s="26"/>
      <c r="F2812" s="27"/>
    </row>
    <row r="2813" s="18" customFormat="1" spans="3:6">
      <c r="C2813" s="26"/>
      <c r="F2813" s="27"/>
    </row>
    <row r="2814" s="18" customFormat="1" spans="3:6">
      <c r="C2814" s="26"/>
      <c r="F2814" s="27"/>
    </row>
    <row r="2815" s="18" customFormat="1" spans="3:6">
      <c r="C2815" s="26"/>
      <c r="F2815" s="27"/>
    </row>
    <row r="2816" s="18" customFormat="1" spans="3:6">
      <c r="C2816" s="26"/>
      <c r="F2816" s="27"/>
    </row>
    <row r="2817" s="18" customFormat="1" spans="3:6">
      <c r="C2817" s="26"/>
      <c r="F2817" s="27"/>
    </row>
    <row r="2818" s="18" customFormat="1" spans="3:6">
      <c r="C2818" s="26"/>
      <c r="F2818" s="27"/>
    </row>
    <row r="2819" s="18" customFormat="1" spans="3:6">
      <c r="C2819" s="26"/>
      <c r="F2819" s="27"/>
    </row>
    <row r="2820" s="18" customFormat="1" spans="3:6">
      <c r="C2820" s="26"/>
      <c r="F2820" s="27"/>
    </row>
    <row r="2821" s="18" customFormat="1" spans="3:6">
      <c r="C2821" s="26"/>
      <c r="F2821" s="27"/>
    </row>
    <row r="2822" s="18" customFormat="1" spans="3:6">
      <c r="C2822" s="26"/>
      <c r="F2822" s="27"/>
    </row>
    <row r="2823" s="18" customFormat="1" spans="3:6">
      <c r="C2823" s="26"/>
      <c r="F2823" s="27"/>
    </row>
    <row r="2824" s="18" customFormat="1" spans="3:6">
      <c r="C2824" s="26"/>
      <c r="F2824" s="27"/>
    </row>
    <row r="2825" s="18" customFormat="1" spans="3:6">
      <c r="C2825" s="26"/>
      <c r="F2825" s="27"/>
    </row>
    <row r="2826" s="18" customFormat="1" spans="3:6">
      <c r="C2826" s="26"/>
      <c r="F2826" s="27"/>
    </row>
    <row r="2827" s="18" customFormat="1" spans="3:6">
      <c r="C2827" s="26"/>
      <c r="F2827" s="27"/>
    </row>
    <row r="2828" s="18" customFormat="1" spans="3:6">
      <c r="C2828" s="26"/>
      <c r="F2828" s="27"/>
    </row>
    <row r="2829" s="18" customFormat="1" spans="3:6">
      <c r="C2829" s="26"/>
      <c r="F2829" s="27"/>
    </row>
    <row r="2830" s="18" customFormat="1" spans="3:6">
      <c r="C2830" s="26"/>
      <c r="F2830" s="27"/>
    </row>
    <row r="2831" s="18" customFormat="1" spans="3:6">
      <c r="C2831" s="26"/>
      <c r="F2831" s="27"/>
    </row>
    <row r="2832" s="18" customFormat="1" spans="3:6">
      <c r="C2832" s="26"/>
      <c r="F2832" s="27"/>
    </row>
    <row r="2833" s="18" customFormat="1" spans="3:6">
      <c r="C2833" s="26"/>
      <c r="F2833" s="27"/>
    </row>
    <row r="2834" s="18" customFormat="1" spans="3:6">
      <c r="C2834" s="26"/>
      <c r="F2834" s="27"/>
    </row>
    <row r="2835" s="18" customFormat="1" spans="3:6">
      <c r="C2835" s="26"/>
      <c r="F2835" s="27"/>
    </row>
    <row r="2836" s="18" customFormat="1" spans="3:6">
      <c r="C2836" s="26"/>
      <c r="F2836" s="27"/>
    </row>
    <row r="2837" s="18" customFormat="1" spans="3:6">
      <c r="C2837" s="26"/>
      <c r="F2837" s="27"/>
    </row>
    <row r="2838" s="18" customFormat="1" spans="3:6">
      <c r="C2838" s="26"/>
      <c r="F2838" s="27"/>
    </row>
    <row r="2839" s="18" customFormat="1" spans="3:6">
      <c r="C2839" s="26"/>
      <c r="F2839" s="27"/>
    </row>
    <row r="2840" s="18" customFormat="1" spans="3:6">
      <c r="C2840" s="26"/>
      <c r="F2840" s="27"/>
    </row>
    <row r="2841" s="18" customFormat="1" spans="3:6">
      <c r="C2841" s="26"/>
      <c r="F2841" s="27"/>
    </row>
    <row r="2842" s="18" customFormat="1" spans="3:6">
      <c r="C2842" s="26"/>
      <c r="F2842" s="27"/>
    </row>
    <row r="2843" s="18" customFormat="1" spans="3:6">
      <c r="C2843" s="26"/>
      <c r="F2843" s="27"/>
    </row>
    <row r="2844" s="18" customFormat="1" spans="3:6">
      <c r="C2844" s="26"/>
      <c r="F2844" s="27"/>
    </row>
    <row r="2845" s="18" customFormat="1" spans="3:6">
      <c r="C2845" s="26"/>
      <c r="F2845" s="27"/>
    </row>
    <row r="2846" s="18" customFormat="1" spans="3:6">
      <c r="C2846" s="26"/>
      <c r="F2846" s="27"/>
    </row>
    <row r="2847" s="18" customFormat="1" spans="3:6">
      <c r="C2847" s="26"/>
      <c r="F2847" s="27"/>
    </row>
    <row r="2848" s="18" customFormat="1" spans="3:6">
      <c r="C2848" s="26"/>
      <c r="F2848" s="27"/>
    </row>
    <row r="2849" s="18" customFormat="1" spans="3:6">
      <c r="C2849" s="26"/>
      <c r="F2849" s="27"/>
    </row>
    <row r="2850" s="18" customFormat="1" spans="3:6">
      <c r="C2850" s="26"/>
      <c r="F2850" s="27"/>
    </row>
    <row r="2851" s="18" customFormat="1" spans="3:6">
      <c r="C2851" s="26"/>
      <c r="F2851" s="27"/>
    </row>
    <row r="2852" s="18" customFormat="1" spans="3:6">
      <c r="C2852" s="26"/>
      <c r="F2852" s="27"/>
    </row>
    <row r="2853" s="18" customFormat="1" spans="3:6">
      <c r="C2853" s="26"/>
      <c r="F2853" s="27"/>
    </row>
    <row r="2854" s="18" customFormat="1" spans="3:6">
      <c r="C2854" s="26"/>
      <c r="F2854" s="27"/>
    </row>
    <row r="2855" s="18" customFormat="1" spans="3:6">
      <c r="C2855" s="26"/>
      <c r="F2855" s="27"/>
    </row>
    <row r="2856" s="18" customFormat="1" spans="3:6">
      <c r="C2856" s="26"/>
      <c r="F2856" s="27"/>
    </row>
    <row r="2857" s="18" customFormat="1" spans="3:6">
      <c r="C2857" s="26"/>
      <c r="F2857" s="27"/>
    </row>
    <row r="2858" s="18" customFormat="1" spans="3:6">
      <c r="C2858" s="26"/>
      <c r="F2858" s="27"/>
    </row>
    <row r="2859" s="18" customFormat="1" spans="3:6">
      <c r="C2859" s="26"/>
      <c r="F2859" s="27"/>
    </row>
    <row r="2860" s="18" customFormat="1" spans="3:6">
      <c r="C2860" s="26"/>
      <c r="F2860" s="27"/>
    </row>
    <row r="2861" s="18" customFormat="1" spans="3:6">
      <c r="C2861" s="26"/>
      <c r="F2861" s="27"/>
    </row>
    <row r="2862" s="18" customFormat="1" spans="3:6">
      <c r="C2862" s="26"/>
      <c r="F2862" s="27"/>
    </row>
    <row r="2863" s="18" customFormat="1" spans="3:6">
      <c r="C2863" s="26"/>
      <c r="F2863" s="27"/>
    </row>
    <row r="2864" s="18" customFormat="1" spans="3:6">
      <c r="C2864" s="26"/>
      <c r="F2864" s="27"/>
    </row>
    <row r="2865" s="18" customFormat="1" spans="3:6">
      <c r="C2865" s="26"/>
      <c r="F2865" s="27"/>
    </row>
    <row r="2866" s="18" customFormat="1" spans="3:6">
      <c r="C2866" s="26"/>
      <c r="F2866" s="27"/>
    </row>
    <row r="2867" s="18" customFormat="1" spans="3:6">
      <c r="C2867" s="26"/>
      <c r="F2867" s="27"/>
    </row>
    <row r="2868" s="18" customFormat="1" spans="3:6">
      <c r="C2868" s="26"/>
      <c r="F2868" s="27"/>
    </row>
    <row r="2869" s="18" customFormat="1" spans="3:6">
      <c r="C2869" s="26"/>
      <c r="F2869" s="27"/>
    </row>
    <row r="2870" s="18" customFormat="1" spans="3:6">
      <c r="C2870" s="26"/>
      <c r="F2870" s="27"/>
    </row>
    <row r="2871" s="18" customFormat="1" spans="3:6">
      <c r="C2871" s="26"/>
      <c r="F2871" s="27"/>
    </row>
    <row r="2872" s="18" customFormat="1" spans="3:6">
      <c r="C2872" s="26"/>
      <c r="F2872" s="27"/>
    </row>
    <row r="2873" s="18" customFormat="1" spans="3:6">
      <c r="C2873" s="26"/>
      <c r="F2873" s="27"/>
    </row>
    <row r="2874" s="18" customFormat="1" spans="3:6">
      <c r="C2874" s="26"/>
      <c r="F2874" s="27"/>
    </row>
    <row r="2875" s="18" customFormat="1" spans="3:6">
      <c r="C2875" s="26"/>
      <c r="F2875" s="27"/>
    </row>
    <row r="2876" s="18" customFormat="1" spans="3:6">
      <c r="C2876" s="26"/>
      <c r="F2876" s="27"/>
    </row>
    <row r="2877" s="18" customFormat="1" spans="3:6">
      <c r="C2877" s="26"/>
      <c r="F2877" s="27"/>
    </row>
    <row r="2878" s="18" customFormat="1" spans="3:6">
      <c r="C2878" s="26"/>
      <c r="F2878" s="27"/>
    </row>
    <row r="2879" s="18" customFormat="1" spans="3:6">
      <c r="C2879" s="26"/>
      <c r="F2879" s="27"/>
    </row>
    <row r="2880" s="18" customFormat="1" spans="3:6">
      <c r="C2880" s="26"/>
      <c r="F2880" s="27"/>
    </row>
    <row r="2881" s="18" customFormat="1" spans="3:6">
      <c r="C2881" s="26"/>
      <c r="F2881" s="27"/>
    </row>
    <row r="2882" s="18" customFormat="1" spans="3:6">
      <c r="C2882" s="26"/>
      <c r="F2882" s="27"/>
    </row>
    <row r="2883" s="18" customFormat="1" spans="3:6">
      <c r="C2883" s="26"/>
      <c r="F2883" s="27"/>
    </row>
    <row r="2884" s="18" customFormat="1" spans="3:6">
      <c r="C2884" s="26"/>
      <c r="F2884" s="27"/>
    </row>
    <row r="2885" s="18" customFormat="1" spans="3:6">
      <c r="C2885" s="26"/>
      <c r="F2885" s="27"/>
    </row>
    <row r="2886" s="18" customFormat="1" spans="3:6">
      <c r="C2886" s="26"/>
      <c r="F2886" s="27"/>
    </row>
    <row r="2887" s="18" customFormat="1" spans="3:6">
      <c r="C2887" s="26"/>
      <c r="F2887" s="27"/>
    </row>
    <row r="2888" s="18" customFormat="1" spans="3:6">
      <c r="C2888" s="26"/>
      <c r="F2888" s="27"/>
    </row>
    <row r="2889" s="18" customFormat="1" spans="3:6">
      <c r="C2889" s="26"/>
      <c r="F2889" s="27"/>
    </row>
    <row r="2890" s="18" customFormat="1" spans="3:6">
      <c r="C2890" s="26"/>
      <c r="F2890" s="27"/>
    </row>
    <row r="2891" s="18" customFormat="1" spans="3:6">
      <c r="C2891" s="26"/>
      <c r="F2891" s="27"/>
    </row>
    <row r="2892" s="18" customFormat="1" spans="3:6">
      <c r="C2892" s="26"/>
      <c r="F2892" s="27"/>
    </row>
    <row r="2893" s="18" customFormat="1" spans="3:6">
      <c r="C2893" s="26"/>
      <c r="F2893" s="27"/>
    </row>
    <row r="2894" s="18" customFormat="1" spans="3:6">
      <c r="C2894" s="26"/>
      <c r="F2894" s="27"/>
    </row>
    <row r="2895" s="18" customFormat="1" spans="3:6">
      <c r="C2895" s="26"/>
      <c r="F2895" s="27"/>
    </row>
    <row r="2896" s="18" customFormat="1" spans="3:6">
      <c r="C2896" s="26"/>
      <c r="F2896" s="27"/>
    </row>
    <row r="2897" s="18" customFormat="1" spans="3:6">
      <c r="C2897" s="26"/>
      <c r="F2897" s="27"/>
    </row>
    <row r="2898" s="18" customFormat="1" spans="3:6">
      <c r="C2898" s="26"/>
      <c r="F2898" s="27"/>
    </row>
    <row r="2899" s="18" customFormat="1" spans="3:6">
      <c r="C2899" s="26"/>
      <c r="F2899" s="27"/>
    </row>
    <row r="2900" s="18" customFormat="1" spans="3:6">
      <c r="C2900" s="26"/>
      <c r="F2900" s="27"/>
    </row>
    <row r="2901" s="18" customFormat="1" spans="3:6">
      <c r="C2901" s="26"/>
      <c r="F2901" s="27"/>
    </row>
    <row r="2902" s="18" customFormat="1" spans="3:6">
      <c r="C2902" s="26"/>
      <c r="F2902" s="27"/>
    </row>
    <row r="2903" s="18" customFormat="1" spans="3:6">
      <c r="C2903" s="26"/>
      <c r="F2903" s="27"/>
    </row>
    <row r="2904" s="18" customFormat="1" spans="3:6">
      <c r="C2904" s="26"/>
      <c r="F2904" s="27"/>
    </row>
    <row r="2905" s="18" customFormat="1" spans="3:6">
      <c r="C2905" s="26"/>
      <c r="F2905" s="27"/>
    </row>
    <row r="2906" s="18" customFormat="1" spans="3:6">
      <c r="C2906" s="26"/>
      <c r="F2906" s="27"/>
    </row>
    <row r="2907" s="18" customFormat="1" spans="3:6">
      <c r="C2907" s="26"/>
      <c r="F2907" s="27"/>
    </row>
    <row r="2908" s="18" customFormat="1" spans="3:6">
      <c r="C2908" s="26"/>
      <c r="F2908" s="27"/>
    </row>
    <row r="2909" s="18" customFormat="1" spans="3:6">
      <c r="C2909" s="26"/>
      <c r="F2909" s="27"/>
    </row>
    <row r="2910" s="18" customFormat="1" spans="3:6">
      <c r="C2910" s="26"/>
      <c r="F2910" s="27"/>
    </row>
    <row r="2911" s="18" customFormat="1" spans="3:6">
      <c r="C2911" s="26"/>
      <c r="F2911" s="27"/>
    </row>
    <row r="2912" s="18" customFormat="1" spans="3:6">
      <c r="C2912" s="26"/>
      <c r="F2912" s="27"/>
    </row>
    <row r="2913" s="18" customFormat="1" spans="3:6">
      <c r="C2913" s="26"/>
      <c r="F2913" s="27"/>
    </row>
    <row r="2914" s="18" customFormat="1" spans="3:6">
      <c r="C2914" s="26"/>
      <c r="F2914" s="27"/>
    </row>
    <row r="2915" s="18" customFormat="1" spans="3:6">
      <c r="C2915" s="26"/>
      <c r="F2915" s="27"/>
    </row>
    <row r="2916" s="18" customFormat="1" spans="3:6">
      <c r="C2916" s="26"/>
      <c r="F2916" s="27"/>
    </row>
    <row r="2917" s="18" customFormat="1" spans="3:6">
      <c r="C2917" s="26"/>
      <c r="F2917" s="27"/>
    </row>
    <row r="2918" s="18" customFormat="1" spans="3:6">
      <c r="C2918" s="26"/>
      <c r="F2918" s="27"/>
    </row>
    <row r="2919" s="18" customFormat="1" spans="3:6">
      <c r="C2919" s="26"/>
      <c r="F2919" s="27"/>
    </row>
    <row r="2920" s="18" customFormat="1" spans="3:6">
      <c r="C2920" s="26"/>
      <c r="F2920" s="27"/>
    </row>
    <row r="2921" s="18" customFormat="1" spans="3:6">
      <c r="C2921" s="26"/>
      <c r="F2921" s="27"/>
    </row>
    <row r="2922" s="18" customFormat="1" spans="3:6">
      <c r="C2922" s="26"/>
      <c r="F2922" s="27"/>
    </row>
    <row r="2923" s="18" customFormat="1" spans="3:6">
      <c r="C2923" s="26"/>
      <c r="F2923" s="27"/>
    </row>
    <row r="2924" s="18" customFormat="1" spans="3:6">
      <c r="C2924" s="26"/>
      <c r="F2924" s="27"/>
    </row>
    <row r="2925" s="18" customFormat="1" spans="3:6">
      <c r="C2925" s="26"/>
      <c r="F2925" s="27"/>
    </row>
    <row r="2926" s="18" customFormat="1" spans="3:6">
      <c r="C2926" s="26"/>
      <c r="F2926" s="27"/>
    </row>
    <row r="2927" s="18" customFormat="1" spans="3:6">
      <c r="C2927" s="26"/>
      <c r="F2927" s="27"/>
    </row>
    <row r="2928" s="18" customFormat="1" spans="3:6">
      <c r="C2928" s="26"/>
      <c r="F2928" s="27"/>
    </row>
    <row r="2929" s="18" customFormat="1" spans="3:6">
      <c r="C2929" s="26"/>
      <c r="F2929" s="27"/>
    </row>
    <row r="2930" s="18" customFormat="1" spans="3:6">
      <c r="C2930" s="26"/>
      <c r="F2930" s="27"/>
    </row>
    <row r="2931" s="18" customFormat="1" spans="3:6">
      <c r="C2931" s="26"/>
      <c r="F2931" s="27"/>
    </row>
    <row r="2932" s="18" customFormat="1" spans="3:6">
      <c r="C2932" s="26"/>
      <c r="F2932" s="27"/>
    </row>
    <row r="2933" s="18" customFormat="1" spans="3:6">
      <c r="C2933" s="26"/>
      <c r="F2933" s="27"/>
    </row>
    <row r="2934" s="18" customFormat="1" spans="3:6">
      <c r="C2934" s="26"/>
      <c r="F2934" s="27"/>
    </row>
    <row r="2935" s="18" customFormat="1" spans="3:6">
      <c r="C2935" s="26"/>
      <c r="F2935" s="27"/>
    </row>
    <row r="2936" s="18" customFormat="1" spans="3:6">
      <c r="C2936" s="26"/>
      <c r="F2936" s="27"/>
    </row>
    <row r="2937" s="18" customFormat="1" spans="3:6">
      <c r="C2937" s="26"/>
      <c r="F2937" s="27"/>
    </row>
    <row r="2938" s="18" customFormat="1" spans="3:6">
      <c r="C2938" s="26"/>
      <c r="F2938" s="27"/>
    </row>
    <row r="2939" s="18" customFormat="1" spans="3:6">
      <c r="C2939" s="26"/>
      <c r="F2939" s="27"/>
    </row>
    <row r="2940" s="18" customFormat="1" spans="3:6">
      <c r="C2940" s="26"/>
      <c r="F2940" s="27"/>
    </row>
    <row r="2941" s="18" customFormat="1" spans="3:6">
      <c r="C2941" s="26"/>
      <c r="F2941" s="27"/>
    </row>
    <row r="2942" s="18" customFormat="1" spans="3:6">
      <c r="C2942" s="26"/>
      <c r="F2942" s="27"/>
    </row>
    <row r="2943" s="18" customFormat="1" spans="3:6">
      <c r="C2943" s="26"/>
      <c r="F2943" s="27"/>
    </row>
    <row r="2944" s="18" customFormat="1" spans="3:6">
      <c r="C2944" s="26"/>
      <c r="F2944" s="27"/>
    </row>
    <row r="2945" s="18" customFormat="1" spans="3:6">
      <c r="C2945" s="26"/>
      <c r="F2945" s="27"/>
    </row>
    <row r="2946" s="18" customFormat="1" spans="3:6">
      <c r="C2946" s="26"/>
      <c r="F2946" s="27"/>
    </row>
    <row r="2947" s="18" customFormat="1" spans="3:6">
      <c r="C2947" s="26"/>
      <c r="F2947" s="27"/>
    </row>
    <row r="2948" s="18" customFormat="1" spans="3:6">
      <c r="C2948" s="26"/>
      <c r="F2948" s="27"/>
    </row>
    <row r="2949" s="18" customFormat="1" spans="3:6">
      <c r="C2949" s="26"/>
      <c r="F2949" s="27"/>
    </row>
    <row r="2950" s="18" customFormat="1" spans="3:6">
      <c r="C2950" s="26"/>
      <c r="F2950" s="27"/>
    </row>
    <row r="2951" s="18" customFormat="1" spans="3:6">
      <c r="C2951" s="26"/>
      <c r="F2951" s="27"/>
    </row>
    <row r="2952" s="18" customFormat="1" spans="3:6">
      <c r="C2952" s="26"/>
      <c r="F2952" s="27"/>
    </row>
    <row r="2953" s="18" customFormat="1" spans="3:6">
      <c r="C2953" s="26"/>
      <c r="F2953" s="27"/>
    </row>
    <row r="2954" s="18" customFormat="1" spans="3:6">
      <c r="C2954" s="26"/>
      <c r="F2954" s="27"/>
    </row>
    <row r="2955" s="18" customFormat="1" spans="3:6">
      <c r="C2955" s="26"/>
      <c r="F2955" s="27"/>
    </row>
    <row r="2956" s="18" customFormat="1" spans="3:6">
      <c r="C2956" s="26"/>
      <c r="F2956" s="27"/>
    </row>
    <row r="2957" s="18" customFormat="1" spans="3:6">
      <c r="C2957" s="26"/>
      <c r="F2957" s="27"/>
    </row>
    <row r="2958" s="18" customFormat="1" spans="3:6">
      <c r="C2958" s="26"/>
      <c r="F2958" s="27"/>
    </row>
    <row r="2959" s="18" customFormat="1" spans="3:6">
      <c r="C2959" s="26"/>
      <c r="F2959" s="27"/>
    </row>
    <row r="2960" s="18" customFormat="1" spans="3:6">
      <c r="C2960" s="26"/>
      <c r="F2960" s="27"/>
    </row>
    <row r="2961" s="18" customFormat="1" spans="3:6">
      <c r="C2961" s="26"/>
      <c r="F2961" s="27"/>
    </row>
    <row r="2962" s="18" customFormat="1" spans="3:6">
      <c r="C2962" s="26"/>
      <c r="F2962" s="27"/>
    </row>
    <row r="2963" s="18" customFormat="1" spans="3:6">
      <c r="C2963" s="26"/>
      <c r="F2963" s="27"/>
    </row>
    <row r="2964" s="18" customFormat="1" spans="3:6">
      <c r="C2964" s="26"/>
      <c r="F2964" s="27"/>
    </row>
    <row r="2965" s="18" customFormat="1" spans="3:6">
      <c r="C2965" s="26"/>
      <c r="F2965" s="27"/>
    </row>
    <row r="2966" s="18" customFormat="1" spans="3:6">
      <c r="C2966" s="26"/>
      <c r="F2966" s="27"/>
    </row>
    <row r="2967" s="18" customFormat="1" spans="3:6">
      <c r="C2967" s="26"/>
      <c r="F2967" s="27"/>
    </row>
    <row r="2968" s="18" customFormat="1" spans="3:6">
      <c r="C2968" s="26"/>
      <c r="F2968" s="27"/>
    </row>
    <row r="2969" s="18" customFormat="1" spans="3:6">
      <c r="C2969" s="26"/>
      <c r="F2969" s="27"/>
    </row>
    <row r="2970" s="18" customFormat="1" spans="3:6">
      <c r="C2970" s="26"/>
      <c r="F2970" s="27"/>
    </row>
    <row r="2971" s="18" customFormat="1" spans="3:6">
      <c r="C2971" s="26"/>
      <c r="F2971" s="27"/>
    </row>
    <row r="2972" s="18" customFormat="1" spans="3:6">
      <c r="C2972" s="26"/>
      <c r="F2972" s="27"/>
    </row>
    <row r="2973" s="18" customFormat="1" spans="3:6">
      <c r="C2973" s="26"/>
      <c r="F2973" s="27"/>
    </row>
    <row r="2974" s="18" customFormat="1" spans="3:6">
      <c r="C2974" s="26"/>
      <c r="F2974" s="27"/>
    </row>
    <row r="2975" s="18" customFormat="1" spans="3:6">
      <c r="C2975" s="26"/>
      <c r="F2975" s="27"/>
    </row>
    <row r="2976" s="18" customFormat="1" spans="3:6">
      <c r="C2976" s="26"/>
      <c r="F2976" s="27"/>
    </row>
    <row r="2977" s="18" customFormat="1" spans="3:6">
      <c r="C2977" s="26"/>
      <c r="F2977" s="27"/>
    </row>
    <row r="2978" s="18" customFormat="1" spans="3:6">
      <c r="C2978" s="26"/>
      <c r="F2978" s="27"/>
    </row>
    <row r="2979" s="18" customFormat="1" spans="3:6">
      <c r="C2979" s="26"/>
      <c r="F2979" s="27"/>
    </row>
    <row r="2980" s="18" customFormat="1" spans="3:6">
      <c r="C2980" s="26"/>
      <c r="F2980" s="27"/>
    </row>
    <row r="2981" s="18" customFormat="1" spans="3:6">
      <c r="C2981" s="26"/>
      <c r="F2981" s="27"/>
    </row>
    <row r="2982" s="18" customFormat="1" spans="3:6">
      <c r="C2982" s="26"/>
      <c r="F2982" s="27"/>
    </row>
    <row r="2983" s="18" customFormat="1" spans="3:6">
      <c r="C2983" s="26"/>
      <c r="F2983" s="27"/>
    </row>
    <row r="2984" s="18" customFormat="1" spans="3:6">
      <c r="C2984" s="26"/>
      <c r="F2984" s="27"/>
    </row>
    <row r="2985" s="18" customFormat="1" spans="3:6">
      <c r="C2985" s="26"/>
      <c r="F2985" s="27"/>
    </row>
    <row r="2986" s="18" customFormat="1" spans="3:6">
      <c r="C2986" s="26"/>
      <c r="F2986" s="27"/>
    </row>
    <row r="2987" s="18" customFormat="1" spans="3:6">
      <c r="C2987" s="26"/>
      <c r="F2987" s="27"/>
    </row>
    <row r="2988" s="18" customFormat="1" spans="3:6">
      <c r="C2988" s="26"/>
      <c r="F2988" s="27"/>
    </row>
    <row r="2989" s="18" customFormat="1" spans="3:6">
      <c r="C2989" s="26"/>
      <c r="F2989" s="27"/>
    </row>
    <row r="2990" s="18" customFormat="1" spans="3:6">
      <c r="C2990" s="26"/>
      <c r="F2990" s="27"/>
    </row>
    <row r="2991" s="18" customFormat="1" spans="3:24">
      <c r="C2991" s="26"/>
      <c r="F2991" s="27"/>
      <c r="X2991" s="18" t="s">
        <v>42</v>
      </c>
    </row>
    <row r="2992" s="18" customFormat="1" spans="3:6">
      <c r="C2992" s="26"/>
      <c r="F2992" s="27"/>
    </row>
    <row r="2993" spans="6:6">
      <c r="F2993" s="35"/>
    </row>
    <row r="2994" spans="6:6">
      <c r="F2994" s="35"/>
    </row>
    <row r="2995" spans="6:6">
      <c r="F2995" s="35"/>
    </row>
    <row r="2996" spans="6:6">
      <c r="F2996" s="35"/>
    </row>
    <row r="2997" spans="6:6">
      <c r="F2997" s="35"/>
    </row>
    <row r="2998" spans="6:6">
      <c r="F2998" s="35"/>
    </row>
    <row r="2999" spans="6:6">
      <c r="F2999" s="35"/>
    </row>
    <row r="3000" spans="6:6">
      <c r="F3000" s="35"/>
    </row>
    <row r="3001" spans="6:6">
      <c r="F3001" s="35"/>
    </row>
    <row r="3002" spans="6:6">
      <c r="F3002" s="35"/>
    </row>
    <row r="3003" spans="6:6">
      <c r="F3003" s="35"/>
    </row>
    <row r="3004" spans="6:6">
      <c r="F3004" s="35"/>
    </row>
    <row r="3005" spans="6:6">
      <c r="F3005" s="35"/>
    </row>
    <row r="3006" spans="6:6">
      <c r="F3006" s="35"/>
    </row>
    <row r="3007" spans="6:6">
      <c r="F3007" s="35"/>
    </row>
    <row r="3008" spans="6:6">
      <c r="F3008" s="35"/>
    </row>
    <row r="3009" spans="6:6">
      <c r="F3009" s="35"/>
    </row>
    <row r="3010" spans="6:6">
      <c r="F3010" s="35"/>
    </row>
    <row r="3011" spans="6:6">
      <c r="F3011" s="35"/>
    </row>
    <row r="3012" spans="6:6">
      <c r="F3012" s="35"/>
    </row>
    <row r="3013" spans="6:6">
      <c r="F3013" s="35"/>
    </row>
    <row r="3014" spans="6:6">
      <c r="F3014" s="35"/>
    </row>
    <row r="3015" spans="6:6">
      <c r="F3015" s="35"/>
    </row>
    <row r="3016" spans="6:6">
      <c r="F3016" s="35"/>
    </row>
    <row r="3017" spans="6:6">
      <c r="F3017" s="35"/>
    </row>
    <row r="3018" spans="6:6">
      <c r="F3018" s="35"/>
    </row>
    <row r="3019" spans="6:6">
      <c r="F3019" s="35"/>
    </row>
    <row r="3020" spans="6:6">
      <c r="F3020" s="35"/>
    </row>
    <row r="3021" spans="6:6">
      <c r="F3021" s="35"/>
    </row>
    <row r="3022" spans="6:6">
      <c r="F3022" s="35"/>
    </row>
    <row r="3023" spans="6:6">
      <c r="F3023" s="35"/>
    </row>
    <row r="3024" spans="6:6">
      <c r="F3024" s="35"/>
    </row>
    <row r="3025" spans="6:6">
      <c r="F3025" s="35"/>
    </row>
    <row r="3026" spans="6:6">
      <c r="F3026" s="35"/>
    </row>
    <row r="3027" spans="6:6">
      <c r="F3027" s="35"/>
    </row>
    <row r="3028" spans="6:6">
      <c r="F3028" s="35"/>
    </row>
    <row r="3029" spans="6:6">
      <c r="F3029" s="35"/>
    </row>
    <row r="3030" spans="6:6">
      <c r="F3030" s="35"/>
    </row>
    <row r="3031" spans="6:6">
      <c r="F3031" s="35"/>
    </row>
    <row r="3032" spans="6:6">
      <c r="F3032" s="35"/>
    </row>
    <row r="3033" spans="6:6">
      <c r="F3033" s="35"/>
    </row>
    <row r="3034" spans="6:6">
      <c r="F3034" s="35"/>
    </row>
    <row r="3035" spans="6:6">
      <c r="F3035" s="35"/>
    </row>
    <row r="3036" spans="6:6">
      <c r="F3036" s="35"/>
    </row>
    <row r="3037" spans="6:6">
      <c r="F3037" s="35"/>
    </row>
    <row r="3038" spans="6:6">
      <c r="F3038" s="35"/>
    </row>
    <row r="3039" spans="6:6">
      <c r="F3039" s="35"/>
    </row>
    <row r="3040" spans="6:6">
      <c r="F3040" s="35"/>
    </row>
    <row r="3041" spans="6:6">
      <c r="F3041" s="35"/>
    </row>
    <row r="3042" spans="6:6">
      <c r="F3042" s="35"/>
    </row>
    <row r="3043" spans="6:6">
      <c r="F3043" s="35"/>
    </row>
    <row r="3044" spans="6:6">
      <c r="F3044" s="35"/>
    </row>
    <row r="3045" spans="6:6">
      <c r="F3045" s="35"/>
    </row>
    <row r="3046" spans="6:6">
      <c r="F3046" s="35"/>
    </row>
    <row r="3047" spans="6:6">
      <c r="F3047" s="35"/>
    </row>
  </sheetData>
  <autoFilter xmlns:etc="http://www.wps.cn/officeDocument/2017/etCustomData" ref="A1:AC299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48576"/>
  <sheetViews>
    <sheetView zoomScale="80" zoomScaleNormal="80" workbookViewId="0">
      <selection activeCell="C19" sqref="C19"/>
    </sheetView>
  </sheetViews>
  <sheetFormatPr defaultColWidth="8.72727272727273" defaultRowHeight="14.5"/>
  <cols>
    <col min="1" max="1" width="20.9090909090909" style="2" customWidth="1"/>
    <col min="2" max="2" width="23.7454545454545" style="3" customWidth="1"/>
    <col min="3" max="3" width="47.7181818181818" style="2" customWidth="1"/>
    <col min="4" max="4" width="8.72727272727273" style="2"/>
    <col min="5" max="5" width="25.1181818181818" style="2" customWidth="1"/>
    <col min="6" max="6" width="17.1545454545455" style="2" customWidth="1"/>
    <col min="7" max="7" width="62.7181818181818" style="2" customWidth="1"/>
    <col min="8" max="8" width="48.4090909090909" style="2" customWidth="1"/>
    <col min="9" max="9" width="43.8636363636364" style="2" customWidth="1"/>
    <col min="10" max="10" width="25.9" style="2" customWidth="1"/>
    <col min="11" max="12" width="8.72727272727273" style="2"/>
    <col min="13" max="13" width="16.1363636363636" style="2" customWidth="1"/>
    <col min="14" max="14" width="24.5454545454545" style="2" customWidth="1"/>
    <col min="15" max="15" width="16.4727272727273" style="2" customWidth="1"/>
    <col min="16" max="16381" width="8.72727272727273" style="2"/>
  </cols>
  <sheetData>
    <row r="1" s="1" customFormat="1" spans="1:23">
      <c r="A1" s="4" t="s">
        <v>2</v>
      </c>
      <c r="B1" s="4" t="s">
        <v>4358</v>
      </c>
      <c r="C1" s="5" t="s">
        <v>4359</v>
      </c>
      <c r="D1" s="6" t="s">
        <v>4360</v>
      </c>
      <c r="E1" s="7" t="s">
        <v>4361</v>
      </c>
      <c r="F1" s="6" t="s">
        <v>6</v>
      </c>
      <c r="G1" s="6" t="s">
        <v>4362</v>
      </c>
      <c r="H1" s="6"/>
      <c r="I1" s="6"/>
      <c r="J1" s="6" t="s">
        <v>6</v>
      </c>
      <c r="K1" s="6" t="s">
        <v>8</v>
      </c>
      <c r="L1" s="16" t="s">
        <v>9</v>
      </c>
      <c r="M1" s="16" t="s">
        <v>10</v>
      </c>
      <c r="N1" s="16" t="s">
        <v>11</v>
      </c>
      <c r="O1" s="6" t="s">
        <v>12</v>
      </c>
      <c r="P1" s="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6" t="s">
        <v>20</v>
      </c>
    </row>
    <row r="2" s="2" customFormat="1" spans="1:16">
      <c r="A2" s="8"/>
      <c r="B2" s="9" t="s">
        <v>29</v>
      </c>
      <c r="C2" s="10" t="s">
        <v>41</v>
      </c>
      <c r="D2" s="11">
        <v>1</v>
      </c>
      <c r="E2" s="12">
        <v>245446</v>
      </c>
      <c r="F2" s="13">
        <v>245446</v>
      </c>
      <c r="G2" s="2">
        <f>VLOOKUP(B2,'PO with created By ASR'!A:C,3,FALSE)</f>
        <v>45658</v>
      </c>
      <c r="J2" s="2" t="str">
        <f>VLOOKUP(B2,'PO with created By ASR'!A:G,4,FALSE)</f>
        <v>H P Ramareddy-Blr</v>
      </c>
      <c r="K2" s="2" t="str">
        <f>VLOOKUP(B2,'PO with created By ASR'!A:I,6,FALSE)</f>
        <v>11014 H P Ramareddy</v>
      </c>
      <c r="L2" s="2" t="str">
        <f>VLOOKUP(B2,'PO with created By ASR'!A:J,7,FALSE)</f>
        <v>B - Bangalore</v>
      </c>
      <c r="M2" s="2" t="str">
        <f>VLOOKUP(B2,'PO with created By ASR'!A:K,8,FALSE)</f>
        <v>Purchase Order-Blr</v>
      </c>
      <c r="N2" t="s">
        <v>36</v>
      </c>
      <c r="P2" s="2">
        <v>6</v>
      </c>
    </row>
    <row r="3" s="2" customFormat="1" spans="1:16">
      <c r="A3" s="8"/>
      <c r="B3" s="9" t="s">
        <v>44</v>
      </c>
      <c r="C3" s="10" t="s">
        <v>41</v>
      </c>
      <c r="D3" s="11">
        <v>1</v>
      </c>
      <c r="E3" s="12">
        <v>245446</v>
      </c>
      <c r="F3" s="13">
        <v>245446</v>
      </c>
      <c r="G3" s="2">
        <f>VLOOKUP(B3,'PO with created By ASR'!A:C,3,FALSE)</f>
        <v>45658</v>
      </c>
      <c r="J3" s="2" t="str">
        <f>VLOOKUP(B3,'PO with created By ASR'!A:G,4,FALSE)</f>
        <v>A Ramareddy (Rent)-Blr</v>
      </c>
      <c r="K3" s="2" t="str">
        <f>VLOOKUP(B3,'PO with created By ASR'!A:I,6,FALSE)</f>
        <v>11009 A Ramareddy (Rent)</v>
      </c>
      <c r="L3" s="2" t="str">
        <f>VLOOKUP(B3,'PO with created By ASR'!A:J,7,FALSE)</f>
        <v>B - Bangalore</v>
      </c>
      <c r="M3" s="2" t="str">
        <f>VLOOKUP(B3,'PO with created By ASR'!A:K,8,FALSE)</f>
        <v>Purchase Order-Blr</v>
      </c>
      <c r="N3" t="s">
        <v>36</v>
      </c>
      <c r="P3" s="2">
        <v>6</v>
      </c>
    </row>
    <row r="4" s="2" customFormat="1" spans="1:16">
      <c r="A4" s="8"/>
      <c r="B4" s="9" t="s">
        <v>47</v>
      </c>
      <c r="C4" s="10" t="s">
        <v>50</v>
      </c>
      <c r="D4" s="11">
        <v>1</v>
      </c>
      <c r="E4" s="12">
        <v>4000</v>
      </c>
      <c r="F4" s="13">
        <v>4000</v>
      </c>
      <c r="G4" s="2">
        <f>VLOOKUP(B4,'PO with created By ASR'!A:C,3,FALSE)</f>
        <v>45658</v>
      </c>
      <c r="J4" s="2" t="str">
        <f>VLOOKUP(B4,'PO with created By ASR'!A:G,4,FALSE)</f>
        <v>H P Ramareddy Utility-Blr</v>
      </c>
      <c r="K4" s="2" t="str">
        <f>VLOOKUP(B4,'PO with created By ASR'!A:I,6,FALSE)</f>
        <v>11015 H P Ramareddy Utility</v>
      </c>
      <c r="L4" s="2" t="str">
        <f>VLOOKUP(B4,'PO with created By ASR'!A:J,7,FALSE)</f>
        <v>B - Bangalore</v>
      </c>
      <c r="M4" s="2" t="str">
        <f>VLOOKUP(B4,'PO with created By ASR'!A:K,8,FALSE)</f>
        <v>Purchase Order-Blr</v>
      </c>
      <c r="N4" t="s">
        <v>36</v>
      </c>
      <c r="P4" s="2">
        <v>6</v>
      </c>
    </row>
    <row r="5" s="2" customFormat="1" spans="1:16">
      <c r="A5" s="8"/>
      <c r="B5" s="9" t="s">
        <v>51</v>
      </c>
      <c r="C5" s="10" t="s">
        <v>61</v>
      </c>
      <c r="D5" s="11">
        <v>1</v>
      </c>
      <c r="E5" s="12">
        <v>279000</v>
      </c>
      <c r="F5" s="13">
        <v>279000</v>
      </c>
      <c r="G5" s="2">
        <f>VLOOKUP(B5,'PO with created By ASR'!A:C,3,FALSE)</f>
        <v>45658</v>
      </c>
      <c r="J5" s="2" t="str">
        <f>VLOOKUP(B5,'PO with created By ASR'!A:G,4,FALSE)</f>
        <v>Renaissance Bengaluru Race Course Hotel (Dharampal Satyapal Ltd)-Blr</v>
      </c>
      <c r="K5" s="2" t="str">
        <f>VLOOKUP(B5,'PO with created By ASR'!A:I,6,FALSE)</f>
        <v>10403  Renaissance Bengaluru Race Course Hotel (Dharampal Satyapal Ltd)</v>
      </c>
      <c r="L5" s="2" t="str">
        <f>VLOOKUP(B5,'PO with created By ASR'!A:J,7,FALSE)</f>
        <v>B - Bangalore</v>
      </c>
      <c r="M5" s="2" t="str">
        <f>VLOOKUP(B5,'PO with created By ASR'!A:K,8,FALSE)</f>
        <v>Purchase Order-Blr</v>
      </c>
      <c r="N5" t="s">
        <v>36</v>
      </c>
      <c r="P5" s="2">
        <v>6</v>
      </c>
    </row>
    <row r="6" s="2" customFormat="1" spans="1:16">
      <c r="A6" s="8"/>
      <c r="B6" s="9" t="s">
        <v>65</v>
      </c>
      <c r="C6" s="10" t="s">
        <v>66</v>
      </c>
      <c r="D6" s="11">
        <v>1</v>
      </c>
      <c r="E6" s="12">
        <v>19073</v>
      </c>
      <c r="F6" s="13">
        <v>19073</v>
      </c>
      <c r="G6" s="2">
        <f>VLOOKUP(B6,'PO with created By ASR'!A:C,3,FALSE)</f>
        <v>45658</v>
      </c>
      <c r="J6" s="2" t="str">
        <f>VLOOKUP(B6,'PO with created By ASR'!A:G,4,FALSE)</f>
        <v>H P Ramareddy Utility-Blr</v>
      </c>
      <c r="K6" s="2" t="str">
        <f>VLOOKUP(B6,'PO with created By ASR'!A:I,6,FALSE)</f>
        <v>11015 H P Ramareddy Utility</v>
      </c>
      <c r="L6" s="2" t="str">
        <f>VLOOKUP(B6,'PO with created By ASR'!A:J,7,FALSE)</f>
        <v>B - Bangalore</v>
      </c>
      <c r="M6" s="2" t="str">
        <f>VLOOKUP(B6,'PO with created By ASR'!A:K,8,FALSE)</f>
        <v>Purchase Order-Blr</v>
      </c>
      <c r="N6" t="s">
        <v>36</v>
      </c>
      <c r="P6" s="2">
        <v>6</v>
      </c>
    </row>
    <row r="7" s="2" customFormat="1" spans="1:16">
      <c r="A7" s="8"/>
      <c r="B7" s="9" t="s">
        <v>67</v>
      </c>
      <c r="C7" s="10" t="s">
        <v>70</v>
      </c>
      <c r="D7" s="11">
        <v>1</v>
      </c>
      <c r="E7" s="12">
        <v>48991</v>
      </c>
      <c r="F7" s="13">
        <v>48991</v>
      </c>
      <c r="G7" s="2">
        <f>VLOOKUP(B7,'PO with created By ASR'!A:C,3,FALSE)</f>
        <v>45658</v>
      </c>
      <c r="J7" s="2" t="str">
        <f>VLOOKUP(B7,'PO with created By ASR'!A:G,4,FALSE)</f>
        <v>Lynx Security &amp; Detectives Services (P) Ltd-Blr</v>
      </c>
      <c r="K7" s="2" t="str">
        <f>VLOOKUP(B7,'PO with created By ASR'!A:I,6,FALSE)</f>
        <v>11520  Lynx Security &amp; Detectives Services (P) Ltd</v>
      </c>
      <c r="L7" s="2" t="str">
        <f>VLOOKUP(B7,'PO with created By ASR'!A:J,7,FALSE)</f>
        <v>B - Bangalore</v>
      </c>
      <c r="M7" s="2" t="str">
        <f>VLOOKUP(B7,'PO with created By ASR'!A:K,8,FALSE)</f>
        <v>Purchase Order-Blr</v>
      </c>
      <c r="N7" t="s">
        <v>36</v>
      </c>
      <c r="P7" s="2">
        <v>6</v>
      </c>
    </row>
    <row r="8" s="2" customFormat="1" spans="1:16">
      <c r="A8" s="8"/>
      <c r="B8" s="9" t="s">
        <v>67</v>
      </c>
      <c r="C8" s="10" t="s">
        <v>107</v>
      </c>
      <c r="D8" s="11">
        <v>1</v>
      </c>
      <c r="E8" s="12">
        <v>23151</v>
      </c>
      <c r="F8" s="13">
        <v>23151</v>
      </c>
      <c r="G8" s="2">
        <f>VLOOKUP(B8,'PO with created By ASR'!A:C,3,FALSE)</f>
        <v>45658</v>
      </c>
      <c r="J8" s="2" t="str">
        <f>VLOOKUP(B8,'PO with created By ASR'!A:G,4,FALSE)</f>
        <v>Lynx Security &amp; Detectives Services (P) Ltd-Blr</v>
      </c>
      <c r="K8" s="2" t="str">
        <f>VLOOKUP(B8,'PO with created By ASR'!A:I,6,FALSE)</f>
        <v>11520  Lynx Security &amp; Detectives Services (P) Ltd</v>
      </c>
      <c r="L8" s="2" t="str">
        <f>VLOOKUP(B8,'PO with created By ASR'!A:J,7,FALSE)</f>
        <v>B - Bangalore</v>
      </c>
      <c r="M8" s="2" t="str">
        <f>VLOOKUP(B8,'PO with created By ASR'!A:K,8,FALSE)</f>
        <v>Purchase Order-Blr</v>
      </c>
      <c r="N8" t="s">
        <v>36</v>
      </c>
      <c r="P8" s="2">
        <v>6</v>
      </c>
    </row>
    <row r="9" s="2" customFormat="1" spans="1:16">
      <c r="A9" s="8"/>
      <c r="B9" s="9" t="s">
        <v>73</v>
      </c>
      <c r="C9" s="10" t="s">
        <v>50</v>
      </c>
      <c r="D9" s="11">
        <v>1</v>
      </c>
      <c r="E9" s="12">
        <v>1610</v>
      </c>
      <c r="F9" s="13">
        <v>1610</v>
      </c>
      <c r="G9" s="2">
        <f>VLOOKUP(B9,'PO with created By ASR'!A:C,3,FALSE)</f>
        <v>45658</v>
      </c>
      <c r="J9" s="2" t="str">
        <f>VLOOKUP(B9,'PO with created By ASR'!A:G,4,FALSE)</f>
        <v>Mayur Enterprises-Blr</v>
      </c>
      <c r="K9" s="2" t="str">
        <f>VLOOKUP(B9,'PO with created By ASR'!A:I,6,FALSE)</f>
        <v>11521 Mayur Enterprises</v>
      </c>
      <c r="L9" s="2" t="str">
        <f>VLOOKUP(B9,'PO with created By ASR'!A:J,7,FALSE)</f>
        <v>B - Bangalore</v>
      </c>
      <c r="M9" s="2" t="str">
        <f>VLOOKUP(B9,'PO with created By ASR'!A:K,8,FALSE)</f>
        <v>Purchase Order-Blr</v>
      </c>
      <c r="N9" t="s">
        <v>36</v>
      </c>
      <c r="P9" s="2">
        <v>6</v>
      </c>
    </row>
    <row r="10" s="2" customFormat="1" spans="1:16">
      <c r="A10" s="8"/>
      <c r="B10" s="9" t="s">
        <v>73</v>
      </c>
      <c r="C10" s="10" t="s">
        <v>76</v>
      </c>
      <c r="D10" s="11">
        <v>1</v>
      </c>
      <c r="E10" s="12">
        <v>97</v>
      </c>
      <c r="F10" s="13">
        <v>97</v>
      </c>
      <c r="G10" s="2">
        <f>VLOOKUP(B10,'PO with created By ASR'!A:C,3,FALSE)</f>
        <v>45658</v>
      </c>
      <c r="J10" s="2" t="str">
        <f>VLOOKUP(B10,'PO with created By ASR'!A:G,4,FALSE)</f>
        <v>Mayur Enterprises-Blr</v>
      </c>
      <c r="K10" s="2" t="str">
        <f>VLOOKUP(B10,'PO with created By ASR'!A:I,6,FALSE)</f>
        <v>11521 Mayur Enterprises</v>
      </c>
      <c r="L10" s="2" t="str">
        <f>VLOOKUP(B10,'PO with created By ASR'!A:J,7,FALSE)</f>
        <v>B - Bangalore</v>
      </c>
      <c r="M10" s="2" t="str">
        <f>VLOOKUP(B10,'PO with created By ASR'!A:K,8,FALSE)</f>
        <v>Purchase Order-Blr</v>
      </c>
      <c r="N10" t="s">
        <v>36</v>
      </c>
      <c r="P10" s="2">
        <v>6</v>
      </c>
    </row>
    <row r="11" s="2" customFormat="1" spans="1:16">
      <c r="A11" s="8"/>
      <c r="B11" s="9" t="s">
        <v>73</v>
      </c>
      <c r="C11" s="10" t="s">
        <v>4363</v>
      </c>
      <c r="D11" s="11">
        <v>1</v>
      </c>
      <c r="E11" s="12">
        <v>97</v>
      </c>
      <c r="F11" s="13">
        <v>97</v>
      </c>
      <c r="G11" s="2">
        <f>VLOOKUP(B11,'PO with created By ASR'!A:C,3,FALSE)</f>
        <v>45658</v>
      </c>
      <c r="J11" s="2" t="str">
        <f>VLOOKUP(B11,'PO with created By ASR'!A:G,4,FALSE)</f>
        <v>Mayur Enterprises-Blr</v>
      </c>
      <c r="K11" s="2" t="str">
        <f>VLOOKUP(B11,'PO with created By ASR'!A:I,6,FALSE)</f>
        <v>11521 Mayur Enterprises</v>
      </c>
      <c r="L11" s="2" t="str">
        <f>VLOOKUP(B11,'PO with created By ASR'!A:J,7,FALSE)</f>
        <v>B - Bangalore</v>
      </c>
      <c r="M11" s="2" t="str">
        <f>VLOOKUP(B11,'PO with created By ASR'!A:K,8,FALSE)</f>
        <v>Purchase Order-Blr</v>
      </c>
      <c r="N11" t="s">
        <v>36</v>
      </c>
      <c r="P11" s="2">
        <v>6</v>
      </c>
    </row>
    <row r="12" s="2" customFormat="1" spans="1:16">
      <c r="A12" s="8"/>
      <c r="B12" s="9" t="s">
        <v>77</v>
      </c>
      <c r="C12" s="10" t="s">
        <v>80</v>
      </c>
      <c r="D12" s="11">
        <v>1</v>
      </c>
      <c r="E12" s="12">
        <v>27500</v>
      </c>
      <c r="F12" s="13">
        <v>27500</v>
      </c>
      <c r="G12" s="2">
        <f>VLOOKUP(B12,'PO with created By ASR'!A:C,3,FALSE)</f>
        <v>45658</v>
      </c>
      <c r="J12" s="2" t="str">
        <f>VLOOKUP(B12,'PO with created By ASR'!A:G,4,FALSE)</f>
        <v>K Vishwanath Gouda Rent-Blr</v>
      </c>
      <c r="K12" s="2" t="str">
        <f>VLOOKUP(B12,'PO with created By ASR'!A:I,6,FALSE)</f>
        <v>11016 K Vishwanath Gouda Rent</v>
      </c>
      <c r="L12" s="2" t="str">
        <f>VLOOKUP(B12,'PO with created By ASR'!A:J,7,FALSE)</f>
        <v>B - Bangalore</v>
      </c>
      <c r="M12" s="2" t="str">
        <f>VLOOKUP(B12,'PO with created By ASR'!A:K,8,FALSE)</f>
        <v>Purchase Order-Blr</v>
      </c>
      <c r="N12" t="s">
        <v>36</v>
      </c>
      <c r="P12" s="2">
        <v>6</v>
      </c>
    </row>
    <row r="13" s="2" customFormat="1" spans="1:16">
      <c r="A13" s="8"/>
      <c r="B13" s="9" t="s">
        <v>82</v>
      </c>
      <c r="C13" s="10" t="s">
        <v>84</v>
      </c>
      <c r="D13" s="11">
        <v>1</v>
      </c>
      <c r="E13" s="12">
        <v>3500</v>
      </c>
      <c r="F13" s="13">
        <v>3500</v>
      </c>
      <c r="G13" s="2">
        <f>VLOOKUP(B13,'PO with created By ASR'!A:C,3,FALSE)</f>
        <v>45658</v>
      </c>
      <c r="J13" s="2" t="str">
        <f>VLOOKUP(B13,'PO with created By ASR'!A:G,4,FALSE)</f>
        <v>K-Corp-Blr</v>
      </c>
      <c r="K13" s="2" t="e">
        <f>VLOOKUP(B13,'PO with created By ASR'!A:I,6,FALSE)</f>
        <v>#N/A</v>
      </c>
      <c r="L13" s="2" t="str">
        <f>VLOOKUP(B13,'PO with created By ASR'!A:J,7,FALSE)</f>
        <v>B - Bangalore</v>
      </c>
      <c r="M13" s="2" t="str">
        <f>VLOOKUP(B13,'PO with created By ASR'!A:K,8,FALSE)</f>
        <v>Purchase Order-Blr</v>
      </c>
      <c r="N13" t="s">
        <v>36</v>
      </c>
      <c r="P13" s="2">
        <v>6</v>
      </c>
    </row>
    <row r="14" s="2" customFormat="1" spans="1:16">
      <c r="A14" s="8"/>
      <c r="B14" s="9" t="s">
        <v>85</v>
      </c>
      <c r="C14" s="10" t="s">
        <v>84</v>
      </c>
      <c r="D14" s="11">
        <v>1</v>
      </c>
      <c r="E14" s="12">
        <v>13500</v>
      </c>
      <c r="F14" s="13">
        <v>13500</v>
      </c>
      <c r="G14" s="2">
        <f>VLOOKUP(B14,'PO with created By ASR'!A:C,3,FALSE)</f>
        <v>45658</v>
      </c>
      <c r="J14" s="2" t="str">
        <f>VLOOKUP(B14,'PO with created By ASR'!A:G,4,FALSE)</f>
        <v>Aaa Rental Llp-Mum</v>
      </c>
      <c r="K14" s="2" t="str">
        <f>VLOOKUP(B14,'PO with created By ASR'!A:I,6,FALSE)</f>
        <v>11626 Aaa Rental Llp</v>
      </c>
      <c r="L14" s="2" t="str">
        <f>VLOOKUP(B14,'PO with created By ASR'!A:J,7,FALSE)</f>
        <v>B - Bangalore</v>
      </c>
      <c r="M14" s="2" t="str">
        <f>VLOOKUP(B14,'PO with created By ASR'!A:K,8,FALSE)</f>
        <v>Purchase Order-Blr</v>
      </c>
      <c r="N14" t="s">
        <v>36</v>
      </c>
      <c r="P14" s="2">
        <v>6</v>
      </c>
    </row>
    <row r="15" s="2" customFormat="1" spans="1:16">
      <c r="A15" s="8"/>
      <c r="B15" s="9" t="s">
        <v>91</v>
      </c>
      <c r="C15" s="10" t="s">
        <v>94</v>
      </c>
      <c r="D15" s="11">
        <v>1</v>
      </c>
      <c r="E15" s="12">
        <v>1498</v>
      </c>
      <c r="F15" s="13">
        <v>1498</v>
      </c>
      <c r="G15" s="2">
        <f>VLOOKUP(B15,'PO with created By ASR'!A:C,3,FALSE)</f>
        <v>45658</v>
      </c>
      <c r="J15" s="2" t="str">
        <f>VLOOKUP(B15,'PO with created By ASR'!A:G,4,FALSE)</f>
        <v>Bharti Airtel Ltd.-Del</v>
      </c>
      <c r="K15" s="2" t="e">
        <f>VLOOKUP(B15,'PO with created By ASR'!A:I,6,FALSE)</f>
        <v>#N/A</v>
      </c>
      <c r="L15" s="2" t="str">
        <f>VLOOKUP(B15,'PO with created By ASR'!A:J,7,FALSE)</f>
        <v>B - Bangalore</v>
      </c>
      <c r="M15" s="2" t="str">
        <f>VLOOKUP(B15,'PO with created By ASR'!A:K,8,FALSE)</f>
        <v>Purchase Order-Blr</v>
      </c>
      <c r="N15" t="s">
        <v>36</v>
      </c>
      <c r="P15" s="2">
        <v>6</v>
      </c>
    </row>
    <row r="16" s="2" customFormat="1" spans="1:16">
      <c r="A16" s="8"/>
      <c r="B16" s="9" t="s">
        <v>96</v>
      </c>
      <c r="C16" s="10" t="s">
        <v>41</v>
      </c>
      <c r="D16" s="11">
        <v>1</v>
      </c>
      <c r="E16" s="12">
        <v>73500</v>
      </c>
      <c r="F16" s="13">
        <v>73500</v>
      </c>
      <c r="G16" s="2">
        <f>VLOOKUP(B16,'PO with created By ASR'!A:C,3,FALSE)</f>
        <v>45658</v>
      </c>
      <c r="J16" s="2" t="str">
        <f>VLOOKUP(B16,'PO with created By ASR'!A:G,4,FALSE)</f>
        <v>Elsie Mathew-Che</v>
      </c>
      <c r="K16" s="2" t="str">
        <f>VLOOKUP(B16,'PO with created By ASR'!A:I,6,FALSE)</f>
        <v>11012 Elsie Mathew</v>
      </c>
      <c r="L16" s="2" t="str">
        <f>VLOOKUP(B16,'PO with created By ASR'!A:J,7,FALSE)</f>
        <v>C - Chennai</v>
      </c>
      <c r="M16" s="2" t="str">
        <f>VLOOKUP(B16,'PO with created By ASR'!A:K,8,FALSE)</f>
        <v>Purchase Order-Che</v>
      </c>
      <c r="N16" t="s">
        <v>36</v>
      </c>
      <c r="P16" s="2">
        <v>6</v>
      </c>
    </row>
    <row r="17" s="2" customFormat="1" spans="1:16">
      <c r="A17" s="8"/>
      <c r="B17" s="9" t="s">
        <v>104</v>
      </c>
      <c r="C17" s="10" t="s">
        <v>107</v>
      </c>
      <c r="D17" s="11">
        <v>1</v>
      </c>
      <c r="E17" s="12">
        <v>4000</v>
      </c>
      <c r="F17" s="13">
        <v>4000</v>
      </c>
      <c r="G17" s="2">
        <f>VLOOKUP(B17,'PO with created By ASR'!A:C,3,FALSE)</f>
        <v>45658</v>
      </c>
      <c r="J17" s="2" t="str">
        <f>VLOOKUP(B17,'PO with created By ASR'!A:G,4,FALSE)</f>
        <v>Race View Tower Association-Che</v>
      </c>
      <c r="K17" s="2" t="str">
        <f>VLOOKUP(B17,'PO with created By ASR'!A:I,6,FALSE)</f>
        <v>11525 Race View Tower Association</v>
      </c>
      <c r="L17" s="2" t="str">
        <f>VLOOKUP(B17,'PO with created By ASR'!A:J,7,FALSE)</f>
        <v>C - Chennai</v>
      </c>
      <c r="M17" s="2" t="str">
        <f>VLOOKUP(B17,'PO with created By ASR'!A:K,8,FALSE)</f>
        <v>Purchase Order-Che</v>
      </c>
      <c r="N17" t="s">
        <v>36</v>
      </c>
      <c r="P17" s="2">
        <v>6</v>
      </c>
    </row>
    <row r="18" s="2" customFormat="1" spans="1:16">
      <c r="A18" s="8"/>
      <c r="B18" s="9" t="s">
        <v>108</v>
      </c>
      <c r="C18" s="10" t="s">
        <v>70</v>
      </c>
      <c r="D18" s="11">
        <v>1</v>
      </c>
      <c r="E18" s="12">
        <v>28273</v>
      </c>
      <c r="F18" s="13">
        <v>28273</v>
      </c>
      <c r="G18" s="2">
        <f>VLOOKUP(B18,'PO with created By ASR'!A:C,3,FALSE)</f>
        <v>45658</v>
      </c>
      <c r="J18" s="2" t="str">
        <f>VLOOKUP(B18,'PO with created By ASR'!A:G,4,FALSE)</f>
        <v>Unicare Hospitality Services Pvt Ltd-Che</v>
      </c>
      <c r="K18" s="2" t="str">
        <f>VLOOKUP(B18,'PO with created By ASR'!A:I,6,FALSE)</f>
        <v>12571  Unicare Hospitality Services Pvt Ltd</v>
      </c>
      <c r="L18" s="2" t="str">
        <f>VLOOKUP(B18,'PO with created By ASR'!A:J,7,FALSE)</f>
        <v>C - Chennai</v>
      </c>
      <c r="M18" s="2" t="str">
        <f>VLOOKUP(B18,'PO with created By ASR'!A:K,8,FALSE)</f>
        <v>Purchase Order-Che</v>
      </c>
      <c r="N18" t="s">
        <v>36</v>
      </c>
      <c r="P18" s="2">
        <v>6</v>
      </c>
    </row>
    <row r="19" s="2" customFormat="1" spans="1:16">
      <c r="A19" s="8"/>
      <c r="B19" s="9" t="s">
        <v>108</v>
      </c>
      <c r="C19" s="10" t="s">
        <v>107</v>
      </c>
      <c r="D19" s="11">
        <v>1</v>
      </c>
      <c r="E19" s="12">
        <v>20124</v>
      </c>
      <c r="F19" s="13">
        <v>20124</v>
      </c>
      <c r="G19" s="2">
        <f>VLOOKUP(B19,'PO with created By ASR'!A:C,3,FALSE)</f>
        <v>45658</v>
      </c>
      <c r="J19" s="2" t="str">
        <f>VLOOKUP(B19,'PO with created By ASR'!A:G,4,FALSE)</f>
        <v>Unicare Hospitality Services Pvt Ltd-Che</v>
      </c>
      <c r="K19" s="2" t="str">
        <f>VLOOKUP(B19,'PO with created By ASR'!A:I,6,FALSE)</f>
        <v>12571  Unicare Hospitality Services Pvt Ltd</v>
      </c>
      <c r="L19" s="2" t="str">
        <f>VLOOKUP(B19,'PO with created By ASR'!A:J,7,FALSE)</f>
        <v>C - Chennai</v>
      </c>
      <c r="M19" s="2" t="str">
        <f>VLOOKUP(B19,'PO with created By ASR'!A:K,8,FALSE)</f>
        <v>Purchase Order-Che</v>
      </c>
      <c r="N19" t="s">
        <v>36</v>
      </c>
      <c r="P19" s="2">
        <v>6</v>
      </c>
    </row>
    <row r="20" s="2" customFormat="1" spans="1:16">
      <c r="A20" s="8"/>
      <c r="B20" s="9" t="s">
        <v>112</v>
      </c>
      <c r="C20" s="10" t="s">
        <v>119</v>
      </c>
      <c r="D20" s="11">
        <v>1</v>
      </c>
      <c r="E20" s="12">
        <v>9400</v>
      </c>
      <c r="F20" s="13">
        <v>9400</v>
      </c>
      <c r="G20" s="2">
        <f>VLOOKUP(B20,'PO with created By ASR'!A:C,3,FALSE)</f>
        <v>45659</v>
      </c>
      <c r="J20" s="2" t="str">
        <f>VLOOKUP(B20,'PO with created By ASR'!A:G,4,FALSE)</f>
        <v>Siva Sankar Cabs-Blr</v>
      </c>
      <c r="K20" s="2" t="str">
        <f>VLOOKUP(B20,'PO with created By ASR'!A:I,6,FALSE)</f>
        <v>10089 Siva Sankar Cabs</v>
      </c>
      <c r="L20" s="2" t="str">
        <f>VLOOKUP(B20,'PO with created By ASR'!A:J,7,FALSE)</f>
        <v>B - Bangalore</v>
      </c>
      <c r="M20" s="2" t="str">
        <f>VLOOKUP(B20,'PO with created By ASR'!A:K,8,FALSE)</f>
        <v>Purchase Order-Blr</v>
      </c>
      <c r="N20" t="s">
        <v>36</v>
      </c>
      <c r="P20" s="2">
        <v>6</v>
      </c>
    </row>
    <row r="21" s="2" customFormat="1" spans="1:16">
      <c r="A21" s="8"/>
      <c r="B21" s="9" t="s">
        <v>123</v>
      </c>
      <c r="C21" s="10" t="s">
        <v>126</v>
      </c>
      <c r="D21" s="11">
        <v>1</v>
      </c>
      <c r="E21" s="12">
        <v>5599</v>
      </c>
      <c r="F21" s="13">
        <v>5599</v>
      </c>
      <c r="G21" s="2">
        <f>VLOOKUP(B21,'PO with created By ASR'!A:C,3,FALSE)</f>
        <v>45659</v>
      </c>
      <c r="J21" s="2" t="str">
        <f>VLOOKUP(B21,'PO with created By ASR'!A:G,4,FALSE)</f>
        <v>Arun Kumar M  -CR</v>
      </c>
      <c r="K21" s="2" t="e">
        <f>VLOOKUP(B21,'PO with created By ASR'!A:I,6,FALSE)</f>
        <v>#N/A</v>
      </c>
      <c r="L21" s="2" t="str">
        <f>VLOOKUP(B21,'PO with created By ASR'!A:J,7,FALSE)</f>
        <v>B - Bangalore</v>
      </c>
      <c r="M21" s="2" t="str">
        <f>VLOOKUP(B21,'PO with created By ASR'!A:K,8,FALSE)</f>
        <v>Purchase Order-Blr</v>
      </c>
      <c r="N21" t="s">
        <v>36</v>
      </c>
      <c r="P21" s="2">
        <v>6</v>
      </c>
    </row>
    <row r="22" s="2" customFormat="1" spans="1:16">
      <c r="A22" s="8"/>
      <c r="B22" s="9" t="s">
        <v>123</v>
      </c>
      <c r="C22" s="10" t="s">
        <v>412</v>
      </c>
      <c r="D22" s="11">
        <v>1</v>
      </c>
      <c r="E22" s="12">
        <v>3361</v>
      </c>
      <c r="F22" s="13">
        <v>3361</v>
      </c>
      <c r="G22" s="2">
        <f>VLOOKUP(B22,'PO with created By ASR'!A:C,3,FALSE)</f>
        <v>45659</v>
      </c>
      <c r="J22" s="2" t="str">
        <f>VLOOKUP(B22,'PO with created By ASR'!A:G,4,FALSE)</f>
        <v>Arun Kumar M  -CR</v>
      </c>
      <c r="K22" s="2" t="e">
        <f>VLOOKUP(B22,'PO with created By ASR'!A:I,6,FALSE)</f>
        <v>#N/A</v>
      </c>
      <c r="L22" s="2" t="str">
        <f>VLOOKUP(B22,'PO with created By ASR'!A:J,7,FALSE)</f>
        <v>B - Bangalore</v>
      </c>
      <c r="M22" s="2" t="str">
        <f>VLOOKUP(B22,'PO with created By ASR'!A:K,8,FALSE)</f>
        <v>Purchase Order-Blr</v>
      </c>
      <c r="N22" t="s">
        <v>36</v>
      </c>
      <c r="P22" s="2">
        <v>6</v>
      </c>
    </row>
    <row r="23" s="2" customFormat="1" spans="1:16">
      <c r="A23" s="8"/>
      <c r="B23" s="9" t="s">
        <v>123</v>
      </c>
      <c r="C23" s="10" t="s">
        <v>1055</v>
      </c>
      <c r="D23" s="11">
        <v>1</v>
      </c>
      <c r="E23" s="12">
        <v>3708</v>
      </c>
      <c r="F23" s="13">
        <v>3708</v>
      </c>
      <c r="G23" s="2">
        <f>VLOOKUP(B23,'PO with created By ASR'!A:C,3,FALSE)</f>
        <v>45659</v>
      </c>
      <c r="J23" s="2" t="str">
        <f>VLOOKUP(B23,'PO with created By ASR'!A:G,4,FALSE)</f>
        <v>Arun Kumar M  -CR</v>
      </c>
      <c r="K23" s="2" t="e">
        <f>VLOOKUP(B23,'PO with created By ASR'!A:I,6,FALSE)</f>
        <v>#N/A</v>
      </c>
      <c r="L23" s="2" t="str">
        <f>VLOOKUP(B23,'PO with created By ASR'!A:J,7,FALSE)</f>
        <v>B - Bangalore</v>
      </c>
      <c r="M23" s="2" t="str">
        <f>VLOOKUP(B23,'PO with created By ASR'!A:K,8,FALSE)</f>
        <v>Purchase Order-Blr</v>
      </c>
      <c r="N23" t="s">
        <v>36</v>
      </c>
      <c r="P23" s="2">
        <v>6</v>
      </c>
    </row>
    <row r="24" s="2" customFormat="1" spans="1:16">
      <c r="A24" s="8"/>
      <c r="B24" s="9" t="s">
        <v>123</v>
      </c>
      <c r="C24" s="10" t="s">
        <v>196</v>
      </c>
      <c r="D24" s="11">
        <v>1</v>
      </c>
      <c r="E24" s="12">
        <v>155</v>
      </c>
      <c r="F24" s="13">
        <v>155</v>
      </c>
      <c r="G24" s="2">
        <f>VLOOKUP(B24,'PO with created By ASR'!A:C,3,FALSE)</f>
        <v>45659</v>
      </c>
      <c r="J24" s="2" t="str">
        <f>VLOOKUP(B24,'PO with created By ASR'!A:G,4,FALSE)</f>
        <v>Arun Kumar M  -CR</v>
      </c>
      <c r="K24" s="2" t="e">
        <f>VLOOKUP(B24,'PO with created By ASR'!A:I,6,FALSE)</f>
        <v>#N/A</v>
      </c>
      <c r="L24" s="2" t="str">
        <f>VLOOKUP(B24,'PO with created By ASR'!A:J,7,FALSE)</f>
        <v>B - Bangalore</v>
      </c>
      <c r="M24" s="2" t="str">
        <f>VLOOKUP(B24,'PO with created By ASR'!A:K,8,FALSE)</f>
        <v>Purchase Order-Blr</v>
      </c>
      <c r="N24" t="s">
        <v>36</v>
      </c>
      <c r="P24" s="2">
        <v>6</v>
      </c>
    </row>
    <row r="25" s="2" customFormat="1" spans="1:16">
      <c r="A25" s="8"/>
      <c r="B25" s="9" t="s">
        <v>123</v>
      </c>
      <c r="C25" s="10" t="s">
        <v>233</v>
      </c>
      <c r="D25" s="11">
        <v>1</v>
      </c>
      <c r="E25" s="12">
        <v>750</v>
      </c>
      <c r="F25" s="13">
        <v>750</v>
      </c>
      <c r="G25" s="2">
        <f>VLOOKUP(B25,'PO with created By ASR'!A:C,3,FALSE)</f>
        <v>45659</v>
      </c>
      <c r="J25" s="2" t="str">
        <f>VLOOKUP(B25,'PO with created By ASR'!A:G,4,FALSE)</f>
        <v>Arun Kumar M  -CR</v>
      </c>
      <c r="K25" s="2" t="e">
        <f>VLOOKUP(B25,'PO with created By ASR'!A:I,6,FALSE)</f>
        <v>#N/A</v>
      </c>
      <c r="L25" s="2" t="str">
        <f>VLOOKUP(B25,'PO with created By ASR'!A:J,7,FALSE)</f>
        <v>B - Bangalore</v>
      </c>
      <c r="M25" s="2" t="str">
        <f>VLOOKUP(B25,'PO with created By ASR'!A:K,8,FALSE)</f>
        <v>Purchase Order-Blr</v>
      </c>
      <c r="N25" t="s">
        <v>36</v>
      </c>
      <c r="P25" s="2">
        <v>6</v>
      </c>
    </row>
    <row r="26" s="2" customFormat="1" spans="1:16">
      <c r="A26" s="8"/>
      <c r="B26" s="9" t="s">
        <v>130</v>
      </c>
      <c r="C26" s="10" t="s">
        <v>134</v>
      </c>
      <c r="D26" s="11">
        <v>1</v>
      </c>
      <c r="E26" s="12">
        <v>2846</v>
      </c>
      <c r="F26" s="13">
        <v>2846</v>
      </c>
      <c r="G26" s="2">
        <f>VLOOKUP(B26,'PO with created By ASR'!A:C,3,FALSE)</f>
        <v>45659</v>
      </c>
      <c r="J26" s="2" t="str">
        <f>VLOOKUP(B26,'PO with created By ASR'!A:G,4,FALSE)</f>
        <v>Sky Office Stationers-Blr</v>
      </c>
      <c r="K26" s="2" t="str">
        <f>VLOOKUP(B26,'PO with created By ASR'!A:I,6,FALSE)</f>
        <v>12417 Sky Office Stationers</v>
      </c>
      <c r="L26" s="2" t="str">
        <f>VLOOKUP(B26,'PO with created By ASR'!A:J,7,FALSE)</f>
        <v>B - Bangalore</v>
      </c>
      <c r="M26" s="2" t="str">
        <f>VLOOKUP(B26,'PO with created By ASR'!A:K,8,FALSE)</f>
        <v>Purchase Order-Blr</v>
      </c>
      <c r="N26" t="s">
        <v>36</v>
      </c>
      <c r="P26" s="2">
        <v>6</v>
      </c>
    </row>
    <row r="27" s="2" customFormat="1" spans="1:16">
      <c r="A27" s="8"/>
      <c r="B27" s="9" t="s">
        <v>130</v>
      </c>
      <c r="C27" s="10" t="s">
        <v>107</v>
      </c>
      <c r="D27" s="11">
        <v>1</v>
      </c>
      <c r="E27" s="12">
        <v>1216.41</v>
      </c>
      <c r="F27" s="13">
        <v>1216.41</v>
      </c>
      <c r="G27" s="2">
        <f>VLOOKUP(B27,'PO with created By ASR'!A:C,3,FALSE)</f>
        <v>45659</v>
      </c>
      <c r="J27" s="2" t="str">
        <f>VLOOKUP(B27,'PO with created By ASR'!A:G,4,FALSE)</f>
        <v>Sky Office Stationers-Blr</v>
      </c>
      <c r="K27" s="2" t="str">
        <f>VLOOKUP(B27,'PO with created By ASR'!A:I,6,FALSE)</f>
        <v>12417 Sky Office Stationers</v>
      </c>
      <c r="L27" s="2" t="str">
        <f>VLOOKUP(B27,'PO with created By ASR'!A:J,7,FALSE)</f>
        <v>B - Bangalore</v>
      </c>
      <c r="M27" s="2" t="str">
        <f>VLOOKUP(B27,'PO with created By ASR'!A:K,8,FALSE)</f>
        <v>Purchase Order-Blr</v>
      </c>
      <c r="N27" t="s">
        <v>36</v>
      </c>
      <c r="P27" s="2">
        <v>6</v>
      </c>
    </row>
    <row r="28" s="2" customFormat="1" spans="1:16">
      <c r="A28" s="8"/>
      <c r="B28" s="9" t="s">
        <v>130</v>
      </c>
      <c r="C28" s="10" t="s">
        <v>76</v>
      </c>
      <c r="D28" s="11">
        <v>1</v>
      </c>
      <c r="E28" s="12">
        <v>249.92</v>
      </c>
      <c r="F28" s="13">
        <v>249.92</v>
      </c>
      <c r="G28" s="2">
        <f>VLOOKUP(B28,'PO with created By ASR'!A:C,3,FALSE)</f>
        <v>45659</v>
      </c>
      <c r="J28" s="2" t="str">
        <f>VLOOKUP(B28,'PO with created By ASR'!A:G,4,FALSE)</f>
        <v>Sky Office Stationers-Blr</v>
      </c>
      <c r="K28" s="2" t="str">
        <f>VLOOKUP(B28,'PO with created By ASR'!A:I,6,FALSE)</f>
        <v>12417 Sky Office Stationers</v>
      </c>
      <c r="L28" s="2" t="str">
        <f>VLOOKUP(B28,'PO with created By ASR'!A:J,7,FALSE)</f>
        <v>B - Bangalore</v>
      </c>
      <c r="M28" s="2" t="str">
        <f>VLOOKUP(B28,'PO with created By ASR'!A:K,8,FALSE)</f>
        <v>Purchase Order-Blr</v>
      </c>
      <c r="N28" t="s">
        <v>36</v>
      </c>
      <c r="P28" s="2">
        <v>6</v>
      </c>
    </row>
    <row r="29" s="2" customFormat="1" spans="1:16">
      <c r="A29" s="8"/>
      <c r="B29" s="9" t="s">
        <v>130</v>
      </c>
      <c r="C29" s="10" t="s">
        <v>4363</v>
      </c>
      <c r="D29" s="11">
        <v>1</v>
      </c>
      <c r="E29" s="12">
        <v>249.92</v>
      </c>
      <c r="F29" s="13">
        <v>249.92</v>
      </c>
      <c r="G29" s="2">
        <f>VLOOKUP(B29,'PO with created By ASR'!A:C,3,FALSE)</f>
        <v>45659</v>
      </c>
      <c r="J29" s="2" t="str">
        <f>VLOOKUP(B29,'PO with created By ASR'!A:G,4,FALSE)</f>
        <v>Sky Office Stationers-Blr</v>
      </c>
      <c r="K29" s="2" t="str">
        <f>VLOOKUP(B29,'PO with created By ASR'!A:I,6,FALSE)</f>
        <v>12417 Sky Office Stationers</v>
      </c>
      <c r="L29" s="2" t="str">
        <f>VLOOKUP(B29,'PO with created By ASR'!A:J,7,FALSE)</f>
        <v>B - Bangalore</v>
      </c>
      <c r="M29" s="2" t="str">
        <f>VLOOKUP(B29,'PO with created By ASR'!A:K,8,FALSE)</f>
        <v>Purchase Order-Blr</v>
      </c>
      <c r="N29" t="s">
        <v>36</v>
      </c>
      <c r="P29" s="2">
        <v>6</v>
      </c>
    </row>
    <row r="30" s="2" customFormat="1" spans="1:16">
      <c r="A30" s="8"/>
      <c r="B30" s="9" t="s">
        <v>136</v>
      </c>
      <c r="C30" s="10" t="s">
        <v>140</v>
      </c>
      <c r="D30" s="11">
        <v>1</v>
      </c>
      <c r="E30" s="12">
        <v>69600</v>
      </c>
      <c r="F30" s="13">
        <v>69600</v>
      </c>
      <c r="G30" s="2">
        <f>VLOOKUP(B30,'PO with created By ASR'!A:C,3,FALSE)</f>
        <v>45659</v>
      </c>
      <c r="J30" s="2" t="str">
        <f>VLOOKUP(B30,'PO with created By ASR'!A:G,4,FALSE)</f>
        <v>The Westin Chennai Velachery (MFAR Hotels and Resorts Pvt Ltd)-Che</v>
      </c>
      <c r="K30" s="2" t="str">
        <f>VLOOKUP(B30,'PO with created By ASR'!A:I,6,FALSE)</f>
        <v>10468  The Westin Chennai Velachery (MFAR Hotels and Resorts Pvt Ltd)</v>
      </c>
      <c r="L30" s="2" t="str">
        <f>VLOOKUP(B30,'PO with created By ASR'!A:J,7,FALSE)</f>
        <v>C - Chennai</v>
      </c>
      <c r="M30" s="2" t="str">
        <f>VLOOKUP(B30,'PO with created By ASR'!A:K,8,FALSE)</f>
        <v>Purchase Order-Che</v>
      </c>
      <c r="N30" t="s">
        <v>36</v>
      </c>
      <c r="P30" s="2">
        <v>6</v>
      </c>
    </row>
    <row r="31" s="2" customFormat="1" spans="1:16">
      <c r="A31" s="8"/>
      <c r="B31" s="9" t="s">
        <v>144</v>
      </c>
      <c r="C31" s="10" t="s">
        <v>151</v>
      </c>
      <c r="D31" s="11">
        <v>1</v>
      </c>
      <c r="E31" s="12">
        <v>3787500</v>
      </c>
      <c r="F31" s="13">
        <v>3787500</v>
      </c>
      <c r="G31" s="2">
        <f>VLOOKUP(B31,'PO with created By ASR'!A:C,3,FALSE)</f>
        <v>45659</v>
      </c>
      <c r="J31" s="2" t="str">
        <f>VLOOKUP(B31,'PO with created By ASR'!A:G,4,FALSE)</f>
        <v>Jarvas Smart Solutions Pvt Ltd-Del</v>
      </c>
      <c r="K31" s="2" t="str">
        <f>VLOOKUP(B31,'PO with created By ASR'!A:I,6,FALSE)</f>
        <v>12882  Jarvas Smart Solutions Pvt Ltd</v>
      </c>
      <c r="L31" s="2" t="str">
        <f>VLOOKUP(B31,'PO with created By ASR'!A:J,7,FALSE)</f>
        <v>D - Delhi</v>
      </c>
      <c r="M31" s="2" t="str">
        <f>VLOOKUP(B31,'PO with created By ASR'!A:K,8,FALSE)</f>
        <v>Purchase Order-Del</v>
      </c>
      <c r="N31" t="s">
        <v>36</v>
      </c>
      <c r="P31" s="2">
        <v>6</v>
      </c>
    </row>
    <row r="32" s="2" customFormat="1" spans="1:16">
      <c r="A32" s="8"/>
      <c r="B32" s="9" t="s">
        <v>156</v>
      </c>
      <c r="C32" s="10" t="s">
        <v>160</v>
      </c>
      <c r="D32" s="11">
        <v>6</v>
      </c>
      <c r="E32" s="12">
        <v>81000</v>
      </c>
      <c r="F32" s="13">
        <v>486000</v>
      </c>
      <c r="G32" s="2">
        <f>VLOOKUP(B32,'PO with created By ASR'!A:C,3,FALSE)</f>
        <v>45659</v>
      </c>
      <c r="J32" s="2" t="str">
        <f>VLOOKUP(B32,'PO with created By ASR'!A:G,4,FALSE)</f>
        <v>Rishi Computers-Del</v>
      </c>
      <c r="K32" s="2" t="str">
        <f>VLOOKUP(B32,'PO with created By ASR'!A:I,6,FALSE)</f>
        <v>12343 Rishi Computers</v>
      </c>
      <c r="L32" s="2" t="str">
        <f>VLOOKUP(B32,'PO with created By ASR'!A:J,7,FALSE)</f>
        <v>D - Delhi</v>
      </c>
      <c r="M32" s="2" t="str">
        <f>VLOOKUP(B32,'PO with created By ASR'!A:K,8,FALSE)</f>
        <v>Purchase Order-Del</v>
      </c>
      <c r="N32" t="s">
        <v>36</v>
      </c>
      <c r="P32" s="2">
        <v>6</v>
      </c>
    </row>
    <row r="33" s="2" customFormat="1" spans="1:16">
      <c r="A33" s="8"/>
      <c r="B33" s="9" t="s">
        <v>164</v>
      </c>
      <c r="C33" s="10" t="s">
        <v>165</v>
      </c>
      <c r="D33" s="14">
        <v>2</v>
      </c>
      <c r="E33" s="15">
        <v>315000</v>
      </c>
      <c r="F33" s="13">
        <v>630000</v>
      </c>
      <c r="G33" s="2">
        <f>VLOOKUP(B33,'PO with created By ASR'!A:C,3,FALSE)</f>
        <v>45659</v>
      </c>
      <c r="J33" s="2" t="str">
        <f>VLOOKUP(B33,'PO with created By ASR'!A:G,4,FALSE)</f>
        <v>Rishi Computers-Del</v>
      </c>
      <c r="K33" s="2" t="str">
        <f>VLOOKUP(B33,'PO with created By ASR'!A:I,6,FALSE)</f>
        <v>12343 Rishi Computers</v>
      </c>
      <c r="L33" s="2" t="str">
        <f>VLOOKUP(B33,'PO with created By ASR'!A:J,7,FALSE)</f>
        <v>D - Delhi</v>
      </c>
      <c r="M33" s="2" t="str">
        <f>VLOOKUP(B33,'PO with created By ASR'!A:K,8,FALSE)</f>
        <v>Purchase Order-Del</v>
      </c>
      <c r="N33" t="s">
        <v>36</v>
      </c>
      <c r="P33" s="2">
        <v>6</v>
      </c>
    </row>
    <row r="34" s="2" customFormat="1" spans="1:16">
      <c r="A34" s="8"/>
      <c r="B34" s="9" t="s">
        <v>166</v>
      </c>
      <c r="C34" s="10" t="s">
        <v>151</v>
      </c>
      <c r="D34" s="11">
        <v>1</v>
      </c>
      <c r="E34" s="12">
        <v>491000</v>
      </c>
      <c r="F34" s="13">
        <v>491000</v>
      </c>
      <c r="G34" s="2">
        <f>VLOOKUP(B34,'PO with created By ASR'!A:C,3,FALSE)</f>
        <v>45659</v>
      </c>
      <c r="J34" s="2" t="str">
        <f>VLOOKUP(B34,'PO with created By ASR'!A:G,4,FALSE)</f>
        <v>Saksham Signs Pvt Ltd-Del</v>
      </c>
      <c r="K34" s="2" t="str">
        <f>VLOOKUP(B34,'PO with created By ASR'!A:I,6,FALSE)</f>
        <v>12886  Saksham Signs Pvt Ltd</v>
      </c>
      <c r="L34" s="2" t="str">
        <f>VLOOKUP(B34,'PO with created By ASR'!A:J,7,FALSE)</f>
        <v>D - Delhi</v>
      </c>
      <c r="M34" s="2" t="str">
        <f>VLOOKUP(B34,'PO with created By ASR'!A:K,8,FALSE)</f>
        <v>Purchase Order-Del</v>
      </c>
      <c r="N34" t="s">
        <v>36</v>
      </c>
      <c r="P34" s="2">
        <v>6</v>
      </c>
    </row>
    <row r="35" s="2" customFormat="1" spans="1:16">
      <c r="A35" s="8"/>
      <c r="B35" s="9" t="s">
        <v>169</v>
      </c>
      <c r="C35" s="10" t="s">
        <v>84</v>
      </c>
      <c r="D35" s="11">
        <v>1</v>
      </c>
      <c r="E35" s="12">
        <v>28000</v>
      </c>
      <c r="F35" s="13">
        <v>28000</v>
      </c>
      <c r="G35" s="2">
        <f>VLOOKUP(B35,'PO with created By ASR'!A:C,3,FALSE)</f>
        <v>45659</v>
      </c>
      <c r="J35" s="2" t="str">
        <f>VLOOKUP(B35,'PO with created By ASR'!A:G,4,FALSE)</f>
        <v>Gurdeep Kaur-Del</v>
      </c>
      <c r="K35" s="2" t="str">
        <f>VLOOKUP(B35,'PO with created By ASR'!A:I,6,FALSE)</f>
        <v>11103 Gurdeep Kaur</v>
      </c>
      <c r="L35" s="2" t="str">
        <f>VLOOKUP(B35,'PO with created By ASR'!A:J,7,FALSE)</f>
        <v>D - Delhi</v>
      </c>
      <c r="M35" s="2" t="str">
        <f>VLOOKUP(B35,'PO with created By ASR'!A:K,8,FALSE)</f>
        <v>Purchase Order-Del</v>
      </c>
      <c r="N35" t="s">
        <v>36</v>
      </c>
      <c r="P35" s="2">
        <v>6</v>
      </c>
    </row>
    <row r="36" s="2" customFormat="1" spans="1:16">
      <c r="A36" s="8"/>
      <c r="B36" s="9" t="s">
        <v>174</v>
      </c>
      <c r="C36" s="10" t="s">
        <v>84</v>
      </c>
      <c r="D36" s="11">
        <v>1</v>
      </c>
      <c r="E36" s="12">
        <v>22000</v>
      </c>
      <c r="F36" s="13">
        <v>22000</v>
      </c>
      <c r="G36" s="2">
        <f>VLOOKUP(B36,'PO with created By ASR'!A:C,3,FALSE)</f>
        <v>45659</v>
      </c>
      <c r="J36" s="2" t="str">
        <f>VLOOKUP(B36,'PO with created By ASR'!A:G,4,FALSE)</f>
        <v>Gurdeep Kaur-Del</v>
      </c>
      <c r="K36" s="2" t="str">
        <f>VLOOKUP(B36,'PO with created By ASR'!A:I,6,FALSE)</f>
        <v>11103 Gurdeep Kaur</v>
      </c>
      <c r="L36" s="2" t="str">
        <f>VLOOKUP(B36,'PO with created By ASR'!A:J,7,FALSE)</f>
        <v>D - Delhi</v>
      </c>
      <c r="M36" s="2" t="str">
        <f>VLOOKUP(B36,'PO with created By ASR'!A:K,8,FALSE)</f>
        <v>Purchase Order-Del</v>
      </c>
      <c r="N36" t="s">
        <v>36</v>
      </c>
      <c r="P36" s="2">
        <v>6</v>
      </c>
    </row>
    <row r="37" s="2" customFormat="1" spans="1:16">
      <c r="A37" s="8"/>
      <c r="B37" s="9" t="s">
        <v>175</v>
      </c>
      <c r="C37" s="10" t="s">
        <v>84</v>
      </c>
      <c r="D37" s="11">
        <v>1</v>
      </c>
      <c r="E37" s="12">
        <v>22000</v>
      </c>
      <c r="F37" s="13">
        <v>22000</v>
      </c>
      <c r="G37" s="2">
        <f>VLOOKUP(B37,'PO with created By ASR'!A:C,3,FALSE)</f>
        <v>45659</v>
      </c>
      <c r="J37" s="2" t="str">
        <f>VLOOKUP(B37,'PO with created By ASR'!A:G,4,FALSE)</f>
        <v>Aaa Rental Llp-Mum</v>
      </c>
      <c r="K37" s="2" t="str">
        <f>VLOOKUP(B37,'PO with created By ASR'!A:I,6,FALSE)</f>
        <v>11626 Aaa Rental Llp</v>
      </c>
      <c r="L37" s="2" t="str">
        <f>VLOOKUP(B37,'PO with created By ASR'!A:J,7,FALSE)</f>
        <v>D - Delhi</v>
      </c>
      <c r="M37" s="2" t="str">
        <f>VLOOKUP(B37,'PO with created By ASR'!A:K,8,FALSE)</f>
        <v>Purchase Order-Del</v>
      </c>
      <c r="N37" t="s">
        <v>36</v>
      </c>
      <c r="P37" s="2">
        <v>6</v>
      </c>
    </row>
    <row r="38" s="2" customFormat="1" spans="1:16">
      <c r="A38" s="8"/>
      <c r="B38" s="9" t="s">
        <v>177</v>
      </c>
      <c r="C38" s="10" t="s">
        <v>84</v>
      </c>
      <c r="D38" s="11">
        <v>2</v>
      </c>
      <c r="E38" s="12">
        <v>21000</v>
      </c>
      <c r="F38" s="13">
        <v>42000</v>
      </c>
      <c r="G38" s="2">
        <f>VLOOKUP(B38,'PO with created By ASR'!A:C,3,FALSE)</f>
        <v>45659</v>
      </c>
      <c r="J38" s="2" t="str">
        <f>VLOOKUP(B38,'PO with created By ASR'!A:G,4,FALSE)</f>
        <v>Aaa Rental Llp-Mum</v>
      </c>
      <c r="K38" s="2" t="str">
        <f>VLOOKUP(B38,'PO with created By ASR'!A:I,6,FALSE)</f>
        <v>11626 Aaa Rental Llp</v>
      </c>
      <c r="L38" s="2" t="str">
        <f>VLOOKUP(B38,'PO with created By ASR'!A:J,7,FALSE)</f>
        <v>D - Delhi</v>
      </c>
      <c r="M38" s="2" t="str">
        <f>VLOOKUP(B38,'PO with created By ASR'!A:K,8,FALSE)</f>
        <v>Purchase Order-Del</v>
      </c>
      <c r="N38" t="s">
        <v>36</v>
      </c>
      <c r="P38" s="2">
        <v>6</v>
      </c>
    </row>
    <row r="39" s="2" customFormat="1" spans="1:16">
      <c r="A39" s="8"/>
      <c r="B39" s="9" t="s">
        <v>178</v>
      </c>
      <c r="C39" s="10" t="s">
        <v>84</v>
      </c>
      <c r="D39" s="11">
        <v>1</v>
      </c>
      <c r="E39" s="12">
        <v>19000</v>
      </c>
      <c r="F39" s="13">
        <v>19000</v>
      </c>
      <c r="G39" s="2">
        <f>VLOOKUP(B39,'PO with created By ASR'!A:C,3,FALSE)</f>
        <v>45659</v>
      </c>
      <c r="J39" s="2" t="str">
        <f>VLOOKUP(B39,'PO with created By ASR'!A:G,4,FALSE)</f>
        <v>Aaa Rental Llp-Mum</v>
      </c>
      <c r="K39" s="2" t="str">
        <f>VLOOKUP(B39,'PO with created By ASR'!A:I,6,FALSE)</f>
        <v>11626 Aaa Rental Llp</v>
      </c>
      <c r="L39" s="2" t="str">
        <f>VLOOKUP(B39,'PO with created By ASR'!A:J,7,FALSE)</f>
        <v>D - Delhi</v>
      </c>
      <c r="M39" s="2" t="str">
        <f>VLOOKUP(B39,'PO with created By ASR'!A:K,8,FALSE)</f>
        <v>Purchase Order-Del</v>
      </c>
      <c r="N39" t="s">
        <v>36</v>
      </c>
      <c r="P39" s="2">
        <v>6</v>
      </c>
    </row>
    <row r="40" s="2" customFormat="1" spans="1:16">
      <c r="A40" s="8"/>
      <c r="B40" s="9" t="s">
        <v>179</v>
      </c>
      <c r="C40" s="10" t="s">
        <v>140</v>
      </c>
      <c r="D40" s="11">
        <v>1</v>
      </c>
      <c r="E40" s="12">
        <v>13259.16</v>
      </c>
      <c r="F40" s="13">
        <v>13259.16</v>
      </c>
      <c r="G40" s="2">
        <f>VLOOKUP(B40,'PO with created By ASR'!A:C,3,FALSE)</f>
        <v>45659</v>
      </c>
      <c r="J40" s="2" t="str">
        <f>VLOOKUP(B40,'PO with created By ASR'!A:G,4,FALSE)</f>
        <v>Ekatra Collective Pvt Ltd-Mum</v>
      </c>
      <c r="K40" s="2" t="str">
        <f>VLOOKUP(B40,'PO with created By ASR'!A:I,6,FALSE)</f>
        <v>12858  Ekatra Collective Pvt Ltd</v>
      </c>
      <c r="L40" s="2" t="str">
        <f>VLOOKUP(B40,'PO with created By ASR'!A:J,7,FALSE)</f>
        <v>A - Mumbai</v>
      </c>
      <c r="M40" s="2" t="str">
        <f>VLOOKUP(B40,'PO with created By ASR'!A:K,8,FALSE)</f>
        <v>Purchase Order-Mum</v>
      </c>
      <c r="N40" t="s">
        <v>36</v>
      </c>
      <c r="P40" s="2">
        <v>6</v>
      </c>
    </row>
    <row r="41" s="2" customFormat="1" spans="1:16">
      <c r="A41" s="8"/>
      <c r="B41" s="9" t="s">
        <v>179</v>
      </c>
      <c r="C41" s="10" t="s">
        <v>140</v>
      </c>
      <c r="D41" s="11">
        <v>1</v>
      </c>
      <c r="E41" s="12">
        <v>47135.72</v>
      </c>
      <c r="F41" s="13">
        <v>47135.72</v>
      </c>
      <c r="G41" s="2">
        <f>VLOOKUP(B41,'PO with created By ASR'!A:C,3,FALSE)</f>
        <v>45659</v>
      </c>
      <c r="J41" s="2" t="str">
        <f>VLOOKUP(B41,'PO with created By ASR'!A:G,4,FALSE)</f>
        <v>Ekatra Collective Pvt Ltd-Mum</v>
      </c>
      <c r="K41" s="2" t="str">
        <f>VLOOKUP(B41,'PO with created By ASR'!A:I,6,FALSE)</f>
        <v>12858  Ekatra Collective Pvt Ltd</v>
      </c>
      <c r="L41" s="2" t="str">
        <f>VLOOKUP(B41,'PO with created By ASR'!A:J,7,FALSE)</f>
        <v>A - Mumbai</v>
      </c>
      <c r="M41" s="2" t="str">
        <f>VLOOKUP(B41,'PO with created By ASR'!A:K,8,FALSE)</f>
        <v>Purchase Order-Mum</v>
      </c>
      <c r="N41" t="s">
        <v>36</v>
      </c>
      <c r="P41" s="2">
        <v>6</v>
      </c>
    </row>
    <row r="42" s="2" customFormat="1" spans="1:16">
      <c r="A42" s="8"/>
      <c r="B42" s="9" t="s">
        <v>191</v>
      </c>
      <c r="C42" s="10" t="s">
        <v>196</v>
      </c>
      <c r="D42" s="11">
        <v>1</v>
      </c>
      <c r="E42" s="12">
        <v>11793</v>
      </c>
      <c r="F42" s="13">
        <v>11793</v>
      </c>
      <c r="G42" s="2">
        <f>VLOOKUP(B42,'PO with created By ASR'!A:C,3,FALSE)</f>
        <v>45659</v>
      </c>
      <c r="J42" s="2" t="str">
        <f>VLOOKUP(B42,'PO with created By ASR'!A:G,4,FALSE)</f>
        <v>Noaman Digital Partnership Firm-Mum</v>
      </c>
      <c r="K42" s="2" t="e">
        <f>VLOOKUP(B42,'PO with created By ASR'!A:I,6,FALSE)</f>
        <v>#N/A</v>
      </c>
      <c r="L42" s="2" t="str">
        <f>VLOOKUP(B42,'PO with created By ASR'!A:J,7,FALSE)</f>
        <v>A - Mumbai</v>
      </c>
      <c r="M42" s="2" t="str">
        <f>VLOOKUP(B42,'PO with created By ASR'!A:K,8,FALSE)</f>
        <v>Purchase Order-Mum</v>
      </c>
      <c r="N42" t="s">
        <v>36</v>
      </c>
      <c r="P42" s="2">
        <v>6</v>
      </c>
    </row>
    <row r="43" s="2" customFormat="1" spans="1:16">
      <c r="A43" s="8"/>
      <c r="B43" s="9" t="s">
        <v>201</v>
      </c>
      <c r="C43" s="10" t="s">
        <v>205</v>
      </c>
      <c r="D43" s="11">
        <v>1</v>
      </c>
      <c r="E43" s="12">
        <v>7000</v>
      </c>
      <c r="F43" s="13">
        <v>7000</v>
      </c>
      <c r="G43" s="2">
        <f>VLOOKUP(B43,'PO with created By ASR'!A:C,3,FALSE)</f>
        <v>45659</v>
      </c>
      <c r="J43" s="2" t="str">
        <f>VLOOKUP(B43,'PO with created By ASR'!A:G,4,FALSE)</f>
        <v>Turbonet Systems Pvt Ltd-Mum</v>
      </c>
      <c r="K43" s="2" t="str">
        <f>VLOOKUP(B43,'PO with created By ASR'!A:I,6,FALSE)</f>
        <v>12560  Turbonet Systems Pvt Ltd</v>
      </c>
      <c r="L43" s="2" t="str">
        <f>VLOOKUP(B43,'PO with created By ASR'!A:J,7,FALSE)</f>
        <v>A - Mumbai</v>
      </c>
      <c r="M43" s="2" t="str">
        <f>VLOOKUP(B43,'PO with created By ASR'!A:K,8,FALSE)</f>
        <v>Purchase Order-Mum</v>
      </c>
      <c r="N43" t="s">
        <v>36</v>
      </c>
      <c r="P43" s="2">
        <v>6</v>
      </c>
    </row>
    <row r="44" s="2" customFormat="1" spans="1:16">
      <c r="A44" s="8"/>
      <c r="B44" s="9" t="s">
        <v>208</v>
      </c>
      <c r="C44" s="10" t="s">
        <v>212</v>
      </c>
      <c r="D44" s="11">
        <v>1</v>
      </c>
      <c r="E44" s="12">
        <v>165000</v>
      </c>
      <c r="F44" s="13">
        <v>165000</v>
      </c>
      <c r="G44" s="2">
        <f>VLOOKUP(B44,'PO with created By ASR'!A:C,3,FALSE)</f>
        <v>45659</v>
      </c>
      <c r="J44" s="2" t="str">
        <f>VLOOKUP(B44,'PO with created By ASR'!A:G,4,FALSE)</f>
        <v>Jaguar Security Services Pvt Ltd-Mum</v>
      </c>
      <c r="K44" s="2" t="str">
        <f>VLOOKUP(B44,'PO with created By ASR'!A:I,6,FALSE)</f>
        <v>12046  Jaguar Security Services Pvt Ltd</v>
      </c>
      <c r="L44" s="2" t="str">
        <f>VLOOKUP(B44,'PO with created By ASR'!A:J,7,FALSE)</f>
        <v>A - Mumbai</v>
      </c>
      <c r="M44" s="2" t="str">
        <f>VLOOKUP(B44,'PO with created By ASR'!A:K,8,FALSE)</f>
        <v>Purchase Order-Mum</v>
      </c>
      <c r="N44" t="s">
        <v>36</v>
      </c>
      <c r="P44" s="2">
        <v>6</v>
      </c>
    </row>
    <row r="45" s="2" customFormat="1" spans="1:16">
      <c r="A45" s="8"/>
      <c r="B45" s="9" t="s">
        <v>217</v>
      </c>
      <c r="C45" s="10" t="s">
        <v>94</v>
      </c>
      <c r="D45" s="11">
        <v>1</v>
      </c>
      <c r="E45" s="12">
        <v>62500</v>
      </c>
      <c r="F45" s="13">
        <v>62500</v>
      </c>
      <c r="G45" s="2">
        <f>VLOOKUP(B45,'PO with created By ASR'!A:C,3,FALSE)</f>
        <v>45660</v>
      </c>
      <c r="J45" s="2" t="str">
        <f>VLOOKUP(B45,'PO with created By ASR'!A:G,4,FALSE)</f>
        <v>Tata Teleservices Ltd-Blr</v>
      </c>
      <c r="K45" s="2" t="str">
        <f>VLOOKUP(B45,'PO with created By ASR'!A:I,6,FALSE)</f>
        <v>10964  Tata Teleservices Ltd</v>
      </c>
      <c r="L45" s="2" t="str">
        <f>VLOOKUP(B45,'PO with created By ASR'!A:J,7,FALSE)</f>
        <v>C - Chennai</v>
      </c>
      <c r="M45" s="2" t="str">
        <f>VLOOKUP(B45,'PO with created By ASR'!A:K,8,FALSE)</f>
        <v>Purchase Order-Che</v>
      </c>
      <c r="N45" t="s">
        <v>36</v>
      </c>
      <c r="P45" s="2">
        <v>6</v>
      </c>
    </row>
    <row r="46" s="2" customFormat="1" spans="1:16">
      <c r="A46" s="8"/>
      <c r="B46" s="9" t="s">
        <v>223</v>
      </c>
      <c r="C46" s="10" t="s">
        <v>226</v>
      </c>
      <c r="D46" s="14">
        <v>1</v>
      </c>
      <c r="E46" s="15">
        <v>116703</v>
      </c>
      <c r="F46" s="13">
        <v>116703</v>
      </c>
      <c r="G46" s="2">
        <f>VLOOKUP(B46,'PO with created By ASR'!A:C,3,FALSE)</f>
        <v>45660</v>
      </c>
      <c r="J46" s="2" t="str">
        <f>VLOOKUP(B46,'PO with created By ASR'!A:G,4,FALSE)</f>
        <v>Goldline Security Systems-Del</v>
      </c>
      <c r="K46" s="2" t="str">
        <f>VLOOKUP(B46,'PO with created By ASR'!A:I,6,FALSE)</f>
        <v>12880 Goldline Security Systems</v>
      </c>
      <c r="L46" s="2" t="str">
        <f>VLOOKUP(B46,'PO with created By ASR'!A:J,7,FALSE)</f>
        <v>D - Delhi</v>
      </c>
      <c r="M46" s="2" t="str">
        <f>VLOOKUP(B46,'PO with created By ASR'!A:K,8,FALSE)</f>
        <v>Purchase Order-Del</v>
      </c>
      <c r="N46" t="s">
        <v>36</v>
      </c>
      <c r="P46" s="2">
        <v>6</v>
      </c>
    </row>
    <row r="47" s="2" customFormat="1" spans="1:16">
      <c r="A47" s="8"/>
      <c r="B47" s="9" t="s">
        <v>223</v>
      </c>
      <c r="C47" s="10" t="s">
        <v>107</v>
      </c>
      <c r="D47" s="11">
        <v>1</v>
      </c>
      <c r="E47" s="12">
        <v>13915</v>
      </c>
      <c r="F47" s="13">
        <v>13915</v>
      </c>
      <c r="G47" s="2">
        <f>VLOOKUP(B47,'PO with created By ASR'!A:C,3,FALSE)</f>
        <v>45660</v>
      </c>
      <c r="J47" s="2" t="str">
        <f>VLOOKUP(B47,'PO with created By ASR'!A:G,4,FALSE)</f>
        <v>Goldline Security Systems-Del</v>
      </c>
      <c r="K47" s="2" t="str">
        <f>VLOOKUP(B47,'PO with created By ASR'!A:I,6,FALSE)</f>
        <v>12880 Goldline Security Systems</v>
      </c>
      <c r="L47" s="2" t="str">
        <f>VLOOKUP(B47,'PO with created By ASR'!A:J,7,FALSE)</f>
        <v>D - Delhi</v>
      </c>
      <c r="M47" s="2" t="str">
        <f>VLOOKUP(B47,'PO with created By ASR'!A:K,8,FALSE)</f>
        <v>Purchase Order-Del</v>
      </c>
      <c r="N47" t="s">
        <v>36</v>
      </c>
      <c r="P47" s="2">
        <v>6</v>
      </c>
    </row>
    <row r="48" s="2" customFormat="1" spans="1:16">
      <c r="A48" s="8"/>
      <c r="B48" s="9" t="s">
        <v>229</v>
      </c>
      <c r="C48" s="10" t="s">
        <v>107</v>
      </c>
      <c r="D48" s="11">
        <v>1</v>
      </c>
      <c r="E48" s="12">
        <v>68802</v>
      </c>
      <c r="F48" s="13">
        <v>68802</v>
      </c>
      <c r="G48" s="2">
        <f>VLOOKUP(B48,'PO with created By ASR'!A:C,3,FALSE)</f>
        <v>45660</v>
      </c>
      <c r="J48" s="2" t="str">
        <f>VLOOKUP(B48,'PO with created By ASR'!A:G,4,FALSE)</f>
        <v>Goldline Security Systems-Del</v>
      </c>
      <c r="K48" s="2" t="str">
        <f>VLOOKUP(B48,'PO with created By ASR'!A:I,6,FALSE)</f>
        <v>12880 Goldline Security Systems</v>
      </c>
      <c r="L48" s="2" t="str">
        <f>VLOOKUP(B48,'PO with created By ASR'!A:J,7,FALSE)</f>
        <v>D - Delhi</v>
      </c>
      <c r="M48" s="2" t="str">
        <f>VLOOKUP(B48,'PO with created By ASR'!A:K,8,FALSE)</f>
        <v>Purchase Order-Del</v>
      </c>
      <c r="N48" t="s">
        <v>36</v>
      </c>
      <c r="P48" s="2">
        <v>6</v>
      </c>
    </row>
    <row r="49" s="2" customFormat="1" spans="1:16">
      <c r="A49" s="8"/>
      <c r="B49" s="9" t="s">
        <v>230</v>
      </c>
      <c r="C49" s="10" t="s">
        <v>233</v>
      </c>
      <c r="D49" s="11">
        <v>1</v>
      </c>
      <c r="E49" s="12">
        <v>138013</v>
      </c>
      <c r="F49" s="13">
        <v>138013</v>
      </c>
      <c r="G49" s="2">
        <f>VLOOKUP(B49,'PO with created By ASR'!A:C,3,FALSE)</f>
        <v>45660</v>
      </c>
      <c r="J49" s="2" t="str">
        <f>VLOOKUP(B49,'PO with created By ASR'!A:G,4,FALSE)</f>
        <v>Wanderers Adventure Sports Pvt Ltd-Del</v>
      </c>
      <c r="K49" s="2" t="str">
        <f>VLOOKUP(B49,'PO with created By ASR'!A:I,6,FALSE)</f>
        <v>10103  Wanderers Adventure Sports Pvt Ltd</v>
      </c>
      <c r="L49" s="2" t="str">
        <f>VLOOKUP(B49,'PO with created By ASR'!A:J,7,FALSE)</f>
        <v>D - Delhi</v>
      </c>
      <c r="M49" s="2" t="str">
        <f>VLOOKUP(B49,'PO with created By ASR'!A:K,8,FALSE)</f>
        <v>Purchase Order-Del</v>
      </c>
      <c r="N49" t="s">
        <v>36</v>
      </c>
      <c r="P49" s="2">
        <v>6</v>
      </c>
    </row>
    <row r="50" s="2" customFormat="1" spans="1:16">
      <c r="A50" s="8"/>
      <c r="B50" s="9" t="s">
        <v>237</v>
      </c>
      <c r="C50" s="10" t="s">
        <v>140</v>
      </c>
      <c r="D50" s="11">
        <v>1</v>
      </c>
      <c r="E50" s="12">
        <v>147300</v>
      </c>
      <c r="F50" s="13">
        <v>147300</v>
      </c>
      <c r="G50" s="2">
        <f>VLOOKUP(B50,'PO with created By ASR'!A:C,3,FALSE)</f>
        <v>45660</v>
      </c>
      <c r="J50" s="2" t="str">
        <f>VLOOKUP(B50,'PO with created By ASR'!A:G,4,FALSE)</f>
        <v>Studio Merchandise Pvt Ltd-Del</v>
      </c>
      <c r="K50" s="2" t="str">
        <f>VLOOKUP(B50,'PO with created By ASR'!A:I,6,FALSE)</f>
        <v>12464  Studio Merchandise Pvt Ltd</v>
      </c>
      <c r="L50" s="2" t="str">
        <f>VLOOKUP(B50,'PO with created By ASR'!A:J,7,FALSE)</f>
        <v>D - Delhi</v>
      </c>
      <c r="M50" s="2" t="str">
        <f>VLOOKUP(B50,'PO with created By ASR'!A:K,8,FALSE)</f>
        <v>Purchase Order-Del</v>
      </c>
      <c r="N50" t="s">
        <v>36</v>
      </c>
      <c r="P50" s="2">
        <v>6</v>
      </c>
    </row>
    <row r="51" s="2" customFormat="1" spans="1:16">
      <c r="A51" s="8"/>
      <c r="B51" s="9" t="s">
        <v>237</v>
      </c>
      <c r="C51" s="10" t="s">
        <v>140</v>
      </c>
      <c r="D51" s="11">
        <v>1</v>
      </c>
      <c r="E51" s="12">
        <v>157500</v>
      </c>
      <c r="F51" s="13">
        <v>157500</v>
      </c>
      <c r="G51" s="2">
        <f>VLOOKUP(B51,'PO with created By ASR'!A:C,3,FALSE)</f>
        <v>45660</v>
      </c>
      <c r="J51" s="2" t="str">
        <f>VLOOKUP(B51,'PO with created By ASR'!A:G,4,FALSE)</f>
        <v>Studio Merchandise Pvt Ltd-Del</v>
      </c>
      <c r="K51" s="2" t="str">
        <f>VLOOKUP(B51,'PO with created By ASR'!A:I,6,FALSE)</f>
        <v>12464  Studio Merchandise Pvt Ltd</v>
      </c>
      <c r="L51" s="2" t="str">
        <f>VLOOKUP(B51,'PO with created By ASR'!A:J,7,FALSE)</f>
        <v>D - Delhi</v>
      </c>
      <c r="M51" s="2" t="str">
        <f>VLOOKUP(B51,'PO with created By ASR'!A:K,8,FALSE)</f>
        <v>Purchase Order-Del</v>
      </c>
      <c r="N51" t="s">
        <v>36</v>
      </c>
      <c r="P51" s="2">
        <v>6</v>
      </c>
    </row>
    <row r="52" s="2" customFormat="1" spans="1:16">
      <c r="A52" s="8"/>
      <c r="B52" s="9" t="s">
        <v>237</v>
      </c>
      <c r="C52" s="10" t="s">
        <v>140</v>
      </c>
      <c r="D52" s="11">
        <v>1</v>
      </c>
      <c r="E52" s="12">
        <v>7800</v>
      </c>
      <c r="F52" s="13">
        <v>7800</v>
      </c>
      <c r="G52" s="2">
        <f>VLOOKUP(B52,'PO with created By ASR'!A:C,3,FALSE)</f>
        <v>45660</v>
      </c>
      <c r="J52" s="2" t="str">
        <f>VLOOKUP(B52,'PO with created By ASR'!A:G,4,FALSE)</f>
        <v>Studio Merchandise Pvt Ltd-Del</v>
      </c>
      <c r="K52" s="2" t="str">
        <f>VLOOKUP(B52,'PO with created By ASR'!A:I,6,FALSE)</f>
        <v>12464  Studio Merchandise Pvt Ltd</v>
      </c>
      <c r="L52" s="2" t="str">
        <f>VLOOKUP(B52,'PO with created By ASR'!A:J,7,FALSE)</f>
        <v>D - Delhi</v>
      </c>
      <c r="M52" s="2" t="str">
        <f>VLOOKUP(B52,'PO with created By ASR'!A:K,8,FALSE)</f>
        <v>Purchase Order-Del</v>
      </c>
      <c r="N52" t="s">
        <v>36</v>
      </c>
      <c r="P52" s="2">
        <v>6</v>
      </c>
    </row>
    <row r="53" s="2" customFormat="1" spans="1:16">
      <c r="A53" s="8"/>
      <c r="B53" s="9" t="s">
        <v>237</v>
      </c>
      <c r="C53" s="10" t="s">
        <v>140</v>
      </c>
      <c r="D53" s="11">
        <v>1</v>
      </c>
      <c r="E53" s="12">
        <v>157500</v>
      </c>
      <c r="F53" s="13">
        <v>157500</v>
      </c>
      <c r="G53" s="2">
        <f>VLOOKUP(B53,'PO with created By ASR'!A:C,3,FALSE)</f>
        <v>45660</v>
      </c>
      <c r="J53" s="2" t="str">
        <f>VLOOKUP(B53,'PO with created By ASR'!A:G,4,FALSE)</f>
        <v>Studio Merchandise Pvt Ltd-Del</v>
      </c>
      <c r="K53" s="2" t="str">
        <f>VLOOKUP(B53,'PO with created By ASR'!A:I,6,FALSE)</f>
        <v>12464  Studio Merchandise Pvt Ltd</v>
      </c>
      <c r="L53" s="2" t="str">
        <f>VLOOKUP(B53,'PO with created By ASR'!A:J,7,FALSE)</f>
        <v>D - Delhi</v>
      </c>
      <c r="M53" s="2" t="str">
        <f>VLOOKUP(B53,'PO with created By ASR'!A:K,8,FALSE)</f>
        <v>Purchase Order-Del</v>
      </c>
      <c r="N53" t="s">
        <v>36</v>
      </c>
      <c r="P53" s="2">
        <v>6</v>
      </c>
    </row>
    <row r="54" s="2" customFormat="1" spans="1:16">
      <c r="A54" s="8"/>
      <c r="B54" s="9" t="s">
        <v>237</v>
      </c>
      <c r="C54" s="10" t="s">
        <v>140</v>
      </c>
      <c r="D54" s="11">
        <v>1</v>
      </c>
      <c r="E54" s="12">
        <v>7800</v>
      </c>
      <c r="F54" s="13">
        <v>7800</v>
      </c>
      <c r="G54" s="2">
        <f>VLOOKUP(B54,'PO with created By ASR'!A:C,3,FALSE)</f>
        <v>45660</v>
      </c>
      <c r="J54" s="2" t="str">
        <f>VLOOKUP(B54,'PO with created By ASR'!A:G,4,FALSE)</f>
        <v>Studio Merchandise Pvt Ltd-Del</v>
      </c>
      <c r="K54" s="2" t="str">
        <f>VLOOKUP(B54,'PO with created By ASR'!A:I,6,FALSE)</f>
        <v>12464  Studio Merchandise Pvt Ltd</v>
      </c>
      <c r="L54" s="2" t="str">
        <f>VLOOKUP(B54,'PO with created By ASR'!A:J,7,FALSE)</f>
        <v>D - Delhi</v>
      </c>
      <c r="M54" s="2" t="str">
        <f>VLOOKUP(B54,'PO with created By ASR'!A:K,8,FALSE)</f>
        <v>Purchase Order-Del</v>
      </c>
      <c r="N54" t="s">
        <v>36</v>
      </c>
      <c r="P54" s="2">
        <v>6</v>
      </c>
    </row>
    <row r="55" s="2" customFormat="1" spans="1:16">
      <c r="A55" s="8"/>
      <c r="B55" s="9" t="s">
        <v>237</v>
      </c>
      <c r="C55" s="10" t="s">
        <v>140</v>
      </c>
      <c r="D55" s="11">
        <v>1</v>
      </c>
      <c r="E55" s="12">
        <v>147300</v>
      </c>
      <c r="F55" s="13">
        <v>147300</v>
      </c>
      <c r="G55" s="2">
        <f>VLOOKUP(B55,'PO with created By ASR'!A:C,3,FALSE)</f>
        <v>45660</v>
      </c>
      <c r="J55" s="2" t="str">
        <f>VLOOKUP(B55,'PO with created By ASR'!A:G,4,FALSE)</f>
        <v>Studio Merchandise Pvt Ltd-Del</v>
      </c>
      <c r="K55" s="2" t="str">
        <f>VLOOKUP(B55,'PO with created By ASR'!A:I,6,FALSE)</f>
        <v>12464  Studio Merchandise Pvt Ltd</v>
      </c>
      <c r="L55" s="2" t="str">
        <f>VLOOKUP(B55,'PO with created By ASR'!A:J,7,FALSE)</f>
        <v>D - Delhi</v>
      </c>
      <c r="M55" s="2" t="str">
        <f>VLOOKUP(B55,'PO with created By ASR'!A:K,8,FALSE)</f>
        <v>Purchase Order-Del</v>
      </c>
      <c r="N55" t="s">
        <v>36</v>
      </c>
      <c r="P55" s="2">
        <v>6</v>
      </c>
    </row>
    <row r="56" s="2" customFormat="1" spans="1:16">
      <c r="A56" s="8"/>
      <c r="B56" s="9" t="s">
        <v>243</v>
      </c>
      <c r="C56" s="10" t="s">
        <v>61</v>
      </c>
      <c r="D56" s="11">
        <v>1</v>
      </c>
      <c r="E56" s="12">
        <v>41000</v>
      </c>
      <c r="F56" s="13">
        <v>41000</v>
      </c>
      <c r="G56" s="2">
        <f>VLOOKUP(B56,'PO with created By ASR'!A:C,3,FALSE)</f>
        <v>45660</v>
      </c>
      <c r="J56" s="2" t="str">
        <f>VLOOKUP(B56,'PO with created By ASR'!A:G,4,FALSE)</f>
        <v>Fairfield By Marriott Mumbai (Associated Hospitality Pvt Ltd)-Mum</v>
      </c>
      <c r="K56" s="2" t="str">
        <f>VLOOKUP(B56,'PO with created By ASR'!A:I,6,FALSE)</f>
        <v>11911  Fairfield By Marriott Mumbai (Associated Hospitality Pvt Ltd)</v>
      </c>
      <c r="L56" s="2" t="str">
        <f>VLOOKUP(B56,'PO with created By ASR'!A:J,7,FALSE)</f>
        <v>A - Mumbai</v>
      </c>
      <c r="M56" s="2" t="str">
        <f>VLOOKUP(B56,'PO with created By ASR'!A:K,8,FALSE)</f>
        <v>Purchase Order-Mum</v>
      </c>
      <c r="N56" t="s">
        <v>36</v>
      </c>
      <c r="P56" s="2">
        <v>6</v>
      </c>
    </row>
    <row r="57" s="2" customFormat="1" spans="1:16">
      <c r="A57" s="8"/>
      <c r="B57" s="9" t="s">
        <v>246</v>
      </c>
      <c r="C57" s="10" t="s">
        <v>250</v>
      </c>
      <c r="D57" s="11">
        <v>1</v>
      </c>
      <c r="E57" s="12">
        <v>540000</v>
      </c>
      <c r="F57" s="13">
        <v>540000</v>
      </c>
      <c r="G57" s="2">
        <f>VLOOKUP(B57,'PO with created By ASR'!A:C,3,FALSE)</f>
        <v>45660</v>
      </c>
      <c r="J57" s="2" t="str">
        <f>VLOOKUP(B57,'PO with created By ASR'!A:G,4,FALSE)</f>
        <v>Black Hat Talent Solutions &amp; Consulting Pvt Ltd-Mum</v>
      </c>
      <c r="K57" s="2" t="str">
        <f>VLOOKUP(B57,'PO with created By ASR'!A:I,6,FALSE)</f>
        <v>10572  Black Hat Talent Solutions &amp; Consulting Pvt Ltd</v>
      </c>
      <c r="L57" s="2" t="str">
        <f>VLOOKUP(B57,'PO with created By ASR'!A:J,7,FALSE)</f>
        <v>A - Mumbai</v>
      </c>
      <c r="M57" s="2" t="str">
        <f>VLOOKUP(B57,'PO with created By ASR'!A:K,8,FALSE)</f>
        <v>Purchase Order-Mum</v>
      </c>
      <c r="N57" t="s">
        <v>36</v>
      </c>
      <c r="P57" s="2">
        <v>6</v>
      </c>
    </row>
    <row r="58" s="2" customFormat="1" spans="1:16">
      <c r="A58" s="8"/>
      <c r="B58" s="9" t="s">
        <v>254</v>
      </c>
      <c r="C58" s="10" t="s">
        <v>256</v>
      </c>
      <c r="D58" s="11">
        <v>1</v>
      </c>
      <c r="E58" s="12">
        <v>55500</v>
      </c>
      <c r="F58" s="13">
        <v>55500</v>
      </c>
      <c r="G58" s="2">
        <f>VLOOKUP(B58,'PO with created By ASR'!A:C,3,FALSE)</f>
        <v>45660</v>
      </c>
      <c r="J58" s="2" t="str">
        <f>VLOOKUP(B58,'PO with created By ASR'!A:G,4,FALSE)</f>
        <v>Phonographic Performance Limited-Mum</v>
      </c>
      <c r="K58" s="2" t="e">
        <f>VLOOKUP(B58,'PO with created By ASR'!A:I,6,FALSE)</f>
        <v>#N/A</v>
      </c>
      <c r="L58" s="2" t="str">
        <f>VLOOKUP(B58,'PO with created By ASR'!A:J,7,FALSE)</f>
        <v>A - Mumbai</v>
      </c>
      <c r="M58" s="2" t="str">
        <f>VLOOKUP(B58,'PO with created By ASR'!A:K,8,FALSE)</f>
        <v>Purchase Order-Mum</v>
      </c>
      <c r="N58" t="s">
        <v>36</v>
      </c>
      <c r="P58" s="2">
        <v>6</v>
      </c>
    </row>
    <row r="59" s="2" customFormat="1" spans="1:16">
      <c r="A59" s="8"/>
      <c r="B59" s="9" t="s">
        <v>260</v>
      </c>
      <c r="C59" s="10" t="s">
        <v>256</v>
      </c>
      <c r="D59" s="11">
        <v>1</v>
      </c>
      <c r="E59" s="12">
        <v>60000</v>
      </c>
      <c r="F59" s="13">
        <v>60000</v>
      </c>
      <c r="G59" s="2">
        <f>VLOOKUP(B59,'PO with created By ASR'!A:C,3,FALSE)</f>
        <v>45660</v>
      </c>
      <c r="J59" s="2" t="str">
        <f>VLOOKUP(B59,'PO with created By ASR'!A:G,4,FALSE)</f>
        <v>Novex Communications Pvt. Ltd.-Mum</v>
      </c>
      <c r="K59" s="2" t="e">
        <f>VLOOKUP(B59,'PO with created By ASR'!A:I,6,FALSE)</f>
        <v>#N/A</v>
      </c>
      <c r="L59" s="2" t="str">
        <f>VLOOKUP(B59,'PO with created By ASR'!A:J,7,FALSE)</f>
        <v>A - Mumbai</v>
      </c>
      <c r="M59" s="2" t="str">
        <f>VLOOKUP(B59,'PO with created By ASR'!A:K,8,FALSE)</f>
        <v>Purchase Order-Mum</v>
      </c>
      <c r="N59" t="s">
        <v>36</v>
      </c>
      <c r="P59" s="2">
        <v>6</v>
      </c>
    </row>
    <row r="60" s="2" customFormat="1" spans="1:16">
      <c r="A60" s="8"/>
      <c r="B60" s="9" t="s">
        <v>263</v>
      </c>
      <c r="C60" s="10" t="s">
        <v>256</v>
      </c>
      <c r="D60" s="11">
        <v>1</v>
      </c>
      <c r="E60" s="12">
        <v>75000</v>
      </c>
      <c r="F60" s="13">
        <v>75000</v>
      </c>
      <c r="G60" s="2">
        <f>VLOOKUP(B60,'PO with created By ASR'!A:C,3,FALSE)</f>
        <v>45660</v>
      </c>
      <c r="J60" s="2" t="str">
        <f>VLOOKUP(B60,'PO with created By ASR'!A:G,4,FALSE)</f>
        <v>The Indian Performing Right Society Ltd.-Mum</v>
      </c>
      <c r="K60" s="2" t="e">
        <f>VLOOKUP(B60,'PO with created By ASR'!A:I,6,FALSE)</f>
        <v>#N/A</v>
      </c>
      <c r="L60" s="2" t="str">
        <f>VLOOKUP(B60,'PO with created By ASR'!A:J,7,FALSE)</f>
        <v>A - Mumbai</v>
      </c>
      <c r="M60" s="2" t="str">
        <f>VLOOKUP(B60,'PO with created By ASR'!A:K,8,FALSE)</f>
        <v>Purchase Order-Mum</v>
      </c>
      <c r="N60" t="s">
        <v>36</v>
      </c>
      <c r="P60" s="2">
        <v>6</v>
      </c>
    </row>
    <row r="61" s="2" customFormat="1" spans="1:16">
      <c r="A61" s="8"/>
      <c r="B61" s="9" t="s">
        <v>265</v>
      </c>
      <c r="C61" s="10" t="s">
        <v>256</v>
      </c>
      <c r="D61" s="11">
        <v>1</v>
      </c>
      <c r="E61" s="12">
        <v>60000</v>
      </c>
      <c r="F61" s="13">
        <v>60000</v>
      </c>
      <c r="G61" s="2">
        <f>VLOOKUP(B61,'PO with created By ASR'!A:C,3,FALSE)</f>
        <v>45660</v>
      </c>
      <c r="J61" s="2" t="str">
        <f>VLOOKUP(B61,'PO with created By ASR'!A:G,4,FALSE)</f>
        <v>Phonographic Performance Limited-Mum</v>
      </c>
      <c r="K61" s="2" t="e">
        <f>VLOOKUP(B61,'PO with created By ASR'!A:I,6,FALSE)</f>
        <v>#N/A</v>
      </c>
      <c r="L61" s="2" t="str">
        <f>VLOOKUP(B61,'PO with created By ASR'!A:J,7,FALSE)</f>
        <v>A - Mumbai</v>
      </c>
      <c r="M61" s="2" t="str">
        <f>VLOOKUP(B61,'PO with created By ASR'!A:K,8,FALSE)</f>
        <v>Purchase Order-Mum</v>
      </c>
      <c r="N61" t="s">
        <v>36</v>
      </c>
      <c r="P61" s="2">
        <v>6</v>
      </c>
    </row>
    <row r="62" s="2" customFormat="1" spans="1:16">
      <c r="A62" s="8"/>
      <c r="B62" s="9" t="s">
        <v>266</v>
      </c>
      <c r="C62" s="10" t="s">
        <v>256</v>
      </c>
      <c r="D62" s="11">
        <v>1</v>
      </c>
      <c r="E62" s="12">
        <v>60000</v>
      </c>
      <c r="F62" s="13">
        <v>60000</v>
      </c>
      <c r="G62" s="2">
        <f>VLOOKUP(B62,'PO with created By ASR'!A:C,3,FALSE)</f>
        <v>45660</v>
      </c>
      <c r="J62" s="2" t="str">
        <f>VLOOKUP(B62,'PO with created By ASR'!A:G,4,FALSE)</f>
        <v>Novex Communications Pvt. Ltd.-Mum</v>
      </c>
      <c r="K62" s="2" t="e">
        <f>VLOOKUP(B62,'PO with created By ASR'!A:I,6,FALSE)</f>
        <v>#N/A</v>
      </c>
      <c r="L62" s="2" t="str">
        <f>VLOOKUP(B62,'PO with created By ASR'!A:J,7,FALSE)</f>
        <v>A - Mumbai</v>
      </c>
      <c r="M62" s="2" t="str">
        <f>VLOOKUP(B62,'PO with created By ASR'!A:K,8,FALSE)</f>
        <v>Purchase Order-Mum</v>
      </c>
      <c r="N62" t="s">
        <v>36</v>
      </c>
      <c r="P62" s="2">
        <v>6</v>
      </c>
    </row>
    <row r="63" s="2" customFormat="1" spans="1:16">
      <c r="A63" s="8"/>
      <c r="B63" s="9" t="s">
        <v>267</v>
      </c>
      <c r="C63" s="10" t="s">
        <v>151</v>
      </c>
      <c r="D63" s="11">
        <v>1</v>
      </c>
      <c r="E63" s="12">
        <v>24600</v>
      </c>
      <c r="F63" s="13">
        <v>24600</v>
      </c>
      <c r="G63" s="2">
        <f>VLOOKUP(B63,'PO with created By ASR'!A:C,3,FALSE)</f>
        <v>45660</v>
      </c>
      <c r="J63" s="2" t="str">
        <f>VLOOKUP(B63,'PO with created By ASR'!A:G,4,FALSE)</f>
        <v>Rentastic-Mum</v>
      </c>
      <c r="K63" s="2" t="e">
        <f>VLOOKUP(B63,'PO with created By ASR'!A:I,6,FALSE)</f>
        <v>#N/A</v>
      </c>
      <c r="L63" s="2" t="str">
        <f>VLOOKUP(B63,'PO with created By ASR'!A:J,7,FALSE)</f>
        <v>A - Mumbai</v>
      </c>
      <c r="M63" s="2" t="str">
        <f>VLOOKUP(B63,'PO with created By ASR'!A:K,8,FALSE)</f>
        <v>Purchase Order-Mum</v>
      </c>
      <c r="N63" t="s">
        <v>36</v>
      </c>
      <c r="P63" s="2">
        <v>6</v>
      </c>
    </row>
    <row r="64" s="2" customFormat="1" spans="1:16">
      <c r="A64" s="8"/>
      <c r="B64" s="9" t="s">
        <v>269</v>
      </c>
      <c r="C64" s="10" t="s">
        <v>140</v>
      </c>
      <c r="D64" s="11">
        <v>1</v>
      </c>
      <c r="E64" s="12">
        <v>29400</v>
      </c>
      <c r="F64" s="13">
        <v>29400</v>
      </c>
      <c r="G64" s="2">
        <f>VLOOKUP(B64,'PO with created By ASR'!A:C,3,FALSE)</f>
        <v>45660</v>
      </c>
      <c r="J64" s="2" t="str">
        <f>VLOOKUP(B64,'PO with created By ASR'!A:G,4,FALSE)</f>
        <v>Zinque (Sweet Spot) (OTV)-Mum</v>
      </c>
      <c r="K64" s="2" t="e">
        <f>VLOOKUP(B64,'PO with created By ASR'!A:I,6,FALSE)</f>
        <v>#N/A</v>
      </c>
      <c r="L64" s="2" t="str">
        <f>VLOOKUP(B64,'PO with created By ASR'!A:J,7,FALSE)</f>
        <v>A - Mumbai</v>
      </c>
      <c r="M64" s="2" t="str">
        <f>VLOOKUP(B64,'PO with created By ASR'!A:K,8,FALSE)</f>
        <v>Purchase Order-Mum</v>
      </c>
      <c r="N64" t="s">
        <v>36</v>
      </c>
      <c r="P64" s="2">
        <v>6</v>
      </c>
    </row>
    <row r="65" s="2" customFormat="1" spans="1:16">
      <c r="A65" s="8"/>
      <c r="B65" s="9" t="s">
        <v>272</v>
      </c>
      <c r="C65" s="10" t="s">
        <v>276</v>
      </c>
      <c r="D65" s="11">
        <v>1</v>
      </c>
      <c r="E65" s="12">
        <v>348660</v>
      </c>
      <c r="F65" s="13">
        <v>348660</v>
      </c>
      <c r="G65" s="2">
        <f>VLOOKUP(B65,'PO with created By ASR'!A:C,3,FALSE)</f>
        <v>45663</v>
      </c>
      <c r="J65" s="2" t="str">
        <f>VLOOKUP(B65,'PO with created By ASR'!A:G,4,FALSE)</f>
        <v>The Oberoi Bengaluru-Blr</v>
      </c>
      <c r="K65" s="2" t="str">
        <f>VLOOKUP(B65,'PO with created By ASR'!A:I,6,FALSE)</f>
        <v>10455  The Oberoi Bengaluru</v>
      </c>
      <c r="L65" s="2" t="str">
        <f>VLOOKUP(B65,'PO with created By ASR'!A:J,7,FALSE)</f>
        <v>B - Bangalore</v>
      </c>
      <c r="M65" s="2" t="str">
        <f>VLOOKUP(B65,'PO with created By ASR'!A:K,8,FALSE)</f>
        <v>Purchase Order-Blr</v>
      </c>
      <c r="N65" t="s">
        <v>36</v>
      </c>
      <c r="P65" s="2">
        <v>6</v>
      </c>
    </row>
    <row r="66" s="2" customFormat="1" spans="1:16">
      <c r="A66" s="8"/>
      <c r="B66" s="9" t="s">
        <v>272</v>
      </c>
      <c r="C66" s="10" t="s">
        <v>276</v>
      </c>
      <c r="D66" s="11">
        <v>1</v>
      </c>
      <c r="E66" s="12">
        <v>172295</v>
      </c>
      <c r="F66" s="13">
        <v>172295</v>
      </c>
      <c r="G66" s="2">
        <f>VLOOKUP(B66,'PO with created By ASR'!A:C,3,FALSE)</f>
        <v>45663</v>
      </c>
      <c r="J66" s="2" t="str">
        <f>VLOOKUP(B66,'PO with created By ASR'!A:G,4,FALSE)</f>
        <v>The Oberoi Bengaluru-Blr</v>
      </c>
      <c r="K66" s="2" t="str">
        <f>VLOOKUP(B66,'PO with created By ASR'!A:I,6,FALSE)</f>
        <v>10455  The Oberoi Bengaluru</v>
      </c>
      <c r="L66" s="2" t="str">
        <f>VLOOKUP(B66,'PO with created By ASR'!A:J,7,FALSE)</f>
        <v>B - Bangalore</v>
      </c>
      <c r="M66" s="2" t="str">
        <f>VLOOKUP(B66,'PO with created By ASR'!A:K,8,FALSE)</f>
        <v>Purchase Order-Blr</v>
      </c>
      <c r="N66" t="s">
        <v>36</v>
      </c>
      <c r="P66" s="2">
        <v>6</v>
      </c>
    </row>
    <row r="67" s="2" customFormat="1" spans="1:16">
      <c r="A67" s="8"/>
      <c r="B67" s="9" t="s">
        <v>277</v>
      </c>
      <c r="C67" s="10" t="s">
        <v>140</v>
      </c>
      <c r="D67" s="11">
        <v>1</v>
      </c>
      <c r="E67" s="12">
        <v>55180</v>
      </c>
      <c r="F67" s="13">
        <v>55180</v>
      </c>
      <c r="G67" s="2">
        <f>VLOOKUP(B67,'PO with created By ASR'!A:C,3,FALSE)</f>
        <v>45663</v>
      </c>
      <c r="J67" s="2" t="str">
        <f>VLOOKUP(B67,'PO with created By ASR'!A:G,4,FALSE)</f>
        <v>Time Marketing-Blr</v>
      </c>
      <c r="K67" s="2" t="str">
        <f>VLOOKUP(B67,'PO with created By ASR'!A:I,6,FALSE)</f>
        <v>12541 Time Marketing</v>
      </c>
      <c r="L67" s="2" t="str">
        <f>VLOOKUP(B67,'PO with created By ASR'!A:J,7,FALSE)</f>
        <v>B - Bangalore</v>
      </c>
      <c r="M67" s="2" t="str">
        <f>VLOOKUP(B67,'PO with created By ASR'!A:K,8,FALSE)</f>
        <v>Purchase Order-Blr</v>
      </c>
      <c r="N67" t="s">
        <v>36</v>
      </c>
      <c r="P67" s="2">
        <v>6</v>
      </c>
    </row>
    <row r="68" s="2" customFormat="1" spans="1:16">
      <c r="A68" s="8"/>
      <c r="B68" s="9" t="s">
        <v>283</v>
      </c>
      <c r="C68" s="10" t="s">
        <v>126</v>
      </c>
      <c r="D68" s="11">
        <v>1</v>
      </c>
      <c r="E68" s="12">
        <v>2610</v>
      </c>
      <c r="F68" s="13">
        <v>2610</v>
      </c>
      <c r="G68" s="2">
        <f>VLOOKUP(B68,'PO with created By ASR'!A:C,3,FALSE)</f>
        <v>45663</v>
      </c>
      <c r="J68" s="2" t="str">
        <f>VLOOKUP(B68,'PO with created By ASR'!A:G,4,FALSE)</f>
        <v>Abdul Rehman -CR</v>
      </c>
      <c r="K68" s="2" t="e">
        <f>VLOOKUP(B68,'PO with created By ASR'!A:I,6,FALSE)</f>
        <v>#N/A</v>
      </c>
      <c r="L68" s="2" t="str">
        <f>VLOOKUP(B68,'PO with created By ASR'!A:J,7,FALSE)</f>
        <v>B - Bangalore</v>
      </c>
      <c r="M68" s="2" t="str">
        <f>VLOOKUP(B68,'PO with created By ASR'!A:K,8,FALSE)</f>
        <v>Purchase Order-Blr</v>
      </c>
      <c r="N68" t="s">
        <v>36</v>
      </c>
      <c r="P68" s="2">
        <v>6</v>
      </c>
    </row>
    <row r="69" s="2" customFormat="1" spans="1:16">
      <c r="A69" s="8"/>
      <c r="B69" s="9" t="s">
        <v>283</v>
      </c>
      <c r="C69" s="10" t="s">
        <v>412</v>
      </c>
      <c r="D69" s="11">
        <v>1</v>
      </c>
      <c r="E69" s="12">
        <v>1000</v>
      </c>
      <c r="F69" s="13">
        <v>1000</v>
      </c>
      <c r="G69" s="2">
        <f>VLOOKUP(B69,'PO with created By ASR'!A:C,3,FALSE)</f>
        <v>45663</v>
      </c>
      <c r="J69" s="2" t="str">
        <f>VLOOKUP(B69,'PO with created By ASR'!A:G,4,FALSE)</f>
        <v>Abdul Rehman -CR</v>
      </c>
      <c r="K69" s="2" t="e">
        <f>VLOOKUP(B69,'PO with created By ASR'!A:I,6,FALSE)</f>
        <v>#N/A</v>
      </c>
      <c r="L69" s="2" t="str">
        <f>VLOOKUP(B69,'PO with created By ASR'!A:J,7,FALSE)</f>
        <v>B - Bangalore</v>
      </c>
      <c r="M69" s="2" t="str">
        <f>VLOOKUP(B69,'PO with created By ASR'!A:K,8,FALSE)</f>
        <v>Purchase Order-Blr</v>
      </c>
      <c r="N69" t="s">
        <v>36</v>
      </c>
      <c r="P69" s="2">
        <v>6</v>
      </c>
    </row>
    <row r="70" s="2" customFormat="1" spans="1:16">
      <c r="A70" s="8"/>
      <c r="B70" s="9" t="s">
        <v>283</v>
      </c>
      <c r="C70" s="10" t="s">
        <v>292</v>
      </c>
      <c r="D70" s="11">
        <v>1</v>
      </c>
      <c r="E70" s="12">
        <v>6000</v>
      </c>
      <c r="F70" s="13">
        <v>6000</v>
      </c>
      <c r="G70" s="2">
        <f>VLOOKUP(B70,'PO with created By ASR'!A:C,3,FALSE)</f>
        <v>45663</v>
      </c>
      <c r="J70" s="2" t="str">
        <f>VLOOKUP(B70,'PO with created By ASR'!A:G,4,FALSE)</f>
        <v>Abdul Rehman -CR</v>
      </c>
      <c r="K70" s="2" t="e">
        <f>VLOOKUP(B70,'PO with created By ASR'!A:I,6,FALSE)</f>
        <v>#N/A</v>
      </c>
      <c r="L70" s="2" t="str">
        <f>VLOOKUP(B70,'PO with created By ASR'!A:J,7,FALSE)</f>
        <v>B - Bangalore</v>
      </c>
      <c r="M70" s="2" t="str">
        <f>VLOOKUP(B70,'PO with created By ASR'!A:K,8,FALSE)</f>
        <v>Purchase Order-Blr</v>
      </c>
      <c r="N70" t="s">
        <v>36</v>
      </c>
      <c r="P70" s="2">
        <v>6</v>
      </c>
    </row>
    <row r="71" s="2" customFormat="1" spans="1:16">
      <c r="A71" s="8"/>
      <c r="B71" s="9" t="s">
        <v>288</v>
      </c>
      <c r="C71" s="10" t="s">
        <v>126</v>
      </c>
      <c r="D71" s="11">
        <v>1</v>
      </c>
      <c r="E71" s="12">
        <v>3000</v>
      </c>
      <c r="F71" s="13">
        <v>3000</v>
      </c>
      <c r="G71" s="2">
        <f>VLOOKUP(B71,'PO with created By ASR'!A:C,3,FALSE)</f>
        <v>45663</v>
      </c>
      <c r="J71" s="2" t="str">
        <f>VLOOKUP(B71,'PO with created By ASR'!A:G,4,FALSE)</f>
        <v>Abdul Rehman -CR</v>
      </c>
      <c r="K71" s="2" t="e">
        <f>VLOOKUP(B71,'PO with created By ASR'!A:I,6,FALSE)</f>
        <v>#N/A</v>
      </c>
      <c r="L71" s="2" t="str">
        <f>VLOOKUP(B71,'PO with created By ASR'!A:J,7,FALSE)</f>
        <v>B - Bangalore</v>
      </c>
      <c r="M71" s="2" t="str">
        <f>VLOOKUP(B71,'PO with created By ASR'!A:K,8,FALSE)</f>
        <v>Purchase Order-Blr</v>
      </c>
      <c r="N71" t="s">
        <v>36</v>
      </c>
      <c r="P71" s="2">
        <v>6</v>
      </c>
    </row>
    <row r="72" s="2" customFormat="1" spans="1:16">
      <c r="A72" s="8"/>
      <c r="B72" s="9" t="s">
        <v>288</v>
      </c>
      <c r="C72" s="10" t="s">
        <v>292</v>
      </c>
      <c r="D72" s="11">
        <v>1</v>
      </c>
      <c r="E72" s="12">
        <v>4500</v>
      </c>
      <c r="F72" s="13">
        <v>4500</v>
      </c>
      <c r="G72" s="2">
        <f>VLOOKUP(B72,'PO with created By ASR'!A:C,3,FALSE)</f>
        <v>45663</v>
      </c>
      <c r="J72" s="2" t="str">
        <f>VLOOKUP(B72,'PO with created By ASR'!A:G,4,FALSE)</f>
        <v>Abdul Rehman -CR</v>
      </c>
      <c r="K72" s="2" t="e">
        <f>VLOOKUP(B72,'PO with created By ASR'!A:I,6,FALSE)</f>
        <v>#N/A</v>
      </c>
      <c r="L72" s="2" t="str">
        <f>VLOOKUP(B72,'PO with created By ASR'!A:J,7,FALSE)</f>
        <v>B - Bangalore</v>
      </c>
      <c r="M72" s="2" t="str">
        <f>VLOOKUP(B72,'PO with created By ASR'!A:K,8,FALSE)</f>
        <v>Purchase Order-Blr</v>
      </c>
      <c r="N72" t="s">
        <v>36</v>
      </c>
      <c r="P72" s="2">
        <v>6</v>
      </c>
    </row>
    <row r="73" s="2" customFormat="1" spans="1:16">
      <c r="A73" s="8"/>
      <c r="B73" s="9" t="s">
        <v>289</v>
      </c>
      <c r="C73" s="10" t="s">
        <v>292</v>
      </c>
      <c r="D73" s="11">
        <v>1</v>
      </c>
      <c r="E73" s="12">
        <v>65000</v>
      </c>
      <c r="F73" s="13">
        <v>65000</v>
      </c>
      <c r="G73" s="2">
        <f>VLOOKUP(B73,'PO with created By ASR'!A:C,3,FALSE)</f>
        <v>45663</v>
      </c>
      <c r="J73" s="2" t="str">
        <f>VLOOKUP(B73,'PO with created By ASR'!A:G,4,FALSE)</f>
        <v>Navyatha Sagar D-Blr</v>
      </c>
      <c r="K73" s="2" t="str">
        <f>VLOOKUP(B73,'PO with created By ASR'!A:I,6,FALSE)</f>
        <v>10766 Navyatha Sagar D</v>
      </c>
      <c r="L73" s="2" t="str">
        <f>VLOOKUP(B73,'PO with created By ASR'!A:J,7,FALSE)</f>
        <v>B - Bangalore</v>
      </c>
      <c r="M73" s="2" t="str">
        <f>VLOOKUP(B73,'PO with created By ASR'!A:K,8,FALSE)</f>
        <v>Purchase Order-Blr</v>
      </c>
      <c r="N73" t="s">
        <v>36</v>
      </c>
      <c r="P73" s="2">
        <v>6</v>
      </c>
    </row>
    <row r="74" s="2" customFormat="1" spans="1:16">
      <c r="A74" s="8"/>
      <c r="B74" s="9" t="s">
        <v>296</v>
      </c>
      <c r="C74" s="10" t="s">
        <v>250</v>
      </c>
      <c r="D74" s="11">
        <v>1</v>
      </c>
      <c r="E74" s="12">
        <v>60000</v>
      </c>
      <c r="F74" s="13">
        <v>60000</v>
      </c>
      <c r="G74" s="2">
        <f>VLOOKUP(B74,'PO with created By ASR'!A:C,3,FALSE)</f>
        <v>45663</v>
      </c>
      <c r="J74" s="2" t="str">
        <f>VLOOKUP(B74,'PO with created By ASR'!A:G,4,FALSE)</f>
        <v>DJ VJ Joshua-Blr</v>
      </c>
      <c r="K74" s="2" t="str">
        <f>VLOOKUP(B74,'PO with created By ASR'!A:I,6,FALSE)</f>
        <v>12878 DJ VJ Joshua</v>
      </c>
      <c r="L74" s="2" t="str">
        <f>VLOOKUP(B74,'PO with created By ASR'!A:J,7,FALSE)</f>
        <v>B - Bangalore</v>
      </c>
      <c r="M74" s="2" t="str">
        <f>VLOOKUP(B74,'PO with created By ASR'!A:K,8,FALSE)</f>
        <v>Purchase Order-Blr</v>
      </c>
      <c r="N74" t="s">
        <v>36</v>
      </c>
      <c r="P74" s="2">
        <v>6</v>
      </c>
    </row>
    <row r="75" s="2" customFormat="1" spans="1:16">
      <c r="A75" s="8"/>
      <c r="B75" s="9" t="s">
        <v>300</v>
      </c>
      <c r="C75" s="10" t="s">
        <v>140</v>
      </c>
      <c r="D75" s="11">
        <v>1</v>
      </c>
      <c r="E75" s="12">
        <v>107762</v>
      </c>
      <c r="F75" s="13">
        <v>107762</v>
      </c>
      <c r="G75" s="2">
        <f>VLOOKUP(B75,'PO with created By ASR'!A:C,3,FALSE)</f>
        <v>45663</v>
      </c>
      <c r="J75" s="2" t="str">
        <f>VLOOKUP(B75,'PO with created By ASR'!A:G,4,FALSE)</f>
        <v>Yash Gifts-Blr</v>
      </c>
      <c r="K75" s="2" t="str">
        <f>VLOOKUP(B75,'PO with created By ASR'!A:I,6,FALSE)</f>
        <v>12634 Yash  Gifts</v>
      </c>
      <c r="L75" s="2" t="str">
        <f>VLOOKUP(B75,'PO with created By ASR'!A:J,7,FALSE)</f>
        <v>B - Bangalore</v>
      </c>
      <c r="M75" s="2" t="str">
        <f>VLOOKUP(B75,'PO with created By ASR'!A:K,8,FALSE)</f>
        <v>Purchase Order-Blr</v>
      </c>
      <c r="N75" t="s">
        <v>36</v>
      </c>
      <c r="P75" s="2">
        <v>6</v>
      </c>
    </row>
    <row r="76" s="2" customFormat="1" spans="1:16">
      <c r="A76" s="8"/>
      <c r="B76" s="9" t="s">
        <v>304</v>
      </c>
      <c r="C76" s="10" t="s">
        <v>292</v>
      </c>
      <c r="D76" s="11">
        <v>1</v>
      </c>
      <c r="E76" s="12">
        <v>21500</v>
      </c>
      <c r="F76" s="13">
        <v>21500</v>
      </c>
      <c r="G76" s="2">
        <f>VLOOKUP(B76,'PO with created By ASR'!A:C,3,FALSE)</f>
        <v>45663</v>
      </c>
      <c r="J76" s="2" t="str">
        <f>VLOOKUP(B76,'PO with created By ASR'!A:G,4,FALSE)</f>
        <v>Sumair Shariff-Blr</v>
      </c>
      <c r="K76" s="2" t="str">
        <f>VLOOKUP(B76,'PO with created By ASR'!A:I,6,FALSE)</f>
        <v>11436 Sumair Shariff</v>
      </c>
      <c r="L76" s="2" t="str">
        <f>VLOOKUP(B76,'PO with created By ASR'!A:J,7,FALSE)</f>
        <v>B - Bangalore</v>
      </c>
      <c r="M76" s="2" t="str">
        <f>VLOOKUP(B76,'PO with created By ASR'!A:K,8,FALSE)</f>
        <v>Purchase Order-Blr</v>
      </c>
      <c r="N76" t="s">
        <v>36</v>
      </c>
      <c r="P76" s="2">
        <v>6</v>
      </c>
    </row>
    <row r="77" s="2" customFormat="1" spans="1:16">
      <c r="A77" s="8"/>
      <c r="B77" s="9" t="s">
        <v>307</v>
      </c>
      <c r="C77" s="10" t="s">
        <v>311</v>
      </c>
      <c r="D77" s="11">
        <v>1</v>
      </c>
      <c r="E77" s="12">
        <v>25000</v>
      </c>
      <c r="F77" s="13">
        <v>25000</v>
      </c>
      <c r="G77" s="2">
        <f>VLOOKUP(B77,'PO with created By ASR'!A:C,3,FALSE)</f>
        <v>45663</v>
      </c>
      <c r="J77" s="2" t="str">
        <f>VLOOKUP(B77,'PO with created By ASR'!A:G,4,FALSE)</f>
        <v>Foundsys Technologies Pvt Ltd-Blr</v>
      </c>
      <c r="K77" s="2" t="str">
        <f>VLOOKUP(B77,'PO with created By ASR'!A:I,6,FALSE)</f>
        <v>11931  Foundsys Technologies Pvt Ltd</v>
      </c>
      <c r="L77" s="2" t="str">
        <f>VLOOKUP(B77,'PO with created By ASR'!A:J,7,FALSE)</f>
        <v>B - Bangalore</v>
      </c>
      <c r="M77" s="2" t="str">
        <f>VLOOKUP(B77,'PO with created By ASR'!A:K,8,FALSE)</f>
        <v>Purchase Order-Blr</v>
      </c>
      <c r="N77" t="s">
        <v>36</v>
      </c>
      <c r="P77" s="2">
        <v>6</v>
      </c>
    </row>
    <row r="78" s="2" customFormat="1" spans="1:16">
      <c r="A78" s="8"/>
      <c r="B78" s="9" t="s">
        <v>313</v>
      </c>
      <c r="C78" s="10" t="s">
        <v>317</v>
      </c>
      <c r="D78" s="11">
        <v>1</v>
      </c>
      <c r="E78" s="12">
        <v>433710</v>
      </c>
      <c r="F78" s="13">
        <v>433710</v>
      </c>
      <c r="G78" s="2">
        <f>VLOOKUP(B78,'PO with created By ASR'!A:C,3,FALSE)</f>
        <v>45663</v>
      </c>
      <c r="J78" s="2" t="str">
        <f>VLOOKUP(B78,'PO with created By ASR'!A:G,4,FALSE)</f>
        <v>S R Creations-Blr</v>
      </c>
      <c r="K78" s="2" t="str">
        <f>VLOOKUP(B78,'PO with created By ASR'!A:I,6,FALSE)</f>
        <v>11428 S R Creations</v>
      </c>
      <c r="L78" s="2" t="str">
        <f>VLOOKUP(B78,'PO with created By ASR'!A:J,7,FALSE)</f>
        <v>B - Bangalore</v>
      </c>
      <c r="M78" s="2" t="str">
        <f>VLOOKUP(B78,'PO with created By ASR'!A:K,8,FALSE)</f>
        <v>Purchase Order-Blr</v>
      </c>
      <c r="N78" t="s">
        <v>36</v>
      </c>
      <c r="P78" s="2">
        <v>6</v>
      </c>
    </row>
    <row r="79" s="2" customFormat="1" spans="1:16">
      <c r="A79" s="8"/>
      <c r="B79" s="9" t="s">
        <v>321</v>
      </c>
      <c r="C79" s="10" t="s">
        <v>126</v>
      </c>
      <c r="D79" s="11">
        <v>1</v>
      </c>
      <c r="E79" s="12">
        <v>1900</v>
      </c>
      <c r="F79" s="13">
        <v>1900</v>
      </c>
      <c r="G79" s="2">
        <f>VLOOKUP(B79,'PO with created By ASR'!A:C,3,FALSE)</f>
        <v>45663</v>
      </c>
      <c r="J79" s="2" t="str">
        <f>VLOOKUP(B79,'PO with created By ASR'!A:G,4,FALSE)</f>
        <v>Abdul Rehman -CR</v>
      </c>
      <c r="K79" s="2" t="e">
        <f>VLOOKUP(B79,'PO with created By ASR'!A:I,6,FALSE)</f>
        <v>#N/A</v>
      </c>
      <c r="L79" s="2" t="str">
        <f>VLOOKUP(B79,'PO with created By ASR'!A:J,7,FALSE)</f>
        <v>B - Bangalore</v>
      </c>
      <c r="M79" s="2" t="str">
        <f>VLOOKUP(B79,'PO with created By ASR'!A:K,8,FALSE)</f>
        <v>Purchase Order-Blr</v>
      </c>
      <c r="N79" t="s">
        <v>36</v>
      </c>
      <c r="P79" s="2">
        <v>6</v>
      </c>
    </row>
    <row r="80" s="2" customFormat="1" spans="1:16">
      <c r="A80" s="8"/>
      <c r="B80" s="9" t="s">
        <v>321</v>
      </c>
      <c r="C80" s="10" t="s">
        <v>119</v>
      </c>
      <c r="D80" s="11">
        <v>1</v>
      </c>
      <c r="E80" s="12">
        <v>2200</v>
      </c>
      <c r="F80" s="13">
        <v>2200</v>
      </c>
      <c r="G80" s="2">
        <f>VLOOKUP(B80,'PO with created By ASR'!A:C,3,FALSE)</f>
        <v>45663</v>
      </c>
      <c r="J80" s="2" t="str">
        <f>VLOOKUP(B80,'PO with created By ASR'!A:G,4,FALSE)</f>
        <v>Abdul Rehman -CR</v>
      </c>
      <c r="K80" s="2" t="e">
        <f>VLOOKUP(B80,'PO with created By ASR'!A:I,6,FALSE)</f>
        <v>#N/A</v>
      </c>
      <c r="L80" s="2" t="str">
        <f>VLOOKUP(B80,'PO with created By ASR'!A:J,7,FALSE)</f>
        <v>B - Bangalore</v>
      </c>
      <c r="M80" s="2" t="str">
        <f>VLOOKUP(B80,'PO with created By ASR'!A:K,8,FALSE)</f>
        <v>Purchase Order-Blr</v>
      </c>
      <c r="N80" t="s">
        <v>36</v>
      </c>
      <c r="P80" s="2">
        <v>6</v>
      </c>
    </row>
    <row r="81" s="2" customFormat="1" spans="1:16">
      <c r="A81" s="8"/>
      <c r="B81" s="9" t="s">
        <v>321</v>
      </c>
      <c r="C81" s="10" t="s">
        <v>292</v>
      </c>
      <c r="D81" s="11">
        <v>1</v>
      </c>
      <c r="E81" s="12">
        <v>7000</v>
      </c>
      <c r="F81" s="13">
        <v>7000</v>
      </c>
      <c r="G81" s="2">
        <f>VLOOKUP(B81,'PO with created By ASR'!A:C,3,FALSE)</f>
        <v>45663</v>
      </c>
      <c r="J81" s="2" t="str">
        <f>VLOOKUP(B81,'PO with created By ASR'!A:G,4,FALSE)</f>
        <v>Abdul Rehman -CR</v>
      </c>
      <c r="K81" s="2" t="e">
        <f>VLOOKUP(B81,'PO with created By ASR'!A:I,6,FALSE)</f>
        <v>#N/A</v>
      </c>
      <c r="L81" s="2" t="str">
        <f>VLOOKUP(B81,'PO with created By ASR'!A:J,7,FALSE)</f>
        <v>B - Bangalore</v>
      </c>
      <c r="M81" s="2" t="str">
        <f>VLOOKUP(B81,'PO with created By ASR'!A:K,8,FALSE)</f>
        <v>Purchase Order-Blr</v>
      </c>
      <c r="N81" t="s">
        <v>36</v>
      </c>
      <c r="P81" s="2">
        <v>6</v>
      </c>
    </row>
    <row r="82" s="2" customFormat="1" spans="1:16">
      <c r="A82" s="8"/>
      <c r="B82" s="9" t="s">
        <v>324</v>
      </c>
      <c r="C82" s="10" t="s">
        <v>317</v>
      </c>
      <c r="D82" s="11">
        <v>1</v>
      </c>
      <c r="E82" s="12">
        <v>126940</v>
      </c>
      <c r="F82" s="13">
        <v>126940</v>
      </c>
      <c r="G82" s="2">
        <f>VLOOKUP(B82,'PO with created By ASR'!A:C,3,FALSE)</f>
        <v>45663</v>
      </c>
      <c r="J82" s="2" t="str">
        <f>VLOOKUP(B82,'PO with created By ASR'!A:G,4,FALSE)</f>
        <v>Gala Event Solutions-Che</v>
      </c>
      <c r="K82" s="2" t="str">
        <f>VLOOKUP(B82,'PO with created By ASR'!A:I,6,FALSE)</f>
        <v>11939 Gala Event Solutions</v>
      </c>
      <c r="L82" s="2" t="str">
        <f>VLOOKUP(B82,'PO with created By ASR'!A:J,7,FALSE)</f>
        <v>C - Chennai</v>
      </c>
      <c r="M82" s="2" t="str">
        <f>VLOOKUP(B82,'PO with created By ASR'!A:K,8,FALSE)</f>
        <v>Purchase Order-Che</v>
      </c>
      <c r="N82" t="s">
        <v>36</v>
      </c>
      <c r="P82" s="2">
        <v>6</v>
      </c>
    </row>
    <row r="83" s="2" customFormat="1" spans="1:16">
      <c r="A83" s="8"/>
      <c r="B83" s="9" t="s">
        <v>330</v>
      </c>
      <c r="C83" s="10" t="s">
        <v>332</v>
      </c>
      <c r="D83" s="11">
        <v>1</v>
      </c>
      <c r="E83" s="12">
        <v>2950</v>
      </c>
      <c r="F83" s="13">
        <v>2950</v>
      </c>
      <c r="G83" s="2">
        <f>VLOOKUP(B83,'PO with created By ASR'!A:C,3,FALSE)</f>
        <v>45663</v>
      </c>
      <c r="J83" s="2" t="str">
        <f>VLOOKUP(B83,'PO with created By ASR'!A:G,4,FALSE)</f>
        <v>Clinton J  for Expense-CR</v>
      </c>
      <c r="K83" s="2" t="e">
        <f>VLOOKUP(B83,'PO with created By ASR'!A:I,6,FALSE)</f>
        <v>#N/A</v>
      </c>
      <c r="L83" s="2" t="str">
        <f>VLOOKUP(B83,'PO with created By ASR'!A:J,7,FALSE)</f>
        <v>C - Chennai</v>
      </c>
      <c r="M83" s="2" t="str">
        <f>VLOOKUP(B83,'PO with created By ASR'!A:K,8,FALSE)</f>
        <v>Purchase Order-Che</v>
      </c>
      <c r="N83" t="s">
        <v>36</v>
      </c>
      <c r="P83" s="2">
        <v>6</v>
      </c>
    </row>
    <row r="84" s="2" customFormat="1" spans="1:16">
      <c r="A84" s="8"/>
      <c r="B84" s="9" t="s">
        <v>330</v>
      </c>
      <c r="C84" s="10" t="s">
        <v>134</v>
      </c>
      <c r="D84" s="11">
        <v>1</v>
      </c>
      <c r="E84" s="12">
        <v>1359</v>
      </c>
      <c r="F84" s="13">
        <v>1359</v>
      </c>
      <c r="G84" s="2">
        <f>VLOOKUP(B84,'PO with created By ASR'!A:C,3,FALSE)</f>
        <v>45663</v>
      </c>
      <c r="J84" s="2" t="str">
        <f>VLOOKUP(B84,'PO with created By ASR'!A:G,4,FALSE)</f>
        <v>Clinton J  for Expense-CR</v>
      </c>
      <c r="K84" s="2" t="e">
        <f>VLOOKUP(B84,'PO with created By ASR'!A:I,6,FALSE)</f>
        <v>#N/A</v>
      </c>
      <c r="L84" s="2" t="str">
        <f>VLOOKUP(B84,'PO with created By ASR'!A:J,7,FALSE)</f>
        <v>C - Chennai</v>
      </c>
      <c r="M84" s="2" t="str">
        <f>VLOOKUP(B84,'PO with created By ASR'!A:K,8,FALSE)</f>
        <v>Purchase Order-Che</v>
      </c>
      <c r="N84" t="s">
        <v>36</v>
      </c>
      <c r="P84" s="2">
        <v>6</v>
      </c>
    </row>
    <row r="85" s="2" customFormat="1" spans="1:16">
      <c r="A85" s="8"/>
      <c r="B85" s="9" t="s">
        <v>336</v>
      </c>
      <c r="C85" s="10" t="s">
        <v>317</v>
      </c>
      <c r="D85" s="11">
        <v>1</v>
      </c>
      <c r="E85" s="12">
        <v>20200</v>
      </c>
      <c r="F85" s="13">
        <v>20200</v>
      </c>
      <c r="G85" s="2">
        <f>VLOOKUP(B85,'PO with created By ASR'!A:C,3,FALSE)</f>
        <v>45663</v>
      </c>
      <c r="J85" s="2" t="str">
        <f>VLOOKUP(B85,'PO with created By ASR'!A:G,4,FALSE)</f>
        <v>Gala Event Solutions-Che</v>
      </c>
      <c r="K85" s="2" t="str">
        <f>VLOOKUP(B85,'PO with created By ASR'!A:I,6,FALSE)</f>
        <v>11939 Gala Event Solutions</v>
      </c>
      <c r="L85" s="2" t="str">
        <f>VLOOKUP(B85,'PO with created By ASR'!A:J,7,FALSE)</f>
        <v>C - Chennai</v>
      </c>
      <c r="M85" s="2" t="str">
        <f>VLOOKUP(B85,'PO with created By ASR'!A:K,8,FALSE)</f>
        <v>Purchase Order-Che</v>
      </c>
      <c r="N85" t="s">
        <v>36</v>
      </c>
      <c r="P85" s="2">
        <v>6</v>
      </c>
    </row>
    <row r="86" s="2" customFormat="1" spans="1:16">
      <c r="A86" s="8"/>
      <c r="B86" s="9" t="s">
        <v>340</v>
      </c>
      <c r="C86" s="10" t="s">
        <v>140</v>
      </c>
      <c r="D86" s="11">
        <v>1</v>
      </c>
      <c r="E86" s="12">
        <v>147000</v>
      </c>
      <c r="F86" s="13">
        <v>147000</v>
      </c>
      <c r="G86" s="2">
        <f>VLOOKUP(B86,'PO with created By ASR'!A:C,3,FALSE)</f>
        <v>45663</v>
      </c>
      <c r="J86" s="2" t="str">
        <f>VLOOKUP(B86,'PO with created By ASR'!A:G,4,FALSE)</f>
        <v>Benson Trophies And Awards-Del</v>
      </c>
      <c r="K86" s="2" t="str">
        <f>VLOOKUP(B86,'PO with created By ASR'!A:I,6,FALSE)</f>
        <v>11719 Benson Trophies And Awards</v>
      </c>
      <c r="L86" s="2" t="str">
        <f>VLOOKUP(B86,'PO with created By ASR'!A:J,7,FALSE)</f>
        <v>D - Delhi</v>
      </c>
      <c r="M86" s="2" t="str">
        <f>VLOOKUP(B86,'PO with created By ASR'!A:K,8,FALSE)</f>
        <v>Purchase Order-Del</v>
      </c>
      <c r="N86" t="s">
        <v>36</v>
      </c>
      <c r="P86" s="2">
        <v>6</v>
      </c>
    </row>
    <row r="87" s="2" customFormat="1" spans="1:16">
      <c r="A87" s="8"/>
      <c r="B87" s="9" t="s">
        <v>344</v>
      </c>
      <c r="C87" s="10" t="s">
        <v>347</v>
      </c>
      <c r="D87" s="11">
        <v>1</v>
      </c>
      <c r="E87" s="12">
        <v>13500</v>
      </c>
      <c r="F87" s="13">
        <v>13500</v>
      </c>
      <c r="G87" s="2">
        <f>VLOOKUP(B87,'PO with created By ASR'!A:C,3,FALSE)</f>
        <v>45663</v>
      </c>
      <c r="J87" s="2" t="str">
        <f>VLOOKUP(B87,'PO with created By ASR'!A:G,4,FALSE)</f>
        <v>Digital Emotions Pvt Ltd-Del</v>
      </c>
      <c r="K87" s="2" t="str">
        <f>VLOOKUP(B87,'PO with created By ASR'!A:I,6,FALSE)</f>
        <v>11826  Digital Emotions Pvt Ltd</v>
      </c>
      <c r="L87" s="2" t="str">
        <f>VLOOKUP(B87,'PO with created By ASR'!A:J,7,FALSE)</f>
        <v>D - Delhi</v>
      </c>
      <c r="M87" s="2" t="str">
        <f>VLOOKUP(B87,'PO with created By ASR'!A:K,8,FALSE)</f>
        <v>Purchase Order-Del</v>
      </c>
      <c r="N87" t="s">
        <v>36</v>
      </c>
      <c r="P87" s="2">
        <v>6</v>
      </c>
    </row>
    <row r="88" s="2" customFormat="1" spans="1:16">
      <c r="A88" s="8"/>
      <c r="B88" s="9" t="s">
        <v>351</v>
      </c>
      <c r="C88" s="10" t="s">
        <v>126</v>
      </c>
      <c r="D88" s="11">
        <v>1</v>
      </c>
      <c r="E88" s="12">
        <v>6120</v>
      </c>
      <c r="F88" s="13">
        <v>6120</v>
      </c>
      <c r="G88" s="2">
        <f>VLOOKUP(B88,'PO with created By ASR'!A:C,3,FALSE)</f>
        <v>45663</v>
      </c>
      <c r="J88" s="2" t="str">
        <f>VLOOKUP(B88,'PO with created By ASR'!A:G,4,FALSE)</f>
        <v>Sunil Kumar  -CR</v>
      </c>
      <c r="K88" s="2" t="e">
        <f>VLOOKUP(B88,'PO with created By ASR'!A:I,6,FALSE)</f>
        <v>#N/A</v>
      </c>
      <c r="L88" s="2" t="str">
        <f>VLOOKUP(B88,'PO with created By ASR'!A:J,7,FALSE)</f>
        <v>D - Delhi</v>
      </c>
      <c r="M88" s="2" t="str">
        <f>VLOOKUP(B88,'PO with created By ASR'!A:K,8,FALSE)</f>
        <v>Purchase Order-Del</v>
      </c>
      <c r="N88" t="s">
        <v>36</v>
      </c>
      <c r="P88" s="2">
        <v>6</v>
      </c>
    </row>
    <row r="89" s="2" customFormat="1" spans="1:16">
      <c r="A89" s="8"/>
      <c r="B89" s="9" t="s">
        <v>351</v>
      </c>
      <c r="C89" s="10" t="s">
        <v>412</v>
      </c>
      <c r="D89" s="11">
        <v>1</v>
      </c>
      <c r="E89" s="12">
        <v>2633</v>
      </c>
      <c r="F89" s="13">
        <v>2633</v>
      </c>
      <c r="G89" s="2">
        <f>VLOOKUP(B89,'PO with created By ASR'!A:C,3,FALSE)</f>
        <v>45663</v>
      </c>
      <c r="J89" s="2" t="str">
        <f>VLOOKUP(B89,'PO with created By ASR'!A:G,4,FALSE)</f>
        <v>Sunil Kumar  -CR</v>
      </c>
      <c r="K89" s="2" t="e">
        <f>VLOOKUP(B89,'PO with created By ASR'!A:I,6,FALSE)</f>
        <v>#N/A</v>
      </c>
      <c r="L89" s="2" t="str">
        <f>VLOOKUP(B89,'PO with created By ASR'!A:J,7,FALSE)</f>
        <v>D - Delhi</v>
      </c>
      <c r="M89" s="2" t="str">
        <f>VLOOKUP(B89,'PO with created By ASR'!A:K,8,FALSE)</f>
        <v>Purchase Order-Del</v>
      </c>
      <c r="N89" t="s">
        <v>36</v>
      </c>
      <c r="P89" s="2">
        <v>6</v>
      </c>
    </row>
    <row r="90" s="2" customFormat="1" spans="1:16">
      <c r="A90" s="8"/>
      <c r="B90" s="9" t="s">
        <v>355</v>
      </c>
      <c r="C90" s="10" t="s">
        <v>126</v>
      </c>
      <c r="D90" s="11">
        <v>1</v>
      </c>
      <c r="E90" s="12">
        <v>1224</v>
      </c>
      <c r="F90" s="13">
        <v>1224</v>
      </c>
      <c r="G90" s="2">
        <f>VLOOKUP(B90,'PO with created By ASR'!A:C,3,FALSE)</f>
        <v>45663</v>
      </c>
      <c r="J90" s="2" t="str">
        <f>VLOOKUP(B90,'PO with created By ASR'!A:G,4,FALSE)</f>
        <v>Nitin Kumar ...........  -CR</v>
      </c>
      <c r="K90" s="2" t="e">
        <f>VLOOKUP(B90,'PO with created By ASR'!A:I,6,FALSE)</f>
        <v>#N/A</v>
      </c>
      <c r="L90" s="2" t="str">
        <f>VLOOKUP(B90,'PO with created By ASR'!A:J,7,FALSE)</f>
        <v>D - Delhi</v>
      </c>
      <c r="M90" s="2" t="str">
        <f>VLOOKUP(B90,'PO with created By ASR'!A:K,8,FALSE)</f>
        <v>Purchase Order-Del</v>
      </c>
      <c r="N90" t="s">
        <v>36</v>
      </c>
      <c r="P90" s="2">
        <v>6</v>
      </c>
    </row>
    <row r="91" s="2" customFormat="1" spans="1:16">
      <c r="A91" s="8"/>
      <c r="B91" s="9" t="s">
        <v>355</v>
      </c>
      <c r="C91" s="10" t="s">
        <v>412</v>
      </c>
      <c r="D91" s="11">
        <v>1</v>
      </c>
      <c r="E91" s="12">
        <v>672</v>
      </c>
      <c r="F91" s="13">
        <v>672</v>
      </c>
      <c r="G91" s="2">
        <f>VLOOKUP(B91,'PO with created By ASR'!A:C,3,FALSE)</f>
        <v>45663</v>
      </c>
      <c r="J91" s="2" t="str">
        <f>VLOOKUP(B91,'PO with created By ASR'!A:G,4,FALSE)</f>
        <v>Nitin Kumar ...........  -CR</v>
      </c>
      <c r="K91" s="2" t="e">
        <f>VLOOKUP(B91,'PO with created By ASR'!A:I,6,FALSE)</f>
        <v>#N/A</v>
      </c>
      <c r="L91" s="2" t="str">
        <f>VLOOKUP(B91,'PO with created By ASR'!A:J,7,FALSE)</f>
        <v>D - Delhi</v>
      </c>
      <c r="M91" s="2" t="str">
        <f>VLOOKUP(B91,'PO with created By ASR'!A:K,8,FALSE)</f>
        <v>Purchase Order-Del</v>
      </c>
      <c r="N91" t="s">
        <v>36</v>
      </c>
      <c r="P91" s="2">
        <v>6</v>
      </c>
    </row>
    <row r="92" s="2" customFormat="1" spans="1:16">
      <c r="A92" s="8"/>
      <c r="B92" s="9" t="s">
        <v>359</v>
      </c>
      <c r="C92" s="10" t="s">
        <v>126</v>
      </c>
      <c r="D92" s="11">
        <v>1</v>
      </c>
      <c r="E92" s="12">
        <v>2139</v>
      </c>
      <c r="F92" s="13">
        <v>2139</v>
      </c>
      <c r="G92" s="2">
        <f>VLOOKUP(B92,'PO with created By ASR'!A:C,3,FALSE)</f>
        <v>45663</v>
      </c>
      <c r="J92" s="2" t="str">
        <f>VLOOKUP(B92,'PO with created By ASR'!A:G,4,FALSE)</f>
        <v>Yogesh Kumar Bansal  -CR</v>
      </c>
      <c r="K92" s="2" t="e">
        <f>VLOOKUP(B92,'PO with created By ASR'!A:I,6,FALSE)</f>
        <v>#N/A</v>
      </c>
      <c r="L92" s="2" t="str">
        <f>VLOOKUP(B92,'PO with created By ASR'!A:J,7,FALSE)</f>
        <v>D - Delhi</v>
      </c>
      <c r="M92" s="2" t="str">
        <f>VLOOKUP(B92,'PO with created By ASR'!A:K,8,FALSE)</f>
        <v>Purchase Order-Del</v>
      </c>
      <c r="N92" t="s">
        <v>36</v>
      </c>
      <c r="P92" s="2">
        <v>6</v>
      </c>
    </row>
    <row r="93" s="2" customFormat="1" spans="1:16">
      <c r="A93" s="8"/>
      <c r="B93" s="9" t="s">
        <v>363</v>
      </c>
      <c r="C93" s="10" t="s">
        <v>126</v>
      </c>
      <c r="D93" s="11">
        <v>1</v>
      </c>
      <c r="E93" s="12">
        <v>941</v>
      </c>
      <c r="F93" s="13">
        <v>941</v>
      </c>
      <c r="G93" s="2">
        <f>VLOOKUP(B93,'PO with created By ASR'!A:C,3,FALSE)</f>
        <v>45663</v>
      </c>
      <c r="J93" s="2" t="str">
        <f>VLOOKUP(B93,'PO with created By ASR'!A:G,4,FALSE)</f>
        <v>Yogesh Kumar Bansal  -CR</v>
      </c>
      <c r="K93" s="2" t="e">
        <f>VLOOKUP(B93,'PO with created By ASR'!A:I,6,FALSE)</f>
        <v>#N/A</v>
      </c>
      <c r="L93" s="2" t="str">
        <f>VLOOKUP(B93,'PO with created By ASR'!A:J,7,FALSE)</f>
        <v>D - Delhi</v>
      </c>
      <c r="M93" s="2" t="str">
        <f>VLOOKUP(B93,'PO with created By ASR'!A:K,8,FALSE)</f>
        <v>Purchase Order-Del</v>
      </c>
      <c r="N93" t="s">
        <v>36</v>
      </c>
      <c r="P93" s="2">
        <v>6</v>
      </c>
    </row>
    <row r="94" s="2" customFormat="1" spans="1:16">
      <c r="A94" s="8"/>
      <c r="B94" s="9" t="s">
        <v>364</v>
      </c>
      <c r="C94" s="10" t="s">
        <v>126</v>
      </c>
      <c r="D94" s="11">
        <v>1</v>
      </c>
      <c r="E94" s="12">
        <v>2105</v>
      </c>
      <c r="F94" s="13">
        <v>2105</v>
      </c>
      <c r="G94" s="2">
        <f>VLOOKUP(B94,'PO with created By ASR'!A:C,3,FALSE)</f>
        <v>45663</v>
      </c>
      <c r="J94" s="2" t="str">
        <f>VLOOKUP(B94,'PO with created By ASR'!A:G,4,FALSE)</f>
        <v>Samarth Kapoor  -CR</v>
      </c>
      <c r="K94" s="2" t="e">
        <f>VLOOKUP(B94,'PO with created By ASR'!A:I,6,FALSE)</f>
        <v>#N/A</v>
      </c>
      <c r="L94" s="2" t="str">
        <f>VLOOKUP(B94,'PO with created By ASR'!A:J,7,FALSE)</f>
        <v>D - Delhi</v>
      </c>
      <c r="M94" s="2" t="str">
        <f>VLOOKUP(B94,'PO with created By ASR'!A:K,8,FALSE)</f>
        <v>Purchase Order-Del</v>
      </c>
      <c r="N94" t="s">
        <v>36</v>
      </c>
      <c r="P94" s="2">
        <v>6</v>
      </c>
    </row>
    <row r="95" s="2" customFormat="1" spans="1:16">
      <c r="A95" s="8"/>
      <c r="B95" s="9" t="s">
        <v>368</v>
      </c>
      <c r="C95" s="10" t="s">
        <v>371</v>
      </c>
      <c r="D95" s="11">
        <v>1</v>
      </c>
      <c r="E95" s="12">
        <v>2950000</v>
      </c>
      <c r="F95" s="13">
        <v>2950000</v>
      </c>
      <c r="G95" s="2">
        <f>VLOOKUP(B95,'PO with created By ASR'!A:C,3,FALSE)</f>
        <v>45663</v>
      </c>
      <c r="J95" s="2" t="str">
        <f>VLOOKUP(B95,'PO with created By ASR'!A:G,4,FALSE)</f>
        <v>Beats Light &amp; Sound Pvt Ltd-Del</v>
      </c>
      <c r="K95" s="2" t="str">
        <f>VLOOKUP(B95,'PO with created By ASR'!A:I,6,FALSE)</f>
        <v>11717  Beats Light &amp; Sound Pvt Ltd</v>
      </c>
      <c r="L95" s="2" t="str">
        <f>VLOOKUP(B95,'PO with created By ASR'!A:J,7,FALSE)</f>
        <v>D - Delhi</v>
      </c>
      <c r="M95" s="2" t="str">
        <f>VLOOKUP(B95,'PO with created By ASR'!A:K,8,FALSE)</f>
        <v>Purchase Order-Del</v>
      </c>
      <c r="N95" t="s">
        <v>36</v>
      </c>
      <c r="P95" s="2">
        <v>6</v>
      </c>
    </row>
    <row r="96" s="2" customFormat="1" spans="1:16">
      <c r="A96" s="8"/>
      <c r="B96" s="9" t="s">
        <v>374</v>
      </c>
      <c r="C96" s="10" t="s">
        <v>371</v>
      </c>
      <c r="D96" s="11">
        <v>1</v>
      </c>
      <c r="E96" s="12">
        <v>2650000</v>
      </c>
      <c r="F96" s="13">
        <v>2650000</v>
      </c>
      <c r="G96" s="2">
        <f>VLOOKUP(B96,'PO with created By ASR'!A:C,3,FALSE)</f>
        <v>45663</v>
      </c>
      <c r="J96" s="2" t="str">
        <f>VLOOKUP(B96,'PO with created By ASR'!A:G,4,FALSE)</f>
        <v>Shivam Video Pvt.Ltd.-Del</v>
      </c>
      <c r="K96" s="2" t="e">
        <f>VLOOKUP(B96,'PO with created By ASR'!A:I,6,FALSE)</f>
        <v>#N/A</v>
      </c>
      <c r="L96" s="2" t="str">
        <f>VLOOKUP(B96,'PO with created By ASR'!A:J,7,FALSE)</f>
        <v>D - Delhi</v>
      </c>
      <c r="M96" s="2" t="str">
        <f>VLOOKUP(B96,'PO with created By ASR'!A:K,8,FALSE)</f>
        <v>Purchase Order-Del</v>
      </c>
      <c r="N96" t="s">
        <v>36</v>
      </c>
      <c r="P96" s="2">
        <v>6</v>
      </c>
    </row>
    <row r="97" s="2" customFormat="1" spans="1:16">
      <c r="A97" s="8"/>
      <c r="B97" s="9" t="s">
        <v>377</v>
      </c>
      <c r="C97" s="10" t="s">
        <v>126</v>
      </c>
      <c r="D97" s="11">
        <v>1</v>
      </c>
      <c r="E97" s="12">
        <v>694</v>
      </c>
      <c r="F97" s="13">
        <v>694</v>
      </c>
      <c r="G97" s="2">
        <f>VLOOKUP(B97,'PO with created By ASR'!A:C,3,FALSE)</f>
        <v>45663</v>
      </c>
      <c r="J97" s="2" t="str">
        <f>VLOOKUP(B97,'PO with created By ASR'!A:G,4,FALSE)</f>
        <v>Ravi.........-CR</v>
      </c>
      <c r="K97" s="2" t="e">
        <f>VLOOKUP(B97,'PO with created By ASR'!A:I,6,FALSE)</f>
        <v>#N/A</v>
      </c>
      <c r="L97" s="2" t="str">
        <f>VLOOKUP(B97,'PO with created By ASR'!A:J,7,FALSE)</f>
        <v>D - Delhi</v>
      </c>
      <c r="M97" s="2" t="str">
        <f>VLOOKUP(B97,'PO with created By ASR'!A:K,8,FALSE)</f>
        <v>Purchase Order-Del</v>
      </c>
      <c r="N97" t="s">
        <v>36</v>
      </c>
      <c r="P97" s="2">
        <v>6</v>
      </c>
    </row>
    <row r="98" s="2" customFormat="1" spans="1:16">
      <c r="A98" s="8"/>
      <c r="B98" s="9" t="s">
        <v>377</v>
      </c>
      <c r="C98" s="10" t="s">
        <v>412</v>
      </c>
      <c r="D98" s="11">
        <v>1</v>
      </c>
      <c r="E98" s="12">
        <v>1945</v>
      </c>
      <c r="F98" s="13">
        <v>1945</v>
      </c>
      <c r="G98" s="2">
        <f>VLOOKUP(B98,'PO with created By ASR'!A:C,3,FALSE)</f>
        <v>45663</v>
      </c>
      <c r="J98" s="2" t="str">
        <f>VLOOKUP(B98,'PO with created By ASR'!A:G,4,FALSE)</f>
        <v>Ravi.........-CR</v>
      </c>
      <c r="K98" s="2" t="e">
        <f>VLOOKUP(B98,'PO with created By ASR'!A:I,6,FALSE)</f>
        <v>#N/A</v>
      </c>
      <c r="L98" s="2" t="str">
        <f>VLOOKUP(B98,'PO with created By ASR'!A:J,7,FALSE)</f>
        <v>D - Delhi</v>
      </c>
      <c r="M98" s="2" t="str">
        <f>VLOOKUP(B98,'PO with created By ASR'!A:K,8,FALSE)</f>
        <v>Purchase Order-Del</v>
      </c>
      <c r="N98" t="s">
        <v>36</v>
      </c>
      <c r="P98" s="2">
        <v>6</v>
      </c>
    </row>
    <row r="99" s="2" customFormat="1" spans="1:16">
      <c r="A99" s="8"/>
      <c r="B99" s="9" t="s">
        <v>380</v>
      </c>
      <c r="C99" s="10" t="s">
        <v>292</v>
      </c>
      <c r="D99" s="11">
        <v>1</v>
      </c>
      <c r="E99" s="12">
        <v>1225000</v>
      </c>
      <c r="F99" s="13">
        <v>1225000</v>
      </c>
      <c r="G99" s="2">
        <f>VLOOKUP(B99,'PO with created By ASR'!A:C,3,FALSE)</f>
        <v>45663</v>
      </c>
      <c r="J99" s="2" t="str">
        <f>VLOOKUP(B99,'PO with created By ASR'!A:G,4,FALSE)</f>
        <v>All4One Events-Del</v>
      </c>
      <c r="K99" s="2" t="str">
        <f>VLOOKUP(B99,'PO with created By ASR'!A:I,6,FALSE)</f>
        <v>11655 All4One Events</v>
      </c>
      <c r="L99" s="2" t="str">
        <f>VLOOKUP(B99,'PO with created By ASR'!A:J,7,FALSE)</f>
        <v>D - Delhi</v>
      </c>
      <c r="M99" s="2" t="str">
        <f>VLOOKUP(B99,'PO with created By ASR'!A:K,8,FALSE)</f>
        <v>Purchase Order-Del</v>
      </c>
      <c r="N99" t="s">
        <v>36</v>
      </c>
      <c r="P99" s="2">
        <v>6</v>
      </c>
    </row>
    <row r="100" s="2" customFormat="1" spans="1:16">
      <c r="A100" s="8"/>
      <c r="B100" s="9" t="s">
        <v>383</v>
      </c>
      <c r="C100" s="10" t="s">
        <v>126</v>
      </c>
      <c r="D100" s="11">
        <v>1</v>
      </c>
      <c r="E100" s="12">
        <v>4564</v>
      </c>
      <c r="F100" s="13">
        <v>4564</v>
      </c>
      <c r="G100" s="2">
        <f>VLOOKUP(B100,'PO with created By ASR'!A:C,3,FALSE)</f>
        <v>45663</v>
      </c>
      <c r="J100" s="2" t="str">
        <f>VLOOKUP(B100,'PO with created By ASR'!A:G,4,FALSE)</f>
        <v>Anurag Jadli  -CR</v>
      </c>
      <c r="K100" s="2" t="e">
        <f>VLOOKUP(B100,'PO with created By ASR'!A:I,6,FALSE)</f>
        <v>#N/A</v>
      </c>
      <c r="L100" s="2" t="str">
        <f>VLOOKUP(B100,'PO with created By ASR'!A:J,7,FALSE)</f>
        <v>D - Delhi</v>
      </c>
      <c r="M100" s="2" t="str">
        <f>VLOOKUP(B100,'PO with created By ASR'!A:K,8,FALSE)</f>
        <v>Purchase Order-Del</v>
      </c>
      <c r="N100" t="s">
        <v>36</v>
      </c>
      <c r="P100" s="2">
        <v>6</v>
      </c>
    </row>
    <row r="101" s="2" customFormat="1" spans="1:16">
      <c r="A101" s="8"/>
      <c r="B101" s="9" t="s">
        <v>387</v>
      </c>
      <c r="C101" s="10" t="s">
        <v>233</v>
      </c>
      <c r="D101" s="11">
        <v>1</v>
      </c>
      <c r="E101" s="12">
        <v>366800</v>
      </c>
      <c r="F101" s="13">
        <v>366800</v>
      </c>
      <c r="G101" s="2">
        <f>VLOOKUP(B101,'PO with created By ASR'!A:C,3,FALSE)</f>
        <v>45663</v>
      </c>
      <c r="J101" s="2" t="str">
        <f>VLOOKUP(B101,'PO with created By ASR'!A:G,4,FALSE)</f>
        <v>Ask 4 Car Care- Delhi-Del</v>
      </c>
      <c r="K101" s="2" t="str">
        <f>VLOOKUP(B101,'PO with created By ASR'!A:I,6,FALSE)</f>
        <v>11687 Ask 4 Car Care</v>
      </c>
      <c r="L101" s="2" t="str">
        <f>VLOOKUP(B101,'PO with created By ASR'!A:J,7,FALSE)</f>
        <v>D - Delhi</v>
      </c>
      <c r="M101" s="2" t="str">
        <f>VLOOKUP(B101,'PO with created By ASR'!A:K,8,FALSE)</f>
        <v>Purchase Order-Del</v>
      </c>
      <c r="N101" t="s">
        <v>36</v>
      </c>
      <c r="P101" s="2">
        <v>6</v>
      </c>
    </row>
    <row r="102" s="2" customFormat="1" spans="1:16">
      <c r="A102" s="8"/>
      <c r="B102" s="9" t="s">
        <v>390</v>
      </c>
      <c r="C102" s="10" t="s">
        <v>292</v>
      </c>
      <c r="D102" s="11">
        <v>1</v>
      </c>
      <c r="E102" s="12">
        <v>689800</v>
      </c>
      <c r="F102" s="13">
        <v>689800</v>
      </c>
      <c r="G102" s="2">
        <f>VLOOKUP(B102,'PO with created By ASR'!A:C,3,FALSE)</f>
        <v>45663</v>
      </c>
      <c r="J102" s="2" t="str">
        <f>VLOOKUP(B102,'PO with created By ASR'!A:G,4,FALSE)</f>
        <v>Shield Guard India Pvt Ltd-Del</v>
      </c>
      <c r="K102" s="2" t="str">
        <f>VLOOKUP(B102,'PO with created By ASR'!A:I,6,FALSE)</f>
        <v>12387  Shield Guard India Pvt Ltd</v>
      </c>
      <c r="L102" s="2" t="str">
        <f>VLOOKUP(B102,'PO with created By ASR'!A:J,7,FALSE)</f>
        <v>D - Delhi</v>
      </c>
      <c r="M102" s="2" t="str">
        <f>VLOOKUP(B102,'PO with created By ASR'!A:K,8,FALSE)</f>
        <v>Purchase Order-Del</v>
      </c>
      <c r="N102" t="s">
        <v>36</v>
      </c>
      <c r="P102" s="2">
        <v>6</v>
      </c>
    </row>
    <row r="103" s="2" customFormat="1" spans="1:16">
      <c r="A103" s="8"/>
      <c r="B103" s="9" t="s">
        <v>393</v>
      </c>
      <c r="C103" s="10" t="s">
        <v>126</v>
      </c>
      <c r="D103" s="11">
        <v>1</v>
      </c>
      <c r="E103" s="12">
        <v>10895</v>
      </c>
      <c r="F103" s="13">
        <v>10895</v>
      </c>
      <c r="G103" s="2">
        <f>VLOOKUP(B103,'PO with created By ASR'!A:C,3,FALSE)</f>
        <v>45663</v>
      </c>
      <c r="J103" s="2" t="str">
        <f>VLOOKUP(B103,'PO with created By ASR'!A:G,4,FALSE)</f>
        <v>Kunwar Singh Chauhan  -CR</v>
      </c>
      <c r="K103" s="2" t="e">
        <f>VLOOKUP(B103,'PO with created By ASR'!A:I,6,FALSE)</f>
        <v>#N/A</v>
      </c>
      <c r="L103" s="2" t="str">
        <f>VLOOKUP(B103,'PO with created By ASR'!A:J,7,FALSE)</f>
        <v>D - Delhi</v>
      </c>
      <c r="M103" s="2" t="str">
        <f>VLOOKUP(B103,'PO with created By ASR'!A:K,8,FALSE)</f>
        <v>Purchase Order-Del</v>
      </c>
      <c r="N103" t="s">
        <v>36</v>
      </c>
      <c r="P103" s="2">
        <v>6</v>
      </c>
    </row>
    <row r="104" s="2" customFormat="1" spans="1:16">
      <c r="A104" s="8"/>
      <c r="B104" s="9" t="s">
        <v>393</v>
      </c>
      <c r="C104" s="10" t="s">
        <v>412</v>
      </c>
      <c r="D104" s="11">
        <v>1</v>
      </c>
      <c r="E104" s="12">
        <v>701</v>
      </c>
      <c r="F104" s="13">
        <v>701</v>
      </c>
      <c r="G104" s="2">
        <f>VLOOKUP(B104,'PO with created By ASR'!A:C,3,FALSE)</f>
        <v>45663</v>
      </c>
      <c r="J104" s="2" t="str">
        <f>VLOOKUP(B104,'PO with created By ASR'!A:G,4,FALSE)</f>
        <v>Kunwar Singh Chauhan  -CR</v>
      </c>
      <c r="K104" s="2" t="e">
        <f>VLOOKUP(B104,'PO with created By ASR'!A:I,6,FALSE)</f>
        <v>#N/A</v>
      </c>
      <c r="L104" s="2" t="str">
        <f>VLOOKUP(B104,'PO with created By ASR'!A:J,7,FALSE)</f>
        <v>D - Delhi</v>
      </c>
      <c r="M104" s="2" t="str">
        <f>VLOOKUP(B104,'PO with created By ASR'!A:K,8,FALSE)</f>
        <v>Purchase Order-Del</v>
      </c>
      <c r="N104" t="s">
        <v>36</v>
      </c>
      <c r="P104" s="2">
        <v>6</v>
      </c>
    </row>
    <row r="105" s="2" customFormat="1" spans="1:16">
      <c r="A105" s="8"/>
      <c r="B105" s="9" t="s">
        <v>398</v>
      </c>
      <c r="C105" s="10" t="s">
        <v>401</v>
      </c>
      <c r="D105" s="11">
        <v>1</v>
      </c>
      <c r="E105" s="12">
        <v>305000</v>
      </c>
      <c r="F105" s="13">
        <v>305000</v>
      </c>
      <c r="G105" s="2">
        <f>VLOOKUP(B105,'PO with created By ASR'!A:C,3,FALSE)</f>
        <v>45663</v>
      </c>
      <c r="J105" s="2" t="str">
        <f>VLOOKUP(B105,'PO with created By ASR'!A:G,4,FALSE)</f>
        <v>Bodhi Tree Entertainment-Del</v>
      </c>
      <c r="K105" s="2" t="str">
        <f>VLOOKUP(B105,'PO with created By ASR'!A:I,6,FALSE)</f>
        <v>11741 Bodhi Tree Entertainment</v>
      </c>
      <c r="L105" s="2" t="str">
        <f>VLOOKUP(B105,'PO with created By ASR'!A:J,7,FALSE)</f>
        <v>D - Delhi</v>
      </c>
      <c r="M105" s="2" t="str">
        <f>VLOOKUP(B105,'PO with created By ASR'!A:K,8,FALSE)</f>
        <v>Purchase Order-Del</v>
      </c>
      <c r="N105" t="s">
        <v>36</v>
      </c>
      <c r="P105" s="2">
        <v>6</v>
      </c>
    </row>
    <row r="106" s="2" customFormat="1" spans="1:16">
      <c r="A106" s="8"/>
      <c r="B106" s="9" t="s">
        <v>403</v>
      </c>
      <c r="C106" s="10" t="s">
        <v>126</v>
      </c>
      <c r="D106" s="11">
        <v>1</v>
      </c>
      <c r="E106" s="12">
        <v>2777</v>
      </c>
      <c r="F106" s="13">
        <v>2777</v>
      </c>
      <c r="G106" s="2">
        <f>VLOOKUP(B106,'PO with created By ASR'!A:C,3,FALSE)</f>
        <v>45663</v>
      </c>
      <c r="J106" s="2" t="str">
        <f>VLOOKUP(B106,'PO with created By ASR'!A:G,4,FALSE)</f>
        <v>Raghav Bhardwaj  -CR</v>
      </c>
      <c r="K106" s="2" t="e">
        <f>VLOOKUP(B106,'PO with created By ASR'!A:I,6,FALSE)</f>
        <v>#N/A</v>
      </c>
      <c r="L106" s="2" t="str">
        <f>VLOOKUP(B106,'PO with created By ASR'!A:J,7,FALSE)</f>
        <v>D - Delhi</v>
      </c>
      <c r="M106" s="2" t="str">
        <f>VLOOKUP(B106,'PO with created By ASR'!A:K,8,FALSE)</f>
        <v>Purchase Order-Del</v>
      </c>
      <c r="N106" t="s">
        <v>36</v>
      </c>
      <c r="P106" s="2">
        <v>6</v>
      </c>
    </row>
    <row r="107" s="2" customFormat="1" spans="1:16">
      <c r="A107" s="8"/>
      <c r="B107" s="9" t="s">
        <v>403</v>
      </c>
      <c r="C107" s="10" t="s">
        <v>412</v>
      </c>
      <c r="D107" s="11">
        <v>1</v>
      </c>
      <c r="E107" s="12">
        <v>450</v>
      </c>
      <c r="F107" s="13">
        <v>450</v>
      </c>
      <c r="G107" s="2">
        <f>VLOOKUP(B107,'PO with created By ASR'!A:C,3,FALSE)</f>
        <v>45663</v>
      </c>
      <c r="J107" s="2" t="str">
        <f>VLOOKUP(B107,'PO with created By ASR'!A:G,4,FALSE)</f>
        <v>Raghav Bhardwaj  -CR</v>
      </c>
      <c r="K107" s="2" t="e">
        <f>VLOOKUP(B107,'PO with created By ASR'!A:I,6,FALSE)</f>
        <v>#N/A</v>
      </c>
      <c r="L107" s="2" t="str">
        <f>VLOOKUP(B107,'PO with created By ASR'!A:J,7,FALSE)</f>
        <v>D - Delhi</v>
      </c>
      <c r="M107" s="2" t="str">
        <f>VLOOKUP(B107,'PO with created By ASR'!A:K,8,FALSE)</f>
        <v>Purchase Order-Del</v>
      </c>
      <c r="N107" t="s">
        <v>36</v>
      </c>
      <c r="P107" s="2">
        <v>6</v>
      </c>
    </row>
    <row r="108" s="2" customFormat="1" spans="1:16">
      <c r="A108" s="8"/>
      <c r="B108" s="9" t="s">
        <v>407</v>
      </c>
      <c r="C108" s="10" t="s">
        <v>347</v>
      </c>
      <c r="D108" s="11">
        <v>1</v>
      </c>
      <c r="E108" s="12">
        <v>700000</v>
      </c>
      <c r="F108" s="13">
        <v>700000</v>
      </c>
      <c r="G108" s="2">
        <f>VLOOKUP(B108,'PO with created By ASR'!A:C,3,FALSE)</f>
        <v>45663</v>
      </c>
      <c r="J108" s="2" t="str">
        <f>VLOOKUP(B108,'PO with created By ASR'!A:G,4,FALSE)</f>
        <v>Webcontxt India Pvt Ltd-Del</v>
      </c>
      <c r="K108" s="2" t="str">
        <f>VLOOKUP(B108,'PO with created By ASR'!A:I,6,FALSE)</f>
        <v>12615  Webcontxt India Pvt Ltd</v>
      </c>
      <c r="L108" s="2" t="str">
        <f>VLOOKUP(B108,'PO with created By ASR'!A:J,7,FALSE)</f>
        <v>D - Delhi</v>
      </c>
      <c r="M108" s="2" t="str">
        <f>VLOOKUP(B108,'PO with created By ASR'!A:K,8,FALSE)</f>
        <v>Purchase Order-Del</v>
      </c>
      <c r="N108" t="s">
        <v>36</v>
      </c>
      <c r="P108" s="2">
        <v>6</v>
      </c>
    </row>
    <row r="109" s="2" customFormat="1" spans="1:16">
      <c r="A109" s="8"/>
      <c r="B109" s="9" t="s">
        <v>410</v>
      </c>
      <c r="C109" s="10" t="s">
        <v>412</v>
      </c>
      <c r="D109" s="11">
        <v>1</v>
      </c>
      <c r="E109" s="12">
        <v>1870</v>
      </c>
      <c r="F109" s="13">
        <v>1870</v>
      </c>
      <c r="G109" s="2">
        <f>VLOOKUP(B109,'PO with created By ASR'!A:C,3,FALSE)</f>
        <v>45663</v>
      </c>
      <c r="J109" s="2" t="str">
        <f>VLOOKUP(B109,'PO with created By ASR'!A:G,4,FALSE)</f>
        <v>Vijender  -CR</v>
      </c>
      <c r="K109" s="2" t="e">
        <f>VLOOKUP(B109,'PO with created By ASR'!A:I,6,FALSE)</f>
        <v>#N/A</v>
      </c>
      <c r="L109" s="2" t="str">
        <f>VLOOKUP(B109,'PO with created By ASR'!A:J,7,FALSE)</f>
        <v>D - Delhi</v>
      </c>
      <c r="M109" s="2" t="str">
        <f>VLOOKUP(B109,'PO with created By ASR'!A:K,8,FALSE)</f>
        <v>Purchase Order-Del</v>
      </c>
      <c r="N109" t="s">
        <v>36</v>
      </c>
      <c r="P109" s="2">
        <v>6</v>
      </c>
    </row>
    <row r="110" s="2" customFormat="1" spans="1:16">
      <c r="A110" s="8"/>
      <c r="B110" s="9" t="s">
        <v>410</v>
      </c>
      <c r="C110" s="10" t="s">
        <v>233</v>
      </c>
      <c r="D110" s="11">
        <v>1</v>
      </c>
      <c r="E110" s="12">
        <v>470</v>
      </c>
      <c r="F110" s="13">
        <v>470</v>
      </c>
      <c r="G110" s="2">
        <f>VLOOKUP(B110,'PO with created By ASR'!A:C,3,FALSE)</f>
        <v>45663</v>
      </c>
      <c r="J110" s="2" t="str">
        <f>VLOOKUP(B110,'PO with created By ASR'!A:G,4,FALSE)</f>
        <v>Vijender  -CR</v>
      </c>
      <c r="K110" s="2" t="e">
        <f>VLOOKUP(B110,'PO with created By ASR'!A:I,6,FALSE)</f>
        <v>#N/A</v>
      </c>
      <c r="L110" s="2" t="str">
        <f>VLOOKUP(B110,'PO with created By ASR'!A:J,7,FALSE)</f>
        <v>D - Delhi</v>
      </c>
      <c r="M110" s="2" t="str">
        <f>VLOOKUP(B110,'PO with created By ASR'!A:K,8,FALSE)</f>
        <v>Purchase Order-Del</v>
      </c>
      <c r="N110" t="s">
        <v>36</v>
      </c>
      <c r="P110" s="2">
        <v>6</v>
      </c>
    </row>
    <row r="111" s="2" customFormat="1" spans="1:16">
      <c r="A111" s="8"/>
      <c r="B111" s="9" t="s">
        <v>416</v>
      </c>
      <c r="C111" s="10" t="s">
        <v>347</v>
      </c>
      <c r="D111" s="11">
        <v>1</v>
      </c>
      <c r="E111" s="12">
        <v>280000</v>
      </c>
      <c r="F111" s="13">
        <v>280000</v>
      </c>
      <c r="G111" s="2">
        <f>VLOOKUP(B111,'PO with created By ASR'!A:C,3,FALSE)</f>
        <v>45663</v>
      </c>
      <c r="J111" s="2" t="str">
        <f>VLOOKUP(B111,'PO with created By ASR'!A:G,4,FALSE)</f>
        <v>Brief Cab-Del</v>
      </c>
      <c r="K111" s="2" t="str">
        <f>VLOOKUP(B111,'PO with created By ASR'!A:I,6,FALSE)</f>
        <v>11745 Brief Cab</v>
      </c>
      <c r="L111" s="2" t="str">
        <f>VLOOKUP(B111,'PO with created By ASR'!A:J,7,FALSE)</f>
        <v>D - Delhi</v>
      </c>
      <c r="M111" s="2" t="str">
        <f>VLOOKUP(B111,'PO with created By ASR'!A:K,8,FALSE)</f>
        <v>Purchase Order-Del</v>
      </c>
      <c r="N111" t="s">
        <v>36</v>
      </c>
      <c r="P111" s="2">
        <v>6</v>
      </c>
    </row>
    <row r="112" s="2" customFormat="1" spans="1:16">
      <c r="A112" s="8"/>
      <c r="B112" s="9" t="s">
        <v>419</v>
      </c>
      <c r="C112" s="10" t="s">
        <v>126</v>
      </c>
      <c r="D112" s="11">
        <v>1</v>
      </c>
      <c r="E112" s="12">
        <v>652</v>
      </c>
      <c r="F112" s="13">
        <v>652</v>
      </c>
      <c r="G112" s="2">
        <f>VLOOKUP(B112,'PO with created By ASR'!A:C,3,FALSE)</f>
        <v>45663</v>
      </c>
      <c r="J112" s="2" t="str">
        <f>VLOOKUP(B112,'PO with created By ASR'!A:G,4,FALSE)</f>
        <v>Keshav Sargur  -CR</v>
      </c>
      <c r="K112" s="2" t="e">
        <f>VLOOKUP(B112,'PO with created By ASR'!A:I,6,FALSE)</f>
        <v>#N/A</v>
      </c>
      <c r="L112" s="2" t="str">
        <f>VLOOKUP(B112,'PO with created By ASR'!A:J,7,FALSE)</f>
        <v>D - Delhi</v>
      </c>
      <c r="M112" s="2" t="str">
        <f>VLOOKUP(B112,'PO with created By ASR'!A:K,8,FALSE)</f>
        <v>Purchase Order-Del</v>
      </c>
      <c r="N112" t="s">
        <v>36</v>
      </c>
      <c r="P112" s="2">
        <v>6</v>
      </c>
    </row>
    <row r="113" s="2" customFormat="1" spans="1:16">
      <c r="A113" s="8"/>
      <c r="B113" s="9" t="s">
        <v>419</v>
      </c>
      <c r="C113" s="10" t="s">
        <v>412</v>
      </c>
      <c r="D113" s="11">
        <v>1</v>
      </c>
      <c r="E113" s="12">
        <v>1152</v>
      </c>
      <c r="F113" s="13">
        <v>1152</v>
      </c>
      <c r="G113" s="2">
        <f>VLOOKUP(B113,'PO with created By ASR'!A:C,3,FALSE)</f>
        <v>45663</v>
      </c>
      <c r="J113" s="2" t="str">
        <f>VLOOKUP(B113,'PO with created By ASR'!A:G,4,FALSE)</f>
        <v>Keshav Sargur  -CR</v>
      </c>
      <c r="K113" s="2" t="e">
        <f>VLOOKUP(B113,'PO with created By ASR'!A:I,6,FALSE)</f>
        <v>#N/A</v>
      </c>
      <c r="L113" s="2" t="str">
        <f>VLOOKUP(B113,'PO with created By ASR'!A:J,7,FALSE)</f>
        <v>D - Delhi</v>
      </c>
      <c r="M113" s="2" t="str">
        <f>VLOOKUP(B113,'PO with created By ASR'!A:K,8,FALSE)</f>
        <v>Purchase Order-Del</v>
      </c>
      <c r="N113" t="s">
        <v>36</v>
      </c>
      <c r="P113" s="2">
        <v>6</v>
      </c>
    </row>
    <row r="114" s="2" customFormat="1" spans="1:16">
      <c r="A114" s="8"/>
      <c r="B114" s="9" t="s">
        <v>423</v>
      </c>
      <c r="C114" s="10" t="s">
        <v>371</v>
      </c>
      <c r="D114" s="11">
        <v>1</v>
      </c>
      <c r="E114" s="12">
        <v>105000</v>
      </c>
      <c r="F114" s="13">
        <v>105000</v>
      </c>
      <c r="G114" s="2">
        <f>VLOOKUP(B114,'PO with created By ASR'!A:C,3,FALSE)</f>
        <v>45663</v>
      </c>
      <c r="J114" s="2" t="str">
        <f>VLOOKUP(B114,'PO with created By ASR'!A:G,4,FALSE)</f>
        <v>Minter Cstech Pvt.Ltd.-Del</v>
      </c>
      <c r="K114" s="2" t="e">
        <f>VLOOKUP(B114,'PO with created By ASR'!A:I,6,FALSE)</f>
        <v>#N/A</v>
      </c>
      <c r="L114" s="2" t="str">
        <f>VLOOKUP(B114,'PO with created By ASR'!A:J,7,FALSE)</f>
        <v>D - Delhi</v>
      </c>
      <c r="M114" s="2" t="str">
        <f>VLOOKUP(B114,'PO with created By ASR'!A:K,8,FALSE)</f>
        <v>Purchase Order-Del</v>
      </c>
      <c r="N114" t="s">
        <v>36</v>
      </c>
      <c r="P114" s="2">
        <v>6</v>
      </c>
    </row>
    <row r="115" s="2" customFormat="1" spans="1:16">
      <c r="A115" s="8"/>
      <c r="B115" s="9" t="s">
        <v>425</v>
      </c>
      <c r="C115" s="10" t="s">
        <v>126</v>
      </c>
      <c r="D115" s="11">
        <v>1</v>
      </c>
      <c r="E115" s="12">
        <v>5713</v>
      </c>
      <c r="F115" s="13">
        <v>5713</v>
      </c>
      <c r="G115" s="2">
        <f>VLOOKUP(B115,'PO with created By ASR'!A:C,3,FALSE)</f>
        <v>45663</v>
      </c>
      <c r="J115" s="2" t="str">
        <f>VLOOKUP(B115,'PO with created By ASR'!A:G,4,FALSE)</f>
        <v>Garv Aggarwal  -CR</v>
      </c>
      <c r="K115" s="2" t="e">
        <f>VLOOKUP(B115,'PO with created By ASR'!A:I,6,FALSE)</f>
        <v>#N/A</v>
      </c>
      <c r="L115" s="2" t="str">
        <f>VLOOKUP(B115,'PO with created By ASR'!A:J,7,FALSE)</f>
        <v>D - Delhi</v>
      </c>
      <c r="M115" s="2" t="str">
        <f>VLOOKUP(B115,'PO with created By ASR'!A:K,8,FALSE)</f>
        <v>Purchase Order-Del</v>
      </c>
      <c r="N115" t="s">
        <v>36</v>
      </c>
      <c r="P115" s="2">
        <v>6</v>
      </c>
    </row>
    <row r="116" s="2" customFormat="1" spans="1:16">
      <c r="A116" s="8"/>
      <c r="B116" s="9" t="s">
        <v>425</v>
      </c>
      <c r="C116" s="10" t="s">
        <v>412</v>
      </c>
      <c r="D116" s="11">
        <v>1</v>
      </c>
      <c r="E116" s="12">
        <v>4659</v>
      </c>
      <c r="F116" s="13">
        <v>4659</v>
      </c>
      <c r="G116" s="2">
        <f>VLOOKUP(B116,'PO with created By ASR'!A:C,3,FALSE)</f>
        <v>45663</v>
      </c>
      <c r="J116" s="2" t="str">
        <f>VLOOKUP(B116,'PO with created By ASR'!A:G,4,FALSE)</f>
        <v>Garv Aggarwal  -CR</v>
      </c>
      <c r="K116" s="2" t="e">
        <f>VLOOKUP(B116,'PO with created By ASR'!A:I,6,FALSE)</f>
        <v>#N/A</v>
      </c>
      <c r="L116" s="2" t="str">
        <f>VLOOKUP(B116,'PO with created By ASR'!A:J,7,FALSE)</f>
        <v>D - Delhi</v>
      </c>
      <c r="M116" s="2" t="str">
        <f>VLOOKUP(B116,'PO with created By ASR'!A:K,8,FALSE)</f>
        <v>Purchase Order-Del</v>
      </c>
      <c r="N116" t="s">
        <v>36</v>
      </c>
      <c r="P116" s="2">
        <v>6</v>
      </c>
    </row>
    <row r="117" s="2" customFormat="1" spans="1:16">
      <c r="A117" s="8"/>
      <c r="B117" s="9" t="s">
        <v>429</v>
      </c>
      <c r="C117" s="10" t="s">
        <v>412</v>
      </c>
      <c r="D117" s="11">
        <v>1</v>
      </c>
      <c r="E117" s="12">
        <v>1142</v>
      </c>
      <c r="F117" s="13">
        <v>1142</v>
      </c>
      <c r="G117" s="2">
        <f>VLOOKUP(B117,'PO with created By ASR'!A:C,3,FALSE)</f>
        <v>45663</v>
      </c>
      <c r="J117" s="2" t="str">
        <f>VLOOKUP(B117,'PO with created By ASR'!A:G,4,FALSE)</f>
        <v>Garv Aggarwal  -CR</v>
      </c>
      <c r="K117" s="2" t="e">
        <f>VLOOKUP(B117,'PO with created By ASR'!A:I,6,FALSE)</f>
        <v>#N/A</v>
      </c>
      <c r="L117" s="2" t="str">
        <f>VLOOKUP(B117,'PO with created By ASR'!A:J,7,FALSE)</f>
        <v>D - Delhi</v>
      </c>
      <c r="M117" s="2" t="str">
        <f>VLOOKUP(B117,'PO with created By ASR'!A:K,8,FALSE)</f>
        <v>Purchase Order-Del</v>
      </c>
      <c r="N117" t="s">
        <v>36</v>
      </c>
      <c r="P117" s="2">
        <v>6</v>
      </c>
    </row>
    <row r="118" s="2" customFormat="1" spans="1:16">
      <c r="A118" s="8"/>
      <c r="B118" s="9" t="s">
        <v>429</v>
      </c>
      <c r="C118" s="10" t="s">
        <v>61</v>
      </c>
      <c r="D118" s="11">
        <v>1</v>
      </c>
      <c r="E118" s="12">
        <v>10711</v>
      </c>
      <c r="F118" s="13">
        <v>10711</v>
      </c>
      <c r="G118" s="2">
        <f>VLOOKUP(B118,'PO with created By ASR'!A:C,3,FALSE)</f>
        <v>45663</v>
      </c>
      <c r="J118" s="2" t="str">
        <f>VLOOKUP(B118,'PO with created By ASR'!A:G,4,FALSE)</f>
        <v>Garv Aggarwal  -CR</v>
      </c>
      <c r="K118" s="2" t="e">
        <f>VLOOKUP(B118,'PO with created By ASR'!A:I,6,FALSE)</f>
        <v>#N/A</v>
      </c>
      <c r="L118" s="2" t="str">
        <f>VLOOKUP(B118,'PO with created By ASR'!A:J,7,FALSE)</f>
        <v>D - Delhi</v>
      </c>
      <c r="M118" s="2" t="str">
        <f>VLOOKUP(B118,'PO with created By ASR'!A:K,8,FALSE)</f>
        <v>Purchase Order-Del</v>
      </c>
      <c r="N118" t="s">
        <v>36</v>
      </c>
      <c r="P118" s="2">
        <v>6</v>
      </c>
    </row>
    <row r="119" s="2" customFormat="1" spans="1:16">
      <c r="A119" s="8"/>
      <c r="B119" s="9" t="s">
        <v>429</v>
      </c>
      <c r="C119" s="10" t="s">
        <v>233</v>
      </c>
      <c r="D119" s="11">
        <v>1</v>
      </c>
      <c r="E119" s="12">
        <v>6679</v>
      </c>
      <c r="F119" s="13">
        <v>6679</v>
      </c>
      <c r="G119" s="2">
        <f>VLOOKUP(B119,'PO with created By ASR'!A:C,3,FALSE)</f>
        <v>45663</v>
      </c>
      <c r="J119" s="2" t="str">
        <f>VLOOKUP(B119,'PO with created By ASR'!A:G,4,FALSE)</f>
        <v>Garv Aggarwal  -CR</v>
      </c>
      <c r="K119" s="2" t="e">
        <f>VLOOKUP(B119,'PO with created By ASR'!A:I,6,FALSE)</f>
        <v>#N/A</v>
      </c>
      <c r="L119" s="2" t="str">
        <f>VLOOKUP(B119,'PO with created By ASR'!A:J,7,FALSE)</f>
        <v>D - Delhi</v>
      </c>
      <c r="M119" s="2" t="str">
        <f>VLOOKUP(B119,'PO with created By ASR'!A:K,8,FALSE)</f>
        <v>Purchase Order-Del</v>
      </c>
      <c r="N119" t="s">
        <v>36</v>
      </c>
      <c r="P119" s="2">
        <v>6</v>
      </c>
    </row>
    <row r="120" s="2" customFormat="1" spans="1:16">
      <c r="A120" s="8"/>
      <c r="B120" s="9" t="s">
        <v>429</v>
      </c>
      <c r="C120" s="10" t="s">
        <v>3829</v>
      </c>
      <c r="D120" s="11">
        <v>1</v>
      </c>
      <c r="E120" s="12">
        <v>2896</v>
      </c>
      <c r="F120" s="13">
        <v>2896</v>
      </c>
      <c r="G120" s="2">
        <f>VLOOKUP(B120,'PO with created By ASR'!A:C,3,FALSE)</f>
        <v>45663</v>
      </c>
      <c r="J120" s="2" t="str">
        <f>VLOOKUP(B120,'PO with created By ASR'!A:G,4,FALSE)</f>
        <v>Garv Aggarwal  -CR</v>
      </c>
      <c r="K120" s="2" t="e">
        <f>VLOOKUP(B120,'PO with created By ASR'!A:I,6,FALSE)</f>
        <v>#N/A</v>
      </c>
      <c r="L120" s="2" t="str">
        <f>VLOOKUP(B120,'PO with created By ASR'!A:J,7,FALSE)</f>
        <v>D - Delhi</v>
      </c>
      <c r="M120" s="2" t="str">
        <f>VLOOKUP(B120,'PO with created By ASR'!A:K,8,FALSE)</f>
        <v>Purchase Order-Del</v>
      </c>
      <c r="N120" t="s">
        <v>36</v>
      </c>
      <c r="P120" s="2">
        <v>6</v>
      </c>
    </row>
    <row r="121" s="2" customFormat="1" spans="1:16">
      <c r="A121" s="8"/>
      <c r="B121" s="9" t="s">
        <v>430</v>
      </c>
      <c r="C121" s="10" t="s">
        <v>412</v>
      </c>
      <c r="D121" s="11">
        <v>1</v>
      </c>
      <c r="E121" s="12">
        <v>100</v>
      </c>
      <c r="F121" s="13">
        <v>100</v>
      </c>
      <c r="G121" s="2">
        <f>VLOOKUP(B121,'PO with created By ASR'!A:C,3,FALSE)</f>
        <v>45663</v>
      </c>
      <c r="J121" s="2" t="str">
        <f>VLOOKUP(B121,'PO with created By ASR'!A:G,4,FALSE)</f>
        <v>Prachi Signal  -CR</v>
      </c>
      <c r="K121" s="2" t="e">
        <f>VLOOKUP(B121,'PO with created By ASR'!A:I,6,FALSE)</f>
        <v>#N/A</v>
      </c>
      <c r="L121" s="2" t="str">
        <f>VLOOKUP(B121,'PO with created By ASR'!A:J,7,FALSE)</f>
        <v>D - Delhi</v>
      </c>
      <c r="M121" s="2" t="str">
        <f>VLOOKUP(B121,'PO with created By ASR'!A:K,8,FALSE)</f>
        <v>Purchase Order-Del</v>
      </c>
      <c r="N121" t="s">
        <v>36</v>
      </c>
      <c r="P121" s="2">
        <v>6</v>
      </c>
    </row>
    <row r="122" s="2" customFormat="1" spans="1:16">
      <c r="A122" s="8"/>
      <c r="B122" s="9" t="s">
        <v>434</v>
      </c>
      <c r="C122" s="10" t="s">
        <v>371</v>
      </c>
      <c r="D122" s="11">
        <v>1</v>
      </c>
      <c r="E122" s="12">
        <v>200000</v>
      </c>
      <c r="F122" s="13">
        <v>200000</v>
      </c>
      <c r="G122" s="2">
        <f>VLOOKUP(B122,'PO with created By ASR'!A:C,3,FALSE)</f>
        <v>45663</v>
      </c>
      <c r="J122" s="2" t="str">
        <f>VLOOKUP(B122,'PO with created By ASR'!A:G,4,FALSE)</f>
        <v>Garnertech Innovation Pvt Ltd-Del</v>
      </c>
      <c r="K122" s="2" t="str">
        <f>VLOOKUP(B122,'PO with created By ASR'!A:I,6,FALSE)</f>
        <v>11941  Garnertech Innovation Pvt Ltd</v>
      </c>
      <c r="L122" s="2" t="str">
        <f>VLOOKUP(B122,'PO with created By ASR'!A:J,7,FALSE)</f>
        <v>D - Delhi</v>
      </c>
      <c r="M122" s="2" t="str">
        <f>VLOOKUP(B122,'PO with created By ASR'!A:K,8,FALSE)</f>
        <v>Purchase Order-Del</v>
      </c>
      <c r="N122" t="s">
        <v>36</v>
      </c>
      <c r="P122" s="2">
        <v>6</v>
      </c>
    </row>
    <row r="123" s="2" customFormat="1" spans="1:16">
      <c r="A123" s="8"/>
      <c r="B123" s="9" t="s">
        <v>437</v>
      </c>
      <c r="C123" s="10" t="s">
        <v>126</v>
      </c>
      <c r="D123" s="11">
        <v>1</v>
      </c>
      <c r="E123" s="12">
        <v>617</v>
      </c>
      <c r="F123" s="13">
        <v>617</v>
      </c>
      <c r="G123" s="2">
        <f>VLOOKUP(B123,'PO with created By ASR'!A:C,3,FALSE)</f>
        <v>45663</v>
      </c>
      <c r="J123" s="2" t="str">
        <f>VLOOKUP(B123,'PO with created By ASR'!A:G,4,FALSE)</f>
        <v>Prachi Signal  -CR</v>
      </c>
      <c r="K123" s="2" t="e">
        <f>VLOOKUP(B123,'PO with created By ASR'!A:I,6,FALSE)</f>
        <v>#N/A</v>
      </c>
      <c r="L123" s="2" t="str">
        <f>VLOOKUP(B123,'PO with created By ASR'!A:J,7,FALSE)</f>
        <v>D - Delhi</v>
      </c>
      <c r="M123" s="2" t="str">
        <f>VLOOKUP(B123,'PO with created By ASR'!A:K,8,FALSE)</f>
        <v>Purchase Order-Del</v>
      </c>
      <c r="N123" t="s">
        <v>36</v>
      </c>
      <c r="P123" s="2">
        <v>6</v>
      </c>
    </row>
    <row r="124" s="2" customFormat="1" spans="1:16">
      <c r="A124" s="8"/>
      <c r="B124" s="9" t="s">
        <v>438</v>
      </c>
      <c r="C124" s="10" t="s">
        <v>126</v>
      </c>
      <c r="D124" s="11">
        <v>1</v>
      </c>
      <c r="E124" s="12">
        <v>2078</v>
      </c>
      <c r="F124" s="13">
        <v>2078</v>
      </c>
      <c r="G124" s="2">
        <f>VLOOKUP(B124,'PO with created By ASR'!A:C,3,FALSE)</f>
        <v>45663</v>
      </c>
      <c r="J124" s="2" t="str">
        <f>VLOOKUP(B124,'PO with created By ASR'!A:G,4,FALSE)</f>
        <v>Priyanka Nagi  -CR</v>
      </c>
      <c r="K124" s="2" t="e">
        <f>VLOOKUP(B124,'PO with created By ASR'!A:I,6,FALSE)</f>
        <v>#N/A</v>
      </c>
      <c r="L124" s="2" t="str">
        <f>VLOOKUP(B124,'PO with created By ASR'!A:J,7,FALSE)</f>
        <v>D - Delhi</v>
      </c>
      <c r="M124" s="2" t="str">
        <f>VLOOKUP(B124,'PO with created By ASR'!A:K,8,FALSE)</f>
        <v>Purchase Order-Del</v>
      </c>
      <c r="N124" t="s">
        <v>36</v>
      </c>
      <c r="P124" s="2">
        <v>6</v>
      </c>
    </row>
    <row r="125" s="2" customFormat="1" spans="1:16">
      <c r="A125" s="8"/>
      <c r="B125" s="9" t="s">
        <v>438</v>
      </c>
      <c r="C125" s="10" t="s">
        <v>412</v>
      </c>
      <c r="D125" s="11">
        <v>1</v>
      </c>
      <c r="E125" s="12">
        <v>938</v>
      </c>
      <c r="F125" s="13">
        <v>938</v>
      </c>
      <c r="G125" s="2">
        <f>VLOOKUP(B125,'PO with created By ASR'!A:C,3,FALSE)</f>
        <v>45663</v>
      </c>
      <c r="J125" s="2" t="str">
        <f>VLOOKUP(B125,'PO with created By ASR'!A:G,4,FALSE)</f>
        <v>Priyanka Nagi  -CR</v>
      </c>
      <c r="K125" s="2" t="e">
        <f>VLOOKUP(B125,'PO with created By ASR'!A:I,6,FALSE)</f>
        <v>#N/A</v>
      </c>
      <c r="L125" s="2" t="str">
        <f>VLOOKUP(B125,'PO with created By ASR'!A:J,7,FALSE)</f>
        <v>D - Delhi</v>
      </c>
      <c r="M125" s="2" t="str">
        <f>VLOOKUP(B125,'PO with created By ASR'!A:K,8,FALSE)</f>
        <v>Purchase Order-Del</v>
      </c>
      <c r="N125" t="s">
        <v>36</v>
      </c>
      <c r="P125" s="2">
        <v>6</v>
      </c>
    </row>
    <row r="126" s="2" customFormat="1" spans="1:16">
      <c r="A126" s="8"/>
      <c r="B126" s="9" t="s">
        <v>442</v>
      </c>
      <c r="C126" s="10" t="s">
        <v>126</v>
      </c>
      <c r="D126" s="11">
        <v>1</v>
      </c>
      <c r="E126" s="12">
        <v>6592</v>
      </c>
      <c r="F126" s="13">
        <v>6592</v>
      </c>
      <c r="G126" s="2">
        <f>VLOOKUP(B126,'PO with created By ASR'!A:C,3,FALSE)</f>
        <v>45663</v>
      </c>
      <c r="J126" s="2" t="str">
        <f>VLOOKUP(B126,'PO with created By ASR'!A:G,4,FALSE)</f>
        <v>Sadika Madan  -CR</v>
      </c>
      <c r="K126" s="2" t="e">
        <f>VLOOKUP(B126,'PO with created By ASR'!A:I,6,FALSE)</f>
        <v>#N/A</v>
      </c>
      <c r="L126" s="2" t="str">
        <f>VLOOKUP(B126,'PO with created By ASR'!A:J,7,FALSE)</f>
        <v>D - Delhi</v>
      </c>
      <c r="M126" s="2" t="str">
        <f>VLOOKUP(B126,'PO with created By ASR'!A:K,8,FALSE)</f>
        <v>Purchase Order-Del</v>
      </c>
      <c r="N126" t="s">
        <v>36</v>
      </c>
      <c r="P126" s="2">
        <v>6</v>
      </c>
    </row>
    <row r="127" s="2" customFormat="1" spans="1:16">
      <c r="A127" s="8"/>
      <c r="B127" s="9" t="s">
        <v>442</v>
      </c>
      <c r="C127" s="10" t="s">
        <v>412</v>
      </c>
      <c r="D127" s="11">
        <v>1</v>
      </c>
      <c r="E127" s="12">
        <v>2259.5</v>
      </c>
      <c r="F127" s="13">
        <v>2259.5</v>
      </c>
      <c r="G127" s="2">
        <f>VLOOKUP(B127,'PO with created By ASR'!A:C,3,FALSE)</f>
        <v>45663</v>
      </c>
      <c r="J127" s="2" t="str">
        <f>VLOOKUP(B127,'PO with created By ASR'!A:G,4,FALSE)</f>
        <v>Sadika Madan  -CR</v>
      </c>
      <c r="K127" s="2" t="e">
        <f>VLOOKUP(B127,'PO with created By ASR'!A:I,6,FALSE)</f>
        <v>#N/A</v>
      </c>
      <c r="L127" s="2" t="str">
        <f>VLOOKUP(B127,'PO with created By ASR'!A:J,7,FALSE)</f>
        <v>D - Delhi</v>
      </c>
      <c r="M127" s="2" t="str">
        <f>VLOOKUP(B127,'PO with created By ASR'!A:K,8,FALSE)</f>
        <v>Purchase Order-Del</v>
      </c>
      <c r="N127" t="s">
        <v>36</v>
      </c>
      <c r="P127" s="2">
        <v>6</v>
      </c>
    </row>
    <row r="128" s="2" customFormat="1" spans="1:16">
      <c r="A128" s="8"/>
      <c r="B128" s="9" t="s">
        <v>445</v>
      </c>
      <c r="C128" s="10" t="s">
        <v>233</v>
      </c>
      <c r="D128" s="11">
        <v>1</v>
      </c>
      <c r="E128" s="12">
        <v>9250</v>
      </c>
      <c r="F128" s="13">
        <v>9250</v>
      </c>
      <c r="G128" s="2">
        <f>VLOOKUP(B128,'PO with created By ASR'!A:C,3,FALSE)</f>
        <v>45663</v>
      </c>
      <c r="J128" s="2" t="str">
        <f>VLOOKUP(B128,'PO with created By ASR'!A:G,4,FALSE)</f>
        <v>Kunwar Singh Chauhan  -CR</v>
      </c>
      <c r="K128" s="2" t="e">
        <f>VLOOKUP(B128,'PO with created By ASR'!A:I,6,FALSE)</f>
        <v>#N/A</v>
      </c>
      <c r="L128" s="2" t="str">
        <f>VLOOKUP(B128,'PO with created By ASR'!A:J,7,FALSE)</f>
        <v>D - Delhi</v>
      </c>
      <c r="M128" s="2" t="str">
        <f>VLOOKUP(B128,'PO with created By ASR'!A:K,8,FALSE)</f>
        <v>Purchase Order-Del</v>
      </c>
      <c r="N128" t="s">
        <v>36</v>
      </c>
      <c r="P128" s="2">
        <v>6</v>
      </c>
    </row>
    <row r="129" s="2" customFormat="1" spans="1:16">
      <c r="A129" s="8"/>
      <c r="B129" s="9" t="s">
        <v>446</v>
      </c>
      <c r="C129" s="10" t="s">
        <v>126</v>
      </c>
      <c r="D129" s="11">
        <v>1</v>
      </c>
      <c r="E129" s="12">
        <v>2230</v>
      </c>
      <c r="F129" s="13">
        <v>2230</v>
      </c>
      <c r="G129" s="2">
        <f>VLOOKUP(B129,'PO with created By ASR'!A:C,3,FALSE)</f>
        <v>45663</v>
      </c>
      <c r="J129" s="2" t="str">
        <f>VLOOKUP(B129,'PO with created By ASR'!A:G,4,FALSE)</f>
        <v>Kunwar Singh Chauhan  -CR</v>
      </c>
      <c r="K129" s="2" t="e">
        <f>VLOOKUP(B129,'PO with created By ASR'!A:I,6,FALSE)</f>
        <v>#N/A</v>
      </c>
      <c r="L129" s="2" t="str">
        <f>VLOOKUP(B129,'PO with created By ASR'!A:J,7,FALSE)</f>
        <v>D - Delhi</v>
      </c>
      <c r="M129" s="2" t="str">
        <f>VLOOKUP(B129,'PO with created By ASR'!A:K,8,FALSE)</f>
        <v>Purchase Order-Del</v>
      </c>
      <c r="N129" t="s">
        <v>36</v>
      </c>
      <c r="P129" s="2">
        <v>6</v>
      </c>
    </row>
    <row r="130" s="2" customFormat="1" spans="1:16">
      <c r="A130" s="8"/>
      <c r="B130" s="9" t="s">
        <v>446</v>
      </c>
      <c r="C130" s="10" t="s">
        <v>412</v>
      </c>
      <c r="D130" s="11">
        <v>1</v>
      </c>
      <c r="E130" s="12">
        <v>3900</v>
      </c>
      <c r="F130" s="13">
        <v>3900</v>
      </c>
      <c r="G130" s="2">
        <f>VLOOKUP(B130,'PO with created By ASR'!A:C,3,FALSE)</f>
        <v>45663</v>
      </c>
      <c r="J130" s="2" t="str">
        <f>VLOOKUP(B130,'PO with created By ASR'!A:G,4,FALSE)</f>
        <v>Kunwar Singh Chauhan  -CR</v>
      </c>
      <c r="K130" s="2" t="e">
        <f>VLOOKUP(B130,'PO with created By ASR'!A:I,6,FALSE)</f>
        <v>#N/A</v>
      </c>
      <c r="L130" s="2" t="str">
        <f>VLOOKUP(B130,'PO with created By ASR'!A:J,7,FALSE)</f>
        <v>D - Delhi</v>
      </c>
      <c r="M130" s="2" t="str">
        <f>VLOOKUP(B130,'PO with created By ASR'!A:K,8,FALSE)</f>
        <v>Purchase Order-Del</v>
      </c>
      <c r="N130" t="s">
        <v>36</v>
      </c>
      <c r="P130" s="2">
        <v>6</v>
      </c>
    </row>
    <row r="131" s="2" customFormat="1" spans="1:16">
      <c r="A131" s="8"/>
      <c r="B131" s="9" t="s">
        <v>447</v>
      </c>
      <c r="C131" s="10" t="s">
        <v>412</v>
      </c>
      <c r="D131" s="11">
        <v>1</v>
      </c>
      <c r="E131" s="12">
        <v>670</v>
      </c>
      <c r="F131" s="13">
        <v>670</v>
      </c>
      <c r="G131" s="2">
        <f>VLOOKUP(B131,'PO with created By ASR'!A:C,3,FALSE)</f>
        <v>45663</v>
      </c>
      <c r="J131" s="2" t="str">
        <f>VLOOKUP(B131,'PO with created By ASR'!A:G,4,FALSE)</f>
        <v>Kunwar Singh Chauhan  -CR</v>
      </c>
      <c r="K131" s="2" t="e">
        <f>VLOOKUP(B131,'PO with created By ASR'!A:I,6,FALSE)</f>
        <v>#N/A</v>
      </c>
      <c r="L131" s="2" t="str">
        <f>VLOOKUP(B131,'PO with created By ASR'!A:J,7,FALSE)</f>
        <v>D - Delhi</v>
      </c>
      <c r="M131" s="2" t="str">
        <f>VLOOKUP(B131,'PO with created By ASR'!A:K,8,FALSE)</f>
        <v>Purchase Order-Del</v>
      </c>
      <c r="N131" t="s">
        <v>36</v>
      </c>
      <c r="P131" s="2">
        <v>6</v>
      </c>
    </row>
    <row r="132" s="2" customFormat="1" spans="1:16">
      <c r="A132" s="8"/>
      <c r="B132" s="9" t="s">
        <v>448</v>
      </c>
      <c r="C132" s="10" t="s">
        <v>126</v>
      </c>
      <c r="D132" s="11">
        <v>1</v>
      </c>
      <c r="E132" s="12">
        <v>2070</v>
      </c>
      <c r="F132" s="13">
        <v>2070</v>
      </c>
      <c r="G132" s="2">
        <f>VLOOKUP(B132,'PO with created By ASR'!A:C,3,FALSE)</f>
        <v>45663</v>
      </c>
      <c r="J132" s="2" t="str">
        <f>VLOOKUP(B132,'PO with created By ASR'!A:G,4,FALSE)</f>
        <v>Kunwar Singh Chauhan  -CR</v>
      </c>
      <c r="K132" s="2" t="e">
        <f>VLOOKUP(B132,'PO with created By ASR'!A:I,6,FALSE)</f>
        <v>#N/A</v>
      </c>
      <c r="L132" s="2" t="str">
        <f>VLOOKUP(B132,'PO with created By ASR'!A:J,7,FALSE)</f>
        <v>D - Delhi</v>
      </c>
      <c r="M132" s="2" t="str">
        <f>VLOOKUP(B132,'PO with created By ASR'!A:K,8,FALSE)</f>
        <v>Purchase Order-Del</v>
      </c>
      <c r="N132" t="s">
        <v>36</v>
      </c>
      <c r="P132" s="2">
        <v>6</v>
      </c>
    </row>
    <row r="133" s="2" customFormat="1" spans="1:16">
      <c r="A133" s="8"/>
      <c r="B133" s="9" t="s">
        <v>449</v>
      </c>
      <c r="C133" s="10" t="s">
        <v>126</v>
      </c>
      <c r="D133" s="11">
        <v>1</v>
      </c>
      <c r="E133" s="12">
        <v>3900</v>
      </c>
      <c r="F133" s="13">
        <v>3900</v>
      </c>
      <c r="G133" s="2">
        <f>VLOOKUP(B133,'PO with created By ASR'!A:C,3,FALSE)</f>
        <v>45663</v>
      </c>
      <c r="J133" s="2" t="str">
        <f>VLOOKUP(B133,'PO with created By ASR'!A:G,4,FALSE)</f>
        <v>Kunwar Singh Chauhan  -CR</v>
      </c>
      <c r="K133" s="2" t="e">
        <f>VLOOKUP(B133,'PO with created By ASR'!A:I,6,FALSE)</f>
        <v>#N/A</v>
      </c>
      <c r="L133" s="2" t="str">
        <f>VLOOKUP(B133,'PO with created By ASR'!A:J,7,FALSE)</f>
        <v>D - Delhi</v>
      </c>
      <c r="M133" s="2" t="str">
        <f>VLOOKUP(B133,'PO with created By ASR'!A:K,8,FALSE)</f>
        <v>Purchase Order-Del</v>
      </c>
      <c r="N133" t="s">
        <v>36</v>
      </c>
      <c r="P133" s="2">
        <v>6</v>
      </c>
    </row>
    <row r="134" s="2" customFormat="1" spans="1:16">
      <c r="A134" s="8"/>
      <c r="B134" s="9" t="s">
        <v>450</v>
      </c>
      <c r="C134" s="10" t="s">
        <v>126</v>
      </c>
      <c r="D134" s="11">
        <v>1</v>
      </c>
      <c r="E134" s="12">
        <v>4083</v>
      </c>
      <c r="F134" s="13">
        <v>4083</v>
      </c>
      <c r="G134" s="2">
        <f>VLOOKUP(B134,'PO with created By ASR'!A:C,3,FALSE)</f>
        <v>45663</v>
      </c>
      <c r="J134" s="2" t="str">
        <f>VLOOKUP(B134,'PO with created By ASR'!A:G,4,FALSE)</f>
        <v>Ajeet Singh  -CR</v>
      </c>
      <c r="K134" s="2" t="str">
        <f>VLOOKUP(B134,'PO with created By ASR'!A:I,6,FALSE)</f>
        <v>10519 Ajeet Singh</v>
      </c>
      <c r="L134" s="2" t="str">
        <f>VLOOKUP(B134,'PO with created By ASR'!A:J,7,FALSE)</f>
        <v>D - Delhi</v>
      </c>
      <c r="M134" s="2" t="str">
        <f>VLOOKUP(B134,'PO with created By ASR'!A:K,8,FALSE)</f>
        <v>Purchase Order-Del</v>
      </c>
      <c r="N134" t="s">
        <v>36</v>
      </c>
      <c r="P134" s="2">
        <v>6</v>
      </c>
    </row>
    <row r="135" s="2" customFormat="1" spans="1:16">
      <c r="A135" s="8"/>
      <c r="B135" s="9" t="s">
        <v>450</v>
      </c>
      <c r="C135" s="10" t="s">
        <v>412</v>
      </c>
      <c r="D135" s="11">
        <v>1</v>
      </c>
      <c r="E135" s="12">
        <v>436</v>
      </c>
      <c r="F135" s="13">
        <v>436</v>
      </c>
      <c r="G135" s="2">
        <f>VLOOKUP(B135,'PO with created By ASR'!A:C,3,FALSE)</f>
        <v>45663</v>
      </c>
      <c r="J135" s="2" t="str">
        <f>VLOOKUP(B135,'PO with created By ASR'!A:G,4,FALSE)</f>
        <v>Ajeet Singh  -CR</v>
      </c>
      <c r="K135" s="2" t="str">
        <f>VLOOKUP(B135,'PO with created By ASR'!A:I,6,FALSE)</f>
        <v>10519 Ajeet Singh</v>
      </c>
      <c r="L135" s="2" t="str">
        <f>VLOOKUP(B135,'PO with created By ASR'!A:J,7,FALSE)</f>
        <v>D - Delhi</v>
      </c>
      <c r="M135" s="2" t="str">
        <f>VLOOKUP(B135,'PO with created By ASR'!A:K,8,FALSE)</f>
        <v>Purchase Order-Del</v>
      </c>
      <c r="N135" t="s">
        <v>36</v>
      </c>
      <c r="P135" s="2">
        <v>6</v>
      </c>
    </row>
    <row r="136" s="2" customFormat="1" spans="1:16">
      <c r="A136" s="8"/>
      <c r="B136" s="9" t="s">
        <v>455</v>
      </c>
      <c r="C136" s="10" t="s">
        <v>126</v>
      </c>
      <c r="D136" s="11">
        <v>1</v>
      </c>
      <c r="E136" s="12">
        <v>9144</v>
      </c>
      <c r="F136" s="13">
        <v>9144</v>
      </c>
      <c r="G136" s="2">
        <f>VLOOKUP(B136,'PO with created By ASR'!A:C,3,FALSE)</f>
        <v>45663</v>
      </c>
      <c r="J136" s="2" t="str">
        <f>VLOOKUP(B136,'PO with created By ASR'!A:G,4,FALSE)</f>
        <v>Sidhant Saxena.....-CR</v>
      </c>
      <c r="K136" s="2" t="e">
        <f>VLOOKUP(B136,'PO with created By ASR'!A:I,6,FALSE)</f>
        <v>#N/A</v>
      </c>
      <c r="L136" s="2" t="str">
        <f>VLOOKUP(B136,'PO with created By ASR'!A:J,7,FALSE)</f>
        <v>D - Delhi</v>
      </c>
      <c r="M136" s="2" t="str">
        <f>VLOOKUP(B136,'PO with created By ASR'!A:K,8,FALSE)</f>
        <v>Purchase Order-Del</v>
      </c>
      <c r="N136" t="s">
        <v>36</v>
      </c>
      <c r="P136" s="2">
        <v>6</v>
      </c>
    </row>
    <row r="137" s="2" customFormat="1" spans="1:16">
      <c r="A137" s="8"/>
      <c r="B137" s="9" t="s">
        <v>459</v>
      </c>
      <c r="C137" s="10" t="s">
        <v>140</v>
      </c>
      <c r="D137" s="11">
        <v>1</v>
      </c>
      <c r="E137" s="12">
        <v>870000</v>
      </c>
      <c r="F137" s="13">
        <v>870000</v>
      </c>
      <c r="G137" s="2">
        <f>VLOOKUP(B137,'PO with created By ASR'!A:C,3,FALSE)</f>
        <v>45663</v>
      </c>
      <c r="J137" s="2" t="str">
        <f>VLOOKUP(B137,'PO with created By ASR'!A:G,4,FALSE)</f>
        <v>Innovative Gifting Solutions-Del</v>
      </c>
      <c r="K137" s="2" t="str">
        <f>VLOOKUP(B137,'PO with created By ASR'!A:I,6,FALSE)</f>
        <v>11264 Innovative Gifting Solutions</v>
      </c>
      <c r="L137" s="2" t="str">
        <f>VLOOKUP(B137,'PO with created By ASR'!A:J,7,FALSE)</f>
        <v>D - Delhi</v>
      </c>
      <c r="M137" s="2" t="str">
        <f>VLOOKUP(B137,'PO with created By ASR'!A:K,8,FALSE)</f>
        <v>Purchase Order-Del</v>
      </c>
      <c r="N137" t="s">
        <v>36</v>
      </c>
      <c r="P137" s="2">
        <v>6</v>
      </c>
    </row>
    <row r="138" s="2" customFormat="1" spans="1:16">
      <c r="A138" s="8"/>
      <c r="B138" s="9" t="s">
        <v>465</v>
      </c>
      <c r="C138" s="10" t="s">
        <v>371</v>
      </c>
      <c r="D138" s="11">
        <v>1</v>
      </c>
      <c r="E138" s="12">
        <v>90000</v>
      </c>
      <c r="F138" s="13">
        <v>90000</v>
      </c>
      <c r="G138" s="2">
        <f>VLOOKUP(B138,'PO with created By ASR'!A:C,3,FALSE)</f>
        <v>45663</v>
      </c>
      <c r="J138" s="2" t="str">
        <f>VLOOKUP(B138,'PO with created By ASR'!A:G,4,FALSE)</f>
        <v>Minter Cstech Pvt.Ltd.-Del</v>
      </c>
      <c r="K138" s="2" t="e">
        <f>VLOOKUP(B138,'PO with created By ASR'!A:I,6,FALSE)</f>
        <v>#N/A</v>
      </c>
      <c r="L138" s="2" t="str">
        <f>VLOOKUP(B138,'PO with created By ASR'!A:J,7,FALSE)</f>
        <v>D - Delhi</v>
      </c>
      <c r="M138" s="2" t="str">
        <f>VLOOKUP(B138,'PO with created By ASR'!A:K,8,FALSE)</f>
        <v>Purchase Order-Del</v>
      </c>
      <c r="N138" t="s">
        <v>36</v>
      </c>
      <c r="P138" s="2">
        <v>6</v>
      </c>
    </row>
    <row r="139" s="2" customFormat="1" spans="1:16">
      <c r="A139" s="8"/>
      <c r="B139" s="9" t="s">
        <v>467</v>
      </c>
      <c r="C139" s="10" t="s">
        <v>412</v>
      </c>
      <c r="D139" s="11">
        <v>1</v>
      </c>
      <c r="E139" s="12">
        <v>850</v>
      </c>
      <c r="F139" s="13">
        <v>850</v>
      </c>
      <c r="G139" s="2">
        <f>VLOOKUP(B139,'PO with created By ASR'!A:C,3,FALSE)</f>
        <v>45663</v>
      </c>
      <c r="J139" s="2" t="str">
        <f>VLOOKUP(B139,'PO with created By ASR'!A:G,4,FALSE)</f>
        <v>Sanjay Dutt Dobriyal  -CR</v>
      </c>
      <c r="K139" s="2" t="e">
        <f>VLOOKUP(B139,'PO with created By ASR'!A:I,6,FALSE)</f>
        <v>#N/A</v>
      </c>
      <c r="L139" s="2" t="str">
        <f>VLOOKUP(B139,'PO with created By ASR'!A:J,7,FALSE)</f>
        <v>D - Delhi</v>
      </c>
      <c r="M139" s="2" t="str">
        <f>VLOOKUP(B139,'PO with created By ASR'!A:K,8,FALSE)</f>
        <v>Purchase Order-Del</v>
      </c>
      <c r="N139" t="s">
        <v>36</v>
      </c>
      <c r="P139" s="2">
        <v>6</v>
      </c>
    </row>
    <row r="140" s="2" customFormat="1" spans="1:16">
      <c r="A140" s="8"/>
      <c r="B140" s="9" t="s">
        <v>474</v>
      </c>
      <c r="C140" s="10" t="s">
        <v>477</v>
      </c>
      <c r="D140" s="14">
        <v>1</v>
      </c>
      <c r="E140" s="15">
        <v>6000</v>
      </c>
      <c r="F140" s="13">
        <v>6000</v>
      </c>
      <c r="G140" s="2">
        <f>VLOOKUP(B140,'PO with created By ASR'!A:C,3,FALSE)</f>
        <v>45663</v>
      </c>
      <c r="J140" s="2" t="str">
        <f>VLOOKUP(B140,'PO with created By ASR'!A:G,4,FALSE)</f>
        <v>Ventura Lifestyles Pvt Ltd-Mum</v>
      </c>
      <c r="K140" s="2" t="str">
        <f>VLOOKUP(B140,'PO with created By ASR'!A:I,6,FALSE)</f>
        <v>12585  Ventura Lifestyles Pvt Ltd</v>
      </c>
      <c r="L140" s="2" t="str">
        <f>VLOOKUP(B140,'PO with created By ASR'!A:J,7,FALSE)</f>
        <v>A - Mumbai</v>
      </c>
      <c r="M140" s="2" t="str">
        <f>VLOOKUP(B140,'PO with created By ASR'!A:K,8,FALSE)</f>
        <v>Purchase Order(Gen)-Mum</v>
      </c>
      <c r="N140" t="s">
        <v>36</v>
      </c>
      <c r="P140" s="2">
        <v>6</v>
      </c>
    </row>
    <row r="141" s="2" customFormat="1" spans="1:16">
      <c r="A141" s="8"/>
      <c r="B141" s="9" t="s">
        <v>479</v>
      </c>
      <c r="C141" s="10" t="s">
        <v>126</v>
      </c>
      <c r="D141" s="11">
        <v>1</v>
      </c>
      <c r="E141" s="12">
        <v>962</v>
      </c>
      <c r="F141" s="13">
        <v>962</v>
      </c>
      <c r="G141" s="2">
        <f>VLOOKUP(B141,'PO with created By ASR'!A:C,3,FALSE)</f>
        <v>45663</v>
      </c>
      <c r="J141" s="2" t="str">
        <f>VLOOKUP(B141,'PO with created By ASR'!A:G,4,FALSE)</f>
        <v>Manoj Chaudhari  -CR</v>
      </c>
      <c r="K141" s="2" t="e">
        <f>VLOOKUP(B141,'PO with created By ASR'!A:I,6,FALSE)</f>
        <v>#N/A</v>
      </c>
      <c r="L141" s="2" t="str">
        <f>VLOOKUP(B141,'PO with created By ASR'!A:J,7,FALSE)</f>
        <v>A - Mumbai</v>
      </c>
      <c r="M141" s="2" t="str">
        <f>VLOOKUP(B141,'PO with created By ASR'!A:K,8,FALSE)</f>
        <v>Purchase Order-Mum</v>
      </c>
      <c r="N141" t="s">
        <v>36</v>
      </c>
      <c r="P141" s="2">
        <v>6</v>
      </c>
    </row>
    <row r="142" s="2" customFormat="1" spans="1:16">
      <c r="A142" s="8"/>
      <c r="B142" s="9" t="s">
        <v>479</v>
      </c>
      <c r="C142" s="10" t="s">
        <v>412</v>
      </c>
      <c r="D142" s="11">
        <v>1</v>
      </c>
      <c r="E142" s="12">
        <v>1199</v>
      </c>
      <c r="F142" s="13">
        <v>1199</v>
      </c>
      <c r="G142" s="2">
        <f>VLOOKUP(B142,'PO with created By ASR'!A:C,3,FALSE)</f>
        <v>45663</v>
      </c>
      <c r="J142" s="2" t="str">
        <f>VLOOKUP(B142,'PO with created By ASR'!A:G,4,FALSE)</f>
        <v>Manoj Chaudhari  -CR</v>
      </c>
      <c r="K142" s="2" t="e">
        <f>VLOOKUP(B142,'PO with created By ASR'!A:I,6,FALSE)</f>
        <v>#N/A</v>
      </c>
      <c r="L142" s="2" t="str">
        <f>VLOOKUP(B142,'PO with created By ASR'!A:J,7,FALSE)</f>
        <v>A - Mumbai</v>
      </c>
      <c r="M142" s="2" t="str">
        <f>VLOOKUP(B142,'PO with created By ASR'!A:K,8,FALSE)</f>
        <v>Purchase Order-Mum</v>
      </c>
      <c r="N142" t="s">
        <v>36</v>
      </c>
      <c r="P142" s="2">
        <v>6</v>
      </c>
    </row>
    <row r="143" s="2" customFormat="1" spans="1:16">
      <c r="A143" s="8"/>
      <c r="B143" s="9" t="s">
        <v>482</v>
      </c>
      <c r="C143" s="10" t="s">
        <v>61</v>
      </c>
      <c r="D143" s="11">
        <v>1</v>
      </c>
      <c r="E143" s="12">
        <v>16000</v>
      </c>
      <c r="F143" s="13">
        <v>16000</v>
      </c>
      <c r="G143" s="2">
        <f>VLOOKUP(B143,'PO with created By ASR'!A:C,3,FALSE)</f>
        <v>45663</v>
      </c>
      <c r="J143" s="2" t="str">
        <f>VLOOKUP(B143,'PO with created By ASR'!A:G,4,FALSE)</f>
        <v>The Comptment Hotel Pvt Ltd-Mum</v>
      </c>
      <c r="K143" s="2" t="str">
        <f>VLOOKUP(B143,'PO with created By ASR'!A:I,6,FALSE)</f>
        <v>12686  The Comptment Hotel Pvt Ltd</v>
      </c>
      <c r="L143" s="2" t="str">
        <f>VLOOKUP(B143,'PO with created By ASR'!A:J,7,FALSE)</f>
        <v>A - Mumbai</v>
      </c>
      <c r="M143" s="2" t="str">
        <f>VLOOKUP(B143,'PO with created By ASR'!A:K,8,FALSE)</f>
        <v>Purchase Order-Mum</v>
      </c>
      <c r="N143" t="s">
        <v>36</v>
      </c>
      <c r="P143" s="2">
        <v>6</v>
      </c>
    </row>
    <row r="144" s="2" customFormat="1" spans="1:16">
      <c r="A144" s="8"/>
      <c r="B144" s="9" t="s">
        <v>485</v>
      </c>
      <c r="C144" s="10" t="s">
        <v>61</v>
      </c>
      <c r="D144" s="11">
        <v>1</v>
      </c>
      <c r="E144" s="12">
        <v>8000</v>
      </c>
      <c r="F144" s="13">
        <v>8000</v>
      </c>
      <c r="G144" s="2">
        <f>VLOOKUP(B144,'PO with created By ASR'!A:C,3,FALSE)</f>
        <v>45663</v>
      </c>
      <c r="J144" s="2" t="str">
        <f>VLOOKUP(B144,'PO with created By ASR'!A:G,4,FALSE)</f>
        <v>The Comptment Hotel Pvt Ltd-Mum</v>
      </c>
      <c r="K144" s="2" t="str">
        <f>VLOOKUP(B144,'PO with created By ASR'!A:I,6,FALSE)</f>
        <v>12686  The Comptment Hotel Pvt Ltd</v>
      </c>
      <c r="L144" s="2" t="str">
        <f>VLOOKUP(B144,'PO with created By ASR'!A:J,7,FALSE)</f>
        <v>A - Mumbai</v>
      </c>
      <c r="M144" s="2" t="str">
        <f>VLOOKUP(B144,'PO with created By ASR'!A:K,8,FALSE)</f>
        <v>Purchase Order-Mum</v>
      </c>
      <c r="N144" t="s">
        <v>36</v>
      </c>
      <c r="P144" s="2">
        <v>6</v>
      </c>
    </row>
    <row r="145" s="2" customFormat="1" spans="1:16">
      <c r="A145" s="8"/>
      <c r="B145" s="9" t="s">
        <v>487</v>
      </c>
      <c r="C145" s="10" t="s">
        <v>371</v>
      </c>
      <c r="D145" s="11">
        <v>1</v>
      </c>
      <c r="E145" s="12">
        <v>95000</v>
      </c>
      <c r="F145" s="13">
        <v>95000</v>
      </c>
      <c r="G145" s="2">
        <f>VLOOKUP(B145,'PO with created By ASR'!A:C,3,FALSE)</f>
        <v>45663</v>
      </c>
      <c r="J145" s="2" t="str">
        <f>VLOOKUP(B145,'PO with created By ASR'!A:G,4,FALSE)</f>
        <v>Vidicom Enterprises-Mum</v>
      </c>
      <c r="K145" s="2" t="str">
        <f>VLOOKUP(B145,'PO with created By ASR'!A:I,6,FALSE)</f>
        <v>11144 Vidicom Enterprises</v>
      </c>
      <c r="L145" s="2" t="str">
        <f>VLOOKUP(B145,'PO with created By ASR'!A:J,7,FALSE)</f>
        <v>A - Mumbai</v>
      </c>
      <c r="M145" s="2" t="str">
        <f>VLOOKUP(B145,'PO with created By ASR'!A:K,8,FALSE)</f>
        <v>Purchase Order-Mum</v>
      </c>
      <c r="N145" t="s">
        <v>36</v>
      </c>
      <c r="P145" s="2">
        <v>6</v>
      </c>
    </row>
    <row r="146" s="2" customFormat="1" spans="1:16">
      <c r="A146" s="8"/>
      <c r="B146" s="9" t="s">
        <v>490</v>
      </c>
      <c r="C146" s="10" t="s">
        <v>250</v>
      </c>
      <c r="D146" s="11">
        <v>1</v>
      </c>
      <c r="E146" s="12">
        <v>140000</v>
      </c>
      <c r="F146" s="13">
        <v>140000</v>
      </c>
      <c r="G146" s="2">
        <f>VLOOKUP(B146,'PO with created By ASR'!A:C,3,FALSE)</f>
        <v>45663</v>
      </c>
      <c r="J146" s="2" t="str">
        <f>VLOOKUP(B146,'PO with created By ASR'!A:G,4,FALSE)</f>
        <v>Neha Sareen-Mum</v>
      </c>
      <c r="K146" s="2" t="str">
        <f>VLOOKUP(B146,'PO with created By ASR'!A:I,6,FALSE)</f>
        <v>12875 Neha Sareen</v>
      </c>
      <c r="L146" s="2" t="str">
        <f>VLOOKUP(B146,'PO with created By ASR'!A:J,7,FALSE)</f>
        <v>A - Mumbai</v>
      </c>
      <c r="M146" s="2" t="str">
        <f>VLOOKUP(B146,'PO with created By ASR'!A:K,8,FALSE)</f>
        <v>Purchase Order-Mum</v>
      </c>
      <c r="N146" t="s">
        <v>36</v>
      </c>
      <c r="P146" s="2">
        <v>6</v>
      </c>
    </row>
    <row r="147" s="2" customFormat="1" spans="1:16">
      <c r="A147" s="8"/>
      <c r="B147" s="9" t="s">
        <v>493</v>
      </c>
      <c r="C147" s="10" t="s">
        <v>250</v>
      </c>
      <c r="D147" s="11">
        <v>1</v>
      </c>
      <c r="E147" s="12">
        <v>300000</v>
      </c>
      <c r="F147" s="13">
        <v>300000</v>
      </c>
      <c r="G147" s="2">
        <f>VLOOKUP(B147,'PO with created By ASR'!A:C,3,FALSE)</f>
        <v>45663</v>
      </c>
      <c r="J147" s="2" t="str">
        <f>VLOOKUP(B147,'PO with created By ASR'!A:G,4,FALSE)</f>
        <v>Khyati Kava-Mum</v>
      </c>
      <c r="K147" s="2" t="str">
        <f>VLOOKUP(B147,'PO with created By ASR'!A:I,6,FALSE)</f>
        <v>10709 Khyati Kava</v>
      </c>
      <c r="L147" s="2" t="str">
        <f>VLOOKUP(B147,'PO with created By ASR'!A:J,7,FALSE)</f>
        <v>A - Mumbai</v>
      </c>
      <c r="M147" s="2" t="str">
        <f>VLOOKUP(B147,'PO with created By ASR'!A:K,8,FALSE)</f>
        <v>Purchase Order-Mum</v>
      </c>
      <c r="N147" t="s">
        <v>36</v>
      </c>
      <c r="P147" s="2">
        <v>6</v>
      </c>
    </row>
    <row r="148" s="2" customFormat="1" spans="1:16">
      <c r="A148" s="8"/>
      <c r="B148" s="9" t="s">
        <v>496</v>
      </c>
      <c r="C148" s="10" t="s">
        <v>371</v>
      </c>
      <c r="D148" s="11">
        <v>1</v>
      </c>
      <c r="E148" s="12">
        <v>77000</v>
      </c>
      <c r="F148" s="13">
        <v>77000</v>
      </c>
      <c r="G148" s="2">
        <f>VLOOKUP(B148,'PO with created By ASR'!A:C,3,FALSE)</f>
        <v>45663</v>
      </c>
      <c r="J148" s="2" t="str">
        <f>VLOOKUP(B148,'PO with created By ASR'!A:G,4,FALSE)</f>
        <v>Vidicom Enterprises-Mum</v>
      </c>
      <c r="K148" s="2" t="str">
        <f>VLOOKUP(B148,'PO with created By ASR'!A:I,6,FALSE)</f>
        <v>11144 Vidicom Enterprises</v>
      </c>
      <c r="L148" s="2" t="str">
        <f>VLOOKUP(B148,'PO with created By ASR'!A:J,7,FALSE)</f>
        <v>A - Mumbai</v>
      </c>
      <c r="M148" s="2" t="str">
        <f>VLOOKUP(B148,'PO with created By ASR'!A:K,8,FALSE)</f>
        <v>Purchase Order-Mum</v>
      </c>
      <c r="N148" t="s">
        <v>36</v>
      </c>
      <c r="P148" s="2">
        <v>6</v>
      </c>
    </row>
    <row r="149" s="2" customFormat="1" spans="1:16">
      <c r="A149" s="8"/>
      <c r="B149" s="9" t="s">
        <v>497</v>
      </c>
      <c r="C149" s="10" t="s">
        <v>317</v>
      </c>
      <c r="D149" s="11">
        <v>1</v>
      </c>
      <c r="E149" s="12">
        <v>150000</v>
      </c>
      <c r="F149" s="13">
        <v>150000</v>
      </c>
      <c r="G149" s="2">
        <f>VLOOKUP(B149,'PO with created By ASR'!A:C,3,FALSE)</f>
        <v>45664</v>
      </c>
      <c r="J149" s="2" t="str">
        <f>VLOOKUP(B149,'PO with created By ASR'!A:G,4,FALSE)</f>
        <v>Lyra Entertainment And Media-Blr</v>
      </c>
      <c r="K149" s="2" t="e">
        <f>VLOOKUP(B149,'PO with created By ASR'!A:I,6,FALSE)</f>
        <v>#N/A</v>
      </c>
      <c r="L149" s="2" t="str">
        <f>VLOOKUP(B149,'PO with created By ASR'!A:J,7,FALSE)</f>
        <v>B - Bangalore</v>
      </c>
      <c r="M149" s="2" t="str">
        <f>VLOOKUP(B149,'PO with created By ASR'!A:K,8,FALSE)</f>
        <v>Purchase Order-Blr</v>
      </c>
      <c r="N149" t="s">
        <v>36</v>
      </c>
      <c r="P149" s="2">
        <v>6</v>
      </c>
    </row>
    <row r="150" s="2" customFormat="1" spans="1:16">
      <c r="A150" s="8"/>
      <c r="B150" s="9" t="s">
        <v>500</v>
      </c>
      <c r="C150" s="10" t="s">
        <v>119</v>
      </c>
      <c r="D150" s="11">
        <v>1</v>
      </c>
      <c r="E150" s="12">
        <v>7102</v>
      </c>
      <c r="F150" s="13">
        <v>7102</v>
      </c>
      <c r="G150" s="2">
        <f>VLOOKUP(B150,'PO with created By ASR'!A:C,3,FALSE)</f>
        <v>45664</v>
      </c>
      <c r="J150" s="2" t="str">
        <f>VLOOKUP(B150,'PO with created By ASR'!A:G,4,FALSE)</f>
        <v>Siva Sankar Cabs-Blr</v>
      </c>
      <c r="K150" s="2" t="str">
        <f>VLOOKUP(B150,'PO with created By ASR'!A:I,6,FALSE)</f>
        <v>10089 Siva Sankar Cabs</v>
      </c>
      <c r="L150" s="2" t="str">
        <f>VLOOKUP(B150,'PO with created By ASR'!A:J,7,FALSE)</f>
        <v>B - Bangalore</v>
      </c>
      <c r="M150" s="2" t="str">
        <f>VLOOKUP(B150,'PO with created By ASR'!A:K,8,FALSE)</f>
        <v>Purchase Order-Blr</v>
      </c>
      <c r="N150" t="s">
        <v>36</v>
      </c>
      <c r="P150" s="2">
        <v>6</v>
      </c>
    </row>
    <row r="151" s="2" customFormat="1" spans="1:16">
      <c r="A151" s="8"/>
      <c r="B151" s="9" t="s">
        <v>503</v>
      </c>
      <c r="C151" s="10" t="s">
        <v>119</v>
      </c>
      <c r="D151" s="11">
        <v>1</v>
      </c>
      <c r="E151" s="12">
        <v>20690</v>
      </c>
      <c r="F151" s="13">
        <v>20690</v>
      </c>
      <c r="G151" s="2">
        <f>VLOOKUP(B151,'PO with created By ASR'!A:C,3,FALSE)</f>
        <v>45664</v>
      </c>
      <c r="J151" s="2" t="str">
        <f>VLOOKUP(B151,'PO with created By ASR'!A:G,4,FALSE)</f>
        <v>Siva Sankar Cabs-Blr</v>
      </c>
      <c r="K151" s="2" t="str">
        <f>VLOOKUP(B151,'PO with created By ASR'!A:I,6,FALSE)</f>
        <v>10089 Siva Sankar Cabs</v>
      </c>
      <c r="L151" s="2" t="str">
        <f>VLOOKUP(B151,'PO with created By ASR'!A:J,7,FALSE)</f>
        <v>B - Bangalore</v>
      </c>
      <c r="M151" s="2" t="str">
        <f>VLOOKUP(B151,'PO with created By ASR'!A:K,8,FALSE)</f>
        <v>Purchase Order-Blr</v>
      </c>
      <c r="N151" t="s">
        <v>36</v>
      </c>
      <c r="P151" s="2">
        <v>6</v>
      </c>
    </row>
    <row r="152" s="2" customFormat="1" spans="1:16">
      <c r="A152" s="8"/>
      <c r="B152" s="9" t="s">
        <v>503</v>
      </c>
      <c r="C152" s="10" t="s">
        <v>4364</v>
      </c>
      <c r="D152" s="14">
        <v>1</v>
      </c>
      <c r="E152" s="15">
        <v>4260</v>
      </c>
      <c r="F152" s="13">
        <v>4260</v>
      </c>
      <c r="G152" s="2">
        <f>VLOOKUP(B152,'PO with created By ASR'!A:C,3,FALSE)</f>
        <v>45664</v>
      </c>
      <c r="J152" s="2" t="str">
        <f>VLOOKUP(B152,'PO with created By ASR'!A:G,4,FALSE)</f>
        <v>Siva Sankar Cabs-Blr</v>
      </c>
      <c r="K152" s="2" t="str">
        <f>VLOOKUP(B152,'PO with created By ASR'!A:I,6,FALSE)</f>
        <v>10089 Siva Sankar Cabs</v>
      </c>
      <c r="L152" s="2" t="str">
        <f>VLOOKUP(B152,'PO with created By ASR'!A:J,7,FALSE)</f>
        <v>B - Bangalore</v>
      </c>
      <c r="M152" s="2" t="str">
        <f>VLOOKUP(B152,'PO with created By ASR'!A:K,8,FALSE)</f>
        <v>Purchase Order-Blr</v>
      </c>
      <c r="N152" t="s">
        <v>36</v>
      </c>
      <c r="P152" s="2">
        <v>6</v>
      </c>
    </row>
    <row r="153" s="2" customFormat="1" spans="1:16">
      <c r="A153" s="8"/>
      <c r="B153" s="9" t="s">
        <v>504</v>
      </c>
      <c r="C153" s="10" t="s">
        <v>126</v>
      </c>
      <c r="D153" s="11">
        <v>1</v>
      </c>
      <c r="E153" s="12">
        <v>1142</v>
      </c>
      <c r="F153" s="13">
        <v>1142</v>
      </c>
      <c r="G153" s="2">
        <f>VLOOKUP(B153,'PO with created By ASR'!A:C,3,FALSE)</f>
        <v>45664</v>
      </c>
      <c r="J153" s="2" t="str">
        <f>VLOOKUP(B153,'PO with created By ASR'!A:G,4,FALSE)</f>
        <v>Ashok Raj R  -CR</v>
      </c>
      <c r="K153" s="2" t="e">
        <f>VLOOKUP(B153,'PO with created By ASR'!A:I,6,FALSE)</f>
        <v>#N/A</v>
      </c>
      <c r="L153" s="2" t="str">
        <f>VLOOKUP(B153,'PO with created By ASR'!A:J,7,FALSE)</f>
        <v>B - Bangalore</v>
      </c>
      <c r="M153" s="2" t="str">
        <f>VLOOKUP(B153,'PO with created By ASR'!A:K,8,FALSE)</f>
        <v>Purchase Order-Blr</v>
      </c>
      <c r="N153" t="s">
        <v>36</v>
      </c>
      <c r="P153" s="2">
        <v>6</v>
      </c>
    </row>
    <row r="154" s="2" customFormat="1" spans="1:16">
      <c r="A154" s="8"/>
      <c r="B154" s="9" t="s">
        <v>504</v>
      </c>
      <c r="C154" s="10" t="s">
        <v>412</v>
      </c>
      <c r="D154" s="11">
        <v>1</v>
      </c>
      <c r="E154" s="12">
        <v>275</v>
      </c>
      <c r="F154" s="13">
        <v>275</v>
      </c>
      <c r="G154" s="2">
        <f>VLOOKUP(B154,'PO with created By ASR'!A:C,3,FALSE)</f>
        <v>45664</v>
      </c>
      <c r="J154" s="2" t="str">
        <f>VLOOKUP(B154,'PO with created By ASR'!A:G,4,FALSE)</f>
        <v>Ashok Raj R  -CR</v>
      </c>
      <c r="K154" s="2" t="e">
        <f>VLOOKUP(B154,'PO with created By ASR'!A:I,6,FALSE)</f>
        <v>#N/A</v>
      </c>
      <c r="L154" s="2" t="str">
        <f>VLOOKUP(B154,'PO with created By ASR'!A:J,7,FALSE)</f>
        <v>B - Bangalore</v>
      </c>
      <c r="M154" s="2" t="str">
        <f>VLOOKUP(B154,'PO with created By ASR'!A:K,8,FALSE)</f>
        <v>Purchase Order-Blr</v>
      </c>
      <c r="N154" t="s">
        <v>36</v>
      </c>
      <c r="P154" s="2">
        <v>6</v>
      </c>
    </row>
    <row r="155" s="2" customFormat="1" spans="1:16">
      <c r="A155" s="8"/>
      <c r="B155" s="9" t="s">
        <v>506</v>
      </c>
      <c r="C155" s="10" t="s">
        <v>508</v>
      </c>
      <c r="D155" s="11">
        <v>1</v>
      </c>
      <c r="E155" s="12">
        <v>3000</v>
      </c>
      <c r="F155" s="13">
        <v>3000</v>
      </c>
      <c r="G155" s="2">
        <f>VLOOKUP(B155,'PO with created By ASR'!A:C,3,FALSE)</f>
        <v>45664</v>
      </c>
      <c r="J155" s="2" t="str">
        <f>VLOOKUP(B155,'PO with created By ASR'!A:G,4,FALSE)</f>
        <v>R Anandan  -CR</v>
      </c>
      <c r="K155" s="2" t="e">
        <f>VLOOKUP(B155,'PO with created By ASR'!A:I,6,FALSE)</f>
        <v>#N/A</v>
      </c>
      <c r="L155" s="2" t="str">
        <f>VLOOKUP(B155,'PO with created By ASR'!A:J,7,FALSE)</f>
        <v>C - Chennai</v>
      </c>
      <c r="M155" s="2" t="str">
        <f>VLOOKUP(B155,'PO with created By ASR'!A:K,8,FALSE)</f>
        <v>Purchase Order-Che</v>
      </c>
      <c r="N155" t="s">
        <v>36</v>
      </c>
      <c r="P155" s="2">
        <v>6</v>
      </c>
    </row>
    <row r="156" s="2" customFormat="1" spans="1:16">
      <c r="A156" s="8"/>
      <c r="B156" s="9" t="s">
        <v>506</v>
      </c>
      <c r="C156" s="10" t="s">
        <v>126</v>
      </c>
      <c r="D156" s="11">
        <v>1</v>
      </c>
      <c r="E156" s="12">
        <v>1411</v>
      </c>
      <c r="F156" s="13">
        <v>1411</v>
      </c>
      <c r="G156" s="2">
        <f>VLOOKUP(B156,'PO with created By ASR'!A:C,3,FALSE)</f>
        <v>45664</v>
      </c>
      <c r="J156" s="2" t="str">
        <f>VLOOKUP(B156,'PO with created By ASR'!A:G,4,FALSE)</f>
        <v>R Anandan  -CR</v>
      </c>
      <c r="K156" s="2" t="e">
        <f>VLOOKUP(B156,'PO with created By ASR'!A:I,6,FALSE)</f>
        <v>#N/A</v>
      </c>
      <c r="L156" s="2" t="str">
        <f>VLOOKUP(B156,'PO with created By ASR'!A:J,7,FALSE)</f>
        <v>C - Chennai</v>
      </c>
      <c r="M156" s="2" t="str">
        <f>VLOOKUP(B156,'PO with created By ASR'!A:K,8,FALSE)</f>
        <v>Purchase Order-Che</v>
      </c>
      <c r="N156" t="s">
        <v>36</v>
      </c>
      <c r="P156" s="2">
        <v>6</v>
      </c>
    </row>
    <row r="157" s="2" customFormat="1" spans="1:16">
      <c r="A157" s="8"/>
      <c r="B157" s="9" t="s">
        <v>506</v>
      </c>
      <c r="C157" s="10" t="s">
        <v>412</v>
      </c>
      <c r="D157" s="11">
        <v>1</v>
      </c>
      <c r="E157" s="12">
        <v>2900</v>
      </c>
      <c r="F157" s="13">
        <v>2900</v>
      </c>
      <c r="G157" s="2">
        <f>VLOOKUP(B157,'PO with created By ASR'!A:C,3,FALSE)</f>
        <v>45664</v>
      </c>
      <c r="J157" s="2" t="str">
        <f>VLOOKUP(B157,'PO with created By ASR'!A:G,4,FALSE)</f>
        <v>R Anandan  -CR</v>
      </c>
      <c r="K157" s="2" t="e">
        <f>VLOOKUP(B157,'PO with created By ASR'!A:I,6,FALSE)</f>
        <v>#N/A</v>
      </c>
      <c r="L157" s="2" t="str">
        <f>VLOOKUP(B157,'PO with created By ASR'!A:J,7,FALSE)</f>
        <v>C - Chennai</v>
      </c>
      <c r="M157" s="2" t="str">
        <f>VLOOKUP(B157,'PO with created By ASR'!A:K,8,FALSE)</f>
        <v>Purchase Order-Che</v>
      </c>
      <c r="N157" t="s">
        <v>36</v>
      </c>
      <c r="P157" s="2">
        <v>6</v>
      </c>
    </row>
    <row r="158" s="2" customFormat="1" spans="1:16">
      <c r="A158" s="8"/>
      <c r="B158" s="9" t="s">
        <v>506</v>
      </c>
      <c r="C158" s="10" t="s">
        <v>61</v>
      </c>
      <c r="D158" s="11">
        <v>1</v>
      </c>
      <c r="E158" s="12">
        <v>1770</v>
      </c>
      <c r="F158" s="13">
        <v>1770</v>
      </c>
      <c r="G158" s="2">
        <f>VLOOKUP(B158,'PO with created By ASR'!A:C,3,FALSE)</f>
        <v>45664</v>
      </c>
      <c r="J158" s="2" t="str">
        <f>VLOOKUP(B158,'PO with created By ASR'!A:G,4,FALSE)</f>
        <v>R Anandan  -CR</v>
      </c>
      <c r="K158" s="2" t="e">
        <f>VLOOKUP(B158,'PO with created By ASR'!A:I,6,FALSE)</f>
        <v>#N/A</v>
      </c>
      <c r="L158" s="2" t="str">
        <f>VLOOKUP(B158,'PO with created By ASR'!A:J,7,FALSE)</f>
        <v>C - Chennai</v>
      </c>
      <c r="M158" s="2" t="str">
        <f>VLOOKUP(B158,'PO with created By ASR'!A:K,8,FALSE)</f>
        <v>Purchase Order-Che</v>
      </c>
      <c r="N158" t="s">
        <v>36</v>
      </c>
      <c r="P158" s="2">
        <v>6</v>
      </c>
    </row>
    <row r="159" s="2" customFormat="1" spans="1:16">
      <c r="A159" s="8"/>
      <c r="B159" s="9" t="s">
        <v>506</v>
      </c>
      <c r="C159" s="10" t="s">
        <v>704</v>
      </c>
      <c r="D159" s="11">
        <v>1</v>
      </c>
      <c r="E159" s="12">
        <v>890</v>
      </c>
      <c r="F159" s="13">
        <v>890</v>
      </c>
      <c r="G159" s="2">
        <f>VLOOKUP(B159,'PO with created By ASR'!A:C,3,FALSE)</f>
        <v>45664</v>
      </c>
      <c r="J159" s="2" t="str">
        <f>VLOOKUP(B159,'PO with created By ASR'!A:G,4,FALSE)</f>
        <v>R Anandan  -CR</v>
      </c>
      <c r="K159" s="2" t="e">
        <f>VLOOKUP(B159,'PO with created By ASR'!A:I,6,FALSE)</f>
        <v>#N/A</v>
      </c>
      <c r="L159" s="2" t="str">
        <f>VLOOKUP(B159,'PO with created By ASR'!A:J,7,FALSE)</f>
        <v>C - Chennai</v>
      </c>
      <c r="M159" s="2" t="str">
        <f>VLOOKUP(B159,'PO with created By ASR'!A:K,8,FALSE)</f>
        <v>Purchase Order-Che</v>
      </c>
      <c r="N159" t="s">
        <v>36</v>
      </c>
      <c r="P159" s="2">
        <v>6</v>
      </c>
    </row>
    <row r="160" s="2" customFormat="1" spans="1:16">
      <c r="A160" s="8"/>
      <c r="B160" s="9" t="s">
        <v>510</v>
      </c>
      <c r="C160" s="10" t="s">
        <v>371</v>
      </c>
      <c r="D160" s="11">
        <v>1</v>
      </c>
      <c r="E160" s="12">
        <v>190000</v>
      </c>
      <c r="F160" s="13">
        <v>190000</v>
      </c>
      <c r="G160" s="2">
        <f>VLOOKUP(B160,'PO with created By ASR'!A:C,3,FALSE)</f>
        <v>45664</v>
      </c>
      <c r="J160" s="2" t="str">
        <f>VLOOKUP(B160,'PO with created By ASR'!A:G,4,FALSE)</f>
        <v>Pro Audio Solutions India Pvt Ltd-Che</v>
      </c>
      <c r="K160" s="2" t="str">
        <f>VLOOKUP(B160,'PO with created By ASR'!A:I,6,FALSE)</f>
        <v>12288  Pro Audio Solutions India Pvt Ltd</v>
      </c>
      <c r="L160" s="2" t="str">
        <f>VLOOKUP(B160,'PO with created By ASR'!A:J,7,FALSE)</f>
        <v>C - Chennai</v>
      </c>
      <c r="M160" s="2" t="str">
        <f>VLOOKUP(B160,'PO with created By ASR'!A:K,8,FALSE)</f>
        <v>Purchase Order-Che</v>
      </c>
      <c r="N160" t="s">
        <v>36</v>
      </c>
      <c r="P160" s="2">
        <v>6</v>
      </c>
    </row>
    <row r="161" s="2" customFormat="1" spans="1:16">
      <c r="A161" s="8"/>
      <c r="B161" s="9" t="s">
        <v>515</v>
      </c>
      <c r="C161" s="10" t="s">
        <v>84</v>
      </c>
      <c r="D161" s="11">
        <v>1</v>
      </c>
      <c r="E161" s="12">
        <v>45000</v>
      </c>
      <c r="F161" s="13">
        <v>45000</v>
      </c>
      <c r="G161" s="2">
        <f>VLOOKUP(B161,'PO with created By ASR'!A:C,3,FALSE)</f>
        <v>45664</v>
      </c>
      <c r="J161" s="2" t="str">
        <f>VLOOKUP(B161,'PO with created By ASR'!A:G,4,FALSE)</f>
        <v>Minter Cstech Pvt.Ltd.-Del</v>
      </c>
      <c r="K161" s="2" t="e">
        <f>VLOOKUP(B161,'PO with created By ASR'!A:I,6,FALSE)</f>
        <v>#N/A</v>
      </c>
      <c r="L161" s="2" t="str">
        <f>VLOOKUP(B161,'PO with created By ASR'!A:J,7,FALSE)</f>
        <v>D - Delhi</v>
      </c>
      <c r="M161" s="2" t="str">
        <f>VLOOKUP(B161,'PO with created By ASR'!A:K,8,FALSE)</f>
        <v>Purchase Order-Del</v>
      </c>
      <c r="N161" t="s">
        <v>36</v>
      </c>
      <c r="P161" s="2">
        <v>6</v>
      </c>
    </row>
    <row r="162" s="2" customFormat="1" spans="1:16">
      <c r="A162" s="8"/>
      <c r="B162" s="9" t="s">
        <v>517</v>
      </c>
      <c r="C162" s="10" t="s">
        <v>371</v>
      </c>
      <c r="D162" s="11">
        <v>1</v>
      </c>
      <c r="E162" s="12">
        <v>6750000</v>
      </c>
      <c r="F162" s="13">
        <v>6750000</v>
      </c>
      <c r="G162" s="2">
        <f>VLOOKUP(B162,'PO with created By ASR'!A:C,3,FALSE)</f>
        <v>45664</v>
      </c>
      <c r="J162" s="2" t="str">
        <f>VLOOKUP(B162,'PO with created By ASR'!A:G,4,FALSE)</f>
        <v>Audio Design -Del</v>
      </c>
      <c r="K162" s="2" t="str">
        <f>VLOOKUP(B162,'PO with created By ASR'!A:I,6,FALSE)</f>
        <v>11695 Audio Design</v>
      </c>
      <c r="L162" s="2" t="str">
        <f>VLOOKUP(B162,'PO with created By ASR'!A:J,7,FALSE)</f>
        <v>D - Delhi</v>
      </c>
      <c r="M162" s="2" t="str">
        <f>VLOOKUP(B162,'PO with created By ASR'!A:K,8,FALSE)</f>
        <v>Purchase Order-Del</v>
      </c>
      <c r="N162" t="s">
        <v>36</v>
      </c>
      <c r="P162" s="2">
        <v>6</v>
      </c>
    </row>
    <row r="163" s="2" customFormat="1" spans="1:16">
      <c r="A163" s="8"/>
      <c r="B163" s="9" t="s">
        <v>522</v>
      </c>
      <c r="C163" s="10" t="s">
        <v>347</v>
      </c>
      <c r="D163" s="11">
        <v>1</v>
      </c>
      <c r="E163" s="12">
        <v>400000</v>
      </c>
      <c r="F163" s="13">
        <v>400000</v>
      </c>
      <c r="G163" s="2">
        <f>VLOOKUP(B163,'PO with created By ASR'!A:C,3,FALSE)</f>
        <v>45664</v>
      </c>
      <c r="J163" s="2" t="str">
        <f>VLOOKUP(B163,'PO with created By ASR'!A:G,4,FALSE)</f>
        <v>Webcontxt India Pvt Ltd-Del</v>
      </c>
      <c r="K163" s="2" t="str">
        <f>VLOOKUP(B163,'PO with created By ASR'!A:I,6,FALSE)</f>
        <v>12615  Webcontxt India Pvt Ltd</v>
      </c>
      <c r="L163" s="2" t="str">
        <f>VLOOKUP(B163,'PO with created By ASR'!A:J,7,FALSE)</f>
        <v>D - Delhi</v>
      </c>
      <c r="M163" s="2" t="str">
        <f>VLOOKUP(B163,'PO with created By ASR'!A:K,8,FALSE)</f>
        <v>Purchase Order-Del</v>
      </c>
      <c r="N163" t="s">
        <v>36</v>
      </c>
      <c r="P163" s="2">
        <v>6</v>
      </c>
    </row>
    <row r="164" s="2" customFormat="1" spans="1:16">
      <c r="A164" s="8"/>
      <c r="B164" s="9" t="s">
        <v>524</v>
      </c>
      <c r="C164" s="10" t="s">
        <v>292</v>
      </c>
      <c r="D164" s="11">
        <v>1</v>
      </c>
      <c r="E164" s="12">
        <v>415800</v>
      </c>
      <c r="F164" s="13">
        <v>415800</v>
      </c>
      <c r="G164" s="2">
        <f>VLOOKUP(B164,'PO with created By ASR'!A:C,3,FALSE)</f>
        <v>45664</v>
      </c>
      <c r="J164" s="2" t="str">
        <f>VLOOKUP(B164,'PO with created By ASR'!A:G,4,FALSE)</f>
        <v>Shield Guard India Pvt Ltd-Del</v>
      </c>
      <c r="K164" s="2" t="str">
        <f>VLOOKUP(B164,'PO with created By ASR'!A:I,6,FALSE)</f>
        <v>12387  Shield Guard India Pvt Ltd</v>
      </c>
      <c r="L164" s="2" t="str">
        <f>VLOOKUP(B164,'PO with created By ASR'!A:J,7,FALSE)</f>
        <v>D - Delhi</v>
      </c>
      <c r="M164" s="2" t="str">
        <f>VLOOKUP(B164,'PO with created By ASR'!A:K,8,FALSE)</f>
        <v>Purchase Order-Del</v>
      </c>
      <c r="N164" t="s">
        <v>36</v>
      </c>
      <c r="P164" s="2">
        <v>6</v>
      </c>
    </row>
    <row r="165" s="2" customFormat="1" spans="1:16">
      <c r="A165" s="8"/>
      <c r="B165" s="9" t="s">
        <v>525</v>
      </c>
      <c r="C165" s="10" t="s">
        <v>526</v>
      </c>
      <c r="D165" s="11">
        <v>1</v>
      </c>
      <c r="E165" s="12">
        <v>9240</v>
      </c>
      <c r="F165" s="13">
        <v>9240</v>
      </c>
      <c r="G165" s="2">
        <f>VLOOKUP(B165,'PO with created By ASR'!A:C,3,FALSE)</f>
        <v>45664</v>
      </c>
      <c r="J165" s="2" t="str">
        <f>VLOOKUP(B165,'PO with created By ASR'!A:G,4,FALSE)</f>
        <v>Minter Cstech Pvt.Ltd.-Del</v>
      </c>
      <c r="K165" s="2" t="e">
        <f>VLOOKUP(B165,'PO with created By ASR'!A:I,6,FALSE)</f>
        <v>#N/A</v>
      </c>
      <c r="L165" s="2" t="str">
        <f>VLOOKUP(B165,'PO with created By ASR'!A:J,7,FALSE)</f>
        <v>D - Delhi</v>
      </c>
      <c r="M165" s="2" t="str">
        <f>VLOOKUP(B165,'PO with created By ASR'!A:K,8,FALSE)</f>
        <v>Purchase Order-Del</v>
      </c>
      <c r="N165" t="s">
        <v>36</v>
      </c>
      <c r="P165" s="2">
        <v>6</v>
      </c>
    </row>
    <row r="166" s="2" customFormat="1" spans="1:16">
      <c r="A166" s="8"/>
      <c r="B166" s="9" t="s">
        <v>527</v>
      </c>
      <c r="C166" s="10" t="s">
        <v>233</v>
      </c>
      <c r="D166" s="11">
        <v>1</v>
      </c>
      <c r="E166" s="12">
        <v>150000</v>
      </c>
      <c r="F166" s="13">
        <v>150000</v>
      </c>
      <c r="G166" s="2">
        <f>VLOOKUP(B166,'PO with created By ASR'!A:C,3,FALSE)</f>
        <v>45664</v>
      </c>
      <c r="J166" s="2" t="str">
        <f>VLOOKUP(B166,'PO with created By ASR'!A:G,4,FALSE)</f>
        <v>Ask 4 Car Care- Delhi-Del</v>
      </c>
      <c r="K166" s="2" t="str">
        <f>VLOOKUP(B166,'PO with created By ASR'!A:I,6,FALSE)</f>
        <v>11687 Ask 4 Car Care</v>
      </c>
      <c r="L166" s="2" t="str">
        <f>VLOOKUP(B166,'PO with created By ASR'!A:J,7,FALSE)</f>
        <v>D - Delhi</v>
      </c>
      <c r="M166" s="2" t="str">
        <f>VLOOKUP(B166,'PO with created By ASR'!A:K,8,FALSE)</f>
        <v>Purchase Order-Del</v>
      </c>
      <c r="N166" t="s">
        <v>36</v>
      </c>
      <c r="P166" s="2">
        <v>6</v>
      </c>
    </row>
    <row r="167" s="2" customFormat="1" spans="1:16">
      <c r="A167" s="8"/>
      <c r="B167" s="9" t="s">
        <v>528</v>
      </c>
      <c r="C167" s="10" t="s">
        <v>371</v>
      </c>
      <c r="D167" s="11">
        <v>1</v>
      </c>
      <c r="E167" s="12">
        <v>33000</v>
      </c>
      <c r="F167" s="13">
        <v>33000</v>
      </c>
      <c r="G167" s="2">
        <f>VLOOKUP(B167,'PO with created By ASR'!A:C,3,FALSE)</f>
        <v>45664</v>
      </c>
      <c r="J167" s="2" t="str">
        <f>VLOOKUP(B167,'PO with created By ASR'!A:G,4,FALSE)</f>
        <v>Zara Communication-Del</v>
      </c>
      <c r="K167" s="2" t="str">
        <f>VLOOKUP(B167,'PO with created By ASR'!A:I,6,FALSE)</f>
        <v>12888 Zara Communication</v>
      </c>
      <c r="L167" s="2" t="str">
        <f>VLOOKUP(B167,'PO with created By ASR'!A:J,7,FALSE)</f>
        <v>D - Delhi</v>
      </c>
      <c r="M167" s="2" t="str">
        <f>VLOOKUP(B167,'PO with created By ASR'!A:K,8,FALSE)</f>
        <v>Purchase Order-Del</v>
      </c>
      <c r="N167" t="s">
        <v>36</v>
      </c>
      <c r="P167" s="2">
        <v>6</v>
      </c>
    </row>
    <row r="168" s="2" customFormat="1" spans="1:16">
      <c r="A168" s="8"/>
      <c r="B168" s="9" t="s">
        <v>531</v>
      </c>
      <c r="C168" s="10" t="s">
        <v>401</v>
      </c>
      <c r="D168" s="11">
        <v>1</v>
      </c>
      <c r="E168" s="12">
        <v>275000</v>
      </c>
      <c r="F168" s="13">
        <v>275000</v>
      </c>
      <c r="G168" s="2">
        <f>VLOOKUP(B168,'PO with created By ASR'!A:C,3,FALSE)</f>
        <v>45664</v>
      </c>
      <c r="J168" s="2" t="str">
        <f>VLOOKUP(B168,'PO with created By ASR'!A:G,4,FALSE)</f>
        <v>Bodhi Tree Entertainment-Del</v>
      </c>
      <c r="K168" s="2" t="str">
        <f>VLOOKUP(B168,'PO with created By ASR'!A:I,6,FALSE)</f>
        <v>11741 Bodhi Tree Entertainment</v>
      </c>
      <c r="L168" s="2" t="str">
        <f>VLOOKUP(B168,'PO with created By ASR'!A:J,7,FALSE)</f>
        <v>D - Delhi</v>
      </c>
      <c r="M168" s="2" t="str">
        <f>VLOOKUP(B168,'PO with created By ASR'!A:K,8,FALSE)</f>
        <v>Purchase Order-Del</v>
      </c>
      <c r="N168" t="s">
        <v>36</v>
      </c>
      <c r="P168" s="2">
        <v>6</v>
      </c>
    </row>
    <row r="169" s="2" customFormat="1" spans="1:16">
      <c r="A169" s="8"/>
      <c r="B169" s="9" t="s">
        <v>532</v>
      </c>
      <c r="C169" s="10" t="s">
        <v>233</v>
      </c>
      <c r="D169" s="11">
        <v>1</v>
      </c>
      <c r="E169" s="12">
        <v>100000</v>
      </c>
      <c r="F169" s="13">
        <v>100000</v>
      </c>
      <c r="G169" s="2">
        <f>VLOOKUP(B169,'PO with created By ASR'!A:C,3,FALSE)</f>
        <v>45664</v>
      </c>
      <c r="J169" s="2" t="str">
        <f>VLOOKUP(B169,'PO with created By ASR'!A:G,4,FALSE)</f>
        <v>Powerpro-Del</v>
      </c>
      <c r="K169" s="2" t="e">
        <f>VLOOKUP(B169,'PO with created By ASR'!A:I,6,FALSE)</f>
        <v>#N/A</v>
      </c>
      <c r="L169" s="2" t="str">
        <f>VLOOKUP(B169,'PO with created By ASR'!A:J,7,FALSE)</f>
        <v>D - Delhi</v>
      </c>
      <c r="M169" s="2" t="str">
        <f>VLOOKUP(B169,'PO with created By ASR'!A:K,8,FALSE)</f>
        <v>Purchase Order-Del</v>
      </c>
      <c r="N169" t="s">
        <v>36</v>
      </c>
      <c r="P169" s="2">
        <v>6</v>
      </c>
    </row>
    <row r="170" s="2" customFormat="1" spans="1:16">
      <c r="A170" s="8"/>
      <c r="B170" s="9" t="s">
        <v>534</v>
      </c>
      <c r="C170" s="10" t="s">
        <v>347</v>
      </c>
      <c r="D170" s="11">
        <v>1</v>
      </c>
      <c r="E170" s="12">
        <v>35000</v>
      </c>
      <c r="F170" s="13">
        <v>35000</v>
      </c>
      <c r="G170" s="2">
        <f>VLOOKUP(B170,'PO with created By ASR'!A:C,3,FALSE)</f>
        <v>45664</v>
      </c>
      <c r="J170" s="2" t="str">
        <f>VLOOKUP(B170,'PO with created By ASR'!A:G,4,FALSE)</f>
        <v>Praveen Kumar(CR)-Del</v>
      </c>
      <c r="K170" s="2" t="e">
        <f>VLOOKUP(B170,'PO with created By ASR'!A:I,6,FALSE)</f>
        <v>#N/A</v>
      </c>
      <c r="L170" s="2" t="str">
        <f>VLOOKUP(B170,'PO with created By ASR'!A:J,7,FALSE)</f>
        <v>D - Delhi</v>
      </c>
      <c r="M170" s="2" t="str">
        <f>VLOOKUP(B170,'PO with created By ASR'!A:K,8,FALSE)</f>
        <v>Purchase Order-Del</v>
      </c>
      <c r="N170" t="s">
        <v>36</v>
      </c>
      <c r="P170" s="2">
        <v>6</v>
      </c>
    </row>
    <row r="171" s="2" customFormat="1" spans="1:16">
      <c r="A171" s="8"/>
      <c r="B171" s="9" t="s">
        <v>536</v>
      </c>
      <c r="C171" s="10" t="s">
        <v>347</v>
      </c>
      <c r="D171" s="11">
        <v>1</v>
      </c>
      <c r="E171" s="12">
        <v>250000</v>
      </c>
      <c r="F171" s="13">
        <v>250000</v>
      </c>
      <c r="G171" s="2">
        <f>VLOOKUP(B171,'PO with created By ASR'!A:C,3,FALSE)</f>
        <v>45664</v>
      </c>
      <c r="J171" s="2" t="str">
        <f>VLOOKUP(B171,'PO with created By ASR'!A:G,4,FALSE)</f>
        <v>Pavleen Kaurr Qaumi-Del</v>
      </c>
      <c r="K171" s="2" t="str">
        <f>VLOOKUP(B171,'PO with created By ASR'!A:I,6,FALSE)</f>
        <v>10804 Pavleen Kaurr Qaumi</v>
      </c>
      <c r="L171" s="2" t="str">
        <f>VLOOKUP(B171,'PO with created By ASR'!A:J,7,FALSE)</f>
        <v>D - Delhi</v>
      </c>
      <c r="M171" s="2" t="str">
        <f>VLOOKUP(B171,'PO with created By ASR'!A:K,8,FALSE)</f>
        <v>Purchase Order-Del</v>
      </c>
      <c r="N171" t="s">
        <v>36</v>
      </c>
      <c r="P171" s="2">
        <v>6</v>
      </c>
    </row>
    <row r="172" s="2" customFormat="1" spans="1:16">
      <c r="A172" s="8"/>
      <c r="B172" s="9" t="s">
        <v>539</v>
      </c>
      <c r="C172" s="10" t="s">
        <v>347</v>
      </c>
      <c r="D172" s="11">
        <v>1</v>
      </c>
      <c r="E172" s="12">
        <v>200000</v>
      </c>
      <c r="F172" s="13">
        <v>200000</v>
      </c>
      <c r="G172" s="2">
        <f>VLOOKUP(B172,'PO with created By ASR'!A:C,3,FALSE)</f>
        <v>45664</v>
      </c>
      <c r="J172" s="2" t="str">
        <f>VLOOKUP(B172,'PO with created By ASR'!A:G,4,FALSE)</f>
        <v>Brief Cab-Del</v>
      </c>
      <c r="K172" s="2" t="str">
        <f>VLOOKUP(B172,'PO with created By ASR'!A:I,6,FALSE)</f>
        <v>11745 Brief Cab</v>
      </c>
      <c r="L172" s="2" t="str">
        <f>VLOOKUP(B172,'PO with created By ASR'!A:J,7,FALSE)</f>
        <v>D - Delhi</v>
      </c>
      <c r="M172" s="2" t="str">
        <f>VLOOKUP(B172,'PO with created By ASR'!A:K,8,FALSE)</f>
        <v>Purchase Order-Del</v>
      </c>
      <c r="N172" t="s">
        <v>36</v>
      </c>
      <c r="P172" s="2">
        <v>6</v>
      </c>
    </row>
    <row r="173" s="2" customFormat="1" spans="1:16">
      <c r="A173" s="8"/>
      <c r="B173" s="9" t="s">
        <v>540</v>
      </c>
      <c r="C173" s="10" t="s">
        <v>151</v>
      </c>
      <c r="D173" s="11">
        <v>1</v>
      </c>
      <c r="E173" s="12">
        <v>4500000</v>
      </c>
      <c r="F173" s="13">
        <v>4500000</v>
      </c>
      <c r="G173" s="2">
        <f>VLOOKUP(B173,'PO with created By ASR'!A:C,3,FALSE)</f>
        <v>45664</v>
      </c>
      <c r="J173" s="2" t="str">
        <f>VLOOKUP(B173,'PO with created By ASR'!A:G,4,FALSE)</f>
        <v>Dream Factory Pvt. Ltd.-Del</v>
      </c>
      <c r="K173" s="2" t="e">
        <f>VLOOKUP(B173,'PO with created By ASR'!A:I,6,FALSE)</f>
        <v>#N/A</v>
      </c>
      <c r="L173" s="2" t="str">
        <f>VLOOKUP(B173,'PO with created By ASR'!A:J,7,FALSE)</f>
        <v>D - Delhi</v>
      </c>
      <c r="M173" s="2" t="str">
        <f>VLOOKUP(B173,'PO with created By ASR'!A:K,8,FALSE)</f>
        <v>Purchase Order-Del</v>
      </c>
      <c r="N173" t="s">
        <v>36</v>
      </c>
      <c r="P173" s="2">
        <v>6</v>
      </c>
    </row>
    <row r="174" s="2" customFormat="1" spans="1:16">
      <c r="A174" s="8"/>
      <c r="B174" s="9" t="s">
        <v>543</v>
      </c>
      <c r="C174" s="10" t="s">
        <v>371</v>
      </c>
      <c r="D174" s="11">
        <v>1</v>
      </c>
      <c r="E174" s="12">
        <v>800000</v>
      </c>
      <c r="F174" s="13">
        <v>800000</v>
      </c>
      <c r="G174" s="2">
        <f>VLOOKUP(B174,'PO with created By ASR'!A:C,3,FALSE)</f>
        <v>45664</v>
      </c>
      <c r="J174" s="2" t="str">
        <f>VLOOKUP(B174,'PO with created By ASR'!A:G,4,FALSE)</f>
        <v>Shivam Video Pvt.Ltd.-Del</v>
      </c>
      <c r="K174" s="2" t="e">
        <f>VLOOKUP(B174,'PO with created By ASR'!A:I,6,FALSE)</f>
        <v>#N/A</v>
      </c>
      <c r="L174" s="2" t="str">
        <f>VLOOKUP(B174,'PO with created By ASR'!A:J,7,FALSE)</f>
        <v>D - Delhi</v>
      </c>
      <c r="M174" s="2" t="str">
        <f>VLOOKUP(B174,'PO with created By ASR'!A:K,8,FALSE)</f>
        <v>Purchase Order-Del</v>
      </c>
      <c r="N174" t="s">
        <v>36</v>
      </c>
      <c r="P174" s="2">
        <v>6</v>
      </c>
    </row>
    <row r="175" s="2" customFormat="1" spans="1:16">
      <c r="A175" s="8"/>
      <c r="B175" s="9" t="s">
        <v>545</v>
      </c>
      <c r="C175" s="10" t="s">
        <v>371</v>
      </c>
      <c r="D175" s="11">
        <v>1</v>
      </c>
      <c r="E175" s="12">
        <v>1122500</v>
      </c>
      <c r="F175" s="13">
        <v>1122500</v>
      </c>
      <c r="G175" s="2">
        <f>VLOOKUP(B175,'PO with created By ASR'!A:C,3,FALSE)</f>
        <v>45664</v>
      </c>
      <c r="J175" s="2" t="str">
        <f>VLOOKUP(B175,'PO with created By ASR'!A:G,4,FALSE)</f>
        <v>Hertz And Pixelz-Del</v>
      </c>
      <c r="K175" s="2" t="str">
        <f>VLOOKUP(B175,'PO with created By ASR'!A:I,6,FALSE)</f>
        <v>11983 Hertz And Pixelz</v>
      </c>
      <c r="L175" s="2" t="str">
        <f>VLOOKUP(B175,'PO with created By ASR'!A:J,7,FALSE)</f>
        <v>D - Delhi</v>
      </c>
      <c r="M175" s="2" t="str">
        <f>VLOOKUP(B175,'PO with created By ASR'!A:K,8,FALSE)</f>
        <v>Purchase Order-Del</v>
      </c>
      <c r="N175" t="s">
        <v>36</v>
      </c>
      <c r="P175" s="2">
        <v>6</v>
      </c>
    </row>
    <row r="176" s="2" customFormat="1" spans="1:16">
      <c r="A176" s="8"/>
      <c r="B176" s="9" t="s">
        <v>548</v>
      </c>
      <c r="C176" s="10" t="s">
        <v>347</v>
      </c>
      <c r="D176" s="11">
        <v>1</v>
      </c>
      <c r="E176" s="12">
        <v>38000</v>
      </c>
      <c r="F176" s="13">
        <v>38000</v>
      </c>
      <c r="G176" s="2">
        <f>VLOOKUP(B176,'PO with created By ASR'!A:C,3,FALSE)</f>
        <v>45664</v>
      </c>
      <c r="J176" s="2" t="str">
        <f>VLOOKUP(B176,'PO with created By ASR'!A:G,4,FALSE)</f>
        <v>Praveen Kumar(CR)-Del</v>
      </c>
      <c r="K176" s="2" t="e">
        <f>VLOOKUP(B176,'PO with created By ASR'!A:I,6,FALSE)</f>
        <v>#N/A</v>
      </c>
      <c r="L176" s="2" t="str">
        <f>VLOOKUP(B176,'PO with created By ASR'!A:J,7,FALSE)</f>
        <v>D - Delhi</v>
      </c>
      <c r="M176" s="2" t="str">
        <f>VLOOKUP(B176,'PO with created By ASR'!A:K,8,FALSE)</f>
        <v>Purchase Order-Del</v>
      </c>
      <c r="N176" t="s">
        <v>36</v>
      </c>
      <c r="P176" s="2">
        <v>6</v>
      </c>
    </row>
    <row r="177" s="2" customFormat="1" spans="1:16">
      <c r="A177" s="8"/>
      <c r="B177" s="9" t="s">
        <v>549</v>
      </c>
      <c r="C177" s="10" t="s">
        <v>317</v>
      </c>
      <c r="D177" s="11">
        <v>1</v>
      </c>
      <c r="E177" s="12">
        <v>784900</v>
      </c>
      <c r="F177" s="13">
        <v>784900</v>
      </c>
      <c r="G177" s="2">
        <f>VLOOKUP(B177,'PO with created By ASR'!A:C,3,FALSE)</f>
        <v>45664</v>
      </c>
      <c r="J177" s="2" t="str">
        <f>VLOOKUP(B177,'PO with created By ASR'!A:G,4,FALSE)</f>
        <v>Golden Faces-Del</v>
      </c>
      <c r="K177" s="2" t="str">
        <f>VLOOKUP(B177,'PO with created By ASR'!A:I,6,FALSE)</f>
        <v>10044 Golden Faces</v>
      </c>
      <c r="L177" s="2" t="str">
        <f>VLOOKUP(B177,'PO with created By ASR'!A:J,7,FALSE)</f>
        <v>D - Delhi</v>
      </c>
      <c r="M177" s="2" t="str">
        <f>VLOOKUP(B177,'PO with created By ASR'!A:K,8,FALSE)</f>
        <v>Purchase Order-Del</v>
      </c>
      <c r="N177" t="s">
        <v>36</v>
      </c>
      <c r="P177" s="2">
        <v>6</v>
      </c>
    </row>
    <row r="178" s="2" customFormat="1" spans="1:16">
      <c r="A178" s="8"/>
      <c r="B178" s="9" t="s">
        <v>553</v>
      </c>
      <c r="C178" s="10" t="s">
        <v>371</v>
      </c>
      <c r="D178" s="11">
        <v>1</v>
      </c>
      <c r="E178" s="12">
        <v>850000</v>
      </c>
      <c r="F178" s="13">
        <v>850000</v>
      </c>
      <c r="G178" s="2">
        <f>VLOOKUP(B178,'PO with created By ASR'!A:C,3,FALSE)</f>
        <v>45664</v>
      </c>
      <c r="J178" s="2" t="str">
        <f>VLOOKUP(B178,'PO with created By ASR'!A:G,4,FALSE)</f>
        <v>Powerpro-Del</v>
      </c>
      <c r="K178" s="2" t="e">
        <f>VLOOKUP(B178,'PO with created By ASR'!A:I,6,FALSE)</f>
        <v>#N/A</v>
      </c>
      <c r="L178" s="2" t="str">
        <f>VLOOKUP(B178,'PO with created By ASR'!A:J,7,FALSE)</f>
        <v>D - Delhi</v>
      </c>
      <c r="M178" s="2" t="str">
        <f>VLOOKUP(B178,'PO with created By ASR'!A:K,8,FALSE)</f>
        <v>Purchase Order-Del</v>
      </c>
      <c r="N178" t="s">
        <v>36</v>
      </c>
      <c r="P178" s="2">
        <v>6</v>
      </c>
    </row>
    <row r="179" s="2" customFormat="1" spans="1:16">
      <c r="A179" s="8"/>
      <c r="B179" s="9" t="s">
        <v>556</v>
      </c>
      <c r="C179" s="10" t="s">
        <v>371</v>
      </c>
      <c r="D179" s="11">
        <v>1</v>
      </c>
      <c r="E179" s="12">
        <v>1800000</v>
      </c>
      <c r="F179" s="13">
        <v>1800000</v>
      </c>
      <c r="G179" s="2">
        <f>VLOOKUP(B179,'PO with created By ASR'!A:C,3,FALSE)</f>
        <v>45664</v>
      </c>
      <c r="J179" s="2" t="str">
        <f>VLOOKUP(B179,'PO with created By ASR'!A:G,4,FALSE)</f>
        <v>Beats Light &amp; Sound Pvt Ltd-Del</v>
      </c>
      <c r="K179" s="2" t="str">
        <f>VLOOKUP(B179,'PO with created By ASR'!A:I,6,FALSE)</f>
        <v>11717  Beats Light &amp; Sound Pvt Ltd</v>
      </c>
      <c r="L179" s="2" t="str">
        <f>VLOOKUP(B179,'PO with created By ASR'!A:J,7,FALSE)</f>
        <v>D - Delhi</v>
      </c>
      <c r="M179" s="2" t="str">
        <f>VLOOKUP(B179,'PO with created By ASR'!A:K,8,FALSE)</f>
        <v>Purchase Order-Del</v>
      </c>
      <c r="N179" t="s">
        <v>36</v>
      </c>
      <c r="P179" s="2">
        <v>6</v>
      </c>
    </row>
    <row r="180" s="2" customFormat="1" spans="1:16">
      <c r="A180" s="8"/>
      <c r="B180" s="9" t="s">
        <v>557</v>
      </c>
      <c r="C180" s="10" t="s">
        <v>371</v>
      </c>
      <c r="D180" s="11">
        <v>1</v>
      </c>
      <c r="E180" s="12">
        <v>2200000</v>
      </c>
      <c r="F180" s="13">
        <v>2200000</v>
      </c>
      <c r="G180" s="2">
        <f>VLOOKUP(B180,'PO with created By ASR'!A:C,3,FALSE)</f>
        <v>45664</v>
      </c>
      <c r="J180" s="2" t="str">
        <f>VLOOKUP(B180,'PO with created By ASR'!A:G,4,FALSE)</f>
        <v>Shivam Video Pvt.Ltd.-Del</v>
      </c>
      <c r="K180" s="2" t="e">
        <f>VLOOKUP(B180,'PO with created By ASR'!A:I,6,FALSE)</f>
        <v>#N/A</v>
      </c>
      <c r="L180" s="2" t="str">
        <f>VLOOKUP(B180,'PO with created By ASR'!A:J,7,FALSE)</f>
        <v>D - Delhi</v>
      </c>
      <c r="M180" s="2" t="str">
        <f>VLOOKUP(B180,'PO with created By ASR'!A:K,8,FALSE)</f>
        <v>Purchase Order-Del</v>
      </c>
      <c r="N180" t="s">
        <v>36</v>
      </c>
      <c r="P180" s="2">
        <v>6</v>
      </c>
    </row>
    <row r="181" s="2" customFormat="1" spans="1:16">
      <c r="A181" s="8"/>
      <c r="B181" s="9" t="s">
        <v>558</v>
      </c>
      <c r="C181" s="10" t="s">
        <v>292</v>
      </c>
      <c r="D181" s="11">
        <v>1</v>
      </c>
      <c r="E181" s="12">
        <v>140000</v>
      </c>
      <c r="F181" s="13">
        <v>140000</v>
      </c>
      <c r="G181" s="2">
        <f>VLOOKUP(B181,'PO with created By ASR'!A:C,3,FALSE)</f>
        <v>45664</v>
      </c>
      <c r="J181" s="2" t="str">
        <f>VLOOKUP(B181,'PO with created By ASR'!A:G,4,FALSE)</f>
        <v>Red Carpet Events And Entertainment-Del</v>
      </c>
      <c r="K181" s="2" t="str">
        <f>VLOOKUP(B181,'PO with created By ASR'!A:I,6,FALSE)</f>
        <v>12326 Red Carpet Events And Entertainment</v>
      </c>
      <c r="L181" s="2" t="str">
        <f>VLOOKUP(B181,'PO with created By ASR'!A:J,7,FALSE)</f>
        <v>D - Delhi</v>
      </c>
      <c r="M181" s="2" t="str">
        <f>VLOOKUP(B181,'PO with created By ASR'!A:K,8,FALSE)</f>
        <v>Purchase Order-Del</v>
      </c>
      <c r="N181" t="s">
        <v>36</v>
      </c>
      <c r="P181" s="2">
        <v>6</v>
      </c>
    </row>
    <row r="182" s="2" customFormat="1" spans="1:16">
      <c r="A182" s="8"/>
      <c r="B182" s="9" t="s">
        <v>561</v>
      </c>
      <c r="C182" s="10" t="s">
        <v>233</v>
      </c>
      <c r="D182" s="11">
        <v>1</v>
      </c>
      <c r="E182" s="12">
        <v>20000</v>
      </c>
      <c r="F182" s="13">
        <v>20000</v>
      </c>
      <c r="G182" s="2">
        <f>VLOOKUP(B182,'PO with created By ASR'!A:C,3,FALSE)</f>
        <v>45664</v>
      </c>
      <c r="J182" s="2" t="str">
        <f>VLOOKUP(B182,'PO with created By ASR'!A:G,4,FALSE)</f>
        <v>Murti Medicare Centre-Del</v>
      </c>
      <c r="K182" s="2" t="str">
        <f>VLOOKUP(B182,'PO with created By ASR'!A:I,6,FALSE)</f>
        <v>11326 Murti Medicare Centre</v>
      </c>
      <c r="L182" s="2" t="str">
        <f>VLOOKUP(B182,'PO with created By ASR'!A:J,7,FALSE)</f>
        <v>D - Delhi</v>
      </c>
      <c r="M182" s="2" t="str">
        <f>VLOOKUP(B182,'PO with created By ASR'!A:K,8,FALSE)</f>
        <v>Purchase Order-Del</v>
      </c>
      <c r="N182" t="s">
        <v>36</v>
      </c>
      <c r="P182" s="2">
        <v>6</v>
      </c>
    </row>
    <row r="183" s="2" customFormat="1" spans="1:16">
      <c r="A183" s="8"/>
      <c r="B183" s="9" t="s">
        <v>564</v>
      </c>
      <c r="C183" s="10" t="s">
        <v>126</v>
      </c>
      <c r="D183" s="11">
        <v>1</v>
      </c>
      <c r="E183" s="12">
        <v>13068</v>
      </c>
      <c r="F183" s="13">
        <v>13068</v>
      </c>
      <c r="G183" s="2">
        <f>VLOOKUP(B183,'PO with created By ASR'!A:C,3,FALSE)</f>
        <v>45664</v>
      </c>
      <c r="J183" s="2" t="str">
        <f>VLOOKUP(B183,'PO with created By ASR'!A:G,4,FALSE)</f>
        <v>Abhimanyu Awate -CR</v>
      </c>
      <c r="K183" s="2" t="e">
        <f>VLOOKUP(B183,'PO with created By ASR'!A:I,6,FALSE)</f>
        <v>#N/A</v>
      </c>
      <c r="L183" s="2" t="str">
        <f>VLOOKUP(B183,'PO with created By ASR'!A:J,7,FALSE)</f>
        <v>A - Mumbai</v>
      </c>
      <c r="M183" s="2" t="str">
        <f>VLOOKUP(B183,'PO with created By ASR'!A:K,8,FALSE)</f>
        <v>Purchase Order-Mum</v>
      </c>
      <c r="N183" t="s">
        <v>36</v>
      </c>
      <c r="P183" s="2">
        <v>6</v>
      </c>
    </row>
    <row r="184" s="2" customFormat="1" spans="1:16">
      <c r="A184" s="8"/>
      <c r="B184" s="9" t="s">
        <v>566</v>
      </c>
      <c r="C184" s="10" t="s">
        <v>292</v>
      </c>
      <c r="D184" s="11">
        <v>1</v>
      </c>
      <c r="E184" s="12">
        <v>100000</v>
      </c>
      <c r="F184" s="13">
        <v>100000</v>
      </c>
      <c r="G184" s="2">
        <f>VLOOKUP(B184,'PO with created By ASR'!A:C,3,FALSE)</f>
        <v>45664</v>
      </c>
      <c r="J184" s="2" t="str">
        <f>VLOOKUP(B184,'PO with created By ASR'!A:G,4,FALSE)</f>
        <v>Ameya Integrated Services-Mum</v>
      </c>
      <c r="K184" s="2" t="str">
        <f>VLOOKUP(B184,'PO with created By ASR'!A:I,6,FALSE)</f>
        <v>11662 Ameya Integrated Services</v>
      </c>
      <c r="L184" s="2" t="str">
        <f>VLOOKUP(B184,'PO with created By ASR'!A:J,7,FALSE)</f>
        <v>A - Mumbai</v>
      </c>
      <c r="M184" s="2" t="str">
        <f>VLOOKUP(B184,'PO with created By ASR'!A:K,8,FALSE)</f>
        <v>Purchase Order-Mum</v>
      </c>
      <c r="N184" t="s">
        <v>36</v>
      </c>
      <c r="P184" s="2">
        <v>6</v>
      </c>
    </row>
    <row r="185" s="2" customFormat="1" spans="1:16">
      <c r="A185" s="8"/>
      <c r="B185" s="9" t="s">
        <v>571</v>
      </c>
      <c r="C185" s="10" t="s">
        <v>292</v>
      </c>
      <c r="D185" s="11">
        <v>1</v>
      </c>
      <c r="E185" s="12">
        <v>13800</v>
      </c>
      <c r="F185" s="13">
        <v>13800</v>
      </c>
      <c r="G185" s="2">
        <f>VLOOKUP(B185,'PO with created By ASR'!A:C,3,FALSE)</f>
        <v>45664</v>
      </c>
      <c r="J185" s="2" t="str">
        <f>VLOOKUP(B185,'PO with created By ASR'!A:G,4,FALSE)</f>
        <v>Emblaze Events (Sunita Harihar Sharma)-Mum</v>
      </c>
      <c r="K185" s="2" t="str">
        <f>VLOOKUP(B185,'PO with created By ASR'!A:I,6,FALSE)</f>
        <v>11869 Emblaze Events (Sunita Harihar Sharma)</v>
      </c>
      <c r="L185" s="2" t="str">
        <f>VLOOKUP(B185,'PO with created By ASR'!A:J,7,FALSE)</f>
        <v>A - Mumbai</v>
      </c>
      <c r="M185" s="2" t="str">
        <f>VLOOKUP(B185,'PO with created By ASR'!A:K,8,FALSE)</f>
        <v>Purchase Order-Mum</v>
      </c>
      <c r="N185" t="s">
        <v>36</v>
      </c>
      <c r="P185" s="2">
        <v>6</v>
      </c>
    </row>
    <row r="186" s="2" customFormat="1" spans="1:16">
      <c r="A186" s="8"/>
      <c r="B186" s="9" t="s">
        <v>574</v>
      </c>
      <c r="C186" s="10" t="s">
        <v>256</v>
      </c>
      <c r="D186" s="11">
        <v>1</v>
      </c>
      <c r="E186" s="12">
        <v>30000</v>
      </c>
      <c r="F186" s="13">
        <v>30000</v>
      </c>
      <c r="G186" s="2">
        <f>VLOOKUP(B186,'PO with created By ASR'!A:C,3,FALSE)</f>
        <v>45664</v>
      </c>
      <c r="J186" s="2" t="str">
        <f>VLOOKUP(B186,'PO with created By ASR'!A:G,4,FALSE)</f>
        <v>The Indian Performing Right Society Ltd.-Mum</v>
      </c>
      <c r="K186" s="2" t="e">
        <f>VLOOKUP(B186,'PO with created By ASR'!A:I,6,FALSE)</f>
        <v>#N/A</v>
      </c>
      <c r="L186" s="2" t="str">
        <f>VLOOKUP(B186,'PO with created By ASR'!A:J,7,FALSE)</f>
        <v>A - Mumbai</v>
      </c>
      <c r="M186" s="2" t="str">
        <f>VLOOKUP(B186,'PO with created By ASR'!A:K,8,FALSE)</f>
        <v>Purchase Order-Mum</v>
      </c>
      <c r="N186" t="s">
        <v>36</v>
      </c>
      <c r="P186" s="2">
        <v>6</v>
      </c>
    </row>
    <row r="187" s="2" customFormat="1" spans="1:16">
      <c r="A187" s="8"/>
      <c r="B187" s="9" t="s">
        <v>575</v>
      </c>
      <c r="C187" s="10" t="s">
        <v>256</v>
      </c>
      <c r="D187" s="11">
        <v>1</v>
      </c>
      <c r="E187" s="12">
        <v>55500</v>
      </c>
      <c r="F187" s="13">
        <v>55500</v>
      </c>
      <c r="G187" s="2">
        <f>VLOOKUP(B187,'PO with created By ASR'!A:C,3,FALSE)</f>
        <v>45664</v>
      </c>
      <c r="J187" s="2" t="str">
        <f>VLOOKUP(B187,'PO with created By ASR'!A:G,4,FALSE)</f>
        <v>Phonographic Performance Limited-Mum</v>
      </c>
      <c r="K187" s="2" t="e">
        <f>VLOOKUP(B187,'PO with created By ASR'!A:I,6,FALSE)</f>
        <v>#N/A</v>
      </c>
      <c r="L187" s="2" t="str">
        <f>VLOOKUP(B187,'PO with created By ASR'!A:J,7,FALSE)</f>
        <v>A - Mumbai</v>
      </c>
      <c r="M187" s="2" t="str">
        <f>VLOOKUP(B187,'PO with created By ASR'!A:K,8,FALSE)</f>
        <v>Purchase Order-Mum</v>
      </c>
      <c r="N187" t="s">
        <v>36</v>
      </c>
      <c r="P187" s="2">
        <v>6</v>
      </c>
    </row>
    <row r="188" s="2" customFormat="1" spans="1:16">
      <c r="A188" s="8"/>
      <c r="B188" s="9" t="s">
        <v>576</v>
      </c>
      <c r="C188" s="10" t="s">
        <v>256</v>
      </c>
      <c r="D188" s="11">
        <v>1</v>
      </c>
      <c r="E188" s="12">
        <v>60000</v>
      </c>
      <c r="F188" s="13">
        <v>60000</v>
      </c>
      <c r="G188" s="2">
        <f>VLOOKUP(B188,'PO with created By ASR'!A:C,3,FALSE)</f>
        <v>45664</v>
      </c>
      <c r="J188" s="2" t="str">
        <f>VLOOKUP(B188,'PO with created By ASR'!A:G,4,FALSE)</f>
        <v>Novex Communications Pvt. Ltd.-Mum</v>
      </c>
      <c r="K188" s="2" t="e">
        <f>VLOOKUP(B188,'PO with created By ASR'!A:I,6,FALSE)</f>
        <v>#N/A</v>
      </c>
      <c r="L188" s="2" t="str">
        <f>VLOOKUP(B188,'PO with created By ASR'!A:J,7,FALSE)</f>
        <v>A - Mumbai</v>
      </c>
      <c r="M188" s="2" t="str">
        <f>VLOOKUP(B188,'PO with created By ASR'!A:K,8,FALSE)</f>
        <v>Purchase Order-Mum</v>
      </c>
      <c r="N188" t="s">
        <v>36</v>
      </c>
      <c r="P188" s="2">
        <v>6</v>
      </c>
    </row>
    <row r="189" s="2" customFormat="1" spans="1:16">
      <c r="A189" s="8"/>
      <c r="B189" s="9" t="s">
        <v>577</v>
      </c>
      <c r="C189" s="10" t="s">
        <v>61</v>
      </c>
      <c r="D189" s="11">
        <v>1</v>
      </c>
      <c r="E189" s="12">
        <v>22497</v>
      </c>
      <c r="F189" s="13">
        <v>22497</v>
      </c>
      <c r="G189" s="2">
        <f>VLOOKUP(B189,'PO with created By ASR'!A:C,3,FALSE)</f>
        <v>45664</v>
      </c>
      <c r="J189" s="2" t="str">
        <f>VLOOKUP(B189,'PO with created By ASR'!A:G,4,FALSE)</f>
        <v>Z Bliss Suites (Zolostays Property Solutions Pvt Ltd)-Mum</v>
      </c>
      <c r="K189" s="2" t="str">
        <f>VLOOKUP(B189,'PO with created By ASR'!A:I,6,FALSE)</f>
        <v>12636  Z Bliss Suites (Zolostays Property Solutions Pvt Ltd)</v>
      </c>
      <c r="L189" s="2" t="str">
        <f>VLOOKUP(B189,'PO with created By ASR'!A:J,7,FALSE)</f>
        <v>A - Mumbai</v>
      </c>
      <c r="M189" s="2" t="str">
        <f>VLOOKUP(B189,'PO with created By ASR'!A:K,8,FALSE)</f>
        <v>Purchase Order-Mum</v>
      </c>
      <c r="N189" t="s">
        <v>36</v>
      </c>
      <c r="P189" s="2">
        <v>6</v>
      </c>
    </row>
    <row r="190" s="2" customFormat="1" spans="1:16">
      <c r="A190" s="8"/>
      <c r="B190" s="9" t="s">
        <v>583</v>
      </c>
      <c r="C190" s="10" t="s">
        <v>256</v>
      </c>
      <c r="D190" s="11">
        <v>1</v>
      </c>
      <c r="E190" s="12">
        <v>54839.29</v>
      </c>
      <c r="F190" s="13">
        <v>54839.29</v>
      </c>
      <c r="G190" s="2">
        <f>VLOOKUP(B190,'PO with created By ASR'!A:C,3,FALSE)</f>
        <v>45664</v>
      </c>
      <c r="J190" s="2" t="str">
        <f>VLOOKUP(B190,'PO with created By ASR'!A:G,4,FALSE)</f>
        <v>Phonographic Performance Limited-Mum</v>
      </c>
      <c r="K190" s="2" t="e">
        <f>VLOOKUP(B190,'PO with created By ASR'!A:I,6,FALSE)</f>
        <v>#N/A</v>
      </c>
      <c r="L190" s="2" t="str">
        <f>VLOOKUP(B190,'PO with created By ASR'!A:J,7,FALSE)</f>
        <v>A - Mumbai</v>
      </c>
      <c r="M190" s="2" t="str">
        <f>VLOOKUP(B190,'PO with created By ASR'!A:K,8,FALSE)</f>
        <v>Purchase Order-Mum</v>
      </c>
      <c r="N190" t="s">
        <v>36</v>
      </c>
      <c r="P190" s="2">
        <v>6</v>
      </c>
    </row>
    <row r="191" s="2" customFormat="1" spans="1:16">
      <c r="A191" s="8"/>
      <c r="B191" s="9" t="s">
        <v>583</v>
      </c>
      <c r="C191" s="10" t="s">
        <v>256</v>
      </c>
      <c r="D191" s="11">
        <v>1</v>
      </c>
      <c r="E191" s="12">
        <v>54839.29</v>
      </c>
      <c r="F191" s="13">
        <v>54839.29</v>
      </c>
      <c r="G191" s="2">
        <f>VLOOKUP(B191,'PO with created By ASR'!A:C,3,FALSE)</f>
        <v>45664</v>
      </c>
      <c r="J191" s="2" t="str">
        <f>VLOOKUP(B191,'PO with created By ASR'!A:G,4,FALSE)</f>
        <v>Phonographic Performance Limited-Mum</v>
      </c>
      <c r="K191" s="2" t="e">
        <f>VLOOKUP(B191,'PO with created By ASR'!A:I,6,FALSE)</f>
        <v>#N/A</v>
      </c>
      <c r="L191" s="2" t="str">
        <f>VLOOKUP(B191,'PO with created By ASR'!A:J,7,FALSE)</f>
        <v>A - Mumbai</v>
      </c>
      <c r="M191" s="2" t="str">
        <f>VLOOKUP(B191,'PO with created By ASR'!A:K,8,FALSE)</f>
        <v>Purchase Order-Mum</v>
      </c>
      <c r="N191" t="s">
        <v>36</v>
      </c>
      <c r="P191" s="2">
        <v>6</v>
      </c>
    </row>
    <row r="192" s="2" customFormat="1" spans="1:16">
      <c r="A192" s="8"/>
      <c r="B192" s="9" t="s">
        <v>583</v>
      </c>
      <c r="C192" s="10" t="s">
        <v>256</v>
      </c>
      <c r="D192" s="11">
        <v>1</v>
      </c>
      <c r="E192" s="12">
        <v>54839.29</v>
      </c>
      <c r="F192" s="13">
        <v>54839.29</v>
      </c>
      <c r="G192" s="2">
        <f>VLOOKUP(B192,'PO with created By ASR'!A:C,3,FALSE)</f>
        <v>45664</v>
      </c>
      <c r="J192" s="2" t="str">
        <f>VLOOKUP(B192,'PO with created By ASR'!A:G,4,FALSE)</f>
        <v>Phonographic Performance Limited-Mum</v>
      </c>
      <c r="K192" s="2" t="e">
        <f>VLOOKUP(B192,'PO with created By ASR'!A:I,6,FALSE)</f>
        <v>#N/A</v>
      </c>
      <c r="L192" s="2" t="str">
        <f>VLOOKUP(B192,'PO with created By ASR'!A:J,7,FALSE)</f>
        <v>A - Mumbai</v>
      </c>
      <c r="M192" s="2" t="str">
        <f>VLOOKUP(B192,'PO with created By ASR'!A:K,8,FALSE)</f>
        <v>Purchase Order-Mum</v>
      </c>
      <c r="N192" t="s">
        <v>36</v>
      </c>
      <c r="P192" s="2">
        <v>6</v>
      </c>
    </row>
    <row r="193" s="2" customFormat="1" spans="1:16">
      <c r="A193" s="8"/>
      <c r="B193" s="9" t="s">
        <v>583</v>
      </c>
      <c r="C193" s="10" t="s">
        <v>256</v>
      </c>
      <c r="D193" s="11">
        <v>1</v>
      </c>
      <c r="E193" s="12">
        <v>54839.29</v>
      </c>
      <c r="F193" s="13">
        <v>54839.29</v>
      </c>
      <c r="G193" s="2">
        <f>VLOOKUP(B193,'PO with created By ASR'!A:C,3,FALSE)</f>
        <v>45664</v>
      </c>
      <c r="J193" s="2" t="str">
        <f>VLOOKUP(B193,'PO with created By ASR'!A:G,4,FALSE)</f>
        <v>Phonographic Performance Limited-Mum</v>
      </c>
      <c r="K193" s="2" t="e">
        <f>VLOOKUP(B193,'PO with created By ASR'!A:I,6,FALSE)</f>
        <v>#N/A</v>
      </c>
      <c r="L193" s="2" t="str">
        <f>VLOOKUP(B193,'PO with created By ASR'!A:J,7,FALSE)</f>
        <v>A - Mumbai</v>
      </c>
      <c r="M193" s="2" t="str">
        <f>VLOOKUP(B193,'PO with created By ASR'!A:K,8,FALSE)</f>
        <v>Purchase Order-Mum</v>
      </c>
      <c r="N193" t="s">
        <v>36</v>
      </c>
      <c r="P193" s="2">
        <v>6</v>
      </c>
    </row>
    <row r="194" s="2" customFormat="1" spans="1:16">
      <c r="A194" s="8"/>
      <c r="B194" s="9" t="s">
        <v>583</v>
      </c>
      <c r="C194" s="10" t="s">
        <v>256</v>
      </c>
      <c r="D194" s="11">
        <v>1</v>
      </c>
      <c r="E194" s="12">
        <v>54839.29</v>
      </c>
      <c r="F194" s="13">
        <v>54839.29</v>
      </c>
      <c r="G194" s="2">
        <f>VLOOKUP(B194,'PO with created By ASR'!A:C,3,FALSE)</f>
        <v>45664</v>
      </c>
      <c r="J194" s="2" t="str">
        <f>VLOOKUP(B194,'PO with created By ASR'!A:G,4,FALSE)</f>
        <v>Phonographic Performance Limited-Mum</v>
      </c>
      <c r="K194" s="2" t="e">
        <f>VLOOKUP(B194,'PO with created By ASR'!A:I,6,FALSE)</f>
        <v>#N/A</v>
      </c>
      <c r="L194" s="2" t="str">
        <f>VLOOKUP(B194,'PO with created By ASR'!A:J,7,FALSE)</f>
        <v>A - Mumbai</v>
      </c>
      <c r="M194" s="2" t="str">
        <f>VLOOKUP(B194,'PO with created By ASR'!A:K,8,FALSE)</f>
        <v>Purchase Order-Mum</v>
      </c>
      <c r="N194" t="s">
        <v>36</v>
      </c>
      <c r="P194" s="2">
        <v>6</v>
      </c>
    </row>
    <row r="195" s="2" customFormat="1" spans="1:16">
      <c r="A195" s="8"/>
      <c r="B195" s="9" t="s">
        <v>583</v>
      </c>
      <c r="C195" s="10" t="s">
        <v>256</v>
      </c>
      <c r="D195" s="11">
        <v>1</v>
      </c>
      <c r="E195" s="12">
        <v>54839.29</v>
      </c>
      <c r="F195" s="13">
        <v>54839.29</v>
      </c>
      <c r="G195" s="2">
        <f>VLOOKUP(B195,'PO with created By ASR'!A:C,3,FALSE)</f>
        <v>45664</v>
      </c>
      <c r="J195" s="2" t="str">
        <f>VLOOKUP(B195,'PO with created By ASR'!A:G,4,FALSE)</f>
        <v>Phonographic Performance Limited-Mum</v>
      </c>
      <c r="K195" s="2" t="e">
        <f>VLOOKUP(B195,'PO with created By ASR'!A:I,6,FALSE)</f>
        <v>#N/A</v>
      </c>
      <c r="L195" s="2" t="str">
        <f>VLOOKUP(B195,'PO with created By ASR'!A:J,7,FALSE)</f>
        <v>A - Mumbai</v>
      </c>
      <c r="M195" s="2" t="str">
        <f>VLOOKUP(B195,'PO with created By ASR'!A:K,8,FALSE)</f>
        <v>Purchase Order-Mum</v>
      </c>
      <c r="N195" t="s">
        <v>36</v>
      </c>
      <c r="P195" s="2">
        <v>6</v>
      </c>
    </row>
    <row r="196" s="2" customFormat="1" spans="1:16">
      <c r="A196" s="8"/>
      <c r="B196" s="9" t="s">
        <v>583</v>
      </c>
      <c r="C196" s="10" t="s">
        <v>256</v>
      </c>
      <c r="D196" s="11">
        <v>1</v>
      </c>
      <c r="E196" s="12">
        <v>54839.29</v>
      </c>
      <c r="F196" s="13">
        <v>54839.29</v>
      </c>
      <c r="G196" s="2">
        <f>VLOOKUP(B196,'PO with created By ASR'!A:C,3,FALSE)</f>
        <v>45664</v>
      </c>
      <c r="J196" s="2" t="str">
        <f>VLOOKUP(B196,'PO with created By ASR'!A:G,4,FALSE)</f>
        <v>Phonographic Performance Limited-Mum</v>
      </c>
      <c r="K196" s="2" t="e">
        <f>VLOOKUP(B196,'PO with created By ASR'!A:I,6,FALSE)</f>
        <v>#N/A</v>
      </c>
      <c r="L196" s="2" t="str">
        <f>VLOOKUP(B196,'PO with created By ASR'!A:J,7,FALSE)</f>
        <v>A - Mumbai</v>
      </c>
      <c r="M196" s="2" t="str">
        <f>VLOOKUP(B196,'PO with created By ASR'!A:K,8,FALSE)</f>
        <v>Purchase Order-Mum</v>
      </c>
      <c r="N196" t="s">
        <v>36</v>
      </c>
      <c r="P196" s="2">
        <v>6</v>
      </c>
    </row>
    <row r="197" s="2" customFormat="1" spans="1:16">
      <c r="A197" s="8"/>
      <c r="B197" s="9" t="s">
        <v>584</v>
      </c>
      <c r="C197" s="10" t="s">
        <v>151</v>
      </c>
      <c r="D197" s="11">
        <v>1</v>
      </c>
      <c r="E197" s="12">
        <v>12200000</v>
      </c>
      <c r="F197" s="13">
        <v>12200000</v>
      </c>
      <c r="G197" s="2">
        <f>VLOOKUP(B197,'PO with created By ASR'!A:C,3,FALSE)</f>
        <v>45664</v>
      </c>
      <c r="J197" s="2" t="str">
        <f>VLOOKUP(B197,'PO with created By ASR'!A:G,4,FALSE)</f>
        <v>Sconce Global Pvt Ltd-Mum</v>
      </c>
      <c r="K197" s="2" t="str">
        <f>VLOOKUP(B197,'PO with created By ASR'!A:I,6,FALSE)</f>
        <v>12371  Sconce Global Pvt Ltd</v>
      </c>
      <c r="L197" s="2" t="str">
        <f>VLOOKUP(B197,'PO with created By ASR'!A:J,7,FALSE)</f>
        <v>A - Mumbai</v>
      </c>
      <c r="M197" s="2" t="str">
        <f>VLOOKUP(B197,'PO with created By ASR'!A:K,8,FALSE)</f>
        <v>Purchase Order-Mum</v>
      </c>
      <c r="N197" t="s">
        <v>36</v>
      </c>
      <c r="P197" s="2">
        <v>6</v>
      </c>
    </row>
    <row r="198" s="2" customFormat="1" spans="1:16">
      <c r="A198" s="8"/>
      <c r="B198" s="9" t="s">
        <v>587</v>
      </c>
      <c r="C198" s="10" t="s">
        <v>256</v>
      </c>
      <c r="D198" s="11">
        <v>1</v>
      </c>
      <c r="E198" s="12">
        <v>57000</v>
      </c>
      <c r="F198" s="13">
        <v>57000</v>
      </c>
      <c r="G198" s="2">
        <f>VLOOKUP(B198,'PO with created By ASR'!A:C,3,FALSE)</f>
        <v>45664</v>
      </c>
      <c r="J198" s="2" t="str">
        <f>VLOOKUP(B198,'PO with created By ASR'!A:G,4,FALSE)</f>
        <v>Novex Communications Pvt. Ltd.-Mum</v>
      </c>
      <c r="K198" s="2" t="e">
        <f>VLOOKUP(B198,'PO with created By ASR'!A:I,6,FALSE)</f>
        <v>#N/A</v>
      </c>
      <c r="L198" s="2" t="str">
        <f>VLOOKUP(B198,'PO with created By ASR'!A:J,7,FALSE)</f>
        <v>A - Mumbai</v>
      </c>
      <c r="M198" s="2" t="str">
        <f>VLOOKUP(B198,'PO with created By ASR'!A:K,8,FALSE)</f>
        <v>Purchase Order-Mum</v>
      </c>
      <c r="N198" t="s">
        <v>36</v>
      </c>
      <c r="P198" s="2">
        <v>6</v>
      </c>
    </row>
    <row r="199" s="2" customFormat="1" spans="1:16">
      <c r="A199" s="8"/>
      <c r="B199" s="9" t="s">
        <v>587</v>
      </c>
      <c r="C199" s="10" t="s">
        <v>256</v>
      </c>
      <c r="D199" s="11">
        <v>1</v>
      </c>
      <c r="E199" s="12">
        <v>57000</v>
      </c>
      <c r="F199" s="13">
        <v>57000</v>
      </c>
      <c r="G199" s="2">
        <f>VLOOKUP(B199,'PO with created By ASR'!A:C,3,FALSE)</f>
        <v>45664</v>
      </c>
      <c r="J199" s="2" t="str">
        <f>VLOOKUP(B199,'PO with created By ASR'!A:G,4,FALSE)</f>
        <v>Novex Communications Pvt. Ltd.-Mum</v>
      </c>
      <c r="K199" s="2" t="e">
        <f>VLOOKUP(B199,'PO with created By ASR'!A:I,6,FALSE)</f>
        <v>#N/A</v>
      </c>
      <c r="L199" s="2" t="str">
        <f>VLOOKUP(B199,'PO with created By ASR'!A:J,7,FALSE)</f>
        <v>A - Mumbai</v>
      </c>
      <c r="M199" s="2" t="str">
        <f>VLOOKUP(B199,'PO with created By ASR'!A:K,8,FALSE)</f>
        <v>Purchase Order-Mum</v>
      </c>
      <c r="N199" t="s">
        <v>36</v>
      </c>
      <c r="P199" s="2">
        <v>6</v>
      </c>
    </row>
    <row r="200" s="2" customFormat="1" spans="1:16">
      <c r="A200" s="8"/>
      <c r="B200" s="9" t="s">
        <v>587</v>
      </c>
      <c r="C200" s="10" t="s">
        <v>256</v>
      </c>
      <c r="D200" s="11">
        <v>1</v>
      </c>
      <c r="E200" s="12">
        <v>57000</v>
      </c>
      <c r="F200" s="13">
        <v>57000</v>
      </c>
      <c r="G200" s="2">
        <f>VLOOKUP(B200,'PO with created By ASR'!A:C,3,FALSE)</f>
        <v>45664</v>
      </c>
      <c r="J200" s="2" t="str">
        <f>VLOOKUP(B200,'PO with created By ASR'!A:G,4,FALSE)</f>
        <v>Novex Communications Pvt. Ltd.-Mum</v>
      </c>
      <c r="K200" s="2" t="e">
        <f>VLOOKUP(B200,'PO with created By ASR'!A:I,6,FALSE)</f>
        <v>#N/A</v>
      </c>
      <c r="L200" s="2" t="str">
        <f>VLOOKUP(B200,'PO with created By ASR'!A:J,7,FALSE)</f>
        <v>A - Mumbai</v>
      </c>
      <c r="M200" s="2" t="str">
        <f>VLOOKUP(B200,'PO with created By ASR'!A:K,8,FALSE)</f>
        <v>Purchase Order-Mum</v>
      </c>
      <c r="N200" t="s">
        <v>36</v>
      </c>
      <c r="P200" s="2">
        <v>6</v>
      </c>
    </row>
    <row r="201" s="2" customFormat="1" spans="1:16">
      <c r="A201" s="8"/>
      <c r="B201" s="9" t="s">
        <v>587</v>
      </c>
      <c r="C201" s="10" t="s">
        <v>256</v>
      </c>
      <c r="D201" s="11">
        <v>1</v>
      </c>
      <c r="E201" s="12">
        <v>57000</v>
      </c>
      <c r="F201" s="13">
        <v>57000</v>
      </c>
      <c r="G201" s="2">
        <f>VLOOKUP(B201,'PO with created By ASR'!A:C,3,FALSE)</f>
        <v>45664</v>
      </c>
      <c r="J201" s="2" t="str">
        <f>VLOOKUP(B201,'PO with created By ASR'!A:G,4,FALSE)</f>
        <v>Novex Communications Pvt. Ltd.-Mum</v>
      </c>
      <c r="K201" s="2" t="e">
        <f>VLOOKUP(B201,'PO with created By ASR'!A:I,6,FALSE)</f>
        <v>#N/A</v>
      </c>
      <c r="L201" s="2" t="str">
        <f>VLOOKUP(B201,'PO with created By ASR'!A:J,7,FALSE)</f>
        <v>A - Mumbai</v>
      </c>
      <c r="M201" s="2" t="str">
        <f>VLOOKUP(B201,'PO with created By ASR'!A:K,8,FALSE)</f>
        <v>Purchase Order-Mum</v>
      </c>
      <c r="N201" t="s">
        <v>36</v>
      </c>
      <c r="P201" s="2">
        <v>6</v>
      </c>
    </row>
    <row r="202" s="2" customFormat="1" spans="1:16">
      <c r="A202" s="8"/>
      <c r="B202" s="9" t="s">
        <v>587</v>
      </c>
      <c r="C202" s="10" t="s">
        <v>256</v>
      </c>
      <c r="D202" s="11">
        <v>1</v>
      </c>
      <c r="E202" s="12">
        <v>57000</v>
      </c>
      <c r="F202" s="13">
        <v>57000</v>
      </c>
      <c r="G202" s="2">
        <f>VLOOKUP(B202,'PO with created By ASR'!A:C,3,FALSE)</f>
        <v>45664</v>
      </c>
      <c r="J202" s="2" t="str">
        <f>VLOOKUP(B202,'PO with created By ASR'!A:G,4,FALSE)</f>
        <v>Novex Communications Pvt. Ltd.-Mum</v>
      </c>
      <c r="K202" s="2" t="e">
        <f>VLOOKUP(B202,'PO with created By ASR'!A:I,6,FALSE)</f>
        <v>#N/A</v>
      </c>
      <c r="L202" s="2" t="str">
        <f>VLOOKUP(B202,'PO with created By ASR'!A:J,7,FALSE)</f>
        <v>A - Mumbai</v>
      </c>
      <c r="M202" s="2" t="str">
        <f>VLOOKUP(B202,'PO with created By ASR'!A:K,8,FALSE)</f>
        <v>Purchase Order-Mum</v>
      </c>
      <c r="N202" t="s">
        <v>36</v>
      </c>
      <c r="P202" s="2">
        <v>6</v>
      </c>
    </row>
    <row r="203" s="2" customFormat="1" spans="1:16">
      <c r="A203" s="8"/>
      <c r="B203" s="9" t="s">
        <v>587</v>
      </c>
      <c r="C203" s="10" t="s">
        <v>256</v>
      </c>
      <c r="D203" s="11">
        <v>1</v>
      </c>
      <c r="E203" s="12">
        <v>57000</v>
      </c>
      <c r="F203" s="13">
        <v>57000</v>
      </c>
      <c r="G203" s="2">
        <f>VLOOKUP(B203,'PO with created By ASR'!A:C,3,FALSE)</f>
        <v>45664</v>
      </c>
      <c r="J203" s="2" t="str">
        <f>VLOOKUP(B203,'PO with created By ASR'!A:G,4,FALSE)</f>
        <v>Novex Communications Pvt. Ltd.-Mum</v>
      </c>
      <c r="K203" s="2" t="e">
        <f>VLOOKUP(B203,'PO with created By ASR'!A:I,6,FALSE)</f>
        <v>#N/A</v>
      </c>
      <c r="L203" s="2" t="str">
        <f>VLOOKUP(B203,'PO with created By ASR'!A:J,7,FALSE)</f>
        <v>A - Mumbai</v>
      </c>
      <c r="M203" s="2" t="str">
        <f>VLOOKUP(B203,'PO with created By ASR'!A:K,8,FALSE)</f>
        <v>Purchase Order-Mum</v>
      </c>
      <c r="N203" t="s">
        <v>36</v>
      </c>
      <c r="P203" s="2">
        <v>6</v>
      </c>
    </row>
    <row r="204" s="2" customFormat="1" spans="1:16">
      <c r="A204" s="8"/>
      <c r="B204" s="9" t="s">
        <v>587</v>
      </c>
      <c r="C204" s="10" t="s">
        <v>256</v>
      </c>
      <c r="D204" s="11">
        <v>1</v>
      </c>
      <c r="E204" s="12">
        <v>57000</v>
      </c>
      <c r="F204" s="13">
        <v>57000</v>
      </c>
      <c r="G204" s="2">
        <f>VLOOKUP(B204,'PO with created By ASR'!A:C,3,FALSE)</f>
        <v>45664</v>
      </c>
      <c r="J204" s="2" t="str">
        <f>VLOOKUP(B204,'PO with created By ASR'!A:G,4,FALSE)</f>
        <v>Novex Communications Pvt. Ltd.-Mum</v>
      </c>
      <c r="K204" s="2" t="e">
        <f>VLOOKUP(B204,'PO with created By ASR'!A:I,6,FALSE)</f>
        <v>#N/A</v>
      </c>
      <c r="L204" s="2" t="str">
        <f>VLOOKUP(B204,'PO with created By ASR'!A:J,7,FALSE)</f>
        <v>A - Mumbai</v>
      </c>
      <c r="M204" s="2" t="str">
        <f>VLOOKUP(B204,'PO with created By ASR'!A:K,8,FALSE)</f>
        <v>Purchase Order-Mum</v>
      </c>
      <c r="N204" t="s">
        <v>36</v>
      </c>
      <c r="P204" s="2">
        <v>6</v>
      </c>
    </row>
    <row r="205" s="2" customFormat="1" spans="1:16">
      <c r="A205" s="8"/>
      <c r="B205" s="9" t="s">
        <v>588</v>
      </c>
      <c r="C205" s="10" t="s">
        <v>256</v>
      </c>
      <c r="D205" s="11">
        <v>1</v>
      </c>
      <c r="E205" s="12">
        <v>85000</v>
      </c>
      <c r="F205" s="13">
        <v>85000</v>
      </c>
      <c r="G205" s="2">
        <f>VLOOKUP(B205,'PO with created By ASR'!A:C,3,FALSE)</f>
        <v>45664</v>
      </c>
      <c r="J205" s="2" t="str">
        <f>VLOOKUP(B205,'PO with created By ASR'!A:G,4,FALSE)</f>
        <v>Phonographic Performance Limited-Mum</v>
      </c>
      <c r="K205" s="2" t="e">
        <f>VLOOKUP(B205,'PO with created By ASR'!A:I,6,FALSE)</f>
        <v>#N/A</v>
      </c>
      <c r="L205" s="2" t="str">
        <f>VLOOKUP(B205,'PO with created By ASR'!A:J,7,FALSE)</f>
        <v>A - Mumbai</v>
      </c>
      <c r="M205" s="2" t="str">
        <f>VLOOKUP(B205,'PO with created By ASR'!A:K,8,FALSE)</f>
        <v>Purchase Order-Mum</v>
      </c>
      <c r="N205" t="s">
        <v>36</v>
      </c>
      <c r="P205" s="2">
        <v>6</v>
      </c>
    </row>
    <row r="206" s="2" customFormat="1" spans="1:16">
      <c r="A206" s="8"/>
      <c r="B206" s="9" t="s">
        <v>588</v>
      </c>
      <c r="C206" s="10" t="s">
        <v>256</v>
      </c>
      <c r="D206" s="11">
        <v>1</v>
      </c>
      <c r="E206" s="12">
        <v>85000</v>
      </c>
      <c r="F206" s="13">
        <v>85000</v>
      </c>
      <c r="G206" s="2">
        <f>VLOOKUP(B206,'PO with created By ASR'!A:C,3,FALSE)</f>
        <v>45664</v>
      </c>
      <c r="J206" s="2" t="str">
        <f>VLOOKUP(B206,'PO with created By ASR'!A:G,4,FALSE)</f>
        <v>Phonographic Performance Limited-Mum</v>
      </c>
      <c r="K206" s="2" t="e">
        <f>VLOOKUP(B206,'PO with created By ASR'!A:I,6,FALSE)</f>
        <v>#N/A</v>
      </c>
      <c r="L206" s="2" t="str">
        <f>VLOOKUP(B206,'PO with created By ASR'!A:J,7,FALSE)</f>
        <v>A - Mumbai</v>
      </c>
      <c r="M206" s="2" t="str">
        <f>VLOOKUP(B206,'PO with created By ASR'!A:K,8,FALSE)</f>
        <v>Purchase Order-Mum</v>
      </c>
      <c r="N206" t="s">
        <v>36</v>
      </c>
      <c r="P206" s="2">
        <v>6</v>
      </c>
    </row>
    <row r="207" s="2" customFormat="1" spans="1:16">
      <c r="A207" s="8"/>
      <c r="B207" s="9" t="s">
        <v>588</v>
      </c>
      <c r="C207" s="10" t="s">
        <v>256</v>
      </c>
      <c r="D207" s="11">
        <v>1</v>
      </c>
      <c r="E207" s="12">
        <v>85000</v>
      </c>
      <c r="F207" s="13">
        <v>85000</v>
      </c>
      <c r="G207" s="2">
        <f>VLOOKUP(B207,'PO with created By ASR'!A:C,3,FALSE)</f>
        <v>45664</v>
      </c>
      <c r="J207" s="2" t="str">
        <f>VLOOKUP(B207,'PO with created By ASR'!A:G,4,FALSE)</f>
        <v>Phonographic Performance Limited-Mum</v>
      </c>
      <c r="K207" s="2" t="e">
        <f>VLOOKUP(B207,'PO with created By ASR'!A:I,6,FALSE)</f>
        <v>#N/A</v>
      </c>
      <c r="L207" s="2" t="str">
        <f>VLOOKUP(B207,'PO with created By ASR'!A:J,7,FALSE)</f>
        <v>A - Mumbai</v>
      </c>
      <c r="M207" s="2" t="str">
        <f>VLOOKUP(B207,'PO with created By ASR'!A:K,8,FALSE)</f>
        <v>Purchase Order-Mum</v>
      </c>
      <c r="N207" t="s">
        <v>36</v>
      </c>
      <c r="P207" s="2">
        <v>6</v>
      </c>
    </row>
    <row r="208" s="2" customFormat="1" spans="1:16">
      <c r="A208" s="8"/>
      <c r="B208" s="9" t="s">
        <v>588</v>
      </c>
      <c r="C208" s="10" t="s">
        <v>256</v>
      </c>
      <c r="D208" s="11">
        <v>1</v>
      </c>
      <c r="E208" s="12">
        <v>85000</v>
      </c>
      <c r="F208" s="13">
        <v>85000</v>
      </c>
      <c r="G208" s="2">
        <f>VLOOKUP(B208,'PO with created By ASR'!A:C,3,FALSE)</f>
        <v>45664</v>
      </c>
      <c r="J208" s="2" t="str">
        <f>VLOOKUP(B208,'PO with created By ASR'!A:G,4,FALSE)</f>
        <v>Phonographic Performance Limited-Mum</v>
      </c>
      <c r="K208" s="2" t="e">
        <f>VLOOKUP(B208,'PO with created By ASR'!A:I,6,FALSE)</f>
        <v>#N/A</v>
      </c>
      <c r="L208" s="2" t="str">
        <f>VLOOKUP(B208,'PO with created By ASR'!A:J,7,FALSE)</f>
        <v>A - Mumbai</v>
      </c>
      <c r="M208" s="2" t="str">
        <f>VLOOKUP(B208,'PO with created By ASR'!A:K,8,FALSE)</f>
        <v>Purchase Order-Mum</v>
      </c>
      <c r="N208" t="s">
        <v>36</v>
      </c>
      <c r="P208" s="2">
        <v>6</v>
      </c>
    </row>
    <row r="209" s="2" customFormat="1" spans="1:16">
      <c r="A209" s="8"/>
      <c r="B209" s="9" t="s">
        <v>589</v>
      </c>
      <c r="C209" s="10" t="s">
        <v>317</v>
      </c>
      <c r="D209" s="11">
        <v>1</v>
      </c>
      <c r="E209" s="12">
        <v>165000</v>
      </c>
      <c r="F209" s="13">
        <v>165000</v>
      </c>
      <c r="G209" s="2">
        <f>VLOOKUP(B209,'PO with created By ASR'!A:C,3,FALSE)</f>
        <v>45664</v>
      </c>
      <c r="J209" s="2" t="str">
        <f>VLOOKUP(B209,'PO with created By ASR'!A:G,4,FALSE)</f>
        <v>Rak Lead Events-Mum</v>
      </c>
      <c r="K209" s="2" t="str">
        <f>VLOOKUP(B209,'PO with created By ASR'!A:I,6,FALSE)</f>
        <v>12317 Rak Lead Events</v>
      </c>
      <c r="L209" s="2" t="str">
        <f>VLOOKUP(B209,'PO with created By ASR'!A:J,7,FALSE)</f>
        <v>A - Mumbai</v>
      </c>
      <c r="M209" s="2" t="str">
        <f>VLOOKUP(B209,'PO with created By ASR'!A:K,8,FALSE)</f>
        <v>Purchase Order-Mum</v>
      </c>
      <c r="N209" t="s">
        <v>36</v>
      </c>
      <c r="P209" s="2">
        <v>6</v>
      </c>
    </row>
    <row r="210" s="2" customFormat="1" spans="1:16">
      <c r="A210" s="8"/>
      <c r="B210" s="9" t="s">
        <v>592</v>
      </c>
      <c r="C210" s="10" t="s">
        <v>317</v>
      </c>
      <c r="D210" s="11">
        <v>1</v>
      </c>
      <c r="E210" s="12">
        <v>114000</v>
      </c>
      <c r="F210" s="13">
        <v>114000</v>
      </c>
      <c r="G210" s="2">
        <f>VLOOKUP(B210,'PO with created By ASR'!A:C,3,FALSE)</f>
        <v>45664</v>
      </c>
      <c r="J210" s="2" t="str">
        <f>VLOOKUP(B210,'PO with created By ASR'!A:G,4,FALSE)</f>
        <v>Sportocraft Enterprises-Mum</v>
      </c>
      <c r="K210" s="2" t="str">
        <f>VLOOKUP(B210,'PO with created By ASR'!A:I,6,FALSE)</f>
        <v>12437 Sportocraft Enterprises</v>
      </c>
      <c r="L210" s="2" t="str">
        <f>VLOOKUP(B210,'PO with created By ASR'!A:J,7,FALSE)</f>
        <v>A - Mumbai</v>
      </c>
      <c r="M210" s="2" t="str">
        <f>VLOOKUP(B210,'PO with created By ASR'!A:K,8,FALSE)</f>
        <v>Purchase Order-Mum</v>
      </c>
      <c r="N210" t="s">
        <v>36</v>
      </c>
      <c r="P210" s="2">
        <v>6</v>
      </c>
    </row>
    <row r="211" s="2" customFormat="1" spans="1:16">
      <c r="A211" s="8"/>
      <c r="B211" s="9" t="s">
        <v>596</v>
      </c>
      <c r="C211" s="10" t="s">
        <v>371</v>
      </c>
      <c r="D211" s="11">
        <v>1</v>
      </c>
      <c r="E211" s="12">
        <v>288000</v>
      </c>
      <c r="F211" s="13">
        <v>288000</v>
      </c>
      <c r="G211" s="2">
        <f>VLOOKUP(B211,'PO with created By ASR'!A:C,3,FALSE)</f>
        <v>45665</v>
      </c>
      <c r="J211" s="2" t="str">
        <f>VLOOKUP(B211,'PO with created By ASR'!A:G,4,FALSE)</f>
        <v>Graflex INC-Blr</v>
      </c>
      <c r="K211" s="2" t="str">
        <f>VLOOKUP(B211,'PO with created By ASR'!A:I,6,FALSE)</f>
        <v>11968 Graflex INC</v>
      </c>
      <c r="L211" s="2" t="str">
        <f>VLOOKUP(B211,'PO with created By ASR'!A:J,7,FALSE)</f>
        <v>B - Bangalore</v>
      </c>
      <c r="M211" s="2" t="str">
        <f>VLOOKUP(B211,'PO with created By ASR'!A:K,8,FALSE)</f>
        <v>Purchase Order-Blr</v>
      </c>
      <c r="N211" t="s">
        <v>36</v>
      </c>
      <c r="P211" s="2">
        <v>6</v>
      </c>
    </row>
    <row r="212" s="2" customFormat="1" spans="1:16">
      <c r="A212" s="8"/>
      <c r="B212" s="9" t="s">
        <v>601</v>
      </c>
      <c r="C212" s="10" t="s">
        <v>371</v>
      </c>
      <c r="D212" s="11">
        <v>1</v>
      </c>
      <c r="E212" s="12">
        <v>250000</v>
      </c>
      <c r="F212" s="13">
        <v>250000</v>
      </c>
      <c r="G212" s="2">
        <f>VLOOKUP(B212,'PO with created By ASR'!A:C,3,FALSE)</f>
        <v>45665</v>
      </c>
      <c r="J212" s="2" t="str">
        <f>VLOOKUP(B212,'PO with created By ASR'!A:G,4,FALSE)</f>
        <v>J Davis Pro Sound &amp; Lightings (New)-Blr</v>
      </c>
      <c r="K212" s="2" t="e">
        <f>VLOOKUP(B212,'PO with created By ASR'!A:I,6,FALSE)</f>
        <v>#N/A</v>
      </c>
      <c r="L212" s="2" t="str">
        <f>VLOOKUP(B212,'PO with created By ASR'!A:J,7,FALSE)</f>
        <v>B - Bangalore</v>
      </c>
      <c r="M212" s="2" t="str">
        <f>VLOOKUP(B212,'PO with created By ASR'!A:K,8,FALSE)</f>
        <v>Purchase Order-Blr</v>
      </c>
      <c r="N212" t="s">
        <v>36</v>
      </c>
      <c r="P212" s="2">
        <v>6</v>
      </c>
    </row>
    <row r="213" s="2" customFormat="1" spans="1:16">
      <c r="A213" s="8"/>
      <c r="B213" s="9" t="s">
        <v>605</v>
      </c>
      <c r="C213" s="10" t="s">
        <v>608</v>
      </c>
      <c r="D213" s="11">
        <v>1</v>
      </c>
      <c r="E213" s="12">
        <v>48400</v>
      </c>
      <c r="F213" s="13">
        <v>48400</v>
      </c>
      <c r="G213" s="2">
        <f>VLOOKUP(B213,'PO with created By ASR'!A:C,3,FALSE)</f>
        <v>45665</v>
      </c>
      <c r="J213" s="2" t="str">
        <f>VLOOKUP(B213,'PO with created By ASR'!A:G,4,FALSE)</f>
        <v>Innovative Systems and Solutions Pvt Ltd-Mum</v>
      </c>
      <c r="K213" s="2" t="str">
        <f>VLOOKUP(B213,'PO with created By ASR'!A:I,6,FALSE)</f>
        <v>12032  Innovative Systems and Solutions Pvt Ltd</v>
      </c>
      <c r="L213" s="2" t="str">
        <f>VLOOKUP(B213,'PO with created By ASR'!A:J,7,FALSE)</f>
        <v>B - Bangalore</v>
      </c>
      <c r="M213" s="2" t="str">
        <f>VLOOKUP(B213,'PO with created By ASR'!A:K,8,FALSE)</f>
        <v>Purchase Order-Blr</v>
      </c>
      <c r="N213" t="s">
        <v>36</v>
      </c>
      <c r="P213" s="2">
        <v>6</v>
      </c>
    </row>
    <row r="214" s="2" customFormat="1" spans="1:16">
      <c r="A214" s="8"/>
      <c r="B214" s="9" t="s">
        <v>605</v>
      </c>
      <c r="C214" s="10" t="s">
        <v>608</v>
      </c>
      <c r="D214" s="11">
        <v>1</v>
      </c>
      <c r="E214" s="12">
        <v>183500</v>
      </c>
      <c r="F214" s="13">
        <v>183500</v>
      </c>
      <c r="G214" s="2">
        <f>VLOOKUP(B214,'PO with created By ASR'!A:C,3,FALSE)</f>
        <v>45665</v>
      </c>
      <c r="J214" s="2" t="str">
        <f>VLOOKUP(B214,'PO with created By ASR'!A:G,4,FALSE)</f>
        <v>Innovative Systems and Solutions Pvt Ltd-Mum</v>
      </c>
      <c r="K214" s="2" t="str">
        <f>VLOOKUP(B214,'PO with created By ASR'!A:I,6,FALSE)</f>
        <v>12032  Innovative Systems and Solutions Pvt Ltd</v>
      </c>
      <c r="L214" s="2" t="str">
        <f>VLOOKUP(B214,'PO with created By ASR'!A:J,7,FALSE)</f>
        <v>B - Bangalore</v>
      </c>
      <c r="M214" s="2" t="str">
        <f>VLOOKUP(B214,'PO with created By ASR'!A:K,8,FALSE)</f>
        <v>Purchase Order-Blr</v>
      </c>
      <c r="N214" t="s">
        <v>36</v>
      </c>
      <c r="P214" s="2">
        <v>6</v>
      </c>
    </row>
    <row r="215" s="2" customFormat="1" spans="1:16">
      <c r="A215" s="8"/>
      <c r="B215" s="9" t="s">
        <v>605</v>
      </c>
      <c r="C215" s="10" t="s">
        <v>608</v>
      </c>
      <c r="D215" s="11">
        <v>1</v>
      </c>
      <c r="E215" s="12">
        <v>8300</v>
      </c>
      <c r="F215" s="13">
        <v>8300</v>
      </c>
      <c r="G215" s="2">
        <f>VLOOKUP(B215,'PO with created By ASR'!A:C,3,FALSE)</f>
        <v>45665</v>
      </c>
      <c r="J215" s="2" t="str">
        <f>VLOOKUP(B215,'PO with created By ASR'!A:G,4,FALSE)</f>
        <v>Innovative Systems and Solutions Pvt Ltd-Mum</v>
      </c>
      <c r="K215" s="2" t="str">
        <f>VLOOKUP(B215,'PO with created By ASR'!A:I,6,FALSE)</f>
        <v>12032  Innovative Systems and Solutions Pvt Ltd</v>
      </c>
      <c r="L215" s="2" t="str">
        <f>VLOOKUP(B215,'PO with created By ASR'!A:J,7,FALSE)</f>
        <v>B - Bangalore</v>
      </c>
      <c r="M215" s="2" t="str">
        <f>VLOOKUP(B215,'PO with created By ASR'!A:K,8,FALSE)</f>
        <v>Purchase Order-Blr</v>
      </c>
      <c r="N215" t="s">
        <v>36</v>
      </c>
      <c r="P215" s="2">
        <v>6</v>
      </c>
    </row>
    <row r="216" s="2" customFormat="1" spans="1:16">
      <c r="A216" s="8"/>
      <c r="B216" s="9" t="s">
        <v>612</v>
      </c>
      <c r="C216" s="10" t="s">
        <v>508</v>
      </c>
      <c r="D216" s="11">
        <v>1</v>
      </c>
      <c r="E216" s="12">
        <v>3919</v>
      </c>
      <c r="F216" s="13">
        <v>3919</v>
      </c>
      <c r="G216" s="2">
        <f>VLOOKUP(B216,'PO with created By ASR'!A:C,3,FALSE)</f>
        <v>45665</v>
      </c>
      <c r="J216" s="2" t="str">
        <f>VLOOKUP(B216,'PO with created By ASR'!A:G,4,FALSE)</f>
        <v>Raj Latotra  -CR
</v>
      </c>
      <c r="K216" s="2" t="e">
        <f>VLOOKUP(B216,'PO with created By ASR'!A:I,6,FALSE)</f>
        <v>#N/A</v>
      </c>
      <c r="L216" s="2" t="str">
        <f>VLOOKUP(B216,'PO with created By ASR'!A:J,7,FALSE)</f>
        <v>B - Bangalore</v>
      </c>
      <c r="M216" s="2" t="str">
        <f>VLOOKUP(B216,'PO with created By ASR'!A:K,8,FALSE)</f>
        <v>Purchase Order-Blr</v>
      </c>
      <c r="N216" t="s">
        <v>36</v>
      </c>
      <c r="P216" s="2">
        <v>6</v>
      </c>
    </row>
    <row r="217" s="2" customFormat="1" spans="1:16">
      <c r="A217" s="8"/>
      <c r="B217" s="9" t="s">
        <v>612</v>
      </c>
      <c r="C217" s="10" t="s">
        <v>126</v>
      </c>
      <c r="D217" s="11">
        <v>1</v>
      </c>
      <c r="E217" s="12">
        <v>7600</v>
      </c>
      <c r="F217" s="13">
        <v>7600</v>
      </c>
      <c r="G217" s="2">
        <f>VLOOKUP(B217,'PO with created By ASR'!A:C,3,FALSE)</f>
        <v>45665</v>
      </c>
      <c r="J217" s="2" t="str">
        <f>VLOOKUP(B217,'PO with created By ASR'!A:G,4,FALSE)</f>
        <v>Raj Latotra  -CR
</v>
      </c>
      <c r="K217" s="2" t="e">
        <f>VLOOKUP(B217,'PO with created By ASR'!A:I,6,FALSE)</f>
        <v>#N/A</v>
      </c>
      <c r="L217" s="2" t="str">
        <f>VLOOKUP(B217,'PO with created By ASR'!A:J,7,FALSE)</f>
        <v>B - Bangalore</v>
      </c>
      <c r="M217" s="2" t="str">
        <f>VLOOKUP(B217,'PO with created By ASR'!A:K,8,FALSE)</f>
        <v>Purchase Order-Blr</v>
      </c>
      <c r="N217" t="s">
        <v>36</v>
      </c>
      <c r="P217" s="2">
        <v>6</v>
      </c>
    </row>
    <row r="218" s="2" customFormat="1" spans="1:16">
      <c r="A218" s="8"/>
      <c r="B218" s="9" t="s">
        <v>612</v>
      </c>
      <c r="C218" s="10" t="s">
        <v>61</v>
      </c>
      <c r="D218" s="11">
        <v>1</v>
      </c>
      <c r="E218" s="12">
        <v>8960</v>
      </c>
      <c r="F218" s="13">
        <v>8960</v>
      </c>
      <c r="G218" s="2">
        <f>VLOOKUP(B218,'PO with created By ASR'!A:C,3,FALSE)</f>
        <v>45665</v>
      </c>
      <c r="J218" s="2" t="str">
        <f>VLOOKUP(B218,'PO with created By ASR'!A:G,4,FALSE)</f>
        <v>Raj Latotra  -CR
</v>
      </c>
      <c r="K218" s="2" t="e">
        <f>VLOOKUP(B218,'PO with created By ASR'!A:I,6,FALSE)</f>
        <v>#N/A</v>
      </c>
      <c r="L218" s="2" t="str">
        <f>VLOOKUP(B218,'PO with created By ASR'!A:J,7,FALSE)</f>
        <v>B - Bangalore</v>
      </c>
      <c r="M218" s="2" t="str">
        <f>VLOOKUP(B218,'PO with created By ASR'!A:K,8,FALSE)</f>
        <v>Purchase Order-Blr</v>
      </c>
      <c r="N218" t="s">
        <v>36</v>
      </c>
      <c r="P218" s="2">
        <v>6</v>
      </c>
    </row>
    <row r="219" s="2" customFormat="1" spans="1:16">
      <c r="A219" s="8"/>
      <c r="B219" s="9" t="s">
        <v>612</v>
      </c>
      <c r="C219" s="10" t="s">
        <v>412</v>
      </c>
      <c r="D219" s="11">
        <v>1</v>
      </c>
      <c r="E219" s="12">
        <v>1335</v>
      </c>
      <c r="F219" s="13">
        <v>1335</v>
      </c>
      <c r="G219" s="2">
        <f>VLOOKUP(B219,'PO with created By ASR'!A:C,3,FALSE)</f>
        <v>45665</v>
      </c>
      <c r="J219" s="2" t="str">
        <f>VLOOKUP(B219,'PO with created By ASR'!A:G,4,FALSE)</f>
        <v>Raj Latotra  -CR
</v>
      </c>
      <c r="K219" s="2" t="e">
        <f>VLOOKUP(B219,'PO with created By ASR'!A:I,6,FALSE)</f>
        <v>#N/A</v>
      </c>
      <c r="L219" s="2" t="str">
        <f>VLOOKUP(B219,'PO with created By ASR'!A:J,7,FALSE)</f>
        <v>B - Bangalore</v>
      </c>
      <c r="M219" s="2" t="str">
        <f>VLOOKUP(B219,'PO with created By ASR'!A:K,8,FALSE)</f>
        <v>Purchase Order-Blr</v>
      </c>
      <c r="N219" t="s">
        <v>36</v>
      </c>
      <c r="P219" s="2">
        <v>6</v>
      </c>
    </row>
    <row r="220" s="2" customFormat="1" spans="1:16">
      <c r="A220" s="8"/>
      <c r="B220" s="9" t="s">
        <v>615</v>
      </c>
      <c r="C220" s="10" t="s">
        <v>126</v>
      </c>
      <c r="D220" s="11">
        <v>1</v>
      </c>
      <c r="E220" s="12">
        <v>2180</v>
      </c>
      <c r="F220" s="13">
        <v>2180</v>
      </c>
      <c r="G220" s="2">
        <f>VLOOKUP(B220,'PO with created By ASR'!A:C,3,FALSE)</f>
        <v>45665</v>
      </c>
      <c r="J220" s="2" t="str">
        <f>VLOOKUP(B220,'PO with created By ASR'!A:G,4,FALSE)</f>
        <v>Sathya Kumar S -CR</v>
      </c>
      <c r="K220" s="2" t="e">
        <f>VLOOKUP(B220,'PO with created By ASR'!A:I,6,FALSE)</f>
        <v>#N/A</v>
      </c>
      <c r="L220" s="2" t="str">
        <f>VLOOKUP(B220,'PO with created By ASR'!A:J,7,FALSE)</f>
        <v>B - Bangalore</v>
      </c>
      <c r="M220" s="2" t="str">
        <f>VLOOKUP(B220,'PO with created By ASR'!A:K,8,FALSE)</f>
        <v>Purchase Order-Blr</v>
      </c>
      <c r="N220" t="s">
        <v>36</v>
      </c>
      <c r="P220" s="2">
        <v>6</v>
      </c>
    </row>
    <row r="221" s="2" customFormat="1" spans="1:16">
      <c r="A221" s="8"/>
      <c r="B221" s="9" t="s">
        <v>615</v>
      </c>
      <c r="C221" s="10" t="s">
        <v>1055</v>
      </c>
      <c r="D221" s="11">
        <v>1</v>
      </c>
      <c r="E221" s="12">
        <v>5050</v>
      </c>
      <c r="F221" s="13">
        <v>5050</v>
      </c>
      <c r="G221" s="2">
        <f>VLOOKUP(B221,'PO with created By ASR'!A:C,3,FALSE)</f>
        <v>45665</v>
      </c>
      <c r="J221" s="2" t="str">
        <f>VLOOKUP(B221,'PO with created By ASR'!A:G,4,FALSE)</f>
        <v>Sathya Kumar S -CR</v>
      </c>
      <c r="K221" s="2" t="e">
        <f>VLOOKUP(B221,'PO with created By ASR'!A:I,6,FALSE)</f>
        <v>#N/A</v>
      </c>
      <c r="L221" s="2" t="str">
        <f>VLOOKUP(B221,'PO with created By ASR'!A:J,7,FALSE)</f>
        <v>B - Bangalore</v>
      </c>
      <c r="M221" s="2" t="str">
        <f>VLOOKUP(B221,'PO with created By ASR'!A:K,8,FALSE)</f>
        <v>Purchase Order-Blr</v>
      </c>
      <c r="N221" t="s">
        <v>36</v>
      </c>
      <c r="P221" s="2">
        <v>6</v>
      </c>
    </row>
    <row r="222" s="2" customFormat="1" spans="1:16">
      <c r="A222" s="8"/>
      <c r="B222" s="9" t="s">
        <v>615</v>
      </c>
      <c r="C222" s="10" t="s">
        <v>127</v>
      </c>
      <c r="D222" s="11">
        <v>1</v>
      </c>
      <c r="E222" s="12">
        <v>2060</v>
      </c>
      <c r="F222" s="13">
        <v>2060</v>
      </c>
      <c r="G222" s="2">
        <f>VLOOKUP(B222,'PO with created By ASR'!A:C,3,FALSE)</f>
        <v>45665</v>
      </c>
      <c r="J222" s="2" t="str">
        <f>VLOOKUP(B222,'PO with created By ASR'!A:G,4,FALSE)</f>
        <v>Sathya Kumar S -CR</v>
      </c>
      <c r="K222" s="2" t="e">
        <f>VLOOKUP(B222,'PO with created By ASR'!A:I,6,FALSE)</f>
        <v>#N/A</v>
      </c>
      <c r="L222" s="2" t="str">
        <f>VLOOKUP(B222,'PO with created By ASR'!A:J,7,FALSE)</f>
        <v>B - Bangalore</v>
      </c>
      <c r="M222" s="2" t="str">
        <f>VLOOKUP(B222,'PO with created By ASR'!A:K,8,FALSE)</f>
        <v>Purchase Order-Blr</v>
      </c>
      <c r="N222" t="s">
        <v>36</v>
      </c>
      <c r="P222" s="2">
        <v>6</v>
      </c>
    </row>
    <row r="223" s="2" customFormat="1" spans="1:16">
      <c r="A223" s="8"/>
      <c r="B223" s="9" t="s">
        <v>617</v>
      </c>
      <c r="C223" s="10" t="s">
        <v>126</v>
      </c>
      <c r="D223" s="11">
        <v>1</v>
      </c>
      <c r="E223" s="12">
        <v>251</v>
      </c>
      <c r="F223" s="13">
        <v>251</v>
      </c>
      <c r="G223" s="2">
        <f>VLOOKUP(B223,'PO with created By ASR'!A:C,3,FALSE)</f>
        <v>45665</v>
      </c>
      <c r="J223" s="2" t="str">
        <f>VLOOKUP(B223,'PO with created By ASR'!A:G,4,FALSE)</f>
        <v>Arun Kumar M  -CR</v>
      </c>
      <c r="K223" s="2" t="e">
        <f>VLOOKUP(B223,'PO with created By ASR'!A:I,6,FALSE)</f>
        <v>#N/A</v>
      </c>
      <c r="L223" s="2" t="str">
        <f>VLOOKUP(B223,'PO with created By ASR'!A:J,7,FALSE)</f>
        <v>B - Bangalore</v>
      </c>
      <c r="M223" s="2" t="str">
        <f>VLOOKUP(B223,'PO with created By ASR'!A:K,8,FALSE)</f>
        <v>Purchase Order-Blr</v>
      </c>
      <c r="N223" t="s">
        <v>36</v>
      </c>
      <c r="P223" s="2">
        <v>6</v>
      </c>
    </row>
    <row r="224" s="2" customFormat="1" spans="1:16">
      <c r="A224" s="8"/>
      <c r="B224" s="9" t="s">
        <v>617</v>
      </c>
      <c r="C224" s="10" t="s">
        <v>412</v>
      </c>
      <c r="D224" s="11">
        <v>1</v>
      </c>
      <c r="E224" s="12">
        <v>470</v>
      </c>
      <c r="F224" s="13">
        <v>470</v>
      </c>
      <c r="G224" s="2">
        <f>VLOOKUP(B224,'PO with created By ASR'!A:C,3,FALSE)</f>
        <v>45665</v>
      </c>
      <c r="J224" s="2" t="str">
        <f>VLOOKUP(B224,'PO with created By ASR'!A:G,4,FALSE)</f>
        <v>Arun Kumar M  -CR</v>
      </c>
      <c r="K224" s="2" t="e">
        <f>VLOOKUP(B224,'PO with created By ASR'!A:I,6,FALSE)</f>
        <v>#N/A</v>
      </c>
      <c r="L224" s="2" t="str">
        <f>VLOOKUP(B224,'PO with created By ASR'!A:J,7,FALSE)</f>
        <v>B - Bangalore</v>
      </c>
      <c r="M224" s="2" t="str">
        <f>VLOOKUP(B224,'PO with created By ASR'!A:K,8,FALSE)</f>
        <v>Purchase Order-Blr</v>
      </c>
      <c r="N224" t="s">
        <v>36</v>
      </c>
      <c r="P224" s="2">
        <v>6</v>
      </c>
    </row>
    <row r="225" s="2" customFormat="1" spans="1:16">
      <c r="A225" s="8"/>
      <c r="B225" s="9" t="s">
        <v>617</v>
      </c>
      <c r="C225" s="10" t="s">
        <v>1055</v>
      </c>
      <c r="D225" s="11">
        <v>1</v>
      </c>
      <c r="E225" s="12">
        <v>288</v>
      </c>
      <c r="F225" s="13">
        <v>288</v>
      </c>
      <c r="G225" s="2">
        <f>VLOOKUP(B225,'PO with created By ASR'!A:C,3,FALSE)</f>
        <v>45665</v>
      </c>
      <c r="J225" s="2" t="str">
        <f>VLOOKUP(B225,'PO with created By ASR'!A:G,4,FALSE)</f>
        <v>Arun Kumar M  -CR</v>
      </c>
      <c r="K225" s="2" t="e">
        <f>VLOOKUP(B225,'PO with created By ASR'!A:I,6,FALSE)</f>
        <v>#N/A</v>
      </c>
      <c r="L225" s="2" t="str">
        <f>VLOOKUP(B225,'PO with created By ASR'!A:J,7,FALSE)</f>
        <v>B - Bangalore</v>
      </c>
      <c r="M225" s="2" t="str">
        <f>VLOOKUP(B225,'PO with created By ASR'!A:K,8,FALSE)</f>
        <v>Purchase Order-Blr</v>
      </c>
      <c r="N225" t="s">
        <v>36</v>
      </c>
      <c r="P225" s="2">
        <v>6</v>
      </c>
    </row>
    <row r="226" s="2" customFormat="1" spans="1:16">
      <c r="A226" s="8"/>
      <c r="B226" s="9" t="s">
        <v>619</v>
      </c>
      <c r="C226" s="10" t="s">
        <v>151</v>
      </c>
      <c r="D226" s="11">
        <v>1</v>
      </c>
      <c r="E226" s="12">
        <v>130000</v>
      </c>
      <c r="F226" s="13">
        <v>130000</v>
      </c>
      <c r="G226" s="2">
        <f>VLOOKUP(B226,'PO with created By ASR'!A:C,3,FALSE)</f>
        <v>45665</v>
      </c>
      <c r="J226" s="2" t="str">
        <f>VLOOKUP(B226,'PO with created By ASR'!A:G,4,FALSE)</f>
        <v>Jay Jagannath Samal Event Production-Blr</v>
      </c>
      <c r="K226" s="2" t="str">
        <f>VLOOKUP(B226,'PO with created By ASR'!A:I,6,FALSE)</f>
        <v>12049 Jay Jagannath Samal Event Production</v>
      </c>
      <c r="L226" s="2" t="str">
        <f>VLOOKUP(B226,'PO with created By ASR'!A:J,7,FALSE)</f>
        <v>B - Bangalore</v>
      </c>
      <c r="M226" s="2" t="str">
        <f>VLOOKUP(B226,'PO with created By ASR'!A:K,8,FALSE)</f>
        <v>Purchase Order-Blr</v>
      </c>
      <c r="N226" t="s">
        <v>36</v>
      </c>
      <c r="P226" s="2">
        <v>6</v>
      </c>
    </row>
    <row r="227" s="2" customFormat="1" spans="1:16">
      <c r="A227" s="8"/>
      <c r="B227" s="9" t="s">
        <v>624</v>
      </c>
      <c r="C227" s="10" t="s">
        <v>196</v>
      </c>
      <c r="D227" s="11">
        <v>1</v>
      </c>
      <c r="E227" s="12">
        <v>7000</v>
      </c>
      <c r="F227" s="13">
        <v>7000</v>
      </c>
      <c r="G227" s="2">
        <f>VLOOKUP(B227,'PO with created By ASR'!A:C,3,FALSE)</f>
        <v>45665</v>
      </c>
      <c r="J227" s="2" t="str">
        <f>VLOOKUP(B227,'PO with created By ASR'!A:G,4,FALSE)</f>
        <v>Pixels2Print-Blr</v>
      </c>
      <c r="K227" s="2" t="e">
        <f>VLOOKUP(B227,'PO with created By ASR'!A:I,6,FALSE)</f>
        <v>#N/A</v>
      </c>
      <c r="L227" s="2" t="str">
        <f>VLOOKUP(B227,'PO with created By ASR'!A:J,7,FALSE)</f>
        <v>B - Bangalore</v>
      </c>
      <c r="M227" s="2" t="str">
        <f>VLOOKUP(B227,'PO with created By ASR'!A:K,8,FALSE)</f>
        <v>Purchase Order-Blr</v>
      </c>
      <c r="N227" t="s">
        <v>36</v>
      </c>
      <c r="P227" s="2">
        <v>6</v>
      </c>
    </row>
    <row r="228" s="2" customFormat="1" spans="1:16">
      <c r="A228" s="8"/>
      <c r="B228" s="9" t="s">
        <v>627</v>
      </c>
      <c r="C228" s="10" t="s">
        <v>196</v>
      </c>
      <c r="D228" s="11">
        <v>1</v>
      </c>
      <c r="E228" s="12">
        <v>2135</v>
      </c>
      <c r="F228" s="13">
        <v>2135</v>
      </c>
      <c r="G228" s="2">
        <f>VLOOKUP(B228,'PO with created By ASR'!A:C,3,FALSE)</f>
        <v>45665</v>
      </c>
      <c r="J228" s="2" t="str">
        <f>VLOOKUP(B228,'PO with created By ASR'!A:G,4,FALSE)</f>
        <v>New Print House-Blr</v>
      </c>
      <c r="K228" s="2" t="str">
        <f>VLOOKUP(B228,'PO with created By ASR'!A:I,6,FALSE)</f>
        <v>12196 New Print House</v>
      </c>
      <c r="L228" s="2" t="str">
        <f>VLOOKUP(B228,'PO with created By ASR'!A:J,7,FALSE)</f>
        <v>B - Bangalore</v>
      </c>
      <c r="M228" s="2" t="str">
        <f>VLOOKUP(B228,'PO with created By ASR'!A:K,8,FALSE)</f>
        <v>Purchase Order-Blr</v>
      </c>
      <c r="N228" t="s">
        <v>36</v>
      </c>
      <c r="P228" s="2">
        <v>6</v>
      </c>
    </row>
    <row r="229" s="2" customFormat="1" spans="1:16">
      <c r="A229" s="8"/>
      <c r="B229" s="9" t="s">
        <v>627</v>
      </c>
      <c r="C229" s="10" t="s">
        <v>196</v>
      </c>
      <c r="D229" s="11">
        <v>1</v>
      </c>
      <c r="E229" s="12">
        <v>1692</v>
      </c>
      <c r="F229" s="13">
        <v>1692</v>
      </c>
      <c r="G229" s="2">
        <f>VLOOKUP(B229,'PO with created By ASR'!A:C,3,FALSE)</f>
        <v>45665</v>
      </c>
      <c r="J229" s="2" t="str">
        <f>VLOOKUP(B229,'PO with created By ASR'!A:G,4,FALSE)</f>
        <v>New Print House-Blr</v>
      </c>
      <c r="K229" s="2" t="str">
        <f>VLOOKUP(B229,'PO with created By ASR'!A:I,6,FALSE)</f>
        <v>12196 New Print House</v>
      </c>
      <c r="L229" s="2" t="str">
        <f>VLOOKUP(B229,'PO with created By ASR'!A:J,7,FALSE)</f>
        <v>B - Bangalore</v>
      </c>
      <c r="M229" s="2" t="str">
        <f>VLOOKUP(B229,'PO with created By ASR'!A:K,8,FALSE)</f>
        <v>Purchase Order-Blr</v>
      </c>
      <c r="N229" t="s">
        <v>36</v>
      </c>
      <c r="P229" s="2">
        <v>6</v>
      </c>
    </row>
    <row r="230" s="2" customFormat="1" spans="1:16">
      <c r="A230" s="8"/>
      <c r="B230" s="9" t="s">
        <v>631</v>
      </c>
      <c r="C230" s="10" t="s">
        <v>371</v>
      </c>
      <c r="D230" s="11">
        <v>1</v>
      </c>
      <c r="E230" s="12">
        <v>50000</v>
      </c>
      <c r="F230" s="13">
        <v>50000</v>
      </c>
      <c r="G230" s="2">
        <f>VLOOKUP(B230,'PO with created By ASR'!A:C,3,FALSE)</f>
        <v>45665</v>
      </c>
      <c r="J230" s="2" t="str">
        <f>VLOOKUP(B230,'PO with created By ASR'!A:G,4,FALSE)</f>
        <v>Event Life-Blr</v>
      </c>
      <c r="K230" s="2" t="str">
        <f>VLOOKUP(B230,'PO with created By ASR'!A:I,6,FALSE)</f>
        <v>11892 Event Life</v>
      </c>
      <c r="L230" s="2" t="str">
        <f>VLOOKUP(B230,'PO with created By ASR'!A:J,7,FALSE)</f>
        <v>B - Bangalore</v>
      </c>
      <c r="M230" s="2" t="str">
        <f>VLOOKUP(B230,'PO with created By ASR'!A:K,8,FALSE)</f>
        <v>Purchase Order-Blr</v>
      </c>
      <c r="N230" t="s">
        <v>36</v>
      </c>
      <c r="P230" s="2">
        <v>6</v>
      </c>
    </row>
    <row r="231" s="2" customFormat="1" spans="1:16">
      <c r="A231" s="8"/>
      <c r="B231" s="9" t="s">
        <v>634</v>
      </c>
      <c r="C231" s="10" t="s">
        <v>371</v>
      </c>
      <c r="D231" s="11">
        <v>1</v>
      </c>
      <c r="E231" s="12">
        <v>36000</v>
      </c>
      <c r="F231" s="13">
        <v>36000</v>
      </c>
      <c r="G231" s="2">
        <f>VLOOKUP(B231,'PO with created By ASR'!A:C,3,FALSE)</f>
        <v>45665</v>
      </c>
      <c r="J231" s="2" t="str">
        <f>VLOOKUP(B231,'PO with created By ASR'!A:G,4,FALSE)</f>
        <v>Ashik Mobile Generator-Blr</v>
      </c>
      <c r="K231" s="2" t="str">
        <f>VLOOKUP(B231,'PO with created By ASR'!A:I,6,FALSE)</f>
        <v>11685 Ashik Mobile Generator</v>
      </c>
      <c r="L231" s="2" t="str">
        <f>VLOOKUP(B231,'PO with created By ASR'!A:J,7,FALSE)</f>
        <v>B - Bangalore</v>
      </c>
      <c r="M231" s="2" t="str">
        <f>VLOOKUP(B231,'PO with created By ASR'!A:K,8,FALSE)</f>
        <v>Purchase Order-Blr</v>
      </c>
      <c r="N231" t="s">
        <v>36</v>
      </c>
      <c r="P231" s="2">
        <v>6</v>
      </c>
    </row>
    <row r="232" s="2" customFormat="1" spans="1:16">
      <c r="A232" s="8"/>
      <c r="B232" s="9" t="s">
        <v>637</v>
      </c>
      <c r="C232" s="10" t="s">
        <v>250</v>
      </c>
      <c r="D232" s="11">
        <v>1</v>
      </c>
      <c r="E232" s="12">
        <v>22000</v>
      </c>
      <c r="F232" s="13">
        <v>22000</v>
      </c>
      <c r="G232" s="2">
        <f>VLOOKUP(B232,'PO with created By ASR'!A:C,3,FALSE)</f>
        <v>45665</v>
      </c>
      <c r="J232" s="2" t="str">
        <f>VLOOKUP(B232,'PO with created By ASR'!A:G,4,FALSE)</f>
        <v>Jehovasoft Pvt Ltd-Blr</v>
      </c>
      <c r="K232" s="2" t="str">
        <f>VLOOKUP(B232,'PO with created By ASR'!A:I,6,FALSE)</f>
        <v>12053  Jehovasoft Pvt Ltd</v>
      </c>
      <c r="L232" s="2" t="str">
        <f>VLOOKUP(B232,'PO with created By ASR'!A:J,7,FALSE)</f>
        <v>B - Bangalore</v>
      </c>
      <c r="M232" s="2" t="str">
        <f>VLOOKUP(B232,'PO with created By ASR'!A:K,8,FALSE)</f>
        <v>Purchase Order-Blr</v>
      </c>
      <c r="N232" t="s">
        <v>36</v>
      </c>
      <c r="P232" s="2">
        <v>6</v>
      </c>
    </row>
    <row r="233" s="2" customFormat="1" spans="1:16">
      <c r="A233" s="8"/>
      <c r="B233" s="9" t="s">
        <v>640</v>
      </c>
      <c r="C233" s="10" t="s">
        <v>401</v>
      </c>
      <c r="D233" s="11">
        <v>1</v>
      </c>
      <c r="E233" s="12">
        <v>8500</v>
      </c>
      <c r="F233" s="13">
        <v>8500</v>
      </c>
      <c r="G233" s="2">
        <f>VLOOKUP(B233,'PO with created By ASR'!A:C,3,FALSE)</f>
        <v>45665</v>
      </c>
      <c r="J233" s="2" t="str">
        <f>VLOOKUP(B233,'PO with created By ASR'!A:G,4,FALSE)</f>
        <v>VSFE Events LLP-Blr</v>
      </c>
      <c r="K233" s="2" t="str">
        <f>VLOOKUP(B233,'PO with created By ASR'!A:I,6,FALSE)</f>
        <v>12612 VSFE Events LLP</v>
      </c>
      <c r="L233" s="2" t="str">
        <f>VLOOKUP(B233,'PO with created By ASR'!A:J,7,FALSE)</f>
        <v>B - Bangalore</v>
      </c>
      <c r="M233" s="2" t="str">
        <f>VLOOKUP(B233,'PO with created By ASR'!A:K,8,FALSE)</f>
        <v>Purchase Order-Blr</v>
      </c>
      <c r="N233" t="s">
        <v>36</v>
      </c>
      <c r="P233" s="2">
        <v>6</v>
      </c>
    </row>
    <row r="234" s="2" customFormat="1" spans="1:16">
      <c r="A234" s="8"/>
      <c r="B234" s="9" t="s">
        <v>643</v>
      </c>
      <c r="C234" s="10" t="s">
        <v>292</v>
      </c>
      <c r="D234" s="11">
        <v>1</v>
      </c>
      <c r="E234" s="12">
        <v>3500</v>
      </c>
      <c r="F234" s="13">
        <v>3500</v>
      </c>
      <c r="G234" s="2">
        <f>VLOOKUP(B234,'PO with created By ASR'!A:C,3,FALSE)</f>
        <v>45665</v>
      </c>
      <c r="J234" s="2" t="str">
        <f>VLOOKUP(B234,'PO with created By ASR'!A:G,4,FALSE)</f>
        <v>Blue Gem Entertainment and Events-Blr</v>
      </c>
      <c r="K234" s="2" t="str">
        <f>VLOOKUP(B234,'PO with created By ASR'!A:I,6,FALSE)</f>
        <v>11737 Blue Gem Entertainment and Events</v>
      </c>
      <c r="L234" s="2" t="str">
        <f>VLOOKUP(B234,'PO with created By ASR'!A:J,7,FALSE)</f>
        <v>B - Bangalore</v>
      </c>
      <c r="M234" s="2" t="str">
        <f>VLOOKUP(B234,'PO with created By ASR'!A:K,8,FALSE)</f>
        <v>Purchase Order-Blr</v>
      </c>
      <c r="N234" t="s">
        <v>36</v>
      </c>
      <c r="P234" s="2">
        <v>6</v>
      </c>
    </row>
    <row r="235" s="2" customFormat="1" spans="1:16">
      <c r="A235" s="8"/>
      <c r="B235" s="9" t="s">
        <v>646</v>
      </c>
      <c r="C235" s="10" t="s">
        <v>250</v>
      </c>
      <c r="D235" s="11">
        <v>1</v>
      </c>
      <c r="E235" s="12">
        <v>4500</v>
      </c>
      <c r="F235" s="13">
        <v>4500</v>
      </c>
      <c r="G235" s="2">
        <f>VLOOKUP(B235,'PO with created By ASR'!A:C,3,FALSE)</f>
        <v>45665</v>
      </c>
      <c r="J235" s="2" t="str">
        <f>VLOOKUP(B235,'PO with created By ASR'!A:G,4,FALSE)</f>
        <v>Harshitha N-Blr</v>
      </c>
      <c r="K235" s="2" t="str">
        <f>VLOOKUP(B235,'PO with created By ASR'!A:I,6,FALSE)</f>
        <v>10661 Harshitha N</v>
      </c>
      <c r="L235" s="2" t="str">
        <f>VLOOKUP(B235,'PO with created By ASR'!A:J,7,FALSE)</f>
        <v>B - Bangalore</v>
      </c>
      <c r="M235" s="2" t="str">
        <f>VLOOKUP(B235,'PO with created By ASR'!A:K,8,FALSE)</f>
        <v>Purchase Order-Blr</v>
      </c>
      <c r="N235" t="s">
        <v>36</v>
      </c>
      <c r="P235" s="2">
        <v>6</v>
      </c>
    </row>
    <row r="236" s="2" customFormat="1" spans="1:16">
      <c r="A236" s="8"/>
      <c r="B236" s="9" t="s">
        <v>651</v>
      </c>
      <c r="C236" s="10" t="s">
        <v>250</v>
      </c>
      <c r="D236" s="11">
        <v>1</v>
      </c>
      <c r="E236" s="12">
        <v>40000</v>
      </c>
      <c r="F236" s="13">
        <v>40000</v>
      </c>
      <c r="G236" s="2">
        <f>VLOOKUP(B236,'PO with created By ASR'!A:C,3,FALSE)</f>
        <v>45665</v>
      </c>
      <c r="J236" s="2" t="str">
        <f>VLOOKUP(B236,'PO with created By ASR'!A:G,4,FALSE)</f>
        <v>Kunal Sharma-Del</v>
      </c>
      <c r="K236" s="2" t="str">
        <f>VLOOKUP(B236,'PO with created By ASR'!A:I,6,FALSE)</f>
        <v>10719 Kunal Sharma</v>
      </c>
      <c r="L236" s="2" t="str">
        <f>VLOOKUP(B236,'PO with created By ASR'!A:J,7,FALSE)</f>
        <v>D - Delhi</v>
      </c>
      <c r="M236" s="2" t="str">
        <f>VLOOKUP(B236,'PO with created By ASR'!A:K,8,FALSE)</f>
        <v>Purchase Order-Del</v>
      </c>
      <c r="N236" t="s">
        <v>36</v>
      </c>
      <c r="P236" s="2">
        <v>6</v>
      </c>
    </row>
    <row r="237" s="2" customFormat="1" spans="1:16">
      <c r="A237" s="8"/>
      <c r="B237" s="9" t="s">
        <v>654</v>
      </c>
      <c r="C237" s="10" t="s">
        <v>401</v>
      </c>
      <c r="D237" s="11">
        <v>1</v>
      </c>
      <c r="E237" s="12">
        <v>250000</v>
      </c>
      <c r="F237" s="13">
        <v>250000</v>
      </c>
      <c r="G237" s="2">
        <f>VLOOKUP(B237,'PO with created By ASR'!A:C,3,FALSE)</f>
        <v>45665</v>
      </c>
      <c r="J237" s="2" t="str">
        <f>VLOOKUP(B237,'PO with created By ASR'!A:G,4,FALSE)</f>
        <v>Bodhi Tree Entertainment-Del</v>
      </c>
      <c r="K237" s="2" t="str">
        <f>VLOOKUP(B237,'PO with created By ASR'!A:I,6,FALSE)</f>
        <v>11741 Bodhi Tree Entertainment</v>
      </c>
      <c r="L237" s="2" t="str">
        <f>VLOOKUP(B237,'PO with created By ASR'!A:J,7,FALSE)</f>
        <v>D - Delhi</v>
      </c>
      <c r="M237" s="2" t="str">
        <f>VLOOKUP(B237,'PO with created By ASR'!A:K,8,FALSE)</f>
        <v>Purchase Order-Del</v>
      </c>
      <c r="N237" t="s">
        <v>36</v>
      </c>
      <c r="P237" s="2">
        <v>6</v>
      </c>
    </row>
    <row r="238" s="2" customFormat="1" spans="1:16">
      <c r="A238" s="8"/>
      <c r="B238" s="9" t="s">
        <v>655</v>
      </c>
      <c r="C238" s="10" t="s">
        <v>151</v>
      </c>
      <c r="D238" s="11">
        <v>1</v>
      </c>
      <c r="E238" s="12">
        <v>950000</v>
      </c>
      <c r="F238" s="13">
        <v>950000</v>
      </c>
      <c r="G238" s="2">
        <f>VLOOKUP(B238,'PO with created By ASR'!A:C,3,FALSE)</f>
        <v>45665</v>
      </c>
      <c r="J238" s="2" t="str">
        <f>VLOOKUP(B238,'PO with created By ASR'!A:G,4,FALSE)</f>
        <v>Dream Factory Pvt. Ltd.-Del</v>
      </c>
      <c r="K238" s="2" t="e">
        <f>VLOOKUP(B238,'PO with created By ASR'!A:I,6,FALSE)</f>
        <v>#N/A</v>
      </c>
      <c r="L238" s="2" t="str">
        <f>VLOOKUP(B238,'PO with created By ASR'!A:J,7,FALSE)</f>
        <v>D - Delhi</v>
      </c>
      <c r="M238" s="2" t="str">
        <f>VLOOKUP(B238,'PO with created By ASR'!A:K,8,FALSE)</f>
        <v>Purchase Order-Del</v>
      </c>
      <c r="N238" t="s">
        <v>36</v>
      </c>
      <c r="P238" s="2">
        <v>6</v>
      </c>
    </row>
    <row r="239" s="2" customFormat="1" spans="1:16">
      <c r="A239" s="8"/>
      <c r="B239" s="9" t="s">
        <v>656</v>
      </c>
      <c r="C239" s="10" t="s">
        <v>347</v>
      </c>
      <c r="D239" s="11">
        <v>1</v>
      </c>
      <c r="E239" s="12">
        <v>300000</v>
      </c>
      <c r="F239" s="13">
        <v>300000</v>
      </c>
      <c r="G239" s="2">
        <f>VLOOKUP(B239,'PO with created By ASR'!A:C,3,FALSE)</f>
        <v>45665</v>
      </c>
      <c r="J239" s="2" t="str">
        <f>VLOOKUP(B239,'PO with created By ASR'!A:G,4,FALSE)</f>
        <v>TBI Consulting Pvt Ltd-Del</v>
      </c>
      <c r="K239" s="2" t="str">
        <f>VLOOKUP(B239,'PO with created By ASR'!A:I,6,FALSE)</f>
        <v>12490  TBI Consulting Pvt Ltd</v>
      </c>
      <c r="L239" s="2" t="str">
        <f>VLOOKUP(B239,'PO with created By ASR'!A:J,7,FALSE)</f>
        <v>D - Delhi</v>
      </c>
      <c r="M239" s="2" t="str">
        <f>VLOOKUP(B239,'PO with created By ASR'!A:K,8,FALSE)</f>
        <v>Purchase Order-Del</v>
      </c>
      <c r="N239" t="s">
        <v>36</v>
      </c>
      <c r="P239" s="2">
        <v>6</v>
      </c>
    </row>
    <row r="240" s="2" customFormat="1" spans="1:16">
      <c r="A240" s="8"/>
      <c r="B240" s="9" t="s">
        <v>659</v>
      </c>
      <c r="C240" s="10" t="s">
        <v>233</v>
      </c>
      <c r="D240" s="11">
        <v>1</v>
      </c>
      <c r="E240" s="12">
        <v>200000</v>
      </c>
      <c r="F240" s="13">
        <v>200000</v>
      </c>
      <c r="G240" s="2">
        <f>VLOOKUP(B240,'PO with created By ASR'!A:C,3,FALSE)</f>
        <v>45665</v>
      </c>
      <c r="J240" s="2" t="str">
        <f>VLOOKUP(B240,'PO with created By ASR'!A:G,4,FALSE)</f>
        <v>Atthah Info Media Pvt Ltd-Del</v>
      </c>
      <c r="K240" s="2" t="str">
        <f>VLOOKUP(B240,'PO with created By ASR'!A:I,6,FALSE)</f>
        <v>11692  Atthah Info Media Pvt Ltd</v>
      </c>
      <c r="L240" s="2" t="str">
        <f>VLOOKUP(B240,'PO with created By ASR'!A:J,7,FALSE)</f>
        <v>D - Delhi</v>
      </c>
      <c r="M240" s="2" t="str">
        <f>VLOOKUP(B240,'PO with created By ASR'!A:K,8,FALSE)</f>
        <v>Purchase Order-Del</v>
      </c>
      <c r="N240" t="s">
        <v>36</v>
      </c>
      <c r="P240" s="2">
        <v>6</v>
      </c>
    </row>
    <row r="241" s="2" customFormat="1" spans="1:16">
      <c r="A241" s="8"/>
      <c r="B241" s="9" t="s">
        <v>662</v>
      </c>
      <c r="C241" s="10" t="s">
        <v>151</v>
      </c>
      <c r="D241" s="11">
        <v>1</v>
      </c>
      <c r="E241" s="12">
        <v>2250000</v>
      </c>
      <c r="F241" s="13">
        <v>2250000</v>
      </c>
      <c r="G241" s="2">
        <f>VLOOKUP(B241,'PO with created By ASR'!A:C,3,FALSE)</f>
        <v>45665</v>
      </c>
      <c r="J241" s="2" t="str">
        <f>VLOOKUP(B241,'PO with created By ASR'!A:G,4,FALSE)</f>
        <v>The Stage Factory-Del</v>
      </c>
      <c r="K241" s="2" t="str">
        <f>VLOOKUP(B241,'PO with created By ASR'!A:I,6,FALSE)</f>
        <v>12530 The Stage Factory</v>
      </c>
      <c r="L241" s="2" t="str">
        <f>VLOOKUP(B241,'PO with created By ASR'!A:J,7,FALSE)</f>
        <v>D - Delhi</v>
      </c>
      <c r="M241" s="2" t="str">
        <f>VLOOKUP(B241,'PO with created By ASR'!A:K,8,FALSE)</f>
        <v>Purchase Order-Del</v>
      </c>
      <c r="N241" t="s">
        <v>36</v>
      </c>
      <c r="P241" s="2">
        <v>6</v>
      </c>
    </row>
    <row r="242" s="2" customFormat="1" spans="1:16">
      <c r="A242" s="8"/>
      <c r="B242" s="9" t="s">
        <v>665</v>
      </c>
      <c r="C242" s="10" t="s">
        <v>140</v>
      </c>
      <c r="D242" s="11">
        <v>1</v>
      </c>
      <c r="E242" s="12">
        <v>1000000</v>
      </c>
      <c r="F242" s="13">
        <v>1000000</v>
      </c>
      <c r="G242" s="2">
        <f>VLOOKUP(B242,'PO with created By ASR'!A:C,3,FALSE)</f>
        <v>45665</v>
      </c>
      <c r="J242" s="2" t="str">
        <f>VLOOKUP(B242,'PO with created By ASR'!A:G,4,FALSE)</f>
        <v>M &amp; G Associates-Del</v>
      </c>
      <c r="K242" s="2" t="str">
        <f>VLOOKUP(B242,'PO with created By ASR'!A:I,6,FALSE)</f>
        <v>12143 M &amp; G Associates</v>
      </c>
      <c r="L242" s="2" t="str">
        <f>VLOOKUP(B242,'PO with created By ASR'!A:J,7,FALSE)</f>
        <v>D - Delhi</v>
      </c>
      <c r="M242" s="2" t="str">
        <f>VLOOKUP(B242,'PO with created By ASR'!A:K,8,FALSE)</f>
        <v>Purchase Order-Del</v>
      </c>
      <c r="N242" t="s">
        <v>36</v>
      </c>
      <c r="P242" s="2">
        <v>6</v>
      </c>
    </row>
    <row r="243" s="2" customFormat="1" spans="1:16">
      <c r="A243" s="8"/>
      <c r="B243" s="9" t="s">
        <v>668</v>
      </c>
      <c r="C243" s="10" t="s">
        <v>151</v>
      </c>
      <c r="D243" s="11">
        <v>1</v>
      </c>
      <c r="E243" s="12">
        <v>1500000</v>
      </c>
      <c r="F243" s="13">
        <v>1500000</v>
      </c>
      <c r="G243" s="2">
        <f>VLOOKUP(B243,'PO with created By ASR'!A:C,3,FALSE)</f>
        <v>45665</v>
      </c>
      <c r="J243" s="2" t="str">
        <f>VLOOKUP(B243,'PO with created By ASR'!A:G,4,FALSE)</f>
        <v>Clear Span Events Pvt Ltd-Del</v>
      </c>
      <c r="K243" s="2" t="str">
        <f>VLOOKUP(B243,'PO with created By ASR'!A:I,6,FALSE)</f>
        <v>11772  Clear Span Events Pvt Ltd</v>
      </c>
      <c r="L243" s="2" t="str">
        <f>VLOOKUP(B243,'PO with created By ASR'!A:J,7,FALSE)</f>
        <v>D - Delhi</v>
      </c>
      <c r="M243" s="2" t="str">
        <f>VLOOKUP(B243,'PO with created By ASR'!A:K,8,FALSE)</f>
        <v>Purchase Order-Del</v>
      </c>
      <c r="N243" t="s">
        <v>36</v>
      </c>
      <c r="P243" s="2">
        <v>6</v>
      </c>
    </row>
    <row r="244" s="2" customFormat="1" spans="1:16">
      <c r="A244" s="8"/>
      <c r="B244" s="9" t="s">
        <v>671</v>
      </c>
      <c r="C244" s="10" t="s">
        <v>140</v>
      </c>
      <c r="D244" s="11">
        <v>1</v>
      </c>
      <c r="E244" s="12">
        <v>19800</v>
      </c>
      <c r="F244" s="13">
        <v>19800</v>
      </c>
      <c r="G244" s="2">
        <f>VLOOKUP(B244,'PO with created By ASR'!A:C,3,FALSE)</f>
        <v>45665</v>
      </c>
      <c r="J244" s="2" t="str">
        <f>VLOOKUP(B244,'PO with created By ASR'!A:G,4,FALSE)</f>
        <v>Innovative Gifting Solutions-Del</v>
      </c>
      <c r="K244" s="2" t="str">
        <f>VLOOKUP(B244,'PO with created By ASR'!A:I,6,FALSE)</f>
        <v>11264 Innovative Gifting Solutions</v>
      </c>
      <c r="L244" s="2" t="str">
        <f>VLOOKUP(B244,'PO with created By ASR'!A:J,7,FALSE)</f>
        <v>D - Delhi</v>
      </c>
      <c r="M244" s="2" t="str">
        <f>VLOOKUP(B244,'PO with created By ASR'!A:K,8,FALSE)</f>
        <v>Purchase Order-Del</v>
      </c>
      <c r="N244" t="s">
        <v>36</v>
      </c>
      <c r="P244" s="2">
        <v>6</v>
      </c>
    </row>
    <row r="245" s="2" customFormat="1" spans="1:16">
      <c r="A245" s="8"/>
      <c r="B245" s="9" t="s">
        <v>672</v>
      </c>
      <c r="C245" s="10" t="s">
        <v>196</v>
      </c>
      <c r="D245" s="11">
        <v>1</v>
      </c>
      <c r="E245" s="12">
        <v>10125</v>
      </c>
      <c r="F245" s="13">
        <v>10125</v>
      </c>
      <c r="G245" s="2">
        <f>VLOOKUP(B245,'PO with created By ASR'!A:C,3,FALSE)</f>
        <v>45665</v>
      </c>
      <c r="J245" s="2" t="str">
        <f>VLOOKUP(B245,'PO with created By ASR'!A:G,4,FALSE)</f>
        <v>Innovative Gifting Solutions-Del</v>
      </c>
      <c r="K245" s="2" t="str">
        <f>VLOOKUP(B245,'PO with created By ASR'!A:I,6,FALSE)</f>
        <v>11264 Innovative Gifting Solutions</v>
      </c>
      <c r="L245" s="2" t="str">
        <f>VLOOKUP(B245,'PO with created By ASR'!A:J,7,FALSE)</f>
        <v>D - Delhi</v>
      </c>
      <c r="M245" s="2" t="str">
        <f>VLOOKUP(B245,'PO with created By ASR'!A:K,8,FALSE)</f>
        <v>Purchase Order-Del</v>
      </c>
      <c r="N245" t="s">
        <v>36</v>
      </c>
      <c r="P245" s="2">
        <v>6</v>
      </c>
    </row>
    <row r="246" s="2" customFormat="1" spans="1:16">
      <c r="A246" s="8"/>
      <c r="B246" s="9" t="s">
        <v>673</v>
      </c>
      <c r="C246" s="10" t="s">
        <v>119</v>
      </c>
      <c r="D246" s="11">
        <v>1</v>
      </c>
      <c r="E246" s="12">
        <v>419354</v>
      </c>
      <c r="F246" s="13">
        <v>419354</v>
      </c>
      <c r="G246" s="2">
        <f>VLOOKUP(B246,'PO with created By ASR'!A:C,3,FALSE)</f>
        <v>45665</v>
      </c>
      <c r="J246" s="2" t="str">
        <f>VLOOKUP(B246,'PO with created By ASR'!A:G,4,FALSE)</f>
        <v>Rastey Commuting Services Pvt Ltd-Del</v>
      </c>
      <c r="K246" s="2" t="str">
        <f>VLOOKUP(B246,'PO with created By ASR'!A:I,6,FALSE)</f>
        <v>12319  Rastey Commuting Services Pvt Ltd</v>
      </c>
      <c r="L246" s="2" t="str">
        <f>VLOOKUP(B246,'PO with created By ASR'!A:J,7,FALSE)</f>
        <v>D - Delhi</v>
      </c>
      <c r="M246" s="2" t="str">
        <f>VLOOKUP(B246,'PO with created By ASR'!A:K,8,FALSE)</f>
        <v>Purchase Order-Del</v>
      </c>
      <c r="N246" t="s">
        <v>36</v>
      </c>
      <c r="P246" s="2">
        <v>6</v>
      </c>
    </row>
    <row r="247" s="2" customFormat="1" spans="1:16">
      <c r="A247" s="8"/>
      <c r="B247" s="9" t="s">
        <v>673</v>
      </c>
      <c r="C247" s="10" t="s">
        <v>676</v>
      </c>
      <c r="D247" s="11">
        <v>1</v>
      </c>
      <c r="E247" s="12">
        <v>10483.85</v>
      </c>
      <c r="F247" s="13">
        <v>10483.85</v>
      </c>
      <c r="G247" s="2">
        <f>VLOOKUP(B247,'PO with created By ASR'!A:C,3,FALSE)</f>
        <v>45665</v>
      </c>
      <c r="J247" s="2" t="str">
        <f>VLOOKUP(B247,'PO with created By ASR'!A:G,4,FALSE)</f>
        <v>Rastey Commuting Services Pvt Ltd-Del</v>
      </c>
      <c r="K247" s="2" t="str">
        <f>VLOOKUP(B247,'PO with created By ASR'!A:I,6,FALSE)</f>
        <v>12319  Rastey Commuting Services Pvt Ltd</v>
      </c>
      <c r="L247" s="2" t="str">
        <f>VLOOKUP(B247,'PO with created By ASR'!A:J,7,FALSE)</f>
        <v>D - Delhi</v>
      </c>
      <c r="M247" s="2" t="str">
        <f>VLOOKUP(B247,'PO with created By ASR'!A:K,8,FALSE)</f>
        <v>Purchase Order-Del</v>
      </c>
      <c r="N247" t="s">
        <v>36</v>
      </c>
      <c r="P247" s="2">
        <v>6</v>
      </c>
    </row>
    <row r="248" s="2" customFormat="1" spans="1:16">
      <c r="A248" s="8"/>
      <c r="B248" s="9" t="s">
        <v>673</v>
      </c>
      <c r="C248" s="10" t="s">
        <v>4365</v>
      </c>
      <c r="D248" s="11">
        <v>1</v>
      </c>
      <c r="E248" s="12">
        <v>10483.85</v>
      </c>
      <c r="F248" s="13">
        <v>10483.85</v>
      </c>
      <c r="G248" s="2">
        <f>VLOOKUP(B248,'PO with created By ASR'!A:C,3,FALSE)</f>
        <v>45665</v>
      </c>
      <c r="J248" s="2" t="str">
        <f>VLOOKUP(B248,'PO with created By ASR'!A:G,4,FALSE)</f>
        <v>Rastey Commuting Services Pvt Ltd-Del</v>
      </c>
      <c r="K248" s="2" t="str">
        <f>VLOOKUP(B248,'PO with created By ASR'!A:I,6,FALSE)</f>
        <v>12319  Rastey Commuting Services Pvt Ltd</v>
      </c>
      <c r="L248" s="2" t="str">
        <f>VLOOKUP(B248,'PO with created By ASR'!A:J,7,FALSE)</f>
        <v>D - Delhi</v>
      </c>
      <c r="M248" s="2" t="str">
        <f>VLOOKUP(B248,'PO with created By ASR'!A:K,8,FALSE)</f>
        <v>Purchase Order-Del</v>
      </c>
      <c r="N248" t="s">
        <v>36</v>
      </c>
      <c r="P248" s="2">
        <v>6</v>
      </c>
    </row>
    <row r="249" s="2" customFormat="1" spans="1:16">
      <c r="A249" s="8"/>
      <c r="B249" s="9" t="s">
        <v>677</v>
      </c>
      <c r="C249" s="10" t="s">
        <v>140</v>
      </c>
      <c r="D249" s="11">
        <v>1</v>
      </c>
      <c r="E249" s="12">
        <v>84700</v>
      </c>
      <c r="F249" s="13">
        <v>84700</v>
      </c>
      <c r="G249" s="2">
        <f>VLOOKUP(B249,'PO with created By ASR'!A:C,3,FALSE)</f>
        <v>45665</v>
      </c>
      <c r="J249" s="2" t="str">
        <f>VLOOKUP(B249,'PO with created By ASR'!A:G,4,FALSE)</f>
        <v>Corporate Gift-Del</v>
      </c>
      <c r="K249" s="2" t="str">
        <f>VLOOKUP(B249,'PO with created By ASR'!A:I,6,FALSE)</f>
        <v>11790 Corporate Gift</v>
      </c>
      <c r="L249" s="2" t="str">
        <f>VLOOKUP(B249,'PO with created By ASR'!A:J,7,FALSE)</f>
        <v>D - Delhi</v>
      </c>
      <c r="M249" s="2" t="str">
        <f>VLOOKUP(B249,'PO with created By ASR'!A:K,8,FALSE)</f>
        <v>Purchase Order-Del</v>
      </c>
      <c r="N249" t="s">
        <v>36</v>
      </c>
      <c r="P249" s="2">
        <v>6</v>
      </c>
    </row>
    <row r="250" s="2" customFormat="1" spans="1:16">
      <c r="A250" s="8"/>
      <c r="B250" s="9" t="s">
        <v>680</v>
      </c>
      <c r="C250" s="10" t="s">
        <v>683</v>
      </c>
      <c r="D250" s="11">
        <v>1</v>
      </c>
      <c r="E250" s="12">
        <v>70000</v>
      </c>
      <c r="F250" s="13">
        <v>70000</v>
      </c>
      <c r="G250" s="2">
        <f>VLOOKUP(B250,'PO with created By ASR'!A:C,3,FALSE)</f>
        <v>45665</v>
      </c>
      <c r="J250" s="2" t="str">
        <f>VLOOKUP(B250,'PO with created By ASR'!A:G,4,FALSE)</f>
        <v>Ravi (EOFPR1927Q)-Del</v>
      </c>
      <c r="K250" s="2" t="str">
        <f>VLOOKUP(B250,'PO with created By ASR'!A:I,6,FALSE)</f>
        <v>12715 Ravi (EOFPR1927Q)</v>
      </c>
      <c r="L250" s="2" t="str">
        <f>VLOOKUP(B250,'PO with created By ASR'!A:J,7,FALSE)</f>
        <v>D - Delhi</v>
      </c>
      <c r="M250" s="2" t="str">
        <f>VLOOKUP(B250,'PO with created By ASR'!A:K,8,FALSE)</f>
        <v>Purchase Order-Del</v>
      </c>
      <c r="N250" t="s">
        <v>36</v>
      </c>
      <c r="P250" s="2">
        <v>6</v>
      </c>
    </row>
    <row r="251" s="2" customFormat="1" spans="1:16">
      <c r="A251" s="8"/>
      <c r="B251" s="9" t="s">
        <v>686</v>
      </c>
      <c r="C251" s="10" t="s">
        <v>140</v>
      </c>
      <c r="D251" s="11">
        <v>1</v>
      </c>
      <c r="E251" s="12">
        <v>153000</v>
      </c>
      <c r="F251" s="13">
        <v>153000</v>
      </c>
      <c r="G251" s="2">
        <f>VLOOKUP(B251,'PO with created By ASR'!A:C,3,FALSE)</f>
        <v>45665</v>
      </c>
      <c r="J251" s="2" t="str">
        <f>VLOOKUP(B251,'PO with created By ASR'!A:G,4,FALSE)</f>
        <v>M &amp; G Associates-Del</v>
      </c>
      <c r="K251" s="2" t="str">
        <f>VLOOKUP(B251,'PO with created By ASR'!A:I,6,FALSE)</f>
        <v>12143 M &amp; G Associates</v>
      </c>
      <c r="L251" s="2" t="str">
        <f>VLOOKUP(B251,'PO with created By ASR'!A:J,7,FALSE)</f>
        <v>D - Delhi</v>
      </c>
      <c r="M251" s="2" t="str">
        <f>VLOOKUP(B251,'PO with created By ASR'!A:K,8,FALSE)</f>
        <v>Purchase Order-Del</v>
      </c>
      <c r="N251" t="s">
        <v>36</v>
      </c>
      <c r="P251" s="2">
        <v>6</v>
      </c>
    </row>
    <row r="252" s="2" customFormat="1" spans="1:16">
      <c r="A252" s="8"/>
      <c r="B252" s="9" t="s">
        <v>687</v>
      </c>
      <c r="C252" s="10" t="s">
        <v>196</v>
      </c>
      <c r="D252" s="11">
        <v>1</v>
      </c>
      <c r="E252" s="12">
        <v>18000</v>
      </c>
      <c r="F252" s="13">
        <v>18000</v>
      </c>
      <c r="G252" s="2">
        <f>VLOOKUP(B252,'PO with created By ASR'!A:C,3,FALSE)</f>
        <v>45665</v>
      </c>
      <c r="J252" s="2" t="str">
        <f>VLOOKUP(B252,'PO with created By ASR'!A:G,4,FALSE)</f>
        <v>Inked-Del</v>
      </c>
      <c r="K252" s="2" t="e">
        <f>VLOOKUP(B252,'PO with created By ASR'!A:I,6,FALSE)</f>
        <v>#N/A</v>
      </c>
      <c r="L252" s="2" t="str">
        <f>VLOOKUP(B252,'PO with created By ASR'!A:J,7,FALSE)</f>
        <v>D - Delhi</v>
      </c>
      <c r="M252" s="2" t="str">
        <f>VLOOKUP(B252,'PO with created By ASR'!A:K,8,FALSE)</f>
        <v>Purchase Order-Del</v>
      </c>
      <c r="N252" t="s">
        <v>36</v>
      </c>
      <c r="P252" s="2">
        <v>6</v>
      </c>
    </row>
    <row r="253" s="2" customFormat="1" spans="1:16">
      <c r="A253" s="8"/>
      <c r="B253" s="9" t="s">
        <v>689</v>
      </c>
      <c r="C253" s="10" t="s">
        <v>140</v>
      </c>
      <c r="D253" s="11">
        <v>1</v>
      </c>
      <c r="E253" s="12">
        <v>63000</v>
      </c>
      <c r="F253" s="13">
        <v>63000</v>
      </c>
      <c r="G253" s="2">
        <f>VLOOKUP(B253,'PO with created By ASR'!A:C,3,FALSE)</f>
        <v>45665</v>
      </c>
      <c r="J253" s="2" t="str">
        <f>VLOOKUP(B253,'PO with created By ASR'!A:G,4,FALSE)</f>
        <v>Corporate Gift-Del</v>
      </c>
      <c r="K253" s="2" t="str">
        <f>VLOOKUP(B253,'PO with created By ASR'!A:I,6,FALSE)</f>
        <v>11790 Corporate Gift</v>
      </c>
      <c r="L253" s="2" t="str">
        <f>VLOOKUP(B253,'PO with created By ASR'!A:J,7,FALSE)</f>
        <v>D - Delhi</v>
      </c>
      <c r="M253" s="2" t="str">
        <f>VLOOKUP(B253,'PO with created By ASR'!A:K,8,FALSE)</f>
        <v>Purchase Order-Del</v>
      </c>
      <c r="N253" t="s">
        <v>36</v>
      </c>
      <c r="P253" s="2">
        <v>6</v>
      </c>
    </row>
    <row r="254" s="2" customFormat="1" spans="1:16">
      <c r="A254" s="8"/>
      <c r="B254" s="9" t="s">
        <v>690</v>
      </c>
      <c r="C254" s="10" t="s">
        <v>140</v>
      </c>
      <c r="D254" s="11">
        <v>1</v>
      </c>
      <c r="E254" s="12">
        <v>24000</v>
      </c>
      <c r="F254" s="13">
        <v>24000</v>
      </c>
      <c r="G254" s="2">
        <f>VLOOKUP(B254,'PO with created By ASR'!A:C,3,FALSE)</f>
        <v>45665</v>
      </c>
      <c r="J254" s="2" t="str">
        <f>VLOOKUP(B254,'PO with created By ASR'!A:G,4,FALSE)</f>
        <v>Corporate Gift-Del</v>
      </c>
      <c r="K254" s="2" t="str">
        <f>VLOOKUP(B254,'PO with created By ASR'!A:I,6,FALSE)</f>
        <v>11790 Corporate Gift</v>
      </c>
      <c r="L254" s="2" t="str">
        <f>VLOOKUP(B254,'PO with created By ASR'!A:J,7,FALSE)</f>
        <v>D - Delhi</v>
      </c>
      <c r="M254" s="2" t="str">
        <f>VLOOKUP(B254,'PO with created By ASR'!A:K,8,FALSE)</f>
        <v>Purchase Order-Del</v>
      </c>
      <c r="N254" t="s">
        <v>36</v>
      </c>
      <c r="P254" s="2">
        <v>6</v>
      </c>
    </row>
    <row r="255" s="2" customFormat="1" spans="1:16">
      <c r="A255" s="8"/>
      <c r="B255" s="9" t="s">
        <v>691</v>
      </c>
      <c r="C255" s="10" t="s">
        <v>196</v>
      </c>
      <c r="D255" s="11">
        <v>1</v>
      </c>
      <c r="E255" s="12">
        <v>15300</v>
      </c>
      <c r="F255" s="13">
        <v>15300</v>
      </c>
      <c r="G255" s="2">
        <f>VLOOKUP(B255,'PO with created By ASR'!A:C,3,FALSE)</f>
        <v>45665</v>
      </c>
      <c r="J255" s="2" t="str">
        <f>VLOOKUP(B255,'PO with created By ASR'!A:G,4,FALSE)</f>
        <v>Yolekha Events-Del</v>
      </c>
      <c r="K255" s="2" t="str">
        <f>VLOOKUP(B255,'PO with created By ASR'!A:I,6,FALSE)</f>
        <v>11496 Yolekha Events</v>
      </c>
      <c r="L255" s="2" t="str">
        <f>VLOOKUP(B255,'PO with created By ASR'!A:J,7,FALSE)</f>
        <v>D - Delhi</v>
      </c>
      <c r="M255" s="2" t="str">
        <f>VLOOKUP(B255,'PO with created By ASR'!A:K,8,FALSE)</f>
        <v>Purchase Order-Del</v>
      </c>
      <c r="N255" t="s">
        <v>36</v>
      </c>
      <c r="P255" s="2">
        <v>6</v>
      </c>
    </row>
    <row r="256" s="2" customFormat="1" spans="1:16">
      <c r="A256" s="8"/>
      <c r="B256" s="9" t="s">
        <v>696</v>
      </c>
      <c r="C256" s="10" t="s">
        <v>140</v>
      </c>
      <c r="D256" s="11">
        <v>1</v>
      </c>
      <c r="E256" s="12">
        <v>112500</v>
      </c>
      <c r="F256" s="13">
        <v>112500</v>
      </c>
      <c r="G256" s="2">
        <f>VLOOKUP(B256,'PO with created By ASR'!A:C,3,FALSE)</f>
        <v>45665</v>
      </c>
      <c r="J256" s="2" t="str">
        <f>VLOOKUP(B256,'PO with created By ASR'!A:G,4,FALSE)</f>
        <v>Pavni Enterprises-Del</v>
      </c>
      <c r="K256" s="2" t="str">
        <f>VLOOKUP(B256,'PO with created By ASR'!A:I,6,FALSE)</f>
        <v>11122 Pavni Enterprises</v>
      </c>
      <c r="L256" s="2" t="str">
        <f>VLOOKUP(B256,'PO with created By ASR'!A:J,7,FALSE)</f>
        <v>D - Delhi</v>
      </c>
      <c r="M256" s="2" t="str">
        <f>VLOOKUP(B256,'PO with created By ASR'!A:K,8,FALSE)</f>
        <v>Purchase Order-Del</v>
      </c>
      <c r="N256" t="s">
        <v>36</v>
      </c>
      <c r="P256" s="2">
        <v>6</v>
      </c>
    </row>
    <row r="257" s="2" customFormat="1" spans="1:16">
      <c r="A257" s="8"/>
      <c r="B257" s="9" t="s">
        <v>696</v>
      </c>
      <c r="C257" s="10" t="s">
        <v>140</v>
      </c>
      <c r="D257" s="11">
        <v>1</v>
      </c>
      <c r="E257" s="12">
        <v>27400</v>
      </c>
      <c r="F257" s="13">
        <v>27400</v>
      </c>
      <c r="G257" s="2">
        <f>VLOOKUP(B257,'PO with created By ASR'!A:C,3,FALSE)</f>
        <v>45665</v>
      </c>
      <c r="J257" s="2" t="str">
        <f>VLOOKUP(B257,'PO with created By ASR'!A:G,4,FALSE)</f>
        <v>Pavni Enterprises-Del</v>
      </c>
      <c r="K257" s="2" t="str">
        <f>VLOOKUP(B257,'PO with created By ASR'!A:I,6,FALSE)</f>
        <v>11122 Pavni Enterprises</v>
      </c>
      <c r="L257" s="2" t="str">
        <f>VLOOKUP(B257,'PO with created By ASR'!A:J,7,FALSE)</f>
        <v>D - Delhi</v>
      </c>
      <c r="M257" s="2" t="str">
        <f>VLOOKUP(B257,'PO with created By ASR'!A:K,8,FALSE)</f>
        <v>Purchase Order-Del</v>
      </c>
      <c r="N257" t="s">
        <v>36</v>
      </c>
      <c r="P257" s="2">
        <v>6</v>
      </c>
    </row>
    <row r="258" s="2" customFormat="1" spans="1:16">
      <c r="A258" s="8"/>
      <c r="B258" s="9" t="s">
        <v>700</v>
      </c>
      <c r="C258" s="10" t="s">
        <v>292</v>
      </c>
      <c r="D258" s="11">
        <v>1</v>
      </c>
      <c r="E258" s="12">
        <v>44000</v>
      </c>
      <c r="F258" s="13">
        <v>44000</v>
      </c>
      <c r="G258" s="2">
        <f>VLOOKUP(B258,'PO with created By ASR'!A:C,3,FALSE)</f>
        <v>45665</v>
      </c>
      <c r="J258" s="2" t="str">
        <f>VLOOKUP(B258,'PO with created By ASR'!A:G,4,FALSE)</f>
        <v>Red Carpet Events And Entertainment-Del</v>
      </c>
      <c r="K258" s="2" t="str">
        <f>VLOOKUP(B258,'PO with created By ASR'!A:I,6,FALSE)</f>
        <v>12326 Red Carpet Events And Entertainment</v>
      </c>
      <c r="L258" s="2" t="str">
        <f>VLOOKUP(B258,'PO with created By ASR'!A:J,7,FALSE)</f>
        <v>D - Delhi</v>
      </c>
      <c r="M258" s="2" t="str">
        <f>VLOOKUP(B258,'PO with created By ASR'!A:K,8,FALSE)</f>
        <v>Purchase Order-Del</v>
      </c>
      <c r="N258" t="s">
        <v>36</v>
      </c>
      <c r="P258" s="2">
        <v>6</v>
      </c>
    </row>
    <row r="259" s="2" customFormat="1" spans="1:16">
      <c r="A259" s="8"/>
      <c r="B259" s="9" t="s">
        <v>701</v>
      </c>
      <c r="C259" s="10" t="s">
        <v>704</v>
      </c>
      <c r="D259" s="11">
        <v>1</v>
      </c>
      <c r="E259" s="12">
        <v>13220</v>
      </c>
      <c r="F259" s="13">
        <v>13220</v>
      </c>
      <c r="G259" s="2">
        <f>VLOOKUP(B259,'PO with created By ASR'!A:C,3,FALSE)</f>
        <v>45665</v>
      </c>
      <c r="J259" s="2" t="str">
        <f>VLOOKUP(B259,'PO with created By ASR'!A:G,4,FALSE)</f>
        <v>Shree Ram Computers-Del</v>
      </c>
      <c r="K259" s="2" t="str">
        <f>VLOOKUP(B259,'PO with created By ASR'!A:I,6,FALSE)</f>
        <v>11132 Shree Ram Computers</v>
      </c>
      <c r="L259" s="2" t="str">
        <f>VLOOKUP(B259,'PO with created By ASR'!A:J,7,FALSE)</f>
        <v>D - Delhi</v>
      </c>
      <c r="M259" s="2" t="str">
        <f>VLOOKUP(B259,'PO with created By ASR'!A:K,8,FALSE)</f>
        <v>Purchase Order-Del</v>
      </c>
      <c r="N259" t="s">
        <v>36</v>
      </c>
      <c r="P259" s="2">
        <v>6</v>
      </c>
    </row>
    <row r="260" s="2" customFormat="1" spans="1:16">
      <c r="A260" s="8"/>
      <c r="B260" s="9" t="s">
        <v>705</v>
      </c>
      <c r="C260" s="10" t="s">
        <v>704</v>
      </c>
      <c r="D260" s="11">
        <v>1</v>
      </c>
      <c r="E260" s="12">
        <v>13220</v>
      </c>
      <c r="F260" s="13">
        <v>13220</v>
      </c>
      <c r="G260" s="2">
        <f>VLOOKUP(B260,'PO with created By ASR'!A:C,3,FALSE)</f>
        <v>45665</v>
      </c>
      <c r="J260" s="2" t="str">
        <f>VLOOKUP(B260,'PO with created By ASR'!A:G,4,FALSE)</f>
        <v>Shree Ram Computers-Del</v>
      </c>
      <c r="K260" s="2" t="str">
        <f>VLOOKUP(B260,'PO with created By ASR'!A:I,6,FALSE)</f>
        <v>11132 Shree Ram Computers</v>
      </c>
      <c r="L260" s="2" t="str">
        <f>VLOOKUP(B260,'PO with created By ASR'!A:J,7,FALSE)</f>
        <v>D - Delhi</v>
      </c>
      <c r="M260" s="2" t="str">
        <f>VLOOKUP(B260,'PO with created By ASR'!A:K,8,FALSE)</f>
        <v>Purchase Order-Del</v>
      </c>
      <c r="N260" t="s">
        <v>36</v>
      </c>
      <c r="P260" s="2">
        <v>6</v>
      </c>
    </row>
    <row r="261" s="2" customFormat="1" spans="1:16">
      <c r="A261" s="8"/>
      <c r="B261" s="9" t="s">
        <v>706</v>
      </c>
      <c r="C261" s="10" t="s">
        <v>371</v>
      </c>
      <c r="D261" s="11">
        <v>1</v>
      </c>
      <c r="E261" s="12">
        <v>15000</v>
      </c>
      <c r="F261" s="13">
        <v>15000</v>
      </c>
      <c r="G261" s="2">
        <f>VLOOKUP(B261,'PO with created By ASR'!A:C,3,FALSE)</f>
        <v>45665</v>
      </c>
      <c r="J261" s="2" t="str">
        <f>VLOOKUP(B261,'PO with created By ASR'!A:G,4,FALSE)</f>
        <v>Teleprompter Solution-Del</v>
      </c>
      <c r="K261" s="2" t="str">
        <f>VLOOKUP(B261,'PO with created By ASR'!A:I,6,FALSE)</f>
        <v>12496 Teleprompter Solution</v>
      </c>
      <c r="L261" s="2" t="str">
        <f>VLOOKUP(B261,'PO with created By ASR'!A:J,7,FALSE)</f>
        <v>D - Delhi</v>
      </c>
      <c r="M261" s="2" t="str">
        <f>VLOOKUP(B261,'PO with created By ASR'!A:K,8,FALSE)</f>
        <v>Purchase Order-Del</v>
      </c>
      <c r="N261" t="s">
        <v>36</v>
      </c>
      <c r="P261" s="2">
        <v>6</v>
      </c>
    </row>
    <row r="262" s="2" customFormat="1" spans="1:16">
      <c r="A262" s="8"/>
      <c r="B262" s="9" t="s">
        <v>709</v>
      </c>
      <c r="C262" s="10" t="s">
        <v>140</v>
      </c>
      <c r="D262" s="11">
        <v>1</v>
      </c>
      <c r="E262" s="12">
        <v>255900</v>
      </c>
      <c r="F262" s="13">
        <v>255900</v>
      </c>
      <c r="G262" s="2">
        <f>VLOOKUP(B262,'PO with created By ASR'!A:C,3,FALSE)</f>
        <v>45665</v>
      </c>
      <c r="J262" s="2" t="str">
        <f>VLOOKUP(B262,'PO with created By ASR'!A:G,4,FALSE)</f>
        <v>Dev Ad World-Del</v>
      </c>
      <c r="K262" s="2" t="str">
        <f>VLOOKUP(B262,'PO with created By ASR'!A:I,6,FALSE)</f>
        <v>11822 Dev Ad World</v>
      </c>
      <c r="L262" s="2" t="str">
        <f>VLOOKUP(B262,'PO with created By ASR'!A:J,7,FALSE)</f>
        <v>D - Delhi</v>
      </c>
      <c r="M262" s="2" t="str">
        <f>VLOOKUP(B262,'PO with created By ASR'!A:K,8,FALSE)</f>
        <v>Purchase Order-Del</v>
      </c>
      <c r="N262" t="s">
        <v>36</v>
      </c>
      <c r="P262" s="2">
        <v>6</v>
      </c>
    </row>
    <row r="263" s="2" customFormat="1" spans="1:16">
      <c r="A263" s="8"/>
      <c r="B263" s="9" t="s">
        <v>709</v>
      </c>
      <c r="C263" s="10" t="s">
        <v>140</v>
      </c>
      <c r="D263" s="11">
        <v>1</v>
      </c>
      <c r="E263" s="12">
        <v>9100</v>
      </c>
      <c r="F263" s="13">
        <v>9100</v>
      </c>
      <c r="G263" s="2">
        <f>VLOOKUP(B263,'PO with created By ASR'!A:C,3,FALSE)</f>
        <v>45665</v>
      </c>
      <c r="J263" s="2" t="str">
        <f>VLOOKUP(B263,'PO with created By ASR'!A:G,4,FALSE)</f>
        <v>Dev Ad World-Del</v>
      </c>
      <c r="K263" s="2" t="str">
        <f>VLOOKUP(B263,'PO with created By ASR'!A:I,6,FALSE)</f>
        <v>11822 Dev Ad World</v>
      </c>
      <c r="L263" s="2" t="str">
        <f>VLOOKUP(B263,'PO with created By ASR'!A:J,7,FALSE)</f>
        <v>D - Delhi</v>
      </c>
      <c r="M263" s="2" t="str">
        <f>VLOOKUP(B263,'PO with created By ASR'!A:K,8,FALSE)</f>
        <v>Purchase Order-Del</v>
      </c>
      <c r="N263" t="s">
        <v>36</v>
      </c>
      <c r="P263" s="2">
        <v>6</v>
      </c>
    </row>
    <row r="264" s="2" customFormat="1" spans="1:16">
      <c r="A264" s="8"/>
      <c r="B264" s="9" t="s">
        <v>712</v>
      </c>
      <c r="C264" s="10" t="s">
        <v>292</v>
      </c>
      <c r="D264" s="11">
        <v>1</v>
      </c>
      <c r="E264" s="12">
        <v>250000</v>
      </c>
      <c r="F264" s="13">
        <v>250000</v>
      </c>
      <c r="G264" s="2">
        <f>VLOOKUP(B264,'PO with created By ASR'!A:C,3,FALSE)</f>
        <v>45665</v>
      </c>
      <c r="J264" s="2" t="str">
        <f>VLOOKUP(B264,'PO with created By ASR'!A:G,4,FALSE)</f>
        <v>U2 Entertainment-Mum</v>
      </c>
      <c r="K264" s="2" t="str">
        <f>VLOOKUP(B264,'PO with created By ASR'!A:I,6,FALSE)</f>
        <v>12561 U2 Entertainment</v>
      </c>
      <c r="L264" s="2" t="str">
        <f>VLOOKUP(B264,'PO with created By ASR'!A:J,7,FALSE)</f>
        <v>A - Mumbai</v>
      </c>
      <c r="M264" s="2" t="str">
        <f>VLOOKUP(B264,'PO with created By ASR'!A:K,8,FALSE)</f>
        <v>Purchase Order-Mum</v>
      </c>
      <c r="N264" t="s">
        <v>36</v>
      </c>
      <c r="P264" s="2">
        <v>6</v>
      </c>
    </row>
    <row r="265" s="2" customFormat="1" spans="1:16">
      <c r="A265" s="8"/>
      <c r="B265" s="9" t="s">
        <v>715</v>
      </c>
      <c r="C265" s="10" t="s">
        <v>233</v>
      </c>
      <c r="D265" s="11">
        <v>1</v>
      </c>
      <c r="E265" s="12">
        <v>250000</v>
      </c>
      <c r="F265" s="13">
        <v>250000</v>
      </c>
      <c r="G265" s="2">
        <f>VLOOKUP(B265,'PO with created By ASR'!A:C,3,FALSE)</f>
        <v>45665</v>
      </c>
      <c r="J265" s="2" t="str">
        <f>VLOOKUP(B265,'PO with created By ASR'!A:G,4,FALSE)</f>
        <v>4Brains Technologies Pvt Ltd-Mum</v>
      </c>
      <c r="K265" s="2" t="str">
        <f>VLOOKUP(B265,'PO with created By ASR'!A:I,6,FALSE)</f>
        <v>11618  4Brains Technologies Pvt Ltd</v>
      </c>
      <c r="L265" s="2" t="str">
        <f>VLOOKUP(B265,'PO with created By ASR'!A:J,7,FALSE)</f>
        <v>A - Mumbai</v>
      </c>
      <c r="M265" s="2" t="str">
        <f>VLOOKUP(B265,'PO with created By ASR'!A:K,8,FALSE)</f>
        <v>Purchase Order-Mum</v>
      </c>
      <c r="N265" t="s">
        <v>36</v>
      </c>
      <c r="P265" s="2">
        <v>6</v>
      </c>
    </row>
    <row r="266" s="2" customFormat="1" spans="1:16">
      <c r="A266" s="8"/>
      <c r="B266" s="9" t="s">
        <v>718</v>
      </c>
      <c r="C266" s="10" t="s">
        <v>720</v>
      </c>
      <c r="D266" s="11">
        <v>1</v>
      </c>
      <c r="E266" s="12">
        <v>156000</v>
      </c>
      <c r="F266" s="13">
        <v>156000</v>
      </c>
      <c r="G266" s="2">
        <f>VLOOKUP(B266,'PO with created By ASR'!A:C,3,FALSE)</f>
        <v>45665</v>
      </c>
      <c r="J266" s="2" t="str">
        <f>VLOOKUP(B266,'PO with created By ASR'!A:G,4,FALSE)</f>
        <v>Future Generali India Insurance Co. Ltd.-Mum</v>
      </c>
      <c r="K266" s="2" t="e">
        <f>VLOOKUP(B266,'PO with created By ASR'!A:I,6,FALSE)</f>
        <v>#N/A</v>
      </c>
      <c r="L266" s="2" t="str">
        <f>VLOOKUP(B266,'PO with created By ASR'!A:J,7,FALSE)</f>
        <v>A - Mumbai</v>
      </c>
      <c r="M266" s="2" t="str">
        <f>VLOOKUP(B266,'PO with created By ASR'!A:K,8,FALSE)</f>
        <v>Purchase Order-Mum</v>
      </c>
      <c r="N266" t="s">
        <v>36</v>
      </c>
      <c r="P266" s="2">
        <v>6</v>
      </c>
    </row>
    <row r="267" s="2" customFormat="1" spans="1:16">
      <c r="A267" s="8"/>
      <c r="B267" s="9" t="s">
        <v>718</v>
      </c>
      <c r="C267" s="10" t="s">
        <v>720</v>
      </c>
      <c r="D267" s="11">
        <v>1</v>
      </c>
      <c r="E267" s="12">
        <v>15911</v>
      </c>
      <c r="F267" s="13">
        <v>15911</v>
      </c>
      <c r="G267" s="2">
        <f>VLOOKUP(B267,'PO with created By ASR'!A:C,3,FALSE)</f>
        <v>45665</v>
      </c>
      <c r="J267" s="2" t="str">
        <f>VLOOKUP(B267,'PO with created By ASR'!A:G,4,FALSE)</f>
        <v>Future Generali India Insurance Co. Ltd.-Mum</v>
      </c>
      <c r="K267" s="2" t="e">
        <f>VLOOKUP(B267,'PO with created By ASR'!A:I,6,FALSE)</f>
        <v>#N/A</v>
      </c>
      <c r="L267" s="2" t="str">
        <f>VLOOKUP(B267,'PO with created By ASR'!A:J,7,FALSE)</f>
        <v>A - Mumbai</v>
      </c>
      <c r="M267" s="2" t="str">
        <f>VLOOKUP(B267,'PO with created By ASR'!A:K,8,FALSE)</f>
        <v>Purchase Order-Mum</v>
      </c>
      <c r="N267" t="s">
        <v>36</v>
      </c>
      <c r="P267" s="2">
        <v>6</v>
      </c>
    </row>
    <row r="268" s="2" customFormat="1" spans="1:16">
      <c r="A268" s="8"/>
      <c r="B268" s="9" t="s">
        <v>722</v>
      </c>
      <c r="C268" s="10" t="s">
        <v>233</v>
      </c>
      <c r="D268" s="11">
        <v>1</v>
      </c>
      <c r="E268" s="12">
        <v>1077386.61</v>
      </c>
      <c r="F268" s="13">
        <v>1077386.61</v>
      </c>
      <c r="G268" s="2">
        <f>VLOOKUP(B268,'PO with created By ASR'!A:C,3,FALSE)</f>
        <v>45665</v>
      </c>
      <c r="J268" s="2" t="str">
        <f>VLOOKUP(B268,'PO with created By ASR'!A:G,4,FALSE)</f>
        <v>Greenix Experience Pvt Ltd-Mum</v>
      </c>
      <c r="K268" s="2" t="str">
        <f>VLOOKUP(B268,'PO with created By ASR'!A:I,6,FALSE)</f>
        <v>10297  Greenix Experience Pvt Ltd</v>
      </c>
      <c r="L268" s="2" t="str">
        <f>VLOOKUP(B268,'PO with created By ASR'!A:J,7,FALSE)</f>
        <v>A - Mumbai</v>
      </c>
      <c r="M268" s="2" t="str">
        <f>VLOOKUP(B268,'PO with created By ASR'!A:K,8,FALSE)</f>
        <v>Purchase Order-Mum</v>
      </c>
      <c r="N268" t="s">
        <v>36</v>
      </c>
      <c r="P268" s="2">
        <v>6</v>
      </c>
    </row>
    <row r="269" s="2" customFormat="1" spans="1:16">
      <c r="A269" s="8"/>
      <c r="B269" s="9" t="s">
        <v>722</v>
      </c>
      <c r="C269" s="10" t="s">
        <v>233</v>
      </c>
      <c r="D269" s="11">
        <v>1</v>
      </c>
      <c r="E269" s="12">
        <v>53869.33</v>
      </c>
      <c r="F269" s="13">
        <v>53869.33</v>
      </c>
      <c r="G269" s="2">
        <f>VLOOKUP(B269,'PO with created By ASR'!A:C,3,FALSE)</f>
        <v>45665</v>
      </c>
      <c r="J269" s="2" t="str">
        <f>VLOOKUP(B269,'PO with created By ASR'!A:G,4,FALSE)</f>
        <v>Greenix Experience Pvt Ltd-Mum</v>
      </c>
      <c r="K269" s="2" t="str">
        <f>VLOOKUP(B269,'PO with created By ASR'!A:I,6,FALSE)</f>
        <v>10297  Greenix Experience Pvt Ltd</v>
      </c>
      <c r="L269" s="2" t="str">
        <f>VLOOKUP(B269,'PO with created By ASR'!A:J,7,FALSE)</f>
        <v>A - Mumbai</v>
      </c>
      <c r="M269" s="2" t="str">
        <f>VLOOKUP(B269,'PO with created By ASR'!A:K,8,FALSE)</f>
        <v>Purchase Order-Mum</v>
      </c>
      <c r="N269" t="s">
        <v>36</v>
      </c>
      <c r="P269" s="2">
        <v>6</v>
      </c>
    </row>
    <row r="270" s="2" customFormat="1" spans="1:16">
      <c r="A270" s="8"/>
      <c r="B270" s="9" t="s">
        <v>725</v>
      </c>
      <c r="C270" s="10" t="s">
        <v>317</v>
      </c>
      <c r="D270" s="11">
        <v>1</v>
      </c>
      <c r="E270" s="12">
        <v>3000000</v>
      </c>
      <c r="F270" s="13">
        <v>3000000</v>
      </c>
      <c r="G270" s="2">
        <f>VLOOKUP(B270,'PO with created By ASR'!A:C,3,FALSE)</f>
        <v>45665</v>
      </c>
      <c r="J270" s="2" t="str">
        <f>VLOOKUP(B270,'PO with created By ASR'!A:G,4,FALSE)</f>
        <v>Utsara Sports Pvt Ltd (OTV)-Mum</v>
      </c>
      <c r="K270" s="2" t="str">
        <f>VLOOKUP(B270,'PO with created By ASR'!A:I,6,FALSE)</f>
        <v>12887  Utsara Sports Pvt Ltd (OTV)</v>
      </c>
      <c r="L270" s="2" t="str">
        <f>VLOOKUP(B270,'PO with created By ASR'!A:J,7,FALSE)</f>
        <v>A - Mumbai</v>
      </c>
      <c r="M270" s="2" t="str">
        <f>VLOOKUP(B270,'PO with created By ASR'!A:K,8,FALSE)</f>
        <v>Purchase Order-Mum</v>
      </c>
      <c r="N270" t="s">
        <v>36</v>
      </c>
      <c r="P270" s="2">
        <v>6</v>
      </c>
    </row>
    <row r="271" s="2" customFormat="1" spans="1:16">
      <c r="A271" s="8"/>
      <c r="B271" s="9" t="s">
        <v>731</v>
      </c>
      <c r="C271" s="10" t="s">
        <v>734</v>
      </c>
      <c r="D271" s="11">
        <v>1</v>
      </c>
      <c r="E271" s="12">
        <v>274486</v>
      </c>
      <c r="F271" s="13">
        <v>274486</v>
      </c>
      <c r="G271" s="2">
        <f>VLOOKUP(B271,'PO with created By ASR'!A:C,3,FALSE)</f>
        <v>45665</v>
      </c>
      <c r="J271" s="2" t="str">
        <f>VLOOKUP(B271,'PO with created By ASR'!A:G,4,FALSE)</f>
        <v>Musafir.Com India Pvt Ltd-Mum</v>
      </c>
      <c r="K271" s="2" t="str">
        <f>VLOOKUP(B271,'PO with created By ASR'!A:I,6,FALSE)</f>
        <v>10060  Musafir.Com India Pvt Ltd</v>
      </c>
      <c r="L271" s="2" t="str">
        <f>VLOOKUP(B271,'PO with created By ASR'!A:J,7,FALSE)</f>
        <v>A - Mumbai</v>
      </c>
      <c r="M271" s="2" t="str">
        <f>VLOOKUP(B271,'PO with created By ASR'!A:K,8,FALSE)</f>
        <v>Purchase Order-Mum</v>
      </c>
      <c r="N271" t="s">
        <v>36</v>
      </c>
      <c r="P271" s="2">
        <v>6</v>
      </c>
    </row>
    <row r="272" s="2" customFormat="1" spans="1:16">
      <c r="A272" s="8"/>
      <c r="B272" s="9" t="s">
        <v>731</v>
      </c>
      <c r="C272" s="10" t="s">
        <v>1808</v>
      </c>
      <c r="D272" s="11">
        <v>1</v>
      </c>
      <c r="E272" s="12">
        <v>68901</v>
      </c>
      <c r="F272" s="13">
        <v>68901</v>
      </c>
      <c r="G272" s="2">
        <f>VLOOKUP(B272,'PO with created By ASR'!A:C,3,FALSE)</f>
        <v>45665</v>
      </c>
      <c r="J272" s="2" t="str">
        <f>VLOOKUP(B272,'PO with created By ASR'!A:G,4,FALSE)</f>
        <v>Musafir.Com India Pvt Ltd-Mum</v>
      </c>
      <c r="K272" s="2" t="str">
        <f>VLOOKUP(B272,'PO with created By ASR'!A:I,6,FALSE)</f>
        <v>10060  Musafir.Com India Pvt Ltd</v>
      </c>
      <c r="L272" s="2" t="str">
        <f>VLOOKUP(B272,'PO with created By ASR'!A:J,7,FALSE)</f>
        <v>A - Mumbai</v>
      </c>
      <c r="M272" s="2" t="str">
        <f>VLOOKUP(B272,'PO with created By ASR'!A:K,8,FALSE)</f>
        <v>Purchase Order-Mum</v>
      </c>
      <c r="N272" t="s">
        <v>36</v>
      </c>
      <c r="P272" s="2">
        <v>6</v>
      </c>
    </row>
    <row r="273" s="2" customFormat="1" spans="1:16">
      <c r="A273" s="8"/>
      <c r="B273" s="9" t="s">
        <v>738</v>
      </c>
      <c r="C273" s="10" t="s">
        <v>196</v>
      </c>
      <c r="D273" s="11">
        <v>1</v>
      </c>
      <c r="E273" s="12">
        <v>4500</v>
      </c>
      <c r="F273" s="13">
        <v>4500</v>
      </c>
      <c r="G273" s="2">
        <f>VLOOKUP(B273,'PO with created By ASR'!A:C,3,FALSE)</f>
        <v>45666</v>
      </c>
      <c r="J273" s="2" t="str">
        <f>VLOOKUP(B273,'PO with created By ASR'!A:G,4,FALSE)</f>
        <v>Mermaid Digital Pvt Ltd-Blr</v>
      </c>
      <c r="K273" s="2" t="str">
        <f>VLOOKUP(B273,'PO with created By ASR'!A:I,6,FALSE)</f>
        <v>12136  Mermaid Digital Pvt Ltd</v>
      </c>
      <c r="L273" s="2" t="str">
        <f>VLOOKUP(B273,'PO with created By ASR'!A:J,7,FALSE)</f>
        <v>B - Bangalore</v>
      </c>
      <c r="M273" s="2" t="str">
        <f>VLOOKUP(B273,'PO with created By ASR'!A:K,8,FALSE)</f>
        <v>Purchase Order-Blr</v>
      </c>
      <c r="N273" t="s">
        <v>36</v>
      </c>
      <c r="P273" s="2">
        <v>6</v>
      </c>
    </row>
    <row r="274" s="2" customFormat="1" spans="1:16">
      <c r="A274" s="8"/>
      <c r="B274" s="9" t="s">
        <v>741</v>
      </c>
      <c r="C274" s="10" t="s">
        <v>205</v>
      </c>
      <c r="D274" s="11">
        <v>1</v>
      </c>
      <c r="E274" s="12">
        <v>2000</v>
      </c>
      <c r="F274" s="13">
        <v>2000</v>
      </c>
      <c r="G274" s="2">
        <f>VLOOKUP(B274,'PO with created By ASR'!A:C,3,FALSE)</f>
        <v>45666</v>
      </c>
      <c r="J274" s="2" t="str">
        <f>VLOOKUP(B274,'PO with created By ASR'!A:G,4,FALSE)</f>
        <v>Courier International Services-Blr</v>
      </c>
      <c r="K274" s="2" t="str">
        <f>VLOOKUP(B274,'PO with created By ASR'!A:I,6,FALSE)</f>
        <v>11795 Courier International Services</v>
      </c>
      <c r="L274" s="2" t="str">
        <f>VLOOKUP(B274,'PO with created By ASR'!A:J,7,FALSE)</f>
        <v>B - Bangalore</v>
      </c>
      <c r="M274" s="2" t="str">
        <f>VLOOKUP(B274,'PO with created By ASR'!A:K,8,FALSE)</f>
        <v>Purchase Order-Blr</v>
      </c>
      <c r="N274" t="s">
        <v>36</v>
      </c>
      <c r="P274" s="2">
        <v>6</v>
      </c>
    </row>
    <row r="275" s="2" customFormat="1" spans="1:16">
      <c r="A275" s="8"/>
      <c r="B275" s="9" t="s">
        <v>744</v>
      </c>
      <c r="C275" s="10" t="s">
        <v>276</v>
      </c>
      <c r="D275" s="11">
        <v>1</v>
      </c>
      <c r="E275" s="12">
        <v>10170</v>
      </c>
      <c r="F275" s="13">
        <v>10170</v>
      </c>
      <c r="G275" s="2">
        <f>VLOOKUP(B275,'PO with created By ASR'!A:C,3,FALSE)</f>
        <v>45666</v>
      </c>
      <c r="J275" s="2" t="str">
        <f>VLOOKUP(B275,'PO with created By ASR'!A:G,4,FALSE)</f>
        <v>Radisson Blu Bengaluru (A unit of Charishma Hotels Pvt Ltd)-Blr</v>
      </c>
      <c r="K275" s="2" t="str">
        <f>VLOOKUP(B275,'PO with created By ASR'!A:I,6,FALSE)</f>
        <v>10390  Radisson Blu Bengaluru (A unit of Charishma Hotels Pvt Ltd)</v>
      </c>
      <c r="L275" s="2" t="str">
        <f>VLOOKUP(B275,'PO with created By ASR'!A:J,7,FALSE)</f>
        <v>B - Bangalore</v>
      </c>
      <c r="M275" s="2" t="str">
        <f>VLOOKUP(B275,'PO with created By ASR'!A:K,8,FALSE)</f>
        <v>Purchase Order-Blr</v>
      </c>
      <c r="N275" t="s">
        <v>36</v>
      </c>
      <c r="P275" s="2">
        <v>6</v>
      </c>
    </row>
    <row r="276" s="2" customFormat="1" spans="1:16">
      <c r="A276" s="8"/>
      <c r="B276" s="9" t="s">
        <v>744</v>
      </c>
      <c r="C276" s="10" t="s">
        <v>276</v>
      </c>
      <c r="D276" s="11">
        <v>1</v>
      </c>
      <c r="E276" s="12">
        <v>36000</v>
      </c>
      <c r="F276" s="13">
        <v>36000</v>
      </c>
      <c r="G276" s="2">
        <f>VLOOKUP(B276,'PO with created By ASR'!A:C,3,FALSE)</f>
        <v>45666</v>
      </c>
      <c r="J276" s="2" t="str">
        <f>VLOOKUP(B276,'PO with created By ASR'!A:G,4,FALSE)</f>
        <v>Radisson Blu Bengaluru (A unit of Charishma Hotels Pvt Ltd)-Blr</v>
      </c>
      <c r="K276" s="2" t="str">
        <f>VLOOKUP(B276,'PO with created By ASR'!A:I,6,FALSE)</f>
        <v>10390  Radisson Blu Bengaluru (A unit of Charishma Hotels Pvt Ltd)</v>
      </c>
      <c r="L276" s="2" t="str">
        <f>VLOOKUP(B276,'PO with created By ASR'!A:J,7,FALSE)</f>
        <v>B - Bangalore</v>
      </c>
      <c r="M276" s="2" t="str">
        <f>VLOOKUP(B276,'PO with created By ASR'!A:K,8,FALSE)</f>
        <v>Purchase Order-Blr</v>
      </c>
      <c r="N276" t="s">
        <v>36</v>
      </c>
      <c r="P276" s="2">
        <v>6</v>
      </c>
    </row>
    <row r="277" s="2" customFormat="1" spans="1:16">
      <c r="A277" s="8"/>
      <c r="B277" s="9" t="s">
        <v>747</v>
      </c>
      <c r="C277" s="10" t="s">
        <v>134</v>
      </c>
      <c r="D277" s="11">
        <v>1</v>
      </c>
      <c r="E277" s="12">
        <v>140322</v>
      </c>
      <c r="F277" s="13">
        <v>140322</v>
      </c>
      <c r="G277" s="2">
        <f>VLOOKUP(B277,'PO with created By ASR'!A:C,3,FALSE)</f>
        <v>45666</v>
      </c>
      <c r="J277" s="2" t="str">
        <f>VLOOKUP(B277,'PO with created By ASR'!A:G,4,FALSE)</f>
        <v>Gigu Hospitality Pvt Ltd (OTV)-Blr</v>
      </c>
      <c r="K277" s="2" t="str">
        <f>VLOOKUP(B277,'PO with created By ASR'!A:I,6,FALSE)</f>
        <v>12824  Gigu Hospitality Pvt Ltd (OTV)</v>
      </c>
      <c r="L277" s="2" t="str">
        <f>VLOOKUP(B277,'PO with created By ASR'!A:J,7,FALSE)</f>
        <v>B - Bangalore</v>
      </c>
      <c r="M277" s="2" t="str">
        <f>VLOOKUP(B277,'PO with created By ASR'!A:K,8,FALSE)</f>
        <v>Purchase Order-Blr</v>
      </c>
      <c r="N277" t="s">
        <v>36</v>
      </c>
      <c r="P277" s="2">
        <v>6</v>
      </c>
    </row>
    <row r="278" s="2" customFormat="1" spans="1:16">
      <c r="A278" s="8"/>
      <c r="B278" s="9" t="s">
        <v>747</v>
      </c>
      <c r="C278" s="10" t="s">
        <v>76</v>
      </c>
      <c r="D278" s="11">
        <v>1</v>
      </c>
      <c r="E278" s="12">
        <v>3509</v>
      </c>
      <c r="F278" s="13">
        <v>3509</v>
      </c>
      <c r="G278" s="2">
        <f>VLOOKUP(B278,'PO with created By ASR'!A:C,3,FALSE)</f>
        <v>45666</v>
      </c>
      <c r="J278" s="2" t="str">
        <f>VLOOKUP(B278,'PO with created By ASR'!A:G,4,FALSE)</f>
        <v>Gigu Hospitality Pvt Ltd (OTV)-Blr</v>
      </c>
      <c r="K278" s="2" t="str">
        <f>VLOOKUP(B278,'PO with created By ASR'!A:I,6,FALSE)</f>
        <v>12824  Gigu Hospitality Pvt Ltd (OTV)</v>
      </c>
      <c r="L278" s="2" t="str">
        <f>VLOOKUP(B278,'PO with created By ASR'!A:J,7,FALSE)</f>
        <v>B - Bangalore</v>
      </c>
      <c r="M278" s="2" t="str">
        <f>VLOOKUP(B278,'PO with created By ASR'!A:K,8,FALSE)</f>
        <v>Purchase Order-Blr</v>
      </c>
      <c r="N278" t="s">
        <v>36</v>
      </c>
      <c r="P278" s="2">
        <v>6</v>
      </c>
    </row>
    <row r="279" s="2" customFormat="1" spans="1:16">
      <c r="A279" s="8"/>
      <c r="B279" s="9" t="s">
        <v>747</v>
      </c>
      <c r="C279" s="10" t="s">
        <v>4363</v>
      </c>
      <c r="D279" s="11">
        <v>1</v>
      </c>
      <c r="E279" s="12">
        <v>3509</v>
      </c>
      <c r="F279" s="13">
        <v>3509</v>
      </c>
      <c r="G279" s="2">
        <f>VLOOKUP(B279,'PO with created By ASR'!A:C,3,FALSE)</f>
        <v>45666</v>
      </c>
      <c r="J279" s="2" t="str">
        <f>VLOOKUP(B279,'PO with created By ASR'!A:G,4,FALSE)</f>
        <v>Gigu Hospitality Pvt Ltd (OTV)-Blr</v>
      </c>
      <c r="K279" s="2" t="str">
        <f>VLOOKUP(B279,'PO with created By ASR'!A:I,6,FALSE)</f>
        <v>12824  Gigu Hospitality Pvt Ltd (OTV)</v>
      </c>
      <c r="L279" s="2" t="str">
        <f>VLOOKUP(B279,'PO with created By ASR'!A:J,7,FALSE)</f>
        <v>B - Bangalore</v>
      </c>
      <c r="M279" s="2" t="str">
        <f>VLOOKUP(B279,'PO with created By ASR'!A:K,8,FALSE)</f>
        <v>Purchase Order-Blr</v>
      </c>
      <c r="N279" t="s">
        <v>36</v>
      </c>
      <c r="P279" s="2">
        <v>6</v>
      </c>
    </row>
    <row r="280" s="2" customFormat="1" spans="1:16">
      <c r="A280" s="8"/>
      <c r="B280" s="9" t="s">
        <v>750</v>
      </c>
      <c r="C280" s="10" t="s">
        <v>205</v>
      </c>
      <c r="D280" s="11">
        <v>1</v>
      </c>
      <c r="E280" s="12">
        <v>14175</v>
      </c>
      <c r="F280" s="13">
        <v>14175</v>
      </c>
      <c r="G280" s="2">
        <f>VLOOKUP(B280,'PO with created By ASR'!A:C,3,FALSE)</f>
        <v>45666</v>
      </c>
      <c r="J280" s="2" t="str">
        <f>VLOOKUP(B280,'PO with created By ASR'!A:G,4,FALSE)</f>
        <v>Sri Jay Enterprises-Che</v>
      </c>
      <c r="K280" s="2" t="str">
        <f>VLOOKUP(B280,'PO with created By ASR'!A:I,6,FALSE)</f>
        <v>10010 Sri Jay Enterprises</v>
      </c>
      <c r="L280" s="2" t="str">
        <f>VLOOKUP(B280,'PO with created By ASR'!A:J,7,FALSE)</f>
        <v>C - Chennai</v>
      </c>
      <c r="M280" s="2" t="str">
        <f>VLOOKUP(B280,'PO with created By ASR'!A:K,8,FALSE)</f>
        <v>Purchase Order-Che</v>
      </c>
      <c r="N280" t="s">
        <v>36</v>
      </c>
      <c r="P280" s="2">
        <v>6</v>
      </c>
    </row>
    <row r="281" s="2" customFormat="1" spans="1:16">
      <c r="A281" s="8"/>
      <c r="B281" s="9" t="s">
        <v>753</v>
      </c>
      <c r="C281" s="10" t="s">
        <v>756</v>
      </c>
      <c r="D281" s="11">
        <v>1</v>
      </c>
      <c r="E281" s="12">
        <v>1607.72</v>
      </c>
      <c r="F281" s="13">
        <v>1607.72</v>
      </c>
      <c r="G281" s="2">
        <f>VLOOKUP(B281,'PO with created By ASR'!A:C,3,FALSE)</f>
        <v>45666</v>
      </c>
      <c r="J281" s="2" t="str">
        <f>VLOOKUP(B281,'PO with created By ASR'!A:G,4,FALSE)</f>
        <v>Airtel Ltd(Bill Booking)-Mum</v>
      </c>
      <c r="K281" s="2" t="str">
        <f>VLOOKUP(B281,'PO with created By ASR'!A:I,6,FALSE)</f>
        <v>10112  Airtel Ltd(Bill Booking)</v>
      </c>
      <c r="L281" s="2" t="str">
        <f>VLOOKUP(B281,'PO with created By ASR'!A:J,7,FALSE)</f>
        <v>C - Chennai</v>
      </c>
      <c r="M281" s="2" t="str">
        <f>VLOOKUP(B281,'PO with created By ASR'!A:K,8,FALSE)</f>
        <v>Purchase Order-Che</v>
      </c>
      <c r="N281" t="s">
        <v>36</v>
      </c>
      <c r="P281" s="2">
        <v>6</v>
      </c>
    </row>
    <row r="282" s="2" customFormat="1" spans="1:16">
      <c r="A282" s="8"/>
      <c r="B282" s="9" t="s">
        <v>757</v>
      </c>
      <c r="C282" s="10" t="s">
        <v>94</v>
      </c>
      <c r="D282" s="11">
        <v>1</v>
      </c>
      <c r="E282" s="12">
        <v>614</v>
      </c>
      <c r="F282" s="13">
        <v>614</v>
      </c>
      <c r="G282" s="2">
        <f>VLOOKUP(B282,'PO with created By ASR'!A:C,3,FALSE)</f>
        <v>45666</v>
      </c>
      <c r="J282" s="2" t="str">
        <f>VLOOKUP(B282,'PO with created By ASR'!A:G,4,FALSE)</f>
        <v>Airtel Ltd(Bill Booking)-Mum</v>
      </c>
      <c r="K282" s="2" t="str">
        <f>VLOOKUP(B282,'PO with created By ASR'!A:I,6,FALSE)</f>
        <v>10112  Airtel Ltd(Bill Booking)</v>
      </c>
      <c r="L282" s="2" t="str">
        <f>VLOOKUP(B282,'PO with created By ASR'!A:J,7,FALSE)</f>
        <v>C - Chennai</v>
      </c>
      <c r="M282" s="2" t="str">
        <f>VLOOKUP(B282,'PO with created By ASR'!A:K,8,FALSE)</f>
        <v>Purchase Order-Che</v>
      </c>
      <c r="N282" t="s">
        <v>36</v>
      </c>
      <c r="P282" s="2">
        <v>6</v>
      </c>
    </row>
    <row r="283" s="2" customFormat="1" spans="1:16">
      <c r="A283" s="8"/>
      <c r="B283" s="9" t="s">
        <v>757</v>
      </c>
      <c r="C283" s="10" t="s">
        <v>94</v>
      </c>
      <c r="D283" s="11">
        <v>1</v>
      </c>
      <c r="E283" s="12">
        <v>348.1</v>
      </c>
      <c r="F283" s="13">
        <v>348.1</v>
      </c>
      <c r="G283" s="2">
        <f>VLOOKUP(B283,'PO with created By ASR'!A:C,3,FALSE)</f>
        <v>45666</v>
      </c>
      <c r="J283" s="2" t="str">
        <f>VLOOKUP(B283,'PO with created By ASR'!A:G,4,FALSE)</f>
        <v>Airtel Ltd(Bill Booking)-Mum</v>
      </c>
      <c r="K283" s="2" t="str">
        <f>VLOOKUP(B283,'PO with created By ASR'!A:I,6,FALSE)</f>
        <v>10112  Airtel Ltd(Bill Booking)</v>
      </c>
      <c r="L283" s="2" t="str">
        <f>VLOOKUP(B283,'PO with created By ASR'!A:J,7,FALSE)</f>
        <v>C - Chennai</v>
      </c>
      <c r="M283" s="2" t="str">
        <f>VLOOKUP(B283,'PO with created By ASR'!A:K,8,FALSE)</f>
        <v>Purchase Order-Che</v>
      </c>
      <c r="N283" t="s">
        <v>36</v>
      </c>
      <c r="P283" s="2">
        <v>6</v>
      </c>
    </row>
    <row r="284" s="2" customFormat="1" spans="1:16">
      <c r="A284" s="8"/>
      <c r="B284" s="9" t="s">
        <v>758</v>
      </c>
      <c r="C284" s="10" t="s">
        <v>94</v>
      </c>
      <c r="D284" s="11">
        <v>1</v>
      </c>
      <c r="E284" s="12">
        <v>614</v>
      </c>
      <c r="F284" s="13">
        <v>614</v>
      </c>
      <c r="G284" s="2">
        <f>VLOOKUP(B284,'PO with created By ASR'!A:C,3,FALSE)</f>
        <v>45666</v>
      </c>
      <c r="J284" s="2" t="str">
        <f>VLOOKUP(B284,'PO with created By ASR'!A:G,4,FALSE)</f>
        <v>Airtel Ltd(Bill Booking)-Mum</v>
      </c>
      <c r="K284" s="2" t="str">
        <f>VLOOKUP(B284,'PO with created By ASR'!A:I,6,FALSE)</f>
        <v>10112  Airtel Ltd(Bill Booking)</v>
      </c>
      <c r="L284" s="2" t="str">
        <f>VLOOKUP(B284,'PO with created By ASR'!A:J,7,FALSE)</f>
        <v>C - Chennai</v>
      </c>
      <c r="M284" s="2" t="str">
        <f>VLOOKUP(B284,'PO with created By ASR'!A:K,8,FALSE)</f>
        <v>Purchase Order-Che</v>
      </c>
      <c r="N284" t="s">
        <v>36</v>
      </c>
      <c r="P284" s="2">
        <v>6</v>
      </c>
    </row>
    <row r="285" s="2" customFormat="1" spans="1:16">
      <c r="A285" s="8"/>
      <c r="B285" s="9" t="s">
        <v>758</v>
      </c>
      <c r="C285" s="10" t="s">
        <v>94</v>
      </c>
      <c r="D285" s="11">
        <v>1</v>
      </c>
      <c r="E285" s="12">
        <v>348.1</v>
      </c>
      <c r="F285" s="13">
        <v>348.1</v>
      </c>
      <c r="G285" s="2">
        <f>VLOOKUP(B285,'PO with created By ASR'!A:C,3,FALSE)</f>
        <v>45666</v>
      </c>
      <c r="J285" s="2" t="str">
        <f>VLOOKUP(B285,'PO with created By ASR'!A:G,4,FALSE)</f>
        <v>Airtel Ltd(Bill Booking)-Mum</v>
      </c>
      <c r="K285" s="2" t="str">
        <f>VLOOKUP(B285,'PO with created By ASR'!A:I,6,FALSE)</f>
        <v>10112  Airtel Ltd(Bill Booking)</v>
      </c>
      <c r="L285" s="2" t="str">
        <f>VLOOKUP(B285,'PO with created By ASR'!A:J,7,FALSE)</f>
        <v>C - Chennai</v>
      </c>
      <c r="M285" s="2" t="str">
        <f>VLOOKUP(B285,'PO with created By ASR'!A:K,8,FALSE)</f>
        <v>Purchase Order-Che</v>
      </c>
      <c r="N285" t="s">
        <v>36</v>
      </c>
      <c r="P285" s="2">
        <v>6</v>
      </c>
    </row>
    <row r="286" s="2" customFormat="1" spans="1:16">
      <c r="A286" s="8"/>
      <c r="B286" s="9" t="s">
        <v>759</v>
      </c>
      <c r="C286" s="10" t="s">
        <v>119</v>
      </c>
      <c r="D286" s="11">
        <v>1</v>
      </c>
      <c r="E286" s="12">
        <v>344190</v>
      </c>
      <c r="F286" s="13">
        <v>344190</v>
      </c>
      <c r="G286" s="2">
        <f>VLOOKUP(B286,'PO with created By ASR'!A:C,3,FALSE)</f>
        <v>45666</v>
      </c>
      <c r="J286" s="2" t="str">
        <f>VLOOKUP(B286,'PO with created By ASR'!A:G,4,FALSE)</f>
        <v>Complete Solutions Tour And Travels Pvt Ltd-Del</v>
      </c>
      <c r="K286" s="2" t="str">
        <f>VLOOKUP(B286,'PO with created By ASR'!A:I,6,FALSE)</f>
        <v>11780  Complete Solutions Tour And Travels Pvt Ltd</v>
      </c>
      <c r="L286" s="2" t="str">
        <f>VLOOKUP(B286,'PO with created By ASR'!A:J,7,FALSE)</f>
        <v>D - Delhi</v>
      </c>
      <c r="M286" s="2" t="str">
        <f>VLOOKUP(B286,'PO with created By ASR'!A:K,8,FALSE)</f>
        <v>Purchase Order-Del</v>
      </c>
      <c r="N286" t="s">
        <v>36</v>
      </c>
      <c r="P286" s="2">
        <v>6</v>
      </c>
    </row>
    <row r="287" s="2" customFormat="1" spans="1:16">
      <c r="A287" s="8"/>
      <c r="B287" s="9" t="s">
        <v>759</v>
      </c>
      <c r="C287" s="10" t="s">
        <v>119</v>
      </c>
      <c r="D287" s="11">
        <v>1</v>
      </c>
      <c r="E287" s="12">
        <v>870180</v>
      </c>
      <c r="F287" s="13">
        <v>870180</v>
      </c>
      <c r="G287" s="2">
        <f>VLOOKUP(B287,'PO with created By ASR'!A:C,3,FALSE)</f>
        <v>45666</v>
      </c>
      <c r="J287" s="2" t="str">
        <f>VLOOKUP(B287,'PO with created By ASR'!A:G,4,FALSE)</f>
        <v>Complete Solutions Tour And Travels Pvt Ltd-Del</v>
      </c>
      <c r="K287" s="2" t="str">
        <f>VLOOKUP(B287,'PO with created By ASR'!A:I,6,FALSE)</f>
        <v>11780  Complete Solutions Tour And Travels Pvt Ltd</v>
      </c>
      <c r="L287" s="2" t="str">
        <f>VLOOKUP(B287,'PO with created By ASR'!A:J,7,FALSE)</f>
        <v>D - Delhi</v>
      </c>
      <c r="M287" s="2" t="str">
        <f>VLOOKUP(B287,'PO with created By ASR'!A:K,8,FALSE)</f>
        <v>Purchase Order-Del</v>
      </c>
      <c r="N287" t="s">
        <v>36</v>
      </c>
      <c r="P287" s="2">
        <v>6</v>
      </c>
    </row>
    <row r="288" s="2" customFormat="1" spans="1:16">
      <c r="A288" s="8"/>
      <c r="B288" s="9" t="s">
        <v>759</v>
      </c>
      <c r="C288" s="10" t="s">
        <v>764</v>
      </c>
      <c r="D288" s="11">
        <v>1</v>
      </c>
      <c r="E288" s="12">
        <v>17209.5</v>
      </c>
      <c r="F288" s="13">
        <v>17209.5</v>
      </c>
      <c r="G288" s="2">
        <f>VLOOKUP(B288,'PO with created By ASR'!A:C,3,FALSE)</f>
        <v>45666</v>
      </c>
      <c r="J288" s="2" t="str">
        <f>VLOOKUP(B288,'PO with created By ASR'!A:G,4,FALSE)</f>
        <v>Complete Solutions Tour And Travels Pvt Ltd-Del</v>
      </c>
      <c r="K288" s="2" t="str">
        <f>VLOOKUP(B288,'PO with created By ASR'!A:I,6,FALSE)</f>
        <v>11780  Complete Solutions Tour And Travels Pvt Ltd</v>
      </c>
      <c r="L288" s="2" t="str">
        <f>VLOOKUP(B288,'PO with created By ASR'!A:J,7,FALSE)</f>
        <v>D - Delhi</v>
      </c>
      <c r="M288" s="2" t="str">
        <f>VLOOKUP(B288,'PO with created By ASR'!A:K,8,FALSE)</f>
        <v>Purchase Order-Del</v>
      </c>
      <c r="N288" t="s">
        <v>36</v>
      </c>
      <c r="P288" s="2">
        <v>6</v>
      </c>
    </row>
    <row r="289" s="2" customFormat="1" spans="1:16">
      <c r="A289" s="8"/>
      <c r="B289" s="9" t="s">
        <v>765</v>
      </c>
      <c r="C289" s="10" t="s">
        <v>233</v>
      </c>
      <c r="D289" s="11">
        <v>1</v>
      </c>
      <c r="E289" s="12">
        <v>251490</v>
      </c>
      <c r="F289" s="13">
        <v>251490</v>
      </c>
      <c r="G289" s="2">
        <f>VLOOKUP(B289,'PO with created By ASR'!A:C,3,FALSE)</f>
        <v>45666</v>
      </c>
      <c r="J289" s="2" t="str">
        <f>VLOOKUP(B289,'PO with created By ASR'!A:G,4,FALSE)</f>
        <v>Bhimsen Food Service (Anju)-Del</v>
      </c>
      <c r="K289" s="2" t="str">
        <f>VLOOKUP(B289,'PO with created By ASR'!A:I,6,FALSE)</f>
        <v>11087 Bhimsen Food Service (Anju)</v>
      </c>
      <c r="L289" s="2" t="str">
        <f>VLOOKUP(B289,'PO with created By ASR'!A:J,7,FALSE)</f>
        <v>D - Delhi</v>
      </c>
      <c r="M289" s="2" t="str">
        <f>VLOOKUP(B289,'PO with created By ASR'!A:K,8,FALSE)</f>
        <v>Purchase Order-Del</v>
      </c>
      <c r="N289" t="s">
        <v>36</v>
      </c>
      <c r="P289" s="2">
        <v>6</v>
      </c>
    </row>
    <row r="290" s="2" customFormat="1" spans="1:16">
      <c r="A290" s="8"/>
      <c r="B290" s="9" t="s">
        <v>765</v>
      </c>
      <c r="C290" s="10" t="s">
        <v>233</v>
      </c>
      <c r="D290" s="11">
        <v>1</v>
      </c>
      <c r="E290" s="12">
        <v>50700</v>
      </c>
      <c r="F290" s="13">
        <v>50700</v>
      </c>
      <c r="G290" s="2">
        <f>VLOOKUP(B290,'PO with created By ASR'!A:C,3,FALSE)</f>
        <v>45666</v>
      </c>
      <c r="J290" s="2" t="str">
        <f>VLOOKUP(B290,'PO with created By ASR'!A:G,4,FALSE)</f>
        <v>Bhimsen Food Service (Anju)-Del</v>
      </c>
      <c r="K290" s="2" t="str">
        <f>VLOOKUP(B290,'PO with created By ASR'!A:I,6,FALSE)</f>
        <v>11087 Bhimsen Food Service (Anju)</v>
      </c>
      <c r="L290" s="2" t="str">
        <f>VLOOKUP(B290,'PO with created By ASR'!A:J,7,FALSE)</f>
        <v>D - Delhi</v>
      </c>
      <c r="M290" s="2" t="str">
        <f>VLOOKUP(B290,'PO with created By ASR'!A:K,8,FALSE)</f>
        <v>Purchase Order-Del</v>
      </c>
      <c r="N290" t="s">
        <v>36</v>
      </c>
      <c r="P290" s="2">
        <v>6</v>
      </c>
    </row>
    <row r="291" s="2" customFormat="1" spans="1:16">
      <c r="A291" s="8"/>
      <c r="B291" s="9" t="s">
        <v>769</v>
      </c>
      <c r="C291" s="10" t="s">
        <v>412</v>
      </c>
      <c r="D291" s="11">
        <v>1</v>
      </c>
      <c r="E291" s="12">
        <v>11100</v>
      </c>
      <c r="F291" s="13">
        <v>11100</v>
      </c>
      <c r="G291" s="2">
        <f>VLOOKUP(B291,'PO with created By ASR'!A:C,3,FALSE)</f>
        <v>45666</v>
      </c>
      <c r="J291" s="2" t="str">
        <f>VLOOKUP(B291,'PO with created By ASR'!A:G,4,FALSE)</f>
        <v>Kalu Halder............. -CR</v>
      </c>
      <c r="K291" s="2" t="e">
        <f>VLOOKUP(B291,'PO with created By ASR'!A:I,6,FALSE)</f>
        <v>#N/A</v>
      </c>
      <c r="L291" s="2" t="str">
        <f>VLOOKUP(B291,'PO with created By ASR'!A:J,7,FALSE)</f>
        <v>D - Delhi</v>
      </c>
      <c r="M291" s="2" t="str">
        <f>VLOOKUP(B291,'PO with created By ASR'!A:K,8,FALSE)</f>
        <v>Purchase Order-Del</v>
      </c>
      <c r="N291" t="s">
        <v>36</v>
      </c>
      <c r="P291" s="2">
        <v>6</v>
      </c>
    </row>
    <row r="292" s="2" customFormat="1" spans="1:16">
      <c r="A292" s="8"/>
      <c r="B292" s="9" t="s">
        <v>771</v>
      </c>
      <c r="C292" s="10" t="s">
        <v>412</v>
      </c>
      <c r="D292" s="11">
        <v>1</v>
      </c>
      <c r="E292" s="12">
        <v>8132</v>
      </c>
      <c r="F292" s="13">
        <v>8132</v>
      </c>
      <c r="G292" s="2">
        <f>VLOOKUP(B292,'PO with created By ASR'!A:C,3,FALSE)</f>
        <v>45666</v>
      </c>
      <c r="J292" s="2" t="str">
        <f>VLOOKUP(B292,'PO with created By ASR'!A:G,4,FALSE)</f>
        <v>Kalu Halder............. -CR</v>
      </c>
      <c r="K292" s="2" t="e">
        <f>VLOOKUP(B292,'PO with created By ASR'!A:I,6,FALSE)</f>
        <v>#N/A</v>
      </c>
      <c r="L292" s="2" t="str">
        <f>VLOOKUP(B292,'PO with created By ASR'!A:J,7,FALSE)</f>
        <v>D - Delhi</v>
      </c>
      <c r="M292" s="2" t="str">
        <f>VLOOKUP(B292,'PO with created By ASR'!A:K,8,FALSE)</f>
        <v>Purchase Order-Del</v>
      </c>
      <c r="N292" t="s">
        <v>36</v>
      </c>
      <c r="P292" s="2">
        <v>6</v>
      </c>
    </row>
    <row r="293" s="2" customFormat="1" spans="1:16">
      <c r="A293" s="8"/>
      <c r="B293" s="9" t="s">
        <v>772</v>
      </c>
      <c r="C293" s="10" t="s">
        <v>140</v>
      </c>
      <c r="D293" s="11">
        <v>1</v>
      </c>
      <c r="E293" s="12">
        <v>112500</v>
      </c>
      <c r="F293" s="13">
        <v>112500</v>
      </c>
      <c r="G293" s="2">
        <f>VLOOKUP(B293,'PO with created By ASR'!A:C,3,FALSE)</f>
        <v>45666</v>
      </c>
      <c r="J293" s="2" t="str">
        <f>VLOOKUP(B293,'PO with created By ASR'!A:G,4,FALSE)</f>
        <v>Pavni Enterprises-Del</v>
      </c>
      <c r="K293" s="2" t="str">
        <f>VLOOKUP(B293,'PO with created By ASR'!A:I,6,FALSE)</f>
        <v>11122 Pavni Enterprises</v>
      </c>
      <c r="L293" s="2" t="str">
        <f>VLOOKUP(B293,'PO with created By ASR'!A:J,7,FALSE)</f>
        <v>D - Delhi</v>
      </c>
      <c r="M293" s="2" t="str">
        <f>VLOOKUP(B293,'PO with created By ASR'!A:K,8,FALSE)</f>
        <v>Purchase Order-Del</v>
      </c>
      <c r="N293" t="s">
        <v>36</v>
      </c>
      <c r="P293" s="2">
        <v>6</v>
      </c>
    </row>
    <row r="294" s="2" customFormat="1" spans="1:16">
      <c r="A294" s="8"/>
      <c r="B294" s="9" t="s">
        <v>772</v>
      </c>
      <c r="C294" s="10" t="s">
        <v>140</v>
      </c>
      <c r="D294" s="11">
        <v>1</v>
      </c>
      <c r="E294" s="12">
        <v>28800</v>
      </c>
      <c r="F294" s="13">
        <v>28800</v>
      </c>
      <c r="G294" s="2">
        <f>VLOOKUP(B294,'PO with created By ASR'!A:C,3,FALSE)</f>
        <v>45666</v>
      </c>
      <c r="J294" s="2" t="str">
        <f>VLOOKUP(B294,'PO with created By ASR'!A:G,4,FALSE)</f>
        <v>Pavni Enterprises-Del</v>
      </c>
      <c r="K294" s="2" t="str">
        <f>VLOOKUP(B294,'PO with created By ASR'!A:I,6,FALSE)</f>
        <v>11122 Pavni Enterprises</v>
      </c>
      <c r="L294" s="2" t="str">
        <f>VLOOKUP(B294,'PO with created By ASR'!A:J,7,FALSE)</f>
        <v>D - Delhi</v>
      </c>
      <c r="M294" s="2" t="str">
        <f>VLOOKUP(B294,'PO with created By ASR'!A:K,8,FALSE)</f>
        <v>Purchase Order-Del</v>
      </c>
      <c r="N294" t="s">
        <v>36</v>
      </c>
      <c r="P294" s="2">
        <v>6</v>
      </c>
    </row>
    <row r="295" s="2" customFormat="1" spans="1:16">
      <c r="A295" s="8"/>
      <c r="B295" s="9" t="s">
        <v>774</v>
      </c>
      <c r="C295" s="10" t="s">
        <v>777</v>
      </c>
      <c r="D295" s="11">
        <v>1</v>
      </c>
      <c r="E295" s="12">
        <v>12462</v>
      </c>
      <c r="F295" s="13">
        <v>12462</v>
      </c>
      <c r="G295" s="2">
        <f>VLOOKUP(B295,'PO with created By ASR'!A:C,3,FALSE)</f>
        <v>45666</v>
      </c>
      <c r="J295" s="2" t="str">
        <f>VLOOKUP(B295,'PO with created By ASR'!A:G,4,FALSE)</f>
        <v>Login Enterprises-Mum</v>
      </c>
      <c r="K295" s="2" t="str">
        <f>VLOOKUP(B295,'PO with created By ASR'!A:I,6,FALSE)</f>
        <v>12106 Login  Enterprises</v>
      </c>
      <c r="L295" s="2" t="str">
        <f>VLOOKUP(B295,'PO with created By ASR'!A:J,7,FALSE)</f>
        <v>A - Mumbai</v>
      </c>
      <c r="M295" s="2" t="str">
        <f>VLOOKUP(B295,'PO with created By ASR'!A:K,8,FALSE)</f>
        <v>Purchase Order(Gen)-Mum</v>
      </c>
      <c r="N295" t="s">
        <v>36</v>
      </c>
      <c r="P295" s="2">
        <v>6</v>
      </c>
    </row>
    <row r="296" s="2" customFormat="1" spans="1:16">
      <c r="A296" s="8"/>
      <c r="B296" s="9" t="s">
        <v>780</v>
      </c>
      <c r="C296" s="10" t="s">
        <v>317</v>
      </c>
      <c r="D296" s="11">
        <v>1</v>
      </c>
      <c r="E296" s="12">
        <v>275000</v>
      </c>
      <c r="F296" s="13">
        <v>275000</v>
      </c>
      <c r="G296" s="2">
        <f>VLOOKUP(B296,'PO with created By ASR'!A:C,3,FALSE)</f>
        <v>45666</v>
      </c>
      <c r="J296" s="2" t="str">
        <f>VLOOKUP(B296,'PO with created By ASR'!A:G,4,FALSE)</f>
        <v>Sportocraft Enterprises-Mum</v>
      </c>
      <c r="K296" s="2" t="str">
        <f>VLOOKUP(B296,'PO with created By ASR'!A:I,6,FALSE)</f>
        <v>12437 Sportocraft Enterprises</v>
      </c>
      <c r="L296" s="2" t="str">
        <f>VLOOKUP(B296,'PO with created By ASR'!A:J,7,FALSE)</f>
        <v>A - Mumbai</v>
      </c>
      <c r="M296" s="2" t="str">
        <f>VLOOKUP(B296,'PO with created By ASR'!A:K,8,FALSE)</f>
        <v>Purchase Order-Mum</v>
      </c>
      <c r="N296" t="s">
        <v>36</v>
      </c>
      <c r="P296" s="2">
        <v>6</v>
      </c>
    </row>
    <row r="297" s="2" customFormat="1" spans="1:16">
      <c r="A297" s="8"/>
      <c r="B297" s="9" t="s">
        <v>782</v>
      </c>
      <c r="C297" s="10" t="s">
        <v>126</v>
      </c>
      <c r="D297" s="11">
        <v>1</v>
      </c>
      <c r="E297" s="12">
        <v>4140</v>
      </c>
      <c r="F297" s="13">
        <v>4140</v>
      </c>
      <c r="G297" s="2">
        <f>VLOOKUP(B297,'PO with created By ASR'!A:C,3,FALSE)</f>
        <v>45666</v>
      </c>
      <c r="J297" s="2" t="str">
        <f>VLOOKUP(B297,'PO with created By ASR'!A:G,4,FALSE)</f>
        <v>Neetu Prakash Poojary Adv Account-CR</v>
      </c>
      <c r="K297" s="2" t="e">
        <f>VLOOKUP(B297,'PO with created By ASR'!A:I,6,FALSE)</f>
        <v>#N/A</v>
      </c>
      <c r="L297" s="2" t="str">
        <f>VLOOKUP(B297,'PO with created By ASR'!A:J,7,FALSE)</f>
        <v>A - Mumbai</v>
      </c>
      <c r="M297" s="2" t="str">
        <f>VLOOKUP(B297,'PO with created By ASR'!A:K,8,FALSE)</f>
        <v>Purchase Order-Mum</v>
      </c>
      <c r="N297" t="s">
        <v>36</v>
      </c>
      <c r="P297" s="2">
        <v>6</v>
      </c>
    </row>
    <row r="298" s="2" customFormat="1" spans="1:16">
      <c r="A298" s="8"/>
      <c r="B298" s="9" t="s">
        <v>782</v>
      </c>
      <c r="C298" s="10" t="s">
        <v>61</v>
      </c>
      <c r="D298" s="11">
        <v>1</v>
      </c>
      <c r="E298" s="12">
        <v>9871</v>
      </c>
      <c r="F298" s="13">
        <v>9871</v>
      </c>
      <c r="G298" s="2">
        <f>VLOOKUP(B298,'PO with created By ASR'!A:C,3,FALSE)</f>
        <v>45666</v>
      </c>
      <c r="J298" s="2" t="str">
        <f>VLOOKUP(B298,'PO with created By ASR'!A:G,4,FALSE)</f>
        <v>Neetu Prakash Poojary Adv Account-CR</v>
      </c>
      <c r="K298" s="2" t="e">
        <f>VLOOKUP(B298,'PO with created By ASR'!A:I,6,FALSE)</f>
        <v>#N/A</v>
      </c>
      <c r="L298" s="2" t="str">
        <f>VLOOKUP(B298,'PO with created By ASR'!A:J,7,FALSE)</f>
        <v>A - Mumbai</v>
      </c>
      <c r="M298" s="2" t="str">
        <f>VLOOKUP(B298,'PO with created By ASR'!A:K,8,FALSE)</f>
        <v>Purchase Order-Mum</v>
      </c>
      <c r="N298" t="s">
        <v>36</v>
      </c>
      <c r="P298" s="2">
        <v>6</v>
      </c>
    </row>
    <row r="299" s="2" customFormat="1" spans="1:16">
      <c r="A299" s="8"/>
      <c r="B299" s="9" t="s">
        <v>784</v>
      </c>
      <c r="C299" s="10" t="s">
        <v>787</v>
      </c>
      <c r="D299" s="11">
        <v>1</v>
      </c>
      <c r="E299" s="12">
        <v>213760</v>
      </c>
      <c r="F299" s="13">
        <v>213760</v>
      </c>
      <c r="G299" s="2">
        <f>VLOOKUP(B299,'PO with created By ASR'!A:C,3,FALSE)</f>
        <v>45666</v>
      </c>
      <c r="J299" s="2" t="str">
        <f>VLOOKUP(B299,'PO with created By ASR'!A:G,4,FALSE)</f>
        <v>Ushta Te Consultancy Services LLP-Mum</v>
      </c>
      <c r="K299" s="2" t="str">
        <f>VLOOKUP(B299,'PO with created By ASR'!A:I,6,FALSE)</f>
        <v>12575 Ushta Te Consultancy Services LLP</v>
      </c>
      <c r="L299" s="2" t="str">
        <f>VLOOKUP(B299,'PO with created By ASR'!A:J,7,FALSE)</f>
        <v>A - Mumbai</v>
      </c>
      <c r="M299" s="2" t="str">
        <f>VLOOKUP(B299,'PO with created By ASR'!A:K,8,FALSE)</f>
        <v>Purchase Order-Mum</v>
      </c>
      <c r="N299" t="s">
        <v>36</v>
      </c>
      <c r="P299" s="2">
        <v>6</v>
      </c>
    </row>
    <row r="300" s="2" customFormat="1" spans="1:16">
      <c r="A300" s="8"/>
      <c r="B300" s="9" t="s">
        <v>791</v>
      </c>
      <c r="C300" s="10" t="s">
        <v>347</v>
      </c>
      <c r="D300" s="11">
        <v>1</v>
      </c>
      <c r="E300" s="12">
        <v>160000</v>
      </c>
      <c r="F300" s="13">
        <v>160000</v>
      </c>
      <c r="G300" s="2">
        <f>VLOOKUP(B300,'PO with created By ASR'!A:C,3,FALSE)</f>
        <v>45666</v>
      </c>
      <c r="J300" s="2" t="str">
        <f>VLOOKUP(B300,'PO with created By ASR'!A:G,4,FALSE)</f>
        <v>Fisheye-Mum</v>
      </c>
      <c r="K300" s="2" t="e">
        <f>VLOOKUP(B300,'PO with created By ASR'!A:I,6,FALSE)</f>
        <v>#N/A</v>
      </c>
      <c r="L300" s="2" t="str">
        <f>VLOOKUP(B300,'PO with created By ASR'!A:J,7,FALSE)</f>
        <v>A - Mumbai</v>
      </c>
      <c r="M300" s="2" t="str">
        <f>VLOOKUP(B300,'PO with created By ASR'!A:K,8,FALSE)</f>
        <v>Purchase Order-Mum</v>
      </c>
      <c r="N300" t="s">
        <v>36</v>
      </c>
      <c r="P300" s="2">
        <v>6</v>
      </c>
    </row>
    <row r="301" s="2" customFormat="1" spans="1:16">
      <c r="A301" s="8"/>
      <c r="B301" s="9" t="s">
        <v>796</v>
      </c>
      <c r="C301" s="10" t="s">
        <v>196</v>
      </c>
      <c r="D301" s="11">
        <v>1</v>
      </c>
      <c r="E301" s="12">
        <v>9835</v>
      </c>
      <c r="F301" s="13">
        <v>9835</v>
      </c>
      <c r="G301" s="2">
        <f>VLOOKUP(B301,'PO with created By ASR'!A:C,3,FALSE)</f>
        <v>45666</v>
      </c>
      <c r="J301" s="2" t="str">
        <f>VLOOKUP(B301,'PO with created By ASR'!A:G,4,FALSE)</f>
        <v>Login Enterprises-Mum</v>
      </c>
      <c r="K301" s="2" t="str">
        <f>VLOOKUP(B301,'PO with created By ASR'!A:I,6,FALSE)</f>
        <v>12106 Login  Enterprises</v>
      </c>
      <c r="L301" s="2" t="str">
        <f>VLOOKUP(B301,'PO with created By ASR'!A:J,7,FALSE)</f>
        <v>A - Mumbai</v>
      </c>
      <c r="M301" s="2" t="str">
        <f>VLOOKUP(B301,'PO with created By ASR'!A:K,8,FALSE)</f>
        <v>Purchase Order-Mum</v>
      </c>
      <c r="N301" t="s">
        <v>36</v>
      </c>
      <c r="P301" s="2">
        <v>6</v>
      </c>
    </row>
    <row r="302" s="2" customFormat="1" spans="1:16">
      <c r="A302" s="8"/>
      <c r="B302" s="9" t="s">
        <v>799</v>
      </c>
      <c r="C302" s="10" t="s">
        <v>292</v>
      </c>
      <c r="D302" s="11">
        <v>1</v>
      </c>
      <c r="E302" s="12">
        <v>6500</v>
      </c>
      <c r="F302" s="13">
        <v>6500</v>
      </c>
      <c r="G302" s="2">
        <f>VLOOKUP(B302,'PO with created By ASR'!A:C,3,FALSE)</f>
        <v>45666</v>
      </c>
      <c r="J302" s="2" t="str">
        <f>VLOOKUP(B302,'PO with created By ASR'!A:G,4,FALSE)</f>
        <v>Emblaze Events (Sunita Harihar Sharma)-Mum</v>
      </c>
      <c r="K302" s="2" t="str">
        <f>VLOOKUP(B302,'PO with created By ASR'!A:I,6,FALSE)</f>
        <v>11869 Emblaze Events (Sunita Harihar Sharma)</v>
      </c>
      <c r="L302" s="2" t="str">
        <f>VLOOKUP(B302,'PO with created By ASR'!A:J,7,FALSE)</f>
        <v>A - Mumbai</v>
      </c>
      <c r="M302" s="2" t="str">
        <f>VLOOKUP(B302,'PO with created By ASR'!A:K,8,FALSE)</f>
        <v>Purchase Order-Mum</v>
      </c>
      <c r="N302" t="s">
        <v>36</v>
      </c>
      <c r="P302" s="2">
        <v>6</v>
      </c>
    </row>
    <row r="303" s="2" customFormat="1" spans="1:16">
      <c r="A303" s="8"/>
      <c r="B303" s="9" t="s">
        <v>801</v>
      </c>
      <c r="C303" s="10" t="s">
        <v>803</v>
      </c>
      <c r="D303" s="11">
        <v>1</v>
      </c>
      <c r="E303" s="12">
        <v>56554.97</v>
      </c>
      <c r="F303" s="13">
        <v>56554.97</v>
      </c>
      <c r="G303" s="2">
        <f>VLOOKUP(B303,'PO with created By ASR'!A:C,3,FALSE)</f>
        <v>45666</v>
      </c>
      <c r="J303" s="2" t="str">
        <f>VLOOKUP(B303,'PO with created By ASR'!A:G,4,FALSE)</f>
        <v>Shutterstock.Inc-Mum</v>
      </c>
      <c r="K303" s="2" t="e">
        <f>VLOOKUP(B303,'PO with created By ASR'!A:I,6,FALSE)</f>
        <v>#N/A</v>
      </c>
      <c r="L303" s="2" t="str">
        <f>VLOOKUP(B303,'PO with created By ASR'!A:J,7,FALSE)</f>
        <v>A - Mumbai</v>
      </c>
      <c r="M303" s="2" t="str">
        <f>VLOOKUP(B303,'PO with created By ASR'!A:K,8,FALSE)</f>
        <v>Purchase Order-Mum</v>
      </c>
      <c r="N303" t="s">
        <v>36</v>
      </c>
      <c r="P303" s="2">
        <v>6</v>
      </c>
    </row>
    <row r="304" s="2" customFormat="1" spans="1:16">
      <c r="A304" s="8"/>
      <c r="B304" s="9" t="s">
        <v>806</v>
      </c>
      <c r="C304" s="10" t="s">
        <v>205</v>
      </c>
      <c r="D304" s="11">
        <v>1</v>
      </c>
      <c r="E304" s="12">
        <v>6500</v>
      </c>
      <c r="F304" s="13">
        <v>6500</v>
      </c>
      <c r="G304" s="2">
        <f>VLOOKUP(B304,'PO with created By ASR'!A:C,3,FALSE)</f>
        <v>45667</v>
      </c>
      <c r="J304" s="2" t="str">
        <f>VLOOKUP(B304,'PO with created By ASR'!A:G,4,FALSE)</f>
        <v>Balaji Cargo Movers-Blr</v>
      </c>
      <c r="K304" s="2" t="str">
        <f>VLOOKUP(B304,'PO with created By ASR'!A:I,6,FALSE)</f>
        <v>11505 Balaji Cargo Movers</v>
      </c>
      <c r="L304" s="2" t="str">
        <f>VLOOKUP(B304,'PO with created By ASR'!A:J,7,FALSE)</f>
        <v>B - Bangalore</v>
      </c>
      <c r="M304" s="2" t="str">
        <f>VLOOKUP(B304,'PO with created By ASR'!A:K,8,FALSE)</f>
        <v>Purchase Order-Blr</v>
      </c>
      <c r="N304" t="s">
        <v>36</v>
      </c>
      <c r="P304" s="2">
        <v>6</v>
      </c>
    </row>
    <row r="305" s="2" customFormat="1" spans="1:16">
      <c r="A305" s="8"/>
      <c r="B305" s="9" t="s">
        <v>812</v>
      </c>
      <c r="C305" s="10" t="s">
        <v>205</v>
      </c>
      <c r="D305" s="11">
        <v>1</v>
      </c>
      <c r="E305" s="12">
        <v>3500</v>
      </c>
      <c r="F305" s="13">
        <v>3500</v>
      </c>
      <c r="G305" s="2">
        <f>VLOOKUP(B305,'PO with created By ASR'!A:C,3,FALSE)</f>
        <v>45667</v>
      </c>
      <c r="J305" s="2" t="str">
        <f>VLOOKUP(B305,'PO with created By ASR'!A:G,4,FALSE)</f>
        <v>Balaji Cargo Movers-Blr</v>
      </c>
      <c r="K305" s="2" t="str">
        <f>VLOOKUP(B305,'PO with created By ASR'!A:I,6,FALSE)</f>
        <v>11505 Balaji Cargo Movers</v>
      </c>
      <c r="L305" s="2" t="str">
        <f>VLOOKUP(B305,'PO with created By ASR'!A:J,7,FALSE)</f>
        <v>B - Bangalore</v>
      </c>
      <c r="M305" s="2" t="str">
        <f>VLOOKUP(B305,'PO with created By ASR'!A:K,8,FALSE)</f>
        <v>Purchase Order-Blr</v>
      </c>
      <c r="N305" t="s">
        <v>36</v>
      </c>
      <c r="P305" s="2">
        <v>6</v>
      </c>
    </row>
    <row r="306" s="2" customFormat="1" spans="1:16">
      <c r="A306" s="8"/>
      <c r="B306" s="9" t="s">
        <v>814</v>
      </c>
      <c r="C306" s="10" t="s">
        <v>61</v>
      </c>
      <c r="D306" s="11">
        <v>1</v>
      </c>
      <c r="E306" s="12">
        <v>28000</v>
      </c>
      <c r="F306" s="13">
        <v>28000</v>
      </c>
      <c r="G306" s="2">
        <f>VLOOKUP(B306,'PO with created By ASR'!A:C,3,FALSE)</f>
        <v>45667</v>
      </c>
      <c r="J306" s="2" t="str">
        <f>VLOOKUP(B306,'PO with created By ASR'!A:G,4,FALSE)</f>
        <v>Welcom Hotel Bengaluru (ITC Hotels Ltd)-Blr</v>
      </c>
      <c r="K306" s="2" t="str">
        <f>VLOOKUP(B306,'PO with created By ASR'!A:I,6,FALSE)</f>
        <v>12873  Welcom Hotel Bengaluru (ITC Hotels Ltd)</v>
      </c>
      <c r="L306" s="2" t="str">
        <f>VLOOKUP(B306,'PO with created By ASR'!A:J,7,FALSE)</f>
        <v>B - Bangalore</v>
      </c>
      <c r="M306" s="2" t="str">
        <f>VLOOKUP(B306,'PO with created By ASR'!A:K,8,FALSE)</f>
        <v>Purchase Order-Blr</v>
      </c>
      <c r="N306" t="s">
        <v>36</v>
      </c>
      <c r="P306" s="2">
        <v>6</v>
      </c>
    </row>
    <row r="307" s="2" customFormat="1" spans="1:16">
      <c r="A307" s="8"/>
      <c r="B307" s="9" t="s">
        <v>814</v>
      </c>
      <c r="C307" s="10" t="s">
        <v>61</v>
      </c>
      <c r="D307" s="11">
        <v>1</v>
      </c>
      <c r="E307" s="12">
        <v>13500</v>
      </c>
      <c r="F307" s="13">
        <v>13500</v>
      </c>
      <c r="G307" s="2">
        <f>VLOOKUP(B307,'PO with created By ASR'!A:C,3,FALSE)</f>
        <v>45667</v>
      </c>
      <c r="J307" s="2" t="str">
        <f>VLOOKUP(B307,'PO with created By ASR'!A:G,4,FALSE)</f>
        <v>Welcom Hotel Bengaluru (ITC Hotels Ltd)-Blr</v>
      </c>
      <c r="K307" s="2" t="str">
        <f>VLOOKUP(B307,'PO with created By ASR'!A:I,6,FALSE)</f>
        <v>12873  Welcom Hotel Bengaluru (ITC Hotels Ltd)</v>
      </c>
      <c r="L307" s="2" t="str">
        <f>VLOOKUP(B307,'PO with created By ASR'!A:J,7,FALSE)</f>
        <v>B - Bangalore</v>
      </c>
      <c r="M307" s="2" t="str">
        <f>VLOOKUP(B307,'PO with created By ASR'!A:K,8,FALSE)</f>
        <v>Purchase Order-Blr</v>
      </c>
      <c r="N307" t="s">
        <v>36</v>
      </c>
      <c r="P307" s="2">
        <v>6</v>
      </c>
    </row>
    <row r="308" s="2" customFormat="1" spans="1:16">
      <c r="A308" s="8"/>
      <c r="B308" s="9" t="s">
        <v>817</v>
      </c>
      <c r="C308" s="10" t="s">
        <v>250</v>
      </c>
      <c r="D308" s="11">
        <v>1</v>
      </c>
      <c r="E308" s="12">
        <v>75000</v>
      </c>
      <c r="F308" s="13">
        <v>75000</v>
      </c>
      <c r="G308" s="2">
        <f>VLOOKUP(B308,'PO with created By ASR'!A:C,3,FALSE)</f>
        <v>45667</v>
      </c>
      <c r="J308" s="2" t="str">
        <f>VLOOKUP(B308,'PO with created By ASR'!A:G,4,FALSE)</f>
        <v>Uvfx-Blr</v>
      </c>
      <c r="K308" s="2" t="e">
        <f>VLOOKUP(B308,'PO with created By ASR'!A:I,6,FALSE)</f>
        <v>#N/A</v>
      </c>
      <c r="L308" s="2" t="str">
        <f>VLOOKUP(B308,'PO with created By ASR'!A:J,7,FALSE)</f>
        <v>B - Bangalore</v>
      </c>
      <c r="M308" s="2" t="str">
        <f>VLOOKUP(B308,'PO with created By ASR'!A:K,8,FALSE)</f>
        <v>Purchase Order-Blr</v>
      </c>
      <c r="N308" t="s">
        <v>36</v>
      </c>
      <c r="P308" s="2">
        <v>6</v>
      </c>
    </row>
    <row r="309" s="2" customFormat="1" spans="1:16">
      <c r="A309" s="8"/>
      <c r="B309" s="9" t="s">
        <v>819</v>
      </c>
      <c r="C309" s="10" t="s">
        <v>250</v>
      </c>
      <c r="D309" s="11">
        <v>1</v>
      </c>
      <c r="E309" s="12">
        <v>156000</v>
      </c>
      <c r="F309" s="13">
        <v>156000</v>
      </c>
      <c r="G309" s="2">
        <f>VLOOKUP(B309,'PO with created By ASR'!A:C,3,FALSE)</f>
        <v>45667</v>
      </c>
      <c r="J309" s="2" t="str">
        <f>VLOOKUP(B309,'PO with created By ASR'!A:G,4,FALSE)</f>
        <v>Uvfx-Blr</v>
      </c>
      <c r="K309" s="2" t="e">
        <f>VLOOKUP(B309,'PO with created By ASR'!A:I,6,FALSE)</f>
        <v>#N/A</v>
      </c>
      <c r="L309" s="2" t="str">
        <f>VLOOKUP(B309,'PO with created By ASR'!A:J,7,FALSE)</f>
        <v>B - Bangalore</v>
      </c>
      <c r="M309" s="2" t="str">
        <f>VLOOKUP(B309,'PO with created By ASR'!A:K,8,FALSE)</f>
        <v>Purchase Order-Blr</v>
      </c>
      <c r="N309" t="s">
        <v>36</v>
      </c>
      <c r="P309" s="2">
        <v>6</v>
      </c>
    </row>
    <row r="310" s="2" customFormat="1" spans="1:16">
      <c r="A310" s="8"/>
      <c r="B310" s="9" t="s">
        <v>820</v>
      </c>
      <c r="C310" s="10" t="s">
        <v>823</v>
      </c>
      <c r="D310" s="11">
        <v>1</v>
      </c>
      <c r="E310" s="12">
        <v>44500</v>
      </c>
      <c r="F310" s="13">
        <v>44500</v>
      </c>
      <c r="G310" s="2">
        <f>VLOOKUP(B310,'PO with created By ASR'!A:C,3,FALSE)</f>
        <v>45667</v>
      </c>
      <c r="J310" s="2" t="str">
        <f>VLOOKUP(B310,'PO with created By ASR'!A:G,4,FALSE)</f>
        <v>Shah Jaju &amp; Associates-Mum</v>
      </c>
      <c r="K310" s="2" t="str">
        <f>VLOOKUP(B310,'PO with created By ASR'!A:I,6,FALSE)</f>
        <v>12840 Shah Jaju &amp; Associates</v>
      </c>
      <c r="L310" s="2" t="str">
        <f>VLOOKUP(B310,'PO with created By ASR'!A:J,7,FALSE)</f>
        <v>B - Bangalore</v>
      </c>
      <c r="M310" s="2" t="str">
        <f>VLOOKUP(B310,'PO with created By ASR'!A:K,8,FALSE)</f>
        <v>Purchase Order-Blr</v>
      </c>
      <c r="N310" t="s">
        <v>36</v>
      </c>
      <c r="P310" s="2">
        <v>6</v>
      </c>
    </row>
    <row r="311" s="2" customFormat="1" spans="1:16">
      <c r="A311" s="8"/>
      <c r="B311" s="9" t="s">
        <v>826</v>
      </c>
      <c r="C311" s="10" t="s">
        <v>526</v>
      </c>
      <c r="D311" s="11">
        <v>1</v>
      </c>
      <c r="E311" s="12">
        <v>6500</v>
      </c>
      <c r="F311" s="13">
        <v>6500</v>
      </c>
      <c r="G311" s="2">
        <f>VLOOKUP(B311,'PO with created By ASR'!A:C,3,FALSE)</f>
        <v>45667</v>
      </c>
      <c r="J311" s="2" t="str">
        <f>VLOOKUP(B311,'PO with created By ASR'!A:G,4,FALSE)</f>
        <v>Infutech Solutions-Blr</v>
      </c>
      <c r="K311" s="2" t="str">
        <f>VLOOKUP(B311,'PO with created By ASR'!A:I,6,FALSE)</f>
        <v>12027 Infutech Solutions</v>
      </c>
      <c r="L311" s="2" t="str">
        <f>VLOOKUP(B311,'PO with created By ASR'!A:J,7,FALSE)</f>
        <v>B - Bangalore</v>
      </c>
      <c r="M311" s="2" t="str">
        <f>VLOOKUP(B311,'PO with created By ASR'!A:K,8,FALSE)</f>
        <v>Purchase Order-Blr</v>
      </c>
      <c r="N311" t="s">
        <v>36</v>
      </c>
      <c r="P311" s="2">
        <v>6</v>
      </c>
    </row>
    <row r="312" s="2" customFormat="1" spans="1:16">
      <c r="A312" s="8"/>
      <c r="B312" s="9" t="s">
        <v>829</v>
      </c>
      <c r="C312" s="10" t="s">
        <v>126</v>
      </c>
      <c r="D312" s="11">
        <v>1</v>
      </c>
      <c r="E312" s="12">
        <v>630</v>
      </c>
      <c r="F312" s="13">
        <v>630</v>
      </c>
      <c r="G312" s="2">
        <f>VLOOKUP(B312,'PO with created By ASR'!A:C,3,FALSE)</f>
        <v>45667</v>
      </c>
      <c r="J312" s="2" t="str">
        <f>VLOOKUP(B312,'PO with created By ASR'!A:G,4,FALSE)</f>
        <v>Shiva Shankar  -CR</v>
      </c>
      <c r="K312" s="2" t="e">
        <f>VLOOKUP(B312,'PO with created By ASR'!A:I,6,FALSE)</f>
        <v>#N/A</v>
      </c>
      <c r="L312" s="2" t="str">
        <f>VLOOKUP(B312,'PO with created By ASR'!A:J,7,FALSE)</f>
        <v>B - Bangalore</v>
      </c>
      <c r="M312" s="2" t="str">
        <f>VLOOKUP(B312,'PO with created By ASR'!A:K,8,FALSE)</f>
        <v>Purchase Order-Blr</v>
      </c>
      <c r="N312" t="s">
        <v>36</v>
      </c>
      <c r="P312" s="2">
        <v>6</v>
      </c>
    </row>
    <row r="313" s="2" customFormat="1" spans="1:16">
      <c r="A313" s="8"/>
      <c r="B313" s="9" t="s">
        <v>829</v>
      </c>
      <c r="C313" s="10" t="s">
        <v>412</v>
      </c>
      <c r="D313" s="11">
        <v>1</v>
      </c>
      <c r="E313" s="12">
        <v>255</v>
      </c>
      <c r="F313" s="13">
        <v>255</v>
      </c>
      <c r="G313" s="2">
        <f>VLOOKUP(B313,'PO with created By ASR'!A:C,3,FALSE)</f>
        <v>45667</v>
      </c>
      <c r="J313" s="2" t="str">
        <f>VLOOKUP(B313,'PO with created By ASR'!A:G,4,FALSE)</f>
        <v>Shiva Shankar  -CR</v>
      </c>
      <c r="K313" s="2" t="e">
        <f>VLOOKUP(B313,'PO with created By ASR'!A:I,6,FALSE)</f>
        <v>#N/A</v>
      </c>
      <c r="L313" s="2" t="str">
        <f>VLOOKUP(B313,'PO with created By ASR'!A:J,7,FALSE)</f>
        <v>B - Bangalore</v>
      </c>
      <c r="M313" s="2" t="str">
        <f>VLOOKUP(B313,'PO with created By ASR'!A:K,8,FALSE)</f>
        <v>Purchase Order-Blr</v>
      </c>
      <c r="N313" t="s">
        <v>36</v>
      </c>
      <c r="P313" s="2">
        <v>6</v>
      </c>
    </row>
    <row r="314" s="2" customFormat="1" spans="1:16">
      <c r="A314" s="8"/>
      <c r="B314" s="9" t="s">
        <v>834</v>
      </c>
      <c r="C314" s="10" t="s">
        <v>837</v>
      </c>
      <c r="D314" s="11">
        <v>1</v>
      </c>
      <c r="E314" s="12">
        <v>1242</v>
      </c>
      <c r="F314" s="13">
        <v>1242</v>
      </c>
      <c r="G314" s="2">
        <f>VLOOKUP(B314,'PO with created By ASR'!A:C,3,FALSE)</f>
        <v>45667</v>
      </c>
      <c r="J314" s="2" t="str">
        <f>VLOOKUP(B314,'PO with created By ASR'!A:G,4,FALSE)</f>
        <v>Sri Venkateshwara Enterprises-Blr</v>
      </c>
      <c r="K314" s="2" t="str">
        <f>VLOOKUP(B314,'PO with created By ASR'!A:I,6,FALSE)</f>
        <v>11528 Sri Venkateshwara Enterprises</v>
      </c>
      <c r="L314" s="2" t="str">
        <f>VLOOKUP(B314,'PO with created By ASR'!A:J,7,FALSE)</f>
        <v>B - Bangalore</v>
      </c>
      <c r="M314" s="2" t="str">
        <f>VLOOKUP(B314,'PO with created By ASR'!A:K,8,FALSE)</f>
        <v>Purchase Order-Blr</v>
      </c>
      <c r="N314" t="s">
        <v>36</v>
      </c>
      <c r="P314" s="2">
        <v>6</v>
      </c>
    </row>
    <row r="315" s="2" customFormat="1" spans="1:16">
      <c r="A315" s="8"/>
      <c r="B315" s="9" t="s">
        <v>838</v>
      </c>
      <c r="C315" s="10" t="s">
        <v>126</v>
      </c>
      <c r="D315" s="11">
        <v>1</v>
      </c>
      <c r="E315" s="12">
        <v>2674</v>
      </c>
      <c r="F315" s="13">
        <v>2674</v>
      </c>
      <c r="G315" s="2">
        <f>VLOOKUP(B315,'PO with created By ASR'!A:C,3,FALSE)</f>
        <v>45667</v>
      </c>
      <c r="J315" s="2" t="str">
        <f>VLOOKUP(B315,'PO with created By ASR'!A:G,4,FALSE)</f>
        <v>Samarth Kapoor  -CR</v>
      </c>
      <c r="K315" s="2" t="e">
        <f>VLOOKUP(B315,'PO with created By ASR'!A:I,6,FALSE)</f>
        <v>#N/A</v>
      </c>
      <c r="L315" s="2" t="str">
        <f>VLOOKUP(B315,'PO with created By ASR'!A:J,7,FALSE)</f>
        <v>D - Delhi</v>
      </c>
      <c r="M315" s="2" t="str">
        <f>VLOOKUP(B315,'PO with created By ASR'!A:K,8,FALSE)</f>
        <v>Purchase Order-Del</v>
      </c>
      <c r="N315" t="s">
        <v>36</v>
      </c>
      <c r="P315" s="2">
        <v>6</v>
      </c>
    </row>
    <row r="316" s="2" customFormat="1" spans="1:16">
      <c r="A316" s="8"/>
      <c r="B316" s="9" t="s">
        <v>840</v>
      </c>
      <c r="C316" s="10" t="s">
        <v>233</v>
      </c>
      <c r="D316" s="11">
        <v>1</v>
      </c>
      <c r="E316" s="12">
        <v>2959</v>
      </c>
      <c r="F316" s="13">
        <v>2959</v>
      </c>
      <c r="G316" s="2">
        <f>VLOOKUP(B316,'PO with created By ASR'!A:C,3,FALSE)</f>
        <v>45667</v>
      </c>
      <c r="J316" s="2" t="str">
        <f>VLOOKUP(B316,'PO with created By ASR'!A:G,4,FALSE)</f>
        <v>Vijayant Singh-Del</v>
      </c>
      <c r="K316" s="2" t="str">
        <f>VLOOKUP(B316,'PO with created By ASR'!A:I,6,FALSE)</f>
        <v>10994 Vijayant Singh</v>
      </c>
      <c r="L316" s="2" t="str">
        <f>VLOOKUP(B316,'PO with created By ASR'!A:J,7,FALSE)</f>
        <v>D - Delhi</v>
      </c>
      <c r="M316" s="2" t="str">
        <f>VLOOKUP(B316,'PO with created By ASR'!A:K,8,FALSE)</f>
        <v>Purchase Order-Del</v>
      </c>
      <c r="N316" t="s">
        <v>36</v>
      </c>
      <c r="P316" s="2">
        <v>6</v>
      </c>
    </row>
    <row r="317" s="2" customFormat="1" spans="1:16">
      <c r="A317" s="8"/>
      <c r="B317" s="9" t="s">
        <v>845</v>
      </c>
      <c r="C317" s="10" t="s">
        <v>126</v>
      </c>
      <c r="D317" s="11">
        <v>1</v>
      </c>
      <c r="E317" s="12">
        <v>4508</v>
      </c>
      <c r="F317" s="13">
        <v>4508</v>
      </c>
      <c r="G317" s="2">
        <f>VLOOKUP(B317,'PO with created By ASR'!A:C,3,FALSE)</f>
        <v>45667</v>
      </c>
      <c r="J317" s="2" t="str">
        <f>VLOOKUP(B317,'PO with created By ASR'!A:G,4,FALSE)</f>
        <v>Himanshi Sharma  -CR</v>
      </c>
      <c r="K317" s="2" t="e">
        <f>VLOOKUP(B317,'PO with created By ASR'!A:I,6,FALSE)</f>
        <v>#N/A</v>
      </c>
      <c r="L317" s="2" t="str">
        <f>VLOOKUP(B317,'PO with created By ASR'!A:J,7,FALSE)</f>
        <v>D - Delhi</v>
      </c>
      <c r="M317" s="2" t="str">
        <f>VLOOKUP(B317,'PO with created By ASR'!A:K,8,FALSE)</f>
        <v>Purchase Order-Del</v>
      </c>
      <c r="N317" t="s">
        <v>36</v>
      </c>
      <c r="P317" s="2">
        <v>6</v>
      </c>
    </row>
    <row r="318" s="2" customFormat="1" spans="1:16">
      <c r="A318" s="8"/>
      <c r="B318" s="9" t="s">
        <v>845</v>
      </c>
      <c r="C318" s="10" t="s">
        <v>412</v>
      </c>
      <c r="D318" s="11">
        <v>1</v>
      </c>
      <c r="E318" s="12">
        <v>1708</v>
      </c>
      <c r="F318" s="13">
        <v>1708</v>
      </c>
      <c r="G318" s="2">
        <f>VLOOKUP(B318,'PO with created By ASR'!A:C,3,FALSE)</f>
        <v>45667</v>
      </c>
      <c r="J318" s="2" t="str">
        <f>VLOOKUP(B318,'PO with created By ASR'!A:G,4,FALSE)</f>
        <v>Himanshi Sharma  -CR</v>
      </c>
      <c r="K318" s="2" t="e">
        <f>VLOOKUP(B318,'PO with created By ASR'!A:I,6,FALSE)</f>
        <v>#N/A</v>
      </c>
      <c r="L318" s="2" t="str">
        <f>VLOOKUP(B318,'PO with created By ASR'!A:J,7,FALSE)</f>
        <v>D - Delhi</v>
      </c>
      <c r="M318" s="2" t="str">
        <f>VLOOKUP(B318,'PO with created By ASR'!A:K,8,FALSE)</f>
        <v>Purchase Order-Del</v>
      </c>
      <c r="N318" t="s">
        <v>36</v>
      </c>
      <c r="P318" s="2">
        <v>6</v>
      </c>
    </row>
    <row r="319" s="2" customFormat="1" spans="1:16">
      <c r="A319" s="8"/>
      <c r="B319" s="9" t="s">
        <v>849</v>
      </c>
      <c r="C319" s="10" t="s">
        <v>126</v>
      </c>
      <c r="D319" s="11">
        <v>1</v>
      </c>
      <c r="E319" s="12">
        <v>2400</v>
      </c>
      <c r="F319" s="13">
        <v>2400</v>
      </c>
      <c r="G319" s="2">
        <f>VLOOKUP(B319,'PO with created By ASR'!A:C,3,FALSE)</f>
        <v>45667</v>
      </c>
      <c r="J319" s="2" t="str">
        <f>VLOOKUP(B319,'PO with created By ASR'!A:G,4,FALSE)</f>
        <v>Rakesh Kumar  -CR</v>
      </c>
      <c r="K319" s="2" t="e">
        <f>VLOOKUP(B319,'PO with created By ASR'!A:I,6,FALSE)</f>
        <v>#N/A</v>
      </c>
      <c r="L319" s="2" t="str">
        <f>VLOOKUP(B319,'PO with created By ASR'!A:J,7,FALSE)</f>
        <v>D - Delhi</v>
      </c>
      <c r="M319" s="2" t="str">
        <f>VLOOKUP(B319,'PO with created By ASR'!A:K,8,FALSE)</f>
        <v>Purchase Order-Del</v>
      </c>
      <c r="N319" t="s">
        <v>36</v>
      </c>
      <c r="P319" s="2">
        <v>6</v>
      </c>
    </row>
    <row r="320" s="2" customFormat="1" spans="1:16">
      <c r="A320" s="8"/>
      <c r="B320" s="9" t="s">
        <v>852</v>
      </c>
      <c r="C320" s="10" t="s">
        <v>317</v>
      </c>
      <c r="D320" s="11">
        <v>1</v>
      </c>
      <c r="E320" s="12">
        <v>108474.6</v>
      </c>
      <c r="F320" s="13">
        <v>108474.6</v>
      </c>
      <c r="G320" s="2">
        <f>VLOOKUP(B320,'PO with created By ASR'!A:C,3,FALSE)</f>
        <v>45667</v>
      </c>
      <c r="J320" s="2" t="str">
        <f>VLOOKUP(B320,'PO with created By ASR'!A:G,4,FALSE)</f>
        <v>Ngenius Brand Interaction Pvt Ltd-Del</v>
      </c>
      <c r="K320" s="2" t="str">
        <f>VLOOKUP(B320,'PO with created By ASR'!A:I,6,FALSE)</f>
        <v>12201  Ngenius Brand Interaction Pvt Ltd</v>
      </c>
      <c r="L320" s="2" t="str">
        <f>VLOOKUP(B320,'PO with created By ASR'!A:J,7,FALSE)</f>
        <v>D - Delhi</v>
      </c>
      <c r="M320" s="2" t="str">
        <f>VLOOKUP(B320,'PO with created By ASR'!A:K,8,FALSE)</f>
        <v>Purchase Order-Del</v>
      </c>
      <c r="N320" t="s">
        <v>36</v>
      </c>
      <c r="P320" s="2">
        <v>6</v>
      </c>
    </row>
    <row r="321" s="2" customFormat="1" spans="1:16">
      <c r="A321" s="8"/>
      <c r="B321" s="9" t="s">
        <v>855</v>
      </c>
      <c r="C321" s="10" t="s">
        <v>126</v>
      </c>
      <c r="D321" s="11">
        <v>1</v>
      </c>
      <c r="E321" s="12">
        <v>1431</v>
      </c>
      <c r="F321" s="13">
        <v>1431</v>
      </c>
      <c r="G321" s="2">
        <f>VLOOKUP(B321,'PO with created By ASR'!A:C,3,FALSE)</f>
        <v>45667</v>
      </c>
      <c r="J321" s="2" t="str">
        <f>VLOOKUP(B321,'PO with created By ASR'!A:G,4,FALSE)</f>
        <v>Sajid Khan  -CR</v>
      </c>
      <c r="K321" s="2" t="e">
        <f>VLOOKUP(B321,'PO with created By ASR'!A:I,6,FALSE)</f>
        <v>#N/A</v>
      </c>
      <c r="L321" s="2" t="str">
        <f>VLOOKUP(B321,'PO with created By ASR'!A:J,7,FALSE)</f>
        <v>D - Delhi</v>
      </c>
      <c r="M321" s="2" t="str">
        <f>VLOOKUP(B321,'PO with created By ASR'!A:K,8,FALSE)</f>
        <v>Purchase Order-Del</v>
      </c>
      <c r="N321" t="s">
        <v>36</v>
      </c>
      <c r="P321" s="2">
        <v>6</v>
      </c>
    </row>
    <row r="322" s="2" customFormat="1" spans="1:16">
      <c r="A322" s="8"/>
      <c r="B322" s="9" t="s">
        <v>859</v>
      </c>
      <c r="C322" s="10" t="s">
        <v>317</v>
      </c>
      <c r="D322" s="11">
        <v>1</v>
      </c>
      <c r="E322" s="12">
        <v>2311</v>
      </c>
      <c r="F322" s="13">
        <v>2311</v>
      </c>
      <c r="G322" s="2">
        <f>VLOOKUP(B322,'PO with created By ASR'!A:C,3,FALSE)</f>
        <v>45667</v>
      </c>
      <c r="J322" s="2" t="str">
        <f>VLOOKUP(B322,'PO with created By ASR'!A:G,4,FALSE)</f>
        <v>Mahendra Mane -CR</v>
      </c>
      <c r="K322" s="2" t="e">
        <f>VLOOKUP(B322,'PO with created By ASR'!A:I,6,FALSE)</f>
        <v>#N/A</v>
      </c>
      <c r="L322" s="2" t="str">
        <f>VLOOKUP(B322,'PO with created By ASR'!A:J,7,FALSE)</f>
        <v>A - Mumbai</v>
      </c>
      <c r="M322" s="2" t="str">
        <f>VLOOKUP(B322,'PO with created By ASR'!A:K,8,FALSE)</f>
        <v>Purchase Order-Mum</v>
      </c>
      <c r="N322" t="s">
        <v>36</v>
      </c>
      <c r="P322" s="2">
        <v>6</v>
      </c>
    </row>
    <row r="323" s="2" customFormat="1" spans="1:16">
      <c r="A323" s="8"/>
      <c r="B323" s="9" t="s">
        <v>859</v>
      </c>
      <c r="C323" s="10" t="s">
        <v>126</v>
      </c>
      <c r="D323" s="11">
        <v>1</v>
      </c>
      <c r="E323" s="12">
        <v>69</v>
      </c>
      <c r="F323" s="13">
        <v>69</v>
      </c>
      <c r="G323" s="2">
        <f>VLOOKUP(B323,'PO with created By ASR'!A:C,3,FALSE)</f>
        <v>45667</v>
      </c>
      <c r="J323" s="2" t="str">
        <f>VLOOKUP(B323,'PO with created By ASR'!A:G,4,FALSE)</f>
        <v>Mahendra Mane -CR</v>
      </c>
      <c r="K323" s="2" t="e">
        <f>VLOOKUP(B323,'PO with created By ASR'!A:I,6,FALSE)</f>
        <v>#N/A</v>
      </c>
      <c r="L323" s="2" t="str">
        <f>VLOOKUP(B323,'PO with created By ASR'!A:J,7,FALSE)</f>
        <v>A - Mumbai</v>
      </c>
      <c r="M323" s="2" t="str">
        <f>VLOOKUP(B323,'PO with created By ASR'!A:K,8,FALSE)</f>
        <v>Purchase Order-Mum</v>
      </c>
      <c r="N323" t="s">
        <v>36</v>
      </c>
      <c r="P323" s="2">
        <v>6</v>
      </c>
    </row>
    <row r="324" s="2" customFormat="1" spans="1:16">
      <c r="A324" s="8"/>
      <c r="B324" s="9" t="s">
        <v>861</v>
      </c>
      <c r="C324" s="10" t="s">
        <v>317</v>
      </c>
      <c r="D324" s="11">
        <v>1</v>
      </c>
      <c r="E324" s="12">
        <v>3480</v>
      </c>
      <c r="F324" s="13">
        <v>3480</v>
      </c>
      <c r="G324" s="2">
        <f>VLOOKUP(B324,'PO with created By ASR'!A:C,3,FALSE)</f>
        <v>45667</v>
      </c>
      <c r="J324" s="2" t="str">
        <f>VLOOKUP(B324,'PO with created By ASR'!A:G,4,FALSE)</f>
        <v>Mahendra Mane -CR</v>
      </c>
      <c r="K324" s="2" t="e">
        <f>VLOOKUP(B324,'PO with created By ASR'!A:I,6,FALSE)</f>
        <v>#N/A</v>
      </c>
      <c r="L324" s="2" t="str">
        <f>VLOOKUP(B324,'PO with created By ASR'!A:J,7,FALSE)</f>
        <v>A - Mumbai</v>
      </c>
      <c r="M324" s="2" t="str">
        <f>VLOOKUP(B324,'PO with created By ASR'!A:K,8,FALSE)</f>
        <v>Purchase Order-Mum</v>
      </c>
      <c r="N324" t="s">
        <v>36</v>
      </c>
      <c r="P324" s="2">
        <v>6</v>
      </c>
    </row>
    <row r="325" s="2" customFormat="1" spans="1:16">
      <c r="A325" s="8"/>
      <c r="B325" s="9" t="s">
        <v>861</v>
      </c>
      <c r="C325" s="10" t="s">
        <v>126</v>
      </c>
      <c r="D325" s="11">
        <v>1</v>
      </c>
      <c r="E325" s="12">
        <v>178</v>
      </c>
      <c r="F325" s="13">
        <v>178</v>
      </c>
      <c r="G325" s="2">
        <f>VLOOKUP(B325,'PO with created By ASR'!A:C,3,FALSE)</f>
        <v>45667</v>
      </c>
      <c r="J325" s="2" t="str">
        <f>VLOOKUP(B325,'PO with created By ASR'!A:G,4,FALSE)</f>
        <v>Mahendra Mane -CR</v>
      </c>
      <c r="K325" s="2" t="e">
        <f>VLOOKUP(B325,'PO with created By ASR'!A:I,6,FALSE)</f>
        <v>#N/A</v>
      </c>
      <c r="L325" s="2" t="str">
        <f>VLOOKUP(B325,'PO with created By ASR'!A:J,7,FALSE)</f>
        <v>A - Mumbai</v>
      </c>
      <c r="M325" s="2" t="str">
        <f>VLOOKUP(B325,'PO with created By ASR'!A:K,8,FALSE)</f>
        <v>Purchase Order-Mum</v>
      </c>
      <c r="N325" t="s">
        <v>36</v>
      </c>
      <c r="P325" s="2">
        <v>6</v>
      </c>
    </row>
    <row r="326" s="2" customFormat="1" spans="1:16">
      <c r="A326" s="8"/>
      <c r="B326" s="9" t="s">
        <v>863</v>
      </c>
      <c r="C326" s="10" t="s">
        <v>317</v>
      </c>
      <c r="D326" s="11">
        <v>1</v>
      </c>
      <c r="E326" s="12">
        <v>320</v>
      </c>
      <c r="F326" s="13">
        <v>320</v>
      </c>
      <c r="G326" s="2">
        <f>VLOOKUP(B326,'PO with created By ASR'!A:C,3,FALSE)</f>
        <v>45667</v>
      </c>
      <c r="J326" s="2" t="str">
        <f>VLOOKUP(B326,'PO with created By ASR'!A:G,4,FALSE)</f>
        <v>Mahendra Mane -CR</v>
      </c>
      <c r="K326" s="2" t="e">
        <f>VLOOKUP(B326,'PO with created By ASR'!A:I,6,FALSE)</f>
        <v>#N/A</v>
      </c>
      <c r="L326" s="2" t="str">
        <f>VLOOKUP(B326,'PO with created By ASR'!A:J,7,FALSE)</f>
        <v>A - Mumbai</v>
      </c>
      <c r="M326" s="2" t="str">
        <f>VLOOKUP(B326,'PO with created By ASR'!A:K,8,FALSE)</f>
        <v>Purchase Order-Mum</v>
      </c>
      <c r="N326" t="s">
        <v>36</v>
      </c>
      <c r="P326" s="2">
        <v>6</v>
      </c>
    </row>
    <row r="327" s="2" customFormat="1" spans="1:16">
      <c r="A327" s="8"/>
      <c r="B327" s="9" t="s">
        <v>863</v>
      </c>
      <c r="C327" s="10" t="s">
        <v>126</v>
      </c>
      <c r="D327" s="11">
        <v>1</v>
      </c>
      <c r="E327" s="12">
        <v>469</v>
      </c>
      <c r="F327" s="13">
        <v>469</v>
      </c>
      <c r="G327" s="2">
        <f>VLOOKUP(B327,'PO with created By ASR'!A:C,3,FALSE)</f>
        <v>45667</v>
      </c>
      <c r="J327" s="2" t="str">
        <f>VLOOKUP(B327,'PO with created By ASR'!A:G,4,FALSE)</f>
        <v>Mahendra Mane -CR</v>
      </c>
      <c r="K327" s="2" t="e">
        <f>VLOOKUP(B327,'PO with created By ASR'!A:I,6,FALSE)</f>
        <v>#N/A</v>
      </c>
      <c r="L327" s="2" t="str">
        <f>VLOOKUP(B327,'PO with created By ASR'!A:J,7,FALSE)</f>
        <v>A - Mumbai</v>
      </c>
      <c r="M327" s="2" t="str">
        <f>VLOOKUP(B327,'PO with created By ASR'!A:K,8,FALSE)</f>
        <v>Purchase Order-Mum</v>
      </c>
      <c r="N327" t="s">
        <v>36</v>
      </c>
      <c r="P327" s="2">
        <v>6</v>
      </c>
    </row>
    <row r="328" s="2" customFormat="1" spans="1:16">
      <c r="A328" s="8"/>
      <c r="B328" s="9" t="s">
        <v>865</v>
      </c>
      <c r="C328" s="10" t="s">
        <v>256</v>
      </c>
      <c r="D328" s="11">
        <v>1</v>
      </c>
      <c r="E328" s="12">
        <v>30000</v>
      </c>
      <c r="F328" s="13">
        <v>30000</v>
      </c>
      <c r="G328" s="2">
        <f>VLOOKUP(B328,'PO with created By ASR'!A:C,3,FALSE)</f>
        <v>45667</v>
      </c>
      <c r="J328" s="2" t="str">
        <f>VLOOKUP(B328,'PO with created By ASR'!A:G,4,FALSE)</f>
        <v>The Indian Performing Right Society Ltd.-Mum</v>
      </c>
      <c r="K328" s="2" t="e">
        <f>VLOOKUP(B328,'PO with created By ASR'!A:I,6,FALSE)</f>
        <v>#N/A</v>
      </c>
      <c r="L328" s="2" t="str">
        <f>VLOOKUP(B328,'PO with created By ASR'!A:J,7,FALSE)</f>
        <v>A - Mumbai</v>
      </c>
      <c r="M328" s="2" t="str">
        <f>VLOOKUP(B328,'PO with created By ASR'!A:K,8,FALSE)</f>
        <v>Purchase Order-Mum</v>
      </c>
      <c r="N328" t="s">
        <v>36</v>
      </c>
      <c r="P328" s="2">
        <v>6</v>
      </c>
    </row>
    <row r="329" s="2" customFormat="1" spans="1:16">
      <c r="A329" s="8"/>
      <c r="B329" s="9" t="s">
        <v>866</v>
      </c>
      <c r="C329" s="10" t="s">
        <v>256</v>
      </c>
      <c r="D329" s="11">
        <v>1</v>
      </c>
      <c r="E329" s="12">
        <v>55500</v>
      </c>
      <c r="F329" s="13">
        <v>55500</v>
      </c>
      <c r="G329" s="2">
        <f>VLOOKUP(B329,'PO with created By ASR'!A:C,3,FALSE)</f>
        <v>45667</v>
      </c>
      <c r="J329" s="2" t="str">
        <f>VLOOKUP(B329,'PO with created By ASR'!A:G,4,FALSE)</f>
        <v>Phonographic Performance Limited-Mum</v>
      </c>
      <c r="K329" s="2" t="e">
        <f>VLOOKUP(B329,'PO with created By ASR'!A:I,6,FALSE)</f>
        <v>#N/A</v>
      </c>
      <c r="L329" s="2" t="str">
        <f>VLOOKUP(B329,'PO with created By ASR'!A:J,7,FALSE)</f>
        <v>A - Mumbai</v>
      </c>
      <c r="M329" s="2" t="str">
        <f>VLOOKUP(B329,'PO with created By ASR'!A:K,8,FALSE)</f>
        <v>Purchase Order-Mum</v>
      </c>
      <c r="N329" t="s">
        <v>36</v>
      </c>
      <c r="P329" s="2">
        <v>6</v>
      </c>
    </row>
    <row r="330" s="2" customFormat="1" spans="1:16">
      <c r="A330" s="8"/>
      <c r="B330" s="9" t="s">
        <v>867</v>
      </c>
      <c r="C330" s="10" t="s">
        <v>256</v>
      </c>
      <c r="D330" s="11">
        <v>1</v>
      </c>
      <c r="E330" s="12">
        <v>60000</v>
      </c>
      <c r="F330" s="13">
        <v>60000</v>
      </c>
      <c r="G330" s="2">
        <f>VLOOKUP(B330,'PO with created By ASR'!A:C,3,FALSE)</f>
        <v>45667</v>
      </c>
      <c r="J330" s="2" t="str">
        <f>VLOOKUP(B330,'PO with created By ASR'!A:G,4,FALSE)</f>
        <v>Novex Communications Pvt. Ltd.-Mum</v>
      </c>
      <c r="K330" s="2" t="e">
        <f>VLOOKUP(B330,'PO with created By ASR'!A:I,6,FALSE)</f>
        <v>#N/A</v>
      </c>
      <c r="L330" s="2" t="str">
        <f>VLOOKUP(B330,'PO with created By ASR'!A:J,7,FALSE)</f>
        <v>A - Mumbai</v>
      </c>
      <c r="M330" s="2" t="str">
        <f>VLOOKUP(B330,'PO with created By ASR'!A:K,8,FALSE)</f>
        <v>Purchase Order-Mum</v>
      </c>
      <c r="N330" t="s">
        <v>36</v>
      </c>
      <c r="P330" s="2">
        <v>6</v>
      </c>
    </row>
    <row r="331" s="2" customFormat="1" spans="1:16">
      <c r="A331" s="8"/>
      <c r="B331" s="9" t="s">
        <v>868</v>
      </c>
      <c r="C331" s="10" t="s">
        <v>151</v>
      </c>
      <c r="D331" s="11">
        <v>1</v>
      </c>
      <c r="E331" s="12">
        <v>75000</v>
      </c>
      <c r="F331" s="13">
        <v>75000</v>
      </c>
      <c r="G331" s="2">
        <f>VLOOKUP(B331,'PO with created By ASR'!A:C,3,FALSE)</f>
        <v>45667</v>
      </c>
      <c r="J331" s="2" t="str">
        <f>VLOOKUP(B331,'PO with created By ASR'!A:G,4,FALSE)</f>
        <v>6Th Wall Production Pvt Ltd-Blr</v>
      </c>
      <c r="K331" s="2" t="str">
        <f>VLOOKUP(B331,'PO with created By ASR'!A:I,6,FALSE)</f>
        <v>11620  6Th Wall Production Pvt Ltd</v>
      </c>
      <c r="L331" s="2" t="str">
        <f>VLOOKUP(B331,'PO with created By ASR'!A:J,7,FALSE)</f>
        <v>A - Mumbai</v>
      </c>
      <c r="M331" s="2" t="str">
        <f>VLOOKUP(B331,'PO with created By ASR'!A:K,8,FALSE)</f>
        <v>Purchase Order-Mum</v>
      </c>
      <c r="N331" t="s">
        <v>36</v>
      </c>
      <c r="P331" s="2">
        <v>6</v>
      </c>
    </row>
    <row r="332" s="2" customFormat="1" spans="1:16">
      <c r="A332" s="8"/>
      <c r="B332" s="9" t="s">
        <v>871</v>
      </c>
      <c r="C332" s="10" t="s">
        <v>371</v>
      </c>
      <c r="D332" s="11">
        <v>1</v>
      </c>
      <c r="E332" s="12">
        <v>90000</v>
      </c>
      <c r="F332" s="13">
        <v>90000</v>
      </c>
      <c r="G332" s="2">
        <f>VLOOKUP(B332,'PO with created By ASR'!A:C,3,FALSE)</f>
        <v>45667</v>
      </c>
      <c r="J332" s="2" t="str">
        <f>VLOOKUP(B332,'PO with created By ASR'!A:G,4,FALSE)</f>
        <v>Specs Care Audio Visual Pvt Ltd-Mum</v>
      </c>
      <c r="K332" s="2" t="str">
        <f>VLOOKUP(B332,'PO with created By ASR'!A:I,6,FALSE)</f>
        <v>12434  Specs Care Audio Visual Pvt Ltd</v>
      </c>
      <c r="L332" s="2" t="str">
        <f>VLOOKUP(B332,'PO with created By ASR'!A:J,7,FALSE)</f>
        <v>A - Mumbai</v>
      </c>
      <c r="M332" s="2" t="str">
        <f>VLOOKUP(B332,'PO with created By ASR'!A:K,8,FALSE)</f>
        <v>Purchase Order-Mum</v>
      </c>
      <c r="N332" t="s">
        <v>36</v>
      </c>
      <c r="P332" s="2">
        <v>6</v>
      </c>
    </row>
    <row r="333" s="2" customFormat="1" spans="1:16">
      <c r="A333" s="8"/>
      <c r="B333" s="9" t="s">
        <v>874</v>
      </c>
      <c r="C333" s="10" t="s">
        <v>371</v>
      </c>
      <c r="D333" s="11">
        <v>1</v>
      </c>
      <c r="E333" s="12">
        <v>10000</v>
      </c>
      <c r="F333" s="13">
        <v>10000</v>
      </c>
      <c r="G333" s="2">
        <f>VLOOKUP(B333,'PO with created By ASR'!A:C,3,FALSE)</f>
        <v>45667</v>
      </c>
      <c r="J333" s="2" t="str">
        <f>VLOOKUP(B333,'PO with created By ASR'!A:G,4,FALSE)</f>
        <v>Sajan Power-Mum</v>
      </c>
      <c r="K333" s="2" t="str">
        <f>VLOOKUP(B333,'PO with created By ASR'!A:I,6,FALSE)</f>
        <v>12360 Sajan Power</v>
      </c>
      <c r="L333" s="2" t="str">
        <f>VLOOKUP(B333,'PO with created By ASR'!A:J,7,FALSE)</f>
        <v>A - Mumbai</v>
      </c>
      <c r="M333" s="2" t="str">
        <f>VLOOKUP(B333,'PO with created By ASR'!A:K,8,FALSE)</f>
        <v>Purchase Order-Mum</v>
      </c>
      <c r="N333" t="s">
        <v>36</v>
      </c>
      <c r="P333" s="2">
        <v>6</v>
      </c>
    </row>
    <row r="334" s="2" customFormat="1" spans="1:16">
      <c r="A334" s="8"/>
      <c r="B334" s="9" t="s">
        <v>877</v>
      </c>
      <c r="C334" s="10" t="s">
        <v>371</v>
      </c>
      <c r="D334" s="11">
        <v>1</v>
      </c>
      <c r="E334" s="12">
        <v>5000</v>
      </c>
      <c r="F334" s="13">
        <v>5000</v>
      </c>
      <c r="G334" s="2">
        <f>VLOOKUP(B334,'PO with created By ASR'!A:C,3,FALSE)</f>
        <v>45667</v>
      </c>
      <c r="J334" s="2" t="str">
        <f>VLOOKUP(B334,'PO with created By ASR'!A:G,4,FALSE)</f>
        <v>Ultimate Source-Mum</v>
      </c>
      <c r="K334" s="2" t="str">
        <f>VLOOKUP(B334,'PO with created By ASR'!A:I,6,FALSE)</f>
        <v>12568 Ultimate Source</v>
      </c>
      <c r="L334" s="2" t="str">
        <f>VLOOKUP(B334,'PO with created By ASR'!A:J,7,FALSE)</f>
        <v>A - Mumbai</v>
      </c>
      <c r="M334" s="2" t="str">
        <f>VLOOKUP(B334,'PO with created By ASR'!A:K,8,FALSE)</f>
        <v>Purchase Order-Mum</v>
      </c>
      <c r="N334" t="s">
        <v>36</v>
      </c>
      <c r="P334" s="2">
        <v>6</v>
      </c>
    </row>
    <row r="335" s="2" customFormat="1" spans="1:16">
      <c r="A335" s="8"/>
      <c r="B335" s="9" t="s">
        <v>880</v>
      </c>
      <c r="C335" s="10" t="s">
        <v>292</v>
      </c>
      <c r="D335" s="11">
        <v>1</v>
      </c>
      <c r="E335" s="12">
        <v>4000</v>
      </c>
      <c r="F335" s="13">
        <v>4000</v>
      </c>
      <c r="G335" s="2">
        <f>VLOOKUP(B335,'PO with created By ASR'!A:C,3,FALSE)</f>
        <v>45667</v>
      </c>
      <c r="J335" s="2" t="str">
        <f>VLOOKUP(B335,'PO with created By ASR'!A:G,4,FALSE)</f>
        <v>Abdul Shahid Shaikh-Mum</v>
      </c>
      <c r="K335" s="2" t="str">
        <f>VLOOKUP(B335,'PO with created By ASR'!A:I,6,FALSE)</f>
        <v>10107 Abdul Shahid Shaikh</v>
      </c>
      <c r="L335" s="2" t="str">
        <f>VLOOKUP(B335,'PO with created By ASR'!A:J,7,FALSE)</f>
        <v>A - Mumbai</v>
      </c>
      <c r="M335" s="2" t="str">
        <f>VLOOKUP(B335,'PO with created By ASR'!A:K,8,FALSE)</f>
        <v>Purchase Order-Mum</v>
      </c>
      <c r="N335" t="s">
        <v>36</v>
      </c>
      <c r="P335" s="2">
        <v>6</v>
      </c>
    </row>
    <row r="336" s="2" customFormat="1" spans="1:16">
      <c r="A336" s="8"/>
      <c r="B336" s="9" t="s">
        <v>883</v>
      </c>
      <c r="C336" s="10" t="s">
        <v>401</v>
      </c>
      <c r="D336" s="11">
        <v>1</v>
      </c>
      <c r="E336" s="12">
        <v>3500</v>
      </c>
      <c r="F336" s="13">
        <v>3500</v>
      </c>
      <c r="G336" s="2">
        <f>VLOOKUP(B336,'PO with created By ASR'!A:C,3,FALSE)</f>
        <v>45667</v>
      </c>
      <c r="J336" s="2" t="str">
        <f>VLOOKUP(B336,'PO with created By ASR'!A:G,4,FALSE)</f>
        <v>Vinit Video Vision-Mum</v>
      </c>
      <c r="K336" s="2" t="str">
        <f>VLOOKUP(B336,'PO with created By ASR'!A:I,6,FALSE)</f>
        <v>10235 Vinit Video Vision</v>
      </c>
      <c r="L336" s="2" t="str">
        <f>VLOOKUP(B336,'PO with created By ASR'!A:J,7,FALSE)</f>
        <v>A - Mumbai</v>
      </c>
      <c r="M336" s="2" t="str">
        <f>VLOOKUP(B336,'PO with created By ASR'!A:K,8,FALSE)</f>
        <v>Purchase Order-Mum</v>
      </c>
      <c r="N336" t="s">
        <v>36</v>
      </c>
      <c r="P336" s="2">
        <v>6</v>
      </c>
    </row>
    <row r="337" s="2" customFormat="1" spans="1:16">
      <c r="A337" s="8"/>
      <c r="B337" s="9" t="s">
        <v>886</v>
      </c>
      <c r="C337" s="10" t="s">
        <v>317</v>
      </c>
      <c r="D337" s="11">
        <v>1</v>
      </c>
      <c r="E337" s="12">
        <v>2100000</v>
      </c>
      <c r="F337" s="13">
        <v>2100000</v>
      </c>
      <c r="G337" s="2">
        <f>VLOOKUP(B337,'PO with created By ASR'!A:C,3,FALSE)</f>
        <v>45667</v>
      </c>
      <c r="J337" s="2" t="str">
        <f>VLOOKUP(B337,'PO with created By ASR'!A:G,4,FALSE)</f>
        <v>Strategink Solutions Pvt Ltd-Mum</v>
      </c>
      <c r="K337" s="2" t="str">
        <f>VLOOKUP(B337,'PO with created By ASR'!A:I,6,FALSE)</f>
        <v>12462  Strategink Solutions Pvt Ltd</v>
      </c>
      <c r="L337" s="2" t="str">
        <f>VLOOKUP(B337,'PO with created By ASR'!A:J,7,FALSE)</f>
        <v>A - Mumbai</v>
      </c>
      <c r="M337" s="2" t="str">
        <f>VLOOKUP(B337,'PO with created By ASR'!A:K,8,FALSE)</f>
        <v>Purchase Order-Mum</v>
      </c>
      <c r="N337" t="s">
        <v>36</v>
      </c>
      <c r="P337" s="2">
        <v>6</v>
      </c>
    </row>
    <row r="338" s="2" customFormat="1" spans="1:16">
      <c r="A338" s="8"/>
      <c r="B338" s="9" t="s">
        <v>890</v>
      </c>
      <c r="C338" s="10" t="s">
        <v>317</v>
      </c>
      <c r="D338" s="11">
        <v>1</v>
      </c>
      <c r="E338" s="12">
        <v>1500000</v>
      </c>
      <c r="F338" s="13">
        <v>1500000</v>
      </c>
      <c r="G338" s="2">
        <f>VLOOKUP(B338,'PO with created By ASR'!A:C,3,FALSE)</f>
        <v>45667</v>
      </c>
      <c r="J338" s="2" t="str">
        <f>VLOOKUP(B338,'PO with created By ASR'!A:G,4,FALSE)</f>
        <v>Strategink Solutions Pvt Ltd-Mum</v>
      </c>
      <c r="K338" s="2" t="str">
        <f>VLOOKUP(B338,'PO with created By ASR'!A:I,6,FALSE)</f>
        <v>12462  Strategink Solutions Pvt Ltd</v>
      </c>
      <c r="L338" s="2" t="str">
        <f>VLOOKUP(B338,'PO with created By ASR'!A:J,7,FALSE)</f>
        <v>A - Mumbai</v>
      </c>
      <c r="M338" s="2" t="str">
        <f>VLOOKUP(B338,'PO with created By ASR'!A:K,8,FALSE)</f>
        <v>Purchase Order-Mum</v>
      </c>
      <c r="N338" t="s">
        <v>36</v>
      </c>
      <c r="P338" s="2">
        <v>6</v>
      </c>
    </row>
    <row r="339" s="2" customFormat="1" spans="1:16">
      <c r="A339" s="8"/>
      <c r="B339" s="9" t="s">
        <v>891</v>
      </c>
      <c r="C339" s="10" t="s">
        <v>151</v>
      </c>
      <c r="D339" s="11">
        <v>1</v>
      </c>
      <c r="E339" s="12">
        <v>240000</v>
      </c>
      <c r="F339" s="13">
        <v>240000</v>
      </c>
      <c r="G339" s="2">
        <f>VLOOKUP(B339,'PO with created By ASR'!A:C,3,FALSE)</f>
        <v>45667</v>
      </c>
      <c r="J339" s="2" t="str">
        <f>VLOOKUP(B339,'PO with created By ASR'!A:G,4,FALSE)</f>
        <v>Creative Konnects-Mum</v>
      </c>
      <c r="K339" s="2" t="str">
        <f>VLOOKUP(B339,'PO with created By ASR'!A:I,6,FALSE)</f>
        <v>12781 Creative Konnects</v>
      </c>
      <c r="L339" s="2" t="str">
        <f>VLOOKUP(B339,'PO with created By ASR'!A:J,7,FALSE)</f>
        <v>A - Mumbai</v>
      </c>
      <c r="M339" s="2" t="str">
        <f>VLOOKUP(B339,'PO with created By ASR'!A:K,8,FALSE)</f>
        <v>Purchase Order-Mum</v>
      </c>
      <c r="N339" t="s">
        <v>36</v>
      </c>
      <c r="P339" s="2">
        <v>6</v>
      </c>
    </row>
    <row r="340" s="2" customFormat="1" spans="1:16">
      <c r="A340" s="8"/>
      <c r="B340" s="9" t="s">
        <v>898</v>
      </c>
      <c r="C340" s="10" t="s">
        <v>212</v>
      </c>
      <c r="D340" s="11">
        <v>1</v>
      </c>
      <c r="E340" s="12">
        <v>40400</v>
      </c>
      <c r="F340" s="13">
        <v>40400</v>
      </c>
      <c r="G340" s="2">
        <f>VLOOKUP(B340,'PO with created By ASR'!A:C,3,FALSE)</f>
        <v>45667</v>
      </c>
      <c r="J340" s="2" t="str">
        <f>VLOOKUP(B340,'PO with created By ASR'!A:G,4,FALSE)</f>
        <v>Peregrine Guarding Pvt Ltd-Mum</v>
      </c>
      <c r="K340" s="2" t="str">
        <f>VLOOKUP(B340,'PO with created By ASR'!A:I,6,FALSE)</f>
        <v>12871  Peregrine Guarding Pvt Ltd</v>
      </c>
      <c r="L340" s="2" t="str">
        <f>VLOOKUP(B340,'PO with created By ASR'!A:J,7,FALSE)</f>
        <v>A - Mumbai</v>
      </c>
      <c r="M340" s="2" t="str">
        <f>VLOOKUP(B340,'PO with created By ASR'!A:K,8,FALSE)</f>
        <v>Purchase Order-Mum</v>
      </c>
      <c r="N340" t="s">
        <v>36</v>
      </c>
      <c r="P340" s="2">
        <v>6</v>
      </c>
    </row>
    <row r="341" s="2" customFormat="1" spans="1:16">
      <c r="A341" s="8"/>
      <c r="B341" s="9" t="s">
        <v>903</v>
      </c>
      <c r="C341" s="10" t="s">
        <v>233</v>
      </c>
      <c r="D341" s="11">
        <v>1</v>
      </c>
      <c r="E341" s="12">
        <v>4000</v>
      </c>
      <c r="F341" s="13">
        <v>4000</v>
      </c>
      <c r="G341" s="2">
        <f>VLOOKUP(B341,'PO with created By ASR'!A:C,3,FALSE)</f>
        <v>45667</v>
      </c>
      <c r="J341" s="2" t="str">
        <f>VLOOKUP(B341,'PO with created By ASR'!A:G,4,FALSE)</f>
        <v>Vodafone Idea Ltd-Mum</v>
      </c>
      <c r="K341" s="2" t="str">
        <f>VLOOKUP(B341,'PO with created By ASR'!A:I,6,FALSE)</f>
        <v>11068  Vodafone Idea Ltd</v>
      </c>
      <c r="L341" s="2" t="str">
        <f>VLOOKUP(B341,'PO with created By ASR'!A:J,7,FALSE)</f>
        <v>A - Mumbai</v>
      </c>
      <c r="M341" s="2" t="str">
        <f>VLOOKUP(B341,'PO with created By ASR'!A:K,8,FALSE)</f>
        <v>Purchase Order-Mum</v>
      </c>
      <c r="N341" t="s">
        <v>36</v>
      </c>
      <c r="P341" s="2">
        <v>6</v>
      </c>
    </row>
    <row r="342" s="2" customFormat="1" spans="1:16">
      <c r="A342" s="8"/>
      <c r="B342" s="9" t="s">
        <v>906</v>
      </c>
      <c r="C342" s="10" t="s">
        <v>412</v>
      </c>
      <c r="D342" s="11">
        <v>1</v>
      </c>
      <c r="E342" s="12">
        <v>1606</v>
      </c>
      <c r="F342" s="13">
        <v>1606</v>
      </c>
      <c r="G342" s="2">
        <f>VLOOKUP(B342,'PO with created By ASR'!A:C,3,FALSE)</f>
        <v>45667</v>
      </c>
      <c r="J342" s="2" t="str">
        <f>VLOOKUP(B342,'PO with created By ASR'!A:G,4,FALSE)</f>
        <v>Mangesh Waghmare -CR</v>
      </c>
      <c r="K342" s="2" t="e">
        <f>VLOOKUP(B342,'PO with created By ASR'!A:I,6,FALSE)</f>
        <v>#N/A</v>
      </c>
      <c r="L342" s="2" t="str">
        <f>VLOOKUP(B342,'PO with created By ASR'!A:J,7,FALSE)</f>
        <v>A - Mumbai</v>
      </c>
      <c r="M342" s="2" t="str">
        <f>VLOOKUP(B342,'PO with created By ASR'!A:K,8,FALSE)</f>
        <v>Purchase Order-Mum</v>
      </c>
      <c r="N342" t="s">
        <v>36</v>
      </c>
      <c r="P342" s="2">
        <v>6</v>
      </c>
    </row>
    <row r="343" s="2" customFormat="1" spans="1:16">
      <c r="A343" s="8"/>
      <c r="B343" s="9" t="s">
        <v>906</v>
      </c>
      <c r="C343" s="10" t="s">
        <v>126</v>
      </c>
      <c r="D343" s="11">
        <v>1</v>
      </c>
      <c r="E343" s="12">
        <v>1723</v>
      </c>
      <c r="F343" s="13">
        <v>1723</v>
      </c>
      <c r="G343" s="2">
        <f>VLOOKUP(B343,'PO with created By ASR'!A:C,3,FALSE)</f>
        <v>45667</v>
      </c>
      <c r="J343" s="2" t="str">
        <f>VLOOKUP(B343,'PO with created By ASR'!A:G,4,FALSE)</f>
        <v>Mangesh Waghmare -CR</v>
      </c>
      <c r="K343" s="2" t="e">
        <f>VLOOKUP(B343,'PO with created By ASR'!A:I,6,FALSE)</f>
        <v>#N/A</v>
      </c>
      <c r="L343" s="2" t="str">
        <f>VLOOKUP(B343,'PO with created By ASR'!A:J,7,FALSE)</f>
        <v>A - Mumbai</v>
      </c>
      <c r="M343" s="2" t="str">
        <f>VLOOKUP(B343,'PO with created By ASR'!A:K,8,FALSE)</f>
        <v>Purchase Order-Mum</v>
      </c>
      <c r="N343" t="s">
        <v>36</v>
      </c>
      <c r="P343" s="2">
        <v>6</v>
      </c>
    </row>
    <row r="344" s="2" customFormat="1" spans="1:16">
      <c r="A344" s="8"/>
      <c r="B344" s="9" t="s">
        <v>908</v>
      </c>
      <c r="C344" s="10" t="s">
        <v>256</v>
      </c>
      <c r="D344" s="11">
        <v>1</v>
      </c>
      <c r="E344" s="12">
        <v>185000</v>
      </c>
      <c r="F344" s="13">
        <v>185000</v>
      </c>
      <c r="G344" s="2">
        <f>VLOOKUP(B344,'PO with created By ASR'!A:C,3,FALSE)</f>
        <v>45667</v>
      </c>
      <c r="J344" s="2" t="str">
        <f>VLOOKUP(B344,'PO with created By ASR'!A:G,4,FALSE)</f>
        <v>Phonographic Performance Limited-Mum</v>
      </c>
      <c r="K344" s="2" t="e">
        <f>VLOOKUP(B344,'PO with created By ASR'!A:I,6,FALSE)</f>
        <v>#N/A</v>
      </c>
      <c r="L344" s="2" t="str">
        <f>VLOOKUP(B344,'PO with created By ASR'!A:J,7,FALSE)</f>
        <v>A - Mumbai</v>
      </c>
      <c r="M344" s="2" t="str">
        <f>VLOOKUP(B344,'PO with created By ASR'!A:K,8,FALSE)</f>
        <v>Purchase Order-Mum</v>
      </c>
      <c r="N344" t="s">
        <v>36</v>
      </c>
      <c r="P344" s="2">
        <v>6</v>
      </c>
    </row>
    <row r="345" s="2" customFormat="1" spans="1:16">
      <c r="A345" s="8"/>
      <c r="B345" s="9" t="s">
        <v>909</v>
      </c>
      <c r="C345" s="10" t="s">
        <v>256</v>
      </c>
      <c r="D345" s="11">
        <v>1</v>
      </c>
      <c r="E345" s="12">
        <v>76000</v>
      </c>
      <c r="F345" s="13">
        <v>76000</v>
      </c>
      <c r="G345" s="2">
        <f>VLOOKUP(B345,'PO with created By ASR'!A:C,3,FALSE)</f>
        <v>45667</v>
      </c>
      <c r="J345" s="2" t="str">
        <f>VLOOKUP(B345,'PO with created By ASR'!A:G,4,FALSE)</f>
        <v>Novex Communications Pvt. Ltd.-Mum</v>
      </c>
      <c r="K345" s="2" t="e">
        <f>VLOOKUP(B345,'PO with created By ASR'!A:I,6,FALSE)</f>
        <v>#N/A</v>
      </c>
      <c r="L345" s="2" t="str">
        <f>VLOOKUP(B345,'PO with created By ASR'!A:J,7,FALSE)</f>
        <v>A - Mumbai</v>
      </c>
      <c r="M345" s="2" t="str">
        <f>VLOOKUP(B345,'PO with created By ASR'!A:K,8,FALSE)</f>
        <v>Purchase Order-Mum</v>
      </c>
      <c r="N345" t="s">
        <v>36</v>
      </c>
      <c r="P345" s="2">
        <v>6</v>
      </c>
    </row>
    <row r="346" s="2" customFormat="1" spans="1:16">
      <c r="A346" s="8"/>
      <c r="B346" s="9" t="s">
        <v>909</v>
      </c>
      <c r="C346" s="10" t="s">
        <v>256</v>
      </c>
      <c r="D346" s="11">
        <v>1</v>
      </c>
      <c r="E346" s="12">
        <v>57000</v>
      </c>
      <c r="F346" s="13">
        <v>57000</v>
      </c>
      <c r="G346" s="2">
        <f>VLOOKUP(B346,'PO with created By ASR'!A:C,3,FALSE)</f>
        <v>45667</v>
      </c>
      <c r="J346" s="2" t="str">
        <f>VLOOKUP(B346,'PO with created By ASR'!A:G,4,FALSE)</f>
        <v>Novex Communications Pvt. Ltd.-Mum</v>
      </c>
      <c r="K346" s="2" t="e">
        <f>VLOOKUP(B346,'PO with created By ASR'!A:I,6,FALSE)</f>
        <v>#N/A</v>
      </c>
      <c r="L346" s="2" t="str">
        <f>VLOOKUP(B346,'PO with created By ASR'!A:J,7,FALSE)</f>
        <v>A - Mumbai</v>
      </c>
      <c r="M346" s="2" t="str">
        <f>VLOOKUP(B346,'PO with created By ASR'!A:K,8,FALSE)</f>
        <v>Purchase Order-Mum</v>
      </c>
      <c r="N346" t="s">
        <v>36</v>
      </c>
      <c r="P346" s="2">
        <v>6</v>
      </c>
    </row>
    <row r="347" s="2" customFormat="1" spans="1:16">
      <c r="A347" s="8"/>
      <c r="B347" s="9" t="s">
        <v>909</v>
      </c>
      <c r="C347" s="10" t="s">
        <v>256</v>
      </c>
      <c r="D347" s="11">
        <v>1</v>
      </c>
      <c r="E347" s="12">
        <v>76000</v>
      </c>
      <c r="F347" s="13">
        <v>76000</v>
      </c>
      <c r="G347" s="2">
        <f>VLOOKUP(B347,'PO with created By ASR'!A:C,3,FALSE)</f>
        <v>45667</v>
      </c>
      <c r="J347" s="2" t="str">
        <f>VLOOKUP(B347,'PO with created By ASR'!A:G,4,FALSE)</f>
        <v>Novex Communications Pvt. Ltd.-Mum</v>
      </c>
      <c r="K347" s="2" t="e">
        <f>VLOOKUP(B347,'PO with created By ASR'!A:I,6,FALSE)</f>
        <v>#N/A</v>
      </c>
      <c r="L347" s="2" t="str">
        <f>VLOOKUP(B347,'PO with created By ASR'!A:J,7,FALSE)</f>
        <v>A - Mumbai</v>
      </c>
      <c r="M347" s="2" t="str">
        <f>VLOOKUP(B347,'PO with created By ASR'!A:K,8,FALSE)</f>
        <v>Purchase Order-Mum</v>
      </c>
      <c r="N347" t="s">
        <v>36</v>
      </c>
      <c r="P347" s="2">
        <v>6</v>
      </c>
    </row>
    <row r="348" s="2" customFormat="1" spans="1:16">
      <c r="A348" s="8"/>
      <c r="B348" s="9" t="s">
        <v>910</v>
      </c>
      <c r="C348" s="10" t="s">
        <v>256</v>
      </c>
      <c r="D348" s="11">
        <v>1</v>
      </c>
      <c r="E348" s="12">
        <v>60000</v>
      </c>
      <c r="F348" s="13">
        <v>60000</v>
      </c>
      <c r="G348" s="2">
        <f>VLOOKUP(B348,'PO with created By ASR'!A:C,3,FALSE)</f>
        <v>45667</v>
      </c>
      <c r="J348" s="2" t="str">
        <f>VLOOKUP(B348,'PO with created By ASR'!A:G,4,FALSE)</f>
        <v>The Indian Performing Right Society Ltd.-Mum</v>
      </c>
      <c r="K348" s="2" t="e">
        <f>VLOOKUP(B348,'PO with created By ASR'!A:I,6,FALSE)</f>
        <v>#N/A</v>
      </c>
      <c r="L348" s="2" t="str">
        <f>VLOOKUP(B348,'PO with created By ASR'!A:J,7,FALSE)</f>
        <v>A - Mumbai</v>
      </c>
      <c r="M348" s="2" t="str">
        <f>VLOOKUP(B348,'PO with created By ASR'!A:K,8,FALSE)</f>
        <v>Purchase Order-Mum</v>
      </c>
      <c r="N348" t="s">
        <v>36</v>
      </c>
      <c r="P348" s="2">
        <v>6</v>
      </c>
    </row>
    <row r="349" s="2" customFormat="1" spans="1:16">
      <c r="A349" s="8"/>
      <c r="B349" s="9" t="s">
        <v>911</v>
      </c>
      <c r="C349" s="10" t="s">
        <v>256</v>
      </c>
      <c r="D349" s="11">
        <v>1</v>
      </c>
      <c r="E349" s="12">
        <v>305250</v>
      </c>
      <c r="F349" s="13">
        <v>305250</v>
      </c>
      <c r="G349" s="2">
        <f>VLOOKUP(B349,'PO with created By ASR'!A:C,3,FALSE)</f>
        <v>45667</v>
      </c>
      <c r="J349" s="2" t="str">
        <f>VLOOKUP(B349,'PO with created By ASR'!A:G,4,FALSE)</f>
        <v>Phonographic Performance Limited-Mum</v>
      </c>
      <c r="K349" s="2" t="e">
        <f>VLOOKUP(B349,'PO with created By ASR'!A:I,6,FALSE)</f>
        <v>#N/A</v>
      </c>
      <c r="L349" s="2" t="str">
        <f>VLOOKUP(B349,'PO with created By ASR'!A:J,7,FALSE)</f>
        <v>A - Mumbai</v>
      </c>
      <c r="M349" s="2" t="str">
        <f>VLOOKUP(B349,'PO with created By ASR'!A:K,8,FALSE)</f>
        <v>Purchase Order-Mum</v>
      </c>
      <c r="N349" t="s">
        <v>36</v>
      </c>
      <c r="P349" s="2">
        <v>6</v>
      </c>
    </row>
    <row r="350" s="2" customFormat="1" spans="1:16">
      <c r="A350" s="8"/>
      <c r="B350" s="9" t="s">
        <v>912</v>
      </c>
      <c r="C350" s="10" t="s">
        <v>256</v>
      </c>
      <c r="D350" s="11">
        <v>1</v>
      </c>
      <c r="E350" s="12">
        <v>152000</v>
      </c>
      <c r="F350" s="13">
        <v>152000</v>
      </c>
      <c r="G350" s="2">
        <f>VLOOKUP(B350,'PO with created By ASR'!A:C,3,FALSE)</f>
        <v>45667</v>
      </c>
      <c r="J350" s="2" t="str">
        <f>VLOOKUP(B350,'PO with created By ASR'!A:G,4,FALSE)</f>
        <v>Novex Communications Pvt. Ltd.-Mum</v>
      </c>
      <c r="K350" s="2" t="e">
        <f>VLOOKUP(B350,'PO with created By ASR'!A:I,6,FALSE)</f>
        <v>#N/A</v>
      </c>
      <c r="L350" s="2" t="str">
        <f>VLOOKUP(B350,'PO with created By ASR'!A:J,7,FALSE)</f>
        <v>A - Mumbai</v>
      </c>
      <c r="M350" s="2" t="str">
        <f>VLOOKUP(B350,'PO with created By ASR'!A:K,8,FALSE)</f>
        <v>Purchase Order-Mum</v>
      </c>
      <c r="N350" t="s">
        <v>36</v>
      </c>
      <c r="P350" s="2">
        <v>6</v>
      </c>
    </row>
    <row r="351" s="2" customFormat="1" spans="1:16">
      <c r="A351" s="8"/>
      <c r="B351" s="9" t="s">
        <v>912</v>
      </c>
      <c r="C351" s="10" t="s">
        <v>256</v>
      </c>
      <c r="D351" s="11">
        <v>1</v>
      </c>
      <c r="E351" s="12">
        <v>133000</v>
      </c>
      <c r="F351" s="13">
        <v>133000</v>
      </c>
      <c r="G351" s="2">
        <f>VLOOKUP(B351,'PO with created By ASR'!A:C,3,FALSE)</f>
        <v>45667</v>
      </c>
      <c r="J351" s="2" t="str">
        <f>VLOOKUP(B351,'PO with created By ASR'!A:G,4,FALSE)</f>
        <v>Novex Communications Pvt. Ltd.-Mum</v>
      </c>
      <c r="K351" s="2" t="e">
        <f>VLOOKUP(B351,'PO with created By ASR'!A:I,6,FALSE)</f>
        <v>#N/A</v>
      </c>
      <c r="L351" s="2" t="str">
        <f>VLOOKUP(B351,'PO with created By ASR'!A:J,7,FALSE)</f>
        <v>A - Mumbai</v>
      </c>
      <c r="M351" s="2" t="str">
        <f>VLOOKUP(B351,'PO with created By ASR'!A:K,8,FALSE)</f>
        <v>Purchase Order-Mum</v>
      </c>
      <c r="N351" t="s">
        <v>36</v>
      </c>
      <c r="P351" s="2">
        <v>6</v>
      </c>
    </row>
    <row r="352" s="2" customFormat="1" spans="1:16">
      <c r="A352" s="8"/>
      <c r="B352" s="9" t="s">
        <v>913</v>
      </c>
      <c r="C352" s="10" t="s">
        <v>233</v>
      </c>
      <c r="D352" s="11">
        <v>1</v>
      </c>
      <c r="E352" s="12">
        <v>270575</v>
      </c>
      <c r="F352" s="13">
        <v>270575</v>
      </c>
      <c r="G352" s="2">
        <f>VLOOKUP(B352,'PO with created By ASR'!A:C,3,FALSE)</f>
        <v>45667</v>
      </c>
      <c r="J352" s="2" t="str">
        <f>VLOOKUP(B352,'PO with created By ASR'!A:G,4,FALSE)</f>
        <v>Greenix Experience Pvt Ltd-Mum</v>
      </c>
      <c r="K352" s="2" t="str">
        <f>VLOOKUP(B352,'PO with created By ASR'!A:I,6,FALSE)</f>
        <v>10297  Greenix Experience Pvt Ltd</v>
      </c>
      <c r="L352" s="2" t="str">
        <f>VLOOKUP(B352,'PO with created By ASR'!A:J,7,FALSE)</f>
        <v>A - Mumbai</v>
      </c>
      <c r="M352" s="2" t="str">
        <f>VLOOKUP(B352,'PO with created By ASR'!A:K,8,FALSE)</f>
        <v>Purchase Order-Mum</v>
      </c>
      <c r="N352" t="s">
        <v>36</v>
      </c>
      <c r="P352" s="2">
        <v>6</v>
      </c>
    </row>
    <row r="353" s="2" customFormat="1" spans="1:16">
      <c r="A353" s="8"/>
      <c r="B353" s="9" t="s">
        <v>913</v>
      </c>
      <c r="C353" s="10" t="s">
        <v>233</v>
      </c>
      <c r="D353" s="11">
        <v>1</v>
      </c>
      <c r="E353" s="12">
        <v>13528.75</v>
      </c>
      <c r="F353" s="13">
        <v>13528.75</v>
      </c>
      <c r="G353" s="2">
        <f>VLOOKUP(B353,'PO with created By ASR'!A:C,3,FALSE)</f>
        <v>45667</v>
      </c>
      <c r="J353" s="2" t="str">
        <f>VLOOKUP(B353,'PO with created By ASR'!A:G,4,FALSE)</f>
        <v>Greenix Experience Pvt Ltd-Mum</v>
      </c>
      <c r="K353" s="2" t="str">
        <f>VLOOKUP(B353,'PO with created By ASR'!A:I,6,FALSE)</f>
        <v>10297  Greenix Experience Pvt Ltd</v>
      </c>
      <c r="L353" s="2" t="str">
        <f>VLOOKUP(B353,'PO with created By ASR'!A:J,7,FALSE)</f>
        <v>A - Mumbai</v>
      </c>
      <c r="M353" s="2" t="str">
        <f>VLOOKUP(B353,'PO with created By ASR'!A:K,8,FALSE)</f>
        <v>Purchase Order-Mum</v>
      </c>
      <c r="N353" t="s">
        <v>36</v>
      </c>
      <c r="P353" s="2">
        <v>6</v>
      </c>
    </row>
    <row r="354" s="2" customFormat="1" spans="1:16">
      <c r="A354" s="8"/>
      <c r="B354" s="9" t="s">
        <v>914</v>
      </c>
      <c r="C354" s="10" t="s">
        <v>126</v>
      </c>
      <c r="D354" s="11">
        <v>1</v>
      </c>
      <c r="E354" s="12">
        <v>111</v>
      </c>
      <c r="F354" s="13">
        <v>111</v>
      </c>
      <c r="G354" s="2">
        <f>VLOOKUP(B354,'PO with created By ASR'!A:C,3,FALSE)</f>
        <v>45667</v>
      </c>
      <c r="J354" s="2" t="str">
        <f>VLOOKUP(B354,'PO with created By ASR'!A:G,4,FALSE)</f>
        <v>Santosh Bhogal Cash  -CR</v>
      </c>
      <c r="K354" s="2" t="e">
        <f>VLOOKUP(B354,'PO with created By ASR'!A:I,6,FALSE)</f>
        <v>#N/A</v>
      </c>
      <c r="L354" s="2" t="str">
        <f>VLOOKUP(B354,'PO with created By ASR'!A:J,7,FALSE)</f>
        <v>A - Mumbai</v>
      </c>
      <c r="M354" s="2" t="str">
        <f>VLOOKUP(B354,'PO with created By ASR'!A:K,8,FALSE)</f>
        <v>Purchase Order-Mum</v>
      </c>
      <c r="N354" t="s">
        <v>36</v>
      </c>
      <c r="P354" s="2">
        <v>6</v>
      </c>
    </row>
    <row r="355" s="2" customFormat="1" spans="1:16">
      <c r="A355" s="8"/>
      <c r="B355" s="9" t="s">
        <v>917</v>
      </c>
      <c r="C355" s="10" t="s">
        <v>256</v>
      </c>
      <c r="D355" s="11">
        <v>1</v>
      </c>
      <c r="E355" s="12">
        <v>120000</v>
      </c>
      <c r="F355" s="13">
        <v>120000</v>
      </c>
      <c r="G355" s="2">
        <f>VLOOKUP(B355,'PO with created By ASR'!A:C,3,FALSE)</f>
        <v>45667</v>
      </c>
      <c r="J355" s="2" t="str">
        <f>VLOOKUP(B355,'PO with created By ASR'!A:G,4,FALSE)</f>
        <v>Recorded Music Performance Ltd-Mum</v>
      </c>
      <c r="K355" s="2" t="str">
        <f>VLOOKUP(B355,'PO with created By ASR'!A:I,6,FALSE)</f>
        <v>10856  Recorded Music Performance Ltd</v>
      </c>
      <c r="L355" s="2" t="str">
        <f>VLOOKUP(B355,'PO with created By ASR'!A:J,7,FALSE)</f>
        <v>A - Mumbai</v>
      </c>
      <c r="M355" s="2" t="str">
        <f>VLOOKUP(B355,'PO with created By ASR'!A:K,8,FALSE)</f>
        <v>Purchase Order-Mum</v>
      </c>
      <c r="N355" t="s">
        <v>36</v>
      </c>
      <c r="P355" s="2">
        <v>6</v>
      </c>
    </row>
    <row r="356" s="2" customFormat="1" spans="1:16">
      <c r="A356" s="8"/>
      <c r="B356" s="9" t="s">
        <v>920</v>
      </c>
      <c r="C356" s="10" t="s">
        <v>401</v>
      </c>
      <c r="D356" s="11">
        <v>1</v>
      </c>
      <c r="E356" s="12">
        <v>9500</v>
      </c>
      <c r="F356" s="13">
        <v>9500</v>
      </c>
      <c r="G356" s="2">
        <f>VLOOKUP(B356,'PO with created By ASR'!A:C,3,FALSE)</f>
        <v>45667</v>
      </c>
      <c r="J356" s="2" t="str">
        <f>VLOOKUP(B356,'PO with created By ASR'!A:G,4,FALSE)</f>
        <v>Vinit Video Vision-Mum</v>
      </c>
      <c r="K356" s="2" t="str">
        <f>VLOOKUP(B356,'PO with created By ASR'!A:I,6,FALSE)</f>
        <v>10235 Vinit Video Vision</v>
      </c>
      <c r="L356" s="2" t="str">
        <f>VLOOKUP(B356,'PO with created By ASR'!A:J,7,FALSE)</f>
        <v>A - Mumbai</v>
      </c>
      <c r="M356" s="2" t="str">
        <f>VLOOKUP(B356,'PO with created By ASR'!A:K,8,FALSE)</f>
        <v>Purchase Order-Mum</v>
      </c>
      <c r="N356" t="s">
        <v>36</v>
      </c>
      <c r="P356" s="2">
        <v>6</v>
      </c>
    </row>
    <row r="357" s="2" customFormat="1" spans="1:16">
      <c r="A357" s="8"/>
      <c r="B357" s="9" t="s">
        <v>921</v>
      </c>
      <c r="C357" s="10" t="s">
        <v>140</v>
      </c>
      <c r="D357" s="11">
        <v>1</v>
      </c>
      <c r="E357" s="12">
        <v>8500</v>
      </c>
      <c r="F357" s="13">
        <v>8500</v>
      </c>
      <c r="G357" s="2">
        <f>VLOOKUP(B357,'PO with created By ASR'!A:C,3,FALSE)</f>
        <v>45667</v>
      </c>
      <c r="J357" s="2" t="str">
        <f>VLOOKUP(B357,'PO with created By ASR'!A:G,4,FALSE)</f>
        <v>Bappa Creation-Mum</v>
      </c>
      <c r="K357" s="2" t="str">
        <f>VLOOKUP(B357,'PO with created By ASR'!A:I,6,FALSE)</f>
        <v>12645 Bappa Creation</v>
      </c>
      <c r="L357" s="2" t="str">
        <f>VLOOKUP(B357,'PO with created By ASR'!A:J,7,FALSE)</f>
        <v>A - Mumbai</v>
      </c>
      <c r="M357" s="2" t="str">
        <f>VLOOKUP(B357,'PO with created By ASR'!A:K,8,FALSE)</f>
        <v>Purchase Order-Mum</v>
      </c>
      <c r="N357" t="s">
        <v>36</v>
      </c>
      <c r="P357" s="2">
        <v>6</v>
      </c>
    </row>
    <row r="358" s="2" customFormat="1" spans="1:16">
      <c r="A358" s="8"/>
      <c r="B358" s="9" t="s">
        <v>925</v>
      </c>
      <c r="C358" s="10" t="s">
        <v>140</v>
      </c>
      <c r="D358" s="11">
        <v>1</v>
      </c>
      <c r="E358" s="12">
        <v>7350</v>
      </c>
      <c r="F358" s="13">
        <v>7350</v>
      </c>
      <c r="G358" s="2">
        <f>VLOOKUP(B358,'PO with created By ASR'!A:C,3,FALSE)</f>
        <v>45667</v>
      </c>
      <c r="J358" s="2" t="str">
        <f>VLOOKUP(B358,'PO with created By ASR'!A:G,4,FALSE)</f>
        <v>A. J. Creation-Mum</v>
      </c>
      <c r="K358" s="2" t="e">
        <f>VLOOKUP(B358,'PO with created By ASR'!A:I,6,FALSE)</f>
        <v>#N/A</v>
      </c>
      <c r="L358" s="2" t="str">
        <f>VLOOKUP(B358,'PO with created By ASR'!A:J,7,FALSE)</f>
        <v>A - Mumbai</v>
      </c>
      <c r="M358" s="2" t="str">
        <f>VLOOKUP(B358,'PO with created By ASR'!A:K,8,FALSE)</f>
        <v>Purchase Order-Mum</v>
      </c>
      <c r="N358" t="s">
        <v>36</v>
      </c>
      <c r="P358" s="2">
        <v>6</v>
      </c>
    </row>
    <row r="359" s="2" customFormat="1" spans="1:16">
      <c r="A359" s="8"/>
      <c r="B359" s="9" t="s">
        <v>927</v>
      </c>
      <c r="C359" s="10" t="s">
        <v>196</v>
      </c>
      <c r="D359" s="11">
        <v>1</v>
      </c>
      <c r="E359" s="12">
        <v>1224</v>
      </c>
      <c r="F359" s="13">
        <v>1224</v>
      </c>
      <c r="G359" s="2">
        <f>VLOOKUP(B359,'PO with created By ASR'!A:C,3,FALSE)</f>
        <v>45667</v>
      </c>
      <c r="J359" s="2" t="str">
        <f>VLOOKUP(B359,'PO with created By ASR'!A:G,4,FALSE)</f>
        <v>Metro Enterprises (Viral Hirabhai Patel)-Mum</v>
      </c>
      <c r="K359" s="2" t="str">
        <f>VLOOKUP(B359,'PO with created By ASR'!A:I,6,FALSE)</f>
        <v>12141 Metro Enterprises (Viral Hirabhai Patel)</v>
      </c>
      <c r="L359" s="2" t="str">
        <f>VLOOKUP(B359,'PO with created By ASR'!A:J,7,FALSE)</f>
        <v>A - Mumbai</v>
      </c>
      <c r="M359" s="2" t="str">
        <f>VLOOKUP(B359,'PO with created By ASR'!A:K,8,FALSE)</f>
        <v>Purchase Order-Mum</v>
      </c>
      <c r="N359" t="s">
        <v>36</v>
      </c>
      <c r="P359" s="2">
        <v>6</v>
      </c>
    </row>
    <row r="360" s="2" customFormat="1" spans="1:16">
      <c r="A360" s="8"/>
      <c r="B360" s="9" t="s">
        <v>930</v>
      </c>
      <c r="C360" s="10" t="s">
        <v>140</v>
      </c>
      <c r="D360" s="11">
        <v>1</v>
      </c>
      <c r="E360" s="12">
        <v>2500</v>
      </c>
      <c r="F360" s="13">
        <v>2500</v>
      </c>
      <c r="G360" s="2">
        <f>VLOOKUP(B360,'PO with created By ASR'!A:C,3,FALSE)</f>
        <v>45667</v>
      </c>
      <c r="J360" s="2" t="str">
        <f>VLOOKUP(B360,'PO with created By ASR'!A:G,4,FALSE)</f>
        <v>Bappa Creation-Mum</v>
      </c>
      <c r="K360" s="2" t="str">
        <f>VLOOKUP(B360,'PO with created By ASR'!A:I,6,FALSE)</f>
        <v>12645 Bappa Creation</v>
      </c>
      <c r="L360" s="2" t="str">
        <f>VLOOKUP(B360,'PO with created By ASR'!A:J,7,FALSE)</f>
        <v>A - Mumbai</v>
      </c>
      <c r="M360" s="2" t="str">
        <f>VLOOKUP(B360,'PO with created By ASR'!A:K,8,FALSE)</f>
        <v>Purchase Order-Mum</v>
      </c>
      <c r="N360" t="s">
        <v>36</v>
      </c>
      <c r="P360" s="2">
        <v>6</v>
      </c>
    </row>
    <row r="361" s="2" customFormat="1" spans="1:16">
      <c r="A361" s="8"/>
      <c r="B361" s="9" t="s">
        <v>931</v>
      </c>
      <c r="C361" s="10" t="s">
        <v>401</v>
      </c>
      <c r="D361" s="11">
        <v>1</v>
      </c>
      <c r="E361" s="12">
        <v>3500</v>
      </c>
      <c r="F361" s="13">
        <v>3500</v>
      </c>
      <c r="G361" s="2">
        <f>VLOOKUP(B361,'PO with created By ASR'!A:C,3,FALSE)</f>
        <v>45667</v>
      </c>
      <c r="J361" s="2" t="str">
        <f>VLOOKUP(B361,'PO with created By ASR'!A:G,4,FALSE)</f>
        <v>Vinit Video Vision-Mum</v>
      </c>
      <c r="K361" s="2" t="str">
        <f>VLOOKUP(B361,'PO with created By ASR'!A:I,6,FALSE)</f>
        <v>10235 Vinit Video Vision</v>
      </c>
      <c r="L361" s="2" t="str">
        <f>VLOOKUP(B361,'PO with created By ASR'!A:J,7,FALSE)</f>
        <v>A - Mumbai</v>
      </c>
      <c r="M361" s="2" t="str">
        <f>VLOOKUP(B361,'PO with created By ASR'!A:K,8,FALSE)</f>
        <v>Purchase Order-Mum</v>
      </c>
      <c r="N361" t="s">
        <v>36</v>
      </c>
      <c r="P361" s="2">
        <v>6</v>
      </c>
    </row>
    <row r="362" s="2" customFormat="1" spans="1:16">
      <c r="A362" s="8"/>
      <c r="B362" s="9" t="s">
        <v>933</v>
      </c>
      <c r="C362" s="10" t="s">
        <v>233</v>
      </c>
      <c r="D362" s="11">
        <v>1</v>
      </c>
      <c r="E362" s="12">
        <v>1014.12</v>
      </c>
      <c r="F362" s="13">
        <v>1014.12</v>
      </c>
      <c r="G362" s="2">
        <f>VLOOKUP(B362,'PO with created By ASR'!A:C,3,FALSE)</f>
        <v>45667</v>
      </c>
      <c r="J362" s="2" t="str">
        <f>VLOOKUP(B362,'PO with created By ASR'!A:G,4,FALSE)</f>
        <v>Godaddy.Com,Llc-Mum</v>
      </c>
      <c r="K362" s="2" t="e">
        <f>VLOOKUP(B362,'PO with created By ASR'!A:I,6,FALSE)</f>
        <v>#N/A</v>
      </c>
      <c r="L362" s="2" t="str">
        <f>VLOOKUP(B362,'PO with created By ASR'!A:J,7,FALSE)</f>
        <v>A - Mumbai</v>
      </c>
      <c r="M362" s="2" t="str">
        <f>VLOOKUP(B362,'PO with created By ASR'!A:K,8,FALSE)</f>
        <v>Purchase Order-Mum</v>
      </c>
      <c r="N362" t="s">
        <v>36</v>
      </c>
      <c r="P362" s="2">
        <v>6</v>
      </c>
    </row>
    <row r="363" s="2" customFormat="1" spans="1:16">
      <c r="A363" s="8"/>
      <c r="B363" s="9" t="s">
        <v>937</v>
      </c>
      <c r="C363" s="10" t="s">
        <v>140</v>
      </c>
      <c r="D363" s="11">
        <v>1</v>
      </c>
      <c r="E363" s="12">
        <v>15800</v>
      </c>
      <c r="F363" s="13">
        <v>15800</v>
      </c>
      <c r="G363" s="2">
        <f>VLOOKUP(B363,'PO with created By ASR'!A:C,3,FALSE)</f>
        <v>45668</v>
      </c>
      <c r="J363" s="2" t="str">
        <f>VLOOKUP(B363,'PO with created By ASR'!A:G,4,FALSE)</f>
        <v>Innovative Gifting Solutions-Del</v>
      </c>
      <c r="K363" s="2" t="str">
        <f>VLOOKUP(B363,'PO with created By ASR'!A:I,6,FALSE)</f>
        <v>11264 Innovative Gifting Solutions</v>
      </c>
      <c r="L363" s="2" t="str">
        <f>VLOOKUP(B363,'PO with created By ASR'!A:J,7,FALSE)</f>
        <v>D - Delhi</v>
      </c>
      <c r="M363" s="2" t="str">
        <f>VLOOKUP(B363,'PO with created By ASR'!A:K,8,FALSE)</f>
        <v>Purchase Order-Del</v>
      </c>
      <c r="N363" t="s">
        <v>36</v>
      </c>
      <c r="P363" s="2">
        <v>6</v>
      </c>
    </row>
    <row r="364" s="2" customFormat="1" spans="1:16">
      <c r="A364" s="8"/>
      <c r="B364" s="9" t="s">
        <v>941</v>
      </c>
      <c r="C364" s="10" t="s">
        <v>196</v>
      </c>
      <c r="D364" s="11">
        <v>1</v>
      </c>
      <c r="E364" s="12">
        <v>1000</v>
      </c>
      <c r="F364" s="13">
        <v>1000</v>
      </c>
      <c r="G364" s="2">
        <f>VLOOKUP(B364,'PO with created By ASR'!A:C,3,FALSE)</f>
        <v>45668</v>
      </c>
      <c r="J364" s="2" t="str">
        <f>VLOOKUP(B364,'PO with created By ASR'!A:G,4,FALSE)</f>
        <v>Pandey Print Services-Del</v>
      </c>
      <c r="K364" s="2" t="str">
        <f>VLOOKUP(B364,'PO with created By ASR'!A:I,6,FALSE)</f>
        <v>12236 Pandey Print Services</v>
      </c>
      <c r="L364" s="2" t="str">
        <f>VLOOKUP(B364,'PO with created By ASR'!A:J,7,FALSE)</f>
        <v>D - Delhi</v>
      </c>
      <c r="M364" s="2" t="str">
        <f>VLOOKUP(B364,'PO with created By ASR'!A:K,8,FALSE)</f>
        <v>Purchase Order-Del</v>
      </c>
      <c r="N364" t="s">
        <v>36</v>
      </c>
      <c r="P364" s="2">
        <v>6</v>
      </c>
    </row>
    <row r="365" s="2" customFormat="1" spans="1:16">
      <c r="A365" s="8"/>
      <c r="B365" s="9" t="s">
        <v>944</v>
      </c>
      <c r="C365" s="10" t="s">
        <v>140</v>
      </c>
      <c r="D365" s="11">
        <v>1</v>
      </c>
      <c r="E365" s="12">
        <v>2030</v>
      </c>
      <c r="F365" s="13">
        <v>2030</v>
      </c>
      <c r="G365" s="2">
        <f>VLOOKUP(B365,'PO with created By ASR'!A:C,3,FALSE)</f>
        <v>45668</v>
      </c>
      <c r="J365" s="2" t="str">
        <f>VLOOKUP(B365,'PO with created By ASR'!A:G,4,FALSE)</f>
        <v>Konceptz Galore-Del</v>
      </c>
      <c r="K365" s="2" t="str">
        <f>VLOOKUP(B365,'PO with created By ASR'!A:I,6,FALSE)</f>
        <v>12648 Konceptz Galore</v>
      </c>
      <c r="L365" s="2" t="str">
        <f>VLOOKUP(B365,'PO with created By ASR'!A:J,7,FALSE)</f>
        <v>D - Delhi</v>
      </c>
      <c r="M365" s="2" t="str">
        <f>VLOOKUP(B365,'PO with created By ASR'!A:K,8,FALSE)</f>
        <v>Purchase Order-Del</v>
      </c>
      <c r="N365" t="s">
        <v>36</v>
      </c>
      <c r="P365" s="2">
        <v>6</v>
      </c>
    </row>
    <row r="366" s="2" customFormat="1" spans="1:16">
      <c r="A366" s="8"/>
      <c r="B366" s="9" t="s">
        <v>949</v>
      </c>
      <c r="C366" s="10" t="s">
        <v>233</v>
      </c>
      <c r="D366" s="11">
        <v>1</v>
      </c>
      <c r="E366" s="12">
        <v>2075000</v>
      </c>
      <c r="F366" s="13">
        <v>2075000</v>
      </c>
      <c r="G366" s="2">
        <f>VLOOKUP(B366,'PO with created By ASR'!A:C,3,FALSE)</f>
        <v>45668</v>
      </c>
      <c r="J366" s="2" t="str">
        <f>VLOOKUP(B366,'PO with created By ASR'!A:G,4,FALSE)</f>
        <v>Society of Indian Automobile Manufacturers-Del</v>
      </c>
      <c r="K366" s="2" t="str">
        <f>VLOOKUP(B366,'PO with created By ASR'!A:I,6,FALSE)</f>
        <v>11417 Society of Indian Automobile Manufacturers</v>
      </c>
      <c r="L366" s="2" t="str">
        <f>VLOOKUP(B366,'PO with created By ASR'!A:J,7,FALSE)</f>
        <v>D - Delhi</v>
      </c>
      <c r="M366" s="2" t="str">
        <f>VLOOKUP(B366,'PO with created By ASR'!A:K,8,FALSE)</f>
        <v>Purchase Order-Del</v>
      </c>
      <c r="N366" t="s">
        <v>36</v>
      </c>
      <c r="P366" s="2">
        <v>6</v>
      </c>
    </row>
    <row r="367" s="2" customFormat="1" spans="1:16">
      <c r="A367" s="8"/>
      <c r="B367" s="9" t="s">
        <v>955</v>
      </c>
      <c r="C367" s="10" t="s">
        <v>292</v>
      </c>
      <c r="D367" s="11">
        <v>1</v>
      </c>
      <c r="E367" s="12">
        <v>40000</v>
      </c>
      <c r="F367" s="13">
        <v>40000</v>
      </c>
      <c r="G367" s="2">
        <f>VLOOKUP(B367,'PO with created By ASR'!A:C,3,FALSE)</f>
        <v>45668</v>
      </c>
      <c r="J367" s="2" t="str">
        <f>VLOOKUP(B367,'PO with created By ASR'!A:G,4,FALSE)</f>
        <v>Red Carpet Events And Entertainment-Del</v>
      </c>
      <c r="K367" s="2" t="str">
        <f>VLOOKUP(B367,'PO with created By ASR'!A:I,6,FALSE)</f>
        <v>12326 Red Carpet Events And Entertainment</v>
      </c>
      <c r="L367" s="2" t="str">
        <f>VLOOKUP(B367,'PO with created By ASR'!A:J,7,FALSE)</f>
        <v>D - Delhi</v>
      </c>
      <c r="M367" s="2" t="str">
        <f>VLOOKUP(B367,'PO with created By ASR'!A:K,8,FALSE)</f>
        <v>Purchase Order-Del</v>
      </c>
      <c r="N367" t="s">
        <v>36</v>
      </c>
      <c r="P367" s="2">
        <v>6</v>
      </c>
    </row>
    <row r="368" s="2" customFormat="1" spans="1:16">
      <c r="A368" s="8"/>
      <c r="B368" s="9" t="s">
        <v>956</v>
      </c>
      <c r="C368" s="10" t="s">
        <v>371</v>
      </c>
      <c r="D368" s="11">
        <v>1</v>
      </c>
      <c r="E368" s="12">
        <v>110000</v>
      </c>
      <c r="F368" s="13">
        <v>110000</v>
      </c>
      <c r="G368" s="2">
        <f>VLOOKUP(B368,'PO with created By ASR'!A:C,3,FALSE)</f>
        <v>45668</v>
      </c>
      <c r="J368" s="2" t="str">
        <f>VLOOKUP(B368,'PO with created By ASR'!A:G,4,FALSE)</f>
        <v>Artiligent Solutions Pvt Ltd-Mum</v>
      </c>
      <c r="K368" s="2" t="str">
        <f>VLOOKUP(B368,'PO with created By ASR'!A:I,6,FALSE)</f>
        <v>11680  Artiligent Solutions Pvt Ltd</v>
      </c>
      <c r="L368" s="2" t="str">
        <f>VLOOKUP(B368,'PO with created By ASR'!A:J,7,FALSE)</f>
        <v>A - Mumbai</v>
      </c>
      <c r="M368" s="2" t="str">
        <f>VLOOKUP(B368,'PO with created By ASR'!A:K,8,FALSE)</f>
        <v>Purchase Order-Mum</v>
      </c>
      <c r="N368" t="s">
        <v>36</v>
      </c>
      <c r="P368" s="2">
        <v>6</v>
      </c>
    </row>
    <row r="369" s="2" customFormat="1" spans="1:16">
      <c r="A369" s="8"/>
      <c r="B369" s="9" t="s">
        <v>961</v>
      </c>
      <c r="C369" s="10" t="s">
        <v>196</v>
      </c>
      <c r="D369" s="11">
        <v>1</v>
      </c>
      <c r="E369" s="12">
        <v>3780</v>
      </c>
      <c r="F369" s="13">
        <v>3780</v>
      </c>
      <c r="G369" s="2">
        <f>VLOOKUP(B369,'PO with created By ASR'!A:C,3,FALSE)</f>
        <v>45668</v>
      </c>
      <c r="J369" s="2" t="str">
        <f>VLOOKUP(B369,'PO with created By ASR'!A:G,4,FALSE)</f>
        <v>Noaman Digital Partnership Firm-Mum</v>
      </c>
      <c r="K369" s="2" t="e">
        <f>VLOOKUP(B369,'PO with created By ASR'!A:I,6,FALSE)</f>
        <v>#N/A</v>
      </c>
      <c r="L369" s="2" t="str">
        <f>VLOOKUP(B369,'PO with created By ASR'!A:J,7,FALSE)</f>
        <v>A - Mumbai</v>
      </c>
      <c r="M369" s="2" t="str">
        <f>VLOOKUP(B369,'PO with created By ASR'!A:K,8,FALSE)</f>
        <v>Purchase Order-Mum</v>
      </c>
      <c r="N369" t="s">
        <v>36</v>
      </c>
      <c r="P369" s="2">
        <v>6</v>
      </c>
    </row>
    <row r="370" s="2" customFormat="1" spans="1:16">
      <c r="A370" s="8"/>
      <c r="B370" s="9" t="s">
        <v>964</v>
      </c>
      <c r="C370" s="10" t="s">
        <v>317</v>
      </c>
      <c r="D370" s="11">
        <v>1</v>
      </c>
      <c r="E370" s="12">
        <v>2360</v>
      </c>
      <c r="F370" s="13">
        <v>2360</v>
      </c>
      <c r="G370" s="2">
        <f>VLOOKUP(B370,'PO with created By ASR'!A:C,3,FALSE)</f>
        <v>45668</v>
      </c>
      <c r="J370" s="2" t="str">
        <f>VLOOKUP(B370,'PO with created By ASR'!A:G,4,FALSE)</f>
        <v>Sportocraft Enterprises-Mum</v>
      </c>
      <c r="K370" s="2" t="str">
        <f>VLOOKUP(B370,'PO with created By ASR'!A:I,6,FALSE)</f>
        <v>12437 Sportocraft Enterprises</v>
      </c>
      <c r="L370" s="2" t="str">
        <f>VLOOKUP(B370,'PO with created By ASR'!A:J,7,FALSE)</f>
        <v>A - Mumbai</v>
      </c>
      <c r="M370" s="2" t="str">
        <f>VLOOKUP(B370,'PO with created By ASR'!A:K,8,FALSE)</f>
        <v>Purchase Order-Mum</v>
      </c>
      <c r="N370" t="s">
        <v>36</v>
      </c>
      <c r="P370" s="2">
        <v>6</v>
      </c>
    </row>
    <row r="371" s="2" customFormat="1" spans="1:16">
      <c r="A371" s="8"/>
      <c r="B371" s="9" t="s">
        <v>965</v>
      </c>
      <c r="C371" s="10" t="s">
        <v>151</v>
      </c>
      <c r="D371" s="11">
        <v>1</v>
      </c>
      <c r="E371" s="12">
        <v>55000</v>
      </c>
      <c r="F371" s="13">
        <v>55000</v>
      </c>
      <c r="G371" s="2">
        <f>VLOOKUP(B371,'PO with created By ASR'!A:C,3,FALSE)</f>
        <v>45668</v>
      </c>
      <c r="J371" s="2" t="str">
        <f>VLOOKUP(B371,'PO with created By ASR'!A:G,4,FALSE)</f>
        <v>Om Screen Art Events-Mum</v>
      </c>
      <c r="K371" s="2" t="str">
        <f>VLOOKUP(B371,'PO with created By ASR'!A:I,6,FALSE)</f>
        <v>12222 Om Screen Art Events</v>
      </c>
      <c r="L371" s="2" t="str">
        <f>VLOOKUP(B371,'PO with created By ASR'!A:J,7,FALSE)</f>
        <v>A - Mumbai</v>
      </c>
      <c r="M371" s="2" t="str">
        <f>VLOOKUP(B371,'PO with created By ASR'!A:K,8,FALSE)</f>
        <v>Purchase Order-Mum</v>
      </c>
      <c r="N371" t="s">
        <v>36</v>
      </c>
      <c r="P371" s="2">
        <v>6</v>
      </c>
    </row>
    <row r="372" s="2" customFormat="1" spans="1:16">
      <c r="A372" s="8"/>
      <c r="B372" s="9" t="s">
        <v>970</v>
      </c>
      <c r="C372" s="10" t="s">
        <v>371</v>
      </c>
      <c r="D372" s="11">
        <v>1</v>
      </c>
      <c r="E372" s="12">
        <v>30000</v>
      </c>
      <c r="F372" s="13">
        <v>30000</v>
      </c>
      <c r="G372" s="2">
        <f>VLOOKUP(B372,'PO with created By ASR'!A:C,3,FALSE)</f>
        <v>45668</v>
      </c>
      <c r="J372" s="2" t="str">
        <f>VLOOKUP(B372,'PO with created By ASR'!A:G,4,FALSE)</f>
        <v>S T Sound System-Mum</v>
      </c>
      <c r="K372" s="2" t="str">
        <f>VLOOKUP(B372,'PO with created By ASR'!A:I,6,FALSE)</f>
        <v>11137 S T Sound System</v>
      </c>
      <c r="L372" s="2" t="str">
        <f>VLOOKUP(B372,'PO with created By ASR'!A:J,7,FALSE)</f>
        <v>A - Mumbai</v>
      </c>
      <c r="M372" s="2" t="str">
        <f>VLOOKUP(B372,'PO with created By ASR'!A:K,8,FALSE)</f>
        <v>Purchase Order-Mum</v>
      </c>
      <c r="N372" t="s">
        <v>36</v>
      </c>
      <c r="P372" s="2">
        <v>6</v>
      </c>
    </row>
    <row r="373" s="2" customFormat="1" spans="1:16">
      <c r="A373" s="8"/>
      <c r="B373" s="9" t="s">
        <v>973</v>
      </c>
      <c r="C373" s="10" t="s">
        <v>371</v>
      </c>
      <c r="D373" s="11">
        <v>1</v>
      </c>
      <c r="E373" s="12">
        <v>18000</v>
      </c>
      <c r="F373" s="13">
        <v>18000</v>
      </c>
      <c r="G373" s="2">
        <f>VLOOKUP(B373,'PO with created By ASR'!A:C,3,FALSE)</f>
        <v>45668</v>
      </c>
      <c r="J373" s="2" t="str">
        <f>VLOOKUP(B373,'PO with created By ASR'!A:G,4,FALSE)</f>
        <v>Shiv Shakti Enterprises-Mum</v>
      </c>
      <c r="K373" s="2" t="str">
        <f>VLOOKUP(B373,'PO with created By ASR'!A:I,6,FALSE)</f>
        <v>11130 Shiv Shakti Enterprises</v>
      </c>
      <c r="L373" s="2" t="str">
        <f>VLOOKUP(B373,'PO with created By ASR'!A:J,7,FALSE)</f>
        <v>A - Mumbai</v>
      </c>
      <c r="M373" s="2" t="str">
        <f>VLOOKUP(B373,'PO with created By ASR'!A:K,8,FALSE)</f>
        <v>Purchase Order-Mum</v>
      </c>
      <c r="N373" t="s">
        <v>36</v>
      </c>
      <c r="P373" s="2">
        <v>6</v>
      </c>
    </row>
    <row r="374" s="2" customFormat="1" spans="1:16">
      <c r="A374" s="8"/>
      <c r="B374" s="9" t="s">
        <v>976</v>
      </c>
      <c r="C374" s="10" t="s">
        <v>371</v>
      </c>
      <c r="D374" s="11">
        <v>1</v>
      </c>
      <c r="E374" s="12">
        <v>45000</v>
      </c>
      <c r="F374" s="13">
        <v>45000</v>
      </c>
      <c r="G374" s="2">
        <f>VLOOKUP(B374,'PO with created By ASR'!A:C,3,FALSE)</f>
        <v>45668</v>
      </c>
      <c r="J374" s="2" t="str">
        <f>VLOOKUP(B374,'PO with created By ASR'!A:G,4,FALSE)</f>
        <v>Videowaves-Mum</v>
      </c>
      <c r="K374" s="2" t="e">
        <f>VLOOKUP(B374,'PO with created By ASR'!A:I,6,FALSE)</f>
        <v>#N/A</v>
      </c>
      <c r="L374" s="2" t="str">
        <f>VLOOKUP(B374,'PO with created By ASR'!A:J,7,FALSE)</f>
        <v>A - Mumbai</v>
      </c>
      <c r="M374" s="2" t="str">
        <f>VLOOKUP(B374,'PO with created By ASR'!A:K,8,FALSE)</f>
        <v>Purchase Order-Mum</v>
      </c>
      <c r="N374" t="s">
        <v>36</v>
      </c>
      <c r="P374" s="2">
        <v>6</v>
      </c>
    </row>
    <row r="375" s="2" customFormat="1" spans="1:16">
      <c r="A375" s="8"/>
      <c r="B375" s="9" t="s">
        <v>978</v>
      </c>
      <c r="C375" s="10" t="s">
        <v>401</v>
      </c>
      <c r="D375" s="11">
        <v>1</v>
      </c>
      <c r="E375" s="12">
        <v>9500</v>
      </c>
      <c r="F375" s="13">
        <v>9500</v>
      </c>
      <c r="G375" s="2">
        <f>VLOOKUP(B375,'PO with created By ASR'!A:C,3,FALSE)</f>
        <v>45668</v>
      </c>
      <c r="J375" s="2" t="str">
        <f>VLOOKUP(B375,'PO with created By ASR'!A:G,4,FALSE)</f>
        <v>Vinit Video Vision-Mum</v>
      </c>
      <c r="K375" s="2" t="str">
        <f>VLOOKUP(B375,'PO with created By ASR'!A:I,6,FALSE)</f>
        <v>10235 Vinit Video Vision</v>
      </c>
      <c r="L375" s="2" t="str">
        <f>VLOOKUP(B375,'PO with created By ASR'!A:J,7,FALSE)</f>
        <v>A - Mumbai</v>
      </c>
      <c r="M375" s="2" t="str">
        <f>VLOOKUP(B375,'PO with created By ASR'!A:K,8,FALSE)</f>
        <v>Purchase Order-Mum</v>
      </c>
      <c r="N375" t="s">
        <v>36</v>
      </c>
      <c r="P375" s="2">
        <v>6</v>
      </c>
    </row>
    <row r="376" s="2" customFormat="1" spans="1:16">
      <c r="A376" s="8"/>
      <c r="B376" s="9" t="s">
        <v>979</v>
      </c>
      <c r="C376" s="10" t="s">
        <v>292</v>
      </c>
      <c r="D376" s="11">
        <v>1</v>
      </c>
      <c r="E376" s="12">
        <v>7100</v>
      </c>
      <c r="F376" s="13">
        <v>7100</v>
      </c>
      <c r="G376" s="2">
        <f>VLOOKUP(B376,'PO with created By ASR'!A:C,3,FALSE)</f>
        <v>45668</v>
      </c>
      <c r="J376" s="2" t="str">
        <f>VLOOKUP(B376,'PO with created By ASR'!A:G,4,FALSE)</f>
        <v>Emblaze Events (Sunita Harihar Sharma)-Mum</v>
      </c>
      <c r="K376" s="2" t="str">
        <f>VLOOKUP(B376,'PO with created By ASR'!A:I,6,FALSE)</f>
        <v>11869 Emblaze Events (Sunita Harihar Sharma)</v>
      </c>
      <c r="L376" s="2" t="str">
        <f>VLOOKUP(B376,'PO with created By ASR'!A:J,7,FALSE)</f>
        <v>A - Mumbai</v>
      </c>
      <c r="M376" s="2" t="str">
        <f>VLOOKUP(B376,'PO with created By ASR'!A:K,8,FALSE)</f>
        <v>Purchase Order-Mum</v>
      </c>
      <c r="N376" t="s">
        <v>36</v>
      </c>
      <c r="P376" s="2">
        <v>6</v>
      </c>
    </row>
    <row r="377" s="2" customFormat="1" spans="1:16">
      <c r="A377" s="8"/>
      <c r="B377" s="9" t="s">
        <v>980</v>
      </c>
      <c r="C377" s="10" t="s">
        <v>196</v>
      </c>
      <c r="D377" s="11">
        <v>1</v>
      </c>
      <c r="E377" s="12">
        <v>10290</v>
      </c>
      <c r="F377" s="13">
        <v>10290</v>
      </c>
      <c r="G377" s="2">
        <f>VLOOKUP(B377,'PO with created By ASR'!A:C,3,FALSE)</f>
        <v>45668</v>
      </c>
      <c r="J377" s="2" t="str">
        <f>VLOOKUP(B377,'PO with created By ASR'!A:G,4,FALSE)</f>
        <v>Noaman Digital Partnership Firm-Mum</v>
      </c>
      <c r="K377" s="2" t="e">
        <f>VLOOKUP(B377,'PO with created By ASR'!A:I,6,FALSE)</f>
        <v>#N/A</v>
      </c>
      <c r="L377" s="2" t="str">
        <f>VLOOKUP(B377,'PO with created By ASR'!A:J,7,FALSE)</f>
        <v>A - Mumbai</v>
      </c>
      <c r="M377" s="2" t="str">
        <f>VLOOKUP(B377,'PO with created By ASR'!A:K,8,FALSE)</f>
        <v>Purchase Order-Mum</v>
      </c>
      <c r="N377" t="s">
        <v>36</v>
      </c>
      <c r="P377" s="2">
        <v>6</v>
      </c>
    </row>
    <row r="378" s="2" customFormat="1" spans="1:16">
      <c r="A378" s="8"/>
      <c r="B378" s="9" t="s">
        <v>981</v>
      </c>
      <c r="C378" s="10" t="s">
        <v>250</v>
      </c>
      <c r="D378" s="11">
        <v>1</v>
      </c>
      <c r="E378" s="12">
        <v>60000</v>
      </c>
      <c r="F378" s="13">
        <v>60000</v>
      </c>
      <c r="G378" s="2">
        <f>VLOOKUP(B378,'PO with created By ASR'!A:C,3,FALSE)</f>
        <v>45670</v>
      </c>
      <c r="J378" s="2" t="str">
        <f>VLOOKUP(B378,'PO with created By ASR'!A:G,4,FALSE)</f>
        <v>Srikruthi C S-Blr</v>
      </c>
      <c r="K378" s="2" t="str">
        <f>VLOOKUP(B378,'PO with created By ASR'!A:I,6,FALSE)</f>
        <v>12938 Srikruthi C S</v>
      </c>
      <c r="L378" s="2" t="str">
        <f>VLOOKUP(B378,'PO with created By ASR'!A:J,7,FALSE)</f>
        <v>B - Bangalore</v>
      </c>
      <c r="M378" s="2" t="str">
        <f>VLOOKUP(B378,'PO with created By ASR'!A:K,8,FALSE)</f>
        <v>Purchase Order-Blr</v>
      </c>
      <c r="N378" t="s">
        <v>36</v>
      </c>
      <c r="P378" s="2">
        <v>6</v>
      </c>
    </row>
    <row r="379" s="2" customFormat="1" spans="1:16">
      <c r="A379" s="8"/>
      <c r="B379" s="9" t="s">
        <v>986</v>
      </c>
      <c r="C379" s="10" t="s">
        <v>126</v>
      </c>
      <c r="D379" s="11">
        <v>1</v>
      </c>
      <c r="E379" s="12">
        <v>28183</v>
      </c>
      <c r="F379" s="13">
        <v>28183</v>
      </c>
      <c r="G379" s="2">
        <f>VLOOKUP(B379,'PO with created By ASR'!A:C,3,FALSE)</f>
        <v>45670</v>
      </c>
      <c r="J379" s="2" t="str">
        <f>VLOOKUP(B379,'PO with created By ASR'!A:G,4,FALSE)</f>
        <v>Neha Khemka  -CR</v>
      </c>
      <c r="K379" s="2" t="e">
        <f>VLOOKUP(B379,'PO with created By ASR'!A:I,6,FALSE)</f>
        <v>#N/A</v>
      </c>
      <c r="L379" s="2" t="str">
        <f>VLOOKUP(B379,'PO with created By ASR'!A:J,7,FALSE)</f>
        <v>B - Bangalore</v>
      </c>
      <c r="M379" s="2" t="str">
        <f>VLOOKUP(B379,'PO with created By ASR'!A:K,8,FALSE)</f>
        <v>Purchase Order-Blr</v>
      </c>
      <c r="N379" t="s">
        <v>36</v>
      </c>
      <c r="P379" s="2">
        <v>6</v>
      </c>
    </row>
    <row r="380" s="2" customFormat="1" spans="1:16">
      <c r="A380" s="8"/>
      <c r="B380" s="9" t="s">
        <v>986</v>
      </c>
      <c r="C380" s="10" t="s">
        <v>119</v>
      </c>
      <c r="D380" s="11">
        <v>1</v>
      </c>
      <c r="E380" s="12">
        <v>6200</v>
      </c>
      <c r="F380" s="13">
        <v>6200</v>
      </c>
      <c r="G380" s="2">
        <f>VLOOKUP(B380,'PO with created By ASR'!A:C,3,FALSE)</f>
        <v>45670</v>
      </c>
      <c r="J380" s="2" t="str">
        <f>VLOOKUP(B380,'PO with created By ASR'!A:G,4,FALSE)</f>
        <v>Neha Khemka  -CR</v>
      </c>
      <c r="K380" s="2" t="e">
        <f>VLOOKUP(B380,'PO with created By ASR'!A:I,6,FALSE)</f>
        <v>#N/A</v>
      </c>
      <c r="L380" s="2" t="str">
        <f>VLOOKUP(B380,'PO with created By ASR'!A:J,7,FALSE)</f>
        <v>B - Bangalore</v>
      </c>
      <c r="M380" s="2" t="str">
        <f>VLOOKUP(B380,'PO with created By ASR'!A:K,8,FALSE)</f>
        <v>Purchase Order-Blr</v>
      </c>
      <c r="N380" t="s">
        <v>36</v>
      </c>
      <c r="P380" s="2">
        <v>6</v>
      </c>
    </row>
    <row r="381" s="2" customFormat="1" spans="1:16">
      <c r="A381" s="8"/>
      <c r="B381" s="9" t="s">
        <v>986</v>
      </c>
      <c r="C381" s="10" t="s">
        <v>412</v>
      </c>
      <c r="D381" s="11">
        <v>1</v>
      </c>
      <c r="E381" s="12">
        <v>10911</v>
      </c>
      <c r="F381" s="13">
        <v>10911</v>
      </c>
      <c r="G381" s="2">
        <f>VLOOKUP(B381,'PO with created By ASR'!A:C,3,FALSE)</f>
        <v>45670</v>
      </c>
      <c r="J381" s="2" t="str">
        <f>VLOOKUP(B381,'PO with created By ASR'!A:G,4,FALSE)</f>
        <v>Neha Khemka  -CR</v>
      </c>
      <c r="K381" s="2" t="e">
        <f>VLOOKUP(B381,'PO with created By ASR'!A:I,6,FALSE)</f>
        <v>#N/A</v>
      </c>
      <c r="L381" s="2" t="str">
        <f>VLOOKUP(B381,'PO with created By ASR'!A:J,7,FALSE)</f>
        <v>B - Bangalore</v>
      </c>
      <c r="M381" s="2" t="str">
        <f>VLOOKUP(B381,'PO with created By ASR'!A:K,8,FALSE)</f>
        <v>Purchase Order-Blr</v>
      </c>
      <c r="N381" t="s">
        <v>36</v>
      </c>
      <c r="P381" s="2">
        <v>6</v>
      </c>
    </row>
    <row r="382" s="2" customFormat="1" spans="1:16">
      <c r="A382" s="8"/>
      <c r="B382" s="9" t="s">
        <v>986</v>
      </c>
      <c r="C382" s="10" t="s">
        <v>1055</v>
      </c>
      <c r="D382" s="11">
        <v>1</v>
      </c>
      <c r="E382" s="12">
        <v>4136</v>
      </c>
      <c r="F382" s="13">
        <v>4136</v>
      </c>
      <c r="G382" s="2">
        <f>VLOOKUP(B382,'PO with created By ASR'!A:C,3,FALSE)</f>
        <v>45670</v>
      </c>
      <c r="J382" s="2" t="str">
        <f>VLOOKUP(B382,'PO with created By ASR'!A:G,4,FALSE)</f>
        <v>Neha Khemka  -CR</v>
      </c>
      <c r="K382" s="2" t="e">
        <f>VLOOKUP(B382,'PO with created By ASR'!A:I,6,FALSE)</f>
        <v>#N/A</v>
      </c>
      <c r="L382" s="2" t="str">
        <f>VLOOKUP(B382,'PO with created By ASR'!A:J,7,FALSE)</f>
        <v>B - Bangalore</v>
      </c>
      <c r="M382" s="2" t="str">
        <f>VLOOKUP(B382,'PO with created By ASR'!A:K,8,FALSE)</f>
        <v>Purchase Order-Blr</v>
      </c>
      <c r="N382" t="s">
        <v>36</v>
      </c>
      <c r="P382" s="2">
        <v>6</v>
      </c>
    </row>
    <row r="383" s="2" customFormat="1" spans="1:16">
      <c r="A383" s="8"/>
      <c r="B383" s="9" t="s">
        <v>986</v>
      </c>
      <c r="C383" s="10" t="s">
        <v>196</v>
      </c>
      <c r="D383" s="11">
        <v>1</v>
      </c>
      <c r="E383" s="12">
        <v>2470</v>
      </c>
      <c r="F383" s="13">
        <v>2470</v>
      </c>
      <c r="G383" s="2">
        <f>VLOOKUP(B383,'PO with created By ASR'!A:C,3,FALSE)</f>
        <v>45670</v>
      </c>
      <c r="J383" s="2" t="str">
        <f>VLOOKUP(B383,'PO with created By ASR'!A:G,4,FALSE)</f>
        <v>Neha Khemka  -CR</v>
      </c>
      <c r="K383" s="2" t="e">
        <f>VLOOKUP(B383,'PO with created By ASR'!A:I,6,FALSE)</f>
        <v>#N/A</v>
      </c>
      <c r="L383" s="2" t="str">
        <f>VLOOKUP(B383,'PO with created By ASR'!A:J,7,FALSE)</f>
        <v>B - Bangalore</v>
      </c>
      <c r="M383" s="2" t="str">
        <f>VLOOKUP(B383,'PO with created By ASR'!A:K,8,FALSE)</f>
        <v>Purchase Order-Blr</v>
      </c>
      <c r="N383" t="s">
        <v>36</v>
      </c>
      <c r="P383" s="2">
        <v>6</v>
      </c>
    </row>
    <row r="384" s="2" customFormat="1" spans="1:16">
      <c r="A384" s="8"/>
      <c r="B384" s="9" t="s">
        <v>986</v>
      </c>
      <c r="C384" s="10" t="s">
        <v>233</v>
      </c>
      <c r="D384" s="11">
        <v>1</v>
      </c>
      <c r="E384" s="12">
        <v>16833</v>
      </c>
      <c r="F384" s="13">
        <v>16833</v>
      </c>
      <c r="G384" s="2">
        <f>VLOOKUP(B384,'PO with created By ASR'!A:C,3,FALSE)</f>
        <v>45670</v>
      </c>
      <c r="J384" s="2" t="str">
        <f>VLOOKUP(B384,'PO with created By ASR'!A:G,4,FALSE)</f>
        <v>Neha Khemka  -CR</v>
      </c>
      <c r="K384" s="2" t="e">
        <f>VLOOKUP(B384,'PO with created By ASR'!A:I,6,FALSE)</f>
        <v>#N/A</v>
      </c>
      <c r="L384" s="2" t="str">
        <f>VLOOKUP(B384,'PO with created By ASR'!A:J,7,FALSE)</f>
        <v>B - Bangalore</v>
      </c>
      <c r="M384" s="2" t="str">
        <f>VLOOKUP(B384,'PO with created By ASR'!A:K,8,FALSE)</f>
        <v>Purchase Order-Blr</v>
      </c>
      <c r="N384" t="s">
        <v>36</v>
      </c>
      <c r="P384" s="2">
        <v>6</v>
      </c>
    </row>
    <row r="385" s="2" customFormat="1" spans="1:16">
      <c r="A385" s="8"/>
      <c r="B385" s="9" t="s">
        <v>986</v>
      </c>
      <c r="C385" s="10" t="s">
        <v>292</v>
      </c>
      <c r="D385" s="11">
        <v>1</v>
      </c>
      <c r="E385" s="12">
        <v>2000</v>
      </c>
      <c r="F385" s="13">
        <v>2000</v>
      </c>
      <c r="G385" s="2">
        <f>VLOOKUP(B385,'PO with created By ASR'!A:C,3,FALSE)</f>
        <v>45670</v>
      </c>
      <c r="J385" s="2" t="str">
        <f>VLOOKUP(B385,'PO with created By ASR'!A:G,4,FALSE)</f>
        <v>Neha Khemka  -CR</v>
      </c>
      <c r="K385" s="2" t="e">
        <f>VLOOKUP(B385,'PO with created By ASR'!A:I,6,FALSE)</f>
        <v>#N/A</v>
      </c>
      <c r="L385" s="2" t="str">
        <f>VLOOKUP(B385,'PO with created By ASR'!A:J,7,FALSE)</f>
        <v>B - Bangalore</v>
      </c>
      <c r="M385" s="2" t="str">
        <f>VLOOKUP(B385,'PO with created By ASR'!A:K,8,FALSE)</f>
        <v>Purchase Order-Blr</v>
      </c>
      <c r="N385" t="s">
        <v>36</v>
      </c>
      <c r="P385" s="2">
        <v>6</v>
      </c>
    </row>
    <row r="386" s="2" customFormat="1" spans="1:16">
      <c r="A386" s="8"/>
      <c r="B386" s="9" t="s">
        <v>988</v>
      </c>
      <c r="C386" s="10" t="s">
        <v>990</v>
      </c>
      <c r="D386" s="11">
        <v>1</v>
      </c>
      <c r="E386" s="12">
        <v>5500</v>
      </c>
      <c r="F386" s="13">
        <v>5500</v>
      </c>
      <c r="G386" s="2">
        <f>VLOOKUP(B386,'PO with created By ASR'!A:C,3,FALSE)</f>
        <v>45670</v>
      </c>
      <c r="J386" s="2" t="str">
        <f>VLOOKUP(B386,'PO with created By ASR'!A:G,4,FALSE)</f>
        <v>Infutech Solutions-Blr</v>
      </c>
      <c r="K386" s="2" t="str">
        <f>VLOOKUP(B386,'PO with created By ASR'!A:I,6,FALSE)</f>
        <v>12027 Infutech Solutions</v>
      </c>
      <c r="L386" s="2" t="str">
        <f>VLOOKUP(B386,'PO with created By ASR'!A:J,7,FALSE)</f>
        <v>B - Bangalore</v>
      </c>
      <c r="M386" s="2" t="str">
        <f>VLOOKUP(B386,'PO with created By ASR'!A:K,8,FALSE)</f>
        <v>Purchase Order-Blr</v>
      </c>
      <c r="N386" t="s">
        <v>36</v>
      </c>
      <c r="P386" s="2">
        <v>6</v>
      </c>
    </row>
    <row r="387" s="2" customFormat="1" spans="1:16">
      <c r="A387" s="8"/>
      <c r="B387" s="9" t="s">
        <v>994</v>
      </c>
      <c r="C387" s="10" t="s">
        <v>126</v>
      </c>
      <c r="D387" s="11">
        <v>1</v>
      </c>
      <c r="E387" s="12">
        <v>205</v>
      </c>
      <c r="F387" s="13">
        <v>205</v>
      </c>
      <c r="G387" s="2">
        <f>VLOOKUP(B387,'PO with created By ASR'!A:C,3,FALSE)</f>
        <v>45670</v>
      </c>
      <c r="J387" s="2" t="str">
        <f>VLOOKUP(B387,'PO with created By ASR'!A:G,4,FALSE)</f>
        <v>Arun Kumar M  -CR</v>
      </c>
      <c r="K387" s="2" t="e">
        <f>VLOOKUP(B387,'PO with created By ASR'!A:I,6,FALSE)</f>
        <v>#N/A</v>
      </c>
      <c r="L387" s="2" t="str">
        <f>VLOOKUP(B387,'PO with created By ASR'!A:J,7,FALSE)</f>
        <v>B - Bangalore</v>
      </c>
      <c r="M387" s="2" t="str">
        <f>VLOOKUP(B387,'PO with created By ASR'!A:K,8,FALSE)</f>
        <v>Purchase Order-Blr</v>
      </c>
      <c r="N387" t="s">
        <v>36</v>
      </c>
      <c r="P387" s="2">
        <v>6</v>
      </c>
    </row>
    <row r="388" s="2" customFormat="1" spans="1:16">
      <c r="A388" s="8"/>
      <c r="B388" s="9" t="s">
        <v>994</v>
      </c>
      <c r="C388" s="10" t="s">
        <v>412</v>
      </c>
      <c r="D388" s="11">
        <v>1</v>
      </c>
      <c r="E388" s="12">
        <v>441</v>
      </c>
      <c r="F388" s="13">
        <v>441</v>
      </c>
      <c r="G388" s="2">
        <f>VLOOKUP(B388,'PO with created By ASR'!A:C,3,FALSE)</f>
        <v>45670</v>
      </c>
      <c r="J388" s="2" t="str">
        <f>VLOOKUP(B388,'PO with created By ASR'!A:G,4,FALSE)</f>
        <v>Arun Kumar M  -CR</v>
      </c>
      <c r="K388" s="2" t="e">
        <f>VLOOKUP(B388,'PO with created By ASR'!A:I,6,FALSE)</f>
        <v>#N/A</v>
      </c>
      <c r="L388" s="2" t="str">
        <f>VLOOKUP(B388,'PO with created By ASR'!A:J,7,FALSE)</f>
        <v>B - Bangalore</v>
      </c>
      <c r="M388" s="2" t="str">
        <f>VLOOKUP(B388,'PO with created By ASR'!A:K,8,FALSE)</f>
        <v>Purchase Order-Blr</v>
      </c>
      <c r="N388" t="s">
        <v>36</v>
      </c>
      <c r="P388" s="2">
        <v>6</v>
      </c>
    </row>
    <row r="389" s="2" customFormat="1" spans="1:16">
      <c r="A389" s="8"/>
      <c r="B389" s="9" t="s">
        <v>994</v>
      </c>
      <c r="C389" s="10" t="s">
        <v>140</v>
      </c>
      <c r="D389" s="11">
        <v>1</v>
      </c>
      <c r="E389" s="12">
        <v>4900</v>
      </c>
      <c r="F389" s="13">
        <v>4900</v>
      </c>
      <c r="G389" s="2">
        <f>VLOOKUP(B389,'PO with created By ASR'!A:C,3,FALSE)</f>
        <v>45670</v>
      </c>
      <c r="J389" s="2" t="str">
        <f>VLOOKUP(B389,'PO with created By ASR'!A:G,4,FALSE)</f>
        <v>Arun Kumar M  -CR</v>
      </c>
      <c r="K389" s="2" t="e">
        <f>VLOOKUP(B389,'PO with created By ASR'!A:I,6,FALSE)</f>
        <v>#N/A</v>
      </c>
      <c r="L389" s="2" t="str">
        <f>VLOOKUP(B389,'PO with created By ASR'!A:J,7,FALSE)</f>
        <v>B - Bangalore</v>
      </c>
      <c r="M389" s="2" t="str">
        <f>VLOOKUP(B389,'PO with created By ASR'!A:K,8,FALSE)</f>
        <v>Purchase Order-Blr</v>
      </c>
      <c r="N389" t="s">
        <v>36</v>
      </c>
      <c r="P389" s="2">
        <v>6</v>
      </c>
    </row>
    <row r="390" s="2" customFormat="1" spans="1:16">
      <c r="A390" s="8"/>
      <c r="B390" s="9" t="s">
        <v>994</v>
      </c>
      <c r="C390" s="10" t="s">
        <v>1055</v>
      </c>
      <c r="D390" s="11">
        <v>1</v>
      </c>
      <c r="E390" s="12">
        <v>376</v>
      </c>
      <c r="F390" s="13">
        <v>376</v>
      </c>
      <c r="G390" s="2">
        <f>VLOOKUP(B390,'PO with created By ASR'!A:C,3,FALSE)</f>
        <v>45670</v>
      </c>
      <c r="J390" s="2" t="str">
        <f>VLOOKUP(B390,'PO with created By ASR'!A:G,4,FALSE)</f>
        <v>Arun Kumar M  -CR</v>
      </c>
      <c r="K390" s="2" t="e">
        <f>VLOOKUP(B390,'PO with created By ASR'!A:I,6,FALSE)</f>
        <v>#N/A</v>
      </c>
      <c r="L390" s="2" t="str">
        <f>VLOOKUP(B390,'PO with created By ASR'!A:J,7,FALSE)</f>
        <v>B - Bangalore</v>
      </c>
      <c r="M390" s="2" t="str">
        <f>VLOOKUP(B390,'PO with created By ASR'!A:K,8,FALSE)</f>
        <v>Purchase Order-Blr</v>
      </c>
      <c r="N390" t="s">
        <v>36</v>
      </c>
      <c r="P390" s="2">
        <v>6</v>
      </c>
    </row>
    <row r="391" s="2" customFormat="1" spans="1:16">
      <c r="A391" s="8"/>
      <c r="B391" s="9" t="s">
        <v>994</v>
      </c>
      <c r="C391" s="10" t="s">
        <v>196</v>
      </c>
      <c r="D391" s="11">
        <v>1</v>
      </c>
      <c r="E391" s="12">
        <v>145</v>
      </c>
      <c r="F391" s="13">
        <v>145</v>
      </c>
      <c r="G391" s="2">
        <f>VLOOKUP(B391,'PO with created By ASR'!A:C,3,FALSE)</f>
        <v>45670</v>
      </c>
      <c r="J391" s="2" t="str">
        <f>VLOOKUP(B391,'PO with created By ASR'!A:G,4,FALSE)</f>
        <v>Arun Kumar M  -CR</v>
      </c>
      <c r="K391" s="2" t="e">
        <f>VLOOKUP(B391,'PO with created By ASR'!A:I,6,FALSE)</f>
        <v>#N/A</v>
      </c>
      <c r="L391" s="2" t="str">
        <f>VLOOKUP(B391,'PO with created By ASR'!A:J,7,FALSE)</f>
        <v>B - Bangalore</v>
      </c>
      <c r="M391" s="2" t="str">
        <f>VLOOKUP(B391,'PO with created By ASR'!A:K,8,FALSE)</f>
        <v>Purchase Order-Blr</v>
      </c>
      <c r="N391" t="s">
        <v>36</v>
      </c>
      <c r="P391" s="2">
        <v>6</v>
      </c>
    </row>
    <row r="392" s="2" customFormat="1" spans="1:16">
      <c r="A392" s="8"/>
      <c r="B392" s="9" t="s">
        <v>996</v>
      </c>
      <c r="C392" s="10" t="s">
        <v>317</v>
      </c>
      <c r="D392" s="11">
        <v>1</v>
      </c>
      <c r="E392" s="12">
        <v>290500</v>
      </c>
      <c r="F392" s="13">
        <v>290500</v>
      </c>
      <c r="G392" s="2">
        <f>VLOOKUP(B392,'PO with created By ASR'!A:C,3,FALSE)</f>
        <v>45670</v>
      </c>
      <c r="J392" s="2" t="str">
        <f>VLOOKUP(B392,'PO with created By ASR'!A:G,4,FALSE)</f>
        <v>Atat Events And Entertainment Pvt Ltd-Che</v>
      </c>
      <c r="K392" s="2" t="str">
        <f>VLOOKUP(B392,'PO with created By ASR'!A:I,6,FALSE)</f>
        <v>11689  Atat Events And Entertainment Pvt Ltd</v>
      </c>
      <c r="L392" s="2" t="str">
        <f>VLOOKUP(B392,'PO with created By ASR'!A:J,7,FALSE)</f>
        <v>C - Chennai</v>
      </c>
      <c r="M392" s="2" t="str">
        <f>VLOOKUP(B392,'PO with created By ASR'!A:K,8,FALSE)</f>
        <v>Purchase Order-Che</v>
      </c>
      <c r="N392" t="s">
        <v>36</v>
      </c>
      <c r="P392" s="2">
        <v>6</v>
      </c>
    </row>
    <row r="393" s="2" customFormat="1" spans="1:16">
      <c r="A393" s="8"/>
      <c r="B393" s="9" t="s">
        <v>999</v>
      </c>
      <c r="C393" s="10" t="s">
        <v>292</v>
      </c>
      <c r="D393" s="11">
        <v>1</v>
      </c>
      <c r="E393" s="12">
        <v>4000</v>
      </c>
      <c r="F393" s="13">
        <v>4000</v>
      </c>
      <c r="G393" s="2">
        <f>VLOOKUP(B393,'PO with created By ASR'!A:C,3,FALSE)</f>
        <v>45670</v>
      </c>
      <c r="J393" s="2" t="str">
        <f>VLOOKUP(B393,'PO with created By ASR'!A:G,4,FALSE)</f>
        <v>Red Carpet Events And Entertainment-Del</v>
      </c>
      <c r="K393" s="2" t="str">
        <f>VLOOKUP(B393,'PO with created By ASR'!A:I,6,FALSE)</f>
        <v>12326 Red Carpet Events And Entertainment</v>
      </c>
      <c r="L393" s="2" t="str">
        <f>VLOOKUP(B393,'PO with created By ASR'!A:J,7,FALSE)</f>
        <v>D - Delhi</v>
      </c>
      <c r="M393" s="2" t="str">
        <f>VLOOKUP(B393,'PO with created By ASR'!A:K,8,FALSE)</f>
        <v>Purchase Order-Del</v>
      </c>
      <c r="N393" t="s">
        <v>36</v>
      </c>
      <c r="P393" s="2">
        <v>6</v>
      </c>
    </row>
    <row r="394" s="2" customFormat="1" spans="1:16">
      <c r="A394" s="8"/>
      <c r="B394" s="9" t="s">
        <v>1000</v>
      </c>
      <c r="C394" s="10" t="s">
        <v>233</v>
      </c>
      <c r="D394" s="11">
        <v>1</v>
      </c>
      <c r="E394" s="12">
        <v>124950</v>
      </c>
      <c r="F394" s="13">
        <v>124950</v>
      </c>
      <c r="G394" s="2">
        <f>VLOOKUP(B394,'PO with created By ASR'!A:C,3,FALSE)</f>
        <v>45670</v>
      </c>
      <c r="J394" s="2" t="str">
        <f>VLOOKUP(B394,'PO with created By ASR'!A:G,4,FALSE)</f>
        <v>Unveil Solutions Pvt Ltd-Del</v>
      </c>
      <c r="K394" s="2" t="str">
        <f>VLOOKUP(B394,'PO with created By ASR'!A:I,6,FALSE)</f>
        <v>11472  Unveil Solutions Pvt Ltd</v>
      </c>
      <c r="L394" s="2" t="str">
        <f>VLOOKUP(B394,'PO with created By ASR'!A:J,7,FALSE)</f>
        <v>D - Delhi</v>
      </c>
      <c r="M394" s="2" t="str">
        <f>VLOOKUP(B394,'PO with created By ASR'!A:K,8,FALSE)</f>
        <v>Purchase Order-Del</v>
      </c>
      <c r="N394" t="s">
        <v>36</v>
      </c>
      <c r="P394" s="2">
        <v>6</v>
      </c>
    </row>
    <row r="395" s="2" customFormat="1" spans="1:16">
      <c r="A395" s="8"/>
      <c r="B395" s="9" t="s">
        <v>1003</v>
      </c>
      <c r="C395" s="10" t="s">
        <v>140</v>
      </c>
      <c r="D395" s="11">
        <v>1</v>
      </c>
      <c r="E395" s="12">
        <v>390250</v>
      </c>
      <c r="F395" s="13">
        <v>390250</v>
      </c>
      <c r="G395" s="2">
        <f>VLOOKUP(B395,'PO with created By ASR'!A:C,3,FALSE)</f>
        <v>45670</v>
      </c>
      <c r="J395" s="2" t="str">
        <f>VLOOKUP(B395,'PO with created By ASR'!A:G,4,FALSE)</f>
        <v>Corporate Gift-Del</v>
      </c>
      <c r="K395" s="2" t="str">
        <f>VLOOKUP(B395,'PO with created By ASR'!A:I,6,FALSE)</f>
        <v>11790 Corporate Gift</v>
      </c>
      <c r="L395" s="2" t="str">
        <f>VLOOKUP(B395,'PO with created By ASR'!A:J,7,FALSE)</f>
        <v>D - Delhi</v>
      </c>
      <c r="M395" s="2" t="str">
        <f>VLOOKUP(B395,'PO with created By ASR'!A:K,8,FALSE)</f>
        <v>Purchase Order-Del</v>
      </c>
      <c r="N395" t="s">
        <v>36</v>
      </c>
      <c r="P395" s="2">
        <v>6</v>
      </c>
    </row>
    <row r="396" s="2" customFormat="1" spans="1:16">
      <c r="A396" s="8"/>
      <c r="B396" s="9" t="s">
        <v>1004</v>
      </c>
      <c r="C396" s="10" t="s">
        <v>317</v>
      </c>
      <c r="D396" s="11">
        <v>1</v>
      </c>
      <c r="E396" s="12">
        <v>2572874</v>
      </c>
      <c r="F396" s="13">
        <v>2572874</v>
      </c>
      <c r="G396" s="2">
        <f>VLOOKUP(B396,'PO with created By ASR'!A:C,3,FALSE)</f>
        <v>45670</v>
      </c>
      <c r="J396" s="2" t="str">
        <f>VLOOKUP(B396,'PO with created By ASR'!A:G,4,FALSE)</f>
        <v>Cockpitmarx -Del</v>
      </c>
      <c r="K396" s="2" t="e">
        <f>VLOOKUP(B396,'PO with created By ASR'!A:I,6,FALSE)</f>
        <v>#N/A</v>
      </c>
      <c r="L396" s="2" t="str">
        <f>VLOOKUP(B396,'PO with created By ASR'!A:J,7,FALSE)</f>
        <v>D - Delhi</v>
      </c>
      <c r="M396" s="2" t="str">
        <f>VLOOKUP(B396,'PO with created By ASR'!A:K,8,FALSE)</f>
        <v>Purchase Order-Del</v>
      </c>
      <c r="N396" t="s">
        <v>36</v>
      </c>
      <c r="P396" s="2">
        <v>6</v>
      </c>
    </row>
    <row r="397" s="2" customFormat="1" spans="1:16">
      <c r="A397" s="8"/>
      <c r="B397" s="9" t="s">
        <v>1009</v>
      </c>
      <c r="C397" s="10" t="s">
        <v>250</v>
      </c>
      <c r="D397" s="11">
        <v>1</v>
      </c>
      <c r="E397" s="12">
        <v>300000</v>
      </c>
      <c r="F397" s="13">
        <v>300000</v>
      </c>
      <c r="G397" s="2">
        <f>VLOOKUP(B397,'PO with created By ASR'!A:C,3,FALSE)</f>
        <v>45670</v>
      </c>
      <c r="J397" s="2" t="str">
        <f>VLOOKUP(B397,'PO with created By ASR'!A:G,4,FALSE)</f>
        <v>Anchor Connect-Del</v>
      </c>
      <c r="K397" s="2" t="str">
        <f>VLOOKUP(B397,'PO with created By ASR'!A:I,6,FALSE)</f>
        <v>10532 Anchor Connect</v>
      </c>
      <c r="L397" s="2" t="str">
        <f>VLOOKUP(B397,'PO with created By ASR'!A:J,7,FALSE)</f>
        <v>D - Delhi</v>
      </c>
      <c r="M397" s="2" t="str">
        <f>VLOOKUP(B397,'PO with created By ASR'!A:K,8,FALSE)</f>
        <v>Purchase Order-Del</v>
      </c>
      <c r="N397" t="s">
        <v>36</v>
      </c>
      <c r="P397" s="2">
        <v>6</v>
      </c>
    </row>
    <row r="398" s="2" customFormat="1" spans="1:16">
      <c r="A398" s="8"/>
      <c r="B398" s="9" t="s">
        <v>1013</v>
      </c>
      <c r="C398" s="10" t="s">
        <v>140</v>
      </c>
      <c r="D398" s="11">
        <v>1</v>
      </c>
      <c r="E398" s="12">
        <v>1200500</v>
      </c>
      <c r="F398" s="13">
        <v>1200500</v>
      </c>
      <c r="G398" s="2">
        <f>VLOOKUP(B398,'PO with created By ASR'!A:C,3,FALSE)</f>
        <v>45670</v>
      </c>
      <c r="J398" s="2" t="str">
        <f>VLOOKUP(B398,'PO with created By ASR'!A:G,4,FALSE)</f>
        <v>Zpay Solutions Private Limited-Del</v>
      </c>
      <c r="K398" s="2" t="e">
        <f>VLOOKUP(B398,'PO with created By ASR'!A:I,6,FALSE)</f>
        <v>#N/A</v>
      </c>
      <c r="L398" s="2" t="str">
        <f>VLOOKUP(B398,'PO with created By ASR'!A:J,7,FALSE)</f>
        <v>D - Delhi</v>
      </c>
      <c r="M398" s="2" t="str">
        <f>VLOOKUP(B398,'PO with created By ASR'!A:K,8,FALSE)</f>
        <v>Purchase Order-Del</v>
      </c>
      <c r="N398" t="s">
        <v>36</v>
      </c>
      <c r="P398" s="2">
        <v>6</v>
      </c>
    </row>
    <row r="399" s="2" customFormat="1" spans="1:16">
      <c r="A399" s="8"/>
      <c r="B399" s="9" t="s">
        <v>1013</v>
      </c>
      <c r="C399" s="10" t="s">
        <v>140</v>
      </c>
      <c r="D399" s="11">
        <v>1</v>
      </c>
      <c r="E399" s="12">
        <v>3700000</v>
      </c>
      <c r="F399" s="13">
        <v>3700000</v>
      </c>
      <c r="G399" s="2">
        <f>VLOOKUP(B399,'PO with created By ASR'!A:C,3,FALSE)</f>
        <v>45670</v>
      </c>
      <c r="J399" s="2" t="str">
        <f>VLOOKUP(B399,'PO with created By ASR'!A:G,4,FALSE)</f>
        <v>Zpay Solutions Private Limited-Del</v>
      </c>
      <c r="K399" s="2" t="e">
        <f>VLOOKUP(B399,'PO with created By ASR'!A:I,6,FALSE)</f>
        <v>#N/A</v>
      </c>
      <c r="L399" s="2" t="str">
        <f>VLOOKUP(B399,'PO with created By ASR'!A:J,7,FALSE)</f>
        <v>D - Delhi</v>
      </c>
      <c r="M399" s="2" t="str">
        <f>VLOOKUP(B399,'PO with created By ASR'!A:K,8,FALSE)</f>
        <v>Purchase Order-Del</v>
      </c>
      <c r="N399" t="s">
        <v>36</v>
      </c>
      <c r="P399" s="2">
        <v>6</v>
      </c>
    </row>
    <row r="400" s="2" customFormat="1" spans="1:16">
      <c r="A400" s="8"/>
      <c r="B400" s="9" t="s">
        <v>1017</v>
      </c>
      <c r="C400" s="10" t="s">
        <v>119</v>
      </c>
      <c r="D400" s="11">
        <v>1</v>
      </c>
      <c r="E400" s="12">
        <v>78211</v>
      </c>
      <c r="F400" s="13">
        <v>78211</v>
      </c>
      <c r="G400" s="2">
        <f>VLOOKUP(B400,'PO with created By ASR'!A:C,3,FALSE)</f>
        <v>45670</v>
      </c>
      <c r="J400" s="2" t="str">
        <f>VLOOKUP(B400,'PO with created By ASR'!A:G,4,FALSE)</f>
        <v>Complete Solutions Tour And Travels Pvt Ltd-Del</v>
      </c>
      <c r="K400" s="2" t="str">
        <f>VLOOKUP(B400,'PO with created By ASR'!A:I,6,FALSE)</f>
        <v>11780  Complete Solutions Tour And Travels Pvt Ltd</v>
      </c>
      <c r="L400" s="2" t="str">
        <f>VLOOKUP(B400,'PO with created By ASR'!A:J,7,FALSE)</f>
        <v>D - Delhi</v>
      </c>
      <c r="M400" s="2" t="str">
        <f>VLOOKUP(B400,'PO with created By ASR'!A:K,8,FALSE)</f>
        <v>Purchase Order-Del</v>
      </c>
      <c r="N400" t="s">
        <v>36</v>
      </c>
      <c r="P400" s="2">
        <v>6</v>
      </c>
    </row>
    <row r="401" s="2" customFormat="1" spans="1:16">
      <c r="A401" s="8"/>
      <c r="B401" s="9" t="s">
        <v>1017</v>
      </c>
      <c r="C401" s="10" t="s">
        <v>764</v>
      </c>
      <c r="D401" s="11">
        <v>1</v>
      </c>
      <c r="E401" s="12">
        <v>3911</v>
      </c>
      <c r="F401" s="13">
        <v>3911</v>
      </c>
      <c r="G401" s="2">
        <f>VLOOKUP(B401,'PO with created By ASR'!A:C,3,FALSE)</f>
        <v>45670</v>
      </c>
      <c r="J401" s="2" t="str">
        <f>VLOOKUP(B401,'PO with created By ASR'!A:G,4,FALSE)</f>
        <v>Complete Solutions Tour And Travels Pvt Ltd-Del</v>
      </c>
      <c r="K401" s="2" t="str">
        <f>VLOOKUP(B401,'PO with created By ASR'!A:I,6,FALSE)</f>
        <v>11780  Complete Solutions Tour And Travels Pvt Ltd</v>
      </c>
      <c r="L401" s="2" t="str">
        <f>VLOOKUP(B401,'PO with created By ASR'!A:J,7,FALSE)</f>
        <v>D - Delhi</v>
      </c>
      <c r="M401" s="2" t="str">
        <f>VLOOKUP(B401,'PO with created By ASR'!A:K,8,FALSE)</f>
        <v>Purchase Order-Del</v>
      </c>
      <c r="N401" t="s">
        <v>36</v>
      </c>
      <c r="P401" s="2">
        <v>6</v>
      </c>
    </row>
    <row r="402" s="2" customFormat="1" spans="1:16">
      <c r="A402" s="8"/>
      <c r="B402" s="9" t="s">
        <v>1019</v>
      </c>
      <c r="C402" s="10" t="s">
        <v>347</v>
      </c>
      <c r="D402" s="11">
        <v>1</v>
      </c>
      <c r="E402" s="12">
        <v>22258</v>
      </c>
      <c r="F402" s="13">
        <v>22258</v>
      </c>
      <c r="G402" s="2">
        <f>VLOOKUP(B402,'PO with created By ASR'!A:C,3,FALSE)</f>
        <v>45670</v>
      </c>
      <c r="J402" s="2" t="str">
        <f>VLOOKUP(B402,'PO with created By ASR'!A:G,4,FALSE)</f>
        <v>Pankaj Lohini-Del</v>
      </c>
      <c r="K402" s="2" t="str">
        <f>VLOOKUP(B402,'PO with created By ASR'!A:I,6,FALSE)</f>
        <v>12876 Pankaj Lohini</v>
      </c>
      <c r="L402" s="2" t="str">
        <f>VLOOKUP(B402,'PO with created By ASR'!A:J,7,FALSE)</f>
        <v>D - Delhi</v>
      </c>
      <c r="M402" s="2" t="str">
        <f>VLOOKUP(B402,'PO with created By ASR'!A:K,8,FALSE)</f>
        <v>Purchase Order-Del</v>
      </c>
      <c r="N402" t="s">
        <v>36</v>
      </c>
      <c r="P402" s="2">
        <v>6</v>
      </c>
    </row>
    <row r="403" s="2" customFormat="1" spans="1:16">
      <c r="A403" s="8"/>
      <c r="B403" s="9" t="s">
        <v>1023</v>
      </c>
      <c r="C403" s="10" t="s">
        <v>126</v>
      </c>
      <c r="D403" s="11">
        <v>1</v>
      </c>
      <c r="E403" s="12">
        <v>2376</v>
      </c>
      <c r="F403" s="13">
        <v>2376</v>
      </c>
      <c r="G403" s="2">
        <f>VLOOKUP(B403,'PO with created By ASR'!A:C,3,FALSE)</f>
        <v>45670</v>
      </c>
      <c r="J403" s="2" t="str">
        <f>VLOOKUP(B403,'PO with created By ASR'!A:G,4,FALSE)</f>
        <v>Kanupriya Aggarwal  -CR</v>
      </c>
      <c r="K403" s="2" t="e">
        <f>VLOOKUP(B403,'PO with created By ASR'!A:I,6,FALSE)</f>
        <v>#N/A</v>
      </c>
      <c r="L403" s="2" t="str">
        <f>VLOOKUP(B403,'PO with created By ASR'!A:J,7,FALSE)</f>
        <v>D - Delhi</v>
      </c>
      <c r="M403" s="2" t="str">
        <f>VLOOKUP(B403,'PO with created By ASR'!A:K,8,FALSE)</f>
        <v>Purchase Order-Del</v>
      </c>
      <c r="N403" t="s">
        <v>36</v>
      </c>
      <c r="P403" s="2">
        <v>6</v>
      </c>
    </row>
    <row r="404" s="2" customFormat="1" spans="1:16">
      <c r="A404" s="8"/>
      <c r="B404" s="9" t="s">
        <v>1023</v>
      </c>
      <c r="C404" s="10" t="s">
        <v>412</v>
      </c>
      <c r="D404" s="11">
        <v>1</v>
      </c>
      <c r="E404" s="12">
        <v>921</v>
      </c>
      <c r="F404" s="13">
        <v>921</v>
      </c>
      <c r="G404" s="2">
        <f>VLOOKUP(B404,'PO with created By ASR'!A:C,3,FALSE)</f>
        <v>45670</v>
      </c>
      <c r="J404" s="2" t="str">
        <f>VLOOKUP(B404,'PO with created By ASR'!A:G,4,FALSE)</f>
        <v>Kanupriya Aggarwal  -CR</v>
      </c>
      <c r="K404" s="2" t="e">
        <f>VLOOKUP(B404,'PO with created By ASR'!A:I,6,FALSE)</f>
        <v>#N/A</v>
      </c>
      <c r="L404" s="2" t="str">
        <f>VLOOKUP(B404,'PO with created By ASR'!A:J,7,FALSE)</f>
        <v>D - Delhi</v>
      </c>
      <c r="M404" s="2" t="str">
        <f>VLOOKUP(B404,'PO with created By ASR'!A:K,8,FALSE)</f>
        <v>Purchase Order-Del</v>
      </c>
      <c r="N404" t="s">
        <v>36</v>
      </c>
      <c r="P404" s="2">
        <v>6</v>
      </c>
    </row>
    <row r="405" s="2" customFormat="1" spans="1:16">
      <c r="A405" s="8"/>
      <c r="B405" s="9" t="s">
        <v>1027</v>
      </c>
      <c r="C405" s="10" t="s">
        <v>126</v>
      </c>
      <c r="D405" s="11">
        <v>1</v>
      </c>
      <c r="E405" s="12">
        <v>2394</v>
      </c>
      <c r="F405" s="13">
        <v>2394</v>
      </c>
      <c r="G405" s="2">
        <f>VLOOKUP(B405,'PO with created By ASR'!A:C,3,FALSE)</f>
        <v>45670</v>
      </c>
      <c r="J405" s="2" t="str">
        <f>VLOOKUP(B405,'PO with created By ASR'!A:G,4,FALSE)</f>
        <v>Kanupriya Aggarwal  -CR</v>
      </c>
      <c r="K405" s="2" t="e">
        <f>VLOOKUP(B405,'PO with created By ASR'!A:I,6,FALSE)</f>
        <v>#N/A</v>
      </c>
      <c r="L405" s="2" t="str">
        <f>VLOOKUP(B405,'PO with created By ASR'!A:J,7,FALSE)</f>
        <v>D - Delhi</v>
      </c>
      <c r="M405" s="2" t="str">
        <f>VLOOKUP(B405,'PO with created By ASR'!A:K,8,FALSE)</f>
        <v>Purchase Order-Del</v>
      </c>
      <c r="N405" t="s">
        <v>36</v>
      </c>
      <c r="P405" s="2">
        <v>6</v>
      </c>
    </row>
    <row r="406" s="2" customFormat="1" spans="1:16">
      <c r="A406" s="8"/>
      <c r="B406" s="9" t="s">
        <v>1028</v>
      </c>
      <c r="C406" s="10" t="s">
        <v>126</v>
      </c>
      <c r="D406" s="11">
        <v>1</v>
      </c>
      <c r="E406" s="12">
        <v>3270</v>
      </c>
      <c r="F406" s="13">
        <v>3270</v>
      </c>
      <c r="G406" s="2">
        <f>VLOOKUP(B406,'PO with created By ASR'!A:C,3,FALSE)</f>
        <v>45670</v>
      </c>
      <c r="J406" s="2" t="str">
        <f>VLOOKUP(B406,'PO with created By ASR'!A:G,4,FALSE)</f>
        <v>Pankaj Kumar Mishra  -CR</v>
      </c>
      <c r="K406" s="2" t="e">
        <f>VLOOKUP(B406,'PO with created By ASR'!A:I,6,FALSE)</f>
        <v>#N/A</v>
      </c>
      <c r="L406" s="2" t="str">
        <f>VLOOKUP(B406,'PO with created By ASR'!A:J,7,FALSE)</f>
        <v>D - Delhi</v>
      </c>
      <c r="M406" s="2" t="str">
        <f>VLOOKUP(B406,'PO with created By ASR'!A:K,8,FALSE)</f>
        <v>Purchase Order-Del</v>
      </c>
      <c r="N406" t="s">
        <v>36</v>
      </c>
      <c r="P406" s="2">
        <v>6</v>
      </c>
    </row>
    <row r="407" s="2" customFormat="1" spans="1:16">
      <c r="A407" s="8"/>
      <c r="B407" s="9" t="s">
        <v>1028</v>
      </c>
      <c r="C407" s="10" t="s">
        <v>412</v>
      </c>
      <c r="D407" s="11">
        <v>1</v>
      </c>
      <c r="E407" s="12">
        <v>287</v>
      </c>
      <c r="F407" s="13">
        <v>287</v>
      </c>
      <c r="G407" s="2">
        <f>VLOOKUP(B407,'PO with created By ASR'!A:C,3,FALSE)</f>
        <v>45670</v>
      </c>
      <c r="J407" s="2" t="str">
        <f>VLOOKUP(B407,'PO with created By ASR'!A:G,4,FALSE)</f>
        <v>Pankaj Kumar Mishra  -CR</v>
      </c>
      <c r="K407" s="2" t="e">
        <f>VLOOKUP(B407,'PO with created By ASR'!A:I,6,FALSE)</f>
        <v>#N/A</v>
      </c>
      <c r="L407" s="2" t="str">
        <f>VLOOKUP(B407,'PO with created By ASR'!A:J,7,FALSE)</f>
        <v>D - Delhi</v>
      </c>
      <c r="M407" s="2" t="str">
        <f>VLOOKUP(B407,'PO with created By ASR'!A:K,8,FALSE)</f>
        <v>Purchase Order-Del</v>
      </c>
      <c r="N407" t="s">
        <v>36</v>
      </c>
      <c r="P407" s="2">
        <v>6</v>
      </c>
    </row>
    <row r="408" s="2" customFormat="1" spans="1:16">
      <c r="A408" s="8"/>
      <c r="B408" s="9" t="s">
        <v>1030</v>
      </c>
      <c r="C408" s="10" t="s">
        <v>1033</v>
      </c>
      <c r="D408" s="11">
        <v>2</v>
      </c>
      <c r="E408" s="12">
        <v>83000</v>
      </c>
      <c r="F408" s="13">
        <v>166000</v>
      </c>
      <c r="G408" s="2">
        <f>VLOOKUP(B408,'PO with created By ASR'!A:C,3,FALSE)</f>
        <v>45670</v>
      </c>
      <c r="J408" s="2" t="str">
        <f>VLOOKUP(B408,'PO with created By ASR'!A:G,4,FALSE)</f>
        <v>Genesis Infoserve Pvt Ltd-Mum</v>
      </c>
      <c r="K408" s="2" t="str">
        <f>VLOOKUP(B408,'PO with created By ASR'!A:I,6,FALSE)</f>
        <v>11944  Genesis Infoserve Pvt Ltd</v>
      </c>
      <c r="L408" s="2" t="str">
        <f>VLOOKUP(B408,'PO with created By ASR'!A:J,7,FALSE)</f>
        <v>A - Mumbai</v>
      </c>
      <c r="M408" s="2" t="str">
        <f>VLOOKUP(B408,'PO with created By ASR'!A:K,8,FALSE)</f>
        <v>Purchase Order(Gen)-Mum</v>
      </c>
      <c r="N408" t="s">
        <v>36</v>
      </c>
      <c r="P408" s="2">
        <v>6</v>
      </c>
    </row>
    <row r="409" s="2" customFormat="1" spans="1:16">
      <c r="A409" s="8"/>
      <c r="B409" s="9" t="s">
        <v>1030</v>
      </c>
      <c r="C409" s="10" t="s">
        <v>1033</v>
      </c>
      <c r="D409" s="11">
        <v>2</v>
      </c>
      <c r="E409" s="12">
        <v>49500</v>
      </c>
      <c r="F409" s="13">
        <v>99000</v>
      </c>
      <c r="G409" s="2">
        <f>VLOOKUP(B409,'PO with created By ASR'!A:C,3,FALSE)</f>
        <v>45670</v>
      </c>
      <c r="J409" s="2" t="str">
        <f>VLOOKUP(B409,'PO with created By ASR'!A:G,4,FALSE)</f>
        <v>Genesis Infoserve Pvt Ltd-Mum</v>
      </c>
      <c r="K409" s="2" t="str">
        <f>VLOOKUP(B409,'PO with created By ASR'!A:I,6,FALSE)</f>
        <v>11944  Genesis Infoserve Pvt Ltd</v>
      </c>
      <c r="L409" s="2" t="str">
        <f>VLOOKUP(B409,'PO with created By ASR'!A:J,7,FALSE)</f>
        <v>A - Mumbai</v>
      </c>
      <c r="M409" s="2" t="str">
        <f>VLOOKUP(B409,'PO with created By ASR'!A:K,8,FALSE)</f>
        <v>Purchase Order(Gen)-Mum</v>
      </c>
      <c r="N409" t="s">
        <v>36</v>
      </c>
      <c r="P409" s="2">
        <v>6</v>
      </c>
    </row>
    <row r="410" s="2" customFormat="1" spans="1:16">
      <c r="A410" s="8"/>
      <c r="B410" s="9" t="s">
        <v>1034</v>
      </c>
      <c r="C410" s="10" t="s">
        <v>126</v>
      </c>
      <c r="D410" s="11">
        <v>1</v>
      </c>
      <c r="E410" s="12">
        <v>992</v>
      </c>
      <c r="F410" s="13">
        <v>992</v>
      </c>
      <c r="G410" s="2">
        <f>VLOOKUP(B410,'PO with created By ASR'!A:C,3,FALSE)</f>
        <v>45670</v>
      </c>
      <c r="J410" s="2" t="str">
        <f>VLOOKUP(B410,'PO with created By ASR'!A:G,4,FALSE)</f>
        <v>Nikhita Vora  -CR</v>
      </c>
      <c r="K410" s="2" t="e">
        <f>VLOOKUP(B410,'PO with created By ASR'!A:I,6,FALSE)</f>
        <v>#N/A</v>
      </c>
      <c r="L410" s="2" t="str">
        <f>VLOOKUP(B410,'PO with created By ASR'!A:J,7,FALSE)</f>
        <v>A - Mumbai</v>
      </c>
      <c r="M410" s="2" t="str">
        <f>VLOOKUP(B410,'PO with created By ASR'!A:K,8,FALSE)</f>
        <v>Purchase Order-Mum</v>
      </c>
      <c r="N410" t="s">
        <v>36</v>
      </c>
      <c r="P410" s="2">
        <v>6</v>
      </c>
    </row>
    <row r="411" s="2" customFormat="1" spans="1:16">
      <c r="A411" s="8"/>
      <c r="B411" s="9" t="s">
        <v>1036</v>
      </c>
      <c r="C411" s="10" t="s">
        <v>151</v>
      </c>
      <c r="D411" s="11">
        <v>1</v>
      </c>
      <c r="E411" s="12">
        <v>85000</v>
      </c>
      <c r="F411" s="13">
        <v>85000</v>
      </c>
      <c r="G411" s="2">
        <f>VLOOKUP(B411,'PO with created By ASR'!A:C,3,FALSE)</f>
        <v>45670</v>
      </c>
      <c r="J411" s="2" t="str">
        <f>VLOOKUP(B411,'PO with created By ASR'!A:G,4,FALSE)</f>
        <v>6Th Wall Production Pvt Ltd-Blr</v>
      </c>
      <c r="K411" s="2" t="str">
        <f>VLOOKUP(B411,'PO with created By ASR'!A:I,6,FALSE)</f>
        <v>11620  6Th Wall Production Pvt Ltd</v>
      </c>
      <c r="L411" s="2" t="str">
        <f>VLOOKUP(B411,'PO with created By ASR'!A:J,7,FALSE)</f>
        <v>A - Mumbai</v>
      </c>
      <c r="M411" s="2" t="str">
        <f>VLOOKUP(B411,'PO with created By ASR'!A:K,8,FALSE)</f>
        <v>Purchase Order-Mum</v>
      </c>
      <c r="N411" t="s">
        <v>36</v>
      </c>
      <c r="P411" s="2">
        <v>6</v>
      </c>
    </row>
    <row r="412" s="2" customFormat="1" spans="1:16">
      <c r="A412" s="8"/>
      <c r="B412" s="9" t="s">
        <v>1038</v>
      </c>
      <c r="C412" s="10" t="s">
        <v>371</v>
      </c>
      <c r="D412" s="11">
        <v>1</v>
      </c>
      <c r="E412" s="12">
        <v>72000</v>
      </c>
      <c r="F412" s="13">
        <v>72000</v>
      </c>
      <c r="G412" s="2">
        <f>VLOOKUP(B412,'PO with created By ASR'!A:C,3,FALSE)</f>
        <v>45670</v>
      </c>
      <c r="J412" s="2" t="str">
        <f>VLOOKUP(B412,'PO with created By ASR'!A:G,4,FALSE)</f>
        <v>Specs Care Audio Visual Pvt Ltd-Mum</v>
      </c>
      <c r="K412" s="2" t="str">
        <f>VLOOKUP(B412,'PO with created By ASR'!A:I,6,FALSE)</f>
        <v>12434  Specs Care Audio Visual Pvt Ltd</v>
      </c>
      <c r="L412" s="2" t="str">
        <f>VLOOKUP(B412,'PO with created By ASR'!A:J,7,FALSE)</f>
        <v>A - Mumbai</v>
      </c>
      <c r="M412" s="2" t="str">
        <f>VLOOKUP(B412,'PO with created By ASR'!A:K,8,FALSE)</f>
        <v>Purchase Order-Mum</v>
      </c>
      <c r="N412" t="s">
        <v>36</v>
      </c>
      <c r="P412" s="2">
        <v>6</v>
      </c>
    </row>
    <row r="413" s="2" customFormat="1" spans="1:16">
      <c r="A413" s="8"/>
      <c r="B413" s="9" t="s">
        <v>1039</v>
      </c>
      <c r="C413" s="10" t="s">
        <v>371</v>
      </c>
      <c r="D413" s="11">
        <v>1</v>
      </c>
      <c r="E413" s="12">
        <v>10000</v>
      </c>
      <c r="F413" s="13">
        <v>10000</v>
      </c>
      <c r="G413" s="2">
        <f>VLOOKUP(B413,'PO with created By ASR'!A:C,3,FALSE)</f>
        <v>45670</v>
      </c>
      <c r="J413" s="2" t="str">
        <f>VLOOKUP(B413,'PO with created By ASR'!A:G,4,FALSE)</f>
        <v>Sajan Power-Mum</v>
      </c>
      <c r="K413" s="2" t="str">
        <f>VLOOKUP(B413,'PO with created By ASR'!A:I,6,FALSE)</f>
        <v>12360 Sajan Power</v>
      </c>
      <c r="L413" s="2" t="str">
        <f>VLOOKUP(B413,'PO with created By ASR'!A:J,7,FALSE)</f>
        <v>A - Mumbai</v>
      </c>
      <c r="M413" s="2" t="str">
        <f>VLOOKUP(B413,'PO with created By ASR'!A:K,8,FALSE)</f>
        <v>Purchase Order-Mum</v>
      </c>
      <c r="N413" t="s">
        <v>36</v>
      </c>
      <c r="P413" s="2">
        <v>6</v>
      </c>
    </row>
    <row r="414" s="2" customFormat="1" spans="1:16">
      <c r="A414" s="8"/>
      <c r="B414" s="9" t="s">
        <v>1040</v>
      </c>
      <c r="C414" s="10" t="s">
        <v>371</v>
      </c>
      <c r="D414" s="11">
        <v>1</v>
      </c>
      <c r="E414" s="12">
        <v>5000</v>
      </c>
      <c r="F414" s="13">
        <v>5000</v>
      </c>
      <c r="G414" s="2">
        <f>VLOOKUP(B414,'PO with created By ASR'!A:C,3,FALSE)</f>
        <v>45670</v>
      </c>
      <c r="J414" s="2" t="str">
        <f>VLOOKUP(B414,'PO with created By ASR'!A:G,4,FALSE)</f>
        <v>Ultimate Source-Mum</v>
      </c>
      <c r="K414" s="2" t="str">
        <f>VLOOKUP(B414,'PO with created By ASR'!A:I,6,FALSE)</f>
        <v>12568 Ultimate Source</v>
      </c>
      <c r="L414" s="2" t="str">
        <f>VLOOKUP(B414,'PO with created By ASR'!A:J,7,FALSE)</f>
        <v>A - Mumbai</v>
      </c>
      <c r="M414" s="2" t="str">
        <f>VLOOKUP(B414,'PO with created By ASR'!A:K,8,FALSE)</f>
        <v>Purchase Order-Mum</v>
      </c>
      <c r="N414" t="s">
        <v>36</v>
      </c>
      <c r="P414" s="2">
        <v>6</v>
      </c>
    </row>
    <row r="415" s="2" customFormat="1" spans="1:16">
      <c r="A415" s="8"/>
      <c r="B415" s="9" t="s">
        <v>1041</v>
      </c>
      <c r="C415" s="10" t="s">
        <v>401</v>
      </c>
      <c r="D415" s="11">
        <v>1</v>
      </c>
      <c r="E415" s="12">
        <v>9500</v>
      </c>
      <c r="F415" s="13">
        <v>9500</v>
      </c>
      <c r="G415" s="2">
        <f>VLOOKUP(B415,'PO with created By ASR'!A:C,3,FALSE)</f>
        <v>45670</v>
      </c>
      <c r="J415" s="2" t="str">
        <f>VLOOKUP(B415,'PO with created By ASR'!A:G,4,FALSE)</f>
        <v>Vinit Video Vision-Mum</v>
      </c>
      <c r="K415" s="2" t="str">
        <f>VLOOKUP(B415,'PO with created By ASR'!A:I,6,FALSE)</f>
        <v>10235 Vinit Video Vision</v>
      </c>
      <c r="L415" s="2" t="str">
        <f>VLOOKUP(B415,'PO with created By ASR'!A:J,7,FALSE)</f>
        <v>A - Mumbai</v>
      </c>
      <c r="M415" s="2" t="str">
        <f>VLOOKUP(B415,'PO with created By ASR'!A:K,8,FALSE)</f>
        <v>Purchase Order-Mum</v>
      </c>
      <c r="N415" t="s">
        <v>36</v>
      </c>
      <c r="P415" s="2">
        <v>6</v>
      </c>
    </row>
    <row r="416" s="2" customFormat="1" spans="1:16">
      <c r="A416" s="8"/>
      <c r="B416" s="9" t="s">
        <v>1042</v>
      </c>
      <c r="C416" s="10" t="s">
        <v>276</v>
      </c>
      <c r="D416" s="11">
        <v>1</v>
      </c>
      <c r="E416" s="12">
        <v>21000</v>
      </c>
      <c r="F416" s="13">
        <v>21000</v>
      </c>
      <c r="G416" s="2">
        <f>VLOOKUP(B416,'PO with created By ASR'!A:C,3,FALSE)</f>
        <v>45670</v>
      </c>
      <c r="J416" s="2" t="str">
        <f>VLOOKUP(B416,'PO with created By ASR'!A:G,4,FALSE)</f>
        <v>The Chocolate Spoon Company Pvt Ltd-Mum</v>
      </c>
      <c r="K416" s="2" t="str">
        <f>VLOOKUP(B416,'PO with created By ASR'!A:I,6,FALSE)</f>
        <v>12508  The Chocolate Spoon Company Pvt Ltd</v>
      </c>
      <c r="L416" s="2" t="str">
        <f>VLOOKUP(B416,'PO with created By ASR'!A:J,7,FALSE)</f>
        <v>A - Mumbai</v>
      </c>
      <c r="M416" s="2" t="str">
        <f>VLOOKUP(B416,'PO with created By ASR'!A:K,8,FALSE)</f>
        <v>Purchase Order-Mum</v>
      </c>
      <c r="N416" t="s">
        <v>36</v>
      </c>
      <c r="P416" s="2">
        <v>6</v>
      </c>
    </row>
    <row r="417" s="2" customFormat="1" spans="1:16">
      <c r="A417" s="8"/>
      <c r="B417" s="9" t="s">
        <v>1042</v>
      </c>
      <c r="C417" s="10" t="s">
        <v>676</v>
      </c>
      <c r="D417" s="11">
        <v>1</v>
      </c>
      <c r="E417" s="12">
        <v>525</v>
      </c>
      <c r="F417" s="13">
        <v>525</v>
      </c>
      <c r="G417" s="2">
        <f>VLOOKUP(B417,'PO with created By ASR'!A:C,3,FALSE)</f>
        <v>45670</v>
      </c>
      <c r="J417" s="2" t="str">
        <f>VLOOKUP(B417,'PO with created By ASR'!A:G,4,FALSE)</f>
        <v>The Chocolate Spoon Company Pvt Ltd-Mum</v>
      </c>
      <c r="K417" s="2" t="str">
        <f>VLOOKUP(B417,'PO with created By ASR'!A:I,6,FALSE)</f>
        <v>12508  The Chocolate Spoon Company Pvt Ltd</v>
      </c>
      <c r="L417" s="2" t="str">
        <f>VLOOKUP(B417,'PO with created By ASR'!A:J,7,FALSE)</f>
        <v>A - Mumbai</v>
      </c>
      <c r="M417" s="2" t="str">
        <f>VLOOKUP(B417,'PO with created By ASR'!A:K,8,FALSE)</f>
        <v>Purchase Order-Mum</v>
      </c>
      <c r="N417" t="s">
        <v>36</v>
      </c>
      <c r="P417" s="2">
        <v>6</v>
      </c>
    </row>
    <row r="418" s="2" customFormat="1" spans="1:16">
      <c r="A418" s="8"/>
      <c r="B418" s="9" t="s">
        <v>1042</v>
      </c>
      <c r="C418" s="10" t="s">
        <v>4365</v>
      </c>
      <c r="D418" s="11">
        <v>1</v>
      </c>
      <c r="E418" s="12">
        <v>525</v>
      </c>
      <c r="F418" s="13">
        <v>525</v>
      </c>
      <c r="G418" s="2">
        <f>VLOOKUP(B418,'PO with created By ASR'!A:C,3,FALSE)</f>
        <v>45670</v>
      </c>
      <c r="J418" s="2" t="str">
        <f>VLOOKUP(B418,'PO with created By ASR'!A:G,4,FALSE)</f>
        <v>The Chocolate Spoon Company Pvt Ltd-Mum</v>
      </c>
      <c r="K418" s="2" t="str">
        <f>VLOOKUP(B418,'PO with created By ASR'!A:I,6,FALSE)</f>
        <v>12508  The Chocolate Spoon Company Pvt Ltd</v>
      </c>
      <c r="L418" s="2" t="str">
        <f>VLOOKUP(B418,'PO with created By ASR'!A:J,7,FALSE)</f>
        <v>A - Mumbai</v>
      </c>
      <c r="M418" s="2" t="str">
        <f>VLOOKUP(B418,'PO with created By ASR'!A:K,8,FALSE)</f>
        <v>Purchase Order-Mum</v>
      </c>
      <c r="N418" t="s">
        <v>36</v>
      </c>
      <c r="P418" s="2">
        <v>6</v>
      </c>
    </row>
    <row r="419" s="2" customFormat="1" spans="1:16">
      <c r="A419" s="8"/>
      <c r="B419" s="9" t="s">
        <v>1045</v>
      </c>
      <c r="C419" s="10" t="s">
        <v>151</v>
      </c>
      <c r="D419" s="11">
        <v>1</v>
      </c>
      <c r="E419" s="12">
        <v>45000</v>
      </c>
      <c r="F419" s="13">
        <v>45000</v>
      </c>
      <c r="G419" s="2">
        <f>VLOOKUP(B419,'PO with created By ASR'!A:C,3,FALSE)</f>
        <v>45670</v>
      </c>
      <c r="J419" s="2" t="str">
        <f>VLOOKUP(B419,'PO with created By ASR'!A:G,4,FALSE)</f>
        <v>B K T Interior And Exhibition-Mum</v>
      </c>
      <c r="K419" s="2" t="str">
        <f>VLOOKUP(B419,'PO with created By ASR'!A:I,6,FALSE)</f>
        <v>10023 B K T Interior And Exhibition</v>
      </c>
      <c r="L419" s="2" t="str">
        <f>VLOOKUP(B419,'PO with created By ASR'!A:J,7,FALSE)</f>
        <v>A - Mumbai</v>
      </c>
      <c r="M419" s="2" t="str">
        <f>VLOOKUP(B419,'PO with created By ASR'!A:K,8,FALSE)</f>
        <v>Purchase Order-Mum</v>
      </c>
      <c r="N419" t="s">
        <v>36</v>
      </c>
      <c r="P419" s="2">
        <v>6</v>
      </c>
    </row>
    <row r="420" s="2" customFormat="1" spans="1:16">
      <c r="A420" s="8"/>
      <c r="B420" s="9" t="s">
        <v>1049</v>
      </c>
      <c r="C420" s="10" t="s">
        <v>126</v>
      </c>
      <c r="D420" s="11">
        <v>1</v>
      </c>
      <c r="E420" s="12">
        <v>2466</v>
      </c>
      <c r="F420" s="13">
        <v>2466</v>
      </c>
      <c r="G420" s="2">
        <f>VLOOKUP(B420,'PO with created By ASR'!A:C,3,FALSE)</f>
        <v>45670</v>
      </c>
      <c r="J420" s="2" t="str">
        <f>VLOOKUP(B420,'PO with created By ASR'!A:G,4,FALSE)</f>
        <v>Nitin Kamble  -CR</v>
      </c>
      <c r="K420" s="2" t="e">
        <f>VLOOKUP(B420,'PO with created By ASR'!A:I,6,FALSE)</f>
        <v>#N/A</v>
      </c>
      <c r="L420" s="2" t="str">
        <f>VLOOKUP(B420,'PO with created By ASR'!A:J,7,FALSE)</f>
        <v>A - Mumbai</v>
      </c>
      <c r="M420" s="2" t="str">
        <f>VLOOKUP(B420,'PO with created By ASR'!A:K,8,FALSE)</f>
        <v>Purchase Order-Mum</v>
      </c>
      <c r="N420" t="s">
        <v>36</v>
      </c>
      <c r="P420" s="2">
        <v>6</v>
      </c>
    </row>
    <row r="421" s="2" customFormat="1" spans="1:16">
      <c r="A421" s="8"/>
      <c r="B421" s="9" t="s">
        <v>1049</v>
      </c>
      <c r="C421" s="10" t="s">
        <v>412</v>
      </c>
      <c r="D421" s="11">
        <v>1</v>
      </c>
      <c r="E421" s="12">
        <v>570</v>
      </c>
      <c r="F421" s="13">
        <v>570</v>
      </c>
      <c r="G421" s="2">
        <f>VLOOKUP(B421,'PO with created By ASR'!A:C,3,FALSE)</f>
        <v>45670</v>
      </c>
      <c r="J421" s="2" t="str">
        <f>VLOOKUP(B421,'PO with created By ASR'!A:G,4,FALSE)</f>
        <v>Nitin Kamble  -CR</v>
      </c>
      <c r="K421" s="2" t="e">
        <f>VLOOKUP(B421,'PO with created By ASR'!A:I,6,FALSE)</f>
        <v>#N/A</v>
      </c>
      <c r="L421" s="2" t="str">
        <f>VLOOKUP(B421,'PO with created By ASR'!A:J,7,FALSE)</f>
        <v>A - Mumbai</v>
      </c>
      <c r="M421" s="2" t="str">
        <f>VLOOKUP(B421,'PO with created By ASR'!A:K,8,FALSE)</f>
        <v>Purchase Order-Mum</v>
      </c>
      <c r="N421" t="s">
        <v>36</v>
      </c>
      <c r="P421" s="2">
        <v>6</v>
      </c>
    </row>
    <row r="422" s="2" customFormat="1" spans="1:16">
      <c r="A422" s="8"/>
      <c r="B422" s="9" t="s">
        <v>1051</v>
      </c>
      <c r="C422" s="10" t="s">
        <v>126</v>
      </c>
      <c r="D422" s="11">
        <v>1</v>
      </c>
      <c r="E422" s="12">
        <v>554</v>
      </c>
      <c r="F422" s="13">
        <v>554</v>
      </c>
      <c r="G422" s="2">
        <f>VLOOKUP(B422,'PO with created By ASR'!A:C,3,FALSE)</f>
        <v>45670</v>
      </c>
      <c r="J422" s="2" t="str">
        <f>VLOOKUP(B422,'PO with created By ASR'!A:G,4,FALSE)</f>
        <v>Sachin Jadhav -CR</v>
      </c>
      <c r="K422" s="2" t="e">
        <f>VLOOKUP(B422,'PO with created By ASR'!A:I,6,FALSE)</f>
        <v>#N/A</v>
      </c>
      <c r="L422" s="2" t="str">
        <f>VLOOKUP(B422,'PO with created By ASR'!A:J,7,FALSE)</f>
        <v>A - Mumbai</v>
      </c>
      <c r="M422" s="2" t="str">
        <f>VLOOKUP(B422,'PO with created By ASR'!A:K,8,FALSE)</f>
        <v>Purchase Order-Mum</v>
      </c>
      <c r="N422" t="s">
        <v>36</v>
      </c>
      <c r="P422" s="2">
        <v>6</v>
      </c>
    </row>
    <row r="423" s="2" customFormat="1" spans="1:16">
      <c r="A423" s="8"/>
      <c r="B423" s="9" t="s">
        <v>1053</v>
      </c>
      <c r="C423" s="10" t="s">
        <v>1055</v>
      </c>
      <c r="D423" s="11">
        <v>1</v>
      </c>
      <c r="E423" s="12">
        <v>1400</v>
      </c>
      <c r="F423" s="13">
        <v>1400</v>
      </c>
      <c r="G423" s="2">
        <f>VLOOKUP(B423,'PO with created By ASR'!A:C,3,FALSE)</f>
        <v>45670</v>
      </c>
      <c r="J423" s="2" t="str">
        <f>VLOOKUP(B423,'PO with created By ASR'!A:G,4,FALSE)</f>
        <v>Suresh Pardhle  -CR</v>
      </c>
      <c r="K423" s="2" t="e">
        <f>VLOOKUP(B423,'PO with created By ASR'!A:I,6,FALSE)</f>
        <v>#N/A</v>
      </c>
      <c r="L423" s="2" t="str">
        <f>VLOOKUP(B423,'PO with created By ASR'!A:J,7,FALSE)</f>
        <v>A - Mumbai</v>
      </c>
      <c r="M423" s="2" t="str">
        <f>VLOOKUP(B423,'PO with created By ASR'!A:K,8,FALSE)</f>
        <v>Purchase Order-Mum</v>
      </c>
      <c r="N423" t="s">
        <v>36</v>
      </c>
      <c r="P423" s="2">
        <v>6</v>
      </c>
    </row>
    <row r="424" s="2" customFormat="1" spans="1:16">
      <c r="A424" s="8"/>
      <c r="B424" s="9" t="s">
        <v>1053</v>
      </c>
      <c r="C424" s="10" t="s">
        <v>126</v>
      </c>
      <c r="D424" s="11">
        <v>1</v>
      </c>
      <c r="E424" s="12">
        <v>271</v>
      </c>
      <c r="F424" s="13">
        <v>271</v>
      </c>
      <c r="G424" s="2">
        <f>VLOOKUP(B424,'PO with created By ASR'!A:C,3,FALSE)</f>
        <v>45670</v>
      </c>
      <c r="J424" s="2" t="str">
        <f>VLOOKUP(B424,'PO with created By ASR'!A:G,4,FALSE)</f>
        <v>Suresh Pardhle  -CR</v>
      </c>
      <c r="K424" s="2" t="e">
        <f>VLOOKUP(B424,'PO with created By ASR'!A:I,6,FALSE)</f>
        <v>#N/A</v>
      </c>
      <c r="L424" s="2" t="str">
        <f>VLOOKUP(B424,'PO with created By ASR'!A:J,7,FALSE)</f>
        <v>A - Mumbai</v>
      </c>
      <c r="M424" s="2" t="str">
        <f>VLOOKUP(B424,'PO with created By ASR'!A:K,8,FALSE)</f>
        <v>Purchase Order-Mum</v>
      </c>
      <c r="N424" t="s">
        <v>36</v>
      </c>
      <c r="P424" s="2">
        <v>6</v>
      </c>
    </row>
    <row r="425" s="2" customFormat="1" spans="1:16">
      <c r="A425" s="8"/>
      <c r="B425" s="9" t="s">
        <v>1053</v>
      </c>
      <c r="C425" s="10" t="s">
        <v>412</v>
      </c>
      <c r="D425" s="11">
        <v>1</v>
      </c>
      <c r="E425" s="12">
        <v>150</v>
      </c>
      <c r="F425" s="13">
        <v>150</v>
      </c>
      <c r="G425" s="2">
        <f>VLOOKUP(B425,'PO with created By ASR'!A:C,3,FALSE)</f>
        <v>45670</v>
      </c>
      <c r="J425" s="2" t="str">
        <f>VLOOKUP(B425,'PO with created By ASR'!A:G,4,FALSE)</f>
        <v>Suresh Pardhle  -CR</v>
      </c>
      <c r="K425" s="2" t="e">
        <f>VLOOKUP(B425,'PO with created By ASR'!A:I,6,FALSE)</f>
        <v>#N/A</v>
      </c>
      <c r="L425" s="2" t="str">
        <f>VLOOKUP(B425,'PO with created By ASR'!A:J,7,FALSE)</f>
        <v>A - Mumbai</v>
      </c>
      <c r="M425" s="2" t="str">
        <f>VLOOKUP(B425,'PO with created By ASR'!A:K,8,FALSE)</f>
        <v>Purchase Order-Mum</v>
      </c>
      <c r="N425" t="s">
        <v>36</v>
      </c>
      <c r="P425" s="2">
        <v>6</v>
      </c>
    </row>
    <row r="426" s="2" customFormat="1" spans="1:16">
      <c r="A426" s="8"/>
      <c r="B426" s="9" t="s">
        <v>1057</v>
      </c>
      <c r="C426" s="10" t="s">
        <v>126</v>
      </c>
      <c r="D426" s="11">
        <v>1</v>
      </c>
      <c r="E426" s="12">
        <v>1220</v>
      </c>
      <c r="F426" s="13">
        <v>1220</v>
      </c>
      <c r="G426" s="2">
        <f>VLOOKUP(B426,'PO with created By ASR'!A:C,3,FALSE)</f>
        <v>45670</v>
      </c>
      <c r="J426" s="2" t="str">
        <f>VLOOKUP(B426,'PO with created By ASR'!A:G,4,FALSE)</f>
        <v>Nitin Kamble  -CR</v>
      </c>
      <c r="K426" s="2" t="e">
        <f>VLOOKUP(B426,'PO with created By ASR'!A:I,6,FALSE)</f>
        <v>#N/A</v>
      </c>
      <c r="L426" s="2" t="str">
        <f>VLOOKUP(B426,'PO with created By ASR'!A:J,7,FALSE)</f>
        <v>A - Mumbai</v>
      </c>
      <c r="M426" s="2" t="str">
        <f>VLOOKUP(B426,'PO with created By ASR'!A:K,8,FALSE)</f>
        <v>Purchase Order-Mum</v>
      </c>
      <c r="N426" t="s">
        <v>36</v>
      </c>
      <c r="P426" s="2">
        <v>6</v>
      </c>
    </row>
    <row r="427" s="2" customFormat="1" spans="1:16">
      <c r="A427" s="8"/>
      <c r="B427" s="9" t="s">
        <v>1058</v>
      </c>
      <c r="C427" s="10" t="s">
        <v>126</v>
      </c>
      <c r="D427" s="11">
        <v>1</v>
      </c>
      <c r="E427" s="12">
        <v>406</v>
      </c>
      <c r="F427" s="13">
        <v>406</v>
      </c>
      <c r="G427" s="2">
        <f>VLOOKUP(B427,'PO with created By ASR'!A:C,3,FALSE)</f>
        <v>45670</v>
      </c>
      <c r="J427" s="2" t="str">
        <f>VLOOKUP(B427,'PO with created By ASR'!A:G,4,FALSE)</f>
        <v>Suresh Pardhle  -CR</v>
      </c>
      <c r="K427" s="2" t="e">
        <f>VLOOKUP(B427,'PO with created By ASR'!A:I,6,FALSE)</f>
        <v>#N/A</v>
      </c>
      <c r="L427" s="2" t="str">
        <f>VLOOKUP(B427,'PO with created By ASR'!A:J,7,FALSE)</f>
        <v>A - Mumbai</v>
      </c>
      <c r="M427" s="2" t="str">
        <f>VLOOKUP(B427,'PO with created By ASR'!A:K,8,FALSE)</f>
        <v>Purchase Order-Mum</v>
      </c>
      <c r="N427" t="s">
        <v>36</v>
      </c>
      <c r="P427" s="2">
        <v>6</v>
      </c>
    </row>
    <row r="428" s="2" customFormat="1" spans="1:16">
      <c r="A428" s="8"/>
      <c r="B428" s="9" t="s">
        <v>1059</v>
      </c>
      <c r="C428" s="10" t="s">
        <v>233</v>
      </c>
      <c r="D428" s="11">
        <v>1</v>
      </c>
      <c r="E428" s="12">
        <v>10472</v>
      </c>
      <c r="F428" s="13">
        <v>10472</v>
      </c>
      <c r="G428" s="2">
        <f>VLOOKUP(B428,'PO with created By ASR'!A:C,3,FALSE)</f>
        <v>45670</v>
      </c>
      <c r="J428" s="2" t="str">
        <f>VLOOKUP(B428,'PO with created By ASR'!A:G,4,FALSE)</f>
        <v>Greenix Experience Pvt Ltd-Mum</v>
      </c>
      <c r="K428" s="2" t="str">
        <f>VLOOKUP(B428,'PO with created By ASR'!A:I,6,FALSE)</f>
        <v>10297  Greenix Experience Pvt Ltd</v>
      </c>
      <c r="L428" s="2" t="str">
        <f>VLOOKUP(B428,'PO with created By ASR'!A:J,7,FALSE)</f>
        <v>A - Mumbai</v>
      </c>
      <c r="M428" s="2" t="str">
        <f>VLOOKUP(B428,'PO with created By ASR'!A:K,8,FALSE)</f>
        <v>Purchase Order-Mum</v>
      </c>
      <c r="N428" t="s">
        <v>36</v>
      </c>
      <c r="P428" s="2">
        <v>6</v>
      </c>
    </row>
    <row r="429" s="2" customFormat="1" spans="1:16">
      <c r="A429" s="8"/>
      <c r="B429" s="9" t="s">
        <v>1059</v>
      </c>
      <c r="C429" s="10" t="s">
        <v>233</v>
      </c>
      <c r="D429" s="11">
        <v>1</v>
      </c>
      <c r="E429" s="12">
        <v>523.6</v>
      </c>
      <c r="F429" s="13">
        <v>523.6</v>
      </c>
      <c r="G429" s="2">
        <f>VLOOKUP(B429,'PO with created By ASR'!A:C,3,FALSE)</f>
        <v>45670</v>
      </c>
      <c r="J429" s="2" t="str">
        <f>VLOOKUP(B429,'PO with created By ASR'!A:G,4,FALSE)</f>
        <v>Greenix Experience Pvt Ltd-Mum</v>
      </c>
      <c r="K429" s="2" t="str">
        <f>VLOOKUP(B429,'PO with created By ASR'!A:I,6,FALSE)</f>
        <v>10297  Greenix Experience Pvt Ltd</v>
      </c>
      <c r="L429" s="2" t="str">
        <f>VLOOKUP(B429,'PO with created By ASR'!A:J,7,FALSE)</f>
        <v>A - Mumbai</v>
      </c>
      <c r="M429" s="2" t="str">
        <f>VLOOKUP(B429,'PO with created By ASR'!A:K,8,FALSE)</f>
        <v>Purchase Order-Mum</v>
      </c>
      <c r="N429" t="s">
        <v>36</v>
      </c>
      <c r="P429" s="2">
        <v>6</v>
      </c>
    </row>
    <row r="430" s="2" customFormat="1" spans="1:16">
      <c r="A430" s="8"/>
      <c r="B430" s="9" t="s">
        <v>1061</v>
      </c>
      <c r="C430" s="10" t="s">
        <v>250</v>
      </c>
      <c r="D430" s="11">
        <v>1</v>
      </c>
      <c r="E430" s="12">
        <v>164000</v>
      </c>
      <c r="F430" s="13">
        <v>164000</v>
      </c>
      <c r="G430" s="2">
        <f>VLOOKUP(B430,'PO with created By ASR'!A:C,3,FALSE)</f>
        <v>45670</v>
      </c>
      <c r="J430" s="2" t="str">
        <f>VLOOKUP(B430,'PO with created By ASR'!A:G,4,FALSE)</f>
        <v>Namala David-Mum</v>
      </c>
      <c r="K430" s="2" t="str">
        <f>VLOOKUP(B430,'PO with created By ASR'!A:I,6,FALSE)</f>
        <v>10184 Namala David</v>
      </c>
      <c r="L430" s="2" t="str">
        <f>VLOOKUP(B430,'PO with created By ASR'!A:J,7,FALSE)</f>
        <v>A - Mumbai</v>
      </c>
      <c r="M430" s="2" t="str">
        <f>VLOOKUP(B430,'PO with created By ASR'!A:K,8,FALSE)</f>
        <v>Purchase Order-Mum</v>
      </c>
      <c r="N430" t="s">
        <v>36</v>
      </c>
      <c r="P430" s="2">
        <v>6</v>
      </c>
    </row>
    <row r="431" s="2" customFormat="1" spans="1:16">
      <c r="A431" s="8"/>
      <c r="B431" s="9" t="s">
        <v>1064</v>
      </c>
      <c r="C431" s="10" t="s">
        <v>734</v>
      </c>
      <c r="D431" s="11">
        <v>1</v>
      </c>
      <c r="E431" s="12">
        <v>364799</v>
      </c>
      <c r="F431" s="13">
        <v>364799</v>
      </c>
      <c r="G431" s="2">
        <f>VLOOKUP(B431,'PO with created By ASR'!A:C,3,FALSE)</f>
        <v>45670</v>
      </c>
      <c r="J431" s="2" t="str">
        <f>VLOOKUP(B431,'PO with created By ASR'!A:G,4,FALSE)</f>
        <v>Musafir.Com India Pvt Ltd-Mum</v>
      </c>
      <c r="K431" s="2" t="str">
        <f>VLOOKUP(B431,'PO with created By ASR'!A:I,6,FALSE)</f>
        <v>10060  Musafir.Com India Pvt Ltd</v>
      </c>
      <c r="L431" s="2" t="str">
        <f>VLOOKUP(B431,'PO with created By ASR'!A:J,7,FALSE)</f>
        <v>A - Mumbai</v>
      </c>
      <c r="M431" s="2" t="str">
        <f>VLOOKUP(B431,'PO with created By ASR'!A:K,8,FALSE)</f>
        <v>Purchase Order-Mum</v>
      </c>
      <c r="N431" t="s">
        <v>36</v>
      </c>
      <c r="P431" s="2">
        <v>6</v>
      </c>
    </row>
    <row r="432" s="2" customFormat="1" spans="1:16">
      <c r="A432" s="8"/>
      <c r="B432" s="9" t="s">
        <v>1064</v>
      </c>
      <c r="C432" s="10" t="s">
        <v>1808</v>
      </c>
      <c r="D432" s="11">
        <v>1</v>
      </c>
      <c r="E432" s="12">
        <v>14797</v>
      </c>
      <c r="F432" s="13">
        <v>14797</v>
      </c>
      <c r="G432" s="2">
        <f>VLOOKUP(B432,'PO with created By ASR'!A:C,3,FALSE)</f>
        <v>45670</v>
      </c>
      <c r="J432" s="2" t="str">
        <f>VLOOKUP(B432,'PO with created By ASR'!A:G,4,FALSE)</f>
        <v>Musafir.Com India Pvt Ltd-Mum</v>
      </c>
      <c r="K432" s="2" t="str">
        <f>VLOOKUP(B432,'PO with created By ASR'!A:I,6,FALSE)</f>
        <v>10060  Musafir.Com India Pvt Ltd</v>
      </c>
      <c r="L432" s="2" t="str">
        <f>VLOOKUP(B432,'PO with created By ASR'!A:J,7,FALSE)</f>
        <v>A - Mumbai</v>
      </c>
      <c r="M432" s="2" t="str">
        <f>VLOOKUP(B432,'PO with created By ASR'!A:K,8,FALSE)</f>
        <v>Purchase Order-Mum</v>
      </c>
      <c r="N432" t="s">
        <v>36</v>
      </c>
      <c r="P432" s="2">
        <v>6</v>
      </c>
    </row>
    <row r="433" s="2" customFormat="1" spans="1:16">
      <c r="A433" s="8"/>
      <c r="B433" s="9" t="s">
        <v>1065</v>
      </c>
      <c r="C433" s="10" t="s">
        <v>371</v>
      </c>
      <c r="D433" s="11">
        <v>1</v>
      </c>
      <c r="E433" s="12">
        <v>19000</v>
      </c>
      <c r="F433" s="13">
        <v>19000</v>
      </c>
      <c r="G433" s="2">
        <f>VLOOKUP(B433,'PO with created By ASR'!A:C,3,FALSE)</f>
        <v>45670</v>
      </c>
      <c r="J433" s="2" t="str">
        <f>VLOOKUP(B433,'PO with created By ASR'!A:G,4,FALSE)</f>
        <v>Events Power-Mum</v>
      </c>
      <c r="K433" s="2" t="str">
        <f>VLOOKUP(B433,'PO with created By ASR'!A:I,6,FALSE)</f>
        <v>11895 Events Power</v>
      </c>
      <c r="L433" s="2" t="str">
        <f>VLOOKUP(B433,'PO with created By ASR'!A:J,7,FALSE)</f>
        <v>A - Mumbai</v>
      </c>
      <c r="M433" s="2" t="str">
        <f>VLOOKUP(B433,'PO with created By ASR'!A:K,8,FALSE)</f>
        <v>Purchase Order-Mum</v>
      </c>
      <c r="N433" t="s">
        <v>36</v>
      </c>
      <c r="P433" s="2">
        <v>6</v>
      </c>
    </row>
    <row r="434" s="2" customFormat="1" spans="1:16">
      <c r="A434" s="8"/>
      <c r="B434" s="9" t="s">
        <v>1068</v>
      </c>
      <c r="C434" s="10" t="s">
        <v>256</v>
      </c>
      <c r="D434" s="11">
        <v>1</v>
      </c>
      <c r="E434" s="12">
        <v>78625</v>
      </c>
      <c r="F434" s="13">
        <v>78625</v>
      </c>
      <c r="G434" s="2">
        <f>VLOOKUP(B434,'PO with created By ASR'!A:C,3,FALSE)</f>
        <v>45670</v>
      </c>
      <c r="J434" s="2" t="str">
        <f>VLOOKUP(B434,'PO with created By ASR'!A:G,4,FALSE)</f>
        <v>Phonographic Performance Limited-Mum</v>
      </c>
      <c r="K434" s="2" t="e">
        <f>VLOOKUP(B434,'PO with created By ASR'!A:I,6,FALSE)</f>
        <v>#N/A</v>
      </c>
      <c r="L434" s="2" t="str">
        <f>VLOOKUP(B434,'PO with created By ASR'!A:J,7,FALSE)</f>
        <v>A - Mumbai</v>
      </c>
      <c r="M434" s="2" t="str">
        <f>VLOOKUP(B434,'PO with created By ASR'!A:K,8,FALSE)</f>
        <v>Purchase Order-Mum</v>
      </c>
      <c r="N434" t="s">
        <v>36</v>
      </c>
      <c r="P434" s="2">
        <v>6</v>
      </c>
    </row>
    <row r="435" s="2" customFormat="1" spans="1:16">
      <c r="A435" s="8"/>
      <c r="B435" s="9" t="s">
        <v>1069</v>
      </c>
      <c r="C435" s="10" t="s">
        <v>256</v>
      </c>
      <c r="D435" s="11">
        <v>1</v>
      </c>
      <c r="E435" s="12">
        <v>95000</v>
      </c>
      <c r="F435" s="13">
        <v>95000</v>
      </c>
      <c r="G435" s="2">
        <f>VLOOKUP(B435,'PO with created By ASR'!A:C,3,FALSE)</f>
        <v>45670</v>
      </c>
      <c r="J435" s="2" t="str">
        <f>VLOOKUP(B435,'PO with created By ASR'!A:G,4,FALSE)</f>
        <v>Novex Communications Pvt. Ltd.-Mum</v>
      </c>
      <c r="K435" s="2" t="e">
        <f>VLOOKUP(B435,'PO with created By ASR'!A:I,6,FALSE)</f>
        <v>#N/A</v>
      </c>
      <c r="L435" s="2" t="str">
        <f>VLOOKUP(B435,'PO with created By ASR'!A:J,7,FALSE)</f>
        <v>A - Mumbai</v>
      </c>
      <c r="M435" s="2" t="str">
        <f>VLOOKUP(B435,'PO with created By ASR'!A:K,8,FALSE)</f>
        <v>Purchase Order-Mum</v>
      </c>
      <c r="N435" t="s">
        <v>36</v>
      </c>
      <c r="P435" s="2">
        <v>6</v>
      </c>
    </row>
    <row r="436" s="2" customFormat="1" spans="1:16">
      <c r="A436" s="8"/>
      <c r="B436" s="9" t="s">
        <v>1070</v>
      </c>
      <c r="C436" s="10" t="s">
        <v>347</v>
      </c>
      <c r="D436" s="11">
        <v>1</v>
      </c>
      <c r="E436" s="12">
        <v>180000</v>
      </c>
      <c r="F436" s="13">
        <v>180000</v>
      </c>
      <c r="G436" s="2">
        <f>VLOOKUP(B436,'PO with created By ASR'!A:C,3,FALSE)</f>
        <v>45670</v>
      </c>
      <c r="J436" s="2" t="str">
        <f>VLOOKUP(B436,'PO with created By ASR'!A:G,4,FALSE)</f>
        <v>Grrowwide Business Advisors Pvt Ltd-Mum</v>
      </c>
      <c r="K436" s="2" t="str">
        <f>VLOOKUP(B436,'PO with created By ASR'!A:I,6,FALSE)</f>
        <v>11975  Grrowwide Business Advisors Pvt Ltd</v>
      </c>
      <c r="L436" s="2" t="str">
        <f>VLOOKUP(B436,'PO with created By ASR'!A:J,7,FALSE)</f>
        <v>A - Mumbai</v>
      </c>
      <c r="M436" s="2" t="str">
        <f>VLOOKUP(B436,'PO with created By ASR'!A:K,8,FALSE)</f>
        <v>Purchase Order-Mum</v>
      </c>
      <c r="N436" t="s">
        <v>36</v>
      </c>
      <c r="P436" s="2">
        <v>6</v>
      </c>
    </row>
    <row r="437" s="2" customFormat="1" spans="1:16">
      <c r="A437" s="8"/>
      <c r="B437" s="9" t="s">
        <v>1074</v>
      </c>
      <c r="C437" s="10" t="s">
        <v>371</v>
      </c>
      <c r="D437" s="11">
        <v>1</v>
      </c>
      <c r="E437" s="12">
        <v>75000</v>
      </c>
      <c r="F437" s="13">
        <v>75000</v>
      </c>
      <c r="G437" s="2">
        <f>VLOOKUP(B437,'PO with created By ASR'!A:C,3,FALSE)</f>
        <v>45671</v>
      </c>
      <c r="J437" s="2" t="str">
        <f>VLOOKUP(B437,'PO with created By ASR'!A:G,4,FALSE)</f>
        <v>Sri Gangothri Video-Blr</v>
      </c>
      <c r="K437" s="2" t="str">
        <f>VLOOKUP(B437,'PO with created By ASR'!A:I,6,FALSE)</f>
        <v>12443 Sri Gangothri Video</v>
      </c>
      <c r="L437" s="2" t="str">
        <f>VLOOKUP(B437,'PO with created By ASR'!A:J,7,FALSE)</f>
        <v>B - Bangalore</v>
      </c>
      <c r="M437" s="2" t="str">
        <f>VLOOKUP(B437,'PO with created By ASR'!A:K,8,FALSE)</f>
        <v>Purchase Order-Blr</v>
      </c>
      <c r="N437" t="s">
        <v>36</v>
      </c>
      <c r="P437" s="2">
        <v>6</v>
      </c>
    </row>
    <row r="438" s="2" customFormat="1" spans="1:16">
      <c r="A438" s="8"/>
      <c r="B438" s="9" t="s">
        <v>1077</v>
      </c>
      <c r="C438" s="10" t="s">
        <v>371</v>
      </c>
      <c r="D438" s="11">
        <v>1</v>
      </c>
      <c r="E438" s="12">
        <v>21000</v>
      </c>
      <c r="F438" s="13">
        <v>21000</v>
      </c>
      <c r="G438" s="2">
        <f>VLOOKUP(B438,'PO with created By ASR'!A:C,3,FALSE)</f>
        <v>45671</v>
      </c>
      <c r="J438" s="2" t="str">
        <f>VLOOKUP(B438,'PO with created By ASR'!A:G,4,FALSE)</f>
        <v>Mass Vision-Blr</v>
      </c>
      <c r="K438" s="2" t="str">
        <f>VLOOKUP(B438,'PO with created By ASR'!A:I,6,FALSE)</f>
        <v>12126 Mass Vision</v>
      </c>
      <c r="L438" s="2" t="str">
        <f>VLOOKUP(B438,'PO with created By ASR'!A:J,7,FALSE)</f>
        <v>B - Bangalore</v>
      </c>
      <c r="M438" s="2" t="str">
        <f>VLOOKUP(B438,'PO with created By ASR'!A:K,8,FALSE)</f>
        <v>Purchase Order-Blr</v>
      </c>
      <c r="N438" t="s">
        <v>36</v>
      </c>
      <c r="P438" s="2">
        <v>6</v>
      </c>
    </row>
    <row r="439" s="2" customFormat="1" spans="1:16">
      <c r="A439" s="8"/>
      <c r="B439" s="9" t="s">
        <v>1080</v>
      </c>
      <c r="C439" s="10" t="s">
        <v>371</v>
      </c>
      <c r="D439" s="11">
        <v>1</v>
      </c>
      <c r="E439" s="12">
        <v>8600</v>
      </c>
      <c r="F439" s="13">
        <v>8600</v>
      </c>
      <c r="G439" s="2">
        <f>VLOOKUP(B439,'PO with created By ASR'!A:C,3,FALSE)</f>
        <v>45671</v>
      </c>
      <c r="J439" s="2" t="str">
        <f>VLOOKUP(B439,'PO with created By ASR'!A:G,4,FALSE)</f>
        <v>Ashik Mobile Generator-Blr</v>
      </c>
      <c r="K439" s="2" t="str">
        <f>VLOOKUP(B439,'PO with created By ASR'!A:I,6,FALSE)</f>
        <v>11685 Ashik Mobile Generator</v>
      </c>
      <c r="L439" s="2" t="str">
        <f>VLOOKUP(B439,'PO with created By ASR'!A:J,7,FALSE)</f>
        <v>B - Bangalore</v>
      </c>
      <c r="M439" s="2" t="str">
        <f>VLOOKUP(B439,'PO with created By ASR'!A:K,8,FALSE)</f>
        <v>Purchase Order-Blr</v>
      </c>
      <c r="N439" t="s">
        <v>36</v>
      </c>
      <c r="P439" s="2">
        <v>6</v>
      </c>
    </row>
    <row r="440" s="2" customFormat="1" spans="1:16">
      <c r="A440" s="8"/>
      <c r="B440" s="9" t="s">
        <v>1081</v>
      </c>
      <c r="C440" s="10" t="s">
        <v>292</v>
      </c>
      <c r="D440" s="11">
        <v>1</v>
      </c>
      <c r="E440" s="12">
        <v>30500</v>
      </c>
      <c r="F440" s="13">
        <v>30500</v>
      </c>
      <c r="G440" s="2">
        <f>VLOOKUP(B440,'PO with created By ASR'!A:C,3,FALSE)</f>
        <v>45671</v>
      </c>
      <c r="J440" s="2" t="str">
        <f>VLOOKUP(B440,'PO with created By ASR'!A:G,4,FALSE)</f>
        <v>Skypillars Manpower Agency-Blr</v>
      </c>
      <c r="K440" s="2" t="str">
        <f>VLOOKUP(B440,'PO with created By ASR'!A:I,6,FALSE)</f>
        <v>12418 Skypillars Manpower Agency</v>
      </c>
      <c r="L440" s="2" t="str">
        <f>VLOOKUP(B440,'PO with created By ASR'!A:J,7,FALSE)</f>
        <v>B - Bangalore</v>
      </c>
      <c r="M440" s="2" t="str">
        <f>VLOOKUP(B440,'PO with created By ASR'!A:K,8,FALSE)</f>
        <v>Purchase Order-Blr</v>
      </c>
      <c r="N440" t="s">
        <v>36</v>
      </c>
      <c r="P440" s="2">
        <v>6</v>
      </c>
    </row>
    <row r="441" s="2" customFormat="1" spans="1:16">
      <c r="A441" s="8"/>
      <c r="B441" s="9" t="s">
        <v>1084</v>
      </c>
      <c r="C441" s="10" t="s">
        <v>401</v>
      </c>
      <c r="D441" s="11">
        <v>1</v>
      </c>
      <c r="E441" s="12">
        <v>5000</v>
      </c>
      <c r="F441" s="13">
        <v>5000</v>
      </c>
      <c r="G441" s="2">
        <f>VLOOKUP(B441,'PO with created By ASR'!A:C,3,FALSE)</f>
        <v>45671</v>
      </c>
      <c r="J441" s="2" t="str">
        <f>VLOOKUP(B441,'PO with created By ASR'!A:G,4,FALSE)</f>
        <v>Thinking Brahma-Blr</v>
      </c>
      <c r="K441" s="2" t="str">
        <f>VLOOKUP(B441,'PO with created By ASR'!A:I,6,FALSE)</f>
        <v>12537 Thinking Brahma</v>
      </c>
      <c r="L441" s="2" t="str">
        <f>VLOOKUP(B441,'PO with created By ASR'!A:J,7,FALSE)</f>
        <v>B - Bangalore</v>
      </c>
      <c r="M441" s="2" t="str">
        <f>VLOOKUP(B441,'PO with created By ASR'!A:K,8,FALSE)</f>
        <v>Purchase Order-Blr</v>
      </c>
      <c r="N441" t="s">
        <v>36</v>
      </c>
      <c r="P441" s="2">
        <v>6</v>
      </c>
    </row>
    <row r="442" s="2" customFormat="1" spans="1:16">
      <c r="A442" s="8"/>
      <c r="B442" s="9" t="s">
        <v>1087</v>
      </c>
      <c r="C442" s="10" t="s">
        <v>371</v>
      </c>
      <c r="D442" s="11">
        <v>1</v>
      </c>
      <c r="E442" s="12">
        <v>50000</v>
      </c>
      <c r="F442" s="13">
        <v>50000</v>
      </c>
      <c r="G442" s="2">
        <f>VLOOKUP(B442,'PO with created By ASR'!A:C,3,FALSE)</f>
        <v>45671</v>
      </c>
      <c r="J442" s="2" t="str">
        <f>VLOOKUP(B442,'PO with created By ASR'!A:G,4,FALSE)</f>
        <v>Ashik Mobile Generator-Blr</v>
      </c>
      <c r="K442" s="2" t="str">
        <f>VLOOKUP(B442,'PO with created By ASR'!A:I,6,FALSE)</f>
        <v>11685 Ashik Mobile Generator</v>
      </c>
      <c r="L442" s="2" t="str">
        <f>VLOOKUP(B442,'PO with created By ASR'!A:J,7,FALSE)</f>
        <v>B - Bangalore</v>
      </c>
      <c r="M442" s="2" t="str">
        <f>VLOOKUP(B442,'PO with created By ASR'!A:K,8,FALSE)</f>
        <v>Purchase Order-Blr</v>
      </c>
      <c r="N442" t="s">
        <v>36</v>
      </c>
      <c r="P442" s="2">
        <v>6</v>
      </c>
    </row>
    <row r="443" s="2" customFormat="1" spans="1:16">
      <c r="A443" s="8"/>
      <c r="B443" s="9" t="s">
        <v>1088</v>
      </c>
      <c r="C443" s="10" t="s">
        <v>196</v>
      </c>
      <c r="D443" s="11">
        <v>1</v>
      </c>
      <c r="E443" s="12">
        <v>3332</v>
      </c>
      <c r="F443" s="13">
        <v>3332</v>
      </c>
      <c r="G443" s="2">
        <f>VLOOKUP(B443,'PO with created By ASR'!A:C,3,FALSE)</f>
        <v>45671</v>
      </c>
      <c r="J443" s="2" t="str">
        <f>VLOOKUP(B443,'PO with created By ASR'!A:G,4,FALSE)</f>
        <v>Kolorkode-Blr</v>
      </c>
      <c r="K443" s="2" t="e">
        <f>VLOOKUP(B443,'PO with created By ASR'!A:I,6,FALSE)</f>
        <v>#N/A</v>
      </c>
      <c r="L443" s="2" t="str">
        <f>VLOOKUP(B443,'PO with created By ASR'!A:J,7,FALSE)</f>
        <v>B - Bangalore</v>
      </c>
      <c r="M443" s="2" t="str">
        <f>VLOOKUP(B443,'PO with created By ASR'!A:K,8,FALSE)</f>
        <v>Purchase Order-Blr</v>
      </c>
      <c r="N443" t="s">
        <v>36</v>
      </c>
      <c r="P443" s="2">
        <v>6</v>
      </c>
    </row>
    <row r="444" s="2" customFormat="1" spans="1:16">
      <c r="A444" s="8"/>
      <c r="B444" s="9" t="s">
        <v>1090</v>
      </c>
      <c r="C444" s="10" t="s">
        <v>196</v>
      </c>
      <c r="D444" s="11">
        <v>1</v>
      </c>
      <c r="E444" s="12">
        <v>8500</v>
      </c>
      <c r="F444" s="13">
        <v>8500</v>
      </c>
      <c r="G444" s="2">
        <f>VLOOKUP(B444,'PO with created By ASR'!A:C,3,FALSE)</f>
        <v>45671</v>
      </c>
      <c r="J444" s="2" t="str">
        <f>VLOOKUP(B444,'PO with created By ASR'!A:G,4,FALSE)</f>
        <v>ID Factory (OPC) Pvt Ltd-Blr</v>
      </c>
      <c r="K444" s="2" t="str">
        <f>VLOOKUP(B444,'PO with created By ASR'!A:I,6,FALSE)</f>
        <v>12008  ID Factory (OPC) Pvt Ltd</v>
      </c>
      <c r="L444" s="2" t="str">
        <f>VLOOKUP(B444,'PO with created By ASR'!A:J,7,FALSE)</f>
        <v>B - Bangalore</v>
      </c>
      <c r="M444" s="2" t="str">
        <f>VLOOKUP(B444,'PO with created By ASR'!A:K,8,FALSE)</f>
        <v>Purchase Order-Blr</v>
      </c>
      <c r="N444" t="s">
        <v>36</v>
      </c>
      <c r="P444" s="2">
        <v>6</v>
      </c>
    </row>
    <row r="445" s="2" customFormat="1" spans="1:16">
      <c r="A445" s="8"/>
      <c r="B445" s="9" t="s">
        <v>1093</v>
      </c>
      <c r="C445" s="10" t="s">
        <v>140</v>
      </c>
      <c r="D445" s="11">
        <v>1</v>
      </c>
      <c r="E445" s="12">
        <v>4917.2</v>
      </c>
      <c r="F445" s="13">
        <v>4917.2</v>
      </c>
      <c r="G445" s="2">
        <f>VLOOKUP(B445,'PO with created By ASR'!A:C,3,FALSE)</f>
        <v>45671</v>
      </c>
      <c r="J445" s="2" t="str">
        <f>VLOOKUP(B445,'PO with created By ASR'!A:G,4,FALSE)</f>
        <v>Yash Gifts-Blr</v>
      </c>
      <c r="K445" s="2" t="str">
        <f>VLOOKUP(B445,'PO with created By ASR'!A:I,6,FALSE)</f>
        <v>12634 Yash  Gifts</v>
      </c>
      <c r="L445" s="2" t="str">
        <f>VLOOKUP(B445,'PO with created By ASR'!A:J,7,FALSE)</f>
        <v>B - Bangalore</v>
      </c>
      <c r="M445" s="2" t="str">
        <f>VLOOKUP(B445,'PO with created By ASR'!A:K,8,FALSE)</f>
        <v>Purchase Order-Blr</v>
      </c>
      <c r="N445" t="s">
        <v>36</v>
      </c>
      <c r="P445" s="2">
        <v>6</v>
      </c>
    </row>
    <row r="446" s="2" customFormat="1" spans="1:16">
      <c r="A446" s="8"/>
      <c r="B446" s="9" t="s">
        <v>1095</v>
      </c>
      <c r="C446" s="10" t="s">
        <v>140</v>
      </c>
      <c r="D446" s="11">
        <v>1</v>
      </c>
      <c r="E446" s="12">
        <v>57288</v>
      </c>
      <c r="F446" s="13">
        <v>57288</v>
      </c>
      <c r="G446" s="2">
        <f>VLOOKUP(B446,'PO with created By ASR'!A:C,3,FALSE)</f>
        <v>45671</v>
      </c>
      <c r="J446" s="2" t="str">
        <f>VLOOKUP(B446,'PO with created By ASR'!A:G,4,FALSE)</f>
        <v>21Fools Design &amp; Entertainment Pvt Ltd-Del</v>
      </c>
      <c r="K446" s="2" t="str">
        <f>VLOOKUP(B446,'PO with created By ASR'!A:I,6,FALSE)</f>
        <v>11613  21Fools Design &amp; Entertainment Pvt Ltd</v>
      </c>
      <c r="L446" s="2" t="str">
        <f>VLOOKUP(B446,'PO with created By ASR'!A:J,7,FALSE)</f>
        <v>D - Delhi</v>
      </c>
      <c r="M446" s="2" t="str">
        <f>VLOOKUP(B446,'PO with created By ASR'!A:K,8,FALSE)</f>
        <v>Purchase Order-Del</v>
      </c>
      <c r="N446" t="s">
        <v>36</v>
      </c>
      <c r="P446" s="2">
        <v>6</v>
      </c>
    </row>
    <row r="447" s="2" customFormat="1" spans="1:16">
      <c r="A447" s="8"/>
      <c r="B447" s="9" t="s">
        <v>1101</v>
      </c>
      <c r="C447" s="10" t="s">
        <v>140</v>
      </c>
      <c r="D447" s="11">
        <v>1</v>
      </c>
      <c r="E447" s="12">
        <v>71750</v>
      </c>
      <c r="F447" s="13">
        <v>71750</v>
      </c>
      <c r="G447" s="2">
        <f>VLOOKUP(B447,'PO with created By ASR'!A:C,3,FALSE)</f>
        <v>45671</v>
      </c>
      <c r="J447" s="2" t="str">
        <f>VLOOKUP(B447,'PO with created By ASR'!A:G,4,FALSE)</f>
        <v>Modi Graphics-Del</v>
      </c>
      <c r="K447" s="2" t="str">
        <f>VLOOKUP(B447,'PO with created By ASR'!A:I,6,FALSE)</f>
        <v>12164 Modi Graphics</v>
      </c>
      <c r="L447" s="2" t="str">
        <f>VLOOKUP(B447,'PO with created By ASR'!A:J,7,FALSE)</f>
        <v>D - Delhi</v>
      </c>
      <c r="M447" s="2" t="str">
        <f>VLOOKUP(B447,'PO with created By ASR'!A:K,8,FALSE)</f>
        <v>Purchase Order-Del</v>
      </c>
      <c r="N447" t="s">
        <v>36</v>
      </c>
      <c r="P447" s="2">
        <v>6</v>
      </c>
    </row>
    <row r="448" s="2" customFormat="1" spans="1:16">
      <c r="A448" s="8"/>
      <c r="B448" s="9" t="s">
        <v>1105</v>
      </c>
      <c r="C448" s="10" t="s">
        <v>276</v>
      </c>
      <c r="D448" s="11">
        <v>1</v>
      </c>
      <c r="E448" s="12">
        <v>747000</v>
      </c>
      <c r="F448" s="13">
        <v>747000</v>
      </c>
      <c r="G448" s="2">
        <f>VLOOKUP(B448,'PO with created By ASR'!A:C,3,FALSE)</f>
        <v>45671</v>
      </c>
      <c r="J448" s="2" t="str">
        <f>VLOOKUP(B448,'PO with created By ASR'!A:G,4,FALSE)</f>
        <v>Epicurean Hospitality Services Pvt Ltd-Del</v>
      </c>
      <c r="K448" s="2" t="str">
        <f>VLOOKUP(B448,'PO with created By ASR'!A:I,6,FALSE)</f>
        <v>11877  Epicurean Hospitality Services Pvt Ltd</v>
      </c>
      <c r="L448" s="2" t="str">
        <f>VLOOKUP(B448,'PO with created By ASR'!A:J,7,FALSE)</f>
        <v>D - Delhi</v>
      </c>
      <c r="M448" s="2" t="str">
        <f>VLOOKUP(B448,'PO with created By ASR'!A:K,8,FALSE)</f>
        <v>Purchase Order-Del</v>
      </c>
      <c r="N448" t="s">
        <v>36</v>
      </c>
      <c r="P448" s="2">
        <v>6</v>
      </c>
    </row>
    <row r="449" s="2" customFormat="1" spans="1:16">
      <c r="A449" s="8"/>
      <c r="B449" s="9" t="s">
        <v>1105</v>
      </c>
      <c r="C449" s="10" t="s">
        <v>1055</v>
      </c>
      <c r="D449" s="11">
        <v>1</v>
      </c>
      <c r="E449" s="12">
        <v>90000</v>
      </c>
      <c r="F449" s="13">
        <v>90000</v>
      </c>
      <c r="G449" s="2">
        <f>VLOOKUP(B449,'PO with created By ASR'!A:C,3,FALSE)</f>
        <v>45671</v>
      </c>
      <c r="J449" s="2" t="str">
        <f>VLOOKUP(B449,'PO with created By ASR'!A:G,4,FALSE)</f>
        <v>Epicurean Hospitality Services Pvt Ltd-Del</v>
      </c>
      <c r="K449" s="2" t="str">
        <f>VLOOKUP(B449,'PO with created By ASR'!A:I,6,FALSE)</f>
        <v>11877  Epicurean Hospitality Services Pvt Ltd</v>
      </c>
      <c r="L449" s="2" t="str">
        <f>VLOOKUP(B449,'PO with created By ASR'!A:J,7,FALSE)</f>
        <v>D - Delhi</v>
      </c>
      <c r="M449" s="2" t="str">
        <f>VLOOKUP(B449,'PO with created By ASR'!A:K,8,FALSE)</f>
        <v>Purchase Order-Del</v>
      </c>
      <c r="N449" t="s">
        <v>36</v>
      </c>
      <c r="P449" s="2">
        <v>6</v>
      </c>
    </row>
    <row r="450" s="2" customFormat="1" spans="1:16">
      <c r="A450" s="8"/>
      <c r="B450" s="9" t="s">
        <v>1105</v>
      </c>
      <c r="C450" s="10" t="s">
        <v>764</v>
      </c>
      <c r="D450" s="11">
        <v>1</v>
      </c>
      <c r="E450" s="12">
        <v>53550</v>
      </c>
      <c r="F450" s="13">
        <v>53550</v>
      </c>
      <c r="G450" s="2">
        <f>VLOOKUP(B450,'PO with created By ASR'!A:C,3,FALSE)</f>
        <v>45671</v>
      </c>
      <c r="J450" s="2" t="str">
        <f>VLOOKUP(B450,'PO with created By ASR'!A:G,4,FALSE)</f>
        <v>Epicurean Hospitality Services Pvt Ltd-Del</v>
      </c>
      <c r="K450" s="2" t="str">
        <f>VLOOKUP(B450,'PO with created By ASR'!A:I,6,FALSE)</f>
        <v>11877  Epicurean Hospitality Services Pvt Ltd</v>
      </c>
      <c r="L450" s="2" t="str">
        <f>VLOOKUP(B450,'PO with created By ASR'!A:J,7,FALSE)</f>
        <v>D - Delhi</v>
      </c>
      <c r="M450" s="2" t="str">
        <f>VLOOKUP(B450,'PO with created By ASR'!A:K,8,FALSE)</f>
        <v>Purchase Order-Del</v>
      </c>
      <c r="N450" t="s">
        <v>36</v>
      </c>
      <c r="P450" s="2">
        <v>6</v>
      </c>
    </row>
    <row r="451" s="2" customFormat="1" spans="1:16">
      <c r="A451" s="8"/>
      <c r="B451" s="9" t="s">
        <v>1110</v>
      </c>
      <c r="C451" s="10" t="s">
        <v>276</v>
      </c>
      <c r="D451" s="11">
        <v>1</v>
      </c>
      <c r="E451" s="12">
        <v>195035</v>
      </c>
      <c r="F451" s="13">
        <v>195035</v>
      </c>
      <c r="G451" s="2">
        <f>VLOOKUP(B451,'PO with created By ASR'!A:C,3,FALSE)</f>
        <v>45671</v>
      </c>
      <c r="J451" s="2" t="str">
        <f>VLOOKUP(B451,'PO with created By ASR'!A:G,4,FALSE)</f>
        <v>ITC Maurya New Delhi (ITC Hotels Ltd)-Del</v>
      </c>
      <c r="K451" s="2" t="str">
        <f>VLOOKUP(B451,'PO with created By ASR'!A:I,6,FALSE)</f>
        <v>12872  ITC Maurya New Delhi (ITC Hotels Ltd)</v>
      </c>
      <c r="L451" s="2" t="str">
        <f>VLOOKUP(B451,'PO with created By ASR'!A:J,7,FALSE)</f>
        <v>D - Delhi</v>
      </c>
      <c r="M451" s="2" t="str">
        <f>VLOOKUP(B451,'PO with created By ASR'!A:K,8,FALSE)</f>
        <v>Purchase Order-Del</v>
      </c>
      <c r="N451" t="s">
        <v>36</v>
      </c>
      <c r="P451" s="2">
        <v>6</v>
      </c>
    </row>
    <row r="452" s="2" customFormat="1" spans="1:16">
      <c r="A452" s="8"/>
      <c r="B452" s="9" t="s">
        <v>1114</v>
      </c>
      <c r="C452" s="10" t="s">
        <v>317</v>
      </c>
      <c r="D452" s="11">
        <v>1</v>
      </c>
      <c r="E452" s="12">
        <v>200000</v>
      </c>
      <c r="F452" s="13">
        <v>200000</v>
      </c>
      <c r="G452" s="2">
        <f>VLOOKUP(B452,'PO with created By ASR'!A:C,3,FALSE)</f>
        <v>45671</v>
      </c>
      <c r="J452" s="2" t="str">
        <f>VLOOKUP(B452,'PO with created By ASR'!A:G,4,FALSE)</f>
        <v>Nock Time Service-Seema Kumari-Del</v>
      </c>
      <c r="K452" s="2" t="e">
        <f>VLOOKUP(B452,'PO with created By ASR'!A:I,6,FALSE)</f>
        <v>#N/A</v>
      </c>
      <c r="L452" s="2" t="str">
        <f>VLOOKUP(B452,'PO with created By ASR'!A:J,7,FALSE)</f>
        <v>D - Delhi</v>
      </c>
      <c r="M452" s="2" t="str">
        <f>VLOOKUP(B452,'PO with created By ASR'!A:K,8,FALSE)</f>
        <v>Purchase Order-Del</v>
      </c>
      <c r="N452" t="s">
        <v>36</v>
      </c>
      <c r="P452" s="2">
        <v>6</v>
      </c>
    </row>
    <row r="453" s="2" customFormat="1" spans="1:16">
      <c r="A453" s="8"/>
      <c r="B453" s="9" t="s">
        <v>1117</v>
      </c>
      <c r="C453" s="10" t="s">
        <v>140</v>
      </c>
      <c r="D453" s="11">
        <v>1</v>
      </c>
      <c r="E453" s="12">
        <v>129600</v>
      </c>
      <c r="F453" s="13">
        <v>129600</v>
      </c>
      <c r="G453" s="2">
        <f>VLOOKUP(B453,'PO with created By ASR'!A:C,3,FALSE)</f>
        <v>45671</v>
      </c>
      <c r="J453" s="2" t="str">
        <f>VLOOKUP(B453,'PO with created By ASR'!A:G,4,FALSE)</f>
        <v>Pavni Enterprises-Del</v>
      </c>
      <c r="K453" s="2" t="str">
        <f>VLOOKUP(B453,'PO with created By ASR'!A:I,6,FALSE)</f>
        <v>11122 Pavni Enterprises</v>
      </c>
      <c r="L453" s="2" t="str">
        <f>VLOOKUP(B453,'PO with created By ASR'!A:J,7,FALSE)</f>
        <v>D - Delhi</v>
      </c>
      <c r="M453" s="2" t="str">
        <f>VLOOKUP(B453,'PO with created By ASR'!A:K,8,FALSE)</f>
        <v>Purchase Order-Del</v>
      </c>
      <c r="N453" t="s">
        <v>36</v>
      </c>
      <c r="P453" s="2">
        <v>6</v>
      </c>
    </row>
    <row r="454" s="2" customFormat="1" spans="1:16">
      <c r="A454" s="8"/>
      <c r="B454" s="9" t="s">
        <v>1119</v>
      </c>
      <c r="C454" s="10" t="s">
        <v>140</v>
      </c>
      <c r="D454" s="11">
        <v>1</v>
      </c>
      <c r="E454" s="12">
        <v>481500</v>
      </c>
      <c r="F454" s="13">
        <v>481500</v>
      </c>
      <c r="G454" s="2">
        <f>VLOOKUP(B454,'PO with created By ASR'!A:C,3,FALSE)</f>
        <v>45671</v>
      </c>
      <c r="J454" s="2" t="str">
        <f>VLOOKUP(B454,'PO with created By ASR'!A:G,4,FALSE)</f>
        <v>Pavni Enterprises-Del</v>
      </c>
      <c r="K454" s="2" t="str">
        <f>VLOOKUP(B454,'PO with created By ASR'!A:I,6,FALSE)</f>
        <v>11122 Pavni Enterprises</v>
      </c>
      <c r="L454" s="2" t="str">
        <f>VLOOKUP(B454,'PO with created By ASR'!A:J,7,FALSE)</f>
        <v>D - Delhi</v>
      </c>
      <c r="M454" s="2" t="str">
        <f>VLOOKUP(B454,'PO with created By ASR'!A:K,8,FALSE)</f>
        <v>Purchase Order-Del</v>
      </c>
      <c r="N454" t="s">
        <v>36</v>
      </c>
      <c r="P454" s="2">
        <v>6</v>
      </c>
    </row>
    <row r="455" s="2" customFormat="1" spans="1:16">
      <c r="A455" s="8"/>
      <c r="B455" s="9" t="s">
        <v>1120</v>
      </c>
      <c r="C455" s="10" t="s">
        <v>61</v>
      </c>
      <c r="D455" s="11">
        <v>1</v>
      </c>
      <c r="E455" s="12">
        <v>250287</v>
      </c>
      <c r="F455" s="13">
        <v>250287</v>
      </c>
      <c r="G455" s="2">
        <f>VLOOKUP(B455,'PO with created By ASR'!A:C,3,FALSE)</f>
        <v>45671</v>
      </c>
      <c r="J455" s="2" t="str">
        <f>VLOOKUP(B455,'PO with created By ASR'!A:G,4,FALSE)</f>
        <v>Junobo Hotels Pvt Ltd-Mum</v>
      </c>
      <c r="K455" s="2" t="str">
        <f>VLOOKUP(B455,'PO with created By ASR'!A:I,6,FALSE)</f>
        <v>12883  Junobo Hotels Pvt Ltd</v>
      </c>
      <c r="L455" s="2" t="str">
        <f>VLOOKUP(B455,'PO with created By ASR'!A:J,7,FALSE)</f>
        <v>A - Mumbai</v>
      </c>
      <c r="M455" s="2" t="str">
        <f>VLOOKUP(B455,'PO with created By ASR'!A:K,8,FALSE)</f>
        <v>Purchase Order-Mum</v>
      </c>
      <c r="N455" t="s">
        <v>36</v>
      </c>
      <c r="P455" s="2">
        <v>6</v>
      </c>
    </row>
    <row r="456" s="2" customFormat="1" spans="1:16">
      <c r="A456" s="8"/>
      <c r="B456" s="9" t="s">
        <v>1123</v>
      </c>
      <c r="C456" s="10" t="s">
        <v>140</v>
      </c>
      <c r="D456" s="11">
        <v>1</v>
      </c>
      <c r="E456" s="12">
        <v>64500</v>
      </c>
      <c r="F456" s="13">
        <v>64500</v>
      </c>
      <c r="G456" s="2">
        <f>VLOOKUP(B456,'PO with created By ASR'!A:C,3,FALSE)</f>
        <v>45672</v>
      </c>
      <c r="J456" s="2" t="str">
        <f>VLOOKUP(B456,'PO with created By ASR'!A:G,4,FALSE)</f>
        <v>Gifting Plans-Blr</v>
      </c>
      <c r="K456" s="2" t="str">
        <f>VLOOKUP(B456,'PO with created By ASR'!A:I,6,FALSE)</f>
        <v>11950 Gifting Plans</v>
      </c>
      <c r="L456" s="2" t="str">
        <f>VLOOKUP(B456,'PO with created By ASR'!A:J,7,FALSE)</f>
        <v>B - Bangalore</v>
      </c>
      <c r="M456" s="2" t="str">
        <f>VLOOKUP(B456,'PO with created By ASR'!A:K,8,FALSE)</f>
        <v>Purchase Order-Blr</v>
      </c>
      <c r="N456" t="s">
        <v>36</v>
      </c>
      <c r="P456" s="2">
        <v>6</v>
      </c>
    </row>
    <row r="457" s="2" customFormat="1" spans="1:16">
      <c r="A457" s="8"/>
      <c r="B457" s="9" t="s">
        <v>1129</v>
      </c>
      <c r="C457" s="10" t="s">
        <v>151</v>
      </c>
      <c r="D457" s="11">
        <v>1</v>
      </c>
      <c r="E457" s="12">
        <v>800000</v>
      </c>
      <c r="F457" s="13">
        <v>800000</v>
      </c>
      <c r="G457" s="2">
        <f>VLOOKUP(B457,'PO with created By ASR'!A:C,3,FALSE)</f>
        <v>45672</v>
      </c>
      <c r="J457" s="2" t="str">
        <f>VLOOKUP(B457,'PO with created By ASR'!A:G,4,FALSE)</f>
        <v>Reventus-Blr</v>
      </c>
      <c r="K457" s="2" t="e">
        <f>VLOOKUP(B457,'PO with created By ASR'!A:I,6,FALSE)</f>
        <v>#N/A</v>
      </c>
      <c r="L457" s="2" t="str">
        <f>VLOOKUP(B457,'PO with created By ASR'!A:J,7,FALSE)</f>
        <v>B - Bangalore</v>
      </c>
      <c r="M457" s="2" t="str">
        <f>VLOOKUP(B457,'PO with created By ASR'!A:K,8,FALSE)</f>
        <v>Purchase Order-Blr</v>
      </c>
      <c r="N457" t="s">
        <v>36</v>
      </c>
      <c r="P457" s="2">
        <v>6</v>
      </c>
    </row>
    <row r="458" s="2" customFormat="1" spans="1:16">
      <c r="A458" s="8"/>
      <c r="B458" s="9" t="s">
        <v>1132</v>
      </c>
      <c r="C458" s="10" t="s">
        <v>134</v>
      </c>
      <c r="D458" s="11">
        <v>1</v>
      </c>
      <c r="E458" s="12">
        <v>3890</v>
      </c>
      <c r="F458" s="13">
        <v>3890</v>
      </c>
      <c r="G458" s="2">
        <f>VLOOKUP(B458,'PO with created By ASR'!A:C,3,FALSE)</f>
        <v>45672</v>
      </c>
      <c r="J458" s="2" t="str">
        <f>VLOOKUP(B458,'PO with created By ASR'!A:G,4,FALSE)</f>
        <v>Anurama V  -CR</v>
      </c>
      <c r="K458" s="2" t="e">
        <f>VLOOKUP(B458,'PO with created By ASR'!A:I,6,FALSE)</f>
        <v>#N/A</v>
      </c>
      <c r="L458" s="2" t="str">
        <f>VLOOKUP(B458,'PO with created By ASR'!A:J,7,FALSE)</f>
        <v>B - Bangalore</v>
      </c>
      <c r="M458" s="2" t="str">
        <f>VLOOKUP(B458,'PO with created By ASR'!A:K,8,FALSE)</f>
        <v>Purchase Order-Blr</v>
      </c>
      <c r="N458" t="s">
        <v>36</v>
      </c>
      <c r="P458" s="2">
        <v>6</v>
      </c>
    </row>
    <row r="459" s="2" customFormat="1" spans="1:16">
      <c r="A459" s="8"/>
      <c r="B459" s="9" t="s">
        <v>1134</v>
      </c>
      <c r="C459" s="10" t="s">
        <v>107</v>
      </c>
      <c r="D459" s="11">
        <v>1</v>
      </c>
      <c r="E459" s="12">
        <v>1800</v>
      </c>
      <c r="F459" s="13">
        <v>1800</v>
      </c>
      <c r="G459" s="2">
        <f>VLOOKUP(B459,'PO with created By ASR'!A:C,3,FALSE)</f>
        <v>45672</v>
      </c>
      <c r="J459" s="2" t="str">
        <f>VLOOKUP(B459,'PO with created By ASR'!A:G,4,FALSE)</f>
        <v>Megha Mittal -CR</v>
      </c>
      <c r="K459" s="2" t="e">
        <f>VLOOKUP(B459,'PO with created By ASR'!A:I,6,FALSE)</f>
        <v>#N/A</v>
      </c>
      <c r="L459" s="2" t="str">
        <f>VLOOKUP(B459,'PO with created By ASR'!A:J,7,FALSE)</f>
        <v>B - Bangalore</v>
      </c>
      <c r="M459" s="2" t="str">
        <f>VLOOKUP(B459,'PO with created By ASR'!A:K,8,FALSE)</f>
        <v>Purchase Order-Blr</v>
      </c>
      <c r="N459" t="s">
        <v>36</v>
      </c>
      <c r="P459" s="2">
        <v>6</v>
      </c>
    </row>
    <row r="460" s="2" customFormat="1" spans="1:16">
      <c r="A460" s="8"/>
      <c r="B460" s="9" t="s">
        <v>1136</v>
      </c>
      <c r="C460" s="10" t="s">
        <v>134</v>
      </c>
      <c r="D460" s="11">
        <v>1</v>
      </c>
      <c r="E460" s="12">
        <v>3323</v>
      </c>
      <c r="F460" s="13">
        <v>3323</v>
      </c>
      <c r="G460" s="2">
        <f>VLOOKUP(B460,'PO with created By ASR'!A:C,3,FALSE)</f>
        <v>45672</v>
      </c>
      <c r="J460" s="2" t="str">
        <f>VLOOKUP(B460,'PO with created By ASR'!A:G,4,FALSE)</f>
        <v>Megha Mittal -CR</v>
      </c>
      <c r="K460" s="2" t="e">
        <f>VLOOKUP(B460,'PO with created By ASR'!A:I,6,FALSE)</f>
        <v>#N/A</v>
      </c>
      <c r="L460" s="2" t="str">
        <f>VLOOKUP(B460,'PO with created By ASR'!A:J,7,FALSE)</f>
        <v>B - Bangalore</v>
      </c>
      <c r="M460" s="2" t="str">
        <f>VLOOKUP(B460,'PO with created By ASR'!A:K,8,FALSE)</f>
        <v>Purchase Order-Blr</v>
      </c>
      <c r="N460" t="s">
        <v>36</v>
      </c>
      <c r="P460" s="2">
        <v>6</v>
      </c>
    </row>
    <row r="461" s="2" customFormat="1" spans="1:16">
      <c r="A461" s="8"/>
      <c r="B461" s="9" t="s">
        <v>1136</v>
      </c>
      <c r="C461" s="10" t="s">
        <v>107</v>
      </c>
      <c r="D461" s="11">
        <v>1</v>
      </c>
      <c r="E461" s="12">
        <v>843</v>
      </c>
      <c r="F461" s="13">
        <v>843</v>
      </c>
      <c r="G461" s="2">
        <f>VLOOKUP(B461,'PO with created By ASR'!A:C,3,FALSE)</f>
        <v>45672</v>
      </c>
      <c r="J461" s="2" t="str">
        <f>VLOOKUP(B461,'PO with created By ASR'!A:G,4,FALSE)</f>
        <v>Megha Mittal -CR</v>
      </c>
      <c r="K461" s="2" t="e">
        <f>VLOOKUP(B461,'PO with created By ASR'!A:I,6,FALSE)</f>
        <v>#N/A</v>
      </c>
      <c r="L461" s="2" t="str">
        <f>VLOOKUP(B461,'PO with created By ASR'!A:J,7,FALSE)</f>
        <v>B - Bangalore</v>
      </c>
      <c r="M461" s="2" t="str">
        <f>VLOOKUP(B461,'PO with created By ASR'!A:K,8,FALSE)</f>
        <v>Purchase Order-Blr</v>
      </c>
      <c r="N461" t="s">
        <v>36</v>
      </c>
      <c r="P461" s="2">
        <v>6</v>
      </c>
    </row>
    <row r="462" s="2" customFormat="1" spans="1:16">
      <c r="A462" s="8"/>
      <c r="B462" s="9" t="s">
        <v>1137</v>
      </c>
      <c r="C462" s="10" t="s">
        <v>107</v>
      </c>
      <c r="D462" s="11">
        <v>1</v>
      </c>
      <c r="E462" s="12">
        <v>15000</v>
      </c>
      <c r="F462" s="13">
        <v>15000</v>
      </c>
      <c r="G462" s="2">
        <f>VLOOKUP(B462,'PO with created By ASR'!A:C,3,FALSE)</f>
        <v>45672</v>
      </c>
      <c r="J462" s="2" t="str">
        <f>VLOOKUP(B462,'PO with created By ASR'!A:G,4,FALSE)</f>
        <v>Megha Mittal -CR</v>
      </c>
      <c r="K462" s="2" t="e">
        <f>VLOOKUP(B462,'PO with created By ASR'!A:I,6,FALSE)</f>
        <v>#N/A</v>
      </c>
      <c r="L462" s="2" t="str">
        <f>VLOOKUP(B462,'PO with created By ASR'!A:J,7,FALSE)</f>
        <v>B - Bangalore</v>
      </c>
      <c r="M462" s="2" t="str">
        <f>VLOOKUP(B462,'PO with created By ASR'!A:K,8,FALSE)</f>
        <v>Purchase Order-Blr</v>
      </c>
      <c r="N462" t="s">
        <v>36</v>
      </c>
      <c r="P462" s="2">
        <v>6</v>
      </c>
    </row>
    <row r="463" s="2" customFormat="1" spans="1:16">
      <c r="A463" s="8"/>
      <c r="B463" s="9" t="s">
        <v>1138</v>
      </c>
      <c r="C463" s="10" t="s">
        <v>412</v>
      </c>
      <c r="D463" s="11">
        <v>1</v>
      </c>
      <c r="E463" s="12">
        <v>1253</v>
      </c>
      <c r="F463" s="13">
        <v>1253</v>
      </c>
      <c r="G463" s="2">
        <f>VLOOKUP(B463,'PO with created By ASR'!A:C,3,FALSE)</f>
        <v>45672</v>
      </c>
      <c r="J463" s="2" t="str">
        <f>VLOOKUP(B463,'PO with created By ASR'!A:G,4,FALSE)</f>
        <v>Farhan Shariff  -CR</v>
      </c>
      <c r="K463" s="2" t="e">
        <f>VLOOKUP(B463,'PO with created By ASR'!A:I,6,FALSE)</f>
        <v>#N/A</v>
      </c>
      <c r="L463" s="2" t="str">
        <f>VLOOKUP(B463,'PO with created By ASR'!A:J,7,FALSE)</f>
        <v>B - Bangalore</v>
      </c>
      <c r="M463" s="2" t="str">
        <f>VLOOKUP(B463,'PO with created By ASR'!A:K,8,FALSE)</f>
        <v>Purchase Order-Blr</v>
      </c>
      <c r="N463" t="s">
        <v>36</v>
      </c>
      <c r="P463" s="2">
        <v>6</v>
      </c>
    </row>
    <row r="464" s="2" customFormat="1" spans="1:16">
      <c r="A464" s="8"/>
      <c r="B464" s="9" t="s">
        <v>1140</v>
      </c>
      <c r="C464" s="10" t="s">
        <v>196</v>
      </c>
      <c r="D464" s="11">
        <v>1</v>
      </c>
      <c r="E464" s="12">
        <v>1500</v>
      </c>
      <c r="F464" s="13">
        <v>1500</v>
      </c>
      <c r="G464" s="2">
        <f>VLOOKUP(B464,'PO with created By ASR'!A:C,3,FALSE)</f>
        <v>45672</v>
      </c>
      <c r="J464" s="2" t="str">
        <f>VLOOKUP(B464,'PO with created By ASR'!A:G,4,FALSE)</f>
        <v>Eco Prints-Che</v>
      </c>
      <c r="K464" s="2" t="str">
        <f>VLOOKUP(B464,'PO with created By ASR'!A:I,6,FALSE)</f>
        <v>11857 Eco Prints</v>
      </c>
      <c r="L464" s="2" t="str">
        <f>VLOOKUP(B464,'PO with created By ASR'!A:J,7,FALSE)</f>
        <v>C - Chennai</v>
      </c>
      <c r="M464" s="2" t="str">
        <f>VLOOKUP(B464,'PO with created By ASR'!A:K,8,FALSE)</f>
        <v>Purchase Order-Che</v>
      </c>
      <c r="N464" t="s">
        <v>36</v>
      </c>
      <c r="P464" s="2">
        <v>6</v>
      </c>
    </row>
    <row r="465" s="2" customFormat="1" spans="1:16">
      <c r="A465" s="8"/>
      <c r="B465" s="9" t="s">
        <v>1144</v>
      </c>
      <c r="C465" s="10" t="s">
        <v>151</v>
      </c>
      <c r="D465" s="11">
        <v>1</v>
      </c>
      <c r="E465" s="12">
        <v>159400</v>
      </c>
      <c r="F465" s="13">
        <v>159400</v>
      </c>
      <c r="G465" s="2">
        <f>VLOOKUP(B465,'PO with created By ASR'!A:C,3,FALSE)</f>
        <v>45672</v>
      </c>
      <c r="J465" s="2" t="str">
        <f>VLOOKUP(B465,'PO with created By ASR'!A:G,4,FALSE)</f>
        <v>Neet (M) Fabricators-Che</v>
      </c>
      <c r="K465" s="2" t="str">
        <f>VLOOKUP(B465,'PO with created By ASR'!A:I,6,FALSE)</f>
        <v>11044 Neet (M) Fabricators</v>
      </c>
      <c r="L465" s="2" t="str">
        <f>VLOOKUP(B465,'PO with created By ASR'!A:J,7,FALSE)</f>
        <v>C - Chennai</v>
      </c>
      <c r="M465" s="2" t="str">
        <f>VLOOKUP(B465,'PO with created By ASR'!A:K,8,FALSE)</f>
        <v>Purchase Order-Che</v>
      </c>
      <c r="N465" t="s">
        <v>36</v>
      </c>
      <c r="P465" s="2">
        <v>6</v>
      </c>
    </row>
    <row r="466" s="2" customFormat="1" spans="1:16">
      <c r="A466" s="8"/>
      <c r="B466" s="9" t="s">
        <v>1148</v>
      </c>
      <c r="C466" s="10" t="s">
        <v>196</v>
      </c>
      <c r="D466" s="11">
        <v>1</v>
      </c>
      <c r="E466" s="12">
        <v>57600</v>
      </c>
      <c r="F466" s="13">
        <v>57600</v>
      </c>
      <c r="G466" s="2">
        <f>VLOOKUP(B466,'PO with created By ASR'!A:C,3,FALSE)</f>
        <v>45672</v>
      </c>
      <c r="J466" s="2" t="str">
        <f>VLOOKUP(B466,'PO with created By ASR'!A:G,4,FALSE)</f>
        <v>Eco Prints-Che</v>
      </c>
      <c r="K466" s="2" t="str">
        <f>VLOOKUP(B466,'PO with created By ASR'!A:I,6,FALSE)</f>
        <v>11857 Eco Prints</v>
      </c>
      <c r="L466" s="2" t="str">
        <f>VLOOKUP(B466,'PO with created By ASR'!A:J,7,FALSE)</f>
        <v>C - Chennai</v>
      </c>
      <c r="M466" s="2" t="str">
        <f>VLOOKUP(B466,'PO with created By ASR'!A:K,8,FALSE)</f>
        <v>Purchase Order-Che</v>
      </c>
      <c r="N466" t="s">
        <v>36</v>
      </c>
      <c r="P466" s="2">
        <v>6</v>
      </c>
    </row>
    <row r="467" s="2" customFormat="1" spans="1:16">
      <c r="A467" s="8"/>
      <c r="B467" s="9" t="s">
        <v>1149</v>
      </c>
      <c r="C467" s="10" t="s">
        <v>292</v>
      </c>
      <c r="D467" s="11">
        <v>1</v>
      </c>
      <c r="E467" s="12">
        <v>4000</v>
      </c>
      <c r="F467" s="13">
        <v>4000</v>
      </c>
      <c r="G467" s="2">
        <f>VLOOKUP(B467,'PO with created By ASR'!A:C,3,FALSE)</f>
        <v>45672</v>
      </c>
      <c r="J467" s="2" t="str">
        <f>VLOOKUP(B467,'PO with created By ASR'!A:G,4,FALSE)</f>
        <v>Gala Event Solutions-Che</v>
      </c>
      <c r="K467" s="2" t="str">
        <f>VLOOKUP(B467,'PO with created By ASR'!A:I,6,FALSE)</f>
        <v>11939 Gala Event Solutions</v>
      </c>
      <c r="L467" s="2" t="str">
        <f>VLOOKUP(B467,'PO with created By ASR'!A:J,7,FALSE)</f>
        <v>C - Chennai</v>
      </c>
      <c r="M467" s="2" t="str">
        <f>VLOOKUP(B467,'PO with created By ASR'!A:K,8,FALSE)</f>
        <v>Purchase Order-Che</v>
      </c>
      <c r="N467" t="s">
        <v>36</v>
      </c>
      <c r="P467" s="2">
        <v>6</v>
      </c>
    </row>
    <row r="468" s="2" customFormat="1" spans="1:16">
      <c r="A468" s="8"/>
      <c r="B468" s="9" t="s">
        <v>1150</v>
      </c>
      <c r="C468" s="10" t="s">
        <v>134</v>
      </c>
      <c r="D468" s="11">
        <v>1</v>
      </c>
      <c r="E468" s="12">
        <v>3400</v>
      </c>
      <c r="F468" s="13">
        <v>3400</v>
      </c>
      <c r="G468" s="2">
        <f>VLOOKUP(B468,'PO with created By ASR'!A:C,3,FALSE)</f>
        <v>45672</v>
      </c>
      <c r="J468" s="2" t="str">
        <f>VLOOKUP(B468,'PO with created By ASR'!A:G,4,FALSE)</f>
        <v>Clinton J  for Expense-CR</v>
      </c>
      <c r="K468" s="2" t="e">
        <f>VLOOKUP(B468,'PO with created By ASR'!A:I,6,FALSE)</f>
        <v>#N/A</v>
      </c>
      <c r="L468" s="2" t="str">
        <f>VLOOKUP(B468,'PO with created By ASR'!A:J,7,FALSE)</f>
        <v>C - Chennai</v>
      </c>
      <c r="M468" s="2" t="str">
        <f>VLOOKUP(B468,'PO with created By ASR'!A:K,8,FALSE)</f>
        <v>Purchase Order-Che</v>
      </c>
      <c r="N468" t="s">
        <v>36</v>
      </c>
      <c r="P468" s="2">
        <v>6</v>
      </c>
    </row>
    <row r="469" s="2" customFormat="1" spans="1:16">
      <c r="A469" s="8"/>
      <c r="B469" s="9" t="s">
        <v>1150</v>
      </c>
      <c r="C469" s="10" t="s">
        <v>134</v>
      </c>
      <c r="D469" s="11">
        <v>1</v>
      </c>
      <c r="E469" s="12">
        <v>540</v>
      </c>
      <c r="F469" s="13">
        <v>540</v>
      </c>
      <c r="G469" s="2">
        <f>VLOOKUP(B469,'PO with created By ASR'!A:C,3,FALSE)</f>
        <v>45672</v>
      </c>
      <c r="J469" s="2" t="str">
        <f>VLOOKUP(B469,'PO with created By ASR'!A:G,4,FALSE)</f>
        <v>Clinton J  for Expense-CR</v>
      </c>
      <c r="K469" s="2" t="e">
        <f>VLOOKUP(B469,'PO with created By ASR'!A:I,6,FALSE)</f>
        <v>#N/A</v>
      </c>
      <c r="L469" s="2" t="str">
        <f>VLOOKUP(B469,'PO with created By ASR'!A:J,7,FALSE)</f>
        <v>C - Chennai</v>
      </c>
      <c r="M469" s="2" t="str">
        <f>VLOOKUP(B469,'PO with created By ASR'!A:K,8,FALSE)</f>
        <v>Purchase Order-Che</v>
      </c>
      <c r="N469" t="s">
        <v>36</v>
      </c>
      <c r="P469" s="2">
        <v>6</v>
      </c>
    </row>
    <row r="470" s="2" customFormat="1" spans="1:16">
      <c r="A470" s="8"/>
      <c r="B470" s="9" t="s">
        <v>1150</v>
      </c>
      <c r="C470" s="10" t="s">
        <v>50</v>
      </c>
      <c r="D470" s="11">
        <v>1</v>
      </c>
      <c r="E470" s="12">
        <v>800</v>
      </c>
      <c r="F470" s="13">
        <v>800</v>
      </c>
      <c r="G470" s="2">
        <f>VLOOKUP(B470,'PO with created By ASR'!A:C,3,FALSE)</f>
        <v>45672</v>
      </c>
      <c r="J470" s="2" t="str">
        <f>VLOOKUP(B470,'PO with created By ASR'!A:G,4,FALSE)</f>
        <v>Clinton J  for Expense-CR</v>
      </c>
      <c r="K470" s="2" t="e">
        <f>VLOOKUP(B470,'PO with created By ASR'!A:I,6,FALSE)</f>
        <v>#N/A</v>
      </c>
      <c r="L470" s="2" t="str">
        <f>VLOOKUP(B470,'PO with created By ASR'!A:J,7,FALSE)</f>
        <v>C - Chennai</v>
      </c>
      <c r="M470" s="2" t="str">
        <f>VLOOKUP(B470,'PO with created By ASR'!A:K,8,FALSE)</f>
        <v>Purchase Order-Che</v>
      </c>
      <c r="N470" t="s">
        <v>36</v>
      </c>
      <c r="P470" s="2">
        <v>6</v>
      </c>
    </row>
    <row r="471" s="2" customFormat="1" spans="1:16">
      <c r="A471" s="8"/>
      <c r="B471" s="9" t="s">
        <v>1150</v>
      </c>
      <c r="C471" s="10" t="s">
        <v>107</v>
      </c>
      <c r="D471" s="11">
        <v>1</v>
      </c>
      <c r="E471" s="12">
        <v>2777</v>
      </c>
      <c r="F471" s="13">
        <v>2777</v>
      </c>
      <c r="G471" s="2">
        <f>VLOOKUP(B471,'PO with created By ASR'!A:C,3,FALSE)</f>
        <v>45672</v>
      </c>
      <c r="J471" s="2" t="str">
        <f>VLOOKUP(B471,'PO with created By ASR'!A:G,4,FALSE)</f>
        <v>Clinton J  for Expense-CR</v>
      </c>
      <c r="K471" s="2" t="e">
        <f>VLOOKUP(B471,'PO with created By ASR'!A:I,6,FALSE)</f>
        <v>#N/A</v>
      </c>
      <c r="L471" s="2" t="str">
        <f>VLOOKUP(B471,'PO with created By ASR'!A:J,7,FALSE)</f>
        <v>C - Chennai</v>
      </c>
      <c r="M471" s="2" t="str">
        <f>VLOOKUP(B471,'PO with created By ASR'!A:K,8,FALSE)</f>
        <v>Purchase Order-Che</v>
      </c>
      <c r="N471" t="s">
        <v>36</v>
      </c>
      <c r="P471" s="2">
        <v>6</v>
      </c>
    </row>
    <row r="472" s="2" customFormat="1" spans="1:16">
      <c r="A472" s="8"/>
      <c r="B472" s="9" t="s">
        <v>1151</v>
      </c>
      <c r="C472" s="10" t="s">
        <v>140</v>
      </c>
      <c r="D472" s="11">
        <v>1</v>
      </c>
      <c r="E472" s="12">
        <v>210200</v>
      </c>
      <c r="F472" s="13">
        <v>210200</v>
      </c>
      <c r="G472" s="2">
        <f>VLOOKUP(B472,'PO with created By ASR'!A:C,3,FALSE)</f>
        <v>45672</v>
      </c>
      <c r="J472" s="2" t="str">
        <f>VLOOKUP(B472,'PO with created By ASR'!A:G,4,FALSE)</f>
        <v>Creo Solutions-Del</v>
      </c>
      <c r="K472" s="2" t="str">
        <f>VLOOKUP(B472,'PO with created By ASR'!A:I,6,FALSE)</f>
        <v>11805 Creo Solutions</v>
      </c>
      <c r="L472" s="2" t="str">
        <f>VLOOKUP(B472,'PO with created By ASR'!A:J,7,FALSE)</f>
        <v>D - Delhi</v>
      </c>
      <c r="M472" s="2" t="str">
        <f>VLOOKUP(B472,'PO with created By ASR'!A:K,8,FALSE)</f>
        <v>Purchase Order-Del</v>
      </c>
      <c r="N472" t="s">
        <v>36</v>
      </c>
      <c r="P472" s="2">
        <v>6</v>
      </c>
    </row>
    <row r="473" s="2" customFormat="1" spans="1:16">
      <c r="A473" s="8"/>
      <c r="B473" s="9" t="s">
        <v>1154</v>
      </c>
      <c r="C473" s="10" t="s">
        <v>126</v>
      </c>
      <c r="D473" s="11">
        <v>1</v>
      </c>
      <c r="E473" s="12">
        <v>5262</v>
      </c>
      <c r="F473" s="13">
        <v>5262</v>
      </c>
      <c r="G473" s="2">
        <f>VLOOKUP(B473,'PO with created By ASR'!A:C,3,FALSE)</f>
        <v>45672</v>
      </c>
      <c r="J473" s="2" t="str">
        <f>VLOOKUP(B473,'PO with created By ASR'!A:G,4,FALSE)</f>
        <v>Ravi Kiroula -CR</v>
      </c>
      <c r="K473" s="2" t="e">
        <f>VLOOKUP(B473,'PO with created By ASR'!A:I,6,FALSE)</f>
        <v>#N/A</v>
      </c>
      <c r="L473" s="2" t="str">
        <f>VLOOKUP(B473,'PO with created By ASR'!A:J,7,FALSE)</f>
        <v>D - Delhi</v>
      </c>
      <c r="M473" s="2" t="str">
        <f>VLOOKUP(B473,'PO with created By ASR'!A:K,8,FALSE)</f>
        <v>Purchase Order-Del</v>
      </c>
      <c r="N473" t="s">
        <v>36</v>
      </c>
      <c r="P473" s="2">
        <v>6</v>
      </c>
    </row>
    <row r="474" s="2" customFormat="1" spans="1:16">
      <c r="A474" s="8"/>
      <c r="B474" s="9" t="s">
        <v>1154</v>
      </c>
      <c r="C474" s="10" t="s">
        <v>412</v>
      </c>
      <c r="D474" s="11">
        <v>1</v>
      </c>
      <c r="E474" s="12">
        <v>2663.27</v>
      </c>
      <c r="F474" s="13">
        <v>2663.27</v>
      </c>
      <c r="G474" s="2">
        <f>VLOOKUP(B474,'PO with created By ASR'!A:C,3,FALSE)</f>
        <v>45672</v>
      </c>
      <c r="J474" s="2" t="str">
        <f>VLOOKUP(B474,'PO with created By ASR'!A:G,4,FALSE)</f>
        <v>Ravi Kiroula -CR</v>
      </c>
      <c r="K474" s="2" t="e">
        <f>VLOOKUP(B474,'PO with created By ASR'!A:I,6,FALSE)</f>
        <v>#N/A</v>
      </c>
      <c r="L474" s="2" t="str">
        <f>VLOOKUP(B474,'PO with created By ASR'!A:J,7,FALSE)</f>
        <v>D - Delhi</v>
      </c>
      <c r="M474" s="2" t="str">
        <f>VLOOKUP(B474,'PO with created By ASR'!A:K,8,FALSE)</f>
        <v>Purchase Order-Del</v>
      </c>
      <c r="N474" t="s">
        <v>36</v>
      </c>
      <c r="P474" s="2">
        <v>6</v>
      </c>
    </row>
    <row r="475" s="2" customFormat="1" spans="1:16">
      <c r="A475" s="8"/>
      <c r="B475" s="9" t="s">
        <v>1154</v>
      </c>
      <c r="C475" s="10" t="s">
        <v>233</v>
      </c>
      <c r="D475" s="11">
        <v>1</v>
      </c>
      <c r="E475" s="12">
        <v>3538</v>
      </c>
      <c r="F475" s="13">
        <v>3538</v>
      </c>
      <c r="G475" s="2">
        <f>VLOOKUP(B475,'PO with created By ASR'!A:C,3,FALSE)</f>
        <v>45672</v>
      </c>
      <c r="J475" s="2" t="str">
        <f>VLOOKUP(B475,'PO with created By ASR'!A:G,4,FALSE)</f>
        <v>Ravi Kiroula -CR</v>
      </c>
      <c r="K475" s="2" t="e">
        <f>VLOOKUP(B475,'PO with created By ASR'!A:I,6,FALSE)</f>
        <v>#N/A</v>
      </c>
      <c r="L475" s="2" t="str">
        <f>VLOOKUP(B475,'PO with created By ASR'!A:J,7,FALSE)</f>
        <v>D - Delhi</v>
      </c>
      <c r="M475" s="2" t="str">
        <f>VLOOKUP(B475,'PO with created By ASR'!A:K,8,FALSE)</f>
        <v>Purchase Order-Del</v>
      </c>
      <c r="N475" t="s">
        <v>36</v>
      </c>
      <c r="P475" s="2">
        <v>6</v>
      </c>
    </row>
    <row r="476" s="2" customFormat="1" spans="1:16">
      <c r="A476" s="8"/>
      <c r="B476" s="9" t="s">
        <v>1156</v>
      </c>
      <c r="C476" s="10" t="s">
        <v>140</v>
      </c>
      <c r="D476" s="11">
        <v>1</v>
      </c>
      <c r="E476" s="12">
        <v>159800</v>
      </c>
      <c r="F476" s="13">
        <v>159800</v>
      </c>
      <c r="G476" s="2">
        <f>VLOOKUP(B476,'PO with created By ASR'!A:C,3,FALSE)</f>
        <v>45672</v>
      </c>
      <c r="J476" s="2" t="str">
        <f>VLOOKUP(B476,'PO with created By ASR'!A:G,4,FALSE)</f>
        <v>Garv Aggarwal  -CR</v>
      </c>
      <c r="K476" s="2" t="e">
        <f>VLOOKUP(B476,'PO with created By ASR'!A:I,6,FALSE)</f>
        <v>#N/A</v>
      </c>
      <c r="L476" s="2" t="str">
        <f>VLOOKUP(B476,'PO with created By ASR'!A:J,7,FALSE)</f>
        <v>D - Delhi</v>
      </c>
      <c r="M476" s="2" t="str">
        <f>VLOOKUP(B476,'PO with created By ASR'!A:K,8,FALSE)</f>
        <v>Purchase Order-Del</v>
      </c>
      <c r="N476" t="s">
        <v>36</v>
      </c>
      <c r="P476" s="2">
        <v>6</v>
      </c>
    </row>
    <row r="477" s="2" customFormat="1" spans="1:16">
      <c r="A477" s="8"/>
      <c r="B477" s="9" t="s">
        <v>1157</v>
      </c>
      <c r="C477" s="10" t="s">
        <v>126</v>
      </c>
      <c r="D477" s="11">
        <v>1</v>
      </c>
      <c r="E477" s="12">
        <v>5659.52</v>
      </c>
      <c r="F477" s="13">
        <v>5659.52</v>
      </c>
      <c r="G477" s="2">
        <f>VLOOKUP(B477,'PO with created By ASR'!A:C,3,FALSE)</f>
        <v>45672</v>
      </c>
      <c r="J477" s="2" t="str">
        <f>VLOOKUP(B477,'PO with created By ASR'!A:G,4,FALSE)</f>
        <v>Garv Aggarwal  -CR</v>
      </c>
      <c r="K477" s="2" t="e">
        <f>VLOOKUP(B477,'PO with created By ASR'!A:I,6,FALSE)</f>
        <v>#N/A</v>
      </c>
      <c r="L477" s="2" t="str">
        <f>VLOOKUP(B477,'PO with created By ASR'!A:J,7,FALSE)</f>
        <v>D - Delhi</v>
      </c>
      <c r="M477" s="2" t="str">
        <f>VLOOKUP(B477,'PO with created By ASR'!A:K,8,FALSE)</f>
        <v>Purchase Order-Del</v>
      </c>
      <c r="N477" t="s">
        <v>36</v>
      </c>
      <c r="P477" s="2">
        <v>6</v>
      </c>
    </row>
    <row r="478" s="2" customFormat="1" spans="1:16">
      <c r="A478" s="8"/>
      <c r="B478" s="9" t="s">
        <v>1157</v>
      </c>
      <c r="C478" s="10" t="s">
        <v>412</v>
      </c>
      <c r="D478" s="11">
        <v>1</v>
      </c>
      <c r="E478" s="12">
        <v>3459</v>
      </c>
      <c r="F478" s="13">
        <v>3459</v>
      </c>
      <c r="G478" s="2">
        <f>VLOOKUP(B478,'PO with created By ASR'!A:C,3,FALSE)</f>
        <v>45672</v>
      </c>
      <c r="J478" s="2" t="str">
        <f>VLOOKUP(B478,'PO with created By ASR'!A:G,4,FALSE)</f>
        <v>Garv Aggarwal  -CR</v>
      </c>
      <c r="K478" s="2" t="e">
        <f>VLOOKUP(B478,'PO with created By ASR'!A:I,6,FALSE)</f>
        <v>#N/A</v>
      </c>
      <c r="L478" s="2" t="str">
        <f>VLOOKUP(B478,'PO with created By ASR'!A:J,7,FALSE)</f>
        <v>D - Delhi</v>
      </c>
      <c r="M478" s="2" t="str">
        <f>VLOOKUP(B478,'PO with created By ASR'!A:K,8,FALSE)</f>
        <v>Purchase Order-Del</v>
      </c>
      <c r="N478" t="s">
        <v>36</v>
      </c>
      <c r="P478" s="2">
        <v>6</v>
      </c>
    </row>
    <row r="479" s="2" customFormat="1" spans="1:16">
      <c r="A479" s="8"/>
      <c r="B479" s="9" t="s">
        <v>1157</v>
      </c>
      <c r="C479" s="10" t="s">
        <v>311</v>
      </c>
      <c r="D479" s="11">
        <v>1</v>
      </c>
      <c r="E479" s="12">
        <v>5310</v>
      </c>
      <c r="F479" s="13">
        <v>5310</v>
      </c>
      <c r="G479" s="2">
        <f>VLOOKUP(B479,'PO with created By ASR'!A:C,3,FALSE)</f>
        <v>45672</v>
      </c>
      <c r="J479" s="2" t="str">
        <f>VLOOKUP(B479,'PO with created By ASR'!A:G,4,FALSE)</f>
        <v>Garv Aggarwal  -CR</v>
      </c>
      <c r="K479" s="2" t="e">
        <f>VLOOKUP(B479,'PO with created By ASR'!A:I,6,FALSE)</f>
        <v>#N/A</v>
      </c>
      <c r="L479" s="2" t="str">
        <f>VLOOKUP(B479,'PO with created By ASR'!A:J,7,FALSE)</f>
        <v>D - Delhi</v>
      </c>
      <c r="M479" s="2" t="str">
        <f>VLOOKUP(B479,'PO with created By ASR'!A:K,8,FALSE)</f>
        <v>Purchase Order-Del</v>
      </c>
      <c r="N479" t="s">
        <v>36</v>
      </c>
      <c r="P479" s="2">
        <v>6</v>
      </c>
    </row>
    <row r="480" s="2" customFormat="1" spans="1:16">
      <c r="A480" s="8"/>
      <c r="B480" s="9" t="s">
        <v>1158</v>
      </c>
      <c r="C480" s="10" t="s">
        <v>126</v>
      </c>
      <c r="D480" s="11">
        <v>1</v>
      </c>
      <c r="E480" s="12">
        <v>1766.8</v>
      </c>
      <c r="F480" s="13">
        <v>1766.8</v>
      </c>
      <c r="G480" s="2">
        <f>VLOOKUP(B480,'PO with created By ASR'!A:C,3,FALSE)</f>
        <v>45672</v>
      </c>
      <c r="J480" s="2" t="str">
        <f>VLOOKUP(B480,'PO with created By ASR'!A:G,4,FALSE)</f>
        <v>Garv Aggarwal  -CR</v>
      </c>
      <c r="K480" s="2" t="e">
        <f>VLOOKUP(B480,'PO with created By ASR'!A:I,6,FALSE)</f>
        <v>#N/A</v>
      </c>
      <c r="L480" s="2" t="str">
        <f>VLOOKUP(B480,'PO with created By ASR'!A:J,7,FALSE)</f>
        <v>D - Delhi</v>
      </c>
      <c r="M480" s="2" t="str">
        <f>VLOOKUP(B480,'PO with created By ASR'!A:K,8,FALSE)</f>
        <v>Purchase Order-Del</v>
      </c>
      <c r="N480" t="s">
        <v>36</v>
      </c>
      <c r="P480" s="2">
        <v>6</v>
      </c>
    </row>
    <row r="481" s="2" customFormat="1" spans="1:16">
      <c r="A481" s="8"/>
      <c r="B481" s="9" t="s">
        <v>1158</v>
      </c>
      <c r="C481" s="10" t="s">
        <v>233</v>
      </c>
      <c r="D481" s="11">
        <v>1</v>
      </c>
      <c r="E481" s="12">
        <v>12209</v>
      </c>
      <c r="F481" s="13">
        <v>12209</v>
      </c>
      <c r="G481" s="2">
        <f>VLOOKUP(B481,'PO with created By ASR'!A:C,3,FALSE)</f>
        <v>45672</v>
      </c>
      <c r="J481" s="2" t="str">
        <f>VLOOKUP(B481,'PO with created By ASR'!A:G,4,FALSE)</f>
        <v>Garv Aggarwal  -CR</v>
      </c>
      <c r="K481" s="2" t="e">
        <f>VLOOKUP(B481,'PO with created By ASR'!A:I,6,FALSE)</f>
        <v>#N/A</v>
      </c>
      <c r="L481" s="2" t="str">
        <f>VLOOKUP(B481,'PO with created By ASR'!A:J,7,FALSE)</f>
        <v>D - Delhi</v>
      </c>
      <c r="M481" s="2" t="str">
        <f>VLOOKUP(B481,'PO with created By ASR'!A:K,8,FALSE)</f>
        <v>Purchase Order-Del</v>
      </c>
      <c r="N481" t="s">
        <v>36</v>
      </c>
      <c r="P481" s="2">
        <v>6</v>
      </c>
    </row>
    <row r="482" s="2" customFormat="1" spans="1:16">
      <c r="A482" s="8"/>
      <c r="B482" s="9" t="s">
        <v>1159</v>
      </c>
      <c r="C482" s="10" t="s">
        <v>126</v>
      </c>
      <c r="D482" s="11">
        <v>1</v>
      </c>
      <c r="E482" s="12">
        <v>1769</v>
      </c>
      <c r="F482" s="13">
        <v>1769</v>
      </c>
      <c r="G482" s="2">
        <f>VLOOKUP(B482,'PO with created By ASR'!A:C,3,FALSE)</f>
        <v>45672</v>
      </c>
      <c r="J482" s="2" t="str">
        <f>VLOOKUP(B482,'PO with created By ASR'!A:G,4,FALSE)</f>
        <v>Anurag Jadli  -CR</v>
      </c>
      <c r="K482" s="2" t="e">
        <f>VLOOKUP(B482,'PO with created By ASR'!A:I,6,FALSE)</f>
        <v>#N/A</v>
      </c>
      <c r="L482" s="2" t="str">
        <f>VLOOKUP(B482,'PO with created By ASR'!A:J,7,FALSE)</f>
        <v>D - Delhi</v>
      </c>
      <c r="M482" s="2" t="str">
        <f>VLOOKUP(B482,'PO with created By ASR'!A:K,8,FALSE)</f>
        <v>Purchase Order-Del</v>
      </c>
      <c r="N482" t="s">
        <v>36</v>
      </c>
      <c r="P482" s="2">
        <v>6</v>
      </c>
    </row>
    <row r="483" s="2" customFormat="1" spans="1:16">
      <c r="A483" s="8"/>
      <c r="B483" s="9" t="s">
        <v>1159</v>
      </c>
      <c r="C483" s="10" t="s">
        <v>412</v>
      </c>
      <c r="D483" s="11">
        <v>1</v>
      </c>
      <c r="E483" s="12">
        <v>7529</v>
      </c>
      <c r="F483" s="13">
        <v>7529</v>
      </c>
      <c r="G483" s="2">
        <f>VLOOKUP(B483,'PO with created By ASR'!A:C,3,FALSE)</f>
        <v>45672</v>
      </c>
      <c r="J483" s="2" t="str">
        <f>VLOOKUP(B483,'PO with created By ASR'!A:G,4,FALSE)</f>
        <v>Anurag Jadli  -CR</v>
      </c>
      <c r="K483" s="2" t="e">
        <f>VLOOKUP(B483,'PO with created By ASR'!A:I,6,FALSE)</f>
        <v>#N/A</v>
      </c>
      <c r="L483" s="2" t="str">
        <f>VLOOKUP(B483,'PO with created By ASR'!A:J,7,FALSE)</f>
        <v>D - Delhi</v>
      </c>
      <c r="M483" s="2" t="str">
        <f>VLOOKUP(B483,'PO with created By ASR'!A:K,8,FALSE)</f>
        <v>Purchase Order-Del</v>
      </c>
      <c r="N483" t="s">
        <v>36</v>
      </c>
      <c r="P483" s="2">
        <v>6</v>
      </c>
    </row>
    <row r="484" s="2" customFormat="1" spans="1:16">
      <c r="A484" s="8"/>
      <c r="B484" s="9" t="s">
        <v>1159</v>
      </c>
      <c r="C484" s="10" t="s">
        <v>61</v>
      </c>
      <c r="D484" s="11">
        <v>1</v>
      </c>
      <c r="E484" s="12">
        <v>1626</v>
      </c>
      <c r="F484" s="13">
        <v>1626</v>
      </c>
      <c r="G484" s="2">
        <f>VLOOKUP(B484,'PO with created By ASR'!A:C,3,FALSE)</f>
        <v>45672</v>
      </c>
      <c r="J484" s="2" t="str">
        <f>VLOOKUP(B484,'PO with created By ASR'!A:G,4,FALSE)</f>
        <v>Anurag Jadli  -CR</v>
      </c>
      <c r="K484" s="2" t="e">
        <f>VLOOKUP(B484,'PO with created By ASR'!A:I,6,FALSE)</f>
        <v>#N/A</v>
      </c>
      <c r="L484" s="2" t="str">
        <f>VLOOKUP(B484,'PO with created By ASR'!A:J,7,FALSE)</f>
        <v>D - Delhi</v>
      </c>
      <c r="M484" s="2" t="str">
        <f>VLOOKUP(B484,'PO with created By ASR'!A:K,8,FALSE)</f>
        <v>Purchase Order-Del</v>
      </c>
      <c r="N484" t="s">
        <v>36</v>
      </c>
      <c r="P484" s="2">
        <v>6</v>
      </c>
    </row>
    <row r="485" s="2" customFormat="1" spans="1:16">
      <c r="A485" s="8"/>
      <c r="B485" s="9" t="s">
        <v>1159</v>
      </c>
      <c r="C485" s="10" t="s">
        <v>3829</v>
      </c>
      <c r="D485" s="11">
        <v>1</v>
      </c>
      <c r="E485" s="12">
        <v>220</v>
      </c>
      <c r="F485" s="13">
        <v>220</v>
      </c>
      <c r="G485" s="2">
        <f>VLOOKUP(B485,'PO with created By ASR'!A:C,3,FALSE)</f>
        <v>45672</v>
      </c>
      <c r="J485" s="2" t="str">
        <f>VLOOKUP(B485,'PO with created By ASR'!A:G,4,FALSE)</f>
        <v>Anurag Jadli  -CR</v>
      </c>
      <c r="K485" s="2" t="e">
        <f>VLOOKUP(B485,'PO with created By ASR'!A:I,6,FALSE)</f>
        <v>#N/A</v>
      </c>
      <c r="L485" s="2" t="str">
        <f>VLOOKUP(B485,'PO with created By ASR'!A:J,7,FALSE)</f>
        <v>D - Delhi</v>
      </c>
      <c r="M485" s="2" t="str">
        <f>VLOOKUP(B485,'PO with created By ASR'!A:K,8,FALSE)</f>
        <v>Purchase Order-Del</v>
      </c>
      <c r="N485" t="s">
        <v>36</v>
      </c>
      <c r="P485" s="2">
        <v>6</v>
      </c>
    </row>
    <row r="486" s="2" customFormat="1" spans="1:16">
      <c r="A486" s="8"/>
      <c r="B486" s="9" t="s">
        <v>1161</v>
      </c>
      <c r="C486" s="10" t="s">
        <v>1162</v>
      </c>
      <c r="D486" s="11">
        <v>1</v>
      </c>
      <c r="E486" s="12">
        <v>22000</v>
      </c>
      <c r="F486" s="13">
        <v>22000</v>
      </c>
      <c r="G486" s="2">
        <f>VLOOKUP(B486,'PO with created By ASR'!A:C,3,FALSE)</f>
        <v>45672</v>
      </c>
      <c r="J486" s="2" t="str">
        <f>VLOOKUP(B486,'PO with created By ASR'!A:G,4,FALSE)</f>
        <v>Pankaj Kumar Mishra  -CR</v>
      </c>
      <c r="K486" s="2" t="e">
        <f>VLOOKUP(B486,'PO with created By ASR'!A:I,6,FALSE)</f>
        <v>#N/A</v>
      </c>
      <c r="L486" s="2" t="str">
        <f>VLOOKUP(B486,'PO with created By ASR'!A:J,7,FALSE)</f>
        <v>D - Delhi</v>
      </c>
      <c r="M486" s="2" t="str">
        <f>VLOOKUP(B486,'PO with created By ASR'!A:K,8,FALSE)</f>
        <v>Purchase Order-Del</v>
      </c>
      <c r="N486" t="s">
        <v>36</v>
      </c>
      <c r="P486" s="2">
        <v>6</v>
      </c>
    </row>
    <row r="487" s="2" customFormat="1" spans="1:16">
      <c r="A487" s="8"/>
      <c r="B487" s="9" t="s">
        <v>1164</v>
      </c>
      <c r="C487" s="10" t="s">
        <v>683</v>
      </c>
      <c r="D487" s="11">
        <v>1</v>
      </c>
      <c r="E487" s="12">
        <v>120000</v>
      </c>
      <c r="F487" s="13">
        <v>120000</v>
      </c>
      <c r="G487" s="2">
        <f>VLOOKUP(B487,'PO with created By ASR'!A:C,3,FALSE)</f>
        <v>45672</v>
      </c>
      <c r="J487" s="2" t="str">
        <f>VLOOKUP(B487,'PO with created By ASR'!A:G,4,FALSE)</f>
        <v>Ravi (EOFPR1927Q)-Del</v>
      </c>
      <c r="K487" s="2" t="str">
        <f>VLOOKUP(B487,'PO with created By ASR'!A:I,6,FALSE)</f>
        <v>12715 Ravi (EOFPR1927Q)</v>
      </c>
      <c r="L487" s="2" t="str">
        <f>VLOOKUP(B487,'PO with created By ASR'!A:J,7,FALSE)</f>
        <v>D - Delhi</v>
      </c>
      <c r="M487" s="2" t="str">
        <f>VLOOKUP(B487,'PO with created By ASR'!A:K,8,FALSE)</f>
        <v>Purchase Order-Del</v>
      </c>
      <c r="N487" t="s">
        <v>36</v>
      </c>
      <c r="P487" s="2">
        <v>6</v>
      </c>
    </row>
    <row r="488" s="2" customFormat="1" spans="1:16">
      <c r="A488" s="8"/>
      <c r="B488" s="9" t="s">
        <v>1167</v>
      </c>
      <c r="C488" s="10" t="s">
        <v>140</v>
      </c>
      <c r="D488" s="11">
        <v>1</v>
      </c>
      <c r="E488" s="12">
        <v>152800</v>
      </c>
      <c r="F488" s="13">
        <v>152800</v>
      </c>
      <c r="G488" s="2">
        <f>VLOOKUP(B488,'PO with created By ASR'!A:C,3,FALSE)</f>
        <v>45672</v>
      </c>
      <c r="J488" s="2" t="str">
        <f>VLOOKUP(B488,'PO with created By ASR'!A:G,4,FALSE)</f>
        <v>Studio Merchandise Pvt Ltd-Del</v>
      </c>
      <c r="K488" s="2" t="str">
        <f>VLOOKUP(B488,'PO with created By ASR'!A:I,6,FALSE)</f>
        <v>12464  Studio Merchandise Pvt Ltd</v>
      </c>
      <c r="L488" s="2" t="str">
        <f>VLOOKUP(B488,'PO with created By ASR'!A:J,7,FALSE)</f>
        <v>D - Delhi</v>
      </c>
      <c r="M488" s="2" t="str">
        <f>VLOOKUP(B488,'PO with created By ASR'!A:K,8,FALSE)</f>
        <v>Purchase Order-Del</v>
      </c>
      <c r="N488" t="s">
        <v>36</v>
      </c>
      <c r="P488" s="2">
        <v>6</v>
      </c>
    </row>
    <row r="489" s="2" customFormat="1" spans="1:16">
      <c r="A489" s="8"/>
      <c r="B489" s="9" t="s">
        <v>1171</v>
      </c>
      <c r="C489" s="10" t="s">
        <v>140</v>
      </c>
      <c r="D489" s="11">
        <v>1</v>
      </c>
      <c r="E489" s="12">
        <v>20000</v>
      </c>
      <c r="F489" s="13">
        <v>20000</v>
      </c>
      <c r="G489" s="2">
        <f>VLOOKUP(B489,'PO with created By ASR'!A:C,3,FALSE)</f>
        <v>45672</v>
      </c>
      <c r="J489" s="2" t="str">
        <f>VLOOKUP(B489,'PO with created By ASR'!A:G,4,FALSE)</f>
        <v>Studio Merchandise Pvt Ltd-Del</v>
      </c>
      <c r="K489" s="2" t="str">
        <f>VLOOKUP(B489,'PO with created By ASR'!A:I,6,FALSE)</f>
        <v>12464  Studio Merchandise Pvt Ltd</v>
      </c>
      <c r="L489" s="2" t="str">
        <f>VLOOKUP(B489,'PO with created By ASR'!A:J,7,FALSE)</f>
        <v>D - Delhi</v>
      </c>
      <c r="M489" s="2" t="str">
        <f>VLOOKUP(B489,'PO with created By ASR'!A:K,8,FALSE)</f>
        <v>Purchase Order-Del</v>
      </c>
      <c r="N489" t="s">
        <v>36</v>
      </c>
      <c r="P489" s="2">
        <v>6</v>
      </c>
    </row>
    <row r="490" s="2" customFormat="1" spans="1:16">
      <c r="A490" s="8"/>
      <c r="B490" s="9" t="s">
        <v>1173</v>
      </c>
      <c r="C490" s="10" t="s">
        <v>1176</v>
      </c>
      <c r="D490" s="11">
        <v>1</v>
      </c>
      <c r="E490" s="12">
        <v>10470</v>
      </c>
      <c r="F490" s="13">
        <v>10470</v>
      </c>
      <c r="G490" s="2">
        <f>VLOOKUP(B490,'PO with created By ASR'!A:C,3,FALSE)</f>
        <v>45672</v>
      </c>
      <c r="J490" s="2" t="str">
        <f>VLOOKUP(B490,'PO with created By ASR'!A:G,4,FALSE)</f>
        <v>Perfect M &amp; C Services-Del</v>
      </c>
      <c r="K490" s="2" t="str">
        <f>VLOOKUP(B490,'PO with created By ASR'!A:I,6,FALSE)</f>
        <v>12247 Perfect M &amp; C Services</v>
      </c>
      <c r="L490" s="2" t="str">
        <f>VLOOKUP(B490,'PO with created By ASR'!A:J,7,FALSE)</f>
        <v>D - Delhi</v>
      </c>
      <c r="M490" s="2" t="str">
        <f>VLOOKUP(B490,'PO with created By ASR'!A:K,8,FALSE)</f>
        <v>Purchase Order-Del</v>
      </c>
      <c r="N490" t="s">
        <v>36</v>
      </c>
      <c r="P490" s="2">
        <v>6</v>
      </c>
    </row>
    <row r="491" s="2" customFormat="1" spans="1:16">
      <c r="A491" s="8"/>
      <c r="B491" s="9" t="s">
        <v>1178</v>
      </c>
      <c r="C491" s="10" t="s">
        <v>317</v>
      </c>
      <c r="D491" s="11">
        <v>1</v>
      </c>
      <c r="E491" s="12">
        <v>258100</v>
      </c>
      <c r="F491" s="13">
        <v>258100</v>
      </c>
      <c r="G491" s="2">
        <f>VLOOKUP(B491,'PO with created By ASR'!A:C,3,FALSE)</f>
        <v>45672</v>
      </c>
      <c r="J491" s="2" t="str">
        <f>VLOOKUP(B491,'PO with created By ASR'!A:G,4,FALSE)</f>
        <v>Eventom-Del</v>
      </c>
      <c r="K491" s="2" t="e">
        <f>VLOOKUP(B491,'PO with created By ASR'!A:I,6,FALSE)</f>
        <v>#N/A</v>
      </c>
      <c r="L491" s="2" t="str">
        <f>VLOOKUP(B491,'PO with created By ASR'!A:J,7,FALSE)</f>
        <v>D - Delhi</v>
      </c>
      <c r="M491" s="2" t="str">
        <f>VLOOKUP(B491,'PO with created By ASR'!A:K,8,FALSE)</f>
        <v>Purchase Order-Del</v>
      </c>
      <c r="N491" t="s">
        <v>36</v>
      </c>
      <c r="P491" s="2">
        <v>6</v>
      </c>
    </row>
    <row r="492" s="2" customFormat="1" spans="1:16">
      <c r="A492" s="8"/>
      <c r="B492" s="9" t="s">
        <v>1183</v>
      </c>
      <c r="C492" s="10" t="s">
        <v>317</v>
      </c>
      <c r="D492" s="11">
        <v>1</v>
      </c>
      <c r="E492" s="12">
        <v>85500</v>
      </c>
      <c r="F492" s="13">
        <v>85500</v>
      </c>
      <c r="G492" s="2">
        <f>VLOOKUP(B492,'PO with created By ASR'!A:C,3,FALSE)</f>
        <v>45672</v>
      </c>
      <c r="J492" s="2" t="str">
        <f>VLOOKUP(B492,'PO with created By ASR'!A:G,4,FALSE)</f>
        <v>JRS Creations &amp; Event Solutions (OPC) Pvt Ltd-Del</v>
      </c>
      <c r="K492" s="2" t="str">
        <f>VLOOKUP(B492,'PO with created By ASR'!A:I,6,FALSE)</f>
        <v>12061  JRS Creations &amp; Event Solutions (OPC) Pvt Ltd</v>
      </c>
      <c r="L492" s="2" t="str">
        <f>VLOOKUP(B492,'PO with created By ASR'!A:J,7,FALSE)</f>
        <v>D - Delhi</v>
      </c>
      <c r="M492" s="2" t="str">
        <f>VLOOKUP(B492,'PO with created By ASR'!A:K,8,FALSE)</f>
        <v>Purchase Order-Del</v>
      </c>
      <c r="N492" t="s">
        <v>36</v>
      </c>
      <c r="P492" s="2">
        <v>6</v>
      </c>
    </row>
    <row r="493" s="2" customFormat="1" spans="1:16">
      <c r="A493" s="8"/>
      <c r="B493" s="9" t="s">
        <v>1188</v>
      </c>
      <c r="C493" s="10" t="s">
        <v>276</v>
      </c>
      <c r="D493" s="11">
        <v>1</v>
      </c>
      <c r="E493" s="12">
        <v>491750</v>
      </c>
      <c r="F493" s="13">
        <v>491750</v>
      </c>
      <c r="G493" s="2">
        <f>VLOOKUP(B493,'PO with created By ASR'!A:C,3,FALSE)</f>
        <v>45672</v>
      </c>
      <c r="J493" s="2" t="str">
        <f>VLOOKUP(B493,'PO with created By ASR'!A:G,4,FALSE)</f>
        <v>Chandan Kumar-Del</v>
      </c>
      <c r="K493" s="2" t="str">
        <f>VLOOKUP(B493,'PO with created By ASR'!A:I,6,FALSE)</f>
        <v>11186 Chandan Kumar</v>
      </c>
      <c r="L493" s="2" t="str">
        <f>VLOOKUP(B493,'PO with created By ASR'!A:J,7,FALSE)</f>
        <v>D - Delhi</v>
      </c>
      <c r="M493" s="2" t="str">
        <f>VLOOKUP(B493,'PO with created By ASR'!A:K,8,FALSE)</f>
        <v>Purchase Order-Del</v>
      </c>
      <c r="N493" t="s">
        <v>36</v>
      </c>
      <c r="P493" s="2">
        <v>6</v>
      </c>
    </row>
    <row r="494" s="2" customFormat="1" spans="1:16">
      <c r="A494" s="8"/>
      <c r="B494" s="9" t="s">
        <v>1191</v>
      </c>
      <c r="C494" s="10" t="s">
        <v>107</v>
      </c>
      <c r="D494" s="11">
        <v>1</v>
      </c>
      <c r="E494" s="12">
        <v>37200</v>
      </c>
      <c r="F494" s="13">
        <v>37200</v>
      </c>
      <c r="G494" s="2">
        <f>VLOOKUP(B494,'PO with created By ASR'!A:C,3,FALSE)</f>
        <v>45672</v>
      </c>
      <c r="J494" s="2" t="str">
        <f>VLOOKUP(B494,'PO with created By ASR'!A:G,4,FALSE)</f>
        <v>Phd Print Solution-Del</v>
      </c>
      <c r="K494" s="2" t="str">
        <f>VLOOKUP(B494,'PO with created By ASR'!A:I,6,FALSE)</f>
        <v>12253 PHD Print Solution</v>
      </c>
      <c r="L494" s="2" t="str">
        <f>VLOOKUP(B494,'PO with created By ASR'!A:J,7,FALSE)</f>
        <v>D - Delhi</v>
      </c>
      <c r="M494" s="2" t="str">
        <f>VLOOKUP(B494,'PO with created By ASR'!A:K,8,FALSE)</f>
        <v>Purchase Order-Del</v>
      </c>
      <c r="N494" t="s">
        <v>36</v>
      </c>
      <c r="P494" s="2">
        <v>6</v>
      </c>
    </row>
    <row r="495" s="2" customFormat="1" spans="1:16">
      <c r="A495" s="8"/>
      <c r="B495" s="9" t="s">
        <v>1195</v>
      </c>
      <c r="C495" s="10" t="s">
        <v>126</v>
      </c>
      <c r="D495" s="11">
        <v>1</v>
      </c>
      <c r="E495" s="12">
        <v>698</v>
      </c>
      <c r="F495" s="13">
        <v>698</v>
      </c>
      <c r="G495" s="2">
        <f>VLOOKUP(B495,'PO with created By ASR'!A:C,3,FALSE)</f>
        <v>45672</v>
      </c>
      <c r="J495" s="2" t="str">
        <f>VLOOKUP(B495,'PO with created By ASR'!A:G,4,FALSE)</f>
        <v>Sachin Jadhav -CR</v>
      </c>
      <c r="K495" s="2" t="e">
        <f>VLOOKUP(B495,'PO with created By ASR'!A:I,6,FALSE)</f>
        <v>#N/A</v>
      </c>
      <c r="L495" s="2" t="str">
        <f>VLOOKUP(B495,'PO with created By ASR'!A:J,7,FALSE)</f>
        <v>A - Mumbai</v>
      </c>
      <c r="M495" s="2" t="str">
        <f>VLOOKUP(B495,'PO with created By ASR'!A:K,8,FALSE)</f>
        <v>Purchase Order-Mum</v>
      </c>
      <c r="N495" t="s">
        <v>36</v>
      </c>
      <c r="P495" s="2">
        <v>6</v>
      </c>
    </row>
    <row r="496" s="2" customFormat="1" spans="1:16">
      <c r="A496" s="8"/>
      <c r="B496" s="9" t="s">
        <v>1195</v>
      </c>
      <c r="C496" s="10" t="s">
        <v>1055</v>
      </c>
      <c r="D496" s="11">
        <v>1</v>
      </c>
      <c r="E496" s="12">
        <v>3400</v>
      </c>
      <c r="F496" s="13">
        <v>3400</v>
      </c>
      <c r="G496" s="2">
        <f>VLOOKUP(B496,'PO with created By ASR'!A:C,3,FALSE)</f>
        <v>45672</v>
      </c>
      <c r="J496" s="2" t="str">
        <f>VLOOKUP(B496,'PO with created By ASR'!A:G,4,FALSE)</f>
        <v>Sachin Jadhav -CR</v>
      </c>
      <c r="K496" s="2" t="e">
        <f>VLOOKUP(B496,'PO with created By ASR'!A:I,6,FALSE)</f>
        <v>#N/A</v>
      </c>
      <c r="L496" s="2" t="str">
        <f>VLOOKUP(B496,'PO with created By ASR'!A:J,7,FALSE)</f>
        <v>A - Mumbai</v>
      </c>
      <c r="M496" s="2" t="str">
        <f>VLOOKUP(B496,'PO with created By ASR'!A:K,8,FALSE)</f>
        <v>Purchase Order-Mum</v>
      </c>
      <c r="N496" t="s">
        <v>36</v>
      </c>
      <c r="P496" s="2">
        <v>6</v>
      </c>
    </row>
    <row r="497" s="2" customFormat="1" spans="1:16">
      <c r="A497" s="8"/>
      <c r="B497" s="9" t="s">
        <v>1196</v>
      </c>
      <c r="C497" s="10" t="s">
        <v>412</v>
      </c>
      <c r="D497" s="11">
        <v>1</v>
      </c>
      <c r="E497" s="12">
        <v>1440</v>
      </c>
      <c r="F497" s="13">
        <v>1440</v>
      </c>
      <c r="G497" s="2">
        <f>VLOOKUP(B497,'PO with created By ASR'!A:C,3,FALSE)</f>
        <v>45672</v>
      </c>
      <c r="J497" s="2" t="str">
        <f>VLOOKUP(B497,'PO with created By ASR'!A:G,4,FALSE)</f>
        <v>Mahendra Mane -CR</v>
      </c>
      <c r="K497" s="2" t="e">
        <f>VLOOKUP(B497,'PO with created By ASR'!A:I,6,FALSE)</f>
        <v>#N/A</v>
      </c>
      <c r="L497" s="2" t="str">
        <f>VLOOKUP(B497,'PO with created By ASR'!A:J,7,FALSE)</f>
        <v>A - Mumbai</v>
      </c>
      <c r="M497" s="2" t="str">
        <f>VLOOKUP(B497,'PO with created By ASR'!A:K,8,FALSE)</f>
        <v>Purchase Order-Mum</v>
      </c>
      <c r="N497" t="s">
        <v>36</v>
      </c>
      <c r="P497" s="2">
        <v>6</v>
      </c>
    </row>
    <row r="498" s="2" customFormat="1" spans="1:16">
      <c r="A498" s="8"/>
      <c r="B498" s="9" t="s">
        <v>1198</v>
      </c>
      <c r="C498" s="10" t="s">
        <v>205</v>
      </c>
      <c r="D498" s="11">
        <v>1</v>
      </c>
      <c r="E498" s="12">
        <v>550</v>
      </c>
      <c r="F498" s="13">
        <v>550</v>
      </c>
      <c r="G498" s="2">
        <f>VLOOKUP(B498,'PO with created By ASR'!A:C,3,FALSE)</f>
        <v>45672</v>
      </c>
      <c r="J498" s="2" t="str">
        <f>VLOOKUP(B498,'PO with created By ASR'!A:G,4,FALSE)</f>
        <v>Sachin Jadhav -CR</v>
      </c>
      <c r="K498" s="2" t="e">
        <f>VLOOKUP(B498,'PO with created By ASR'!A:I,6,FALSE)</f>
        <v>#N/A</v>
      </c>
      <c r="L498" s="2" t="str">
        <f>VLOOKUP(B498,'PO with created By ASR'!A:J,7,FALSE)</f>
        <v>A - Mumbai</v>
      </c>
      <c r="M498" s="2" t="str">
        <f>VLOOKUP(B498,'PO with created By ASR'!A:K,8,FALSE)</f>
        <v>Purchase Order-Mum</v>
      </c>
      <c r="N498" t="s">
        <v>36</v>
      </c>
      <c r="P498" s="2">
        <v>6</v>
      </c>
    </row>
    <row r="499" s="2" customFormat="1" spans="1:16">
      <c r="A499" s="8"/>
      <c r="B499" s="9" t="s">
        <v>1199</v>
      </c>
      <c r="C499" s="10" t="s">
        <v>317</v>
      </c>
      <c r="D499" s="11">
        <v>1</v>
      </c>
      <c r="E499" s="12">
        <v>4000</v>
      </c>
      <c r="F499" s="13">
        <v>4000</v>
      </c>
      <c r="G499" s="2">
        <f>VLOOKUP(B499,'PO with created By ASR'!A:C,3,FALSE)</f>
        <v>45672</v>
      </c>
      <c r="J499" s="2" t="str">
        <f>VLOOKUP(B499,'PO with created By ASR'!A:G,4,FALSE)</f>
        <v>Mahendra Mane -CR</v>
      </c>
      <c r="K499" s="2" t="e">
        <f>VLOOKUP(B499,'PO with created By ASR'!A:I,6,FALSE)</f>
        <v>#N/A</v>
      </c>
      <c r="L499" s="2" t="str">
        <f>VLOOKUP(B499,'PO with created By ASR'!A:J,7,FALSE)</f>
        <v>A - Mumbai</v>
      </c>
      <c r="M499" s="2" t="str">
        <f>VLOOKUP(B499,'PO with created By ASR'!A:K,8,FALSE)</f>
        <v>Purchase Order-Mum</v>
      </c>
      <c r="N499" t="s">
        <v>36</v>
      </c>
      <c r="P499" s="2">
        <v>6</v>
      </c>
    </row>
    <row r="500" s="2" customFormat="1" spans="1:16">
      <c r="A500" s="8"/>
      <c r="B500" s="9" t="s">
        <v>1199</v>
      </c>
      <c r="C500" s="10" t="s">
        <v>126</v>
      </c>
      <c r="D500" s="11">
        <v>1</v>
      </c>
      <c r="E500" s="12">
        <v>450</v>
      </c>
      <c r="F500" s="13">
        <v>450</v>
      </c>
      <c r="G500" s="2">
        <f>VLOOKUP(B500,'PO with created By ASR'!A:C,3,FALSE)</f>
        <v>45672</v>
      </c>
      <c r="J500" s="2" t="str">
        <f>VLOOKUP(B500,'PO with created By ASR'!A:G,4,FALSE)</f>
        <v>Mahendra Mane -CR</v>
      </c>
      <c r="K500" s="2" t="e">
        <f>VLOOKUP(B500,'PO with created By ASR'!A:I,6,FALSE)</f>
        <v>#N/A</v>
      </c>
      <c r="L500" s="2" t="str">
        <f>VLOOKUP(B500,'PO with created By ASR'!A:J,7,FALSE)</f>
        <v>A - Mumbai</v>
      </c>
      <c r="M500" s="2" t="str">
        <f>VLOOKUP(B500,'PO with created By ASR'!A:K,8,FALSE)</f>
        <v>Purchase Order-Mum</v>
      </c>
      <c r="N500" t="s">
        <v>36</v>
      </c>
      <c r="P500" s="2">
        <v>6</v>
      </c>
    </row>
    <row r="501" s="2" customFormat="1" spans="1:16">
      <c r="A501" s="8"/>
      <c r="B501" s="9" t="s">
        <v>1200</v>
      </c>
      <c r="C501" s="10" t="s">
        <v>317</v>
      </c>
      <c r="D501" s="11">
        <v>1</v>
      </c>
      <c r="E501" s="12">
        <v>550</v>
      </c>
      <c r="F501" s="13">
        <v>550</v>
      </c>
      <c r="G501" s="2">
        <f>VLOOKUP(B501,'PO with created By ASR'!A:C,3,FALSE)</f>
        <v>45672</v>
      </c>
      <c r="J501" s="2" t="str">
        <f>VLOOKUP(B501,'PO with created By ASR'!A:G,4,FALSE)</f>
        <v>Suresh Pardhle  -CR</v>
      </c>
      <c r="K501" s="2" t="e">
        <f>VLOOKUP(B501,'PO with created By ASR'!A:I,6,FALSE)</f>
        <v>#N/A</v>
      </c>
      <c r="L501" s="2" t="str">
        <f>VLOOKUP(B501,'PO with created By ASR'!A:J,7,FALSE)</f>
        <v>A - Mumbai</v>
      </c>
      <c r="M501" s="2" t="str">
        <f>VLOOKUP(B501,'PO with created By ASR'!A:K,8,FALSE)</f>
        <v>Purchase Order-Mum</v>
      </c>
      <c r="N501" t="s">
        <v>36</v>
      </c>
      <c r="P501" s="2">
        <v>6</v>
      </c>
    </row>
    <row r="502" s="2" customFormat="1" spans="1:16">
      <c r="A502" s="8"/>
      <c r="B502" s="9" t="s">
        <v>1200</v>
      </c>
      <c r="C502" s="10" t="s">
        <v>126</v>
      </c>
      <c r="D502" s="11">
        <v>1</v>
      </c>
      <c r="E502" s="12">
        <v>2153</v>
      </c>
      <c r="F502" s="13">
        <v>2153</v>
      </c>
      <c r="G502" s="2">
        <f>VLOOKUP(B502,'PO with created By ASR'!A:C,3,FALSE)</f>
        <v>45672</v>
      </c>
      <c r="J502" s="2" t="str">
        <f>VLOOKUP(B502,'PO with created By ASR'!A:G,4,FALSE)</f>
        <v>Suresh Pardhle  -CR</v>
      </c>
      <c r="K502" s="2" t="e">
        <f>VLOOKUP(B502,'PO with created By ASR'!A:I,6,FALSE)</f>
        <v>#N/A</v>
      </c>
      <c r="L502" s="2" t="str">
        <f>VLOOKUP(B502,'PO with created By ASR'!A:J,7,FALSE)</f>
        <v>A - Mumbai</v>
      </c>
      <c r="M502" s="2" t="str">
        <f>VLOOKUP(B502,'PO with created By ASR'!A:K,8,FALSE)</f>
        <v>Purchase Order-Mum</v>
      </c>
      <c r="N502" t="s">
        <v>36</v>
      </c>
      <c r="P502" s="2">
        <v>6</v>
      </c>
    </row>
    <row r="503" s="2" customFormat="1" spans="1:16">
      <c r="A503" s="8"/>
      <c r="B503" s="9" t="s">
        <v>1200</v>
      </c>
      <c r="C503" s="10" t="s">
        <v>412</v>
      </c>
      <c r="D503" s="11">
        <v>1</v>
      </c>
      <c r="E503" s="12">
        <v>1100</v>
      </c>
      <c r="F503" s="13">
        <v>1100</v>
      </c>
      <c r="G503" s="2">
        <f>VLOOKUP(B503,'PO with created By ASR'!A:C,3,FALSE)</f>
        <v>45672</v>
      </c>
      <c r="J503" s="2" t="str">
        <f>VLOOKUP(B503,'PO with created By ASR'!A:G,4,FALSE)</f>
        <v>Suresh Pardhle  -CR</v>
      </c>
      <c r="K503" s="2" t="e">
        <f>VLOOKUP(B503,'PO with created By ASR'!A:I,6,FALSE)</f>
        <v>#N/A</v>
      </c>
      <c r="L503" s="2" t="str">
        <f>VLOOKUP(B503,'PO with created By ASR'!A:J,7,FALSE)</f>
        <v>A - Mumbai</v>
      </c>
      <c r="M503" s="2" t="str">
        <f>VLOOKUP(B503,'PO with created By ASR'!A:K,8,FALSE)</f>
        <v>Purchase Order-Mum</v>
      </c>
      <c r="N503" t="s">
        <v>36</v>
      </c>
      <c r="P503" s="2">
        <v>6</v>
      </c>
    </row>
    <row r="504" s="2" customFormat="1" spans="1:16">
      <c r="A504" s="8"/>
      <c r="B504" s="9" t="s">
        <v>1201</v>
      </c>
      <c r="C504" s="10" t="s">
        <v>317</v>
      </c>
      <c r="D504" s="11">
        <v>1</v>
      </c>
      <c r="E504" s="12">
        <v>300</v>
      </c>
      <c r="F504" s="13">
        <v>300</v>
      </c>
      <c r="G504" s="2">
        <f>VLOOKUP(B504,'PO with created By ASR'!A:C,3,FALSE)</f>
        <v>45672</v>
      </c>
      <c r="J504" s="2" t="str">
        <f>VLOOKUP(B504,'PO with created By ASR'!A:G,4,FALSE)</f>
        <v>Suresh Pardhle  -CR</v>
      </c>
      <c r="K504" s="2" t="e">
        <f>VLOOKUP(B504,'PO with created By ASR'!A:I,6,FALSE)</f>
        <v>#N/A</v>
      </c>
      <c r="L504" s="2" t="str">
        <f>VLOOKUP(B504,'PO with created By ASR'!A:J,7,FALSE)</f>
        <v>A - Mumbai</v>
      </c>
      <c r="M504" s="2" t="str">
        <f>VLOOKUP(B504,'PO with created By ASR'!A:K,8,FALSE)</f>
        <v>Purchase Order-Mum</v>
      </c>
      <c r="N504" t="s">
        <v>36</v>
      </c>
      <c r="P504" s="2">
        <v>6</v>
      </c>
    </row>
    <row r="505" s="2" customFormat="1" spans="1:16">
      <c r="A505" s="8"/>
      <c r="B505" s="9" t="s">
        <v>1201</v>
      </c>
      <c r="C505" s="10" t="s">
        <v>126</v>
      </c>
      <c r="D505" s="11">
        <v>1</v>
      </c>
      <c r="E505" s="12">
        <v>1901</v>
      </c>
      <c r="F505" s="13">
        <v>1901</v>
      </c>
      <c r="G505" s="2">
        <f>VLOOKUP(B505,'PO with created By ASR'!A:C,3,FALSE)</f>
        <v>45672</v>
      </c>
      <c r="J505" s="2" t="str">
        <f>VLOOKUP(B505,'PO with created By ASR'!A:G,4,FALSE)</f>
        <v>Suresh Pardhle  -CR</v>
      </c>
      <c r="K505" s="2" t="e">
        <f>VLOOKUP(B505,'PO with created By ASR'!A:I,6,FALSE)</f>
        <v>#N/A</v>
      </c>
      <c r="L505" s="2" t="str">
        <f>VLOOKUP(B505,'PO with created By ASR'!A:J,7,FALSE)</f>
        <v>A - Mumbai</v>
      </c>
      <c r="M505" s="2" t="str">
        <f>VLOOKUP(B505,'PO with created By ASR'!A:K,8,FALSE)</f>
        <v>Purchase Order-Mum</v>
      </c>
      <c r="N505" t="s">
        <v>36</v>
      </c>
      <c r="P505" s="2">
        <v>6</v>
      </c>
    </row>
    <row r="506" s="2" customFormat="1" spans="1:16">
      <c r="A506" s="8"/>
      <c r="B506" s="9" t="s">
        <v>1201</v>
      </c>
      <c r="C506" s="10" t="s">
        <v>412</v>
      </c>
      <c r="D506" s="11">
        <v>1</v>
      </c>
      <c r="E506" s="12">
        <v>150</v>
      </c>
      <c r="F506" s="13">
        <v>150</v>
      </c>
      <c r="G506" s="2">
        <f>VLOOKUP(B506,'PO with created By ASR'!A:C,3,FALSE)</f>
        <v>45672</v>
      </c>
      <c r="J506" s="2" t="str">
        <f>VLOOKUP(B506,'PO with created By ASR'!A:G,4,FALSE)</f>
        <v>Suresh Pardhle  -CR</v>
      </c>
      <c r="K506" s="2" t="e">
        <f>VLOOKUP(B506,'PO with created By ASR'!A:I,6,FALSE)</f>
        <v>#N/A</v>
      </c>
      <c r="L506" s="2" t="str">
        <f>VLOOKUP(B506,'PO with created By ASR'!A:J,7,FALSE)</f>
        <v>A - Mumbai</v>
      </c>
      <c r="M506" s="2" t="str">
        <f>VLOOKUP(B506,'PO with created By ASR'!A:K,8,FALSE)</f>
        <v>Purchase Order-Mum</v>
      </c>
      <c r="N506" t="s">
        <v>36</v>
      </c>
      <c r="P506" s="2">
        <v>6</v>
      </c>
    </row>
    <row r="507" s="2" customFormat="1" spans="1:16">
      <c r="A507" s="8"/>
      <c r="B507" s="9" t="s">
        <v>1202</v>
      </c>
      <c r="C507" s="10" t="s">
        <v>412</v>
      </c>
      <c r="D507" s="11">
        <v>1</v>
      </c>
      <c r="E507" s="12">
        <v>19050</v>
      </c>
      <c r="F507" s="13">
        <v>19050</v>
      </c>
      <c r="G507" s="2">
        <f>VLOOKUP(B507,'PO with created By ASR'!A:C,3,FALSE)</f>
        <v>45672</v>
      </c>
      <c r="J507" s="2" t="str">
        <f>VLOOKUP(B507,'PO with created By ASR'!A:G,4,FALSE)</f>
        <v>Padmakar Jadhav -CR</v>
      </c>
      <c r="K507" s="2" t="e">
        <f>VLOOKUP(B507,'PO with created By ASR'!A:I,6,FALSE)</f>
        <v>#N/A</v>
      </c>
      <c r="L507" s="2" t="str">
        <f>VLOOKUP(B507,'PO with created By ASR'!A:J,7,FALSE)</f>
        <v>A - Mumbai</v>
      </c>
      <c r="M507" s="2" t="str">
        <f>VLOOKUP(B507,'PO with created By ASR'!A:K,8,FALSE)</f>
        <v>Purchase Order-Mum</v>
      </c>
      <c r="N507" t="s">
        <v>36</v>
      </c>
      <c r="P507" s="2">
        <v>6</v>
      </c>
    </row>
    <row r="508" s="2" customFormat="1" spans="1:16">
      <c r="A508" s="8"/>
      <c r="B508" s="9" t="s">
        <v>1204</v>
      </c>
      <c r="C508" s="10" t="s">
        <v>126</v>
      </c>
      <c r="D508" s="11">
        <v>1</v>
      </c>
      <c r="E508" s="12">
        <v>135</v>
      </c>
      <c r="F508" s="13">
        <v>135</v>
      </c>
      <c r="G508" s="2">
        <f>VLOOKUP(B508,'PO with created By ASR'!A:C,3,FALSE)</f>
        <v>45672</v>
      </c>
      <c r="J508" s="2" t="str">
        <f>VLOOKUP(B508,'PO with created By ASR'!A:G,4,FALSE)</f>
        <v>Mahendra Mane -CR</v>
      </c>
      <c r="K508" s="2" t="e">
        <f>VLOOKUP(B508,'PO with created By ASR'!A:I,6,FALSE)</f>
        <v>#N/A</v>
      </c>
      <c r="L508" s="2" t="str">
        <f>VLOOKUP(B508,'PO with created By ASR'!A:J,7,FALSE)</f>
        <v>A - Mumbai</v>
      </c>
      <c r="M508" s="2" t="str">
        <f>VLOOKUP(B508,'PO with created By ASR'!A:K,8,FALSE)</f>
        <v>Purchase Order-Mum</v>
      </c>
      <c r="N508" t="s">
        <v>36</v>
      </c>
      <c r="P508" s="2">
        <v>6</v>
      </c>
    </row>
    <row r="509" s="2" customFormat="1" spans="1:16">
      <c r="A509" s="8"/>
      <c r="B509" s="9" t="s">
        <v>1204</v>
      </c>
      <c r="C509" s="10" t="s">
        <v>317</v>
      </c>
      <c r="D509" s="11">
        <v>1</v>
      </c>
      <c r="E509" s="12">
        <v>900</v>
      </c>
      <c r="F509" s="13">
        <v>900</v>
      </c>
      <c r="G509" s="2">
        <f>VLOOKUP(B509,'PO with created By ASR'!A:C,3,FALSE)</f>
        <v>45672</v>
      </c>
      <c r="J509" s="2" t="str">
        <f>VLOOKUP(B509,'PO with created By ASR'!A:G,4,FALSE)</f>
        <v>Mahendra Mane -CR</v>
      </c>
      <c r="K509" s="2" t="e">
        <f>VLOOKUP(B509,'PO with created By ASR'!A:I,6,FALSE)</f>
        <v>#N/A</v>
      </c>
      <c r="L509" s="2" t="str">
        <f>VLOOKUP(B509,'PO with created By ASR'!A:J,7,FALSE)</f>
        <v>A - Mumbai</v>
      </c>
      <c r="M509" s="2" t="str">
        <f>VLOOKUP(B509,'PO with created By ASR'!A:K,8,FALSE)</f>
        <v>Purchase Order-Mum</v>
      </c>
      <c r="N509" t="s">
        <v>36</v>
      </c>
      <c r="P509" s="2">
        <v>6</v>
      </c>
    </row>
    <row r="510" s="2" customFormat="1" spans="1:16">
      <c r="A510" s="8"/>
      <c r="B510" s="9" t="s">
        <v>1205</v>
      </c>
      <c r="C510" s="10" t="s">
        <v>126</v>
      </c>
      <c r="D510" s="11">
        <v>1</v>
      </c>
      <c r="E510" s="12">
        <v>850</v>
      </c>
      <c r="F510" s="13">
        <v>850</v>
      </c>
      <c r="G510" s="2">
        <f>VLOOKUP(B510,'PO with created By ASR'!A:C,3,FALSE)</f>
        <v>45672</v>
      </c>
      <c r="J510" s="2" t="str">
        <f>VLOOKUP(B510,'PO with created By ASR'!A:G,4,FALSE)</f>
        <v>PARESH SURVE ADV FOR EXPENCES-CR</v>
      </c>
      <c r="K510" s="2" t="e">
        <f>VLOOKUP(B510,'PO with created By ASR'!A:I,6,FALSE)</f>
        <v>#N/A</v>
      </c>
      <c r="L510" s="2" t="str">
        <f>VLOOKUP(B510,'PO with created By ASR'!A:J,7,FALSE)</f>
        <v>A - Mumbai</v>
      </c>
      <c r="M510" s="2" t="str">
        <f>VLOOKUP(B510,'PO with created By ASR'!A:K,8,FALSE)</f>
        <v>Purchase Order-Mum</v>
      </c>
      <c r="N510" t="s">
        <v>36</v>
      </c>
      <c r="P510" s="2">
        <v>6</v>
      </c>
    </row>
    <row r="511" s="2" customFormat="1" spans="1:16">
      <c r="A511" s="8"/>
      <c r="B511" s="9" t="s">
        <v>1205</v>
      </c>
      <c r="C511" s="10" t="s">
        <v>412</v>
      </c>
      <c r="D511" s="11">
        <v>1</v>
      </c>
      <c r="E511" s="12">
        <v>400</v>
      </c>
      <c r="F511" s="13">
        <v>400</v>
      </c>
      <c r="G511" s="2">
        <f>VLOOKUP(B511,'PO with created By ASR'!A:C,3,FALSE)</f>
        <v>45672</v>
      </c>
      <c r="J511" s="2" t="str">
        <f>VLOOKUP(B511,'PO with created By ASR'!A:G,4,FALSE)</f>
        <v>PARESH SURVE ADV FOR EXPENCES-CR</v>
      </c>
      <c r="K511" s="2" t="e">
        <f>VLOOKUP(B511,'PO with created By ASR'!A:I,6,FALSE)</f>
        <v>#N/A</v>
      </c>
      <c r="L511" s="2" t="str">
        <f>VLOOKUP(B511,'PO with created By ASR'!A:J,7,FALSE)</f>
        <v>A - Mumbai</v>
      </c>
      <c r="M511" s="2" t="str">
        <f>VLOOKUP(B511,'PO with created By ASR'!A:K,8,FALSE)</f>
        <v>Purchase Order-Mum</v>
      </c>
      <c r="N511" t="s">
        <v>36</v>
      </c>
      <c r="P511" s="2">
        <v>6</v>
      </c>
    </row>
    <row r="512" s="2" customFormat="1" spans="1:16">
      <c r="A512" s="8"/>
      <c r="B512" s="9" t="s">
        <v>1207</v>
      </c>
      <c r="C512" s="10" t="s">
        <v>412</v>
      </c>
      <c r="D512" s="11">
        <v>1</v>
      </c>
      <c r="E512" s="12">
        <v>713</v>
      </c>
      <c r="F512" s="13">
        <v>713</v>
      </c>
      <c r="G512" s="2">
        <f>VLOOKUP(B512,'PO with created By ASR'!A:C,3,FALSE)</f>
        <v>45672</v>
      </c>
      <c r="J512" s="2" t="str">
        <f>VLOOKUP(B512,'PO with created By ASR'!A:G,4,FALSE)</f>
        <v>Mahendra Mane -CR</v>
      </c>
      <c r="K512" s="2" t="e">
        <f>VLOOKUP(B512,'PO with created By ASR'!A:I,6,FALSE)</f>
        <v>#N/A</v>
      </c>
      <c r="L512" s="2" t="str">
        <f>VLOOKUP(B512,'PO with created By ASR'!A:J,7,FALSE)</f>
        <v>A - Mumbai</v>
      </c>
      <c r="M512" s="2" t="str">
        <f>VLOOKUP(B512,'PO with created By ASR'!A:K,8,FALSE)</f>
        <v>Purchase Order-Mum</v>
      </c>
      <c r="N512" t="s">
        <v>36</v>
      </c>
      <c r="P512" s="2">
        <v>6</v>
      </c>
    </row>
    <row r="513" s="2" customFormat="1" spans="1:16">
      <c r="A513" s="8"/>
      <c r="B513" s="9" t="s">
        <v>1208</v>
      </c>
      <c r="C513" s="10" t="s">
        <v>126</v>
      </c>
      <c r="D513" s="11">
        <v>1</v>
      </c>
      <c r="E513" s="12">
        <v>1149.6</v>
      </c>
      <c r="F513" s="13">
        <v>1149.6</v>
      </c>
      <c r="G513" s="2">
        <f>VLOOKUP(B513,'PO with created By ASR'!A:C,3,FALSE)</f>
        <v>45672</v>
      </c>
      <c r="J513" s="2" t="str">
        <f>VLOOKUP(B513,'PO with created By ASR'!A:G,4,FALSE)</f>
        <v>Hemanshu Sawant  -CR</v>
      </c>
      <c r="K513" s="2" t="e">
        <f>VLOOKUP(B513,'PO with created By ASR'!A:I,6,FALSE)</f>
        <v>#N/A</v>
      </c>
      <c r="L513" s="2" t="str">
        <f>VLOOKUP(B513,'PO with created By ASR'!A:J,7,FALSE)</f>
        <v>A - Mumbai</v>
      </c>
      <c r="M513" s="2" t="str">
        <f>VLOOKUP(B513,'PO with created By ASR'!A:K,8,FALSE)</f>
        <v>Purchase Order-Mum</v>
      </c>
      <c r="N513" t="s">
        <v>36</v>
      </c>
      <c r="P513" s="2">
        <v>6</v>
      </c>
    </row>
    <row r="514" s="2" customFormat="1" spans="1:16">
      <c r="A514" s="8"/>
      <c r="B514" s="9" t="s">
        <v>1210</v>
      </c>
      <c r="C514" s="10" t="s">
        <v>126</v>
      </c>
      <c r="D514" s="11">
        <v>1</v>
      </c>
      <c r="E514" s="12">
        <v>426</v>
      </c>
      <c r="F514" s="13">
        <v>426</v>
      </c>
      <c r="G514" s="2">
        <f>VLOOKUP(B514,'PO with created By ASR'!A:C,3,FALSE)</f>
        <v>45672</v>
      </c>
      <c r="J514" s="2" t="str">
        <f>VLOOKUP(B514,'PO with created By ASR'!A:G,4,FALSE)</f>
        <v>Suresh Pardhle  -CR</v>
      </c>
      <c r="K514" s="2" t="e">
        <f>VLOOKUP(B514,'PO with created By ASR'!A:I,6,FALSE)</f>
        <v>#N/A</v>
      </c>
      <c r="L514" s="2" t="str">
        <f>VLOOKUP(B514,'PO with created By ASR'!A:J,7,FALSE)</f>
        <v>A - Mumbai</v>
      </c>
      <c r="M514" s="2" t="str">
        <f>VLOOKUP(B514,'PO with created By ASR'!A:K,8,FALSE)</f>
        <v>Purchase Order-Mum</v>
      </c>
      <c r="N514" t="s">
        <v>36</v>
      </c>
      <c r="P514" s="2">
        <v>6</v>
      </c>
    </row>
    <row r="515" s="2" customFormat="1" spans="1:16">
      <c r="A515" s="8"/>
      <c r="B515" s="9" t="s">
        <v>1211</v>
      </c>
      <c r="C515" s="10" t="s">
        <v>317</v>
      </c>
      <c r="D515" s="11">
        <v>1</v>
      </c>
      <c r="E515" s="12">
        <v>5320</v>
      </c>
      <c r="F515" s="13">
        <v>5320</v>
      </c>
      <c r="G515" s="2">
        <f>VLOOKUP(B515,'PO with created By ASR'!A:C,3,FALSE)</f>
        <v>45672</v>
      </c>
      <c r="J515" s="2" t="str">
        <f>VLOOKUP(B515,'PO with created By ASR'!A:G,4,FALSE)</f>
        <v>Mahendra Mane -CR</v>
      </c>
      <c r="K515" s="2" t="e">
        <f>VLOOKUP(B515,'PO with created By ASR'!A:I,6,FALSE)</f>
        <v>#N/A</v>
      </c>
      <c r="L515" s="2" t="str">
        <f>VLOOKUP(B515,'PO with created By ASR'!A:J,7,FALSE)</f>
        <v>A - Mumbai</v>
      </c>
      <c r="M515" s="2" t="str">
        <f>VLOOKUP(B515,'PO with created By ASR'!A:K,8,FALSE)</f>
        <v>Purchase Order-Mum</v>
      </c>
      <c r="N515" t="s">
        <v>36</v>
      </c>
      <c r="P515" s="2">
        <v>6</v>
      </c>
    </row>
    <row r="516" s="2" customFormat="1" spans="1:16">
      <c r="A516" s="8"/>
      <c r="B516" s="9" t="s">
        <v>1211</v>
      </c>
      <c r="C516" s="10" t="s">
        <v>126</v>
      </c>
      <c r="D516" s="11">
        <v>1</v>
      </c>
      <c r="E516" s="12">
        <v>740</v>
      </c>
      <c r="F516" s="13">
        <v>740</v>
      </c>
      <c r="G516" s="2">
        <f>VLOOKUP(B516,'PO with created By ASR'!A:C,3,FALSE)</f>
        <v>45672</v>
      </c>
      <c r="J516" s="2" t="str">
        <f>VLOOKUP(B516,'PO with created By ASR'!A:G,4,FALSE)</f>
        <v>Mahendra Mane -CR</v>
      </c>
      <c r="K516" s="2" t="e">
        <f>VLOOKUP(B516,'PO with created By ASR'!A:I,6,FALSE)</f>
        <v>#N/A</v>
      </c>
      <c r="L516" s="2" t="str">
        <f>VLOOKUP(B516,'PO with created By ASR'!A:J,7,FALSE)</f>
        <v>A - Mumbai</v>
      </c>
      <c r="M516" s="2" t="str">
        <f>VLOOKUP(B516,'PO with created By ASR'!A:K,8,FALSE)</f>
        <v>Purchase Order-Mum</v>
      </c>
      <c r="N516" t="s">
        <v>36</v>
      </c>
      <c r="P516" s="2">
        <v>6</v>
      </c>
    </row>
    <row r="517" s="2" customFormat="1" spans="1:16">
      <c r="A517" s="8"/>
      <c r="B517" s="9" t="s">
        <v>1211</v>
      </c>
      <c r="C517" s="10" t="s">
        <v>412</v>
      </c>
      <c r="D517" s="11">
        <v>1</v>
      </c>
      <c r="E517" s="12">
        <v>150</v>
      </c>
      <c r="F517" s="13">
        <v>150</v>
      </c>
      <c r="G517" s="2">
        <f>VLOOKUP(B517,'PO with created By ASR'!A:C,3,FALSE)</f>
        <v>45672</v>
      </c>
      <c r="J517" s="2" t="str">
        <f>VLOOKUP(B517,'PO with created By ASR'!A:G,4,FALSE)</f>
        <v>Mahendra Mane -CR</v>
      </c>
      <c r="K517" s="2" t="e">
        <f>VLOOKUP(B517,'PO with created By ASR'!A:I,6,FALSE)</f>
        <v>#N/A</v>
      </c>
      <c r="L517" s="2" t="str">
        <f>VLOOKUP(B517,'PO with created By ASR'!A:J,7,FALSE)</f>
        <v>A - Mumbai</v>
      </c>
      <c r="M517" s="2" t="str">
        <f>VLOOKUP(B517,'PO with created By ASR'!A:K,8,FALSE)</f>
        <v>Purchase Order-Mum</v>
      </c>
      <c r="N517" t="s">
        <v>36</v>
      </c>
      <c r="P517" s="2">
        <v>6</v>
      </c>
    </row>
    <row r="518" s="2" customFormat="1" spans="1:16">
      <c r="A518" s="8"/>
      <c r="B518" s="9" t="s">
        <v>1212</v>
      </c>
      <c r="C518" s="10" t="s">
        <v>126</v>
      </c>
      <c r="D518" s="11">
        <v>1</v>
      </c>
      <c r="E518" s="12">
        <v>484</v>
      </c>
      <c r="F518" s="13">
        <v>484</v>
      </c>
      <c r="G518" s="2">
        <f>VLOOKUP(B518,'PO with created By ASR'!A:C,3,FALSE)</f>
        <v>45672</v>
      </c>
      <c r="J518" s="2" t="str">
        <f>VLOOKUP(B518,'PO with created By ASR'!A:G,4,FALSE)</f>
        <v>Sanjay Kathale Cash -CR</v>
      </c>
      <c r="K518" s="2" t="e">
        <f>VLOOKUP(B518,'PO with created By ASR'!A:I,6,FALSE)</f>
        <v>#N/A</v>
      </c>
      <c r="L518" s="2" t="str">
        <f>VLOOKUP(B518,'PO with created By ASR'!A:J,7,FALSE)</f>
        <v>A - Mumbai</v>
      </c>
      <c r="M518" s="2" t="str">
        <f>VLOOKUP(B518,'PO with created By ASR'!A:K,8,FALSE)</f>
        <v>Purchase Order-Mum</v>
      </c>
      <c r="N518" t="s">
        <v>36</v>
      </c>
      <c r="P518" s="2">
        <v>6</v>
      </c>
    </row>
    <row r="519" s="2" customFormat="1" spans="1:16">
      <c r="A519" s="8"/>
      <c r="B519" s="9" t="s">
        <v>1214</v>
      </c>
      <c r="C519" s="10" t="s">
        <v>126</v>
      </c>
      <c r="D519" s="11">
        <v>1</v>
      </c>
      <c r="E519" s="12">
        <v>478</v>
      </c>
      <c r="F519" s="13">
        <v>478</v>
      </c>
      <c r="G519" s="2">
        <f>VLOOKUP(B519,'PO with created By ASR'!A:C,3,FALSE)</f>
        <v>45672</v>
      </c>
      <c r="J519" s="2" t="str">
        <f>VLOOKUP(B519,'PO with created By ASR'!A:G,4,FALSE)</f>
        <v>Sachin Jadhav -CR</v>
      </c>
      <c r="K519" s="2" t="e">
        <f>VLOOKUP(B519,'PO with created By ASR'!A:I,6,FALSE)</f>
        <v>#N/A</v>
      </c>
      <c r="L519" s="2" t="str">
        <f>VLOOKUP(B519,'PO with created By ASR'!A:J,7,FALSE)</f>
        <v>A - Mumbai</v>
      </c>
      <c r="M519" s="2" t="str">
        <f>VLOOKUP(B519,'PO with created By ASR'!A:K,8,FALSE)</f>
        <v>Purchase Order-Mum</v>
      </c>
      <c r="N519" t="s">
        <v>36</v>
      </c>
      <c r="P519" s="2">
        <v>6</v>
      </c>
    </row>
    <row r="520" s="2" customFormat="1" spans="1:16">
      <c r="A520" s="8"/>
      <c r="B520" s="9" t="s">
        <v>1214</v>
      </c>
      <c r="C520" s="10" t="s">
        <v>412</v>
      </c>
      <c r="D520" s="11">
        <v>1</v>
      </c>
      <c r="E520" s="12">
        <v>150</v>
      </c>
      <c r="F520" s="13">
        <v>150</v>
      </c>
      <c r="G520" s="2">
        <f>VLOOKUP(B520,'PO with created By ASR'!A:C,3,FALSE)</f>
        <v>45672</v>
      </c>
      <c r="J520" s="2" t="str">
        <f>VLOOKUP(B520,'PO with created By ASR'!A:G,4,FALSE)</f>
        <v>Sachin Jadhav -CR</v>
      </c>
      <c r="K520" s="2" t="e">
        <f>VLOOKUP(B520,'PO with created By ASR'!A:I,6,FALSE)</f>
        <v>#N/A</v>
      </c>
      <c r="L520" s="2" t="str">
        <f>VLOOKUP(B520,'PO with created By ASR'!A:J,7,FALSE)</f>
        <v>A - Mumbai</v>
      </c>
      <c r="M520" s="2" t="str">
        <f>VLOOKUP(B520,'PO with created By ASR'!A:K,8,FALSE)</f>
        <v>Purchase Order-Mum</v>
      </c>
      <c r="N520" t="s">
        <v>36</v>
      </c>
      <c r="P520" s="2">
        <v>6</v>
      </c>
    </row>
    <row r="521" s="2" customFormat="1" spans="1:16">
      <c r="A521" s="8"/>
      <c r="B521" s="9" t="s">
        <v>1215</v>
      </c>
      <c r="C521" s="10" t="s">
        <v>412</v>
      </c>
      <c r="D521" s="11">
        <v>1</v>
      </c>
      <c r="E521" s="12">
        <v>300</v>
      </c>
      <c r="F521" s="13">
        <v>300</v>
      </c>
      <c r="G521" s="2">
        <f>VLOOKUP(B521,'PO with created By ASR'!A:C,3,FALSE)</f>
        <v>45672</v>
      </c>
      <c r="J521" s="2" t="str">
        <f>VLOOKUP(B521,'PO with created By ASR'!A:G,4,FALSE)</f>
        <v>Sachin Jadhav -CR</v>
      </c>
      <c r="K521" s="2" t="e">
        <f>VLOOKUP(B521,'PO with created By ASR'!A:I,6,FALSE)</f>
        <v>#N/A</v>
      </c>
      <c r="L521" s="2" t="str">
        <f>VLOOKUP(B521,'PO with created By ASR'!A:J,7,FALSE)</f>
        <v>A - Mumbai</v>
      </c>
      <c r="M521" s="2" t="str">
        <f>VLOOKUP(B521,'PO with created By ASR'!A:K,8,FALSE)</f>
        <v>Purchase Order-Mum</v>
      </c>
      <c r="N521" t="s">
        <v>36</v>
      </c>
      <c r="P521" s="2">
        <v>6</v>
      </c>
    </row>
    <row r="522" s="2" customFormat="1" spans="1:16">
      <c r="A522" s="8"/>
      <c r="B522" s="9" t="s">
        <v>1216</v>
      </c>
      <c r="C522" s="10" t="s">
        <v>126</v>
      </c>
      <c r="D522" s="11">
        <v>1</v>
      </c>
      <c r="E522" s="12">
        <v>1240</v>
      </c>
      <c r="F522" s="13">
        <v>1240</v>
      </c>
      <c r="G522" s="2">
        <f>VLOOKUP(B522,'PO with created By ASR'!A:C,3,FALSE)</f>
        <v>45672</v>
      </c>
      <c r="J522" s="2" t="str">
        <f>VLOOKUP(B522,'PO with created By ASR'!A:G,4,FALSE)</f>
        <v>Santosh Bhogal Cash  -CR</v>
      </c>
      <c r="K522" s="2" t="e">
        <f>VLOOKUP(B522,'PO with created By ASR'!A:I,6,FALSE)</f>
        <v>#N/A</v>
      </c>
      <c r="L522" s="2" t="str">
        <f>VLOOKUP(B522,'PO with created By ASR'!A:J,7,FALSE)</f>
        <v>A - Mumbai</v>
      </c>
      <c r="M522" s="2" t="str">
        <f>VLOOKUP(B522,'PO with created By ASR'!A:K,8,FALSE)</f>
        <v>Purchase Order-Mum</v>
      </c>
      <c r="N522" t="s">
        <v>36</v>
      </c>
      <c r="P522" s="2">
        <v>6</v>
      </c>
    </row>
    <row r="523" s="2" customFormat="1" spans="1:16">
      <c r="A523" s="8"/>
      <c r="B523" s="9" t="s">
        <v>1216</v>
      </c>
      <c r="C523" s="10" t="s">
        <v>412</v>
      </c>
      <c r="D523" s="11">
        <v>1</v>
      </c>
      <c r="E523" s="12">
        <v>150</v>
      </c>
      <c r="F523" s="13">
        <v>150</v>
      </c>
      <c r="G523" s="2">
        <f>VLOOKUP(B523,'PO with created By ASR'!A:C,3,FALSE)</f>
        <v>45672</v>
      </c>
      <c r="J523" s="2" t="str">
        <f>VLOOKUP(B523,'PO with created By ASR'!A:G,4,FALSE)</f>
        <v>Santosh Bhogal Cash  -CR</v>
      </c>
      <c r="K523" s="2" t="e">
        <f>VLOOKUP(B523,'PO with created By ASR'!A:I,6,FALSE)</f>
        <v>#N/A</v>
      </c>
      <c r="L523" s="2" t="str">
        <f>VLOOKUP(B523,'PO with created By ASR'!A:J,7,FALSE)</f>
        <v>A - Mumbai</v>
      </c>
      <c r="M523" s="2" t="str">
        <f>VLOOKUP(B523,'PO with created By ASR'!A:K,8,FALSE)</f>
        <v>Purchase Order-Mum</v>
      </c>
      <c r="N523" t="s">
        <v>36</v>
      </c>
      <c r="P523" s="2">
        <v>6</v>
      </c>
    </row>
    <row r="524" s="2" customFormat="1" spans="1:16">
      <c r="A524" s="8"/>
      <c r="B524" s="9" t="s">
        <v>1217</v>
      </c>
      <c r="C524" s="10" t="s">
        <v>126</v>
      </c>
      <c r="D524" s="11">
        <v>1</v>
      </c>
      <c r="E524" s="12">
        <v>374</v>
      </c>
      <c r="F524" s="13">
        <v>374</v>
      </c>
      <c r="G524" s="2">
        <f>VLOOKUP(B524,'PO with created By ASR'!A:C,3,FALSE)</f>
        <v>45672</v>
      </c>
      <c r="J524" s="2" t="str">
        <f>VLOOKUP(B524,'PO with created By ASR'!A:G,4,FALSE)</f>
        <v>Santosh Bhogal Cash  -CR</v>
      </c>
      <c r="K524" s="2" t="e">
        <f>VLOOKUP(B524,'PO with created By ASR'!A:I,6,FALSE)</f>
        <v>#N/A</v>
      </c>
      <c r="L524" s="2" t="str">
        <f>VLOOKUP(B524,'PO with created By ASR'!A:J,7,FALSE)</f>
        <v>A - Mumbai</v>
      </c>
      <c r="M524" s="2" t="str">
        <f>VLOOKUP(B524,'PO with created By ASR'!A:K,8,FALSE)</f>
        <v>Purchase Order-Mum</v>
      </c>
      <c r="N524" t="s">
        <v>36</v>
      </c>
      <c r="P524" s="2">
        <v>6</v>
      </c>
    </row>
    <row r="525" s="2" customFormat="1" spans="1:16">
      <c r="A525" s="8"/>
      <c r="B525" s="9" t="s">
        <v>1218</v>
      </c>
      <c r="C525" s="10" t="s">
        <v>1221</v>
      </c>
      <c r="D525" s="11">
        <v>1</v>
      </c>
      <c r="E525" s="12">
        <v>4693908</v>
      </c>
      <c r="F525" s="13">
        <v>4693908</v>
      </c>
      <c r="G525" s="2">
        <f>VLOOKUP(B525,'PO with created By ASR'!A:C,3,FALSE)</f>
        <v>45672</v>
      </c>
      <c r="J525" s="2" t="str">
        <f>VLOOKUP(B525,'PO with created By ASR'!A:G,4,FALSE)</f>
        <v>Victoria SA (ASIT Travel Agency)-Mum</v>
      </c>
      <c r="K525" s="2" t="str">
        <f>VLOOKUP(B525,'PO with created By ASR'!A:I,6,FALSE)</f>
        <v>12889 Victoria SA (ASIT Travel Agency)</v>
      </c>
      <c r="L525" s="2" t="str">
        <f>VLOOKUP(B525,'PO with created By ASR'!A:J,7,FALSE)</f>
        <v>A - Mumbai</v>
      </c>
      <c r="M525" s="2" t="str">
        <f>VLOOKUP(B525,'PO with created By ASR'!A:K,8,FALSE)</f>
        <v>Purchase Order-Mum</v>
      </c>
      <c r="N525" t="s">
        <v>36</v>
      </c>
      <c r="P525" s="2">
        <v>6</v>
      </c>
    </row>
    <row r="526" s="2" customFormat="1" spans="1:16">
      <c r="A526" s="8"/>
      <c r="B526" s="9" t="s">
        <v>1222</v>
      </c>
      <c r="C526" s="10" t="s">
        <v>256</v>
      </c>
      <c r="D526" s="11">
        <v>1</v>
      </c>
      <c r="E526" s="12">
        <v>25000</v>
      </c>
      <c r="F526" s="13">
        <v>25000</v>
      </c>
      <c r="G526" s="2">
        <f>VLOOKUP(B526,'PO with created By ASR'!A:C,3,FALSE)</f>
        <v>45672</v>
      </c>
      <c r="J526" s="2" t="str">
        <f>VLOOKUP(B526,'PO with created By ASR'!A:G,4,FALSE)</f>
        <v>Recorded Music Performance Ltd-Mum</v>
      </c>
      <c r="K526" s="2" t="str">
        <f>VLOOKUP(B526,'PO with created By ASR'!A:I,6,FALSE)</f>
        <v>10856  Recorded Music Performance Ltd</v>
      </c>
      <c r="L526" s="2" t="str">
        <f>VLOOKUP(B526,'PO with created By ASR'!A:J,7,FALSE)</f>
        <v>A - Mumbai</v>
      </c>
      <c r="M526" s="2" t="str">
        <f>VLOOKUP(B526,'PO with created By ASR'!A:K,8,FALSE)</f>
        <v>Purchase Order-Mum</v>
      </c>
      <c r="N526" t="s">
        <v>36</v>
      </c>
      <c r="P526" s="2">
        <v>6</v>
      </c>
    </row>
    <row r="527" s="2" customFormat="1" spans="1:16">
      <c r="A527" s="8"/>
      <c r="B527" s="9" t="s">
        <v>1223</v>
      </c>
      <c r="C527" s="10" t="s">
        <v>196</v>
      </c>
      <c r="D527" s="11">
        <v>1</v>
      </c>
      <c r="E527" s="12">
        <v>21455</v>
      </c>
      <c r="F527" s="13">
        <v>21455</v>
      </c>
      <c r="G527" s="2">
        <f>VLOOKUP(B527,'PO with created By ASR'!A:C,3,FALSE)</f>
        <v>45672</v>
      </c>
      <c r="J527" s="2" t="str">
        <f>VLOOKUP(B527,'PO with created By ASR'!A:G,4,FALSE)</f>
        <v>Noaman Digital Partnership Firm-Mum</v>
      </c>
      <c r="K527" s="2" t="e">
        <f>VLOOKUP(B527,'PO with created By ASR'!A:I,6,FALSE)</f>
        <v>#N/A</v>
      </c>
      <c r="L527" s="2" t="str">
        <f>VLOOKUP(B527,'PO with created By ASR'!A:J,7,FALSE)</f>
        <v>A - Mumbai</v>
      </c>
      <c r="M527" s="2" t="str">
        <f>VLOOKUP(B527,'PO with created By ASR'!A:K,8,FALSE)</f>
        <v>Purchase Order-Mum</v>
      </c>
      <c r="N527" t="s">
        <v>36</v>
      </c>
      <c r="P527" s="2">
        <v>6</v>
      </c>
    </row>
    <row r="528" s="2" customFormat="1" spans="1:16">
      <c r="A528" s="8"/>
      <c r="B528" s="9" t="s">
        <v>1224</v>
      </c>
      <c r="C528" s="10" t="s">
        <v>151</v>
      </c>
      <c r="D528" s="11">
        <v>1</v>
      </c>
      <c r="E528" s="12">
        <v>100000</v>
      </c>
      <c r="F528" s="13">
        <v>100000</v>
      </c>
      <c r="G528" s="2">
        <f>VLOOKUP(B528,'PO with created By ASR'!A:C,3,FALSE)</f>
        <v>45672</v>
      </c>
      <c r="J528" s="2" t="str">
        <f>VLOOKUP(B528,'PO with created By ASR'!A:G,4,FALSE)</f>
        <v>Pyramid Production-Mum</v>
      </c>
      <c r="K528" s="2" t="str">
        <f>VLOOKUP(B528,'PO with created By ASR'!A:I,6,FALSE)</f>
        <v>12299 Pyramid Production</v>
      </c>
      <c r="L528" s="2" t="str">
        <f>VLOOKUP(B528,'PO with created By ASR'!A:J,7,FALSE)</f>
        <v>A - Mumbai</v>
      </c>
      <c r="M528" s="2" t="str">
        <f>VLOOKUP(B528,'PO with created By ASR'!A:K,8,FALSE)</f>
        <v>Purchase Order-Mum</v>
      </c>
      <c r="N528" t="s">
        <v>36</v>
      </c>
      <c r="P528" s="2">
        <v>6</v>
      </c>
    </row>
    <row r="529" s="2" customFormat="1" spans="1:16">
      <c r="A529" s="8"/>
      <c r="B529" s="9" t="s">
        <v>1229</v>
      </c>
      <c r="C529" s="10" t="s">
        <v>196</v>
      </c>
      <c r="D529" s="11">
        <v>1</v>
      </c>
      <c r="E529" s="12">
        <v>20479</v>
      </c>
      <c r="F529" s="13">
        <v>20479</v>
      </c>
      <c r="G529" s="2">
        <f>VLOOKUP(B529,'PO with created By ASR'!A:C,3,FALSE)</f>
        <v>45672</v>
      </c>
      <c r="J529" s="2" t="str">
        <f>VLOOKUP(B529,'PO with created By ASR'!A:G,4,FALSE)</f>
        <v>Digicraft-Mum</v>
      </c>
      <c r="K529" s="2" t="e">
        <f>VLOOKUP(B529,'PO with created By ASR'!A:I,6,FALSE)</f>
        <v>#N/A</v>
      </c>
      <c r="L529" s="2" t="str">
        <f>VLOOKUP(B529,'PO with created By ASR'!A:J,7,FALSE)</f>
        <v>A - Mumbai</v>
      </c>
      <c r="M529" s="2" t="str">
        <f>VLOOKUP(B529,'PO with created By ASR'!A:K,8,FALSE)</f>
        <v>Purchase Order-Mum</v>
      </c>
      <c r="N529" t="s">
        <v>36</v>
      </c>
      <c r="P529" s="2">
        <v>6</v>
      </c>
    </row>
    <row r="530" s="2" customFormat="1" spans="1:16">
      <c r="A530" s="8"/>
      <c r="B530" s="9" t="s">
        <v>1231</v>
      </c>
      <c r="C530" s="10" t="s">
        <v>292</v>
      </c>
      <c r="D530" s="11">
        <v>1</v>
      </c>
      <c r="E530" s="12">
        <v>21400</v>
      </c>
      <c r="F530" s="13">
        <v>21400</v>
      </c>
      <c r="G530" s="2">
        <f>VLOOKUP(B530,'PO with created By ASR'!A:C,3,FALSE)</f>
        <v>45672</v>
      </c>
      <c r="J530" s="2" t="str">
        <f>VLOOKUP(B530,'PO with created By ASR'!A:G,4,FALSE)</f>
        <v>Emblaze Events (Sunita Harihar Sharma)-Mum</v>
      </c>
      <c r="K530" s="2" t="str">
        <f>VLOOKUP(B530,'PO with created By ASR'!A:I,6,FALSE)</f>
        <v>11869 Emblaze Events (Sunita Harihar Sharma)</v>
      </c>
      <c r="L530" s="2" t="str">
        <f>VLOOKUP(B530,'PO with created By ASR'!A:J,7,FALSE)</f>
        <v>A - Mumbai</v>
      </c>
      <c r="M530" s="2" t="str">
        <f>VLOOKUP(B530,'PO with created By ASR'!A:K,8,FALSE)</f>
        <v>Purchase Order-Mum</v>
      </c>
      <c r="N530" t="s">
        <v>36</v>
      </c>
      <c r="P530" s="2">
        <v>6</v>
      </c>
    </row>
    <row r="531" s="2" customFormat="1" spans="1:16">
      <c r="A531" s="8"/>
      <c r="B531" s="9" t="s">
        <v>1232</v>
      </c>
      <c r="C531" s="10" t="s">
        <v>140</v>
      </c>
      <c r="D531" s="11">
        <v>1</v>
      </c>
      <c r="E531" s="12">
        <v>60000</v>
      </c>
      <c r="F531" s="13">
        <v>60000</v>
      </c>
      <c r="G531" s="2">
        <f>VLOOKUP(B531,'PO with created By ASR'!A:C,3,FALSE)</f>
        <v>45673</v>
      </c>
      <c r="J531" s="2" t="str">
        <f>VLOOKUP(B531,'PO with created By ASR'!A:G,4,FALSE)</f>
        <v>Megascule-Blr</v>
      </c>
      <c r="K531" s="2" t="e">
        <f>VLOOKUP(B531,'PO with created By ASR'!A:I,6,FALSE)</f>
        <v>#N/A</v>
      </c>
      <c r="L531" s="2" t="str">
        <f>VLOOKUP(B531,'PO with created By ASR'!A:J,7,FALSE)</f>
        <v>B - Bangalore</v>
      </c>
      <c r="M531" s="2" t="str">
        <f>VLOOKUP(B531,'PO with created By ASR'!A:K,8,FALSE)</f>
        <v>Purchase Order-Blr</v>
      </c>
      <c r="N531" t="s">
        <v>36</v>
      </c>
      <c r="P531" s="2">
        <v>6</v>
      </c>
    </row>
    <row r="532" s="2" customFormat="1" spans="1:16">
      <c r="A532" s="8"/>
      <c r="B532" s="9" t="s">
        <v>1232</v>
      </c>
      <c r="C532" s="10" t="s">
        <v>205</v>
      </c>
      <c r="D532" s="11">
        <v>1</v>
      </c>
      <c r="E532" s="12">
        <v>4000</v>
      </c>
      <c r="F532" s="13">
        <v>4000</v>
      </c>
      <c r="G532" s="2">
        <f>VLOOKUP(B532,'PO with created By ASR'!A:C,3,FALSE)</f>
        <v>45673</v>
      </c>
      <c r="J532" s="2" t="str">
        <f>VLOOKUP(B532,'PO with created By ASR'!A:G,4,FALSE)</f>
        <v>Megascule-Blr</v>
      </c>
      <c r="K532" s="2" t="e">
        <f>VLOOKUP(B532,'PO with created By ASR'!A:I,6,FALSE)</f>
        <v>#N/A</v>
      </c>
      <c r="L532" s="2" t="str">
        <f>VLOOKUP(B532,'PO with created By ASR'!A:J,7,FALSE)</f>
        <v>B - Bangalore</v>
      </c>
      <c r="M532" s="2" t="str">
        <f>VLOOKUP(B532,'PO with created By ASR'!A:K,8,FALSE)</f>
        <v>Purchase Order-Blr</v>
      </c>
      <c r="N532" t="s">
        <v>36</v>
      </c>
      <c r="P532" s="2">
        <v>6</v>
      </c>
    </row>
    <row r="533" s="2" customFormat="1" spans="1:16">
      <c r="A533" s="8"/>
      <c r="B533" s="9" t="s">
        <v>1235</v>
      </c>
      <c r="C533" s="10" t="s">
        <v>1239</v>
      </c>
      <c r="D533" s="11">
        <v>1</v>
      </c>
      <c r="E533" s="12">
        <v>410330</v>
      </c>
      <c r="F533" s="13">
        <v>410330</v>
      </c>
      <c r="G533" s="2">
        <f>VLOOKUP(B533,'PO with created By ASR'!A:C,3,FALSE)</f>
        <v>45673</v>
      </c>
      <c r="J533" s="2" t="str">
        <f>VLOOKUP(B533,'PO with created By ASR'!A:G,4,FALSE)</f>
        <v>Conrad Bengaluru (Prestige Hospitality Ventures Ltd)-Blr</v>
      </c>
      <c r="K533" s="2" t="str">
        <f>VLOOKUP(B533,'PO with created By ASR'!A:I,6,FALSE)</f>
        <v>10261  Conrad Bengaluru (Prestige Hospitality Ventures Ltd)</v>
      </c>
      <c r="L533" s="2" t="str">
        <f>VLOOKUP(B533,'PO with created By ASR'!A:J,7,FALSE)</f>
        <v>B - Bangalore</v>
      </c>
      <c r="M533" s="2" t="str">
        <f>VLOOKUP(B533,'PO with created By ASR'!A:K,8,FALSE)</f>
        <v>Purchase Order-Blr</v>
      </c>
      <c r="N533" t="s">
        <v>36</v>
      </c>
      <c r="P533" s="2">
        <v>6</v>
      </c>
    </row>
    <row r="534" s="2" customFormat="1" spans="1:16">
      <c r="A534" s="8"/>
      <c r="B534" s="9" t="s">
        <v>1235</v>
      </c>
      <c r="C534" s="10" t="s">
        <v>276</v>
      </c>
      <c r="D534" s="11">
        <v>1</v>
      </c>
      <c r="E534" s="12">
        <v>319590</v>
      </c>
      <c r="F534" s="13">
        <v>319590</v>
      </c>
      <c r="G534" s="2">
        <f>VLOOKUP(B534,'PO with created By ASR'!A:C,3,FALSE)</f>
        <v>45673</v>
      </c>
      <c r="J534" s="2" t="str">
        <f>VLOOKUP(B534,'PO with created By ASR'!A:G,4,FALSE)</f>
        <v>Conrad Bengaluru (Prestige Hospitality Ventures Ltd)-Blr</v>
      </c>
      <c r="K534" s="2" t="str">
        <f>VLOOKUP(B534,'PO with created By ASR'!A:I,6,FALSE)</f>
        <v>10261  Conrad Bengaluru (Prestige Hospitality Ventures Ltd)</v>
      </c>
      <c r="L534" s="2" t="str">
        <f>VLOOKUP(B534,'PO with created By ASR'!A:J,7,FALSE)</f>
        <v>B - Bangalore</v>
      </c>
      <c r="M534" s="2" t="str">
        <f>VLOOKUP(B534,'PO with created By ASR'!A:K,8,FALSE)</f>
        <v>Purchase Order-Blr</v>
      </c>
      <c r="N534" t="s">
        <v>36</v>
      </c>
      <c r="P534" s="2">
        <v>6</v>
      </c>
    </row>
    <row r="535" s="2" customFormat="1" spans="1:16">
      <c r="A535" s="8"/>
      <c r="B535" s="9" t="s">
        <v>1235</v>
      </c>
      <c r="C535" s="10" t="s">
        <v>276</v>
      </c>
      <c r="D535" s="11">
        <v>1</v>
      </c>
      <c r="E535" s="12">
        <v>670080</v>
      </c>
      <c r="F535" s="13">
        <v>670080</v>
      </c>
      <c r="G535" s="2">
        <f>VLOOKUP(B535,'PO with created By ASR'!A:C,3,FALSE)</f>
        <v>45673</v>
      </c>
      <c r="J535" s="2" t="str">
        <f>VLOOKUP(B535,'PO with created By ASR'!A:G,4,FALSE)</f>
        <v>Conrad Bengaluru (Prestige Hospitality Ventures Ltd)-Blr</v>
      </c>
      <c r="K535" s="2" t="str">
        <f>VLOOKUP(B535,'PO with created By ASR'!A:I,6,FALSE)</f>
        <v>10261  Conrad Bengaluru (Prestige Hospitality Ventures Ltd)</v>
      </c>
      <c r="L535" s="2" t="str">
        <f>VLOOKUP(B535,'PO with created By ASR'!A:J,7,FALSE)</f>
        <v>B - Bangalore</v>
      </c>
      <c r="M535" s="2" t="str">
        <f>VLOOKUP(B535,'PO with created By ASR'!A:K,8,FALSE)</f>
        <v>Purchase Order-Blr</v>
      </c>
      <c r="N535" t="s">
        <v>36</v>
      </c>
      <c r="P535" s="2">
        <v>6</v>
      </c>
    </row>
    <row r="536" s="2" customFormat="1" spans="1:16">
      <c r="A536" s="8"/>
      <c r="B536" s="9" t="s">
        <v>1235</v>
      </c>
      <c r="C536" s="10" t="s">
        <v>61</v>
      </c>
      <c r="D536" s="11">
        <v>1</v>
      </c>
      <c r="E536" s="12">
        <v>51000</v>
      </c>
      <c r="F536" s="13">
        <v>51000</v>
      </c>
      <c r="G536" s="2">
        <f>VLOOKUP(B536,'PO with created By ASR'!A:C,3,FALSE)</f>
        <v>45673</v>
      </c>
      <c r="J536" s="2" t="str">
        <f>VLOOKUP(B536,'PO with created By ASR'!A:G,4,FALSE)</f>
        <v>Conrad Bengaluru (Prestige Hospitality Ventures Ltd)-Blr</v>
      </c>
      <c r="K536" s="2" t="str">
        <f>VLOOKUP(B536,'PO with created By ASR'!A:I,6,FALSE)</f>
        <v>10261  Conrad Bengaluru (Prestige Hospitality Ventures Ltd)</v>
      </c>
      <c r="L536" s="2" t="str">
        <f>VLOOKUP(B536,'PO with created By ASR'!A:J,7,FALSE)</f>
        <v>B - Bangalore</v>
      </c>
      <c r="M536" s="2" t="str">
        <f>VLOOKUP(B536,'PO with created By ASR'!A:K,8,FALSE)</f>
        <v>Purchase Order-Blr</v>
      </c>
      <c r="N536" t="s">
        <v>36</v>
      </c>
      <c r="P536" s="2">
        <v>6</v>
      </c>
    </row>
    <row r="537" s="2" customFormat="1" spans="1:16">
      <c r="A537" s="8"/>
      <c r="B537" s="9" t="s">
        <v>1242</v>
      </c>
      <c r="C537" s="10" t="s">
        <v>317</v>
      </c>
      <c r="D537" s="11">
        <v>1</v>
      </c>
      <c r="E537" s="12">
        <v>479000</v>
      </c>
      <c r="F537" s="13">
        <v>479000</v>
      </c>
      <c r="G537" s="2">
        <f>VLOOKUP(B537,'PO with created By ASR'!A:C,3,FALSE)</f>
        <v>45673</v>
      </c>
      <c r="J537" s="2" t="str">
        <f>VLOOKUP(B537,'PO with created By ASR'!A:G,4,FALSE)</f>
        <v>Shads Events And Networks-Blr</v>
      </c>
      <c r="K537" s="2" t="str">
        <f>VLOOKUP(B537,'PO with created By ASR'!A:I,6,FALSE)</f>
        <v>11399 Shads Events And Networks</v>
      </c>
      <c r="L537" s="2" t="str">
        <f>VLOOKUP(B537,'PO with created By ASR'!A:J,7,FALSE)</f>
        <v>B - Bangalore</v>
      </c>
      <c r="M537" s="2" t="str">
        <f>VLOOKUP(B537,'PO with created By ASR'!A:K,8,FALSE)</f>
        <v>Purchase Order-Blr</v>
      </c>
      <c r="N537" t="s">
        <v>36</v>
      </c>
      <c r="P537" s="2">
        <v>6</v>
      </c>
    </row>
    <row r="538" s="2" customFormat="1" spans="1:16">
      <c r="A538" s="8"/>
      <c r="B538" s="9" t="s">
        <v>1245</v>
      </c>
      <c r="C538" s="10" t="s">
        <v>151</v>
      </c>
      <c r="D538" s="11">
        <v>1</v>
      </c>
      <c r="E538" s="12">
        <v>200000</v>
      </c>
      <c r="F538" s="13">
        <v>200000</v>
      </c>
      <c r="G538" s="2">
        <f>VLOOKUP(B538,'PO with created By ASR'!A:C,3,FALSE)</f>
        <v>45673</v>
      </c>
      <c r="J538" s="2" t="str">
        <f>VLOOKUP(B538,'PO with created By ASR'!A:G,4,FALSE)</f>
        <v>Dream Factory Pvt. Ltd.-Del</v>
      </c>
      <c r="K538" s="2" t="e">
        <f>VLOOKUP(B538,'PO with created By ASR'!A:I,6,FALSE)</f>
        <v>#N/A</v>
      </c>
      <c r="L538" s="2" t="str">
        <f>VLOOKUP(B538,'PO with created By ASR'!A:J,7,FALSE)</f>
        <v>B - Bangalore</v>
      </c>
      <c r="M538" s="2" t="str">
        <f>VLOOKUP(B538,'PO with created By ASR'!A:K,8,FALSE)</f>
        <v>Purchase Order-Blr</v>
      </c>
      <c r="N538" t="s">
        <v>36</v>
      </c>
      <c r="P538" s="2">
        <v>6</v>
      </c>
    </row>
    <row r="539" s="2" customFormat="1" spans="1:16">
      <c r="A539" s="8"/>
      <c r="B539" s="9" t="s">
        <v>1247</v>
      </c>
      <c r="C539" s="10" t="s">
        <v>196</v>
      </c>
      <c r="D539" s="11">
        <v>1</v>
      </c>
      <c r="E539" s="12">
        <v>7600</v>
      </c>
      <c r="F539" s="13">
        <v>7600</v>
      </c>
      <c r="G539" s="2">
        <f>VLOOKUP(B539,'PO with created By ASR'!A:C,3,FALSE)</f>
        <v>45673</v>
      </c>
      <c r="J539" s="2" t="str">
        <f>VLOOKUP(B539,'PO with created By ASR'!A:G,4,FALSE)</f>
        <v>Pixels2Print-Blr</v>
      </c>
      <c r="K539" s="2" t="e">
        <f>VLOOKUP(B539,'PO with created By ASR'!A:I,6,FALSE)</f>
        <v>#N/A</v>
      </c>
      <c r="L539" s="2" t="str">
        <f>VLOOKUP(B539,'PO with created By ASR'!A:J,7,FALSE)</f>
        <v>B - Bangalore</v>
      </c>
      <c r="M539" s="2" t="str">
        <f>VLOOKUP(B539,'PO with created By ASR'!A:K,8,FALSE)</f>
        <v>Purchase Order-Blr</v>
      </c>
      <c r="N539" t="s">
        <v>36</v>
      </c>
      <c r="P539" s="2">
        <v>6</v>
      </c>
    </row>
    <row r="540" s="2" customFormat="1" spans="1:16">
      <c r="A540" s="8"/>
      <c r="B540" s="9" t="s">
        <v>1248</v>
      </c>
      <c r="C540" s="10" t="s">
        <v>151</v>
      </c>
      <c r="D540" s="11">
        <v>1</v>
      </c>
      <c r="E540" s="12">
        <v>4650</v>
      </c>
      <c r="F540" s="13">
        <v>4650</v>
      </c>
      <c r="G540" s="2">
        <f>VLOOKUP(B540,'PO with created By ASR'!A:C,3,FALSE)</f>
        <v>45673</v>
      </c>
      <c r="J540" s="2" t="str">
        <f>VLOOKUP(B540,'PO with created By ASR'!A:G,4,FALSE)</f>
        <v>Dev Enterprises-Blr</v>
      </c>
      <c r="K540" s="2" t="str">
        <f>VLOOKUP(B540,'PO with created By ASR'!A:I,6,FALSE)</f>
        <v>11823 Dev Enterprises</v>
      </c>
      <c r="L540" s="2" t="str">
        <f>VLOOKUP(B540,'PO with created By ASR'!A:J,7,FALSE)</f>
        <v>B - Bangalore</v>
      </c>
      <c r="M540" s="2" t="str">
        <f>VLOOKUP(B540,'PO with created By ASR'!A:K,8,FALSE)</f>
        <v>Purchase Order-Blr</v>
      </c>
      <c r="N540" t="s">
        <v>36</v>
      </c>
      <c r="P540" s="2">
        <v>6</v>
      </c>
    </row>
    <row r="541" s="2" customFormat="1" spans="1:16">
      <c r="A541" s="8"/>
      <c r="B541" s="9" t="s">
        <v>1251</v>
      </c>
      <c r="C541" s="10" t="s">
        <v>371</v>
      </c>
      <c r="D541" s="11">
        <v>1</v>
      </c>
      <c r="E541" s="12">
        <v>20000</v>
      </c>
      <c r="F541" s="13">
        <v>20000</v>
      </c>
      <c r="G541" s="2">
        <f>VLOOKUP(B541,'PO with created By ASR'!A:C,3,FALSE)</f>
        <v>45673</v>
      </c>
      <c r="J541" s="2" t="str">
        <f>VLOOKUP(B541,'PO with created By ASR'!A:G,4,FALSE)</f>
        <v>Mass Vision-Blr</v>
      </c>
      <c r="K541" s="2" t="str">
        <f>VLOOKUP(B541,'PO with created By ASR'!A:I,6,FALSE)</f>
        <v>12126 Mass Vision</v>
      </c>
      <c r="L541" s="2" t="str">
        <f>VLOOKUP(B541,'PO with created By ASR'!A:J,7,FALSE)</f>
        <v>B - Bangalore</v>
      </c>
      <c r="M541" s="2" t="str">
        <f>VLOOKUP(B541,'PO with created By ASR'!A:K,8,FALSE)</f>
        <v>Purchase Order-Blr</v>
      </c>
      <c r="N541" t="s">
        <v>36</v>
      </c>
      <c r="P541" s="2">
        <v>6</v>
      </c>
    </row>
    <row r="542" s="2" customFormat="1" spans="1:16">
      <c r="A542" s="8"/>
      <c r="B542" s="9" t="s">
        <v>1252</v>
      </c>
      <c r="C542" s="10" t="s">
        <v>276</v>
      </c>
      <c r="D542" s="11">
        <v>1</v>
      </c>
      <c r="E542" s="12">
        <v>500250</v>
      </c>
      <c r="F542" s="13">
        <v>500250</v>
      </c>
      <c r="G542" s="2">
        <f>VLOOKUP(B542,'PO with created By ASR'!A:C,3,FALSE)</f>
        <v>45673</v>
      </c>
      <c r="J542" s="2" t="str">
        <f>VLOOKUP(B542,'PO with created By ASR'!A:G,4,FALSE)</f>
        <v>The Westin Chennai Velachery (MFAR Hotels and Resorts Pvt Ltd)-Che</v>
      </c>
      <c r="K542" s="2" t="str">
        <f>VLOOKUP(B542,'PO with created By ASR'!A:I,6,FALSE)</f>
        <v>10468  The Westin Chennai Velachery (MFAR Hotels and Resorts Pvt Ltd)</v>
      </c>
      <c r="L542" s="2" t="str">
        <f>VLOOKUP(B542,'PO with created By ASR'!A:J,7,FALSE)</f>
        <v>C - Chennai</v>
      </c>
      <c r="M542" s="2" t="str">
        <f>VLOOKUP(B542,'PO with created By ASR'!A:K,8,FALSE)</f>
        <v>Purchase Order-Che</v>
      </c>
      <c r="N542" t="s">
        <v>36</v>
      </c>
      <c r="P542" s="2">
        <v>6</v>
      </c>
    </row>
    <row r="543" s="2" customFormat="1" spans="1:16">
      <c r="A543" s="8"/>
      <c r="B543" s="9" t="s">
        <v>1252</v>
      </c>
      <c r="C543" s="10" t="s">
        <v>276</v>
      </c>
      <c r="D543" s="11">
        <v>1</v>
      </c>
      <c r="E543" s="12">
        <v>286607.25</v>
      </c>
      <c r="F543" s="13">
        <v>286607.25</v>
      </c>
      <c r="G543" s="2">
        <f>VLOOKUP(B543,'PO with created By ASR'!A:C,3,FALSE)</f>
        <v>45673</v>
      </c>
      <c r="J543" s="2" t="str">
        <f>VLOOKUP(B543,'PO with created By ASR'!A:G,4,FALSE)</f>
        <v>The Westin Chennai Velachery (MFAR Hotels and Resorts Pvt Ltd)-Che</v>
      </c>
      <c r="K543" s="2" t="str">
        <f>VLOOKUP(B543,'PO with created By ASR'!A:I,6,FALSE)</f>
        <v>10468  The Westin Chennai Velachery (MFAR Hotels and Resorts Pvt Ltd)</v>
      </c>
      <c r="L543" s="2" t="str">
        <f>VLOOKUP(B543,'PO with created By ASR'!A:J,7,FALSE)</f>
        <v>C - Chennai</v>
      </c>
      <c r="M543" s="2" t="str">
        <f>VLOOKUP(B543,'PO with created By ASR'!A:K,8,FALSE)</f>
        <v>Purchase Order-Che</v>
      </c>
      <c r="N543" t="s">
        <v>36</v>
      </c>
      <c r="P543" s="2">
        <v>6</v>
      </c>
    </row>
    <row r="544" s="2" customFormat="1" spans="1:16">
      <c r="A544" s="8"/>
      <c r="B544" s="9" t="s">
        <v>1252</v>
      </c>
      <c r="C544" s="10" t="s">
        <v>1239</v>
      </c>
      <c r="D544" s="11">
        <v>1</v>
      </c>
      <c r="E544" s="12">
        <v>510300</v>
      </c>
      <c r="F544" s="13">
        <v>510300</v>
      </c>
      <c r="G544" s="2">
        <f>VLOOKUP(B544,'PO with created By ASR'!A:C,3,FALSE)</f>
        <v>45673</v>
      </c>
      <c r="J544" s="2" t="str">
        <f>VLOOKUP(B544,'PO with created By ASR'!A:G,4,FALSE)</f>
        <v>The Westin Chennai Velachery (MFAR Hotels and Resorts Pvt Ltd)-Che</v>
      </c>
      <c r="K544" s="2" t="str">
        <f>VLOOKUP(B544,'PO with created By ASR'!A:I,6,FALSE)</f>
        <v>10468  The Westin Chennai Velachery (MFAR Hotels and Resorts Pvt Ltd)</v>
      </c>
      <c r="L544" s="2" t="str">
        <f>VLOOKUP(B544,'PO with created By ASR'!A:J,7,FALSE)</f>
        <v>C - Chennai</v>
      </c>
      <c r="M544" s="2" t="str">
        <f>VLOOKUP(B544,'PO with created By ASR'!A:K,8,FALSE)</f>
        <v>Purchase Order-Che</v>
      </c>
      <c r="N544" t="s">
        <v>36</v>
      </c>
      <c r="P544" s="2">
        <v>6</v>
      </c>
    </row>
    <row r="545" s="2" customFormat="1" spans="1:16">
      <c r="A545" s="8"/>
      <c r="B545" s="9" t="s">
        <v>1252</v>
      </c>
      <c r="C545" s="10" t="s">
        <v>61</v>
      </c>
      <c r="D545" s="11">
        <v>1</v>
      </c>
      <c r="E545" s="12">
        <v>47700</v>
      </c>
      <c r="F545" s="13">
        <v>47700</v>
      </c>
      <c r="G545" s="2">
        <f>VLOOKUP(B545,'PO with created By ASR'!A:C,3,FALSE)</f>
        <v>45673</v>
      </c>
      <c r="J545" s="2" t="str">
        <f>VLOOKUP(B545,'PO with created By ASR'!A:G,4,FALSE)</f>
        <v>The Westin Chennai Velachery (MFAR Hotels and Resorts Pvt Ltd)-Che</v>
      </c>
      <c r="K545" s="2" t="str">
        <f>VLOOKUP(B545,'PO with created By ASR'!A:I,6,FALSE)</f>
        <v>10468  The Westin Chennai Velachery (MFAR Hotels and Resorts Pvt Ltd)</v>
      </c>
      <c r="L545" s="2" t="str">
        <f>VLOOKUP(B545,'PO with created By ASR'!A:J,7,FALSE)</f>
        <v>C - Chennai</v>
      </c>
      <c r="M545" s="2" t="str">
        <f>VLOOKUP(B545,'PO with created By ASR'!A:K,8,FALSE)</f>
        <v>Purchase Order-Che</v>
      </c>
      <c r="N545" t="s">
        <v>36</v>
      </c>
      <c r="P545" s="2">
        <v>6</v>
      </c>
    </row>
    <row r="546" s="2" customFormat="1" spans="1:16">
      <c r="A546" s="8"/>
      <c r="B546" s="9" t="s">
        <v>1254</v>
      </c>
      <c r="C546" s="10" t="s">
        <v>233</v>
      </c>
      <c r="D546" s="11">
        <v>1</v>
      </c>
      <c r="E546" s="12">
        <v>9000</v>
      </c>
      <c r="F546" s="13">
        <v>9000</v>
      </c>
      <c r="G546" s="2">
        <f>VLOOKUP(B546,'PO with created By ASR'!A:C,3,FALSE)</f>
        <v>45673</v>
      </c>
      <c r="J546" s="2" t="str">
        <f>VLOOKUP(B546,'PO with created By ASR'!A:G,4,FALSE)</f>
        <v>R Anandan  -CR</v>
      </c>
      <c r="K546" s="2" t="e">
        <f>VLOOKUP(B546,'PO with created By ASR'!A:I,6,FALSE)</f>
        <v>#N/A</v>
      </c>
      <c r="L546" s="2" t="str">
        <f>VLOOKUP(B546,'PO with created By ASR'!A:J,7,FALSE)</f>
        <v>C - Chennai</v>
      </c>
      <c r="M546" s="2" t="str">
        <f>VLOOKUP(B546,'PO with created By ASR'!A:K,8,FALSE)</f>
        <v>Purchase Order-Che</v>
      </c>
      <c r="N546" t="s">
        <v>36</v>
      </c>
      <c r="P546" s="2">
        <v>6</v>
      </c>
    </row>
    <row r="547" s="2" customFormat="1" spans="1:16">
      <c r="A547" s="8"/>
      <c r="B547" s="9" t="s">
        <v>1256</v>
      </c>
      <c r="C547" s="10" t="s">
        <v>165</v>
      </c>
      <c r="D547" s="14">
        <v>2</v>
      </c>
      <c r="E547" s="15">
        <v>256987</v>
      </c>
      <c r="F547" s="13">
        <v>513974</v>
      </c>
      <c r="G547" s="2">
        <f>VLOOKUP(B547,'PO with created By ASR'!A:C,3,FALSE)</f>
        <v>45673</v>
      </c>
      <c r="J547" s="2" t="str">
        <f>VLOOKUP(B547,'PO with created By ASR'!A:G,4,FALSE)</f>
        <v>Dell International Services India Pvt Ltd (CR)-Mum</v>
      </c>
      <c r="K547" s="2" t="e">
        <f>VLOOKUP(B547,'PO with created By ASR'!A:I,6,FALSE)</f>
        <v>#N/A</v>
      </c>
      <c r="L547" s="2" t="str">
        <f>VLOOKUP(B547,'PO with created By ASR'!A:J,7,FALSE)</f>
        <v>D - Delhi</v>
      </c>
      <c r="M547" s="2" t="str">
        <f>VLOOKUP(B547,'PO with created By ASR'!A:K,8,FALSE)</f>
        <v>Purchase Order-Del</v>
      </c>
      <c r="N547" t="s">
        <v>36</v>
      </c>
      <c r="P547" s="2">
        <v>6</v>
      </c>
    </row>
    <row r="548" s="2" customFormat="1" spans="1:16">
      <c r="A548" s="8"/>
      <c r="B548" s="9" t="s">
        <v>1258</v>
      </c>
      <c r="C548" s="10" t="s">
        <v>1239</v>
      </c>
      <c r="D548" s="11">
        <v>1</v>
      </c>
      <c r="E548" s="12">
        <v>130600</v>
      </c>
      <c r="F548" s="13">
        <v>130600</v>
      </c>
      <c r="G548" s="2">
        <f>VLOOKUP(B548,'PO with created By ASR'!A:C,3,FALSE)</f>
        <v>45673</v>
      </c>
      <c r="J548" s="2" t="str">
        <f>VLOOKUP(B548,'PO with created By ASR'!A:G,4,FALSE)</f>
        <v>Bird Airport Hotel Pvt Ltd (Roseate Hotels &amp; Resorts)-Del</v>
      </c>
      <c r="K548" s="2" t="str">
        <f>VLOOKUP(B548,'PO with created By ASR'!A:I,6,FALSE)</f>
        <v>10251  Bird Airport Hotel Pvt Ltd (Roseate Hotels &amp; Resorts)</v>
      </c>
      <c r="L548" s="2" t="str">
        <f>VLOOKUP(B548,'PO with created By ASR'!A:J,7,FALSE)</f>
        <v>D - Delhi</v>
      </c>
      <c r="M548" s="2" t="str">
        <f>VLOOKUP(B548,'PO with created By ASR'!A:K,8,FALSE)</f>
        <v>Purchase Order-Del</v>
      </c>
      <c r="N548" t="s">
        <v>36</v>
      </c>
      <c r="P548" s="2">
        <v>6</v>
      </c>
    </row>
    <row r="549" s="2" customFormat="1" spans="1:16">
      <c r="A549" s="8"/>
      <c r="B549" s="9" t="s">
        <v>1258</v>
      </c>
      <c r="C549" s="10" t="s">
        <v>276</v>
      </c>
      <c r="D549" s="11">
        <v>1</v>
      </c>
      <c r="E549" s="12">
        <v>728400</v>
      </c>
      <c r="F549" s="13">
        <v>728400</v>
      </c>
      <c r="G549" s="2">
        <f>VLOOKUP(B549,'PO with created By ASR'!A:C,3,FALSE)</f>
        <v>45673</v>
      </c>
      <c r="J549" s="2" t="str">
        <f>VLOOKUP(B549,'PO with created By ASR'!A:G,4,FALSE)</f>
        <v>Bird Airport Hotel Pvt Ltd (Roseate Hotels &amp; Resorts)-Del</v>
      </c>
      <c r="K549" s="2" t="str">
        <f>VLOOKUP(B549,'PO with created By ASR'!A:I,6,FALSE)</f>
        <v>10251  Bird Airport Hotel Pvt Ltd (Roseate Hotels &amp; Resorts)</v>
      </c>
      <c r="L549" s="2" t="str">
        <f>VLOOKUP(B549,'PO with created By ASR'!A:J,7,FALSE)</f>
        <v>D - Delhi</v>
      </c>
      <c r="M549" s="2" t="str">
        <f>VLOOKUP(B549,'PO with created By ASR'!A:K,8,FALSE)</f>
        <v>Purchase Order-Del</v>
      </c>
      <c r="N549" t="s">
        <v>36</v>
      </c>
      <c r="P549" s="2">
        <v>6</v>
      </c>
    </row>
    <row r="550" s="2" customFormat="1" spans="1:16">
      <c r="A550" s="8"/>
      <c r="B550" s="9" t="s">
        <v>1258</v>
      </c>
      <c r="C550" s="10" t="s">
        <v>276</v>
      </c>
      <c r="D550" s="11">
        <v>1</v>
      </c>
      <c r="E550" s="12">
        <v>186750</v>
      </c>
      <c r="F550" s="13">
        <v>186750</v>
      </c>
      <c r="G550" s="2">
        <f>VLOOKUP(B550,'PO with created By ASR'!A:C,3,FALSE)</f>
        <v>45673</v>
      </c>
      <c r="J550" s="2" t="str">
        <f>VLOOKUP(B550,'PO with created By ASR'!A:G,4,FALSE)</f>
        <v>Bird Airport Hotel Pvt Ltd (Roseate Hotels &amp; Resorts)-Del</v>
      </c>
      <c r="K550" s="2" t="str">
        <f>VLOOKUP(B550,'PO with created By ASR'!A:I,6,FALSE)</f>
        <v>10251  Bird Airport Hotel Pvt Ltd (Roseate Hotels &amp; Resorts)</v>
      </c>
      <c r="L550" s="2" t="str">
        <f>VLOOKUP(B550,'PO with created By ASR'!A:J,7,FALSE)</f>
        <v>D - Delhi</v>
      </c>
      <c r="M550" s="2" t="str">
        <f>VLOOKUP(B550,'PO with created By ASR'!A:K,8,FALSE)</f>
        <v>Purchase Order-Del</v>
      </c>
      <c r="N550" t="s">
        <v>36</v>
      </c>
      <c r="P550" s="2">
        <v>6</v>
      </c>
    </row>
    <row r="551" s="2" customFormat="1" spans="1:16">
      <c r="A551" s="8"/>
      <c r="B551" s="9" t="s">
        <v>1261</v>
      </c>
      <c r="C551" s="10" t="s">
        <v>126</v>
      </c>
      <c r="D551" s="11">
        <v>1</v>
      </c>
      <c r="E551" s="12">
        <v>2363</v>
      </c>
      <c r="F551" s="13">
        <v>2363</v>
      </c>
      <c r="G551" s="2">
        <f>VLOOKUP(B551,'PO with created By ASR'!A:C,3,FALSE)</f>
        <v>45673</v>
      </c>
      <c r="J551" s="2" t="str">
        <f>VLOOKUP(B551,'PO with created By ASR'!A:G,4,FALSE)</f>
        <v>Alok Khanna  -CR</v>
      </c>
      <c r="K551" s="2" t="str">
        <f>VLOOKUP(B551,'PO with created By ASR'!A:I,6,FALSE)</f>
        <v>10526 Alok Khanna</v>
      </c>
      <c r="L551" s="2" t="str">
        <f>VLOOKUP(B551,'PO with created By ASR'!A:J,7,FALSE)</f>
        <v>D - Delhi</v>
      </c>
      <c r="M551" s="2" t="str">
        <f>VLOOKUP(B551,'PO with created By ASR'!A:K,8,FALSE)</f>
        <v>Purchase Order-Del</v>
      </c>
      <c r="N551" t="s">
        <v>36</v>
      </c>
      <c r="P551" s="2">
        <v>6</v>
      </c>
    </row>
    <row r="552" s="2" customFormat="1" spans="1:16">
      <c r="A552" s="8"/>
      <c r="B552" s="9" t="s">
        <v>1264</v>
      </c>
      <c r="C552" s="10" t="s">
        <v>126</v>
      </c>
      <c r="D552" s="11">
        <v>1</v>
      </c>
      <c r="E552" s="12">
        <v>4009</v>
      </c>
      <c r="F552" s="13">
        <v>4009</v>
      </c>
      <c r="G552" s="2">
        <f>VLOOKUP(B552,'PO with created By ASR'!A:C,3,FALSE)</f>
        <v>45673</v>
      </c>
      <c r="J552" s="2" t="str">
        <f>VLOOKUP(B552,'PO with created By ASR'!A:G,4,FALSE)</f>
        <v>Parvesh Mahalwal............... -CR</v>
      </c>
      <c r="K552" s="2" t="e">
        <f>VLOOKUP(B552,'PO with created By ASR'!A:I,6,FALSE)</f>
        <v>#N/A</v>
      </c>
      <c r="L552" s="2" t="str">
        <f>VLOOKUP(B552,'PO with created By ASR'!A:J,7,FALSE)</f>
        <v>D - Delhi</v>
      </c>
      <c r="M552" s="2" t="str">
        <f>VLOOKUP(B552,'PO with created By ASR'!A:K,8,FALSE)</f>
        <v>Purchase Order-Del</v>
      </c>
      <c r="N552" t="s">
        <v>36</v>
      </c>
      <c r="P552" s="2">
        <v>6</v>
      </c>
    </row>
    <row r="553" s="2" customFormat="1" spans="1:16">
      <c r="A553" s="8"/>
      <c r="B553" s="9" t="s">
        <v>1264</v>
      </c>
      <c r="C553" s="10" t="s">
        <v>412</v>
      </c>
      <c r="D553" s="11">
        <v>1</v>
      </c>
      <c r="E553" s="12">
        <v>2875</v>
      </c>
      <c r="F553" s="13">
        <v>2875</v>
      </c>
      <c r="G553" s="2">
        <f>VLOOKUP(B553,'PO with created By ASR'!A:C,3,FALSE)</f>
        <v>45673</v>
      </c>
      <c r="J553" s="2" t="str">
        <f>VLOOKUP(B553,'PO with created By ASR'!A:G,4,FALSE)</f>
        <v>Parvesh Mahalwal............... -CR</v>
      </c>
      <c r="K553" s="2" t="e">
        <f>VLOOKUP(B553,'PO with created By ASR'!A:I,6,FALSE)</f>
        <v>#N/A</v>
      </c>
      <c r="L553" s="2" t="str">
        <f>VLOOKUP(B553,'PO with created By ASR'!A:J,7,FALSE)</f>
        <v>D - Delhi</v>
      </c>
      <c r="M553" s="2" t="str">
        <f>VLOOKUP(B553,'PO with created By ASR'!A:K,8,FALSE)</f>
        <v>Purchase Order-Del</v>
      </c>
      <c r="N553" t="s">
        <v>36</v>
      </c>
      <c r="P553" s="2">
        <v>6</v>
      </c>
    </row>
    <row r="554" s="2" customFormat="1" spans="1:16">
      <c r="A554" s="8"/>
      <c r="B554" s="9" t="s">
        <v>1264</v>
      </c>
      <c r="C554" s="10" t="s">
        <v>233</v>
      </c>
      <c r="D554" s="11">
        <v>1</v>
      </c>
      <c r="E554" s="12">
        <v>6900</v>
      </c>
      <c r="F554" s="13">
        <v>6900</v>
      </c>
      <c r="G554" s="2">
        <f>VLOOKUP(B554,'PO with created By ASR'!A:C,3,FALSE)</f>
        <v>45673</v>
      </c>
      <c r="J554" s="2" t="str">
        <f>VLOOKUP(B554,'PO with created By ASR'!A:G,4,FALSE)</f>
        <v>Parvesh Mahalwal............... -CR</v>
      </c>
      <c r="K554" s="2" t="e">
        <f>VLOOKUP(B554,'PO with created By ASR'!A:I,6,FALSE)</f>
        <v>#N/A</v>
      </c>
      <c r="L554" s="2" t="str">
        <f>VLOOKUP(B554,'PO with created By ASR'!A:J,7,FALSE)</f>
        <v>D - Delhi</v>
      </c>
      <c r="M554" s="2" t="str">
        <f>VLOOKUP(B554,'PO with created By ASR'!A:K,8,FALSE)</f>
        <v>Purchase Order-Del</v>
      </c>
      <c r="N554" t="s">
        <v>36</v>
      </c>
      <c r="P554" s="2">
        <v>6</v>
      </c>
    </row>
    <row r="555" s="2" customFormat="1" spans="1:16">
      <c r="A555" s="8"/>
      <c r="B555" s="9" t="s">
        <v>1266</v>
      </c>
      <c r="C555" s="10" t="s">
        <v>151</v>
      </c>
      <c r="D555" s="11">
        <v>1</v>
      </c>
      <c r="E555" s="12">
        <v>290000</v>
      </c>
      <c r="F555" s="13">
        <v>290000</v>
      </c>
      <c r="G555" s="2">
        <f>VLOOKUP(B555,'PO with created By ASR'!A:C,3,FALSE)</f>
        <v>45673</v>
      </c>
      <c r="J555" s="2" t="str">
        <f>VLOOKUP(B555,'PO with created By ASR'!A:G,4,FALSE)</f>
        <v>Black Pearl Production Pvt Ltd-Del</v>
      </c>
      <c r="K555" s="2" t="str">
        <f>VLOOKUP(B555,'PO with created By ASR'!A:I,6,FALSE)</f>
        <v>11734  Black Pearl Production Pvt Ltd</v>
      </c>
      <c r="L555" s="2" t="str">
        <f>VLOOKUP(B555,'PO with created By ASR'!A:J,7,FALSE)</f>
        <v>D - Delhi</v>
      </c>
      <c r="M555" s="2" t="str">
        <f>VLOOKUP(B555,'PO with created By ASR'!A:K,8,FALSE)</f>
        <v>Purchase Order-Del</v>
      </c>
      <c r="N555" t="s">
        <v>36</v>
      </c>
      <c r="P555" s="2">
        <v>6</v>
      </c>
    </row>
    <row r="556" s="2" customFormat="1" spans="1:16">
      <c r="A556" s="8"/>
      <c r="B556" s="9" t="s">
        <v>1269</v>
      </c>
      <c r="C556" s="10" t="s">
        <v>233</v>
      </c>
      <c r="D556" s="11">
        <v>1</v>
      </c>
      <c r="E556" s="12">
        <v>5500</v>
      </c>
      <c r="F556" s="13">
        <v>5500</v>
      </c>
      <c r="G556" s="2">
        <f>VLOOKUP(B556,'PO with created By ASR'!A:C,3,FALSE)</f>
        <v>45673</v>
      </c>
      <c r="J556" s="2" t="str">
        <f>VLOOKUP(B556,'PO with created By ASR'!A:G,4,FALSE)</f>
        <v>Pankaj Kumar Mishra  -CR</v>
      </c>
      <c r="K556" s="2" t="e">
        <f>VLOOKUP(B556,'PO with created By ASR'!A:I,6,FALSE)</f>
        <v>#N/A</v>
      </c>
      <c r="L556" s="2" t="str">
        <f>VLOOKUP(B556,'PO with created By ASR'!A:J,7,FALSE)</f>
        <v>D - Delhi</v>
      </c>
      <c r="M556" s="2" t="str">
        <f>VLOOKUP(B556,'PO with created By ASR'!A:K,8,FALSE)</f>
        <v>Purchase Order-Del</v>
      </c>
      <c r="N556" t="s">
        <v>36</v>
      </c>
      <c r="P556" s="2">
        <v>6</v>
      </c>
    </row>
    <row r="557" s="2" customFormat="1" spans="1:16">
      <c r="A557" s="8"/>
      <c r="B557" s="9" t="s">
        <v>1270</v>
      </c>
      <c r="C557" s="10" t="s">
        <v>1271</v>
      </c>
      <c r="D557" s="14">
        <v>4</v>
      </c>
      <c r="E557" s="15">
        <v>256987</v>
      </c>
      <c r="F557" s="13">
        <v>1027948</v>
      </c>
      <c r="G557" s="2">
        <f>VLOOKUP(B557,'PO with created By ASR'!A:C,3,FALSE)</f>
        <v>45673</v>
      </c>
      <c r="J557" s="2" t="str">
        <f>VLOOKUP(B557,'PO with created By ASR'!A:G,4,FALSE)</f>
        <v>Dell International Services India Pvt Ltd (CR)-Mum</v>
      </c>
      <c r="K557" s="2" t="e">
        <f>VLOOKUP(B557,'PO with created By ASR'!A:I,6,FALSE)</f>
        <v>#N/A</v>
      </c>
      <c r="L557" s="2" t="str">
        <f>VLOOKUP(B557,'PO with created By ASR'!A:J,7,FALSE)</f>
        <v>A - Mumbai</v>
      </c>
      <c r="M557" s="2" t="str">
        <f>VLOOKUP(B557,'PO with created By ASR'!A:K,8,FALSE)</f>
        <v>Purchase Order(Gen)-Mum</v>
      </c>
      <c r="N557" t="s">
        <v>36</v>
      </c>
      <c r="P557" s="2">
        <v>6</v>
      </c>
    </row>
    <row r="558" s="2" customFormat="1" spans="1:16">
      <c r="A558" s="8"/>
      <c r="B558" s="9" t="s">
        <v>1272</v>
      </c>
      <c r="C558" s="10" t="s">
        <v>1176</v>
      </c>
      <c r="D558" s="11">
        <v>1</v>
      </c>
      <c r="E558" s="12">
        <v>293817</v>
      </c>
      <c r="F558" s="13">
        <v>293817</v>
      </c>
      <c r="G558" s="2">
        <f>VLOOKUP(B558,'PO with created By ASR'!A:C,3,FALSE)</f>
        <v>45673</v>
      </c>
      <c r="J558" s="2" t="str">
        <f>VLOOKUP(B558,'PO with created By ASR'!A:G,4,FALSE)</f>
        <v>The Ritz-Carlton, Pune (Panchshil Corporate Park Pvt Ltd)-Mum</v>
      </c>
      <c r="K558" s="2" t="e">
        <f>VLOOKUP(B558,'PO with created By ASR'!A:I,6,FALSE)</f>
        <v>#N/A</v>
      </c>
      <c r="L558" s="2" t="str">
        <f>VLOOKUP(B558,'PO with created By ASR'!A:J,7,FALSE)</f>
        <v>A - Mumbai</v>
      </c>
      <c r="M558" s="2" t="str">
        <f>VLOOKUP(B558,'PO with created By ASR'!A:K,8,FALSE)</f>
        <v>Purchase Order-Mum</v>
      </c>
      <c r="N558" t="s">
        <v>36</v>
      </c>
      <c r="P558" s="2">
        <v>6</v>
      </c>
    </row>
    <row r="559" s="2" customFormat="1" spans="1:16">
      <c r="A559" s="8"/>
      <c r="B559" s="9" t="s">
        <v>1272</v>
      </c>
      <c r="C559" s="10" t="s">
        <v>276</v>
      </c>
      <c r="D559" s="11">
        <v>1</v>
      </c>
      <c r="E559" s="12">
        <v>667380</v>
      </c>
      <c r="F559" s="13">
        <v>667380</v>
      </c>
      <c r="G559" s="2">
        <f>VLOOKUP(B559,'PO with created By ASR'!A:C,3,FALSE)</f>
        <v>45673</v>
      </c>
      <c r="J559" s="2" t="str">
        <f>VLOOKUP(B559,'PO with created By ASR'!A:G,4,FALSE)</f>
        <v>The Ritz-Carlton, Pune (Panchshil Corporate Park Pvt Ltd)-Mum</v>
      </c>
      <c r="K559" s="2" t="e">
        <f>VLOOKUP(B559,'PO with created By ASR'!A:I,6,FALSE)</f>
        <v>#N/A</v>
      </c>
      <c r="L559" s="2" t="str">
        <f>VLOOKUP(B559,'PO with created By ASR'!A:J,7,FALSE)</f>
        <v>A - Mumbai</v>
      </c>
      <c r="M559" s="2" t="str">
        <f>VLOOKUP(B559,'PO with created By ASR'!A:K,8,FALSE)</f>
        <v>Purchase Order-Mum</v>
      </c>
      <c r="N559" t="s">
        <v>36</v>
      </c>
      <c r="P559" s="2">
        <v>6</v>
      </c>
    </row>
    <row r="560" s="2" customFormat="1" spans="1:16">
      <c r="A560" s="8"/>
      <c r="B560" s="9" t="s">
        <v>1272</v>
      </c>
      <c r="C560" s="10" t="s">
        <v>276</v>
      </c>
      <c r="D560" s="11">
        <v>1</v>
      </c>
      <c r="E560" s="12">
        <v>328563</v>
      </c>
      <c r="F560" s="13">
        <v>328563</v>
      </c>
      <c r="G560" s="2">
        <f>VLOOKUP(B560,'PO with created By ASR'!A:C,3,FALSE)</f>
        <v>45673</v>
      </c>
      <c r="J560" s="2" t="str">
        <f>VLOOKUP(B560,'PO with created By ASR'!A:G,4,FALSE)</f>
        <v>The Ritz-Carlton, Pune (Panchshil Corporate Park Pvt Ltd)-Mum</v>
      </c>
      <c r="K560" s="2" t="e">
        <f>VLOOKUP(B560,'PO with created By ASR'!A:I,6,FALSE)</f>
        <v>#N/A</v>
      </c>
      <c r="L560" s="2" t="str">
        <f>VLOOKUP(B560,'PO with created By ASR'!A:J,7,FALSE)</f>
        <v>A - Mumbai</v>
      </c>
      <c r="M560" s="2" t="str">
        <f>VLOOKUP(B560,'PO with created By ASR'!A:K,8,FALSE)</f>
        <v>Purchase Order-Mum</v>
      </c>
      <c r="N560" t="s">
        <v>36</v>
      </c>
      <c r="P560" s="2">
        <v>6</v>
      </c>
    </row>
    <row r="561" s="2" customFormat="1" spans="1:16">
      <c r="A561" s="8"/>
      <c r="B561" s="9" t="s">
        <v>1274</v>
      </c>
      <c r="C561" s="10" t="s">
        <v>233</v>
      </c>
      <c r="D561" s="11">
        <v>1</v>
      </c>
      <c r="E561" s="12">
        <v>1200000</v>
      </c>
      <c r="F561" s="13">
        <v>1200000</v>
      </c>
      <c r="G561" s="2">
        <f>VLOOKUP(B561,'PO with created By ASR'!A:C,3,FALSE)</f>
        <v>45673</v>
      </c>
      <c r="J561" s="2" t="str">
        <f>VLOOKUP(B561,'PO with created By ASR'!A:G,4,FALSE)</f>
        <v>Greenix Experience Pvt Ltd-Mum</v>
      </c>
      <c r="K561" s="2" t="str">
        <f>VLOOKUP(B561,'PO with created By ASR'!A:I,6,FALSE)</f>
        <v>10297  Greenix Experience Pvt Ltd</v>
      </c>
      <c r="L561" s="2" t="str">
        <f>VLOOKUP(B561,'PO with created By ASR'!A:J,7,FALSE)</f>
        <v>A - Mumbai</v>
      </c>
      <c r="M561" s="2" t="str">
        <f>VLOOKUP(B561,'PO with created By ASR'!A:K,8,FALSE)</f>
        <v>Purchase Order-Mum</v>
      </c>
      <c r="N561" t="s">
        <v>36</v>
      </c>
      <c r="P561" s="2">
        <v>6</v>
      </c>
    </row>
    <row r="562" s="2" customFormat="1" spans="1:16">
      <c r="A562" s="8"/>
      <c r="B562" s="9" t="s">
        <v>1274</v>
      </c>
      <c r="C562" s="10" t="s">
        <v>233</v>
      </c>
      <c r="D562" s="11">
        <v>1</v>
      </c>
      <c r="E562" s="12">
        <v>60000</v>
      </c>
      <c r="F562" s="13">
        <v>60000</v>
      </c>
      <c r="G562" s="2">
        <f>VLOOKUP(B562,'PO with created By ASR'!A:C,3,FALSE)</f>
        <v>45673</v>
      </c>
      <c r="J562" s="2" t="str">
        <f>VLOOKUP(B562,'PO with created By ASR'!A:G,4,FALSE)</f>
        <v>Greenix Experience Pvt Ltd-Mum</v>
      </c>
      <c r="K562" s="2" t="str">
        <f>VLOOKUP(B562,'PO with created By ASR'!A:I,6,FALSE)</f>
        <v>10297  Greenix Experience Pvt Ltd</v>
      </c>
      <c r="L562" s="2" t="str">
        <f>VLOOKUP(B562,'PO with created By ASR'!A:J,7,FALSE)</f>
        <v>A - Mumbai</v>
      </c>
      <c r="M562" s="2" t="str">
        <f>VLOOKUP(B562,'PO with created By ASR'!A:K,8,FALSE)</f>
        <v>Purchase Order-Mum</v>
      </c>
      <c r="N562" t="s">
        <v>36</v>
      </c>
      <c r="P562" s="2">
        <v>6</v>
      </c>
    </row>
    <row r="563" s="2" customFormat="1" spans="1:16">
      <c r="A563" s="8"/>
      <c r="B563" s="9" t="s">
        <v>1276</v>
      </c>
      <c r="C563" s="10" t="s">
        <v>250</v>
      </c>
      <c r="D563" s="11">
        <v>1</v>
      </c>
      <c r="E563" s="12">
        <v>175000</v>
      </c>
      <c r="F563" s="13">
        <v>175000</v>
      </c>
      <c r="G563" s="2">
        <f>VLOOKUP(B563,'PO with created By ASR'!A:C,3,FALSE)</f>
        <v>45673</v>
      </c>
      <c r="J563" s="2" t="str">
        <f>VLOOKUP(B563,'PO with created By ASR'!A:G,4,FALSE)</f>
        <v>Pradeep Golak Das -Doodle Art-Mum</v>
      </c>
      <c r="K563" s="2" t="e">
        <f>VLOOKUP(B563,'PO with created By ASR'!A:I,6,FALSE)</f>
        <v>#N/A</v>
      </c>
      <c r="L563" s="2" t="str">
        <f>VLOOKUP(B563,'PO with created By ASR'!A:J,7,FALSE)</f>
        <v>A - Mumbai</v>
      </c>
      <c r="M563" s="2" t="str">
        <f>VLOOKUP(B563,'PO with created By ASR'!A:K,8,FALSE)</f>
        <v>Purchase Order-Mum</v>
      </c>
      <c r="N563" t="s">
        <v>36</v>
      </c>
      <c r="P563" s="2">
        <v>6</v>
      </c>
    </row>
    <row r="564" s="2" customFormat="1" spans="1:16">
      <c r="A564" s="8"/>
      <c r="B564" s="9" t="s">
        <v>1278</v>
      </c>
      <c r="C564" s="10" t="s">
        <v>317</v>
      </c>
      <c r="D564" s="11">
        <v>1</v>
      </c>
      <c r="E564" s="12">
        <v>200000</v>
      </c>
      <c r="F564" s="13">
        <v>200000</v>
      </c>
      <c r="G564" s="2">
        <f>VLOOKUP(B564,'PO with created By ASR'!A:C,3,FALSE)</f>
        <v>45673</v>
      </c>
      <c r="J564" s="2" t="str">
        <f>VLOOKUP(B564,'PO with created By ASR'!A:G,4,FALSE)</f>
        <v>Pro MFG Media Pvt Ltd-Mum</v>
      </c>
      <c r="K564" s="2" t="str">
        <f>VLOOKUP(B564,'PO with created By ASR'!A:I,6,FALSE)</f>
        <v>12890  Pro MFG Media Pvt Ltd</v>
      </c>
      <c r="L564" s="2" t="str">
        <f>VLOOKUP(B564,'PO with created By ASR'!A:J,7,FALSE)</f>
        <v>A - Mumbai</v>
      </c>
      <c r="M564" s="2" t="str">
        <f>VLOOKUP(B564,'PO with created By ASR'!A:K,8,FALSE)</f>
        <v>Purchase Order-Mum</v>
      </c>
      <c r="N564" t="s">
        <v>36</v>
      </c>
      <c r="P564" s="2">
        <v>6</v>
      </c>
    </row>
    <row r="565" s="2" customFormat="1" spans="1:16">
      <c r="A565" s="8"/>
      <c r="B565" s="9" t="s">
        <v>1281</v>
      </c>
      <c r="C565" s="10" t="s">
        <v>683</v>
      </c>
      <c r="D565" s="11">
        <v>1</v>
      </c>
      <c r="E565" s="12">
        <v>75000</v>
      </c>
      <c r="F565" s="13">
        <v>75000</v>
      </c>
      <c r="G565" s="2">
        <f>VLOOKUP(B565,'PO with created By ASR'!A:C,3,FALSE)</f>
        <v>45674</v>
      </c>
      <c r="J565" s="2" t="str">
        <f>VLOOKUP(B565,'PO with created By ASR'!A:G,4,FALSE)</f>
        <v>Duxmedia LLP-Blr</v>
      </c>
      <c r="K565" s="2" t="str">
        <f>VLOOKUP(B565,'PO with created By ASR'!A:I,6,FALSE)</f>
        <v>11852 Duxmedia LLP</v>
      </c>
      <c r="L565" s="2" t="str">
        <f>VLOOKUP(B565,'PO with created By ASR'!A:J,7,FALSE)</f>
        <v>B - Bangalore</v>
      </c>
      <c r="M565" s="2" t="str">
        <f>VLOOKUP(B565,'PO with created By ASR'!A:K,8,FALSE)</f>
        <v>Purchase Order-Blr</v>
      </c>
      <c r="N565" t="s">
        <v>36</v>
      </c>
      <c r="P565" s="2">
        <v>6</v>
      </c>
    </row>
    <row r="566" s="2" customFormat="1" spans="1:16">
      <c r="A566" s="8"/>
      <c r="B566" s="9" t="s">
        <v>1285</v>
      </c>
      <c r="C566" s="10" t="s">
        <v>140</v>
      </c>
      <c r="D566" s="11">
        <v>1</v>
      </c>
      <c r="E566" s="12">
        <v>950</v>
      </c>
      <c r="F566" s="13">
        <v>950</v>
      </c>
      <c r="G566" s="2">
        <f>VLOOKUP(B566,'PO with created By ASR'!A:C,3,FALSE)</f>
        <v>45674</v>
      </c>
      <c r="J566" s="2" t="str">
        <f>VLOOKUP(B566,'PO with created By ASR'!A:G,4,FALSE)</f>
        <v>Vinayaka Wooden Die Makers-Blr</v>
      </c>
      <c r="K566" s="2" t="str">
        <f>VLOOKUP(B566,'PO with created By ASR'!A:I,6,FALSE)</f>
        <v>11479 Vinayaka Wooden Die Makers</v>
      </c>
      <c r="L566" s="2" t="str">
        <f>VLOOKUP(B566,'PO with created By ASR'!A:J,7,FALSE)</f>
        <v>B - Bangalore</v>
      </c>
      <c r="M566" s="2" t="str">
        <f>VLOOKUP(B566,'PO with created By ASR'!A:K,8,FALSE)</f>
        <v>Purchase Order-Blr</v>
      </c>
      <c r="N566" t="s">
        <v>36</v>
      </c>
      <c r="P566" s="2">
        <v>6</v>
      </c>
    </row>
    <row r="567" s="2" customFormat="1" spans="1:16">
      <c r="A567" s="8"/>
      <c r="B567" s="9" t="s">
        <v>1288</v>
      </c>
      <c r="C567" s="10" t="s">
        <v>347</v>
      </c>
      <c r="D567" s="11">
        <v>1</v>
      </c>
      <c r="E567" s="12">
        <v>2000</v>
      </c>
      <c r="F567" s="13">
        <v>2000</v>
      </c>
      <c r="G567" s="2">
        <f>VLOOKUP(B567,'PO with created By ASR'!A:C,3,FALSE)</f>
        <v>45674</v>
      </c>
      <c r="J567" s="2" t="str">
        <f>VLOOKUP(B567,'PO with created By ASR'!A:G,4,FALSE)</f>
        <v>Prismscale Pvt Ltd-Blr</v>
      </c>
      <c r="K567" s="2" t="str">
        <f>VLOOKUP(B567,'PO with created By ASR'!A:I,6,FALSE)</f>
        <v>12869  Prismscale Pvt Ltd</v>
      </c>
      <c r="L567" s="2" t="str">
        <f>VLOOKUP(B567,'PO with created By ASR'!A:J,7,FALSE)</f>
        <v>B - Bangalore</v>
      </c>
      <c r="M567" s="2" t="str">
        <f>VLOOKUP(B567,'PO with created By ASR'!A:K,8,FALSE)</f>
        <v>Purchase Order-Blr</v>
      </c>
      <c r="N567" t="s">
        <v>36</v>
      </c>
      <c r="P567" s="2">
        <v>6</v>
      </c>
    </row>
    <row r="568" s="2" customFormat="1" spans="1:16">
      <c r="A568" s="8"/>
      <c r="B568" s="9" t="s">
        <v>1291</v>
      </c>
      <c r="C568" s="10" t="s">
        <v>61</v>
      </c>
      <c r="D568" s="11">
        <v>1</v>
      </c>
      <c r="E568" s="12">
        <v>76000</v>
      </c>
      <c r="F568" s="13">
        <v>76000</v>
      </c>
      <c r="G568" s="2">
        <f>VLOOKUP(B568,'PO with created By ASR'!A:C,3,FALSE)</f>
        <v>45674</v>
      </c>
      <c r="J568" s="2" t="str">
        <f>VLOOKUP(B568,'PO with created By ASR'!A:G,4,FALSE)</f>
        <v>The Park Bangalore-Blr</v>
      </c>
      <c r="K568" s="2" t="str">
        <f>VLOOKUP(B568,'PO with created By ASR'!A:I,6,FALSE)</f>
        <v>10458  The Park Bangalore</v>
      </c>
      <c r="L568" s="2" t="str">
        <f>VLOOKUP(B568,'PO with created By ASR'!A:J,7,FALSE)</f>
        <v>B - Bangalore</v>
      </c>
      <c r="M568" s="2" t="str">
        <f>VLOOKUP(B568,'PO with created By ASR'!A:K,8,FALSE)</f>
        <v>Purchase Order-Blr</v>
      </c>
      <c r="N568" t="s">
        <v>36</v>
      </c>
      <c r="P568" s="2">
        <v>6</v>
      </c>
    </row>
    <row r="569" s="2" customFormat="1" spans="1:16">
      <c r="A569" s="8"/>
      <c r="B569" s="9" t="s">
        <v>1294</v>
      </c>
      <c r="C569" s="10" t="s">
        <v>126</v>
      </c>
      <c r="D569" s="11">
        <v>1</v>
      </c>
      <c r="E569" s="12">
        <v>2130</v>
      </c>
      <c r="F569" s="13">
        <v>2130</v>
      </c>
      <c r="G569" s="2">
        <f>VLOOKUP(B569,'PO with created By ASR'!A:C,3,FALSE)</f>
        <v>45674</v>
      </c>
      <c r="J569" s="2" t="str">
        <f>VLOOKUP(B569,'PO with created By ASR'!A:G,4,FALSE)</f>
        <v>Neha Khemka  -CR</v>
      </c>
      <c r="K569" s="2" t="e">
        <f>VLOOKUP(B569,'PO with created By ASR'!A:I,6,FALSE)</f>
        <v>#N/A</v>
      </c>
      <c r="L569" s="2" t="str">
        <f>VLOOKUP(B569,'PO with created By ASR'!A:J,7,FALSE)</f>
        <v>B - Bangalore</v>
      </c>
      <c r="M569" s="2" t="str">
        <f>VLOOKUP(B569,'PO with created By ASR'!A:K,8,FALSE)</f>
        <v>Purchase Order-Blr</v>
      </c>
      <c r="N569" t="s">
        <v>36</v>
      </c>
      <c r="P569" s="2">
        <v>6</v>
      </c>
    </row>
    <row r="570" s="2" customFormat="1" spans="1:16">
      <c r="A570" s="8"/>
      <c r="B570" s="9" t="s">
        <v>1294</v>
      </c>
      <c r="C570" s="10" t="s">
        <v>412</v>
      </c>
      <c r="D570" s="11">
        <v>1</v>
      </c>
      <c r="E570" s="12">
        <v>462</v>
      </c>
      <c r="F570" s="13">
        <v>462</v>
      </c>
      <c r="G570" s="2">
        <f>VLOOKUP(B570,'PO with created By ASR'!A:C,3,FALSE)</f>
        <v>45674</v>
      </c>
      <c r="J570" s="2" t="str">
        <f>VLOOKUP(B570,'PO with created By ASR'!A:G,4,FALSE)</f>
        <v>Neha Khemka  -CR</v>
      </c>
      <c r="K570" s="2" t="e">
        <f>VLOOKUP(B570,'PO with created By ASR'!A:I,6,FALSE)</f>
        <v>#N/A</v>
      </c>
      <c r="L570" s="2" t="str">
        <f>VLOOKUP(B570,'PO with created By ASR'!A:J,7,FALSE)</f>
        <v>B - Bangalore</v>
      </c>
      <c r="M570" s="2" t="str">
        <f>VLOOKUP(B570,'PO with created By ASR'!A:K,8,FALSE)</f>
        <v>Purchase Order-Blr</v>
      </c>
      <c r="N570" t="s">
        <v>36</v>
      </c>
      <c r="P570" s="2">
        <v>6</v>
      </c>
    </row>
    <row r="571" s="2" customFormat="1" spans="1:16">
      <c r="A571" s="8"/>
      <c r="B571" s="9" t="s">
        <v>1295</v>
      </c>
      <c r="C571" s="10" t="s">
        <v>317</v>
      </c>
      <c r="D571" s="11">
        <v>1</v>
      </c>
      <c r="E571" s="12">
        <v>131000</v>
      </c>
      <c r="F571" s="13">
        <v>131000</v>
      </c>
      <c r="G571" s="2">
        <f>VLOOKUP(B571,'PO with created By ASR'!A:C,3,FALSE)</f>
        <v>45674</v>
      </c>
      <c r="J571" s="2" t="str">
        <f>VLOOKUP(B571,'PO with created By ASR'!A:G,4,FALSE)</f>
        <v>Vsquare Corporate Services-Blr</v>
      </c>
      <c r="K571" s="2" t="str">
        <f>VLOOKUP(B571,'PO with created By ASR'!A:I,6,FALSE)</f>
        <v>11058 Vsquare Corporate Services</v>
      </c>
      <c r="L571" s="2" t="str">
        <f>VLOOKUP(B571,'PO with created By ASR'!A:J,7,FALSE)</f>
        <v>B - Bangalore</v>
      </c>
      <c r="M571" s="2" t="str">
        <f>VLOOKUP(B571,'PO with created By ASR'!A:K,8,FALSE)</f>
        <v>Purchase Order-Blr</v>
      </c>
      <c r="N571" t="s">
        <v>36</v>
      </c>
      <c r="P571" s="2">
        <v>6</v>
      </c>
    </row>
    <row r="572" s="2" customFormat="1" spans="1:16">
      <c r="A572" s="8"/>
      <c r="B572" s="9" t="s">
        <v>1299</v>
      </c>
      <c r="C572" s="10" t="s">
        <v>292</v>
      </c>
      <c r="D572" s="11">
        <v>1</v>
      </c>
      <c r="E572" s="12">
        <v>25200</v>
      </c>
      <c r="F572" s="13">
        <v>25200</v>
      </c>
      <c r="G572" s="2">
        <f>VLOOKUP(B572,'PO with created By ASR'!A:C,3,FALSE)</f>
        <v>45674</v>
      </c>
      <c r="J572" s="2" t="str">
        <f>VLOOKUP(B572,'PO with created By ASR'!A:G,4,FALSE)</f>
        <v>Sumair Shariff-Blr</v>
      </c>
      <c r="K572" s="2" t="str">
        <f>VLOOKUP(B572,'PO with created By ASR'!A:I,6,FALSE)</f>
        <v>11436 Sumair Shariff</v>
      </c>
      <c r="L572" s="2" t="str">
        <f>VLOOKUP(B572,'PO with created By ASR'!A:J,7,FALSE)</f>
        <v>B - Bangalore</v>
      </c>
      <c r="M572" s="2" t="str">
        <f>VLOOKUP(B572,'PO with created By ASR'!A:K,8,FALSE)</f>
        <v>Purchase Order-Blr</v>
      </c>
      <c r="N572" t="s">
        <v>36</v>
      </c>
      <c r="P572" s="2">
        <v>6</v>
      </c>
    </row>
    <row r="573" s="2" customFormat="1" spans="1:16">
      <c r="A573" s="8"/>
      <c r="B573" s="9" t="s">
        <v>1300</v>
      </c>
      <c r="C573" s="10" t="s">
        <v>196</v>
      </c>
      <c r="D573" s="11">
        <v>1</v>
      </c>
      <c r="E573" s="12">
        <v>4800</v>
      </c>
      <c r="F573" s="13">
        <v>4800</v>
      </c>
      <c r="G573" s="2">
        <f>VLOOKUP(B573,'PO with created By ASR'!A:C,3,FALSE)</f>
        <v>45674</v>
      </c>
      <c r="J573" s="2" t="str">
        <f>VLOOKUP(B573,'PO with created By ASR'!A:G,4,FALSE)</f>
        <v>Yash Gifts-Blr</v>
      </c>
      <c r="K573" s="2" t="str">
        <f>VLOOKUP(B573,'PO with created By ASR'!A:I,6,FALSE)</f>
        <v>12634 Yash  Gifts</v>
      </c>
      <c r="L573" s="2" t="str">
        <f>VLOOKUP(B573,'PO with created By ASR'!A:J,7,FALSE)</f>
        <v>B - Bangalore</v>
      </c>
      <c r="M573" s="2" t="str">
        <f>VLOOKUP(B573,'PO with created By ASR'!A:K,8,FALSE)</f>
        <v>Purchase Order-Blr</v>
      </c>
      <c r="N573" t="s">
        <v>36</v>
      </c>
      <c r="P573" s="2">
        <v>6</v>
      </c>
    </row>
    <row r="574" s="2" customFormat="1" spans="1:16">
      <c r="A574" s="8"/>
      <c r="B574" s="9" t="s">
        <v>1301</v>
      </c>
      <c r="C574" s="10" t="s">
        <v>292</v>
      </c>
      <c r="D574" s="11">
        <v>1</v>
      </c>
      <c r="E574" s="12">
        <v>21500</v>
      </c>
      <c r="F574" s="13">
        <v>21500</v>
      </c>
      <c r="G574" s="2">
        <f>VLOOKUP(B574,'PO with created By ASR'!A:C,3,FALSE)</f>
        <v>45674</v>
      </c>
      <c r="J574" s="2" t="str">
        <f>VLOOKUP(B574,'PO with created By ASR'!A:G,4,FALSE)</f>
        <v>Skypillars Manpower Agency-Blr</v>
      </c>
      <c r="K574" s="2" t="str">
        <f>VLOOKUP(B574,'PO with created By ASR'!A:I,6,FALSE)</f>
        <v>12418 Skypillars Manpower Agency</v>
      </c>
      <c r="L574" s="2" t="str">
        <f>VLOOKUP(B574,'PO with created By ASR'!A:J,7,FALSE)</f>
        <v>B - Bangalore</v>
      </c>
      <c r="M574" s="2" t="str">
        <f>VLOOKUP(B574,'PO with created By ASR'!A:K,8,FALSE)</f>
        <v>Purchase Order-Blr</v>
      </c>
      <c r="N574" t="s">
        <v>36</v>
      </c>
      <c r="P574" s="2">
        <v>6</v>
      </c>
    </row>
    <row r="575" s="2" customFormat="1" spans="1:16">
      <c r="A575" s="8"/>
      <c r="B575" s="9" t="s">
        <v>1302</v>
      </c>
      <c r="C575" s="10" t="s">
        <v>371</v>
      </c>
      <c r="D575" s="11">
        <v>1</v>
      </c>
      <c r="E575" s="12">
        <v>3500</v>
      </c>
      <c r="F575" s="13">
        <v>3500</v>
      </c>
      <c r="G575" s="2">
        <f>VLOOKUP(B575,'PO with created By ASR'!A:C,3,FALSE)</f>
        <v>45674</v>
      </c>
      <c r="J575" s="2" t="str">
        <f>VLOOKUP(B575,'PO with created By ASR'!A:G,4,FALSE)</f>
        <v>Tarun Solutions-Blr</v>
      </c>
      <c r="K575" s="2" t="str">
        <f>VLOOKUP(B575,'PO with created By ASR'!A:I,6,FALSE)</f>
        <v>10097 Tarun Solutions</v>
      </c>
      <c r="L575" s="2" t="str">
        <f>VLOOKUP(B575,'PO with created By ASR'!A:J,7,FALSE)</f>
        <v>B - Bangalore</v>
      </c>
      <c r="M575" s="2" t="str">
        <f>VLOOKUP(B575,'PO with created By ASR'!A:K,8,FALSE)</f>
        <v>Purchase Order-Blr</v>
      </c>
      <c r="N575" t="s">
        <v>36</v>
      </c>
      <c r="P575" s="2">
        <v>6</v>
      </c>
    </row>
    <row r="576" s="2" customFormat="1" spans="1:16">
      <c r="A576" s="8"/>
      <c r="B576" s="9" t="s">
        <v>1305</v>
      </c>
      <c r="C576" s="10" t="s">
        <v>127</v>
      </c>
      <c r="D576" s="11">
        <v>1</v>
      </c>
      <c r="E576" s="12">
        <v>1200</v>
      </c>
      <c r="F576" s="13">
        <v>1200</v>
      </c>
      <c r="G576" s="2">
        <f>VLOOKUP(B576,'PO with created By ASR'!A:C,3,FALSE)</f>
        <v>45674</v>
      </c>
      <c r="J576" s="2" t="str">
        <f>VLOOKUP(B576,'PO with created By ASR'!A:G,4,FALSE)</f>
        <v>Tijo Joseph -CR</v>
      </c>
      <c r="K576" s="2" t="e">
        <f>VLOOKUP(B576,'PO with created By ASR'!A:I,6,FALSE)</f>
        <v>#N/A</v>
      </c>
      <c r="L576" s="2" t="str">
        <f>VLOOKUP(B576,'PO with created By ASR'!A:J,7,FALSE)</f>
        <v>B - Bangalore</v>
      </c>
      <c r="M576" s="2" t="str">
        <f>VLOOKUP(B576,'PO with created By ASR'!A:K,8,FALSE)</f>
        <v>Purchase Order-Blr</v>
      </c>
      <c r="N576" t="s">
        <v>36</v>
      </c>
      <c r="P576" s="2">
        <v>6</v>
      </c>
    </row>
    <row r="577" s="2" customFormat="1" spans="1:16">
      <c r="A577" s="8"/>
      <c r="B577" s="9" t="s">
        <v>1305</v>
      </c>
      <c r="C577" s="10" t="s">
        <v>134</v>
      </c>
      <c r="D577" s="11">
        <v>1</v>
      </c>
      <c r="E577" s="12">
        <v>515</v>
      </c>
      <c r="F577" s="13">
        <v>515</v>
      </c>
      <c r="G577" s="2">
        <f>VLOOKUP(B577,'PO with created By ASR'!A:C,3,FALSE)</f>
        <v>45674</v>
      </c>
      <c r="J577" s="2" t="str">
        <f>VLOOKUP(B577,'PO with created By ASR'!A:G,4,FALSE)</f>
        <v>Tijo Joseph -CR</v>
      </c>
      <c r="K577" s="2" t="e">
        <f>VLOOKUP(B577,'PO with created By ASR'!A:I,6,FALSE)</f>
        <v>#N/A</v>
      </c>
      <c r="L577" s="2" t="str">
        <f>VLOOKUP(B577,'PO with created By ASR'!A:J,7,FALSE)</f>
        <v>B - Bangalore</v>
      </c>
      <c r="M577" s="2" t="str">
        <f>VLOOKUP(B577,'PO with created By ASR'!A:K,8,FALSE)</f>
        <v>Purchase Order-Blr</v>
      </c>
      <c r="N577" t="s">
        <v>36</v>
      </c>
      <c r="P577" s="2">
        <v>6</v>
      </c>
    </row>
    <row r="578" s="2" customFormat="1" spans="1:16">
      <c r="A578" s="8"/>
      <c r="B578" s="9" t="s">
        <v>1307</v>
      </c>
      <c r="C578" s="10" t="s">
        <v>127</v>
      </c>
      <c r="D578" s="11">
        <v>1</v>
      </c>
      <c r="E578" s="12">
        <v>450</v>
      </c>
      <c r="F578" s="13">
        <v>450</v>
      </c>
      <c r="G578" s="2">
        <f>VLOOKUP(B578,'PO with created By ASR'!A:C,3,FALSE)</f>
        <v>45674</v>
      </c>
      <c r="J578" s="2" t="str">
        <f>VLOOKUP(B578,'PO with created By ASR'!A:G,4,FALSE)</f>
        <v>1115173 Nagaraju R R -CR</v>
      </c>
      <c r="K578" s="2" t="e">
        <f>VLOOKUP(B578,'PO with created By ASR'!A:I,6,FALSE)</f>
        <v>#N/A</v>
      </c>
      <c r="L578" s="2" t="str">
        <f>VLOOKUP(B578,'PO with created By ASR'!A:J,7,FALSE)</f>
        <v>B - Bangalore</v>
      </c>
      <c r="M578" s="2" t="str">
        <f>VLOOKUP(B578,'PO with created By ASR'!A:K,8,FALSE)</f>
        <v>Purchase Order-Blr</v>
      </c>
      <c r="N578" t="s">
        <v>36</v>
      </c>
      <c r="P578" s="2">
        <v>6</v>
      </c>
    </row>
    <row r="579" s="2" customFormat="1" spans="1:16">
      <c r="A579" s="8"/>
      <c r="B579" s="9" t="s">
        <v>1307</v>
      </c>
      <c r="C579" s="10" t="s">
        <v>134</v>
      </c>
      <c r="D579" s="11">
        <v>1</v>
      </c>
      <c r="E579" s="12">
        <v>50</v>
      </c>
      <c r="F579" s="13">
        <v>50</v>
      </c>
      <c r="G579" s="2">
        <f>VLOOKUP(B579,'PO with created By ASR'!A:C,3,FALSE)</f>
        <v>45674</v>
      </c>
      <c r="J579" s="2" t="str">
        <f>VLOOKUP(B579,'PO with created By ASR'!A:G,4,FALSE)</f>
        <v>1115173 Nagaraju R R -CR</v>
      </c>
      <c r="K579" s="2" t="e">
        <f>VLOOKUP(B579,'PO with created By ASR'!A:I,6,FALSE)</f>
        <v>#N/A</v>
      </c>
      <c r="L579" s="2" t="str">
        <f>VLOOKUP(B579,'PO with created By ASR'!A:J,7,FALSE)</f>
        <v>B - Bangalore</v>
      </c>
      <c r="M579" s="2" t="str">
        <f>VLOOKUP(B579,'PO with created By ASR'!A:K,8,FALSE)</f>
        <v>Purchase Order-Blr</v>
      </c>
      <c r="N579" t="s">
        <v>36</v>
      </c>
      <c r="P579" s="2">
        <v>6</v>
      </c>
    </row>
    <row r="580" s="2" customFormat="1" spans="1:16">
      <c r="A580" s="8"/>
      <c r="B580" s="9" t="s">
        <v>1309</v>
      </c>
      <c r="C580" s="10" t="s">
        <v>1312</v>
      </c>
      <c r="D580" s="11">
        <v>1</v>
      </c>
      <c r="E580" s="12">
        <v>2000</v>
      </c>
      <c r="F580" s="13">
        <v>2000</v>
      </c>
      <c r="G580" s="2">
        <f>VLOOKUP(B580,'PO with created By ASR'!A:C,3,FALSE)</f>
        <v>45674</v>
      </c>
      <c r="J580" s="2" t="str">
        <f>VLOOKUP(B580,'PO with created By ASR'!A:G,4,FALSE)</f>
        <v>Safex Fire Services Ltd-Blr</v>
      </c>
      <c r="K580" s="2" t="str">
        <f>VLOOKUP(B580,'PO with created By ASR'!A:I,6,FALSE)</f>
        <v>12354  Safex Fire Services Ltd</v>
      </c>
      <c r="L580" s="2" t="str">
        <f>VLOOKUP(B580,'PO with created By ASR'!A:J,7,FALSE)</f>
        <v>B - Bangalore</v>
      </c>
      <c r="M580" s="2" t="str">
        <f>VLOOKUP(B580,'PO with created By ASR'!A:K,8,FALSE)</f>
        <v>Purchase Order-Blr</v>
      </c>
      <c r="N580" t="s">
        <v>36</v>
      </c>
      <c r="P580" s="2">
        <v>6</v>
      </c>
    </row>
    <row r="581" s="2" customFormat="1" spans="1:16">
      <c r="A581" s="8"/>
      <c r="B581" s="9" t="s">
        <v>1313</v>
      </c>
      <c r="C581" s="10" t="s">
        <v>107</v>
      </c>
      <c r="D581" s="11">
        <v>1</v>
      </c>
      <c r="E581" s="12">
        <v>8193</v>
      </c>
      <c r="F581" s="13">
        <v>8193</v>
      </c>
      <c r="G581" s="2">
        <f>VLOOKUP(B581,'PO with created By ASR'!A:C,3,FALSE)</f>
        <v>45674</v>
      </c>
      <c r="J581" s="2" t="str">
        <f>VLOOKUP(B581,'PO with created By ASR'!A:G,4,FALSE)</f>
        <v>Stepone Office Stationers-Blr</v>
      </c>
      <c r="K581" s="2" t="str">
        <f>VLOOKUP(B581,'PO with created By ASR'!A:I,6,FALSE)</f>
        <v>12459 Stepone Office Stationers</v>
      </c>
      <c r="L581" s="2" t="str">
        <f>VLOOKUP(B581,'PO with created By ASR'!A:J,7,FALSE)</f>
        <v>B - Bangalore</v>
      </c>
      <c r="M581" s="2" t="str">
        <f>VLOOKUP(B581,'PO with created By ASR'!A:K,8,FALSE)</f>
        <v>Purchase Order-Blr</v>
      </c>
      <c r="N581" t="s">
        <v>36</v>
      </c>
      <c r="P581" s="2">
        <v>6</v>
      </c>
    </row>
    <row r="582" s="2" customFormat="1" spans="1:16">
      <c r="A582" s="8"/>
      <c r="B582" s="9" t="s">
        <v>1313</v>
      </c>
      <c r="C582" s="10" t="s">
        <v>777</v>
      </c>
      <c r="D582" s="11">
        <v>1</v>
      </c>
      <c r="E582" s="12">
        <v>1536</v>
      </c>
      <c r="F582" s="13">
        <v>1536</v>
      </c>
      <c r="G582" s="2">
        <f>VLOOKUP(B582,'PO with created By ASR'!A:C,3,FALSE)</f>
        <v>45674</v>
      </c>
      <c r="J582" s="2" t="str">
        <f>VLOOKUP(B582,'PO with created By ASR'!A:G,4,FALSE)</f>
        <v>Stepone Office Stationers-Blr</v>
      </c>
      <c r="K582" s="2" t="str">
        <f>VLOOKUP(B582,'PO with created By ASR'!A:I,6,FALSE)</f>
        <v>12459 Stepone Office Stationers</v>
      </c>
      <c r="L582" s="2" t="str">
        <f>VLOOKUP(B582,'PO with created By ASR'!A:J,7,FALSE)</f>
        <v>B - Bangalore</v>
      </c>
      <c r="M582" s="2" t="str">
        <f>VLOOKUP(B582,'PO with created By ASR'!A:K,8,FALSE)</f>
        <v>Purchase Order-Blr</v>
      </c>
      <c r="N582" t="s">
        <v>36</v>
      </c>
      <c r="P582" s="2">
        <v>6</v>
      </c>
    </row>
    <row r="583" s="2" customFormat="1" spans="1:16">
      <c r="A583" s="8"/>
      <c r="B583" s="9" t="s">
        <v>1316</v>
      </c>
      <c r="C583" s="10" t="s">
        <v>107</v>
      </c>
      <c r="D583" s="11">
        <v>1</v>
      </c>
      <c r="E583" s="12">
        <v>666</v>
      </c>
      <c r="F583" s="13">
        <v>666</v>
      </c>
      <c r="G583" s="2">
        <f>VLOOKUP(B583,'PO with created By ASR'!A:C,3,FALSE)</f>
        <v>45674</v>
      </c>
      <c r="J583" s="2" t="str">
        <f>VLOOKUP(B583,'PO with created By ASR'!A:G,4,FALSE)</f>
        <v>Stepone Office Stationers-Blr</v>
      </c>
      <c r="K583" s="2" t="str">
        <f>VLOOKUP(B583,'PO with created By ASR'!A:I,6,FALSE)</f>
        <v>12459 Stepone Office Stationers</v>
      </c>
      <c r="L583" s="2" t="str">
        <f>VLOOKUP(B583,'PO with created By ASR'!A:J,7,FALSE)</f>
        <v>B - Bangalore</v>
      </c>
      <c r="M583" s="2" t="str">
        <f>VLOOKUP(B583,'PO with created By ASR'!A:K,8,FALSE)</f>
        <v>Purchase Order-Blr</v>
      </c>
      <c r="N583" t="s">
        <v>36</v>
      </c>
      <c r="P583" s="2">
        <v>6</v>
      </c>
    </row>
    <row r="584" s="2" customFormat="1" spans="1:16">
      <c r="A584" s="8"/>
      <c r="B584" s="9" t="s">
        <v>1316</v>
      </c>
      <c r="C584" s="10" t="s">
        <v>107</v>
      </c>
      <c r="D584" s="11">
        <v>1</v>
      </c>
      <c r="E584" s="12">
        <v>9807</v>
      </c>
      <c r="F584" s="13">
        <v>9807</v>
      </c>
      <c r="G584" s="2">
        <f>VLOOKUP(B584,'PO with created By ASR'!A:C,3,FALSE)</f>
        <v>45674</v>
      </c>
      <c r="J584" s="2" t="str">
        <f>VLOOKUP(B584,'PO with created By ASR'!A:G,4,FALSE)</f>
        <v>Stepone Office Stationers-Blr</v>
      </c>
      <c r="K584" s="2" t="str">
        <f>VLOOKUP(B584,'PO with created By ASR'!A:I,6,FALSE)</f>
        <v>12459 Stepone Office Stationers</v>
      </c>
      <c r="L584" s="2" t="str">
        <f>VLOOKUP(B584,'PO with created By ASR'!A:J,7,FALSE)</f>
        <v>B - Bangalore</v>
      </c>
      <c r="M584" s="2" t="str">
        <f>VLOOKUP(B584,'PO with created By ASR'!A:K,8,FALSE)</f>
        <v>Purchase Order-Blr</v>
      </c>
      <c r="N584" t="s">
        <v>36</v>
      </c>
      <c r="P584" s="2">
        <v>6</v>
      </c>
    </row>
    <row r="585" s="2" customFormat="1" spans="1:16">
      <c r="A585" s="8"/>
      <c r="B585" s="9" t="s">
        <v>1319</v>
      </c>
      <c r="C585" s="10" t="s">
        <v>134</v>
      </c>
      <c r="D585" s="11">
        <v>1</v>
      </c>
      <c r="E585" s="12">
        <v>4120</v>
      </c>
      <c r="F585" s="13">
        <v>4120</v>
      </c>
      <c r="G585" s="2">
        <f>VLOOKUP(B585,'PO with created By ASR'!A:C,3,FALSE)</f>
        <v>45674</v>
      </c>
      <c r="J585" s="2" t="str">
        <f>VLOOKUP(B585,'PO with created By ASR'!A:G,4,FALSE)</f>
        <v>Stepone Office Stationers-Blr</v>
      </c>
      <c r="K585" s="2" t="str">
        <f>VLOOKUP(B585,'PO with created By ASR'!A:I,6,FALSE)</f>
        <v>12459 Stepone Office Stationers</v>
      </c>
      <c r="L585" s="2" t="str">
        <f>VLOOKUP(B585,'PO with created By ASR'!A:J,7,FALSE)</f>
        <v>B - Bangalore</v>
      </c>
      <c r="M585" s="2" t="str">
        <f>VLOOKUP(B585,'PO with created By ASR'!A:K,8,FALSE)</f>
        <v>Purchase Order-Blr</v>
      </c>
      <c r="N585" t="s">
        <v>36</v>
      </c>
      <c r="P585" s="2">
        <v>6</v>
      </c>
    </row>
    <row r="586" s="2" customFormat="1" spans="1:16">
      <c r="A586" s="8"/>
      <c r="B586" s="9" t="s">
        <v>1319</v>
      </c>
      <c r="C586" s="10" t="s">
        <v>76</v>
      </c>
      <c r="D586" s="11">
        <v>1</v>
      </c>
      <c r="E586" s="12">
        <v>283.96</v>
      </c>
      <c r="F586" s="13">
        <v>283.96</v>
      </c>
      <c r="G586" s="2">
        <f>VLOOKUP(B586,'PO with created By ASR'!A:C,3,FALSE)</f>
        <v>45674</v>
      </c>
      <c r="J586" s="2" t="str">
        <f>VLOOKUP(B586,'PO with created By ASR'!A:G,4,FALSE)</f>
        <v>Stepone Office Stationers-Blr</v>
      </c>
      <c r="K586" s="2" t="str">
        <f>VLOOKUP(B586,'PO with created By ASR'!A:I,6,FALSE)</f>
        <v>12459 Stepone Office Stationers</v>
      </c>
      <c r="L586" s="2" t="str">
        <f>VLOOKUP(B586,'PO with created By ASR'!A:J,7,FALSE)</f>
        <v>B - Bangalore</v>
      </c>
      <c r="M586" s="2" t="str">
        <f>VLOOKUP(B586,'PO with created By ASR'!A:K,8,FALSE)</f>
        <v>Purchase Order-Blr</v>
      </c>
      <c r="N586" t="s">
        <v>36</v>
      </c>
      <c r="P586" s="2">
        <v>6</v>
      </c>
    </row>
    <row r="587" s="2" customFormat="1" spans="1:16">
      <c r="A587" s="8"/>
      <c r="B587" s="9" t="s">
        <v>1319</v>
      </c>
      <c r="C587" s="10" t="s">
        <v>4363</v>
      </c>
      <c r="D587" s="11">
        <v>1</v>
      </c>
      <c r="E587" s="12">
        <v>283.96</v>
      </c>
      <c r="F587" s="13">
        <v>283.96</v>
      </c>
      <c r="G587" s="2">
        <f>VLOOKUP(B587,'PO with created By ASR'!A:C,3,FALSE)</f>
        <v>45674</v>
      </c>
      <c r="J587" s="2" t="str">
        <f>VLOOKUP(B587,'PO with created By ASR'!A:G,4,FALSE)</f>
        <v>Stepone Office Stationers-Blr</v>
      </c>
      <c r="K587" s="2" t="str">
        <f>VLOOKUP(B587,'PO with created By ASR'!A:I,6,FALSE)</f>
        <v>12459 Stepone Office Stationers</v>
      </c>
      <c r="L587" s="2" t="str">
        <f>VLOOKUP(B587,'PO with created By ASR'!A:J,7,FALSE)</f>
        <v>B - Bangalore</v>
      </c>
      <c r="M587" s="2" t="str">
        <f>VLOOKUP(B587,'PO with created By ASR'!A:K,8,FALSE)</f>
        <v>Purchase Order-Blr</v>
      </c>
      <c r="N587" t="s">
        <v>36</v>
      </c>
      <c r="P587" s="2">
        <v>6</v>
      </c>
    </row>
    <row r="588" s="2" customFormat="1" spans="1:16">
      <c r="A588" s="8"/>
      <c r="B588" s="9" t="s">
        <v>1320</v>
      </c>
      <c r="C588" s="10" t="s">
        <v>526</v>
      </c>
      <c r="D588" s="11">
        <v>1</v>
      </c>
      <c r="E588" s="12">
        <v>9150</v>
      </c>
      <c r="F588" s="13">
        <v>9150</v>
      </c>
      <c r="G588" s="2">
        <f>VLOOKUP(B588,'PO with created By ASR'!A:C,3,FALSE)</f>
        <v>45674</v>
      </c>
      <c r="J588" s="2" t="str">
        <f>VLOOKUP(B588,'PO with created By ASR'!A:G,4,FALSE)</f>
        <v>Infutech Solutions-Blr</v>
      </c>
      <c r="K588" s="2" t="str">
        <f>VLOOKUP(B588,'PO with created By ASR'!A:I,6,FALSE)</f>
        <v>12027 Infutech Solutions</v>
      </c>
      <c r="L588" s="2" t="str">
        <f>VLOOKUP(B588,'PO with created By ASR'!A:J,7,FALSE)</f>
        <v>B - Bangalore</v>
      </c>
      <c r="M588" s="2" t="str">
        <f>VLOOKUP(B588,'PO with created By ASR'!A:K,8,FALSE)</f>
        <v>Purchase Order-Blr</v>
      </c>
      <c r="N588" t="s">
        <v>36</v>
      </c>
      <c r="P588" s="2">
        <v>6</v>
      </c>
    </row>
    <row r="589" s="2" customFormat="1" spans="1:16">
      <c r="A589" s="8"/>
      <c r="B589" s="9" t="s">
        <v>1321</v>
      </c>
      <c r="C589" s="10" t="s">
        <v>276</v>
      </c>
      <c r="D589" s="11">
        <v>1</v>
      </c>
      <c r="E589" s="12">
        <v>8940</v>
      </c>
      <c r="F589" s="13">
        <v>8940</v>
      </c>
      <c r="G589" s="2">
        <f>VLOOKUP(B589,'PO with created By ASR'!A:C,3,FALSE)</f>
        <v>45674</v>
      </c>
      <c r="J589" s="2" t="str">
        <f>VLOOKUP(B589,'PO with created By ASR'!A:G,4,FALSE)</f>
        <v>Plate Project Hospitality LLP (OTV)-Blr</v>
      </c>
      <c r="K589" s="2" t="str">
        <f>VLOOKUP(B589,'PO with created By ASR'!A:I,6,FALSE)</f>
        <v>12908 Plate Project Hospitality LLP (OTV)</v>
      </c>
      <c r="L589" s="2" t="str">
        <f>VLOOKUP(B589,'PO with created By ASR'!A:J,7,FALSE)</f>
        <v>B - Bangalore</v>
      </c>
      <c r="M589" s="2" t="str">
        <f>VLOOKUP(B589,'PO with created By ASR'!A:K,8,FALSE)</f>
        <v>Purchase Order-Blr</v>
      </c>
      <c r="N589" t="s">
        <v>36</v>
      </c>
      <c r="P589" s="2">
        <v>6</v>
      </c>
    </row>
    <row r="590" s="2" customFormat="1" spans="1:16">
      <c r="A590" s="8"/>
      <c r="B590" s="9" t="s">
        <v>1326</v>
      </c>
      <c r="C590" s="10" t="s">
        <v>412</v>
      </c>
      <c r="D590" s="11">
        <v>1</v>
      </c>
      <c r="E590" s="12">
        <v>7134</v>
      </c>
      <c r="F590" s="13">
        <v>7134</v>
      </c>
      <c r="G590" s="2">
        <f>VLOOKUP(B590,'PO with created By ASR'!A:C,3,FALSE)</f>
        <v>45674</v>
      </c>
      <c r="J590" s="2" t="str">
        <f>VLOOKUP(B590,'PO with created By ASR'!A:G,4,FALSE)</f>
        <v>Thirtha Patil  -CR
</v>
      </c>
      <c r="K590" s="2" t="e">
        <f>VLOOKUP(B590,'PO with created By ASR'!A:I,6,FALSE)</f>
        <v>#N/A</v>
      </c>
      <c r="L590" s="2" t="str">
        <f>VLOOKUP(B590,'PO with created By ASR'!A:J,7,FALSE)</f>
        <v>B - Bangalore</v>
      </c>
      <c r="M590" s="2" t="str">
        <f>VLOOKUP(B590,'PO with created By ASR'!A:K,8,FALSE)</f>
        <v>Purchase Order-Blr</v>
      </c>
      <c r="N590" t="s">
        <v>36</v>
      </c>
      <c r="P590" s="2">
        <v>6</v>
      </c>
    </row>
    <row r="591" s="2" customFormat="1" spans="1:16">
      <c r="A591" s="8"/>
      <c r="B591" s="9" t="s">
        <v>1328</v>
      </c>
      <c r="C591" s="10" t="s">
        <v>126</v>
      </c>
      <c r="D591" s="11">
        <v>1</v>
      </c>
      <c r="E591" s="12">
        <v>3638.1</v>
      </c>
      <c r="F591" s="13">
        <v>3638.1</v>
      </c>
      <c r="G591" s="2">
        <f>VLOOKUP(B591,'PO with created By ASR'!A:C,3,FALSE)</f>
        <v>45674</v>
      </c>
      <c r="J591" s="2" t="str">
        <f>VLOOKUP(B591,'PO with created By ASR'!A:G,4,FALSE)</f>
        <v>Thirtha Patil  -CR
</v>
      </c>
      <c r="K591" s="2" t="e">
        <f>VLOOKUP(B591,'PO with created By ASR'!A:I,6,FALSE)</f>
        <v>#N/A</v>
      </c>
      <c r="L591" s="2" t="str">
        <f>VLOOKUP(B591,'PO with created By ASR'!A:J,7,FALSE)</f>
        <v>B - Bangalore</v>
      </c>
      <c r="M591" s="2" t="str">
        <f>VLOOKUP(B591,'PO with created By ASR'!A:K,8,FALSE)</f>
        <v>Purchase Order-Blr</v>
      </c>
      <c r="N591" t="s">
        <v>36</v>
      </c>
      <c r="P591" s="2">
        <v>6</v>
      </c>
    </row>
    <row r="592" s="2" customFormat="1" spans="1:16">
      <c r="A592" s="8"/>
      <c r="B592" s="9" t="s">
        <v>1328</v>
      </c>
      <c r="C592" s="10" t="s">
        <v>412</v>
      </c>
      <c r="D592" s="11">
        <v>1</v>
      </c>
      <c r="E592" s="12">
        <v>4394.9</v>
      </c>
      <c r="F592" s="13">
        <v>4394.9</v>
      </c>
      <c r="G592" s="2">
        <f>VLOOKUP(B592,'PO with created By ASR'!A:C,3,FALSE)</f>
        <v>45674</v>
      </c>
      <c r="J592" s="2" t="str">
        <f>VLOOKUP(B592,'PO with created By ASR'!A:G,4,FALSE)</f>
        <v>Thirtha Patil  -CR
</v>
      </c>
      <c r="K592" s="2" t="e">
        <f>VLOOKUP(B592,'PO with created By ASR'!A:I,6,FALSE)</f>
        <v>#N/A</v>
      </c>
      <c r="L592" s="2" t="str">
        <f>VLOOKUP(B592,'PO with created By ASR'!A:J,7,FALSE)</f>
        <v>B - Bangalore</v>
      </c>
      <c r="M592" s="2" t="str">
        <f>VLOOKUP(B592,'PO with created By ASR'!A:K,8,FALSE)</f>
        <v>Purchase Order-Blr</v>
      </c>
      <c r="N592" t="s">
        <v>36</v>
      </c>
      <c r="P592" s="2">
        <v>6</v>
      </c>
    </row>
    <row r="593" s="2" customFormat="1" spans="1:16">
      <c r="A593" s="8"/>
      <c r="B593" s="9" t="s">
        <v>1328</v>
      </c>
      <c r="C593" s="10" t="s">
        <v>233</v>
      </c>
      <c r="D593" s="11">
        <v>1</v>
      </c>
      <c r="E593" s="12">
        <v>940</v>
      </c>
      <c r="F593" s="13">
        <v>940</v>
      </c>
      <c r="G593" s="2">
        <f>VLOOKUP(B593,'PO with created By ASR'!A:C,3,FALSE)</f>
        <v>45674</v>
      </c>
      <c r="J593" s="2" t="str">
        <f>VLOOKUP(B593,'PO with created By ASR'!A:G,4,FALSE)</f>
        <v>Thirtha Patil  -CR
</v>
      </c>
      <c r="K593" s="2" t="e">
        <f>VLOOKUP(B593,'PO with created By ASR'!A:I,6,FALSE)</f>
        <v>#N/A</v>
      </c>
      <c r="L593" s="2" t="str">
        <f>VLOOKUP(B593,'PO with created By ASR'!A:J,7,FALSE)</f>
        <v>B - Bangalore</v>
      </c>
      <c r="M593" s="2" t="str">
        <f>VLOOKUP(B593,'PO with created By ASR'!A:K,8,FALSE)</f>
        <v>Purchase Order-Blr</v>
      </c>
      <c r="N593" t="s">
        <v>36</v>
      </c>
      <c r="P593" s="2">
        <v>6</v>
      </c>
    </row>
    <row r="594" s="2" customFormat="1" spans="1:16">
      <c r="A594" s="8"/>
      <c r="B594" s="9" t="s">
        <v>1328</v>
      </c>
      <c r="C594" s="10" t="s">
        <v>196</v>
      </c>
      <c r="D594" s="11">
        <v>1</v>
      </c>
      <c r="E594" s="12">
        <v>840</v>
      </c>
      <c r="F594" s="13">
        <v>840</v>
      </c>
      <c r="G594" s="2">
        <f>VLOOKUP(B594,'PO with created By ASR'!A:C,3,FALSE)</f>
        <v>45674</v>
      </c>
      <c r="J594" s="2" t="str">
        <f>VLOOKUP(B594,'PO with created By ASR'!A:G,4,FALSE)</f>
        <v>Thirtha Patil  -CR
</v>
      </c>
      <c r="K594" s="2" t="e">
        <f>VLOOKUP(B594,'PO with created By ASR'!A:I,6,FALSE)</f>
        <v>#N/A</v>
      </c>
      <c r="L594" s="2" t="str">
        <f>VLOOKUP(B594,'PO with created By ASR'!A:J,7,FALSE)</f>
        <v>B - Bangalore</v>
      </c>
      <c r="M594" s="2" t="str">
        <f>VLOOKUP(B594,'PO with created By ASR'!A:K,8,FALSE)</f>
        <v>Purchase Order-Blr</v>
      </c>
      <c r="N594" t="s">
        <v>36</v>
      </c>
      <c r="P594" s="2">
        <v>6</v>
      </c>
    </row>
    <row r="595" s="2" customFormat="1" spans="1:16">
      <c r="A595" s="8"/>
      <c r="B595" s="9" t="s">
        <v>1329</v>
      </c>
      <c r="C595" s="10" t="s">
        <v>119</v>
      </c>
      <c r="D595" s="11">
        <v>1</v>
      </c>
      <c r="E595" s="12">
        <v>1800</v>
      </c>
      <c r="F595" s="13">
        <v>1800</v>
      </c>
      <c r="G595" s="2">
        <f>VLOOKUP(B595,'PO with created By ASR'!A:C,3,FALSE)</f>
        <v>45674</v>
      </c>
      <c r="J595" s="2" t="str">
        <f>VLOOKUP(B595,'PO with created By ASR'!A:G,4,FALSE)</f>
        <v>Siva Sankar Cabs-Blr</v>
      </c>
      <c r="K595" s="2" t="str">
        <f>VLOOKUP(B595,'PO with created By ASR'!A:I,6,FALSE)</f>
        <v>10089 Siva Sankar Cabs</v>
      </c>
      <c r="L595" s="2" t="str">
        <f>VLOOKUP(B595,'PO with created By ASR'!A:J,7,FALSE)</f>
        <v>B - Bangalore</v>
      </c>
      <c r="M595" s="2" t="str">
        <f>VLOOKUP(B595,'PO with created By ASR'!A:K,8,FALSE)</f>
        <v>Purchase Order-Blr</v>
      </c>
      <c r="N595" t="s">
        <v>36</v>
      </c>
      <c r="P595" s="2">
        <v>6</v>
      </c>
    </row>
    <row r="596" s="2" customFormat="1" spans="1:16">
      <c r="A596" s="8"/>
      <c r="B596" s="9" t="s">
        <v>1332</v>
      </c>
      <c r="C596" s="10" t="s">
        <v>140</v>
      </c>
      <c r="D596" s="11">
        <v>1</v>
      </c>
      <c r="E596" s="12">
        <v>6360</v>
      </c>
      <c r="F596" s="13">
        <v>6360</v>
      </c>
      <c r="G596" s="2">
        <f>VLOOKUP(B596,'PO with created By ASR'!A:C,3,FALSE)</f>
        <v>45674</v>
      </c>
      <c r="J596" s="2" t="str">
        <f>VLOOKUP(B596,'PO with created By ASR'!A:G,4,FALSE)</f>
        <v>Konceptz Galore-Del</v>
      </c>
      <c r="K596" s="2" t="str">
        <f>VLOOKUP(B596,'PO with created By ASR'!A:I,6,FALSE)</f>
        <v>12648 Konceptz Galore</v>
      </c>
      <c r="L596" s="2" t="str">
        <f>VLOOKUP(B596,'PO with created By ASR'!A:J,7,FALSE)</f>
        <v>D - Delhi</v>
      </c>
      <c r="M596" s="2" t="str">
        <f>VLOOKUP(B596,'PO with created By ASR'!A:K,8,FALSE)</f>
        <v>Purchase Order-Del</v>
      </c>
      <c r="N596" t="s">
        <v>36</v>
      </c>
      <c r="P596" s="2">
        <v>6</v>
      </c>
    </row>
    <row r="597" s="2" customFormat="1" spans="1:16">
      <c r="A597" s="8"/>
      <c r="B597" s="9" t="s">
        <v>1333</v>
      </c>
      <c r="C597" s="10" t="s">
        <v>292</v>
      </c>
      <c r="D597" s="11">
        <v>1</v>
      </c>
      <c r="E597" s="12">
        <v>455000</v>
      </c>
      <c r="F597" s="13">
        <v>455000</v>
      </c>
      <c r="G597" s="2">
        <f>VLOOKUP(B597,'PO with created By ASR'!A:C,3,FALSE)</f>
        <v>45674</v>
      </c>
      <c r="J597" s="2" t="str">
        <f>VLOOKUP(B597,'PO with created By ASR'!A:G,4,FALSE)</f>
        <v>Manya Chitkara-Del</v>
      </c>
      <c r="K597" s="2" t="str">
        <f>VLOOKUP(B597,'PO with created By ASR'!A:I,6,FALSE)</f>
        <v>12891 Manya Chitkara</v>
      </c>
      <c r="L597" s="2" t="str">
        <f>VLOOKUP(B597,'PO with created By ASR'!A:J,7,FALSE)</f>
        <v>D - Delhi</v>
      </c>
      <c r="M597" s="2" t="str">
        <f>VLOOKUP(B597,'PO with created By ASR'!A:K,8,FALSE)</f>
        <v>Purchase Order-Del</v>
      </c>
      <c r="N597" t="s">
        <v>36</v>
      </c>
      <c r="P597" s="2">
        <v>6</v>
      </c>
    </row>
    <row r="598" s="2" customFormat="1" spans="1:16">
      <c r="A598" s="8"/>
      <c r="B598" s="9" t="s">
        <v>1337</v>
      </c>
      <c r="C598" s="10" t="s">
        <v>233</v>
      </c>
      <c r="D598" s="11">
        <v>1</v>
      </c>
      <c r="E598" s="12">
        <v>4270</v>
      </c>
      <c r="F598" s="13">
        <v>4270</v>
      </c>
      <c r="G598" s="2">
        <f>VLOOKUP(B598,'PO with created By ASR'!A:C,3,FALSE)</f>
        <v>45674</v>
      </c>
      <c r="J598" s="2" t="str">
        <f>VLOOKUP(B598,'PO with created By ASR'!A:G,4,FALSE)</f>
        <v>Anjali Malhotra-Del</v>
      </c>
      <c r="K598" s="2" t="str">
        <f>VLOOKUP(B598,'PO with created By ASR'!A:I,6,FALSE)</f>
        <v>10534 Anjali Malhotra</v>
      </c>
      <c r="L598" s="2" t="str">
        <f>VLOOKUP(B598,'PO with created By ASR'!A:J,7,FALSE)</f>
        <v>D - Delhi</v>
      </c>
      <c r="M598" s="2" t="str">
        <f>VLOOKUP(B598,'PO with created By ASR'!A:K,8,FALSE)</f>
        <v>Purchase Order-Del</v>
      </c>
      <c r="N598" t="s">
        <v>36</v>
      </c>
      <c r="P598" s="2">
        <v>6</v>
      </c>
    </row>
    <row r="599" s="2" customFormat="1" spans="1:16">
      <c r="A599" s="8"/>
      <c r="B599" s="9" t="s">
        <v>1341</v>
      </c>
      <c r="C599" s="10" t="s">
        <v>347</v>
      </c>
      <c r="D599" s="11">
        <v>1</v>
      </c>
      <c r="E599" s="12">
        <v>200000</v>
      </c>
      <c r="F599" s="13">
        <v>200000</v>
      </c>
      <c r="G599" s="2">
        <f>VLOOKUP(B599,'PO with created By ASR'!A:C,3,FALSE)</f>
        <v>45674</v>
      </c>
      <c r="J599" s="2" t="str">
        <f>VLOOKUP(B599,'PO with created By ASR'!A:G,4,FALSE)</f>
        <v>Anjali Malhotra-Del</v>
      </c>
      <c r="K599" s="2" t="str">
        <f>VLOOKUP(B599,'PO with created By ASR'!A:I,6,FALSE)</f>
        <v>10534 Anjali Malhotra</v>
      </c>
      <c r="L599" s="2" t="str">
        <f>VLOOKUP(B599,'PO with created By ASR'!A:J,7,FALSE)</f>
        <v>D - Delhi</v>
      </c>
      <c r="M599" s="2" t="str">
        <f>VLOOKUP(B599,'PO with created By ASR'!A:K,8,FALSE)</f>
        <v>Purchase Order-Del</v>
      </c>
      <c r="N599" t="s">
        <v>36</v>
      </c>
      <c r="P599" s="2">
        <v>6</v>
      </c>
    </row>
    <row r="600" s="2" customFormat="1" spans="1:16">
      <c r="A600" s="8"/>
      <c r="B600" s="9" t="s">
        <v>1342</v>
      </c>
      <c r="C600" s="10" t="s">
        <v>526</v>
      </c>
      <c r="D600" s="11">
        <v>1</v>
      </c>
      <c r="E600" s="12">
        <v>35000</v>
      </c>
      <c r="F600" s="13">
        <v>35000</v>
      </c>
      <c r="G600" s="2">
        <f>VLOOKUP(B600,'PO with created By ASR'!A:C,3,FALSE)</f>
        <v>45674</v>
      </c>
      <c r="J600" s="2" t="str">
        <f>VLOOKUP(B600,'PO with created By ASR'!A:G,4,FALSE)</f>
        <v>Minter Cstech Pvt.Ltd.-Del</v>
      </c>
      <c r="K600" s="2" t="e">
        <f>VLOOKUP(B600,'PO with created By ASR'!A:I,6,FALSE)</f>
        <v>#N/A</v>
      </c>
      <c r="L600" s="2" t="str">
        <f>VLOOKUP(B600,'PO with created By ASR'!A:J,7,FALSE)</f>
        <v>D - Delhi</v>
      </c>
      <c r="M600" s="2" t="str">
        <f>VLOOKUP(B600,'PO with created By ASR'!A:K,8,FALSE)</f>
        <v>Purchase Order-Del</v>
      </c>
      <c r="N600" t="s">
        <v>36</v>
      </c>
      <c r="P600" s="2">
        <v>6</v>
      </c>
    </row>
    <row r="601" s="2" customFormat="1" spans="1:16">
      <c r="A601" s="8"/>
      <c r="B601" s="9" t="s">
        <v>1343</v>
      </c>
      <c r="C601" s="10" t="s">
        <v>140</v>
      </c>
      <c r="D601" s="11">
        <v>1</v>
      </c>
      <c r="E601" s="12">
        <v>101800</v>
      </c>
      <c r="F601" s="13">
        <v>101800</v>
      </c>
      <c r="G601" s="2">
        <f>VLOOKUP(B601,'PO with created By ASR'!A:C,3,FALSE)</f>
        <v>45674</v>
      </c>
      <c r="J601" s="2" t="str">
        <f>VLOOKUP(B601,'PO with created By ASR'!A:G,4,FALSE)</f>
        <v>Studio Merchandise Pvt Ltd-Del</v>
      </c>
      <c r="K601" s="2" t="str">
        <f>VLOOKUP(B601,'PO with created By ASR'!A:I,6,FALSE)</f>
        <v>12464  Studio Merchandise Pvt Ltd</v>
      </c>
      <c r="L601" s="2" t="str">
        <f>VLOOKUP(B601,'PO with created By ASR'!A:J,7,FALSE)</f>
        <v>D - Delhi</v>
      </c>
      <c r="M601" s="2" t="str">
        <f>VLOOKUP(B601,'PO with created By ASR'!A:K,8,FALSE)</f>
        <v>Purchase Order-Del</v>
      </c>
      <c r="N601" t="s">
        <v>36</v>
      </c>
      <c r="P601" s="2">
        <v>6</v>
      </c>
    </row>
    <row r="602" s="2" customFormat="1" spans="1:16">
      <c r="A602" s="8"/>
      <c r="B602" s="9" t="s">
        <v>1345</v>
      </c>
      <c r="C602" s="10" t="s">
        <v>256</v>
      </c>
      <c r="D602" s="11">
        <v>1</v>
      </c>
      <c r="E602" s="12">
        <v>60000</v>
      </c>
      <c r="F602" s="13">
        <v>60000</v>
      </c>
      <c r="G602" s="2">
        <f>VLOOKUP(B602,'PO with created By ASR'!A:C,3,FALSE)</f>
        <v>45674</v>
      </c>
      <c r="J602" s="2" t="str">
        <f>VLOOKUP(B602,'PO with created By ASR'!A:G,4,FALSE)</f>
        <v>The Indian Performing Right Society Ltd.-Mum</v>
      </c>
      <c r="K602" s="2" t="e">
        <f>VLOOKUP(B602,'PO with created By ASR'!A:I,6,FALSE)</f>
        <v>#N/A</v>
      </c>
      <c r="L602" s="2" t="str">
        <f>VLOOKUP(B602,'PO with created By ASR'!A:J,7,FALSE)</f>
        <v>A - Mumbai</v>
      </c>
      <c r="M602" s="2" t="str">
        <f>VLOOKUP(B602,'PO with created By ASR'!A:K,8,FALSE)</f>
        <v>Purchase Order-Mum</v>
      </c>
      <c r="N602" t="s">
        <v>36</v>
      </c>
      <c r="P602" s="2">
        <v>6</v>
      </c>
    </row>
    <row r="603" s="2" customFormat="1" spans="1:16">
      <c r="A603" s="8"/>
      <c r="B603" s="9" t="s">
        <v>1347</v>
      </c>
      <c r="C603" s="10" t="s">
        <v>256</v>
      </c>
      <c r="D603" s="11">
        <v>1</v>
      </c>
      <c r="E603" s="12">
        <v>55500</v>
      </c>
      <c r="F603" s="13">
        <v>55500</v>
      </c>
      <c r="G603" s="2">
        <f>VLOOKUP(B603,'PO with created By ASR'!A:C,3,FALSE)</f>
        <v>45674</v>
      </c>
      <c r="J603" s="2" t="str">
        <f>VLOOKUP(B603,'PO with created By ASR'!A:G,4,FALSE)</f>
        <v>Phonographic Performance Limited-Mum</v>
      </c>
      <c r="K603" s="2" t="e">
        <f>VLOOKUP(B603,'PO with created By ASR'!A:I,6,FALSE)</f>
        <v>#N/A</v>
      </c>
      <c r="L603" s="2" t="str">
        <f>VLOOKUP(B603,'PO with created By ASR'!A:J,7,FALSE)</f>
        <v>A - Mumbai</v>
      </c>
      <c r="M603" s="2" t="str">
        <f>VLOOKUP(B603,'PO with created By ASR'!A:K,8,FALSE)</f>
        <v>Purchase Order-Mum</v>
      </c>
      <c r="N603" t="s">
        <v>36</v>
      </c>
      <c r="P603" s="2">
        <v>6</v>
      </c>
    </row>
    <row r="604" s="2" customFormat="1" spans="1:16">
      <c r="A604" s="8"/>
      <c r="B604" s="9" t="s">
        <v>1348</v>
      </c>
      <c r="C604" s="10" t="s">
        <v>317</v>
      </c>
      <c r="D604" s="11">
        <v>1</v>
      </c>
      <c r="E604" s="12">
        <v>1000000</v>
      </c>
      <c r="F604" s="13">
        <v>1000000</v>
      </c>
      <c r="G604" s="2">
        <f>VLOOKUP(B604,'PO with created By ASR'!A:C,3,FALSE)</f>
        <v>45674</v>
      </c>
      <c r="J604" s="2" t="str">
        <f>VLOOKUP(B604,'PO with created By ASR'!A:G,4,FALSE)</f>
        <v>Success Promos &amp; Events Pvt Ltd-Mum</v>
      </c>
      <c r="K604" s="2" t="str">
        <f>VLOOKUP(B604,'PO with created By ASR'!A:I,6,FALSE)</f>
        <v>12469  Success Promos &amp; Events Pvt Ltd</v>
      </c>
      <c r="L604" s="2" t="str">
        <f>VLOOKUP(B604,'PO with created By ASR'!A:J,7,FALSE)</f>
        <v>A - Mumbai</v>
      </c>
      <c r="M604" s="2" t="str">
        <f>VLOOKUP(B604,'PO with created By ASR'!A:K,8,FALSE)</f>
        <v>Purchase Order-Mum</v>
      </c>
      <c r="N604" t="s">
        <v>36</v>
      </c>
      <c r="P604" s="2">
        <v>6</v>
      </c>
    </row>
    <row r="605" s="2" customFormat="1" spans="1:16">
      <c r="A605" s="8"/>
      <c r="B605" s="9" t="s">
        <v>1351</v>
      </c>
      <c r="C605" s="10" t="s">
        <v>317</v>
      </c>
      <c r="D605" s="11">
        <v>1</v>
      </c>
      <c r="E605" s="12">
        <v>500000</v>
      </c>
      <c r="F605" s="13">
        <v>500000</v>
      </c>
      <c r="G605" s="2">
        <f>VLOOKUP(B605,'PO with created By ASR'!A:C,3,FALSE)</f>
        <v>45674</v>
      </c>
      <c r="J605" s="2" t="str">
        <f>VLOOKUP(B605,'PO with created By ASR'!A:G,4,FALSE)</f>
        <v>Success Promos &amp; Events Pvt Ltd-Mum</v>
      </c>
      <c r="K605" s="2" t="str">
        <f>VLOOKUP(B605,'PO with created By ASR'!A:I,6,FALSE)</f>
        <v>12469  Success Promos &amp; Events Pvt Ltd</v>
      </c>
      <c r="L605" s="2" t="str">
        <f>VLOOKUP(B605,'PO with created By ASR'!A:J,7,FALSE)</f>
        <v>A - Mumbai</v>
      </c>
      <c r="M605" s="2" t="str">
        <f>VLOOKUP(B605,'PO with created By ASR'!A:K,8,FALSE)</f>
        <v>Purchase Order-Mum</v>
      </c>
      <c r="N605" t="s">
        <v>36</v>
      </c>
      <c r="P605" s="2">
        <v>6</v>
      </c>
    </row>
    <row r="606" s="2" customFormat="1" spans="1:16">
      <c r="A606" s="8"/>
      <c r="B606" s="9" t="s">
        <v>1352</v>
      </c>
      <c r="C606" s="10" t="s">
        <v>151</v>
      </c>
      <c r="D606" s="11">
        <v>1</v>
      </c>
      <c r="E606" s="12">
        <v>10000</v>
      </c>
      <c r="F606" s="13">
        <v>10000</v>
      </c>
      <c r="G606" s="2">
        <f>VLOOKUP(B606,'PO with created By ASR'!A:C,3,FALSE)</f>
        <v>45674</v>
      </c>
      <c r="J606" s="2" t="str">
        <f>VLOOKUP(B606,'PO with created By ASR'!A:G,4,FALSE)</f>
        <v>Om Screen Art Events-Mum</v>
      </c>
      <c r="K606" s="2" t="str">
        <f>VLOOKUP(B606,'PO with created By ASR'!A:I,6,FALSE)</f>
        <v>12222 Om Screen Art Events</v>
      </c>
      <c r="L606" s="2" t="str">
        <f>VLOOKUP(B606,'PO with created By ASR'!A:J,7,FALSE)</f>
        <v>A - Mumbai</v>
      </c>
      <c r="M606" s="2" t="str">
        <f>VLOOKUP(B606,'PO with created By ASR'!A:K,8,FALSE)</f>
        <v>Purchase Order-Mum</v>
      </c>
      <c r="N606" t="s">
        <v>36</v>
      </c>
      <c r="P606" s="2">
        <v>6</v>
      </c>
    </row>
    <row r="607" s="2" customFormat="1" spans="1:16">
      <c r="A607" s="8"/>
      <c r="B607" s="9" t="s">
        <v>1355</v>
      </c>
      <c r="C607" s="10" t="s">
        <v>371</v>
      </c>
      <c r="D607" s="11">
        <v>1</v>
      </c>
      <c r="E607" s="12">
        <v>120000</v>
      </c>
      <c r="F607" s="13">
        <v>120000</v>
      </c>
      <c r="G607" s="2">
        <f>VLOOKUP(B607,'PO with created By ASR'!A:C,3,FALSE)</f>
        <v>45674</v>
      </c>
      <c r="J607" s="2" t="str">
        <f>VLOOKUP(B607,'PO with created By ASR'!A:G,4,FALSE)</f>
        <v>Videowaves-Mum</v>
      </c>
      <c r="K607" s="2" t="e">
        <f>VLOOKUP(B607,'PO with created By ASR'!A:I,6,FALSE)</f>
        <v>#N/A</v>
      </c>
      <c r="L607" s="2" t="str">
        <f>VLOOKUP(B607,'PO with created By ASR'!A:J,7,FALSE)</f>
        <v>A - Mumbai</v>
      </c>
      <c r="M607" s="2" t="str">
        <f>VLOOKUP(B607,'PO with created By ASR'!A:K,8,FALSE)</f>
        <v>Purchase Order-Mum</v>
      </c>
      <c r="N607" t="s">
        <v>36</v>
      </c>
      <c r="P607" s="2">
        <v>6</v>
      </c>
    </row>
    <row r="608" s="2" customFormat="1" spans="1:16">
      <c r="A608" s="8"/>
      <c r="B608" s="9" t="s">
        <v>1356</v>
      </c>
      <c r="C608" s="10" t="s">
        <v>371</v>
      </c>
      <c r="D608" s="11">
        <v>1</v>
      </c>
      <c r="E608" s="12">
        <v>19420</v>
      </c>
      <c r="F608" s="13">
        <v>19420</v>
      </c>
      <c r="G608" s="2">
        <f>VLOOKUP(B608,'PO with created By ASR'!A:C,3,FALSE)</f>
        <v>45675</v>
      </c>
      <c r="J608" s="2" t="str">
        <f>VLOOKUP(B608,'PO with created By ASR'!A:G,4,FALSE)</f>
        <v>H V Communication Pvt Ltd-Del</v>
      </c>
      <c r="K608" s="2" t="e">
        <f>VLOOKUP(B608,'PO with created By ASR'!A:I,6,FALSE)</f>
        <v>#N/A</v>
      </c>
      <c r="L608" s="2" t="str">
        <f>VLOOKUP(B608,'PO with created By ASR'!A:J,7,FALSE)</f>
        <v>C - Chennai</v>
      </c>
      <c r="M608" s="2" t="str">
        <f>VLOOKUP(B608,'PO with created By ASR'!A:K,8,FALSE)</f>
        <v>Purchase Order-Che</v>
      </c>
      <c r="N608" t="s">
        <v>36</v>
      </c>
      <c r="P608" s="2">
        <v>6</v>
      </c>
    </row>
    <row r="609" s="2" customFormat="1" spans="1:16">
      <c r="A609" s="8"/>
      <c r="B609" s="9" t="s">
        <v>1360</v>
      </c>
      <c r="C609" s="10" t="s">
        <v>196</v>
      </c>
      <c r="D609" s="11">
        <v>1</v>
      </c>
      <c r="E609" s="12">
        <v>5500</v>
      </c>
      <c r="F609" s="13">
        <v>5500</v>
      </c>
      <c r="G609" s="2">
        <f>VLOOKUP(B609,'PO with created By ASR'!A:C,3,FALSE)</f>
        <v>45675</v>
      </c>
      <c r="J609" s="2" t="str">
        <f>VLOOKUP(B609,'PO with created By ASR'!A:G,4,FALSE)</f>
        <v>Cockpitmarx -Del</v>
      </c>
      <c r="K609" s="2" t="e">
        <f>VLOOKUP(B609,'PO with created By ASR'!A:I,6,FALSE)</f>
        <v>#N/A</v>
      </c>
      <c r="L609" s="2" t="str">
        <f>VLOOKUP(B609,'PO with created By ASR'!A:J,7,FALSE)</f>
        <v>D - Delhi</v>
      </c>
      <c r="M609" s="2" t="str">
        <f>VLOOKUP(B609,'PO with created By ASR'!A:K,8,FALSE)</f>
        <v>Purchase Order-Del</v>
      </c>
      <c r="N609" t="s">
        <v>36</v>
      </c>
      <c r="P609" s="2">
        <v>6</v>
      </c>
    </row>
    <row r="610" s="2" customFormat="1" spans="1:16">
      <c r="A610" s="8"/>
      <c r="B610" s="9" t="s">
        <v>1362</v>
      </c>
      <c r="C610" s="10" t="s">
        <v>196</v>
      </c>
      <c r="D610" s="11">
        <v>1</v>
      </c>
      <c r="E610" s="12">
        <v>19200</v>
      </c>
      <c r="F610" s="13">
        <v>19200</v>
      </c>
      <c r="G610" s="2">
        <f>VLOOKUP(B610,'PO with created By ASR'!A:C,3,FALSE)</f>
        <v>45675</v>
      </c>
      <c r="J610" s="2" t="str">
        <f>VLOOKUP(B610,'PO with created By ASR'!A:G,4,FALSE)</f>
        <v>Cockpitmarx -Del</v>
      </c>
      <c r="K610" s="2" t="e">
        <f>VLOOKUP(B610,'PO with created By ASR'!A:I,6,FALSE)</f>
        <v>#N/A</v>
      </c>
      <c r="L610" s="2" t="str">
        <f>VLOOKUP(B610,'PO with created By ASR'!A:J,7,FALSE)</f>
        <v>D - Delhi</v>
      </c>
      <c r="M610" s="2" t="str">
        <f>VLOOKUP(B610,'PO with created By ASR'!A:K,8,FALSE)</f>
        <v>Purchase Order-Del</v>
      </c>
      <c r="N610" t="s">
        <v>36</v>
      </c>
      <c r="P610" s="2">
        <v>6</v>
      </c>
    </row>
    <row r="611" s="2" customFormat="1" spans="1:16">
      <c r="A611" s="8"/>
      <c r="B611" s="9" t="s">
        <v>1363</v>
      </c>
      <c r="C611" s="10" t="s">
        <v>990</v>
      </c>
      <c r="D611" s="11">
        <v>1</v>
      </c>
      <c r="E611" s="12">
        <v>22500</v>
      </c>
      <c r="F611" s="13">
        <v>22500</v>
      </c>
      <c r="G611" s="2">
        <f>VLOOKUP(B611,'PO with created By ASR'!A:C,3,FALSE)</f>
        <v>45675</v>
      </c>
      <c r="J611" s="2" t="str">
        <f>VLOOKUP(B611,'PO with created By ASR'!A:G,4,FALSE)</f>
        <v>Aaa Rental Llp-Mum</v>
      </c>
      <c r="K611" s="2" t="str">
        <f>VLOOKUP(B611,'PO with created By ASR'!A:I,6,FALSE)</f>
        <v>11626 Aaa Rental Llp</v>
      </c>
      <c r="L611" s="2" t="str">
        <f>VLOOKUP(B611,'PO with created By ASR'!A:J,7,FALSE)</f>
        <v>D - Delhi</v>
      </c>
      <c r="M611" s="2" t="str">
        <f>VLOOKUP(B611,'PO with created By ASR'!A:K,8,FALSE)</f>
        <v>Purchase Order-Del</v>
      </c>
      <c r="N611" t="s">
        <v>36</v>
      </c>
      <c r="P611" s="2">
        <v>6</v>
      </c>
    </row>
    <row r="612" s="2" customFormat="1" spans="1:16">
      <c r="A612" s="8"/>
      <c r="B612" s="9" t="s">
        <v>1364</v>
      </c>
      <c r="C612" s="10" t="s">
        <v>256</v>
      </c>
      <c r="D612" s="11">
        <v>1</v>
      </c>
      <c r="E612" s="12">
        <v>30000</v>
      </c>
      <c r="F612" s="13">
        <v>30000</v>
      </c>
      <c r="G612" s="2">
        <f>VLOOKUP(B612,'PO with created By ASR'!A:C,3,FALSE)</f>
        <v>45675</v>
      </c>
      <c r="J612" s="2" t="str">
        <f>VLOOKUP(B612,'PO with created By ASR'!A:G,4,FALSE)</f>
        <v>The Indian Performing Right Society Ltd.-Mum</v>
      </c>
      <c r="K612" s="2" t="e">
        <f>VLOOKUP(B612,'PO with created By ASR'!A:I,6,FALSE)</f>
        <v>#N/A</v>
      </c>
      <c r="L612" s="2" t="str">
        <f>VLOOKUP(B612,'PO with created By ASR'!A:J,7,FALSE)</f>
        <v>A - Mumbai</v>
      </c>
      <c r="M612" s="2" t="str">
        <f>VLOOKUP(B612,'PO with created By ASR'!A:K,8,FALSE)</f>
        <v>Purchase Order-Mum</v>
      </c>
      <c r="N612" t="s">
        <v>36</v>
      </c>
      <c r="P612" s="2">
        <v>6</v>
      </c>
    </row>
    <row r="613" s="2" customFormat="1" spans="1:16">
      <c r="A613" s="8"/>
      <c r="B613" s="9" t="s">
        <v>1365</v>
      </c>
      <c r="C613" s="10" t="s">
        <v>256</v>
      </c>
      <c r="D613" s="11">
        <v>1</v>
      </c>
      <c r="E613" s="12">
        <v>55500</v>
      </c>
      <c r="F613" s="13">
        <v>55500</v>
      </c>
      <c r="G613" s="2">
        <f>VLOOKUP(B613,'PO with created By ASR'!A:C,3,FALSE)</f>
        <v>45675</v>
      </c>
      <c r="J613" s="2" t="str">
        <f>VLOOKUP(B613,'PO with created By ASR'!A:G,4,FALSE)</f>
        <v>Phonographic Performance Limited-Mum</v>
      </c>
      <c r="K613" s="2" t="e">
        <f>VLOOKUP(B613,'PO with created By ASR'!A:I,6,FALSE)</f>
        <v>#N/A</v>
      </c>
      <c r="L613" s="2" t="str">
        <f>VLOOKUP(B613,'PO with created By ASR'!A:J,7,FALSE)</f>
        <v>A - Mumbai</v>
      </c>
      <c r="M613" s="2" t="str">
        <f>VLOOKUP(B613,'PO with created By ASR'!A:K,8,FALSE)</f>
        <v>Purchase Order-Mum</v>
      </c>
      <c r="N613" t="s">
        <v>36</v>
      </c>
      <c r="P613" s="2">
        <v>6</v>
      </c>
    </row>
    <row r="614" s="2" customFormat="1" spans="1:16">
      <c r="A614" s="8"/>
      <c r="B614" s="9" t="s">
        <v>1366</v>
      </c>
      <c r="C614" s="10" t="s">
        <v>256</v>
      </c>
      <c r="D614" s="11">
        <v>1</v>
      </c>
      <c r="E614" s="12">
        <v>60000</v>
      </c>
      <c r="F614" s="13">
        <v>60000</v>
      </c>
      <c r="G614" s="2">
        <f>VLOOKUP(B614,'PO with created By ASR'!A:C,3,FALSE)</f>
        <v>45675</v>
      </c>
      <c r="J614" s="2" t="str">
        <f>VLOOKUP(B614,'PO with created By ASR'!A:G,4,FALSE)</f>
        <v>Novex Communications Pvt. Ltd.-Mum</v>
      </c>
      <c r="K614" s="2" t="e">
        <f>VLOOKUP(B614,'PO with created By ASR'!A:I,6,FALSE)</f>
        <v>#N/A</v>
      </c>
      <c r="L614" s="2" t="str">
        <f>VLOOKUP(B614,'PO with created By ASR'!A:J,7,FALSE)</f>
        <v>A - Mumbai</v>
      </c>
      <c r="M614" s="2" t="str">
        <f>VLOOKUP(B614,'PO with created By ASR'!A:K,8,FALSE)</f>
        <v>Purchase Order-Mum</v>
      </c>
      <c r="N614" t="s">
        <v>36</v>
      </c>
      <c r="P614" s="2">
        <v>6</v>
      </c>
    </row>
    <row r="615" s="2" customFormat="1" spans="1:16">
      <c r="A615" s="8"/>
      <c r="B615" s="9" t="s">
        <v>1367</v>
      </c>
      <c r="C615" s="10" t="s">
        <v>256</v>
      </c>
      <c r="D615" s="11">
        <v>1</v>
      </c>
      <c r="E615" s="12">
        <v>25000</v>
      </c>
      <c r="F615" s="13">
        <v>25000</v>
      </c>
      <c r="G615" s="2">
        <f>VLOOKUP(B615,'PO with created By ASR'!A:C,3,FALSE)</f>
        <v>45675</v>
      </c>
      <c r="J615" s="2" t="str">
        <f>VLOOKUP(B615,'PO with created By ASR'!A:G,4,FALSE)</f>
        <v>Recorded Music Performance Ltd-Mum</v>
      </c>
      <c r="K615" s="2" t="str">
        <f>VLOOKUP(B615,'PO with created By ASR'!A:I,6,FALSE)</f>
        <v>10856  Recorded Music Performance Ltd</v>
      </c>
      <c r="L615" s="2" t="str">
        <f>VLOOKUP(B615,'PO with created By ASR'!A:J,7,FALSE)</f>
        <v>A - Mumbai</v>
      </c>
      <c r="M615" s="2" t="str">
        <f>VLOOKUP(B615,'PO with created By ASR'!A:K,8,FALSE)</f>
        <v>Purchase Order-Mum</v>
      </c>
      <c r="N615" t="s">
        <v>36</v>
      </c>
      <c r="P615" s="2">
        <v>6</v>
      </c>
    </row>
    <row r="616" s="2" customFormat="1" spans="1:16">
      <c r="A616" s="8"/>
      <c r="B616" s="9" t="s">
        <v>1368</v>
      </c>
      <c r="C616" s="10" t="s">
        <v>401</v>
      </c>
      <c r="D616" s="11">
        <v>1</v>
      </c>
      <c r="E616" s="12">
        <v>133500</v>
      </c>
      <c r="F616" s="13">
        <v>133500</v>
      </c>
      <c r="G616" s="2">
        <f>VLOOKUP(B616,'PO with created By ASR'!A:C,3,FALSE)</f>
        <v>45677</v>
      </c>
      <c r="J616" s="2" t="str">
        <f>VLOOKUP(B616,'PO with created By ASR'!A:G,4,FALSE)</f>
        <v>Thinking Brahma-Blr</v>
      </c>
      <c r="K616" s="2" t="str">
        <f>VLOOKUP(B616,'PO with created By ASR'!A:I,6,FALSE)</f>
        <v>12537 Thinking Brahma</v>
      </c>
      <c r="L616" s="2" t="str">
        <f>VLOOKUP(B616,'PO with created By ASR'!A:J,7,FALSE)</f>
        <v>B - Bangalore</v>
      </c>
      <c r="M616" s="2" t="str">
        <f>VLOOKUP(B616,'PO with created By ASR'!A:K,8,FALSE)</f>
        <v>Purchase Order-Blr</v>
      </c>
      <c r="N616" t="s">
        <v>36</v>
      </c>
      <c r="P616" s="2">
        <v>6</v>
      </c>
    </row>
    <row r="617" s="2" customFormat="1" spans="1:16">
      <c r="A617" s="8"/>
      <c r="B617" s="9" t="s">
        <v>1369</v>
      </c>
      <c r="C617" s="10" t="s">
        <v>1176</v>
      </c>
      <c r="D617" s="11">
        <v>1</v>
      </c>
      <c r="E617" s="12">
        <v>2300000</v>
      </c>
      <c r="F617" s="13">
        <v>2300000</v>
      </c>
      <c r="G617" s="2">
        <f>VLOOKUP(B617,'PO with created By ASR'!A:C,3,FALSE)</f>
        <v>45677</v>
      </c>
      <c r="J617" s="2" t="str">
        <f>VLOOKUP(B617,'PO with created By ASR'!A:G,4,FALSE)</f>
        <v>Conrad Bengaluru (Prestige Hospitality Ventures Ltd)-Blr</v>
      </c>
      <c r="K617" s="2" t="str">
        <f>VLOOKUP(B617,'PO with created By ASR'!A:I,6,FALSE)</f>
        <v>10261  Conrad Bengaluru (Prestige Hospitality Ventures Ltd)</v>
      </c>
      <c r="L617" s="2" t="str">
        <f>VLOOKUP(B617,'PO with created By ASR'!A:J,7,FALSE)</f>
        <v>B - Bangalore</v>
      </c>
      <c r="M617" s="2" t="str">
        <f>VLOOKUP(B617,'PO with created By ASR'!A:K,8,FALSE)</f>
        <v>Purchase Order-Blr</v>
      </c>
      <c r="N617" t="s">
        <v>36</v>
      </c>
      <c r="P617" s="2">
        <v>6</v>
      </c>
    </row>
    <row r="618" s="2" customFormat="1" spans="1:16">
      <c r="A618" s="8"/>
      <c r="B618" s="9" t="s">
        <v>1372</v>
      </c>
      <c r="C618" s="10" t="s">
        <v>317</v>
      </c>
      <c r="D618" s="11">
        <v>1</v>
      </c>
      <c r="E618" s="12">
        <v>125000</v>
      </c>
      <c r="F618" s="13">
        <v>125000</v>
      </c>
      <c r="G618" s="2">
        <f>VLOOKUP(B618,'PO with created By ASR'!A:C,3,FALSE)</f>
        <v>45677</v>
      </c>
      <c r="J618" s="2" t="str">
        <f>VLOOKUP(B618,'PO with created By ASR'!A:G,4,FALSE)</f>
        <v>Crystal Event &amp; Service-Che</v>
      </c>
      <c r="K618" s="2" t="str">
        <f>VLOOKUP(B618,'PO with created By ASR'!A:I,6,FALSE)</f>
        <v>11809 Crystal Event &amp; Service</v>
      </c>
      <c r="L618" s="2" t="str">
        <f>VLOOKUP(B618,'PO with created By ASR'!A:J,7,FALSE)</f>
        <v>C - Chennai</v>
      </c>
      <c r="M618" s="2" t="str">
        <f>VLOOKUP(B618,'PO with created By ASR'!A:K,8,FALSE)</f>
        <v>Purchase Order-Che</v>
      </c>
      <c r="N618" t="s">
        <v>36</v>
      </c>
      <c r="P618" s="2">
        <v>6</v>
      </c>
    </row>
    <row r="619" s="2" customFormat="1" spans="1:16">
      <c r="A619" s="8"/>
      <c r="B619" s="9" t="s">
        <v>1375</v>
      </c>
      <c r="C619" s="10" t="s">
        <v>151</v>
      </c>
      <c r="D619" s="11">
        <v>1</v>
      </c>
      <c r="E619" s="12">
        <v>225000</v>
      </c>
      <c r="F619" s="13">
        <v>225000</v>
      </c>
      <c r="G619" s="2">
        <f>VLOOKUP(B619,'PO with created By ASR'!A:C,3,FALSE)</f>
        <v>45677</v>
      </c>
      <c r="J619" s="2" t="str">
        <f>VLOOKUP(B619,'PO with created By ASR'!A:G,4,FALSE)</f>
        <v>Black Pearl Production Pvt Ltd-Del</v>
      </c>
      <c r="K619" s="2" t="str">
        <f>VLOOKUP(B619,'PO with created By ASR'!A:I,6,FALSE)</f>
        <v>11734  Black Pearl Production Pvt Ltd</v>
      </c>
      <c r="L619" s="2" t="str">
        <f>VLOOKUP(B619,'PO with created By ASR'!A:J,7,FALSE)</f>
        <v>D - Delhi</v>
      </c>
      <c r="M619" s="2" t="str">
        <f>VLOOKUP(B619,'PO with created By ASR'!A:K,8,FALSE)</f>
        <v>Purchase Order-Del</v>
      </c>
      <c r="N619" t="s">
        <v>36</v>
      </c>
      <c r="P619" s="2">
        <v>6</v>
      </c>
    </row>
    <row r="620" s="2" customFormat="1" spans="1:16">
      <c r="A620" s="8"/>
      <c r="B620" s="9" t="s">
        <v>1376</v>
      </c>
      <c r="C620" s="10" t="s">
        <v>412</v>
      </c>
      <c r="D620" s="11">
        <v>1</v>
      </c>
      <c r="E620" s="12">
        <v>40707</v>
      </c>
      <c r="F620" s="13">
        <v>40707</v>
      </c>
      <c r="G620" s="2">
        <f>VLOOKUP(B620,'PO with created By ASR'!A:C,3,FALSE)</f>
        <v>45677</v>
      </c>
      <c r="J620" s="2" t="str">
        <f>VLOOKUP(B620,'PO with created By ASR'!A:G,4,FALSE)</f>
        <v>Kalu Halder............. -CR</v>
      </c>
      <c r="K620" s="2" t="e">
        <f>VLOOKUP(B620,'PO with created By ASR'!A:I,6,FALSE)</f>
        <v>#N/A</v>
      </c>
      <c r="L620" s="2" t="str">
        <f>VLOOKUP(B620,'PO with created By ASR'!A:J,7,FALSE)</f>
        <v>D - Delhi</v>
      </c>
      <c r="M620" s="2" t="str">
        <f>VLOOKUP(B620,'PO with created By ASR'!A:K,8,FALSE)</f>
        <v>Purchase Order-Del</v>
      </c>
      <c r="N620" t="s">
        <v>36</v>
      </c>
      <c r="P620" s="2">
        <v>6</v>
      </c>
    </row>
    <row r="621" s="2" customFormat="1" spans="1:16">
      <c r="A621" s="8"/>
      <c r="B621" s="9" t="s">
        <v>1379</v>
      </c>
      <c r="C621" s="10" t="s">
        <v>196</v>
      </c>
      <c r="D621" s="11">
        <v>1</v>
      </c>
      <c r="E621" s="12">
        <v>15300</v>
      </c>
      <c r="F621" s="13">
        <v>15300</v>
      </c>
      <c r="G621" s="2">
        <f>VLOOKUP(B621,'PO with created By ASR'!A:C,3,FALSE)</f>
        <v>45677</v>
      </c>
      <c r="J621" s="2" t="str">
        <f>VLOOKUP(B621,'PO with created By ASR'!A:G,4,FALSE)</f>
        <v>Yolekha Events-Del</v>
      </c>
      <c r="K621" s="2" t="str">
        <f>VLOOKUP(B621,'PO with created By ASR'!A:I,6,FALSE)</f>
        <v>11496 Yolekha Events</v>
      </c>
      <c r="L621" s="2" t="str">
        <f>VLOOKUP(B621,'PO with created By ASR'!A:J,7,FALSE)</f>
        <v>D - Delhi</v>
      </c>
      <c r="M621" s="2" t="str">
        <f>VLOOKUP(B621,'PO with created By ASR'!A:K,8,FALSE)</f>
        <v>Purchase Order-Del</v>
      </c>
      <c r="N621" t="s">
        <v>36</v>
      </c>
      <c r="P621" s="2">
        <v>6</v>
      </c>
    </row>
    <row r="622" s="2" customFormat="1" spans="1:16">
      <c r="A622" s="8"/>
      <c r="B622" s="9" t="s">
        <v>1381</v>
      </c>
      <c r="C622" s="10" t="s">
        <v>371</v>
      </c>
      <c r="D622" s="11">
        <v>1</v>
      </c>
      <c r="E622" s="12">
        <v>900000</v>
      </c>
      <c r="F622" s="13">
        <v>900000</v>
      </c>
      <c r="G622" s="2">
        <f>VLOOKUP(B622,'PO with created By ASR'!A:C,3,FALSE)</f>
        <v>45677</v>
      </c>
      <c r="J622" s="2" t="str">
        <f>VLOOKUP(B622,'PO with created By ASR'!A:G,4,FALSE)</f>
        <v>Chawla Movies-Del</v>
      </c>
      <c r="K622" s="2" t="str">
        <f>VLOOKUP(B622,'PO with created By ASR'!A:I,6,FALSE)</f>
        <v>11762 Chawla Movies</v>
      </c>
      <c r="L622" s="2" t="str">
        <f>VLOOKUP(B622,'PO with created By ASR'!A:J,7,FALSE)</f>
        <v>D - Delhi</v>
      </c>
      <c r="M622" s="2" t="str">
        <f>VLOOKUP(B622,'PO with created By ASR'!A:K,8,FALSE)</f>
        <v>Purchase Order-Del</v>
      </c>
      <c r="N622" t="s">
        <v>36</v>
      </c>
      <c r="P622" s="2">
        <v>6</v>
      </c>
    </row>
    <row r="623" s="2" customFormat="1" spans="1:16">
      <c r="A623" s="8"/>
      <c r="B623" s="9" t="s">
        <v>1384</v>
      </c>
      <c r="C623" s="10" t="s">
        <v>347</v>
      </c>
      <c r="D623" s="11">
        <v>1</v>
      </c>
      <c r="E623" s="12">
        <v>10000</v>
      </c>
      <c r="F623" s="13">
        <v>10000</v>
      </c>
      <c r="G623" s="2">
        <f>VLOOKUP(B623,'PO with created By ASR'!A:C,3,FALSE)</f>
        <v>45677</v>
      </c>
      <c r="J623" s="2" t="str">
        <f>VLOOKUP(B623,'PO with created By ASR'!A:G,4,FALSE)</f>
        <v>Prashant Vaishnav (Cr)-Del</v>
      </c>
      <c r="K623" s="2" t="str">
        <f>VLOOKUP(B623,'PO with created By ASR'!A:I,6,FALSE)</f>
        <v>12712 Prashant Vaishnav (Cr)</v>
      </c>
      <c r="L623" s="2" t="str">
        <f>VLOOKUP(B623,'PO with created By ASR'!A:J,7,FALSE)</f>
        <v>D - Delhi</v>
      </c>
      <c r="M623" s="2" t="str">
        <f>VLOOKUP(B623,'PO with created By ASR'!A:K,8,FALSE)</f>
        <v>Purchase Order-Del</v>
      </c>
      <c r="N623" t="s">
        <v>36</v>
      </c>
      <c r="P623" s="2">
        <v>6</v>
      </c>
    </row>
    <row r="624" s="2" customFormat="1" spans="1:16">
      <c r="A624" s="8"/>
      <c r="B624" s="9" t="s">
        <v>1387</v>
      </c>
      <c r="C624" s="10" t="s">
        <v>777</v>
      </c>
      <c r="D624" s="11">
        <v>1</v>
      </c>
      <c r="E624" s="12">
        <v>9427.04</v>
      </c>
      <c r="F624" s="13">
        <v>9427.04</v>
      </c>
      <c r="G624" s="2">
        <f>VLOOKUP(B624,'PO with created By ASR'!A:C,3,FALSE)</f>
        <v>45677</v>
      </c>
      <c r="J624" s="2" t="str">
        <f>VLOOKUP(B624,'PO with created By ASR'!A:G,4,FALSE)</f>
        <v>Login Enterprises-Mum</v>
      </c>
      <c r="K624" s="2" t="str">
        <f>VLOOKUP(B624,'PO with created By ASR'!A:I,6,FALSE)</f>
        <v>12106 Login  Enterprises</v>
      </c>
      <c r="L624" s="2" t="str">
        <f>VLOOKUP(B624,'PO with created By ASR'!A:J,7,FALSE)</f>
        <v>A - Mumbai</v>
      </c>
      <c r="M624" s="2" t="str">
        <f>VLOOKUP(B624,'PO with created By ASR'!A:K,8,FALSE)</f>
        <v>Purchase Order(Gen)-Mum</v>
      </c>
      <c r="N624" t="s">
        <v>36</v>
      </c>
      <c r="P624" s="2">
        <v>6</v>
      </c>
    </row>
    <row r="625" s="2" customFormat="1" spans="1:16">
      <c r="A625" s="8"/>
      <c r="B625" s="9" t="s">
        <v>1389</v>
      </c>
      <c r="C625" s="10" t="s">
        <v>412</v>
      </c>
      <c r="D625" s="11">
        <v>1</v>
      </c>
      <c r="E625" s="12">
        <v>10811.05</v>
      </c>
      <c r="F625" s="13">
        <v>10811.05</v>
      </c>
      <c r="G625" s="2">
        <f>VLOOKUP(B625,'PO with created By ASR'!A:C,3,FALSE)</f>
        <v>45677</v>
      </c>
      <c r="J625" s="2" t="str">
        <f>VLOOKUP(B625,'PO with created By ASR'!A:G,4,FALSE)</f>
        <v>PARESH SURVE ADV FOR EXPENCES-CR</v>
      </c>
      <c r="K625" s="2" t="e">
        <f>VLOOKUP(B625,'PO with created By ASR'!A:I,6,FALSE)</f>
        <v>#N/A</v>
      </c>
      <c r="L625" s="2" t="str">
        <f>VLOOKUP(B625,'PO with created By ASR'!A:J,7,FALSE)</f>
        <v>A - Mumbai</v>
      </c>
      <c r="M625" s="2" t="str">
        <f>VLOOKUP(B625,'PO with created By ASR'!A:K,8,FALSE)</f>
        <v>Purchase Order-Mum</v>
      </c>
      <c r="N625" t="s">
        <v>36</v>
      </c>
      <c r="P625" s="2">
        <v>6</v>
      </c>
    </row>
    <row r="626" s="2" customFormat="1" spans="1:16">
      <c r="A626" s="8"/>
      <c r="B626" s="9" t="s">
        <v>1390</v>
      </c>
      <c r="C626" s="10" t="s">
        <v>317</v>
      </c>
      <c r="D626" s="11">
        <v>1</v>
      </c>
      <c r="E626" s="12">
        <v>578</v>
      </c>
      <c r="F626" s="13">
        <v>578</v>
      </c>
      <c r="G626" s="2">
        <f>VLOOKUP(B626,'PO with created By ASR'!A:C,3,FALSE)</f>
        <v>45677</v>
      </c>
      <c r="J626" s="2" t="str">
        <f>VLOOKUP(B626,'PO with created By ASR'!A:G,4,FALSE)</f>
        <v>Vishal Vasani  -CR</v>
      </c>
      <c r="K626" s="2" t="e">
        <f>VLOOKUP(B626,'PO with created By ASR'!A:I,6,FALSE)</f>
        <v>#N/A</v>
      </c>
      <c r="L626" s="2" t="str">
        <f>VLOOKUP(B626,'PO with created By ASR'!A:J,7,FALSE)</f>
        <v>A - Mumbai</v>
      </c>
      <c r="M626" s="2" t="str">
        <f>VLOOKUP(B626,'PO with created By ASR'!A:K,8,FALSE)</f>
        <v>Purchase Order-Mum</v>
      </c>
      <c r="N626" t="s">
        <v>36</v>
      </c>
      <c r="P626" s="2">
        <v>6</v>
      </c>
    </row>
    <row r="627" s="2" customFormat="1" spans="1:16">
      <c r="A627" s="8"/>
      <c r="B627" s="9" t="s">
        <v>1390</v>
      </c>
      <c r="C627" s="10" t="s">
        <v>126</v>
      </c>
      <c r="D627" s="11">
        <v>1</v>
      </c>
      <c r="E627" s="12">
        <v>3753.77</v>
      </c>
      <c r="F627" s="13">
        <v>3753.77</v>
      </c>
      <c r="G627" s="2">
        <f>VLOOKUP(B627,'PO with created By ASR'!A:C,3,FALSE)</f>
        <v>45677</v>
      </c>
      <c r="J627" s="2" t="str">
        <f>VLOOKUP(B627,'PO with created By ASR'!A:G,4,FALSE)</f>
        <v>Vishal Vasani  -CR</v>
      </c>
      <c r="K627" s="2" t="e">
        <f>VLOOKUP(B627,'PO with created By ASR'!A:I,6,FALSE)</f>
        <v>#N/A</v>
      </c>
      <c r="L627" s="2" t="str">
        <f>VLOOKUP(B627,'PO with created By ASR'!A:J,7,FALSE)</f>
        <v>A - Mumbai</v>
      </c>
      <c r="M627" s="2" t="str">
        <f>VLOOKUP(B627,'PO with created By ASR'!A:K,8,FALSE)</f>
        <v>Purchase Order-Mum</v>
      </c>
      <c r="N627" t="s">
        <v>36</v>
      </c>
      <c r="P627" s="2">
        <v>6</v>
      </c>
    </row>
    <row r="628" s="2" customFormat="1" spans="1:16">
      <c r="A628" s="8"/>
      <c r="B628" s="9" t="s">
        <v>1390</v>
      </c>
      <c r="C628" s="10" t="s">
        <v>412</v>
      </c>
      <c r="D628" s="11">
        <v>1</v>
      </c>
      <c r="E628" s="12">
        <v>378</v>
      </c>
      <c r="F628" s="13">
        <v>378</v>
      </c>
      <c r="G628" s="2">
        <f>VLOOKUP(B628,'PO with created By ASR'!A:C,3,FALSE)</f>
        <v>45677</v>
      </c>
      <c r="J628" s="2" t="str">
        <f>VLOOKUP(B628,'PO with created By ASR'!A:G,4,FALSE)</f>
        <v>Vishal Vasani  -CR</v>
      </c>
      <c r="K628" s="2" t="e">
        <f>VLOOKUP(B628,'PO with created By ASR'!A:I,6,FALSE)</f>
        <v>#N/A</v>
      </c>
      <c r="L628" s="2" t="str">
        <f>VLOOKUP(B628,'PO with created By ASR'!A:J,7,FALSE)</f>
        <v>A - Mumbai</v>
      </c>
      <c r="M628" s="2" t="str">
        <f>VLOOKUP(B628,'PO with created By ASR'!A:K,8,FALSE)</f>
        <v>Purchase Order-Mum</v>
      </c>
      <c r="N628" t="s">
        <v>36</v>
      </c>
      <c r="P628" s="2">
        <v>6</v>
      </c>
    </row>
    <row r="629" s="2" customFormat="1" spans="1:16">
      <c r="A629" s="8"/>
      <c r="B629" s="9" t="s">
        <v>1392</v>
      </c>
      <c r="C629" s="10" t="s">
        <v>317</v>
      </c>
      <c r="D629" s="11">
        <v>1</v>
      </c>
      <c r="E629" s="12">
        <v>2850</v>
      </c>
      <c r="F629" s="13">
        <v>2850</v>
      </c>
      <c r="G629" s="2">
        <f>VLOOKUP(B629,'PO with created By ASR'!A:C,3,FALSE)</f>
        <v>45677</v>
      </c>
      <c r="J629" s="2" t="str">
        <f>VLOOKUP(B629,'PO with created By ASR'!A:G,4,FALSE)</f>
        <v>Mahendra Mane -CR</v>
      </c>
      <c r="K629" s="2" t="e">
        <f>VLOOKUP(B629,'PO with created By ASR'!A:I,6,FALSE)</f>
        <v>#N/A</v>
      </c>
      <c r="L629" s="2" t="str">
        <f>VLOOKUP(B629,'PO with created By ASR'!A:J,7,FALSE)</f>
        <v>A - Mumbai</v>
      </c>
      <c r="M629" s="2" t="str">
        <f>VLOOKUP(B629,'PO with created By ASR'!A:K,8,FALSE)</f>
        <v>Purchase Order-Mum</v>
      </c>
      <c r="N629" t="s">
        <v>36</v>
      </c>
      <c r="P629" s="2">
        <v>6</v>
      </c>
    </row>
    <row r="630" s="2" customFormat="1" spans="1:16">
      <c r="A630" s="8"/>
      <c r="B630" s="9" t="s">
        <v>1392</v>
      </c>
      <c r="C630" s="10" t="s">
        <v>126</v>
      </c>
      <c r="D630" s="11">
        <v>1</v>
      </c>
      <c r="E630" s="12">
        <v>118</v>
      </c>
      <c r="F630" s="13">
        <v>118</v>
      </c>
      <c r="G630" s="2">
        <f>VLOOKUP(B630,'PO with created By ASR'!A:C,3,FALSE)</f>
        <v>45677</v>
      </c>
      <c r="J630" s="2" t="str">
        <f>VLOOKUP(B630,'PO with created By ASR'!A:G,4,FALSE)</f>
        <v>Mahendra Mane -CR</v>
      </c>
      <c r="K630" s="2" t="e">
        <f>VLOOKUP(B630,'PO with created By ASR'!A:I,6,FALSE)</f>
        <v>#N/A</v>
      </c>
      <c r="L630" s="2" t="str">
        <f>VLOOKUP(B630,'PO with created By ASR'!A:J,7,FALSE)</f>
        <v>A - Mumbai</v>
      </c>
      <c r="M630" s="2" t="str">
        <f>VLOOKUP(B630,'PO with created By ASR'!A:K,8,FALSE)</f>
        <v>Purchase Order-Mum</v>
      </c>
      <c r="N630" t="s">
        <v>36</v>
      </c>
      <c r="P630" s="2">
        <v>6</v>
      </c>
    </row>
    <row r="631" s="2" customFormat="1" spans="1:16">
      <c r="A631" s="8"/>
      <c r="B631" s="9" t="s">
        <v>1394</v>
      </c>
      <c r="C631" s="10" t="s">
        <v>317</v>
      </c>
      <c r="D631" s="11">
        <v>1</v>
      </c>
      <c r="E631" s="12">
        <v>465000</v>
      </c>
      <c r="F631" s="13">
        <v>465000</v>
      </c>
      <c r="G631" s="2">
        <f>VLOOKUP(B631,'PO with created By ASR'!A:C,3,FALSE)</f>
        <v>45677</v>
      </c>
      <c r="J631" s="2" t="str">
        <f>VLOOKUP(B631,'PO with created By ASR'!A:G,4,FALSE)</f>
        <v>KG Movie-Mum</v>
      </c>
      <c r="K631" s="2" t="str">
        <f>VLOOKUP(B631,'PO with created By ASR'!A:I,6,FALSE)</f>
        <v>12076 KG Movie</v>
      </c>
      <c r="L631" s="2" t="str">
        <f>VLOOKUP(B631,'PO with created By ASR'!A:J,7,FALSE)</f>
        <v>A - Mumbai</v>
      </c>
      <c r="M631" s="2" t="str">
        <f>VLOOKUP(B631,'PO with created By ASR'!A:K,8,FALSE)</f>
        <v>Purchase Order-Mum</v>
      </c>
      <c r="N631" t="s">
        <v>36</v>
      </c>
      <c r="P631" s="2">
        <v>6</v>
      </c>
    </row>
    <row r="632" s="2" customFormat="1" spans="1:16">
      <c r="A632" s="8"/>
      <c r="B632" s="9" t="s">
        <v>1397</v>
      </c>
      <c r="C632" s="10" t="s">
        <v>317</v>
      </c>
      <c r="D632" s="11">
        <v>1</v>
      </c>
      <c r="E632" s="12">
        <v>122540</v>
      </c>
      <c r="F632" s="13">
        <v>122540</v>
      </c>
      <c r="G632" s="2">
        <f>VLOOKUP(B632,'PO with created By ASR'!A:C,3,FALSE)</f>
        <v>45677</v>
      </c>
      <c r="J632" s="2" t="str">
        <f>VLOOKUP(B632,'PO with created By ASR'!A:G,4,FALSE)</f>
        <v>KG Movie-Mum</v>
      </c>
      <c r="K632" s="2" t="str">
        <f>VLOOKUP(B632,'PO with created By ASR'!A:I,6,FALSE)</f>
        <v>12076 KG Movie</v>
      </c>
      <c r="L632" s="2" t="str">
        <f>VLOOKUP(B632,'PO with created By ASR'!A:J,7,FALSE)</f>
        <v>A - Mumbai</v>
      </c>
      <c r="M632" s="2" t="str">
        <f>VLOOKUP(B632,'PO with created By ASR'!A:K,8,FALSE)</f>
        <v>Purchase Order-Mum</v>
      </c>
      <c r="N632" t="s">
        <v>36</v>
      </c>
      <c r="P632" s="2">
        <v>6</v>
      </c>
    </row>
    <row r="633" s="2" customFormat="1" spans="1:16">
      <c r="A633" s="8"/>
      <c r="B633" s="9" t="s">
        <v>1398</v>
      </c>
      <c r="C633" s="10" t="s">
        <v>317</v>
      </c>
      <c r="D633" s="11">
        <v>1</v>
      </c>
      <c r="E633" s="12">
        <v>440000</v>
      </c>
      <c r="F633" s="13">
        <v>440000</v>
      </c>
      <c r="G633" s="2">
        <f>VLOOKUP(B633,'PO with created By ASR'!A:C,3,FALSE)</f>
        <v>45677</v>
      </c>
      <c r="J633" s="2" t="str">
        <f>VLOOKUP(B633,'PO with created By ASR'!A:G,4,FALSE)</f>
        <v>V.J. Productions-Mum</v>
      </c>
      <c r="K633" s="2" t="e">
        <f>VLOOKUP(B633,'PO with created By ASR'!A:I,6,FALSE)</f>
        <v>#N/A</v>
      </c>
      <c r="L633" s="2" t="str">
        <f>VLOOKUP(B633,'PO with created By ASR'!A:J,7,FALSE)</f>
        <v>A - Mumbai</v>
      </c>
      <c r="M633" s="2" t="str">
        <f>VLOOKUP(B633,'PO with created By ASR'!A:K,8,FALSE)</f>
        <v>Purchase Order-Mum</v>
      </c>
      <c r="N633" t="s">
        <v>36</v>
      </c>
      <c r="P633" s="2">
        <v>6</v>
      </c>
    </row>
    <row r="634" s="2" customFormat="1" spans="1:16">
      <c r="A634" s="8"/>
      <c r="B634" s="9" t="s">
        <v>1400</v>
      </c>
      <c r="C634" s="10" t="s">
        <v>126</v>
      </c>
      <c r="D634" s="11">
        <v>1</v>
      </c>
      <c r="E634" s="12">
        <v>342</v>
      </c>
      <c r="F634" s="13">
        <v>342</v>
      </c>
      <c r="G634" s="2">
        <f>VLOOKUP(B634,'PO with created By ASR'!A:C,3,FALSE)</f>
        <v>45677</v>
      </c>
      <c r="J634" s="2" t="str">
        <f>VLOOKUP(B634,'PO with created By ASR'!A:G,4,FALSE)</f>
        <v>Mahendra Mane -CR</v>
      </c>
      <c r="K634" s="2" t="e">
        <f>VLOOKUP(B634,'PO with created By ASR'!A:I,6,FALSE)</f>
        <v>#N/A</v>
      </c>
      <c r="L634" s="2" t="str">
        <f>VLOOKUP(B634,'PO with created By ASR'!A:J,7,FALSE)</f>
        <v>A - Mumbai</v>
      </c>
      <c r="M634" s="2" t="str">
        <f>VLOOKUP(B634,'PO with created By ASR'!A:K,8,FALSE)</f>
        <v>Purchase Order-Mum</v>
      </c>
      <c r="N634" t="s">
        <v>36</v>
      </c>
      <c r="P634" s="2">
        <v>6</v>
      </c>
    </row>
    <row r="635" s="2" customFormat="1" spans="1:16">
      <c r="A635" s="8"/>
      <c r="B635" s="9" t="s">
        <v>1401</v>
      </c>
      <c r="C635" s="10" t="s">
        <v>126</v>
      </c>
      <c r="D635" s="11">
        <v>1</v>
      </c>
      <c r="E635" s="12">
        <v>743</v>
      </c>
      <c r="F635" s="13">
        <v>743</v>
      </c>
      <c r="G635" s="2">
        <f>VLOOKUP(B635,'PO with created By ASR'!A:C,3,FALSE)</f>
        <v>45677</v>
      </c>
      <c r="J635" s="2" t="str">
        <f>VLOOKUP(B635,'PO with created By ASR'!A:G,4,FALSE)</f>
        <v>Padmakar Jadhav -CR</v>
      </c>
      <c r="K635" s="2" t="e">
        <f>VLOOKUP(B635,'PO with created By ASR'!A:I,6,FALSE)</f>
        <v>#N/A</v>
      </c>
      <c r="L635" s="2" t="str">
        <f>VLOOKUP(B635,'PO with created By ASR'!A:J,7,FALSE)</f>
        <v>A - Mumbai</v>
      </c>
      <c r="M635" s="2" t="str">
        <f>VLOOKUP(B635,'PO with created By ASR'!A:K,8,FALSE)</f>
        <v>Purchase Order-Mum</v>
      </c>
      <c r="N635" t="s">
        <v>36</v>
      </c>
      <c r="P635" s="2">
        <v>6</v>
      </c>
    </row>
    <row r="636" s="2" customFormat="1" spans="1:16">
      <c r="A636" s="8"/>
      <c r="B636" s="9" t="s">
        <v>1402</v>
      </c>
      <c r="C636" s="10" t="s">
        <v>412</v>
      </c>
      <c r="D636" s="11">
        <v>1</v>
      </c>
      <c r="E636" s="12">
        <v>8157.92</v>
      </c>
      <c r="F636" s="13">
        <v>8157.92</v>
      </c>
      <c r="G636" s="2">
        <f>VLOOKUP(B636,'PO with created By ASR'!A:C,3,FALSE)</f>
        <v>45677</v>
      </c>
      <c r="J636" s="2" t="str">
        <f>VLOOKUP(B636,'PO with created By ASR'!A:G,4,FALSE)</f>
        <v>PARESH SURVE ADV FOR EXPENCES-CR</v>
      </c>
      <c r="K636" s="2" t="e">
        <f>VLOOKUP(B636,'PO with created By ASR'!A:I,6,FALSE)</f>
        <v>#N/A</v>
      </c>
      <c r="L636" s="2" t="str">
        <f>VLOOKUP(B636,'PO with created By ASR'!A:J,7,FALSE)</f>
        <v>A - Mumbai</v>
      </c>
      <c r="M636" s="2" t="str">
        <f>VLOOKUP(B636,'PO with created By ASR'!A:K,8,FALSE)</f>
        <v>Purchase Order-Mum</v>
      </c>
      <c r="N636" t="s">
        <v>36</v>
      </c>
      <c r="P636" s="2">
        <v>6</v>
      </c>
    </row>
    <row r="637" s="2" customFormat="1" spans="1:16">
      <c r="A637" s="8"/>
      <c r="B637" s="9" t="s">
        <v>1403</v>
      </c>
      <c r="C637" s="10" t="s">
        <v>126</v>
      </c>
      <c r="D637" s="11">
        <v>1</v>
      </c>
      <c r="E637" s="12">
        <v>3621</v>
      </c>
      <c r="F637" s="13">
        <v>3621</v>
      </c>
      <c r="G637" s="2">
        <f>VLOOKUP(B637,'PO with created By ASR'!A:C,3,FALSE)</f>
        <v>45677</v>
      </c>
      <c r="J637" s="2" t="str">
        <f>VLOOKUP(B637,'PO with created By ASR'!A:G,4,FALSE)</f>
        <v>Mohammad Danish  -CR</v>
      </c>
      <c r="K637" s="2" t="str">
        <f>VLOOKUP(B637,'PO with created By ASR'!A:I,6,FALSE)</f>
        <v>10757 Mohammad Danish</v>
      </c>
      <c r="L637" s="2" t="str">
        <f>VLOOKUP(B637,'PO with created By ASR'!A:J,7,FALSE)</f>
        <v>A - Mumbai</v>
      </c>
      <c r="M637" s="2" t="str">
        <f>VLOOKUP(B637,'PO with created By ASR'!A:K,8,FALSE)</f>
        <v>Purchase Order-Mum</v>
      </c>
      <c r="N637" t="s">
        <v>36</v>
      </c>
      <c r="P637" s="2">
        <v>6</v>
      </c>
    </row>
    <row r="638" s="2" customFormat="1" spans="1:16">
      <c r="A638" s="8"/>
      <c r="B638" s="9" t="s">
        <v>1403</v>
      </c>
      <c r="C638" s="10" t="s">
        <v>412</v>
      </c>
      <c r="D638" s="11">
        <v>1</v>
      </c>
      <c r="E638" s="12">
        <v>1835</v>
      </c>
      <c r="F638" s="13">
        <v>1835</v>
      </c>
      <c r="G638" s="2">
        <f>VLOOKUP(B638,'PO with created By ASR'!A:C,3,FALSE)</f>
        <v>45677</v>
      </c>
      <c r="J638" s="2" t="str">
        <f>VLOOKUP(B638,'PO with created By ASR'!A:G,4,FALSE)</f>
        <v>Mohammad Danish  -CR</v>
      </c>
      <c r="K638" s="2" t="str">
        <f>VLOOKUP(B638,'PO with created By ASR'!A:I,6,FALSE)</f>
        <v>10757 Mohammad Danish</v>
      </c>
      <c r="L638" s="2" t="str">
        <f>VLOOKUP(B638,'PO with created By ASR'!A:J,7,FALSE)</f>
        <v>A - Mumbai</v>
      </c>
      <c r="M638" s="2" t="str">
        <f>VLOOKUP(B638,'PO with created By ASR'!A:K,8,FALSE)</f>
        <v>Purchase Order-Mum</v>
      </c>
      <c r="N638" t="s">
        <v>36</v>
      </c>
      <c r="P638" s="2">
        <v>6</v>
      </c>
    </row>
    <row r="639" s="2" customFormat="1" spans="1:16">
      <c r="A639" s="8"/>
      <c r="B639" s="9" t="s">
        <v>1406</v>
      </c>
      <c r="C639" s="10" t="s">
        <v>126</v>
      </c>
      <c r="D639" s="11">
        <v>1</v>
      </c>
      <c r="E639" s="12">
        <v>368</v>
      </c>
      <c r="F639" s="13">
        <v>368</v>
      </c>
      <c r="G639" s="2">
        <f>VLOOKUP(B639,'PO with created By ASR'!A:C,3,FALSE)</f>
        <v>45677</v>
      </c>
      <c r="J639" s="2" t="str">
        <f>VLOOKUP(B639,'PO with created By ASR'!A:G,4,FALSE)</f>
        <v>Mahendra Mane -CR</v>
      </c>
      <c r="K639" s="2" t="e">
        <f>VLOOKUP(B639,'PO with created By ASR'!A:I,6,FALSE)</f>
        <v>#N/A</v>
      </c>
      <c r="L639" s="2" t="str">
        <f>VLOOKUP(B639,'PO with created By ASR'!A:J,7,FALSE)</f>
        <v>A - Mumbai</v>
      </c>
      <c r="M639" s="2" t="str">
        <f>VLOOKUP(B639,'PO with created By ASR'!A:K,8,FALSE)</f>
        <v>Purchase Order-Mum</v>
      </c>
      <c r="N639" t="s">
        <v>36</v>
      </c>
      <c r="P639" s="2">
        <v>6</v>
      </c>
    </row>
    <row r="640" s="2" customFormat="1" spans="1:16">
      <c r="A640" s="8"/>
      <c r="B640" s="9" t="s">
        <v>1407</v>
      </c>
      <c r="C640" s="10" t="s">
        <v>126</v>
      </c>
      <c r="D640" s="11">
        <v>1</v>
      </c>
      <c r="E640" s="12">
        <v>1130</v>
      </c>
      <c r="F640" s="13">
        <v>1130</v>
      </c>
      <c r="G640" s="2">
        <f>VLOOKUP(B640,'PO with created By ASR'!A:C,3,FALSE)</f>
        <v>45677</v>
      </c>
      <c r="J640" s="2" t="str">
        <f>VLOOKUP(B640,'PO with created By ASR'!A:G,4,FALSE)</f>
        <v>Sanjay Kathale Cash -CR</v>
      </c>
      <c r="K640" s="2" t="e">
        <f>VLOOKUP(B640,'PO with created By ASR'!A:I,6,FALSE)</f>
        <v>#N/A</v>
      </c>
      <c r="L640" s="2" t="str">
        <f>VLOOKUP(B640,'PO with created By ASR'!A:J,7,FALSE)</f>
        <v>A - Mumbai</v>
      </c>
      <c r="M640" s="2" t="str">
        <f>VLOOKUP(B640,'PO with created By ASR'!A:K,8,FALSE)</f>
        <v>Purchase Order-Mum</v>
      </c>
      <c r="N640" t="s">
        <v>36</v>
      </c>
      <c r="P640" s="2">
        <v>6</v>
      </c>
    </row>
    <row r="641" s="2" customFormat="1" spans="1:16">
      <c r="A641" s="8"/>
      <c r="B641" s="9" t="s">
        <v>1408</v>
      </c>
      <c r="C641" s="10" t="s">
        <v>126</v>
      </c>
      <c r="D641" s="11">
        <v>1</v>
      </c>
      <c r="E641" s="12">
        <v>36869.01</v>
      </c>
      <c r="F641" s="13">
        <v>36869.01</v>
      </c>
      <c r="G641" s="2">
        <f>VLOOKUP(B641,'PO with created By ASR'!A:C,3,FALSE)</f>
        <v>45677</v>
      </c>
      <c r="J641" s="2" t="str">
        <f>VLOOKUP(B641,'PO with created By ASR'!A:G,4,FALSE)</f>
        <v>Rajesh Singh -CR</v>
      </c>
      <c r="K641" s="2" t="e">
        <f>VLOOKUP(B641,'PO with created By ASR'!A:I,6,FALSE)</f>
        <v>#N/A</v>
      </c>
      <c r="L641" s="2" t="str">
        <f>VLOOKUP(B641,'PO with created By ASR'!A:J,7,FALSE)</f>
        <v>A - Mumbai</v>
      </c>
      <c r="M641" s="2" t="str">
        <f>VLOOKUP(B641,'PO with created By ASR'!A:K,8,FALSE)</f>
        <v>Purchase Order-Mum</v>
      </c>
      <c r="N641" t="s">
        <v>36</v>
      </c>
      <c r="P641" s="2">
        <v>6</v>
      </c>
    </row>
    <row r="642" s="2" customFormat="1" spans="1:16">
      <c r="A642" s="8"/>
      <c r="B642" s="9" t="s">
        <v>1408</v>
      </c>
      <c r="C642" s="10" t="s">
        <v>412</v>
      </c>
      <c r="D642" s="11">
        <v>1</v>
      </c>
      <c r="E642" s="12">
        <v>4394.9</v>
      </c>
      <c r="F642" s="13">
        <v>4394.9</v>
      </c>
      <c r="G642" s="2">
        <f>VLOOKUP(B642,'PO with created By ASR'!A:C,3,FALSE)</f>
        <v>45677</v>
      </c>
      <c r="J642" s="2" t="str">
        <f>VLOOKUP(B642,'PO with created By ASR'!A:G,4,FALSE)</f>
        <v>Rajesh Singh -CR</v>
      </c>
      <c r="K642" s="2" t="e">
        <f>VLOOKUP(B642,'PO with created By ASR'!A:I,6,FALSE)</f>
        <v>#N/A</v>
      </c>
      <c r="L642" s="2" t="str">
        <f>VLOOKUP(B642,'PO with created By ASR'!A:J,7,FALSE)</f>
        <v>A - Mumbai</v>
      </c>
      <c r="M642" s="2" t="str">
        <f>VLOOKUP(B642,'PO with created By ASR'!A:K,8,FALSE)</f>
        <v>Purchase Order-Mum</v>
      </c>
      <c r="N642" t="s">
        <v>36</v>
      </c>
      <c r="P642" s="2">
        <v>6</v>
      </c>
    </row>
    <row r="643" s="2" customFormat="1" spans="1:16">
      <c r="A643" s="8"/>
      <c r="B643" s="9" t="s">
        <v>1410</v>
      </c>
      <c r="C643" s="10" t="s">
        <v>126</v>
      </c>
      <c r="D643" s="11">
        <v>1</v>
      </c>
      <c r="E643" s="12">
        <v>965</v>
      </c>
      <c r="F643" s="13">
        <v>965</v>
      </c>
      <c r="G643" s="2">
        <f>VLOOKUP(B643,'PO with created By ASR'!A:C,3,FALSE)</f>
        <v>45677</v>
      </c>
      <c r="J643" s="2" t="str">
        <f>VLOOKUP(B643,'PO with created By ASR'!A:G,4,FALSE)</f>
        <v>Rushabh Vimlesh Upadhyay  -CR</v>
      </c>
      <c r="K643" s="2" t="e">
        <f>VLOOKUP(B643,'PO with created By ASR'!A:I,6,FALSE)</f>
        <v>#N/A</v>
      </c>
      <c r="L643" s="2" t="str">
        <f>VLOOKUP(B643,'PO with created By ASR'!A:J,7,FALSE)</f>
        <v>A - Mumbai</v>
      </c>
      <c r="M643" s="2" t="str">
        <f>VLOOKUP(B643,'PO with created By ASR'!A:K,8,FALSE)</f>
        <v>Purchase Order-Mum</v>
      </c>
      <c r="N643" t="s">
        <v>36</v>
      </c>
      <c r="P643" s="2">
        <v>6</v>
      </c>
    </row>
    <row r="644" s="2" customFormat="1" spans="1:16">
      <c r="A644" s="8"/>
      <c r="B644" s="9" t="s">
        <v>1410</v>
      </c>
      <c r="C644" s="10" t="s">
        <v>412</v>
      </c>
      <c r="D644" s="11">
        <v>1</v>
      </c>
      <c r="E644" s="12">
        <v>1692</v>
      </c>
      <c r="F644" s="13">
        <v>1692</v>
      </c>
      <c r="G644" s="2">
        <f>VLOOKUP(B644,'PO with created By ASR'!A:C,3,FALSE)</f>
        <v>45677</v>
      </c>
      <c r="J644" s="2" t="str">
        <f>VLOOKUP(B644,'PO with created By ASR'!A:G,4,FALSE)</f>
        <v>Rushabh Vimlesh Upadhyay  -CR</v>
      </c>
      <c r="K644" s="2" t="e">
        <f>VLOOKUP(B644,'PO with created By ASR'!A:I,6,FALSE)</f>
        <v>#N/A</v>
      </c>
      <c r="L644" s="2" t="str">
        <f>VLOOKUP(B644,'PO with created By ASR'!A:J,7,FALSE)</f>
        <v>A - Mumbai</v>
      </c>
      <c r="M644" s="2" t="str">
        <f>VLOOKUP(B644,'PO with created By ASR'!A:K,8,FALSE)</f>
        <v>Purchase Order-Mum</v>
      </c>
      <c r="N644" t="s">
        <v>36</v>
      </c>
      <c r="P644" s="2">
        <v>6</v>
      </c>
    </row>
    <row r="645" s="2" customFormat="1" spans="1:16">
      <c r="A645" s="8"/>
      <c r="B645" s="9" t="s">
        <v>1412</v>
      </c>
      <c r="C645" s="10" t="s">
        <v>256</v>
      </c>
      <c r="D645" s="11">
        <v>1</v>
      </c>
      <c r="E645" s="12">
        <v>450000</v>
      </c>
      <c r="F645" s="13">
        <v>450000</v>
      </c>
      <c r="G645" s="2">
        <f>VLOOKUP(B645,'PO with created By ASR'!A:C,3,FALSE)</f>
        <v>45677</v>
      </c>
      <c r="J645" s="2" t="str">
        <f>VLOOKUP(B645,'PO with created By ASR'!A:G,4,FALSE)</f>
        <v>The Indian Performing Right Society Ltd.-Mum</v>
      </c>
      <c r="K645" s="2" t="e">
        <f>VLOOKUP(B645,'PO with created By ASR'!A:I,6,FALSE)</f>
        <v>#N/A</v>
      </c>
      <c r="L645" s="2" t="str">
        <f>VLOOKUP(B645,'PO with created By ASR'!A:J,7,FALSE)</f>
        <v>A - Mumbai</v>
      </c>
      <c r="M645" s="2" t="str">
        <f>VLOOKUP(B645,'PO with created By ASR'!A:K,8,FALSE)</f>
        <v>Purchase Order-Mum</v>
      </c>
      <c r="N645" t="s">
        <v>36</v>
      </c>
      <c r="P645" s="2">
        <v>6</v>
      </c>
    </row>
    <row r="646" s="2" customFormat="1" spans="1:16">
      <c r="A646" s="8"/>
      <c r="B646" s="9" t="s">
        <v>1413</v>
      </c>
      <c r="C646" s="10" t="s">
        <v>256</v>
      </c>
      <c r="D646" s="11">
        <v>1</v>
      </c>
      <c r="E646" s="12">
        <v>75000</v>
      </c>
      <c r="F646" s="13">
        <v>75000</v>
      </c>
      <c r="G646" s="2">
        <f>VLOOKUP(B646,'PO with created By ASR'!A:C,3,FALSE)</f>
        <v>45677</v>
      </c>
      <c r="J646" s="2" t="str">
        <f>VLOOKUP(B646,'PO with created By ASR'!A:G,4,FALSE)</f>
        <v>The Indian Performing Right Society Ltd.-Mum</v>
      </c>
      <c r="K646" s="2" t="e">
        <f>VLOOKUP(B646,'PO with created By ASR'!A:I,6,FALSE)</f>
        <v>#N/A</v>
      </c>
      <c r="L646" s="2" t="str">
        <f>VLOOKUP(B646,'PO with created By ASR'!A:J,7,FALSE)</f>
        <v>A - Mumbai</v>
      </c>
      <c r="M646" s="2" t="str">
        <f>VLOOKUP(B646,'PO with created By ASR'!A:K,8,FALSE)</f>
        <v>Purchase Order-Mum</v>
      </c>
      <c r="N646" t="s">
        <v>36</v>
      </c>
      <c r="P646" s="2">
        <v>6</v>
      </c>
    </row>
    <row r="647" s="2" customFormat="1" spans="1:16">
      <c r="A647" s="8"/>
      <c r="B647" s="9" t="s">
        <v>1413</v>
      </c>
      <c r="C647" s="10" t="s">
        <v>256</v>
      </c>
      <c r="D647" s="11">
        <v>1</v>
      </c>
      <c r="E647" s="12">
        <v>75000</v>
      </c>
      <c r="F647" s="13">
        <v>75000</v>
      </c>
      <c r="G647" s="2">
        <f>VLOOKUP(B647,'PO with created By ASR'!A:C,3,FALSE)</f>
        <v>45677</v>
      </c>
      <c r="J647" s="2" t="str">
        <f>VLOOKUP(B647,'PO with created By ASR'!A:G,4,FALSE)</f>
        <v>The Indian Performing Right Society Ltd.-Mum</v>
      </c>
      <c r="K647" s="2" t="e">
        <f>VLOOKUP(B647,'PO with created By ASR'!A:I,6,FALSE)</f>
        <v>#N/A</v>
      </c>
      <c r="L647" s="2" t="str">
        <f>VLOOKUP(B647,'PO with created By ASR'!A:J,7,FALSE)</f>
        <v>A - Mumbai</v>
      </c>
      <c r="M647" s="2" t="str">
        <f>VLOOKUP(B647,'PO with created By ASR'!A:K,8,FALSE)</f>
        <v>Purchase Order-Mum</v>
      </c>
      <c r="N647" t="s">
        <v>36</v>
      </c>
      <c r="P647" s="2">
        <v>6</v>
      </c>
    </row>
    <row r="648" s="2" customFormat="1" spans="1:16">
      <c r="A648" s="8"/>
      <c r="B648" s="9" t="s">
        <v>1414</v>
      </c>
      <c r="C648" s="10" t="s">
        <v>256</v>
      </c>
      <c r="D648" s="11">
        <v>1</v>
      </c>
      <c r="E648" s="12">
        <v>50875</v>
      </c>
      <c r="F648" s="13">
        <v>50875</v>
      </c>
      <c r="G648" s="2">
        <f>VLOOKUP(B648,'PO with created By ASR'!A:C,3,FALSE)</f>
        <v>45677</v>
      </c>
      <c r="J648" s="2" t="str">
        <f>VLOOKUP(B648,'PO with created By ASR'!A:G,4,FALSE)</f>
        <v>Phonographic Performance Limited-Mum</v>
      </c>
      <c r="K648" s="2" t="e">
        <f>VLOOKUP(B648,'PO with created By ASR'!A:I,6,FALSE)</f>
        <v>#N/A</v>
      </c>
      <c r="L648" s="2" t="str">
        <f>VLOOKUP(B648,'PO with created By ASR'!A:J,7,FALSE)</f>
        <v>A - Mumbai</v>
      </c>
      <c r="M648" s="2" t="str">
        <f>VLOOKUP(B648,'PO with created By ASR'!A:K,8,FALSE)</f>
        <v>Purchase Order-Mum</v>
      </c>
      <c r="N648" t="s">
        <v>36</v>
      </c>
      <c r="P648" s="2">
        <v>6</v>
      </c>
    </row>
    <row r="649" s="2" customFormat="1" spans="1:16">
      <c r="A649" s="8"/>
      <c r="B649" s="9" t="s">
        <v>1414</v>
      </c>
      <c r="C649" s="10" t="s">
        <v>256</v>
      </c>
      <c r="D649" s="11">
        <v>1</v>
      </c>
      <c r="E649" s="12">
        <v>171125</v>
      </c>
      <c r="F649" s="13">
        <v>171125</v>
      </c>
      <c r="G649" s="2">
        <f>VLOOKUP(B649,'PO with created By ASR'!A:C,3,FALSE)</f>
        <v>45677</v>
      </c>
      <c r="J649" s="2" t="str">
        <f>VLOOKUP(B649,'PO with created By ASR'!A:G,4,FALSE)</f>
        <v>Phonographic Performance Limited-Mum</v>
      </c>
      <c r="K649" s="2" t="e">
        <f>VLOOKUP(B649,'PO with created By ASR'!A:I,6,FALSE)</f>
        <v>#N/A</v>
      </c>
      <c r="L649" s="2" t="str">
        <f>VLOOKUP(B649,'PO with created By ASR'!A:J,7,FALSE)</f>
        <v>A - Mumbai</v>
      </c>
      <c r="M649" s="2" t="str">
        <f>VLOOKUP(B649,'PO with created By ASR'!A:K,8,FALSE)</f>
        <v>Purchase Order-Mum</v>
      </c>
      <c r="N649" t="s">
        <v>36</v>
      </c>
      <c r="P649" s="2">
        <v>6</v>
      </c>
    </row>
    <row r="650" s="2" customFormat="1" spans="1:16">
      <c r="A650" s="8"/>
      <c r="B650" s="9" t="s">
        <v>1414</v>
      </c>
      <c r="C650" s="10" t="s">
        <v>256</v>
      </c>
      <c r="D650" s="11">
        <v>1</v>
      </c>
      <c r="E650" s="12">
        <v>171125</v>
      </c>
      <c r="F650" s="13">
        <v>171125</v>
      </c>
      <c r="G650" s="2">
        <f>VLOOKUP(B650,'PO with created By ASR'!A:C,3,FALSE)</f>
        <v>45677</v>
      </c>
      <c r="J650" s="2" t="str">
        <f>VLOOKUP(B650,'PO with created By ASR'!A:G,4,FALSE)</f>
        <v>Phonographic Performance Limited-Mum</v>
      </c>
      <c r="K650" s="2" t="e">
        <f>VLOOKUP(B650,'PO with created By ASR'!A:I,6,FALSE)</f>
        <v>#N/A</v>
      </c>
      <c r="L650" s="2" t="str">
        <f>VLOOKUP(B650,'PO with created By ASR'!A:J,7,FALSE)</f>
        <v>A - Mumbai</v>
      </c>
      <c r="M650" s="2" t="str">
        <f>VLOOKUP(B650,'PO with created By ASR'!A:K,8,FALSE)</f>
        <v>Purchase Order-Mum</v>
      </c>
      <c r="N650" t="s">
        <v>36</v>
      </c>
      <c r="P650" s="2">
        <v>6</v>
      </c>
    </row>
    <row r="651" s="2" customFormat="1" spans="1:16">
      <c r="A651" s="8"/>
      <c r="B651" s="9" t="s">
        <v>1414</v>
      </c>
      <c r="C651" s="10" t="s">
        <v>256</v>
      </c>
      <c r="D651" s="11">
        <v>1</v>
      </c>
      <c r="E651" s="12">
        <v>83250</v>
      </c>
      <c r="F651" s="13">
        <v>83250</v>
      </c>
      <c r="G651" s="2">
        <f>VLOOKUP(B651,'PO with created By ASR'!A:C,3,FALSE)</f>
        <v>45677</v>
      </c>
      <c r="J651" s="2" t="str">
        <f>VLOOKUP(B651,'PO with created By ASR'!A:G,4,FALSE)</f>
        <v>Phonographic Performance Limited-Mum</v>
      </c>
      <c r="K651" s="2" t="e">
        <f>VLOOKUP(B651,'PO with created By ASR'!A:I,6,FALSE)</f>
        <v>#N/A</v>
      </c>
      <c r="L651" s="2" t="str">
        <f>VLOOKUP(B651,'PO with created By ASR'!A:J,7,FALSE)</f>
        <v>A - Mumbai</v>
      </c>
      <c r="M651" s="2" t="str">
        <f>VLOOKUP(B651,'PO with created By ASR'!A:K,8,FALSE)</f>
        <v>Purchase Order-Mum</v>
      </c>
      <c r="N651" t="s">
        <v>36</v>
      </c>
      <c r="P651" s="2">
        <v>6</v>
      </c>
    </row>
    <row r="652" s="2" customFormat="1" spans="1:16">
      <c r="A652" s="8"/>
      <c r="B652" s="9" t="s">
        <v>1415</v>
      </c>
      <c r="C652" s="10" t="s">
        <v>256</v>
      </c>
      <c r="D652" s="11">
        <v>1</v>
      </c>
      <c r="E652" s="12">
        <v>57000</v>
      </c>
      <c r="F652" s="13">
        <v>57000</v>
      </c>
      <c r="G652" s="2">
        <f>VLOOKUP(B652,'PO with created By ASR'!A:C,3,FALSE)</f>
        <v>45677</v>
      </c>
      <c r="J652" s="2" t="str">
        <f>VLOOKUP(B652,'PO with created By ASR'!A:G,4,FALSE)</f>
        <v>Novex Communications Pvt. Ltd.-Mum</v>
      </c>
      <c r="K652" s="2" t="e">
        <f>VLOOKUP(B652,'PO with created By ASR'!A:I,6,FALSE)</f>
        <v>#N/A</v>
      </c>
      <c r="L652" s="2" t="str">
        <f>VLOOKUP(B652,'PO with created By ASR'!A:J,7,FALSE)</f>
        <v>A - Mumbai</v>
      </c>
      <c r="M652" s="2" t="str">
        <f>VLOOKUP(B652,'PO with created By ASR'!A:K,8,FALSE)</f>
        <v>Purchase Order-Mum</v>
      </c>
      <c r="N652" t="s">
        <v>36</v>
      </c>
      <c r="P652" s="2">
        <v>6</v>
      </c>
    </row>
    <row r="653" s="2" customFormat="1" spans="1:16">
      <c r="A653" s="8"/>
      <c r="B653" s="9" t="s">
        <v>1415</v>
      </c>
      <c r="C653" s="10" t="s">
        <v>256</v>
      </c>
      <c r="D653" s="11">
        <v>1</v>
      </c>
      <c r="E653" s="12">
        <v>185250</v>
      </c>
      <c r="F653" s="13">
        <v>185250</v>
      </c>
      <c r="G653" s="2">
        <f>VLOOKUP(B653,'PO with created By ASR'!A:C,3,FALSE)</f>
        <v>45677</v>
      </c>
      <c r="J653" s="2" t="str">
        <f>VLOOKUP(B653,'PO with created By ASR'!A:G,4,FALSE)</f>
        <v>Novex Communications Pvt. Ltd.-Mum</v>
      </c>
      <c r="K653" s="2" t="e">
        <f>VLOOKUP(B653,'PO with created By ASR'!A:I,6,FALSE)</f>
        <v>#N/A</v>
      </c>
      <c r="L653" s="2" t="str">
        <f>VLOOKUP(B653,'PO with created By ASR'!A:J,7,FALSE)</f>
        <v>A - Mumbai</v>
      </c>
      <c r="M653" s="2" t="str">
        <f>VLOOKUP(B653,'PO with created By ASR'!A:K,8,FALSE)</f>
        <v>Purchase Order-Mum</v>
      </c>
      <c r="N653" t="s">
        <v>36</v>
      </c>
      <c r="P653" s="2">
        <v>6</v>
      </c>
    </row>
    <row r="654" s="2" customFormat="1" spans="1:16">
      <c r="A654" s="8"/>
      <c r="B654" s="9" t="s">
        <v>1415</v>
      </c>
      <c r="C654" s="10" t="s">
        <v>256</v>
      </c>
      <c r="D654" s="11">
        <v>1</v>
      </c>
      <c r="E654" s="12">
        <v>185250</v>
      </c>
      <c r="F654" s="13">
        <v>185250</v>
      </c>
      <c r="G654" s="2">
        <f>VLOOKUP(B654,'PO with created By ASR'!A:C,3,FALSE)</f>
        <v>45677</v>
      </c>
      <c r="J654" s="2" t="str">
        <f>VLOOKUP(B654,'PO with created By ASR'!A:G,4,FALSE)</f>
        <v>Novex Communications Pvt. Ltd.-Mum</v>
      </c>
      <c r="K654" s="2" t="e">
        <f>VLOOKUP(B654,'PO with created By ASR'!A:I,6,FALSE)</f>
        <v>#N/A</v>
      </c>
      <c r="L654" s="2" t="str">
        <f>VLOOKUP(B654,'PO with created By ASR'!A:J,7,FALSE)</f>
        <v>A - Mumbai</v>
      </c>
      <c r="M654" s="2" t="str">
        <f>VLOOKUP(B654,'PO with created By ASR'!A:K,8,FALSE)</f>
        <v>Purchase Order-Mum</v>
      </c>
      <c r="N654" t="s">
        <v>36</v>
      </c>
      <c r="P654" s="2">
        <v>6</v>
      </c>
    </row>
    <row r="655" s="2" customFormat="1" spans="1:16">
      <c r="A655" s="8"/>
      <c r="B655" s="9" t="s">
        <v>1415</v>
      </c>
      <c r="C655" s="10" t="s">
        <v>256</v>
      </c>
      <c r="D655" s="11">
        <v>1</v>
      </c>
      <c r="E655" s="12">
        <v>95000</v>
      </c>
      <c r="F655" s="13">
        <v>95000</v>
      </c>
      <c r="G655" s="2">
        <f>VLOOKUP(B655,'PO with created By ASR'!A:C,3,FALSE)</f>
        <v>45677</v>
      </c>
      <c r="J655" s="2" t="str">
        <f>VLOOKUP(B655,'PO with created By ASR'!A:G,4,FALSE)</f>
        <v>Novex Communications Pvt. Ltd.-Mum</v>
      </c>
      <c r="K655" s="2" t="e">
        <f>VLOOKUP(B655,'PO with created By ASR'!A:I,6,FALSE)</f>
        <v>#N/A</v>
      </c>
      <c r="L655" s="2" t="str">
        <f>VLOOKUP(B655,'PO with created By ASR'!A:J,7,FALSE)</f>
        <v>A - Mumbai</v>
      </c>
      <c r="M655" s="2" t="str">
        <f>VLOOKUP(B655,'PO with created By ASR'!A:K,8,FALSE)</f>
        <v>Purchase Order-Mum</v>
      </c>
      <c r="N655" t="s">
        <v>36</v>
      </c>
      <c r="P655" s="2">
        <v>6</v>
      </c>
    </row>
    <row r="656" s="2" customFormat="1" spans="1:16">
      <c r="A656" s="8"/>
      <c r="B656" s="9" t="s">
        <v>1416</v>
      </c>
      <c r="C656" s="10" t="s">
        <v>250</v>
      </c>
      <c r="D656" s="11">
        <v>1</v>
      </c>
      <c r="E656" s="12">
        <v>465000</v>
      </c>
      <c r="F656" s="13">
        <v>465000</v>
      </c>
      <c r="G656" s="2">
        <f>VLOOKUP(B656,'PO with created By ASR'!A:C,3,FALSE)</f>
        <v>45677</v>
      </c>
      <c r="J656" s="2" t="str">
        <f>VLOOKUP(B656,'PO with created By ASR'!A:G,4,FALSE)</f>
        <v>Poppy Jabbal-Mum</v>
      </c>
      <c r="K656" s="2" t="str">
        <f>VLOOKUP(B656,'PO with created By ASR'!A:I,6,FALSE)</f>
        <v>12896 Poppy Jabbal</v>
      </c>
      <c r="L656" s="2" t="str">
        <f>VLOOKUP(B656,'PO with created By ASR'!A:J,7,FALSE)</f>
        <v>A - Mumbai</v>
      </c>
      <c r="M656" s="2" t="str">
        <f>VLOOKUP(B656,'PO with created By ASR'!A:K,8,FALSE)</f>
        <v>Purchase Order-Mum</v>
      </c>
      <c r="N656" t="s">
        <v>36</v>
      </c>
      <c r="P656" s="2">
        <v>6</v>
      </c>
    </row>
    <row r="657" s="2" customFormat="1" spans="1:16">
      <c r="A657" s="8"/>
      <c r="B657" s="9" t="s">
        <v>1419</v>
      </c>
      <c r="C657" s="10" t="s">
        <v>140</v>
      </c>
      <c r="D657" s="11">
        <v>1</v>
      </c>
      <c r="E657" s="12">
        <v>17600</v>
      </c>
      <c r="F657" s="13">
        <v>17600</v>
      </c>
      <c r="G657" s="2">
        <f>VLOOKUP(B657,'PO with created By ASR'!A:C,3,FALSE)</f>
        <v>45677</v>
      </c>
      <c r="J657" s="2" t="str">
        <f>VLOOKUP(B657,'PO with created By ASR'!A:G,4,FALSE)</f>
        <v>A. J. Creation-Mum</v>
      </c>
      <c r="K657" s="2" t="e">
        <f>VLOOKUP(B657,'PO with created By ASR'!A:I,6,FALSE)</f>
        <v>#N/A</v>
      </c>
      <c r="L657" s="2" t="str">
        <f>VLOOKUP(B657,'PO with created By ASR'!A:J,7,FALSE)</f>
        <v>A - Mumbai</v>
      </c>
      <c r="M657" s="2" t="str">
        <f>VLOOKUP(B657,'PO with created By ASR'!A:K,8,FALSE)</f>
        <v>Purchase Order-Mum</v>
      </c>
      <c r="N657" t="s">
        <v>36</v>
      </c>
      <c r="P657" s="2">
        <v>6</v>
      </c>
    </row>
    <row r="658" s="2" customFormat="1" spans="1:16">
      <c r="A658" s="8"/>
      <c r="B658" s="9" t="s">
        <v>1420</v>
      </c>
      <c r="C658" s="10" t="s">
        <v>1176</v>
      </c>
      <c r="D658" s="11">
        <v>1</v>
      </c>
      <c r="E658" s="12">
        <v>480000</v>
      </c>
      <c r="F658" s="13">
        <v>480000</v>
      </c>
      <c r="G658" s="2">
        <f>VLOOKUP(B658,'PO with created By ASR'!A:C,3,FALSE)</f>
        <v>45677</v>
      </c>
      <c r="J658" s="2" t="str">
        <f>VLOOKUP(B658,'PO with created By ASR'!A:G,4,FALSE)</f>
        <v>ITC Narmada Ahmedabad (ITC Hotels Ltd)-Mum</v>
      </c>
      <c r="K658" s="2" t="str">
        <f>VLOOKUP(B658,'PO with created By ASR'!A:I,6,FALSE)</f>
        <v>12892  ITC Narmada Ahmedabad (ITC Hotels Ltd)</v>
      </c>
      <c r="L658" s="2" t="str">
        <f>VLOOKUP(B658,'PO with created By ASR'!A:J,7,FALSE)</f>
        <v>A - Mumbai</v>
      </c>
      <c r="M658" s="2" t="str">
        <f>VLOOKUP(B658,'PO with created By ASR'!A:K,8,FALSE)</f>
        <v>Purchase Order-Mum</v>
      </c>
      <c r="N658" t="s">
        <v>36</v>
      </c>
      <c r="P658" s="2">
        <v>6</v>
      </c>
    </row>
    <row r="659" s="2" customFormat="1" spans="1:16">
      <c r="A659" s="8"/>
      <c r="B659" s="9" t="s">
        <v>1420</v>
      </c>
      <c r="C659" s="10" t="s">
        <v>764</v>
      </c>
      <c r="D659" s="11">
        <v>1</v>
      </c>
      <c r="E659" s="12">
        <v>86400</v>
      </c>
      <c r="F659" s="13">
        <v>86400</v>
      </c>
      <c r="G659" s="2">
        <f>VLOOKUP(B659,'PO with created By ASR'!A:C,3,FALSE)</f>
        <v>45677</v>
      </c>
      <c r="J659" s="2" t="str">
        <f>VLOOKUP(B659,'PO with created By ASR'!A:G,4,FALSE)</f>
        <v>ITC Narmada Ahmedabad (ITC Hotels Ltd)-Mum</v>
      </c>
      <c r="K659" s="2" t="str">
        <f>VLOOKUP(B659,'PO with created By ASR'!A:I,6,FALSE)</f>
        <v>12892  ITC Narmada Ahmedabad (ITC Hotels Ltd)</v>
      </c>
      <c r="L659" s="2" t="str">
        <f>VLOOKUP(B659,'PO with created By ASR'!A:J,7,FALSE)</f>
        <v>A - Mumbai</v>
      </c>
      <c r="M659" s="2" t="str">
        <f>VLOOKUP(B659,'PO with created By ASR'!A:K,8,FALSE)</f>
        <v>Purchase Order-Mum</v>
      </c>
      <c r="N659" t="s">
        <v>36</v>
      </c>
      <c r="P659" s="2">
        <v>6</v>
      </c>
    </row>
    <row r="660" s="2" customFormat="1" spans="1:16">
      <c r="A660" s="8"/>
      <c r="B660" s="9" t="s">
        <v>1425</v>
      </c>
      <c r="C660" s="10" t="s">
        <v>734</v>
      </c>
      <c r="D660" s="11">
        <v>1</v>
      </c>
      <c r="E660" s="12">
        <v>892017</v>
      </c>
      <c r="F660" s="13">
        <v>892017</v>
      </c>
      <c r="G660" s="2">
        <f>VLOOKUP(B660,'PO with created By ASR'!A:C,3,FALSE)</f>
        <v>45677</v>
      </c>
      <c r="J660" s="2" t="str">
        <f>VLOOKUP(B660,'PO with created By ASR'!A:G,4,FALSE)</f>
        <v>Musafir.Com India Pvt Ltd-Mum</v>
      </c>
      <c r="K660" s="2" t="str">
        <f>VLOOKUP(B660,'PO with created By ASR'!A:I,6,FALSE)</f>
        <v>10060  Musafir.Com India Pvt Ltd</v>
      </c>
      <c r="L660" s="2" t="str">
        <f>VLOOKUP(B660,'PO with created By ASR'!A:J,7,FALSE)</f>
        <v>A - Mumbai</v>
      </c>
      <c r="M660" s="2" t="str">
        <f>VLOOKUP(B660,'PO with created By ASR'!A:K,8,FALSE)</f>
        <v>Purchase Order-Mum</v>
      </c>
      <c r="N660" t="s">
        <v>36</v>
      </c>
      <c r="P660" s="2">
        <v>6</v>
      </c>
    </row>
    <row r="661" s="2" customFormat="1" spans="1:16">
      <c r="A661" s="8"/>
      <c r="B661" s="9" t="s">
        <v>1425</v>
      </c>
      <c r="C661" s="10" t="s">
        <v>1808</v>
      </c>
      <c r="D661" s="11">
        <v>1</v>
      </c>
      <c r="E661" s="12">
        <v>18887</v>
      </c>
      <c r="F661" s="13">
        <v>18887</v>
      </c>
      <c r="G661" s="2">
        <f>VLOOKUP(B661,'PO with created By ASR'!A:C,3,FALSE)</f>
        <v>45677</v>
      </c>
      <c r="J661" s="2" t="str">
        <f>VLOOKUP(B661,'PO with created By ASR'!A:G,4,FALSE)</f>
        <v>Musafir.Com India Pvt Ltd-Mum</v>
      </c>
      <c r="K661" s="2" t="str">
        <f>VLOOKUP(B661,'PO with created By ASR'!A:I,6,FALSE)</f>
        <v>10060  Musafir.Com India Pvt Ltd</v>
      </c>
      <c r="L661" s="2" t="str">
        <f>VLOOKUP(B661,'PO with created By ASR'!A:J,7,FALSE)</f>
        <v>A - Mumbai</v>
      </c>
      <c r="M661" s="2" t="str">
        <f>VLOOKUP(B661,'PO with created By ASR'!A:K,8,FALSE)</f>
        <v>Purchase Order-Mum</v>
      </c>
      <c r="N661" t="s">
        <v>36</v>
      </c>
      <c r="P661" s="2">
        <v>6</v>
      </c>
    </row>
    <row r="662" s="2" customFormat="1" spans="1:16">
      <c r="A662" s="8"/>
      <c r="B662" s="9" t="s">
        <v>1427</v>
      </c>
      <c r="C662" s="10" t="s">
        <v>196</v>
      </c>
      <c r="D662" s="11">
        <v>1</v>
      </c>
      <c r="E662" s="12">
        <v>10590</v>
      </c>
      <c r="F662" s="13">
        <v>10590</v>
      </c>
      <c r="G662" s="2">
        <f>VLOOKUP(B662,'PO with created By ASR'!A:C,3,FALSE)</f>
        <v>45677</v>
      </c>
      <c r="J662" s="2" t="str">
        <f>VLOOKUP(B662,'PO with created By ASR'!A:G,4,FALSE)</f>
        <v>Login Enterprises-Mum</v>
      </c>
      <c r="K662" s="2" t="str">
        <f>VLOOKUP(B662,'PO with created By ASR'!A:I,6,FALSE)</f>
        <v>12106 Login  Enterprises</v>
      </c>
      <c r="L662" s="2" t="str">
        <f>VLOOKUP(B662,'PO with created By ASR'!A:J,7,FALSE)</f>
        <v>A - Mumbai</v>
      </c>
      <c r="M662" s="2" t="str">
        <f>VLOOKUP(B662,'PO with created By ASR'!A:K,8,FALSE)</f>
        <v>Purchase Order-Mum</v>
      </c>
      <c r="N662" t="s">
        <v>36</v>
      </c>
      <c r="P662" s="2">
        <v>6</v>
      </c>
    </row>
    <row r="663" s="2" customFormat="1" spans="1:16">
      <c r="A663" s="8"/>
      <c r="B663" s="9" t="s">
        <v>1428</v>
      </c>
      <c r="C663" s="10" t="s">
        <v>317</v>
      </c>
      <c r="D663" s="11">
        <v>1</v>
      </c>
      <c r="E663" s="12">
        <v>190000</v>
      </c>
      <c r="F663" s="13">
        <v>190000</v>
      </c>
      <c r="G663" s="2">
        <f>VLOOKUP(B663,'PO with created By ASR'!A:C,3,FALSE)</f>
        <v>45678</v>
      </c>
      <c r="J663" s="2" t="str">
        <f>VLOOKUP(B663,'PO with created By ASR'!A:G,4,FALSE)</f>
        <v>A V Links-Blr</v>
      </c>
      <c r="K663" s="2" t="str">
        <f>VLOOKUP(B663,'PO with created By ASR'!A:I,6,FALSE)</f>
        <v>11083 A V Links</v>
      </c>
      <c r="L663" s="2" t="str">
        <f>VLOOKUP(B663,'PO with created By ASR'!A:J,7,FALSE)</f>
        <v>B - Bangalore</v>
      </c>
      <c r="M663" s="2" t="str">
        <f>VLOOKUP(B663,'PO with created By ASR'!A:K,8,FALSE)</f>
        <v>Purchase Order-Blr</v>
      </c>
      <c r="N663" t="s">
        <v>36</v>
      </c>
      <c r="P663" s="2">
        <v>6</v>
      </c>
    </row>
    <row r="664" s="2" customFormat="1" spans="1:16">
      <c r="A664" s="8"/>
      <c r="B664" s="9" t="s">
        <v>1431</v>
      </c>
      <c r="C664" s="10" t="s">
        <v>317</v>
      </c>
      <c r="D664" s="11">
        <v>1</v>
      </c>
      <c r="E664" s="12">
        <v>180000</v>
      </c>
      <c r="F664" s="13">
        <v>180000</v>
      </c>
      <c r="G664" s="2">
        <f>VLOOKUP(B664,'PO with created By ASR'!A:C,3,FALSE)</f>
        <v>45678</v>
      </c>
      <c r="J664" s="2" t="str">
        <f>VLOOKUP(B664,'PO with created By ASR'!A:G,4,FALSE)</f>
        <v>A V Links-Blr</v>
      </c>
      <c r="K664" s="2" t="str">
        <f>VLOOKUP(B664,'PO with created By ASR'!A:I,6,FALSE)</f>
        <v>11083 A V Links</v>
      </c>
      <c r="L664" s="2" t="str">
        <f>VLOOKUP(B664,'PO with created By ASR'!A:J,7,FALSE)</f>
        <v>B - Bangalore</v>
      </c>
      <c r="M664" s="2" t="str">
        <f>VLOOKUP(B664,'PO with created By ASR'!A:K,8,FALSE)</f>
        <v>Purchase Order-Blr</v>
      </c>
      <c r="N664" t="s">
        <v>36</v>
      </c>
      <c r="P664" s="2">
        <v>6</v>
      </c>
    </row>
    <row r="665" s="2" customFormat="1" spans="1:16">
      <c r="A665" s="8"/>
      <c r="B665" s="9" t="s">
        <v>1432</v>
      </c>
      <c r="C665" s="10" t="s">
        <v>276</v>
      </c>
      <c r="D665" s="11">
        <v>1</v>
      </c>
      <c r="E665" s="12">
        <v>11849.7</v>
      </c>
      <c r="F665" s="13">
        <v>11849.7</v>
      </c>
      <c r="G665" s="2">
        <f>VLOOKUP(B665,'PO with created By ASR'!A:C,3,FALSE)</f>
        <v>45678</v>
      </c>
      <c r="J665" s="2" t="str">
        <f>VLOOKUP(B665,'PO with created By ASR'!A:G,4,FALSE)</f>
        <v>Nariandkage Pvt Ltd-Blr</v>
      </c>
      <c r="K665" s="2" t="str">
        <f>VLOOKUP(B665,'PO with created By ASR'!A:I,6,FALSE)</f>
        <v>12907  Nariandkage Pvt Ltd</v>
      </c>
      <c r="L665" s="2" t="str">
        <f>VLOOKUP(B665,'PO with created By ASR'!A:J,7,FALSE)</f>
        <v>B - Bangalore</v>
      </c>
      <c r="M665" s="2" t="str">
        <f>VLOOKUP(B665,'PO with created By ASR'!A:K,8,FALSE)</f>
        <v>Purchase Order-Blr</v>
      </c>
      <c r="N665" t="s">
        <v>36</v>
      </c>
      <c r="P665" s="2">
        <v>6</v>
      </c>
    </row>
    <row r="666" s="2" customFormat="1" spans="1:16">
      <c r="A666" s="8"/>
      <c r="B666" s="9" t="s">
        <v>1432</v>
      </c>
      <c r="C666" s="10" t="s">
        <v>676</v>
      </c>
      <c r="D666" s="11">
        <v>1</v>
      </c>
      <c r="E666" s="12">
        <v>383.53</v>
      </c>
      <c r="F666" s="13">
        <v>383.53</v>
      </c>
      <c r="G666" s="2">
        <f>VLOOKUP(B666,'PO with created By ASR'!A:C,3,FALSE)</f>
        <v>45678</v>
      </c>
      <c r="J666" s="2" t="str">
        <f>VLOOKUP(B666,'PO with created By ASR'!A:G,4,FALSE)</f>
        <v>Nariandkage Pvt Ltd-Blr</v>
      </c>
      <c r="K666" s="2" t="str">
        <f>VLOOKUP(B666,'PO with created By ASR'!A:I,6,FALSE)</f>
        <v>12907  Nariandkage Pvt Ltd</v>
      </c>
      <c r="L666" s="2" t="str">
        <f>VLOOKUP(B666,'PO with created By ASR'!A:J,7,FALSE)</f>
        <v>B - Bangalore</v>
      </c>
      <c r="M666" s="2" t="str">
        <f>VLOOKUP(B666,'PO with created By ASR'!A:K,8,FALSE)</f>
        <v>Purchase Order-Blr</v>
      </c>
      <c r="N666" t="s">
        <v>36</v>
      </c>
      <c r="P666" s="2">
        <v>6</v>
      </c>
    </row>
    <row r="667" s="2" customFormat="1" spans="1:16">
      <c r="A667" s="8"/>
      <c r="B667" s="9" t="s">
        <v>1432</v>
      </c>
      <c r="C667" s="10" t="s">
        <v>4365</v>
      </c>
      <c r="D667" s="11">
        <v>1</v>
      </c>
      <c r="E667" s="12">
        <v>383.53</v>
      </c>
      <c r="F667" s="13">
        <v>383.53</v>
      </c>
      <c r="G667" s="2">
        <f>VLOOKUP(B667,'PO with created By ASR'!A:C,3,FALSE)</f>
        <v>45678</v>
      </c>
      <c r="J667" s="2" t="str">
        <f>VLOOKUP(B667,'PO with created By ASR'!A:G,4,FALSE)</f>
        <v>Nariandkage Pvt Ltd-Blr</v>
      </c>
      <c r="K667" s="2" t="str">
        <f>VLOOKUP(B667,'PO with created By ASR'!A:I,6,FALSE)</f>
        <v>12907  Nariandkage Pvt Ltd</v>
      </c>
      <c r="L667" s="2" t="str">
        <f>VLOOKUP(B667,'PO with created By ASR'!A:J,7,FALSE)</f>
        <v>B - Bangalore</v>
      </c>
      <c r="M667" s="2" t="str">
        <f>VLOOKUP(B667,'PO with created By ASR'!A:K,8,FALSE)</f>
        <v>Purchase Order-Blr</v>
      </c>
      <c r="N667" t="s">
        <v>36</v>
      </c>
      <c r="P667" s="2">
        <v>6</v>
      </c>
    </row>
    <row r="668" s="2" customFormat="1" spans="1:16">
      <c r="A668" s="8"/>
      <c r="B668" s="9" t="s">
        <v>1436</v>
      </c>
      <c r="C668" s="10" t="s">
        <v>151</v>
      </c>
      <c r="D668" s="11">
        <v>1</v>
      </c>
      <c r="E668" s="12">
        <v>10000</v>
      </c>
      <c r="F668" s="13">
        <v>10000</v>
      </c>
      <c r="G668" s="2">
        <f>VLOOKUP(B668,'PO with created By ASR'!A:C,3,FALSE)</f>
        <v>45678</v>
      </c>
      <c r="J668" s="2" t="str">
        <f>VLOOKUP(B668,'PO with created By ASR'!A:G,4,FALSE)</f>
        <v>A S Production-Blr</v>
      </c>
      <c r="K668" s="2" t="str">
        <f>VLOOKUP(B668,'PO with created By ASR'!A:I,6,FALSE)</f>
        <v>11022 A S Production</v>
      </c>
      <c r="L668" s="2" t="str">
        <f>VLOOKUP(B668,'PO with created By ASR'!A:J,7,FALSE)</f>
        <v>B - Bangalore</v>
      </c>
      <c r="M668" s="2" t="str">
        <f>VLOOKUP(B668,'PO with created By ASR'!A:K,8,FALSE)</f>
        <v>Purchase Order-Blr</v>
      </c>
      <c r="N668" t="s">
        <v>36</v>
      </c>
      <c r="P668" s="2">
        <v>6</v>
      </c>
    </row>
    <row r="669" s="2" customFormat="1" spans="1:16">
      <c r="A669" s="8"/>
      <c r="B669" s="9" t="s">
        <v>1439</v>
      </c>
      <c r="C669" s="10" t="s">
        <v>196</v>
      </c>
      <c r="D669" s="11">
        <v>1</v>
      </c>
      <c r="E669" s="12">
        <v>1388</v>
      </c>
      <c r="F669" s="13">
        <v>1388</v>
      </c>
      <c r="G669" s="2">
        <f>VLOOKUP(B669,'PO with created By ASR'!A:C,3,FALSE)</f>
        <v>45678</v>
      </c>
      <c r="J669" s="2" t="str">
        <f>VLOOKUP(B669,'PO with created By ASR'!A:G,4,FALSE)</f>
        <v>New Print House-Blr</v>
      </c>
      <c r="K669" s="2" t="str">
        <f>VLOOKUP(B669,'PO with created By ASR'!A:I,6,FALSE)</f>
        <v>12196 New Print House</v>
      </c>
      <c r="L669" s="2" t="str">
        <f>VLOOKUP(B669,'PO with created By ASR'!A:J,7,FALSE)</f>
        <v>B - Bangalore</v>
      </c>
      <c r="M669" s="2" t="str">
        <f>VLOOKUP(B669,'PO with created By ASR'!A:K,8,FALSE)</f>
        <v>Purchase Order-Blr</v>
      </c>
      <c r="N669" t="s">
        <v>36</v>
      </c>
      <c r="P669" s="2">
        <v>6</v>
      </c>
    </row>
    <row r="670" s="2" customFormat="1" spans="1:16">
      <c r="A670" s="8"/>
      <c r="B670" s="9" t="s">
        <v>1440</v>
      </c>
      <c r="C670" s="10" t="s">
        <v>371</v>
      </c>
      <c r="D670" s="11">
        <v>1</v>
      </c>
      <c r="E670" s="12">
        <v>13000</v>
      </c>
      <c r="F670" s="13">
        <v>13000</v>
      </c>
      <c r="G670" s="2">
        <f>VLOOKUP(B670,'PO with created By ASR'!A:C,3,FALSE)</f>
        <v>45678</v>
      </c>
      <c r="J670" s="2" t="str">
        <f>VLOOKUP(B670,'PO with created By ASR'!A:G,4,FALSE)</f>
        <v>Reverb Sound And Light Studio-Blr</v>
      </c>
      <c r="K670" s="2" t="str">
        <f>VLOOKUP(B670,'PO with created By ASR'!A:I,6,FALSE)</f>
        <v>11379 Reverb Sound And Light Studio</v>
      </c>
      <c r="L670" s="2" t="str">
        <f>VLOOKUP(B670,'PO with created By ASR'!A:J,7,FALSE)</f>
        <v>B - Bangalore</v>
      </c>
      <c r="M670" s="2" t="str">
        <f>VLOOKUP(B670,'PO with created By ASR'!A:K,8,FALSE)</f>
        <v>Purchase Order-Blr</v>
      </c>
      <c r="N670" t="s">
        <v>36</v>
      </c>
      <c r="P670" s="2">
        <v>6</v>
      </c>
    </row>
    <row r="671" s="2" customFormat="1" spans="1:16">
      <c r="A671" s="8"/>
      <c r="B671" s="9" t="s">
        <v>1443</v>
      </c>
      <c r="C671" s="10" t="s">
        <v>1176</v>
      </c>
      <c r="D671" s="11">
        <v>1</v>
      </c>
      <c r="E671" s="12">
        <v>312458</v>
      </c>
      <c r="F671" s="13">
        <v>312458</v>
      </c>
      <c r="G671" s="2">
        <f>VLOOKUP(B671,'PO with created By ASR'!A:C,3,FALSE)</f>
        <v>45678</v>
      </c>
      <c r="J671" s="2" t="str">
        <f>VLOOKUP(B671,'PO with created By ASR'!A:G,4,FALSE)</f>
        <v>Bison Wilderness Resorts Pvt Ltd (OTV)-Blr</v>
      </c>
      <c r="K671" s="2" t="str">
        <f>VLOOKUP(B671,'PO with created By ASR'!A:I,6,FALSE)</f>
        <v>12906  Bison Wilderness Resorts Pvt Ltd (OTV)</v>
      </c>
      <c r="L671" s="2" t="str">
        <f>VLOOKUP(B671,'PO with created By ASR'!A:J,7,FALSE)</f>
        <v>B - Bangalore</v>
      </c>
      <c r="M671" s="2" t="str">
        <f>VLOOKUP(B671,'PO with created By ASR'!A:K,8,FALSE)</f>
        <v>Purchase Order-Blr</v>
      </c>
      <c r="N671" t="s">
        <v>36</v>
      </c>
      <c r="P671" s="2">
        <v>6</v>
      </c>
    </row>
    <row r="672" s="2" customFormat="1" spans="1:16">
      <c r="A672" s="8"/>
      <c r="B672" s="9" t="s">
        <v>1448</v>
      </c>
      <c r="C672" s="10" t="s">
        <v>127</v>
      </c>
      <c r="D672" s="11">
        <v>1</v>
      </c>
      <c r="E672" s="12">
        <v>250</v>
      </c>
      <c r="F672" s="13">
        <v>250</v>
      </c>
      <c r="G672" s="2">
        <f>VLOOKUP(B672,'PO with created By ASR'!A:C,3,FALSE)</f>
        <v>45678</v>
      </c>
      <c r="J672" s="2" t="str">
        <f>VLOOKUP(B672,'PO with created By ASR'!A:G,4,FALSE)</f>
        <v>Anurama V  -CR</v>
      </c>
      <c r="K672" s="2" t="e">
        <f>VLOOKUP(B672,'PO with created By ASR'!A:I,6,FALSE)</f>
        <v>#N/A</v>
      </c>
      <c r="L672" s="2" t="str">
        <f>VLOOKUP(B672,'PO with created By ASR'!A:J,7,FALSE)</f>
        <v>B - Bangalore</v>
      </c>
      <c r="M672" s="2" t="str">
        <f>VLOOKUP(B672,'PO with created By ASR'!A:K,8,FALSE)</f>
        <v>Purchase Order-Blr</v>
      </c>
      <c r="N672" t="s">
        <v>36</v>
      </c>
      <c r="P672" s="2">
        <v>6</v>
      </c>
    </row>
    <row r="673" s="2" customFormat="1" spans="1:16">
      <c r="A673" s="8"/>
      <c r="B673" s="9" t="s">
        <v>1449</v>
      </c>
      <c r="C673" s="10" t="s">
        <v>66</v>
      </c>
      <c r="D673" s="11">
        <v>1</v>
      </c>
      <c r="E673" s="12">
        <v>630</v>
      </c>
      <c r="F673" s="13">
        <v>630</v>
      </c>
      <c r="G673" s="2">
        <f>VLOOKUP(B673,'PO with created By ASR'!A:C,3,FALSE)</f>
        <v>45678</v>
      </c>
      <c r="J673" s="2" t="str">
        <f>VLOOKUP(B673,'PO with created By ASR'!A:G,4,FALSE)</f>
        <v>Anurama V  -CR</v>
      </c>
      <c r="K673" s="2" t="e">
        <f>VLOOKUP(B673,'PO with created By ASR'!A:I,6,FALSE)</f>
        <v>#N/A</v>
      </c>
      <c r="L673" s="2" t="str">
        <f>VLOOKUP(B673,'PO with created By ASR'!A:J,7,FALSE)</f>
        <v>B - Bangalore</v>
      </c>
      <c r="M673" s="2" t="str">
        <f>VLOOKUP(B673,'PO with created By ASR'!A:K,8,FALSE)</f>
        <v>Purchase Order-Blr</v>
      </c>
      <c r="N673" t="s">
        <v>36</v>
      </c>
      <c r="P673" s="2">
        <v>6</v>
      </c>
    </row>
    <row r="674" s="2" customFormat="1" spans="1:16">
      <c r="A674" s="8"/>
      <c r="B674" s="9" t="s">
        <v>1450</v>
      </c>
      <c r="C674" s="10" t="s">
        <v>134</v>
      </c>
      <c r="D674" s="11">
        <v>1</v>
      </c>
      <c r="E674" s="12">
        <v>2320</v>
      </c>
      <c r="F674" s="13">
        <v>2320</v>
      </c>
      <c r="G674" s="2">
        <f>VLOOKUP(B674,'PO with created By ASR'!A:C,3,FALSE)</f>
        <v>45678</v>
      </c>
      <c r="J674" s="2" t="str">
        <f>VLOOKUP(B674,'PO with created By ASR'!A:G,4,FALSE)</f>
        <v>Anurama V  -CR</v>
      </c>
      <c r="K674" s="2" t="e">
        <f>VLOOKUP(B674,'PO with created By ASR'!A:I,6,FALSE)</f>
        <v>#N/A</v>
      </c>
      <c r="L674" s="2" t="str">
        <f>VLOOKUP(B674,'PO with created By ASR'!A:J,7,FALSE)</f>
        <v>B - Bangalore</v>
      </c>
      <c r="M674" s="2" t="str">
        <f>VLOOKUP(B674,'PO with created By ASR'!A:K,8,FALSE)</f>
        <v>Purchase Order-Blr</v>
      </c>
      <c r="N674" t="s">
        <v>36</v>
      </c>
      <c r="P674" s="2">
        <v>6</v>
      </c>
    </row>
    <row r="675" s="2" customFormat="1" spans="1:16">
      <c r="A675" s="8"/>
      <c r="B675" s="9" t="s">
        <v>1451</v>
      </c>
      <c r="C675" s="10" t="s">
        <v>317</v>
      </c>
      <c r="D675" s="11">
        <v>1</v>
      </c>
      <c r="E675" s="12">
        <v>30000</v>
      </c>
      <c r="F675" s="13">
        <v>30000</v>
      </c>
      <c r="G675" s="2">
        <f>VLOOKUP(B675,'PO with created By ASR'!A:C,3,FALSE)</f>
        <v>45678</v>
      </c>
      <c r="J675" s="2" t="str">
        <f>VLOOKUP(B675,'PO with created By ASR'!A:G,4,FALSE)</f>
        <v>Crystal Event &amp; Service-Che</v>
      </c>
      <c r="K675" s="2" t="str">
        <f>VLOOKUP(B675,'PO with created By ASR'!A:I,6,FALSE)</f>
        <v>11809 Crystal Event &amp; Service</v>
      </c>
      <c r="L675" s="2" t="str">
        <f>VLOOKUP(B675,'PO with created By ASR'!A:J,7,FALSE)</f>
        <v>C - Chennai</v>
      </c>
      <c r="M675" s="2" t="str">
        <f>VLOOKUP(B675,'PO with created By ASR'!A:K,8,FALSE)</f>
        <v>Purchase Order-Che</v>
      </c>
      <c r="N675" t="s">
        <v>36</v>
      </c>
      <c r="P675" s="2">
        <v>6</v>
      </c>
    </row>
    <row r="676" s="2" customFormat="1" spans="1:16">
      <c r="A676" s="8"/>
      <c r="B676" s="9" t="s">
        <v>1452</v>
      </c>
      <c r="C676" s="10" t="s">
        <v>317</v>
      </c>
      <c r="D676" s="11">
        <v>1</v>
      </c>
      <c r="E676" s="12">
        <v>180000</v>
      </c>
      <c r="F676" s="13">
        <v>180000</v>
      </c>
      <c r="G676" s="2">
        <f>VLOOKUP(B676,'PO with created By ASR'!A:C,3,FALSE)</f>
        <v>45678</v>
      </c>
      <c r="J676" s="2" t="str">
        <f>VLOOKUP(B676,'PO with created By ASR'!A:G,4,FALSE)</f>
        <v>Crystal Event &amp; Service-Che</v>
      </c>
      <c r="K676" s="2" t="str">
        <f>VLOOKUP(B676,'PO with created By ASR'!A:I,6,FALSE)</f>
        <v>11809 Crystal Event &amp; Service</v>
      </c>
      <c r="L676" s="2" t="str">
        <f>VLOOKUP(B676,'PO with created By ASR'!A:J,7,FALSE)</f>
        <v>C - Chennai</v>
      </c>
      <c r="M676" s="2" t="str">
        <f>VLOOKUP(B676,'PO with created By ASR'!A:K,8,FALSE)</f>
        <v>Purchase Order-Che</v>
      </c>
      <c r="N676" t="s">
        <v>36</v>
      </c>
      <c r="P676" s="2">
        <v>6</v>
      </c>
    </row>
    <row r="677" s="2" customFormat="1" spans="1:16">
      <c r="A677" s="8"/>
      <c r="B677" s="9" t="s">
        <v>1453</v>
      </c>
      <c r="C677" s="10" t="s">
        <v>317</v>
      </c>
      <c r="D677" s="11">
        <v>1</v>
      </c>
      <c r="E677" s="12">
        <v>180000</v>
      </c>
      <c r="F677" s="13">
        <v>180000</v>
      </c>
      <c r="G677" s="2">
        <f>VLOOKUP(B677,'PO with created By ASR'!A:C,3,FALSE)</f>
        <v>45678</v>
      </c>
      <c r="J677" s="2" t="str">
        <f>VLOOKUP(B677,'PO with created By ASR'!A:G,4,FALSE)</f>
        <v>Silvercrest Events &amp; Promotions Pvt Ltd-Del</v>
      </c>
      <c r="K677" s="2" t="str">
        <f>VLOOKUP(B677,'PO with created By ASR'!A:I,6,FALSE)</f>
        <v>12411  Silvercrest Events &amp; Promotions Pvt Ltd</v>
      </c>
      <c r="L677" s="2" t="str">
        <f>VLOOKUP(B677,'PO with created By ASR'!A:J,7,FALSE)</f>
        <v>D - Delhi</v>
      </c>
      <c r="M677" s="2" t="str">
        <f>VLOOKUP(B677,'PO with created By ASR'!A:K,8,FALSE)</f>
        <v>Purchase Order-Del</v>
      </c>
      <c r="N677" t="s">
        <v>36</v>
      </c>
      <c r="P677" s="2">
        <v>6</v>
      </c>
    </row>
    <row r="678" s="2" customFormat="1" spans="1:16">
      <c r="A678" s="8"/>
      <c r="B678" s="9" t="s">
        <v>1458</v>
      </c>
      <c r="C678" s="10" t="s">
        <v>126</v>
      </c>
      <c r="D678" s="11">
        <v>1</v>
      </c>
      <c r="E678" s="12">
        <v>600</v>
      </c>
      <c r="F678" s="13">
        <v>600</v>
      </c>
      <c r="G678" s="2">
        <f>VLOOKUP(B678,'PO with created By ASR'!A:C,3,FALSE)</f>
        <v>45678</v>
      </c>
      <c r="J678" s="2" t="str">
        <f>VLOOKUP(B678,'PO with created By ASR'!A:G,4,FALSE)</f>
        <v>Mohd.Waris.....-CR</v>
      </c>
      <c r="K678" s="2" t="e">
        <f>VLOOKUP(B678,'PO with created By ASR'!A:I,6,FALSE)</f>
        <v>#N/A</v>
      </c>
      <c r="L678" s="2" t="str">
        <f>VLOOKUP(B678,'PO with created By ASR'!A:J,7,FALSE)</f>
        <v>D - Delhi</v>
      </c>
      <c r="M678" s="2" t="str">
        <f>VLOOKUP(B678,'PO with created By ASR'!A:K,8,FALSE)</f>
        <v>Purchase Order-Del</v>
      </c>
      <c r="N678" t="s">
        <v>36</v>
      </c>
      <c r="P678" s="2">
        <v>6</v>
      </c>
    </row>
    <row r="679" s="2" customFormat="1" spans="1:16">
      <c r="A679" s="8"/>
      <c r="B679" s="9" t="s">
        <v>1461</v>
      </c>
      <c r="C679" s="10" t="s">
        <v>317</v>
      </c>
      <c r="D679" s="11">
        <v>1</v>
      </c>
      <c r="E679" s="12">
        <v>245500</v>
      </c>
      <c r="F679" s="13">
        <v>245500</v>
      </c>
      <c r="G679" s="2">
        <f>VLOOKUP(B679,'PO with created By ASR'!A:C,3,FALSE)</f>
        <v>45678</v>
      </c>
      <c r="J679" s="2" t="str">
        <f>VLOOKUP(B679,'PO with created By ASR'!A:G,4,FALSE)</f>
        <v>99 Online-Del</v>
      </c>
      <c r="K679" s="2" t="str">
        <f>VLOOKUP(B679,'PO with created By ASR'!A:I,6,FALSE)</f>
        <v>11623 99 Online</v>
      </c>
      <c r="L679" s="2" t="str">
        <f>VLOOKUP(B679,'PO with created By ASR'!A:J,7,FALSE)</f>
        <v>D - Delhi</v>
      </c>
      <c r="M679" s="2" t="str">
        <f>VLOOKUP(B679,'PO with created By ASR'!A:K,8,FALSE)</f>
        <v>Purchase Order-Del</v>
      </c>
      <c r="N679" t="s">
        <v>36</v>
      </c>
      <c r="P679" s="2">
        <v>6</v>
      </c>
    </row>
    <row r="680" s="2" customFormat="1" spans="1:16">
      <c r="A680" s="8"/>
      <c r="B680" s="9" t="s">
        <v>1464</v>
      </c>
      <c r="C680" s="10" t="s">
        <v>292</v>
      </c>
      <c r="D680" s="11">
        <v>1</v>
      </c>
      <c r="E680" s="12">
        <v>8600</v>
      </c>
      <c r="F680" s="13">
        <v>8600</v>
      </c>
      <c r="G680" s="2">
        <f>VLOOKUP(B680,'PO with created By ASR'!A:C,3,FALSE)</f>
        <v>45678</v>
      </c>
      <c r="J680" s="2" t="str">
        <f>VLOOKUP(B680,'PO with created By ASR'!A:G,4,FALSE)</f>
        <v>All4One Events-Del</v>
      </c>
      <c r="K680" s="2" t="str">
        <f>VLOOKUP(B680,'PO with created By ASR'!A:I,6,FALSE)</f>
        <v>11655 All4One Events</v>
      </c>
      <c r="L680" s="2" t="str">
        <f>VLOOKUP(B680,'PO with created By ASR'!A:J,7,FALSE)</f>
        <v>D - Delhi</v>
      </c>
      <c r="M680" s="2" t="str">
        <f>VLOOKUP(B680,'PO with created By ASR'!A:K,8,FALSE)</f>
        <v>Purchase Order-Del</v>
      </c>
      <c r="N680" t="s">
        <v>36</v>
      </c>
      <c r="P680" s="2">
        <v>6</v>
      </c>
    </row>
    <row r="681" s="2" customFormat="1" spans="1:16">
      <c r="A681" s="8"/>
      <c r="B681" s="9" t="s">
        <v>1465</v>
      </c>
      <c r="C681" s="10" t="s">
        <v>371</v>
      </c>
      <c r="D681" s="11">
        <v>1</v>
      </c>
      <c r="E681" s="12">
        <v>15450</v>
      </c>
      <c r="F681" s="13">
        <v>15450</v>
      </c>
      <c r="G681" s="2">
        <f>VLOOKUP(B681,'PO with created By ASR'!A:C,3,FALSE)</f>
        <v>45678</v>
      </c>
      <c r="J681" s="2" t="str">
        <f>VLOOKUP(B681,'PO with created By ASR'!A:G,4,FALSE)</f>
        <v>Powerpro-Del</v>
      </c>
      <c r="K681" s="2" t="e">
        <f>VLOOKUP(B681,'PO with created By ASR'!A:I,6,FALSE)</f>
        <v>#N/A</v>
      </c>
      <c r="L681" s="2" t="str">
        <f>VLOOKUP(B681,'PO with created By ASR'!A:J,7,FALSE)</f>
        <v>D - Delhi</v>
      </c>
      <c r="M681" s="2" t="str">
        <f>VLOOKUP(B681,'PO with created By ASR'!A:K,8,FALSE)</f>
        <v>Purchase Order-Del</v>
      </c>
      <c r="N681" t="s">
        <v>36</v>
      </c>
      <c r="P681" s="2">
        <v>6</v>
      </c>
    </row>
    <row r="682" s="2" customFormat="1" spans="1:16">
      <c r="A682" s="8"/>
      <c r="B682" s="9" t="s">
        <v>1466</v>
      </c>
      <c r="C682" s="10" t="s">
        <v>140</v>
      </c>
      <c r="D682" s="11">
        <v>1</v>
      </c>
      <c r="E682" s="12">
        <v>212200</v>
      </c>
      <c r="F682" s="13">
        <v>212200</v>
      </c>
      <c r="G682" s="2">
        <f>VLOOKUP(B682,'PO with created By ASR'!A:C,3,FALSE)</f>
        <v>45678</v>
      </c>
      <c r="J682" s="2" t="str">
        <f>VLOOKUP(B682,'PO with created By ASR'!A:G,4,FALSE)</f>
        <v>Studio Merchandise Pvt Ltd-Del</v>
      </c>
      <c r="K682" s="2" t="str">
        <f>VLOOKUP(B682,'PO with created By ASR'!A:I,6,FALSE)</f>
        <v>12464  Studio Merchandise Pvt Ltd</v>
      </c>
      <c r="L682" s="2" t="str">
        <f>VLOOKUP(B682,'PO with created By ASR'!A:J,7,FALSE)</f>
        <v>D - Delhi</v>
      </c>
      <c r="M682" s="2" t="str">
        <f>VLOOKUP(B682,'PO with created By ASR'!A:K,8,FALSE)</f>
        <v>Purchase Order-Del</v>
      </c>
      <c r="N682" t="s">
        <v>36</v>
      </c>
      <c r="P682" s="2">
        <v>6</v>
      </c>
    </row>
    <row r="683" s="2" customFormat="1" spans="1:16">
      <c r="A683" s="8"/>
      <c r="B683" s="9" t="s">
        <v>1468</v>
      </c>
      <c r="C683" s="10" t="s">
        <v>250</v>
      </c>
      <c r="D683" s="11">
        <v>1</v>
      </c>
      <c r="E683" s="12">
        <v>250000</v>
      </c>
      <c r="F683" s="13">
        <v>250000</v>
      </c>
      <c r="G683" s="2">
        <f>VLOOKUP(B683,'PO with created By ASR'!A:C,3,FALSE)</f>
        <v>45678</v>
      </c>
      <c r="J683" s="2" t="str">
        <f>VLOOKUP(B683,'PO with created By ASR'!A:G,4,FALSE)</f>
        <v>Milovo (Anuradha Khilnani)-Del</v>
      </c>
      <c r="K683" s="2" t="str">
        <f>VLOOKUP(B683,'PO with created By ASR'!A:I,6,FALSE)</f>
        <v>12150 Milovo (Anuradha Khilnani)</v>
      </c>
      <c r="L683" s="2" t="str">
        <f>VLOOKUP(B683,'PO with created By ASR'!A:J,7,FALSE)</f>
        <v>D - Delhi</v>
      </c>
      <c r="M683" s="2" t="str">
        <f>VLOOKUP(B683,'PO with created By ASR'!A:K,8,FALSE)</f>
        <v>Purchase Order-Del</v>
      </c>
      <c r="N683" t="s">
        <v>36</v>
      </c>
      <c r="P683" s="2">
        <v>6</v>
      </c>
    </row>
    <row r="684" s="2" customFormat="1" spans="1:16">
      <c r="A684" s="8"/>
      <c r="B684" s="9" t="s">
        <v>1472</v>
      </c>
      <c r="C684" s="10" t="s">
        <v>119</v>
      </c>
      <c r="D684" s="11">
        <v>1</v>
      </c>
      <c r="E684" s="12">
        <v>69903</v>
      </c>
      <c r="F684" s="13">
        <v>69903</v>
      </c>
      <c r="G684" s="2">
        <f>VLOOKUP(B684,'PO with created By ASR'!A:C,3,FALSE)</f>
        <v>45678</v>
      </c>
      <c r="J684" s="2" t="str">
        <f>VLOOKUP(B684,'PO with created By ASR'!A:G,4,FALSE)</f>
        <v>Rastey Commuting Services Pvt Ltd-Del</v>
      </c>
      <c r="K684" s="2" t="str">
        <f>VLOOKUP(B684,'PO with created By ASR'!A:I,6,FALSE)</f>
        <v>12319  Rastey Commuting Services Pvt Ltd</v>
      </c>
      <c r="L684" s="2" t="str">
        <f>VLOOKUP(B684,'PO with created By ASR'!A:J,7,FALSE)</f>
        <v>D - Delhi</v>
      </c>
      <c r="M684" s="2" t="str">
        <f>VLOOKUP(B684,'PO with created By ASR'!A:K,8,FALSE)</f>
        <v>Purchase Order-Del</v>
      </c>
      <c r="N684" t="s">
        <v>36</v>
      </c>
      <c r="P684" s="2">
        <v>6</v>
      </c>
    </row>
    <row r="685" s="2" customFormat="1" spans="1:16">
      <c r="A685" s="8"/>
      <c r="B685" s="9" t="s">
        <v>1472</v>
      </c>
      <c r="C685" s="10" t="s">
        <v>676</v>
      </c>
      <c r="D685" s="11">
        <v>1</v>
      </c>
      <c r="E685" s="12">
        <v>1747.58</v>
      </c>
      <c r="F685" s="13">
        <v>1747.58</v>
      </c>
      <c r="G685" s="2">
        <f>VLOOKUP(B685,'PO with created By ASR'!A:C,3,FALSE)</f>
        <v>45678</v>
      </c>
      <c r="J685" s="2" t="str">
        <f>VLOOKUP(B685,'PO with created By ASR'!A:G,4,FALSE)</f>
        <v>Rastey Commuting Services Pvt Ltd-Del</v>
      </c>
      <c r="K685" s="2" t="str">
        <f>VLOOKUP(B685,'PO with created By ASR'!A:I,6,FALSE)</f>
        <v>12319  Rastey Commuting Services Pvt Ltd</v>
      </c>
      <c r="L685" s="2" t="str">
        <f>VLOOKUP(B685,'PO with created By ASR'!A:J,7,FALSE)</f>
        <v>D - Delhi</v>
      </c>
      <c r="M685" s="2" t="str">
        <f>VLOOKUP(B685,'PO with created By ASR'!A:K,8,FALSE)</f>
        <v>Purchase Order-Del</v>
      </c>
      <c r="N685" t="s">
        <v>36</v>
      </c>
      <c r="P685" s="2">
        <v>6</v>
      </c>
    </row>
    <row r="686" s="2" customFormat="1" spans="1:16">
      <c r="A686" s="8"/>
      <c r="B686" s="9" t="s">
        <v>1472</v>
      </c>
      <c r="C686" s="10" t="s">
        <v>4365</v>
      </c>
      <c r="D686" s="11">
        <v>1</v>
      </c>
      <c r="E686" s="12">
        <v>1747.58</v>
      </c>
      <c r="F686" s="13">
        <v>1747.58</v>
      </c>
      <c r="G686" s="2">
        <f>VLOOKUP(B686,'PO with created By ASR'!A:C,3,FALSE)</f>
        <v>45678</v>
      </c>
      <c r="J686" s="2" t="str">
        <f>VLOOKUP(B686,'PO with created By ASR'!A:G,4,FALSE)</f>
        <v>Rastey Commuting Services Pvt Ltd-Del</v>
      </c>
      <c r="K686" s="2" t="str">
        <f>VLOOKUP(B686,'PO with created By ASR'!A:I,6,FALSE)</f>
        <v>12319  Rastey Commuting Services Pvt Ltd</v>
      </c>
      <c r="L686" s="2" t="str">
        <f>VLOOKUP(B686,'PO with created By ASR'!A:J,7,FALSE)</f>
        <v>D - Delhi</v>
      </c>
      <c r="M686" s="2" t="str">
        <f>VLOOKUP(B686,'PO with created By ASR'!A:K,8,FALSE)</f>
        <v>Purchase Order-Del</v>
      </c>
      <c r="N686" t="s">
        <v>36</v>
      </c>
      <c r="P686" s="2">
        <v>6</v>
      </c>
    </row>
    <row r="687" s="2" customFormat="1" spans="1:16">
      <c r="A687" s="8"/>
      <c r="B687" s="9" t="s">
        <v>1473</v>
      </c>
      <c r="C687" s="10" t="s">
        <v>126</v>
      </c>
      <c r="D687" s="11">
        <v>1</v>
      </c>
      <c r="E687" s="12">
        <v>1918</v>
      </c>
      <c r="F687" s="13">
        <v>1918</v>
      </c>
      <c r="G687" s="2">
        <f>VLOOKUP(B687,'PO with created By ASR'!A:C,3,FALSE)</f>
        <v>45678</v>
      </c>
      <c r="J687" s="2" t="str">
        <f>VLOOKUP(B687,'PO with created By ASR'!A:G,4,FALSE)</f>
        <v>Virender Singh  -CR</v>
      </c>
      <c r="K687" s="2" t="e">
        <f>VLOOKUP(B687,'PO with created By ASR'!A:I,6,FALSE)</f>
        <v>#N/A</v>
      </c>
      <c r="L687" s="2" t="str">
        <f>VLOOKUP(B687,'PO with created By ASR'!A:J,7,FALSE)</f>
        <v>D - Delhi</v>
      </c>
      <c r="M687" s="2" t="str">
        <f>VLOOKUP(B687,'PO with created By ASR'!A:K,8,FALSE)</f>
        <v>Purchase Order-Del</v>
      </c>
      <c r="N687" t="s">
        <v>36</v>
      </c>
      <c r="P687" s="2">
        <v>6</v>
      </c>
    </row>
    <row r="688" s="2" customFormat="1" spans="1:16">
      <c r="A688" s="8"/>
      <c r="B688" s="9" t="s">
        <v>1475</v>
      </c>
      <c r="C688" s="10" t="s">
        <v>126</v>
      </c>
      <c r="D688" s="11">
        <v>1</v>
      </c>
      <c r="E688" s="12">
        <v>873</v>
      </c>
      <c r="F688" s="13">
        <v>873</v>
      </c>
      <c r="G688" s="2">
        <f>VLOOKUP(B688,'PO with created By ASR'!A:C,3,FALSE)</f>
        <v>45678</v>
      </c>
      <c r="J688" s="2" t="str">
        <f>VLOOKUP(B688,'PO with created By ASR'!A:G,4,FALSE)</f>
        <v>Ashutosh Darekar -CR</v>
      </c>
      <c r="K688" s="2" t="e">
        <f>VLOOKUP(B688,'PO with created By ASR'!A:I,6,FALSE)</f>
        <v>#N/A</v>
      </c>
      <c r="L688" s="2" t="str">
        <f>VLOOKUP(B688,'PO with created By ASR'!A:J,7,FALSE)</f>
        <v>A - Mumbai</v>
      </c>
      <c r="M688" s="2" t="str">
        <f>VLOOKUP(B688,'PO with created By ASR'!A:K,8,FALSE)</f>
        <v>Purchase Order-Mum</v>
      </c>
      <c r="N688" t="s">
        <v>36</v>
      </c>
      <c r="P688" s="2">
        <v>6</v>
      </c>
    </row>
    <row r="689" s="2" customFormat="1" spans="1:16">
      <c r="A689" s="8"/>
      <c r="B689" s="9" t="s">
        <v>1477</v>
      </c>
      <c r="C689" s="10" t="s">
        <v>126</v>
      </c>
      <c r="D689" s="11">
        <v>1</v>
      </c>
      <c r="E689" s="12">
        <v>1006</v>
      </c>
      <c r="F689" s="13">
        <v>1006</v>
      </c>
      <c r="G689" s="2">
        <f>VLOOKUP(B689,'PO with created By ASR'!A:C,3,FALSE)</f>
        <v>45678</v>
      </c>
      <c r="J689" s="2" t="str">
        <f>VLOOKUP(B689,'PO with created By ASR'!A:G,4,FALSE)</f>
        <v>Supriya Naik  -CR</v>
      </c>
      <c r="K689" s="2" t="e">
        <f>VLOOKUP(B689,'PO with created By ASR'!A:I,6,FALSE)</f>
        <v>#N/A</v>
      </c>
      <c r="L689" s="2" t="str">
        <f>VLOOKUP(B689,'PO with created By ASR'!A:J,7,FALSE)</f>
        <v>A - Mumbai</v>
      </c>
      <c r="M689" s="2" t="str">
        <f>VLOOKUP(B689,'PO with created By ASR'!A:K,8,FALSE)</f>
        <v>Purchase Order-Mum</v>
      </c>
      <c r="N689" t="s">
        <v>36</v>
      </c>
      <c r="P689" s="2">
        <v>6</v>
      </c>
    </row>
    <row r="690" s="2" customFormat="1" spans="1:16">
      <c r="A690" s="8"/>
      <c r="B690" s="9" t="s">
        <v>1479</v>
      </c>
      <c r="C690" s="10" t="s">
        <v>126</v>
      </c>
      <c r="D690" s="11">
        <v>1</v>
      </c>
      <c r="E690" s="12">
        <v>1949</v>
      </c>
      <c r="F690" s="13">
        <v>1949</v>
      </c>
      <c r="G690" s="2">
        <f>VLOOKUP(B690,'PO with created By ASR'!A:C,3,FALSE)</f>
        <v>45678</v>
      </c>
      <c r="J690" s="2" t="str">
        <f>VLOOKUP(B690,'PO with created By ASR'!A:G,4,FALSE)</f>
        <v>Gulfaam Shaikh  -CR</v>
      </c>
      <c r="K690" s="2" t="e">
        <f>VLOOKUP(B690,'PO with created By ASR'!A:I,6,FALSE)</f>
        <v>#N/A</v>
      </c>
      <c r="L690" s="2" t="str">
        <f>VLOOKUP(B690,'PO with created By ASR'!A:J,7,FALSE)</f>
        <v>A - Mumbai</v>
      </c>
      <c r="M690" s="2" t="str">
        <f>VLOOKUP(B690,'PO with created By ASR'!A:K,8,FALSE)</f>
        <v>Purchase Order-Mum</v>
      </c>
      <c r="N690" t="s">
        <v>36</v>
      </c>
      <c r="P690" s="2">
        <v>6</v>
      </c>
    </row>
    <row r="691" s="2" customFormat="1" spans="1:16">
      <c r="A691" s="8"/>
      <c r="B691" s="9" t="s">
        <v>1479</v>
      </c>
      <c r="C691" s="10" t="s">
        <v>412</v>
      </c>
      <c r="D691" s="11">
        <v>1</v>
      </c>
      <c r="E691" s="12">
        <v>827</v>
      </c>
      <c r="F691" s="13">
        <v>827</v>
      </c>
      <c r="G691" s="2">
        <f>VLOOKUP(B691,'PO with created By ASR'!A:C,3,FALSE)</f>
        <v>45678</v>
      </c>
      <c r="J691" s="2" t="str">
        <f>VLOOKUP(B691,'PO with created By ASR'!A:G,4,FALSE)</f>
        <v>Gulfaam Shaikh  -CR</v>
      </c>
      <c r="K691" s="2" t="e">
        <f>VLOOKUP(B691,'PO with created By ASR'!A:I,6,FALSE)</f>
        <v>#N/A</v>
      </c>
      <c r="L691" s="2" t="str">
        <f>VLOOKUP(B691,'PO with created By ASR'!A:J,7,FALSE)</f>
        <v>A - Mumbai</v>
      </c>
      <c r="M691" s="2" t="str">
        <f>VLOOKUP(B691,'PO with created By ASR'!A:K,8,FALSE)</f>
        <v>Purchase Order-Mum</v>
      </c>
      <c r="N691" t="s">
        <v>36</v>
      </c>
      <c r="P691" s="2">
        <v>6</v>
      </c>
    </row>
    <row r="692" s="2" customFormat="1" spans="1:16">
      <c r="A692" s="8"/>
      <c r="B692" s="9" t="s">
        <v>1481</v>
      </c>
      <c r="C692" s="10" t="s">
        <v>317</v>
      </c>
      <c r="D692" s="11">
        <v>1</v>
      </c>
      <c r="E692" s="12">
        <v>125000</v>
      </c>
      <c r="F692" s="13">
        <v>125000</v>
      </c>
      <c r="G692" s="2">
        <f>VLOOKUP(B692,'PO with created By ASR'!A:C,3,FALSE)</f>
        <v>45678</v>
      </c>
      <c r="J692" s="2" t="str">
        <f>VLOOKUP(B692,'PO with created By ASR'!A:G,4,FALSE)</f>
        <v>Front Of House-Mum</v>
      </c>
      <c r="K692" s="2" t="str">
        <f>VLOOKUP(B692,'PO with created By ASR'!A:I,6,FALSE)</f>
        <v>11935 Front Of House</v>
      </c>
      <c r="L692" s="2" t="str">
        <f>VLOOKUP(B692,'PO with created By ASR'!A:J,7,FALSE)</f>
        <v>A - Mumbai</v>
      </c>
      <c r="M692" s="2" t="str">
        <f>VLOOKUP(B692,'PO with created By ASR'!A:K,8,FALSE)</f>
        <v>Purchase Order-Mum</v>
      </c>
      <c r="N692" t="s">
        <v>36</v>
      </c>
      <c r="P692" s="2">
        <v>6</v>
      </c>
    </row>
    <row r="693" s="2" customFormat="1" spans="1:16">
      <c r="A693" s="8"/>
      <c r="B693" s="9" t="s">
        <v>1484</v>
      </c>
      <c r="C693" s="10" t="s">
        <v>734</v>
      </c>
      <c r="D693" s="11">
        <v>1</v>
      </c>
      <c r="E693" s="12">
        <v>167950</v>
      </c>
      <c r="F693" s="13">
        <v>167950</v>
      </c>
      <c r="G693" s="2">
        <f>VLOOKUP(B693,'PO with created By ASR'!A:C,3,FALSE)</f>
        <v>45678</v>
      </c>
      <c r="J693" s="2" t="str">
        <f>VLOOKUP(B693,'PO with created By ASR'!A:G,4,FALSE)</f>
        <v>Alliance International Tours &amp; Travels-Mum</v>
      </c>
      <c r="K693" s="2" t="str">
        <f>VLOOKUP(B693,'PO with created By ASR'!A:I,6,FALSE)</f>
        <v>11656 Alliance International Tours &amp; Travels</v>
      </c>
      <c r="L693" s="2" t="str">
        <f>VLOOKUP(B693,'PO with created By ASR'!A:J,7,FALSE)</f>
        <v>A - Mumbai</v>
      </c>
      <c r="M693" s="2" t="str">
        <f>VLOOKUP(B693,'PO with created By ASR'!A:K,8,FALSE)</f>
        <v>Purchase Order-Mum</v>
      </c>
      <c r="N693" t="s">
        <v>36</v>
      </c>
      <c r="P693" s="2">
        <v>6</v>
      </c>
    </row>
    <row r="694" s="2" customFormat="1" spans="1:16">
      <c r="A694" s="8"/>
      <c r="B694" s="9" t="s">
        <v>1489</v>
      </c>
      <c r="C694" s="10" t="s">
        <v>126</v>
      </c>
      <c r="D694" s="11">
        <v>1</v>
      </c>
      <c r="E694" s="12">
        <v>704</v>
      </c>
      <c r="F694" s="13">
        <v>704</v>
      </c>
      <c r="G694" s="2">
        <f>VLOOKUP(B694,'PO with created By ASR'!A:C,3,FALSE)</f>
        <v>45678</v>
      </c>
      <c r="J694" s="2" t="str">
        <f>VLOOKUP(B694,'PO with created By ASR'!A:G,4,FALSE)</f>
        <v>Chetan Handa  -CR</v>
      </c>
      <c r="K694" s="2" t="e">
        <f>VLOOKUP(B694,'PO with created By ASR'!A:I,6,FALSE)</f>
        <v>#N/A</v>
      </c>
      <c r="L694" s="2" t="str">
        <f>VLOOKUP(B694,'PO with created By ASR'!A:J,7,FALSE)</f>
        <v>A - Mumbai</v>
      </c>
      <c r="M694" s="2" t="str">
        <f>VLOOKUP(B694,'PO with created By ASR'!A:K,8,FALSE)</f>
        <v>Purchase Order-Mum</v>
      </c>
      <c r="N694" t="s">
        <v>36</v>
      </c>
      <c r="P694" s="2">
        <v>6</v>
      </c>
    </row>
    <row r="695" s="2" customFormat="1" spans="1:16">
      <c r="A695" s="8"/>
      <c r="B695" s="9" t="s">
        <v>1492</v>
      </c>
      <c r="C695" s="10" t="s">
        <v>250</v>
      </c>
      <c r="D695" s="11">
        <v>1</v>
      </c>
      <c r="E695" s="12">
        <v>225000</v>
      </c>
      <c r="F695" s="13">
        <v>225000</v>
      </c>
      <c r="G695" s="2">
        <f>VLOOKUP(B695,'PO with created By ASR'!A:C,3,FALSE)</f>
        <v>45678</v>
      </c>
      <c r="J695" s="2" t="str">
        <f>VLOOKUP(B695,'PO with created By ASR'!A:G,4,FALSE)</f>
        <v>Black Hat Talent Solutions &amp; Consulting Pvt Ltd-Mum</v>
      </c>
      <c r="K695" s="2" t="str">
        <f>VLOOKUP(B695,'PO with created By ASR'!A:I,6,FALSE)</f>
        <v>10572  Black Hat Talent Solutions &amp; Consulting Pvt Ltd</v>
      </c>
      <c r="L695" s="2" t="str">
        <f>VLOOKUP(B695,'PO with created By ASR'!A:J,7,FALSE)</f>
        <v>A - Mumbai</v>
      </c>
      <c r="M695" s="2" t="str">
        <f>VLOOKUP(B695,'PO with created By ASR'!A:K,8,FALSE)</f>
        <v>Purchase Order-Mum</v>
      </c>
      <c r="N695" t="s">
        <v>36</v>
      </c>
      <c r="P695" s="2">
        <v>6</v>
      </c>
    </row>
    <row r="696" s="2" customFormat="1" spans="1:16">
      <c r="A696" s="8"/>
      <c r="B696" s="9" t="s">
        <v>1493</v>
      </c>
      <c r="C696" s="10" t="s">
        <v>250</v>
      </c>
      <c r="D696" s="11">
        <v>1</v>
      </c>
      <c r="E696" s="12">
        <v>65000</v>
      </c>
      <c r="F696" s="13">
        <v>65000</v>
      </c>
      <c r="G696" s="2">
        <f>VLOOKUP(B696,'PO with created By ASR'!A:C,3,FALSE)</f>
        <v>45678</v>
      </c>
      <c r="J696" s="2" t="str">
        <f>VLOOKUP(B696,'PO with created By ASR'!A:G,4,FALSE)</f>
        <v>Colour N Chill (Pranali Patel)-Mum</v>
      </c>
      <c r="K696" s="2" t="str">
        <f>VLOOKUP(B696,'PO with created By ASR'!A:I,6,FALSE)</f>
        <v>10593 Colour N Chill (Pranali Patel)</v>
      </c>
      <c r="L696" s="2" t="str">
        <f>VLOOKUP(B696,'PO with created By ASR'!A:J,7,FALSE)</f>
        <v>A - Mumbai</v>
      </c>
      <c r="M696" s="2" t="str">
        <f>VLOOKUP(B696,'PO with created By ASR'!A:K,8,FALSE)</f>
        <v>Purchase Order-Mum</v>
      </c>
      <c r="N696" t="s">
        <v>36</v>
      </c>
      <c r="P696" s="2">
        <v>6</v>
      </c>
    </row>
    <row r="697" s="2" customFormat="1" spans="1:16">
      <c r="A697" s="8"/>
      <c r="B697" s="9" t="s">
        <v>1496</v>
      </c>
      <c r="C697" s="10" t="s">
        <v>347</v>
      </c>
      <c r="D697" s="11">
        <v>1</v>
      </c>
      <c r="E697" s="12">
        <v>60000</v>
      </c>
      <c r="F697" s="13">
        <v>60000</v>
      </c>
      <c r="G697" s="2">
        <f>VLOOKUP(B697,'PO with created By ASR'!A:C,3,FALSE)</f>
        <v>45678</v>
      </c>
      <c r="J697" s="2" t="str">
        <f>VLOOKUP(B697,'PO with created By ASR'!A:G,4,FALSE)</f>
        <v>Mohammed Saqib Ansari-Mum</v>
      </c>
      <c r="K697" s="2" t="str">
        <f>VLOOKUP(B697,'PO with created By ASR'!A:I,6,FALSE)</f>
        <v>12708 Mohammed Saqib Ansari</v>
      </c>
      <c r="L697" s="2" t="str">
        <f>VLOOKUP(B697,'PO with created By ASR'!A:J,7,FALSE)</f>
        <v>A - Mumbai</v>
      </c>
      <c r="M697" s="2" t="str">
        <f>VLOOKUP(B697,'PO with created By ASR'!A:K,8,FALSE)</f>
        <v>Purchase Order-Mum</v>
      </c>
      <c r="N697" t="s">
        <v>36</v>
      </c>
      <c r="P697" s="2">
        <v>6</v>
      </c>
    </row>
    <row r="698" s="2" customFormat="1" spans="1:16">
      <c r="A698" s="8"/>
      <c r="B698" s="9" t="s">
        <v>1499</v>
      </c>
      <c r="C698" s="10" t="s">
        <v>1176</v>
      </c>
      <c r="D698" s="11">
        <v>1</v>
      </c>
      <c r="E698" s="12">
        <v>476190</v>
      </c>
      <c r="F698" s="13">
        <v>476190</v>
      </c>
      <c r="G698" s="2">
        <f>VLOOKUP(B698,'PO with created By ASR'!A:C,3,FALSE)</f>
        <v>45678</v>
      </c>
      <c r="J698" s="2" t="str">
        <f>VLOOKUP(B698,'PO with created By ASR'!A:G,4,FALSE)</f>
        <v>Mirah Hospitality &amp; Gourmet Solutions Pvt Ltd-Mum</v>
      </c>
      <c r="K698" s="2" t="str">
        <f>VLOOKUP(B698,'PO with created By ASR'!A:I,6,FALSE)</f>
        <v>10372  Mirah Hospitality &amp; Gourmet Solutions Pvt Ltd</v>
      </c>
      <c r="L698" s="2" t="str">
        <f>VLOOKUP(B698,'PO with created By ASR'!A:J,7,FALSE)</f>
        <v>A - Mumbai</v>
      </c>
      <c r="M698" s="2" t="str">
        <f>VLOOKUP(B698,'PO with created By ASR'!A:K,8,FALSE)</f>
        <v>Purchase Order-Mum</v>
      </c>
      <c r="N698" t="s">
        <v>36</v>
      </c>
      <c r="P698" s="2">
        <v>6</v>
      </c>
    </row>
    <row r="699" s="2" customFormat="1" spans="1:16">
      <c r="A699" s="8"/>
      <c r="B699" s="9" t="s">
        <v>1499</v>
      </c>
      <c r="C699" s="10" t="s">
        <v>676</v>
      </c>
      <c r="D699" s="11">
        <v>1</v>
      </c>
      <c r="E699" s="12">
        <v>11904.75</v>
      </c>
      <c r="F699" s="13">
        <v>11904.75</v>
      </c>
      <c r="G699" s="2">
        <f>VLOOKUP(B699,'PO with created By ASR'!A:C,3,FALSE)</f>
        <v>45678</v>
      </c>
      <c r="J699" s="2" t="str">
        <f>VLOOKUP(B699,'PO with created By ASR'!A:G,4,FALSE)</f>
        <v>Mirah Hospitality &amp; Gourmet Solutions Pvt Ltd-Mum</v>
      </c>
      <c r="K699" s="2" t="str">
        <f>VLOOKUP(B699,'PO with created By ASR'!A:I,6,FALSE)</f>
        <v>10372  Mirah Hospitality &amp; Gourmet Solutions Pvt Ltd</v>
      </c>
      <c r="L699" s="2" t="str">
        <f>VLOOKUP(B699,'PO with created By ASR'!A:J,7,FALSE)</f>
        <v>A - Mumbai</v>
      </c>
      <c r="M699" s="2" t="str">
        <f>VLOOKUP(B699,'PO with created By ASR'!A:K,8,FALSE)</f>
        <v>Purchase Order-Mum</v>
      </c>
      <c r="N699" t="s">
        <v>36</v>
      </c>
      <c r="P699" s="2">
        <v>6</v>
      </c>
    </row>
    <row r="700" s="2" customFormat="1" spans="1:16">
      <c r="A700" s="8"/>
      <c r="B700" s="9" t="s">
        <v>1499</v>
      </c>
      <c r="C700" s="10" t="s">
        <v>4365</v>
      </c>
      <c r="D700" s="11">
        <v>1</v>
      </c>
      <c r="E700" s="12">
        <v>11904.75</v>
      </c>
      <c r="F700" s="13">
        <v>11904.75</v>
      </c>
      <c r="G700" s="2">
        <f>VLOOKUP(B700,'PO with created By ASR'!A:C,3,FALSE)</f>
        <v>45678</v>
      </c>
      <c r="J700" s="2" t="str">
        <f>VLOOKUP(B700,'PO with created By ASR'!A:G,4,FALSE)</f>
        <v>Mirah Hospitality &amp; Gourmet Solutions Pvt Ltd-Mum</v>
      </c>
      <c r="K700" s="2" t="str">
        <f>VLOOKUP(B700,'PO with created By ASR'!A:I,6,FALSE)</f>
        <v>10372  Mirah Hospitality &amp; Gourmet Solutions Pvt Ltd</v>
      </c>
      <c r="L700" s="2" t="str">
        <f>VLOOKUP(B700,'PO with created By ASR'!A:J,7,FALSE)</f>
        <v>A - Mumbai</v>
      </c>
      <c r="M700" s="2" t="str">
        <f>VLOOKUP(B700,'PO with created By ASR'!A:K,8,FALSE)</f>
        <v>Purchase Order-Mum</v>
      </c>
      <c r="N700" t="s">
        <v>36</v>
      </c>
      <c r="P700" s="2">
        <v>6</v>
      </c>
    </row>
    <row r="701" s="2" customFormat="1" spans="1:16">
      <c r="A701" s="8"/>
      <c r="B701" s="9" t="s">
        <v>1504</v>
      </c>
      <c r="C701" s="10" t="s">
        <v>317</v>
      </c>
      <c r="D701" s="11">
        <v>1</v>
      </c>
      <c r="E701" s="12">
        <v>100000</v>
      </c>
      <c r="F701" s="13">
        <v>100000</v>
      </c>
      <c r="G701" s="2">
        <f>VLOOKUP(B701,'PO with created By ASR'!A:C,3,FALSE)</f>
        <v>45678</v>
      </c>
      <c r="J701" s="2" t="str">
        <f>VLOOKUP(B701,'PO with created By ASR'!A:G,4,FALSE)</f>
        <v>Utsara Sports Pvt Ltd (OTV)-Mum</v>
      </c>
      <c r="K701" s="2" t="str">
        <f>VLOOKUP(B701,'PO with created By ASR'!A:I,6,FALSE)</f>
        <v>12887  Utsara Sports Pvt Ltd (OTV)</v>
      </c>
      <c r="L701" s="2" t="str">
        <f>VLOOKUP(B701,'PO with created By ASR'!A:J,7,FALSE)</f>
        <v>A - Mumbai</v>
      </c>
      <c r="M701" s="2" t="str">
        <f>VLOOKUP(B701,'PO with created By ASR'!A:K,8,FALSE)</f>
        <v>Purchase Order-Mum</v>
      </c>
      <c r="N701" t="s">
        <v>36</v>
      </c>
      <c r="P701" s="2">
        <v>6</v>
      </c>
    </row>
    <row r="702" s="2" customFormat="1" spans="1:16">
      <c r="A702" s="8"/>
      <c r="B702" s="9" t="s">
        <v>1504</v>
      </c>
      <c r="C702" s="10" t="s">
        <v>317</v>
      </c>
      <c r="D702" s="11">
        <v>1</v>
      </c>
      <c r="E702" s="12">
        <v>150000</v>
      </c>
      <c r="F702" s="13">
        <v>150000</v>
      </c>
      <c r="G702" s="2">
        <f>VLOOKUP(B702,'PO with created By ASR'!A:C,3,FALSE)</f>
        <v>45678</v>
      </c>
      <c r="J702" s="2" t="str">
        <f>VLOOKUP(B702,'PO with created By ASR'!A:G,4,FALSE)</f>
        <v>Utsara Sports Pvt Ltd (OTV)-Mum</v>
      </c>
      <c r="K702" s="2" t="str">
        <f>VLOOKUP(B702,'PO with created By ASR'!A:I,6,FALSE)</f>
        <v>12887  Utsara Sports Pvt Ltd (OTV)</v>
      </c>
      <c r="L702" s="2" t="str">
        <f>VLOOKUP(B702,'PO with created By ASR'!A:J,7,FALSE)</f>
        <v>A - Mumbai</v>
      </c>
      <c r="M702" s="2" t="str">
        <f>VLOOKUP(B702,'PO with created By ASR'!A:K,8,FALSE)</f>
        <v>Purchase Order-Mum</v>
      </c>
      <c r="N702" t="s">
        <v>36</v>
      </c>
      <c r="P702" s="2">
        <v>6</v>
      </c>
    </row>
    <row r="703" s="2" customFormat="1" spans="1:16">
      <c r="A703" s="8"/>
      <c r="B703" s="9" t="s">
        <v>1505</v>
      </c>
      <c r="C703" s="10" t="s">
        <v>205</v>
      </c>
      <c r="D703" s="11">
        <v>1</v>
      </c>
      <c r="E703" s="12">
        <v>38241</v>
      </c>
      <c r="F703" s="13">
        <v>38241</v>
      </c>
      <c r="G703" s="2">
        <f>VLOOKUP(B703,'PO with created By ASR'!A:C,3,FALSE)</f>
        <v>45678</v>
      </c>
      <c r="J703" s="2" t="str">
        <f>VLOOKUP(B703,'PO with created By ASR'!A:G,4,FALSE)</f>
        <v>Shivam Logistics-Mum</v>
      </c>
      <c r="K703" s="2" t="str">
        <f>VLOOKUP(B703,'PO with created By ASR'!A:I,6,FALSE)</f>
        <v>12391 Shivam Logistics</v>
      </c>
      <c r="L703" s="2" t="str">
        <f>VLOOKUP(B703,'PO with created By ASR'!A:J,7,FALSE)</f>
        <v>A - Mumbai</v>
      </c>
      <c r="M703" s="2" t="str">
        <f>VLOOKUP(B703,'PO with created By ASR'!A:K,8,FALSE)</f>
        <v>Purchase Order-Mum</v>
      </c>
      <c r="N703" t="s">
        <v>36</v>
      </c>
      <c r="P703" s="2">
        <v>6</v>
      </c>
    </row>
    <row r="704" s="2" customFormat="1" spans="1:16">
      <c r="A704" s="8"/>
      <c r="B704" s="9" t="s">
        <v>1508</v>
      </c>
      <c r="C704" s="10" t="s">
        <v>371</v>
      </c>
      <c r="D704" s="11">
        <v>1</v>
      </c>
      <c r="E704" s="12">
        <v>730000</v>
      </c>
      <c r="F704" s="13">
        <v>730000</v>
      </c>
      <c r="G704" s="2">
        <f>VLOOKUP(B704,'PO with created By ASR'!A:C,3,FALSE)</f>
        <v>45679</v>
      </c>
      <c r="J704" s="2" t="str">
        <f>VLOOKUP(B704,'PO with created By ASR'!A:G,4,FALSE)</f>
        <v>Pro Audio Solutions India Pvt Ltd-Che</v>
      </c>
      <c r="K704" s="2" t="str">
        <f>VLOOKUP(B704,'PO with created By ASR'!A:I,6,FALSE)</f>
        <v>12288  Pro Audio Solutions India Pvt Ltd</v>
      </c>
      <c r="L704" s="2" t="str">
        <f>VLOOKUP(B704,'PO with created By ASR'!A:J,7,FALSE)</f>
        <v>C - Chennai</v>
      </c>
      <c r="M704" s="2" t="str">
        <f>VLOOKUP(B704,'PO with created By ASR'!A:K,8,FALSE)</f>
        <v>Purchase Order-Che</v>
      </c>
      <c r="N704" t="s">
        <v>36</v>
      </c>
      <c r="P704" s="2">
        <v>6</v>
      </c>
    </row>
    <row r="705" s="2" customFormat="1" spans="1:16">
      <c r="A705" s="8"/>
      <c r="B705" s="9" t="s">
        <v>1509</v>
      </c>
      <c r="C705" s="10" t="s">
        <v>317</v>
      </c>
      <c r="D705" s="11">
        <v>1</v>
      </c>
      <c r="E705" s="12">
        <v>157000</v>
      </c>
      <c r="F705" s="13">
        <v>157000</v>
      </c>
      <c r="G705" s="2">
        <f>VLOOKUP(B705,'PO with created By ASR'!A:C,3,FALSE)</f>
        <v>45679</v>
      </c>
      <c r="J705" s="2" t="str">
        <f>VLOOKUP(B705,'PO with created By ASR'!A:G,4,FALSE)</f>
        <v>Square Feet Productions-Che</v>
      </c>
      <c r="K705" s="2" t="str">
        <f>VLOOKUP(B705,'PO with created By ASR'!A:I,6,FALSE)</f>
        <v>11054 Square Feet Productions</v>
      </c>
      <c r="L705" s="2" t="str">
        <f>VLOOKUP(B705,'PO with created By ASR'!A:J,7,FALSE)</f>
        <v>C - Chennai</v>
      </c>
      <c r="M705" s="2" t="str">
        <f>VLOOKUP(B705,'PO with created By ASR'!A:K,8,FALSE)</f>
        <v>Purchase Order-Che</v>
      </c>
      <c r="N705" t="s">
        <v>36</v>
      </c>
      <c r="P705" s="2">
        <v>6</v>
      </c>
    </row>
    <row r="706" s="2" customFormat="1" spans="1:16">
      <c r="A706" s="8"/>
      <c r="B706" s="9" t="s">
        <v>1513</v>
      </c>
      <c r="C706" s="10" t="s">
        <v>317</v>
      </c>
      <c r="D706" s="11">
        <v>1</v>
      </c>
      <c r="E706" s="12">
        <v>296000</v>
      </c>
      <c r="F706" s="13">
        <v>296000</v>
      </c>
      <c r="G706" s="2">
        <f>VLOOKUP(B706,'PO with created By ASR'!A:C,3,FALSE)</f>
        <v>45679</v>
      </c>
      <c r="J706" s="2" t="str">
        <f>VLOOKUP(B706,'PO with created By ASR'!A:G,4,FALSE)</f>
        <v>Aishwarya Anil Kumar-Che</v>
      </c>
      <c r="K706" s="2" t="str">
        <f>VLOOKUP(B706,'PO with created By ASR'!A:I,6,FALSE)</f>
        <v>12895 Aishwarya Anil Kumar</v>
      </c>
      <c r="L706" s="2" t="str">
        <f>VLOOKUP(B706,'PO with created By ASR'!A:J,7,FALSE)</f>
        <v>C - Chennai</v>
      </c>
      <c r="M706" s="2" t="str">
        <f>VLOOKUP(B706,'PO with created By ASR'!A:K,8,FALSE)</f>
        <v>Purchase Order-Che</v>
      </c>
      <c r="N706" t="s">
        <v>36</v>
      </c>
      <c r="P706" s="2">
        <v>6</v>
      </c>
    </row>
    <row r="707" s="2" customFormat="1" spans="1:16">
      <c r="A707" s="8"/>
      <c r="B707" s="9" t="s">
        <v>1518</v>
      </c>
      <c r="C707" s="10" t="s">
        <v>233</v>
      </c>
      <c r="D707" s="11">
        <v>1</v>
      </c>
      <c r="E707" s="12">
        <v>1744</v>
      </c>
      <c r="F707" s="13">
        <v>1744</v>
      </c>
      <c r="G707" s="2">
        <f>VLOOKUP(B707,'PO with created By ASR'!A:C,3,FALSE)</f>
        <v>45679</v>
      </c>
      <c r="J707" s="2" t="str">
        <f>VLOOKUP(B707,'PO with created By ASR'!A:G,4,FALSE)</f>
        <v>Shardul Singh-Del</v>
      </c>
      <c r="K707" s="2" t="str">
        <f>VLOOKUP(B707,'PO with created By ASR'!A:I,6,FALSE)</f>
        <v>10906 Shardul Singh</v>
      </c>
      <c r="L707" s="2" t="str">
        <f>VLOOKUP(B707,'PO with created By ASR'!A:J,7,FALSE)</f>
        <v>D - Delhi</v>
      </c>
      <c r="M707" s="2" t="str">
        <f>VLOOKUP(B707,'PO with created By ASR'!A:K,8,FALSE)</f>
        <v>Purchase Order-Del</v>
      </c>
      <c r="N707" t="s">
        <v>36</v>
      </c>
      <c r="P707" s="2">
        <v>6</v>
      </c>
    </row>
    <row r="708" s="2" customFormat="1" spans="1:16">
      <c r="A708" s="8"/>
      <c r="B708" s="9" t="s">
        <v>1523</v>
      </c>
      <c r="C708" s="10" t="s">
        <v>1055</v>
      </c>
      <c r="D708" s="11">
        <v>1</v>
      </c>
      <c r="E708" s="12">
        <v>9000</v>
      </c>
      <c r="F708" s="13">
        <v>9000</v>
      </c>
      <c r="G708" s="2">
        <f>VLOOKUP(B708,'PO with created By ASR'!A:C,3,FALSE)</f>
        <v>45679</v>
      </c>
      <c r="J708" s="2" t="str">
        <f>VLOOKUP(B708,'PO with created By ASR'!A:G,4,FALSE)</f>
        <v>Pankaj Kumar Mishra  -CR</v>
      </c>
      <c r="K708" s="2" t="e">
        <f>VLOOKUP(B708,'PO with created By ASR'!A:I,6,FALSE)</f>
        <v>#N/A</v>
      </c>
      <c r="L708" s="2" t="str">
        <f>VLOOKUP(B708,'PO with created By ASR'!A:J,7,FALSE)</f>
        <v>D - Delhi</v>
      </c>
      <c r="M708" s="2" t="str">
        <f>VLOOKUP(B708,'PO with created By ASR'!A:K,8,FALSE)</f>
        <v>Purchase Order-Del</v>
      </c>
      <c r="N708" t="s">
        <v>36</v>
      </c>
      <c r="P708" s="2">
        <v>6</v>
      </c>
    </row>
    <row r="709" s="2" customFormat="1" spans="1:16">
      <c r="A709" s="8"/>
      <c r="B709" s="9" t="s">
        <v>1523</v>
      </c>
      <c r="C709" s="10" t="s">
        <v>126</v>
      </c>
      <c r="D709" s="11">
        <v>1</v>
      </c>
      <c r="E709" s="12">
        <v>1277</v>
      </c>
      <c r="F709" s="13">
        <v>1277</v>
      </c>
      <c r="G709" s="2">
        <f>VLOOKUP(B709,'PO with created By ASR'!A:C,3,FALSE)</f>
        <v>45679</v>
      </c>
      <c r="J709" s="2" t="str">
        <f>VLOOKUP(B709,'PO with created By ASR'!A:G,4,FALSE)</f>
        <v>Pankaj Kumar Mishra  -CR</v>
      </c>
      <c r="K709" s="2" t="e">
        <f>VLOOKUP(B709,'PO with created By ASR'!A:I,6,FALSE)</f>
        <v>#N/A</v>
      </c>
      <c r="L709" s="2" t="str">
        <f>VLOOKUP(B709,'PO with created By ASR'!A:J,7,FALSE)</f>
        <v>D - Delhi</v>
      </c>
      <c r="M709" s="2" t="str">
        <f>VLOOKUP(B709,'PO with created By ASR'!A:K,8,FALSE)</f>
        <v>Purchase Order-Del</v>
      </c>
      <c r="N709" t="s">
        <v>36</v>
      </c>
      <c r="P709" s="2">
        <v>6</v>
      </c>
    </row>
    <row r="710" s="2" customFormat="1" spans="1:16">
      <c r="A710" s="8"/>
      <c r="B710" s="9" t="s">
        <v>1525</v>
      </c>
      <c r="C710" s="10" t="s">
        <v>1055</v>
      </c>
      <c r="D710" s="11">
        <v>1</v>
      </c>
      <c r="E710" s="12">
        <v>2500</v>
      </c>
      <c r="F710" s="13">
        <v>2500</v>
      </c>
      <c r="G710" s="2">
        <f>VLOOKUP(B710,'PO with created By ASR'!A:C,3,FALSE)</f>
        <v>45679</v>
      </c>
      <c r="J710" s="2" t="str">
        <f>VLOOKUP(B710,'PO with created By ASR'!A:G,4,FALSE)</f>
        <v>Pankaj Kumar Mishra  -CR</v>
      </c>
      <c r="K710" s="2" t="e">
        <f>VLOOKUP(B710,'PO with created By ASR'!A:I,6,FALSE)</f>
        <v>#N/A</v>
      </c>
      <c r="L710" s="2" t="str">
        <f>VLOOKUP(B710,'PO with created By ASR'!A:J,7,FALSE)</f>
        <v>D - Delhi</v>
      </c>
      <c r="M710" s="2" t="str">
        <f>VLOOKUP(B710,'PO with created By ASR'!A:K,8,FALSE)</f>
        <v>Purchase Order-Del</v>
      </c>
      <c r="N710" t="s">
        <v>36</v>
      </c>
      <c r="P710" s="2">
        <v>6</v>
      </c>
    </row>
    <row r="711" s="2" customFormat="1" spans="1:16">
      <c r="A711" s="8"/>
      <c r="B711" s="9" t="s">
        <v>1526</v>
      </c>
      <c r="C711" s="10" t="s">
        <v>1055</v>
      </c>
      <c r="D711" s="11">
        <v>1</v>
      </c>
      <c r="E711" s="12">
        <v>3500</v>
      </c>
      <c r="F711" s="13">
        <v>3500</v>
      </c>
      <c r="G711" s="2">
        <f>VLOOKUP(B711,'PO with created By ASR'!A:C,3,FALSE)</f>
        <v>45679</v>
      </c>
      <c r="J711" s="2" t="str">
        <f>VLOOKUP(B711,'PO with created By ASR'!A:G,4,FALSE)</f>
        <v>Pankaj Kumar Mishra  -CR</v>
      </c>
      <c r="K711" s="2" t="e">
        <f>VLOOKUP(B711,'PO with created By ASR'!A:I,6,FALSE)</f>
        <v>#N/A</v>
      </c>
      <c r="L711" s="2" t="str">
        <f>VLOOKUP(B711,'PO with created By ASR'!A:J,7,FALSE)</f>
        <v>D - Delhi</v>
      </c>
      <c r="M711" s="2" t="str">
        <f>VLOOKUP(B711,'PO with created By ASR'!A:K,8,FALSE)</f>
        <v>Purchase Order-Del</v>
      </c>
      <c r="N711" t="s">
        <v>36</v>
      </c>
      <c r="P711" s="2">
        <v>6</v>
      </c>
    </row>
    <row r="712" s="2" customFormat="1" spans="1:16">
      <c r="A712" s="8"/>
      <c r="B712" s="9" t="s">
        <v>1527</v>
      </c>
      <c r="C712" s="10" t="s">
        <v>412</v>
      </c>
      <c r="D712" s="11">
        <v>1</v>
      </c>
      <c r="E712" s="12">
        <v>1300</v>
      </c>
      <c r="F712" s="13">
        <v>1300</v>
      </c>
      <c r="G712" s="2">
        <f>VLOOKUP(B712,'PO with created By ASR'!A:C,3,FALSE)</f>
        <v>45679</v>
      </c>
      <c r="J712" s="2" t="str">
        <f>VLOOKUP(B712,'PO with created By ASR'!A:G,4,FALSE)</f>
        <v>Pankaj Kumar Mishra  -CR</v>
      </c>
      <c r="K712" s="2" t="e">
        <f>VLOOKUP(B712,'PO with created By ASR'!A:I,6,FALSE)</f>
        <v>#N/A</v>
      </c>
      <c r="L712" s="2" t="str">
        <f>VLOOKUP(B712,'PO with created By ASR'!A:J,7,FALSE)</f>
        <v>D - Delhi</v>
      </c>
      <c r="M712" s="2" t="str">
        <f>VLOOKUP(B712,'PO with created By ASR'!A:K,8,FALSE)</f>
        <v>Purchase Order-Del</v>
      </c>
      <c r="N712" t="s">
        <v>36</v>
      </c>
      <c r="P712" s="2">
        <v>6</v>
      </c>
    </row>
    <row r="713" s="2" customFormat="1" spans="1:16">
      <c r="A713" s="8"/>
      <c r="B713" s="9" t="s">
        <v>1527</v>
      </c>
      <c r="C713" s="10" t="s">
        <v>233</v>
      </c>
      <c r="D713" s="11">
        <v>1</v>
      </c>
      <c r="E713" s="12">
        <v>132</v>
      </c>
      <c r="F713" s="13">
        <v>132</v>
      </c>
      <c r="G713" s="2">
        <f>VLOOKUP(B713,'PO with created By ASR'!A:C,3,FALSE)</f>
        <v>45679</v>
      </c>
      <c r="J713" s="2" t="str">
        <f>VLOOKUP(B713,'PO with created By ASR'!A:G,4,FALSE)</f>
        <v>Pankaj Kumar Mishra  -CR</v>
      </c>
      <c r="K713" s="2" t="e">
        <f>VLOOKUP(B713,'PO with created By ASR'!A:I,6,FALSE)</f>
        <v>#N/A</v>
      </c>
      <c r="L713" s="2" t="str">
        <f>VLOOKUP(B713,'PO with created By ASR'!A:J,7,FALSE)</f>
        <v>D - Delhi</v>
      </c>
      <c r="M713" s="2" t="str">
        <f>VLOOKUP(B713,'PO with created By ASR'!A:K,8,FALSE)</f>
        <v>Purchase Order-Del</v>
      </c>
      <c r="N713" t="s">
        <v>36</v>
      </c>
      <c r="P713" s="2">
        <v>6</v>
      </c>
    </row>
    <row r="714" s="2" customFormat="1" spans="1:16">
      <c r="A714" s="8"/>
      <c r="B714" s="9" t="s">
        <v>1528</v>
      </c>
      <c r="C714" s="10" t="s">
        <v>1055</v>
      </c>
      <c r="D714" s="11">
        <v>1</v>
      </c>
      <c r="E714" s="12">
        <v>100000</v>
      </c>
      <c r="F714" s="13">
        <v>100000</v>
      </c>
      <c r="G714" s="2">
        <f>VLOOKUP(B714,'PO with created By ASR'!A:C,3,FALSE)</f>
        <v>45679</v>
      </c>
      <c r="J714" s="2" t="str">
        <f>VLOOKUP(B714,'PO with created By ASR'!A:G,4,FALSE)</f>
        <v>R E Rogers India Pvt Ltd-Del</v>
      </c>
      <c r="K714" s="2" t="str">
        <f>VLOOKUP(B714,'PO with created By ASR'!A:I,6,FALSE)</f>
        <v>12332  R E Rogers India Pvt Ltd</v>
      </c>
      <c r="L714" s="2" t="str">
        <f>VLOOKUP(B714,'PO with created By ASR'!A:J,7,FALSE)</f>
        <v>D - Delhi</v>
      </c>
      <c r="M714" s="2" t="str">
        <f>VLOOKUP(B714,'PO with created By ASR'!A:K,8,FALSE)</f>
        <v>Purchase Order-Del</v>
      </c>
      <c r="N714" t="s">
        <v>36</v>
      </c>
      <c r="P714" s="2">
        <v>6</v>
      </c>
    </row>
    <row r="715" s="2" customFormat="1" spans="1:16">
      <c r="A715" s="8"/>
      <c r="B715" s="9" t="s">
        <v>1531</v>
      </c>
      <c r="C715" s="10" t="s">
        <v>126</v>
      </c>
      <c r="D715" s="11">
        <v>1</v>
      </c>
      <c r="E715" s="12">
        <v>7057.08</v>
      </c>
      <c r="F715" s="13">
        <v>7057.08</v>
      </c>
      <c r="G715" s="2">
        <f>VLOOKUP(B715,'PO with created By ASR'!A:C,3,FALSE)</f>
        <v>45679</v>
      </c>
      <c r="J715" s="2" t="str">
        <f>VLOOKUP(B715,'PO with created By ASR'!A:G,4,FALSE)</f>
        <v>Keval Rajyaguru  -CR</v>
      </c>
      <c r="K715" s="2" t="e">
        <f>VLOOKUP(B715,'PO with created By ASR'!A:I,6,FALSE)</f>
        <v>#N/A</v>
      </c>
      <c r="L715" s="2" t="str">
        <f>VLOOKUP(B715,'PO with created By ASR'!A:J,7,FALSE)</f>
        <v>A - Mumbai</v>
      </c>
      <c r="M715" s="2" t="str">
        <f>VLOOKUP(B715,'PO with created By ASR'!A:K,8,FALSE)</f>
        <v>Purchase Order-Mum</v>
      </c>
      <c r="N715" t="s">
        <v>36</v>
      </c>
      <c r="P715" s="2">
        <v>6</v>
      </c>
    </row>
    <row r="716" s="2" customFormat="1" spans="1:16">
      <c r="A716" s="8"/>
      <c r="B716" s="9" t="s">
        <v>1531</v>
      </c>
      <c r="C716" s="10" t="s">
        <v>412</v>
      </c>
      <c r="D716" s="11">
        <v>1</v>
      </c>
      <c r="E716" s="12">
        <v>2765</v>
      </c>
      <c r="F716" s="13">
        <v>2765</v>
      </c>
      <c r="G716" s="2">
        <f>VLOOKUP(B716,'PO with created By ASR'!A:C,3,FALSE)</f>
        <v>45679</v>
      </c>
      <c r="J716" s="2" t="str">
        <f>VLOOKUP(B716,'PO with created By ASR'!A:G,4,FALSE)</f>
        <v>Keval Rajyaguru  -CR</v>
      </c>
      <c r="K716" s="2" t="e">
        <f>VLOOKUP(B716,'PO with created By ASR'!A:I,6,FALSE)</f>
        <v>#N/A</v>
      </c>
      <c r="L716" s="2" t="str">
        <f>VLOOKUP(B716,'PO with created By ASR'!A:J,7,FALSE)</f>
        <v>A - Mumbai</v>
      </c>
      <c r="M716" s="2" t="str">
        <f>VLOOKUP(B716,'PO with created By ASR'!A:K,8,FALSE)</f>
        <v>Purchase Order-Mum</v>
      </c>
      <c r="N716" t="s">
        <v>36</v>
      </c>
      <c r="P716" s="2">
        <v>6</v>
      </c>
    </row>
    <row r="717" s="2" customFormat="1" spans="1:16">
      <c r="A717" s="8"/>
      <c r="B717" s="9" t="s">
        <v>1533</v>
      </c>
      <c r="C717" s="10" t="s">
        <v>126</v>
      </c>
      <c r="D717" s="11">
        <v>1</v>
      </c>
      <c r="E717" s="12">
        <v>409</v>
      </c>
      <c r="F717" s="13">
        <v>409</v>
      </c>
      <c r="G717" s="2">
        <f>VLOOKUP(B717,'PO with created By ASR'!A:C,3,FALSE)</f>
        <v>45679</v>
      </c>
      <c r="J717" s="2" t="str">
        <f>VLOOKUP(B717,'PO with created By ASR'!A:G,4,FALSE)</f>
        <v>Mohammad Danish  -CR</v>
      </c>
      <c r="K717" s="2" t="str">
        <f>VLOOKUP(B717,'PO with created By ASR'!A:I,6,FALSE)</f>
        <v>10757 Mohammad Danish</v>
      </c>
      <c r="L717" s="2" t="str">
        <f>VLOOKUP(B717,'PO with created By ASR'!A:J,7,FALSE)</f>
        <v>A - Mumbai</v>
      </c>
      <c r="M717" s="2" t="str">
        <f>VLOOKUP(B717,'PO with created By ASR'!A:K,8,FALSE)</f>
        <v>Purchase Order-Mum</v>
      </c>
      <c r="N717" t="s">
        <v>36</v>
      </c>
      <c r="P717" s="2">
        <v>6</v>
      </c>
    </row>
    <row r="718" s="2" customFormat="1" spans="1:16">
      <c r="A718" s="8"/>
      <c r="B718" s="9" t="s">
        <v>1533</v>
      </c>
      <c r="C718" s="10" t="s">
        <v>412</v>
      </c>
      <c r="D718" s="11">
        <v>1</v>
      </c>
      <c r="E718" s="12">
        <v>250</v>
      </c>
      <c r="F718" s="13">
        <v>250</v>
      </c>
      <c r="G718" s="2">
        <f>VLOOKUP(B718,'PO with created By ASR'!A:C,3,FALSE)</f>
        <v>45679</v>
      </c>
      <c r="J718" s="2" t="str">
        <f>VLOOKUP(B718,'PO with created By ASR'!A:G,4,FALSE)</f>
        <v>Mohammad Danish  -CR</v>
      </c>
      <c r="K718" s="2" t="str">
        <f>VLOOKUP(B718,'PO with created By ASR'!A:I,6,FALSE)</f>
        <v>10757 Mohammad Danish</v>
      </c>
      <c r="L718" s="2" t="str">
        <f>VLOOKUP(B718,'PO with created By ASR'!A:J,7,FALSE)</f>
        <v>A - Mumbai</v>
      </c>
      <c r="M718" s="2" t="str">
        <f>VLOOKUP(B718,'PO with created By ASR'!A:K,8,FALSE)</f>
        <v>Purchase Order-Mum</v>
      </c>
      <c r="N718" t="s">
        <v>36</v>
      </c>
      <c r="P718" s="2">
        <v>6</v>
      </c>
    </row>
    <row r="719" s="2" customFormat="1" spans="1:16">
      <c r="A719" s="8"/>
      <c r="B719" s="9" t="s">
        <v>1534</v>
      </c>
      <c r="C719" s="10" t="s">
        <v>196</v>
      </c>
      <c r="D719" s="11">
        <v>1</v>
      </c>
      <c r="E719" s="12">
        <v>126617.5</v>
      </c>
      <c r="F719" s="13">
        <v>126617.5</v>
      </c>
      <c r="G719" s="2">
        <f>VLOOKUP(B719,'PO with created By ASR'!A:C,3,FALSE)</f>
        <v>45679</v>
      </c>
      <c r="J719" s="2" t="str">
        <f>VLOOKUP(B719,'PO with created By ASR'!A:G,4,FALSE)</f>
        <v>Noaman Digital Partnership Firm-Mum</v>
      </c>
      <c r="K719" s="2" t="e">
        <f>VLOOKUP(B719,'PO with created By ASR'!A:I,6,FALSE)</f>
        <v>#N/A</v>
      </c>
      <c r="L719" s="2" t="str">
        <f>VLOOKUP(B719,'PO with created By ASR'!A:J,7,FALSE)</f>
        <v>A - Mumbai</v>
      </c>
      <c r="M719" s="2" t="str">
        <f>VLOOKUP(B719,'PO with created By ASR'!A:K,8,FALSE)</f>
        <v>Purchase Order-Mum</v>
      </c>
      <c r="N719" t="s">
        <v>36</v>
      </c>
      <c r="P719" s="2">
        <v>6</v>
      </c>
    </row>
    <row r="720" s="2" customFormat="1" spans="1:16">
      <c r="A720" s="8"/>
      <c r="B720" s="9" t="s">
        <v>1536</v>
      </c>
      <c r="C720" s="10" t="s">
        <v>317</v>
      </c>
      <c r="D720" s="11">
        <v>1</v>
      </c>
      <c r="E720" s="12">
        <v>365000</v>
      </c>
      <c r="F720" s="13">
        <v>365000</v>
      </c>
      <c r="G720" s="2">
        <f>VLOOKUP(B720,'PO with created By ASR'!A:C,3,FALSE)</f>
        <v>45679</v>
      </c>
      <c r="J720" s="2" t="str">
        <f>VLOOKUP(B720,'PO with created By ASR'!A:G,4,FALSE)</f>
        <v>Neowiz Events-Mum</v>
      </c>
      <c r="K720" s="2" t="str">
        <f>VLOOKUP(B720,'PO with created By ASR'!A:I,6,FALSE)</f>
        <v>12193 Neowiz Events</v>
      </c>
      <c r="L720" s="2" t="str">
        <f>VLOOKUP(B720,'PO with created By ASR'!A:J,7,FALSE)</f>
        <v>A - Mumbai</v>
      </c>
      <c r="M720" s="2" t="str">
        <f>VLOOKUP(B720,'PO with created By ASR'!A:K,8,FALSE)</f>
        <v>Purchase Order-Mum</v>
      </c>
      <c r="N720" t="s">
        <v>36</v>
      </c>
      <c r="P720" s="2">
        <v>6</v>
      </c>
    </row>
    <row r="721" s="2" customFormat="1" spans="1:16">
      <c r="A721" s="8"/>
      <c r="B721" s="9" t="s">
        <v>1539</v>
      </c>
      <c r="C721" s="10" t="s">
        <v>126</v>
      </c>
      <c r="D721" s="11">
        <v>1</v>
      </c>
      <c r="E721" s="12">
        <v>4532</v>
      </c>
      <c r="F721" s="13">
        <v>4532</v>
      </c>
      <c r="G721" s="2">
        <f>VLOOKUP(B721,'PO with created By ASR'!A:C,3,FALSE)</f>
        <v>45679</v>
      </c>
      <c r="J721" s="2" t="str">
        <f>VLOOKUP(B721,'PO with created By ASR'!A:G,4,FALSE)</f>
        <v>Sagar Dixit  -CR</v>
      </c>
      <c r="K721" s="2" t="e">
        <f>VLOOKUP(B721,'PO with created By ASR'!A:I,6,FALSE)</f>
        <v>#N/A</v>
      </c>
      <c r="L721" s="2" t="str">
        <f>VLOOKUP(B721,'PO with created By ASR'!A:J,7,FALSE)</f>
        <v>A - Mumbai</v>
      </c>
      <c r="M721" s="2" t="str">
        <f>VLOOKUP(B721,'PO with created By ASR'!A:K,8,FALSE)</f>
        <v>Purchase Order-Mum</v>
      </c>
      <c r="N721" t="s">
        <v>36</v>
      </c>
      <c r="P721" s="2">
        <v>6</v>
      </c>
    </row>
    <row r="722" s="2" customFormat="1" spans="1:16">
      <c r="A722" s="8"/>
      <c r="B722" s="9" t="s">
        <v>1539</v>
      </c>
      <c r="C722" s="10" t="s">
        <v>412</v>
      </c>
      <c r="D722" s="11">
        <v>1</v>
      </c>
      <c r="E722" s="12">
        <v>7071.25</v>
      </c>
      <c r="F722" s="13">
        <v>7071.25</v>
      </c>
      <c r="G722" s="2">
        <f>VLOOKUP(B722,'PO with created By ASR'!A:C,3,FALSE)</f>
        <v>45679</v>
      </c>
      <c r="J722" s="2" t="str">
        <f>VLOOKUP(B722,'PO with created By ASR'!A:G,4,FALSE)</f>
        <v>Sagar Dixit  -CR</v>
      </c>
      <c r="K722" s="2" t="e">
        <f>VLOOKUP(B722,'PO with created By ASR'!A:I,6,FALSE)</f>
        <v>#N/A</v>
      </c>
      <c r="L722" s="2" t="str">
        <f>VLOOKUP(B722,'PO with created By ASR'!A:J,7,FALSE)</f>
        <v>A - Mumbai</v>
      </c>
      <c r="M722" s="2" t="str">
        <f>VLOOKUP(B722,'PO with created By ASR'!A:K,8,FALSE)</f>
        <v>Purchase Order-Mum</v>
      </c>
      <c r="N722" t="s">
        <v>36</v>
      </c>
      <c r="P722" s="2">
        <v>6</v>
      </c>
    </row>
    <row r="723" s="2" customFormat="1" spans="1:16">
      <c r="A723" s="8"/>
      <c r="B723" s="9" t="s">
        <v>1539</v>
      </c>
      <c r="C723" s="10" t="s">
        <v>61</v>
      </c>
      <c r="D723" s="11">
        <v>1</v>
      </c>
      <c r="E723" s="12">
        <v>11496</v>
      </c>
      <c r="F723" s="13">
        <v>11496</v>
      </c>
      <c r="G723" s="2">
        <f>VLOOKUP(B723,'PO with created By ASR'!A:C,3,FALSE)</f>
        <v>45679</v>
      </c>
      <c r="J723" s="2" t="str">
        <f>VLOOKUP(B723,'PO with created By ASR'!A:G,4,FALSE)</f>
        <v>Sagar Dixit  -CR</v>
      </c>
      <c r="K723" s="2" t="e">
        <f>VLOOKUP(B723,'PO with created By ASR'!A:I,6,FALSE)</f>
        <v>#N/A</v>
      </c>
      <c r="L723" s="2" t="str">
        <f>VLOOKUP(B723,'PO with created By ASR'!A:J,7,FALSE)</f>
        <v>A - Mumbai</v>
      </c>
      <c r="M723" s="2" t="str">
        <f>VLOOKUP(B723,'PO with created By ASR'!A:K,8,FALSE)</f>
        <v>Purchase Order-Mum</v>
      </c>
      <c r="N723" t="s">
        <v>36</v>
      </c>
      <c r="P723" s="2">
        <v>6</v>
      </c>
    </row>
    <row r="724" s="2" customFormat="1" spans="1:16">
      <c r="A724" s="8"/>
      <c r="B724" s="9" t="s">
        <v>1541</v>
      </c>
      <c r="C724" s="10" t="s">
        <v>61</v>
      </c>
      <c r="D724" s="11">
        <v>1</v>
      </c>
      <c r="E724" s="12">
        <v>3274</v>
      </c>
      <c r="F724" s="13">
        <v>3274</v>
      </c>
      <c r="G724" s="2">
        <f>VLOOKUP(B724,'PO with created By ASR'!A:C,3,FALSE)</f>
        <v>45679</v>
      </c>
      <c r="J724" s="2" t="str">
        <f>VLOOKUP(B724,'PO with created By ASR'!A:G,4,FALSE)</f>
        <v>Hazarat Ansari -CR</v>
      </c>
      <c r="K724" s="2" t="e">
        <f>VLOOKUP(B724,'PO with created By ASR'!A:I,6,FALSE)</f>
        <v>#N/A</v>
      </c>
      <c r="L724" s="2" t="str">
        <f>VLOOKUP(B724,'PO with created By ASR'!A:J,7,FALSE)</f>
        <v>A - Mumbai</v>
      </c>
      <c r="M724" s="2" t="str">
        <f>VLOOKUP(B724,'PO with created By ASR'!A:K,8,FALSE)</f>
        <v>Purchase Order-Mum</v>
      </c>
      <c r="N724" t="s">
        <v>36</v>
      </c>
      <c r="P724" s="2">
        <v>6</v>
      </c>
    </row>
    <row r="725" s="2" customFormat="1" spans="1:16">
      <c r="A725" s="8"/>
      <c r="B725" s="9" t="s">
        <v>1541</v>
      </c>
      <c r="C725" s="10" t="s">
        <v>126</v>
      </c>
      <c r="D725" s="11">
        <v>1</v>
      </c>
      <c r="E725" s="12">
        <v>2710</v>
      </c>
      <c r="F725" s="13">
        <v>2710</v>
      </c>
      <c r="G725" s="2">
        <f>VLOOKUP(B725,'PO with created By ASR'!A:C,3,FALSE)</f>
        <v>45679</v>
      </c>
      <c r="J725" s="2" t="str">
        <f>VLOOKUP(B725,'PO with created By ASR'!A:G,4,FALSE)</f>
        <v>Hazarat Ansari -CR</v>
      </c>
      <c r="K725" s="2" t="e">
        <f>VLOOKUP(B725,'PO with created By ASR'!A:I,6,FALSE)</f>
        <v>#N/A</v>
      </c>
      <c r="L725" s="2" t="str">
        <f>VLOOKUP(B725,'PO with created By ASR'!A:J,7,FALSE)</f>
        <v>A - Mumbai</v>
      </c>
      <c r="M725" s="2" t="str">
        <f>VLOOKUP(B725,'PO with created By ASR'!A:K,8,FALSE)</f>
        <v>Purchase Order-Mum</v>
      </c>
      <c r="N725" t="s">
        <v>36</v>
      </c>
      <c r="P725" s="2">
        <v>6</v>
      </c>
    </row>
    <row r="726" s="2" customFormat="1" spans="1:16">
      <c r="A726" s="8"/>
      <c r="B726" s="9" t="s">
        <v>1541</v>
      </c>
      <c r="C726" s="10" t="s">
        <v>412</v>
      </c>
      <c r="D726" s="11">
        <v>1</v>
      </c>
      <c r="E726" s="12">
        <v>5066</v>
      </c>
      <c r="F726" s="13">
        <v>5066</v>
      </c>
      <c r="G726" s="2">
        <f>VLOOKUP(B726,'PO with created By ASR'!A:C,3,FALSE)</f>
        <v>45679</v>
      </c>
      <c r="J726" s="2" t="str">
        <f>VLOOKUP(B726,'PO with created By ASR'!A:G,4,FALSE)</f>
        <v>Hazarat Ansari -CR</v>
      </c>
      <c r="K726" s="2" t="e">
        <f>VLOOKUP(B726,'PO with created By ASR'!A:I,6,FALSE)</f>
        <v>#N/A</v>
      </c>
      <c r="L726" s="2" t="str">
        <f>VLOOKUP(B726,'PO with created By ASR'!A:J,7,FALSE)</f>
        <v>A - Mumbai</v>
      </c>
      <c r="M726" s="2" t="str">
        <f>VLOOKUP(B726,'PO with created By ASR'!A:K,8,FALSE)</f>
        <v>Purchase Order-Mum</v>
      </c>
      <c r="N726" t="s">
        <v>36</v>
      </c>
      <c r="P726" s="2">
        <v>6</v>
      </c>
    </row>
    <row r="727" s="2" customFormat="1" spans="1:16">
      <c r="A727" s="8"/>
      <c r="B727" s="9" t="s">
        <v>1543</v>
      </c>
      <c r="C727" s="10" t="s">
        <v>126</v>
      </c>
      <c r="D727" s="11">
        <v>1</v>
      </c>
      <c r="E727" s="12">
        <v>2345</v>
      </c>
      <c r="F727" s="13">
        <v>2345</v>
      </c>
      <c r="G727" s="2">
        <f>VLOOKUP(B727,'PO with created By ASR'!A:C,3,FALSE)</f>
        <v>45679</v>
      </c>
      <c r="J727" s="2" t="str">
        <f>VLOOKUP(B727,'PO with created By ASR'!A:G,4,FALSE)</f>
        <v>Ghanshyam Asolkar -CR</v>
      </c>
      <c r="K727" s="2" t="e">
        <f>VLOOKUP(B727,'PO with created By ASR'!A:I,6,FALSE)</f>
        <v>#N/A</v>
      </c>
      <c r="L727" s="2" t="str">
        <f>VLOOKUP(B727,'PO with created By ASR'!A:J,7,FALSE)</f>
        <v>A - Mumbai</v>
      </c>
      <c r="M727" s="2" t="str">
        <f>VLOOKUP(B727,'PO with created By ASR'!A:K,8,FALSE)</f>
        <v>Purchase Order-Mum</v>
      </c>
      <c r="N727" t="s">
        <v>36</v>
      </c>
      <c r="P727" s="2">
        <v>6</v>
      </c>
    </row>
    <row r="728" s="2" customFormat="1" spans="1:16">
      <c r="A728" s="8"/>
      <c r="B728" s="9" t="s">
        <v>1543</v>
      </c>
      <c r="C728" s="10" t="s">
        <v>412</v>
      </c>
      <c r="D728" s="11">
        <v>1</v>
      </c>
      <c r="E728" s="12">
        <v>250</v>
      </c>
      <c r="F728" s="13">
        <v>250</v>
      </c>
      <c r="G728" s="2">
        <f>VLOOKUP(B728,'PO with created By ASR'!A:C,3,FALSE)</f>
        <v>45679</v>
      </c>
      <c r="J728" s="2" t="str">
        <f>VLOOKUP(B728,'PO with created By ASR'!A:G,4,FALSE)</f>
        <v>Ghanshyam Asolkar -CR</v>
      </c>
      <c r="K728" s="2" t="e">
        <f>VLOOKUP(B728,'PO with created By ASR'!A:I,6,FALSE)</f>
        <v>#N/A</v>
      </c>
      <c r="L728" s="2" t="str">
        <f>VLOOKUP(B728,'PO with created By ASR'!A:J,7,FALSE)</f>
        <v>A - Mumbai</v>
      </c>
      <c r="M728" s="2" t="str">
        <f>VLOOKUP(B728,'PO with created By ASR'!A:K,8,FALSE)</f>
        <v>Purchase Order-Mum</v>
      </c>
      <c r="N728" t="s">
        <v>36</v>
      </c>
      <c r="P728" s="2">
        <v>6</v>
      </c>
    </row>
    <row r="729" s="2" customFormat="1" spans="1:16">
      <c r="A729" s="8"/>
      <c r="B729" s="9" t="s">
        <v>1545</v>
      </c>
      <c r="C729" s="10" t="s">
        <v>317</v>
      </c>
      <c r="D729" s="11">
        <v>1</v>
      </c>
      <c r="E729" s="12">
        <v>890000</v>
      </c>
      <c r="F729" s="13">
        <v>890000</v>
      </c>
      <c r="G729" s="2">
        <f>VLOOKUP(B729,'PO with created By ASR'!A:C,3,FALSE)</f>
        <v>45679</v>
      </c>
      <c r="J729" s="2" t="str">
        <f>VLOOKUP(B729,'PO with created By ASR'!A:G,4,FALSE)</f>
        <v>Rak Lead Events-Mum</v>
      </c>
      <c r="K729" s="2" t="str">
        <f>VLOOKUP(B729,'PO with created By ASR'!A:I,6,FALSE)</f>
        <v>12317 Rak Lead Events</v>
      </c>
      <c r="L729" s="2" t="str">
        <f>VLOOKUP(B729,'PO with created By ASR'!A:J,7,FALSE)</f>
        <v>A - Mumbai</v>
      </c>
      <c r="M729" s="2" t="str">
        <f>VLOOKUP(B729,'PO with created By ASR'!A:K,8,FALSE)</f>
        <v>Purchase Order-Mum</v>
      </c>
      <c r="N729" t="s">
        <v>36</v>
      </c>
      <c r="P729" s="2">
        <v>6</v>
      </c>
    </row>
    <row r="730" s="2" customFormat="1" spans="1:16">
      <c r="A730" s="8"/>
      <c r="B730" s="9" t="s">
        <v>1546</v>
      </c>
      <c r="C730" s="10" t="s">
        <v>401</v>
      </c>
      <c r="D730" s="11">
        <v>1</v>
      </c>
      <c r="E730" s="12">
        <v>55000</v>
      </c>
      <c r="F730" s="13">
        <v>55000</v>
      </c>
      <c r="G730" s="2">
        <f>VLOOKUP(B730,'PO with created By ASR'!A:C,3,FALSE)</f>
        <v>45679</v>
      </c>
      <c r="J730" s="2" t="str">
        <f>VLOOKUP(B730,'PO with created By ASR'!A:G,4,FALSE)</f>
        <v>Shree Samarth Krupa Creation-Mum</v>
      </c>
      <c r="K730" s="2" t="str">
        <f>VLOOKUP(B730,'PO with created By ASR'!A:I,6,FALSE)</f>
        <v>10084 Shree Samarth Krupa Creation</v>
      </c>
      <c r="L730" s="2" t="str">
        <f>VLOOKUP(B730,'PO with created By ASR'!A:J,7,FALSE)</f>
        <v>A - Mumbai</v>
      </c>
      <c r="M730" s="2" t="str">
        <f>VLOOKUP(B730,'PO with created By ASR'!A:K,8,FALSE)</f>
        <v>Purchase Order-Mum</v>
      </c>
      <c r="N730" t="s">
        <v>36</v>
      </c>
      <c r="P730" s="2">
        <v>6</v>
      </c>
    </row>
    <row r="731" s="2" customFormat="1" spans="1:16">
      <c r="A731" s="8"/>
      <c r="B731" s="9" t="s">
        <v>1550</v>
      </c>
      <c r="C731" s="10" t="s">
        <v>250</v>
      </c>
      <c r="D731" s="11">
        <v>1</v>
      </c>
      <c r="E731" s="12">
        <v>25000</v>
      </c>
      <c r="F731" s="13">
        <v>25000</v>
      </c>
      <c r="G731" s="2">
        <f>VLOOKUP(B731,'PO with created By ASR'!A:C,3,FALSE)</f>
        <v>45679</v>
      </c>
      <c r="J731" s="2" t="str">
        <f>VLOOKUP(B731,'PO with created By ASR'!A:G,4,FALSE)</f>
        <v>Sakshi Kaushal Patwa-Mum</v>
      </c>
      <c r="K731" s="2" t="str">
        <f>VLOOKUP(B731,'PO with created By ASR'!A:I,6,FALSE)</f>
        <v>12897 Sakshi Kaushal Patwa</v>
      </c>
      <c r="L731" s="2" t="str">
        <f>VLOOKUP(B731,'PO with created By ASR'!A:J,7,FALSE)</f>
        <v>A - Mumbai</v>
      </c>
      <c r="M731" s="2" t="str">
        <f>VLOOKUP(B731,'PO with created By ASR'!A:K,8,FALSE)</f>
        <v>Purchase Order-Mum</v>
      </c>
      <c r="N731" t="s">
        <v>36</v>
      </c>
      <c r="P731" s="2">
        <v>6</v>
      </c>
    </row>
    <row r="732" s="2" customFormat="1" spans="1:16">
      <c r="A732" s="8"/>
      <c r="B732" s="9" t="s">
        <v>1555</v>
      </c>
      <c r="C732" s="10" t="s">
        <v>803</v>
      </c>
      <c r="D732" s="11">
        <v>1</v>
      </c>
      <c r="E732" s="12">
        <v>466.05</v>
      </c>
      <c r="F732" s="13">
        <v>466.05</v>
      </c>
      <c r="G732" s="2">
        <f>VLOOKUP(B732,'PO with created By ASR'!A:C,3,FALSE)</f>
        <v>45679</v>
      </c>
      <c r="J732" s="2" t="str">
        <f>VLOOKUP(B732,'PO with created By ASR'!A:G,4,FALSE)</f>
        <v>Meta Platforms Ireland Ltd-Mum</v>
      </c>
      <c r="K732" s="2" t="str">
        <f>VLOOKUP(B732,'PO with created By ASR'!A:I,6,FALSE)</f>
        <v>11580  Meta Platforms Ireland Ltd</v>
      </c>
      <c r="L732" s="2" t="str">
        <f>VLOOKUP(B732,'PO with created By ASR'!A:J,7,FALSE)</f>
        <v>A - Mumbai</v>
      </c>
      <c r="M732" s="2" t="str">
        <f>VLOOKUP(B732,'PO with created By ASR'!A:K,8,FALSE)</f>
        <v>Purchase Order-Mum</v>
      </c>
      <c r="N732" t="s">
        <v>36</v>
      </c>
      <c r="P732" s="2">
        <v>6</v>
      </c>
    </row>
    <row r="733" s="2" customFormat="1" spans="1:16">
      <c r="A733" s="8"/>
      <c r="B733" s="9" t="s">
        <v>1559</v>
      </c>
      <c r="C733" s="10" t="s">
        <v>787</v>
      </c>
      <c r="D733" s="11">
        <v>1</v>
      </c>
      <c r="E733" s="12">
        <v>73626</v>
      </c>
      <c r="F733" s="13">
        <v>73626</v>
      </c>
      <c r="G733" s="2">
        <f>VLOOKUP(B733,'PO with created By ASR'!A:C,3,FALSE)</f>
        <v>45679</v>
      </c>
      <c r="J733" s="2" t="str">
        <f>VLOOKUP(B733,'PO with created By ASR'!A:G,4,FALSE)</f>
        <v>Ushta Te Consultancy Services LLP-Mum</v>
      </c>
      <c r="K733" s="2" t="str">
        <f>VLOOKUP(B733,'PO with created By ASR'!A:I,6,FALSE)</f>
        <v>12575 Ushta Te Consultancy Services LLP</v>
      </c>
      <c r="L733" s="2" t="str">
        <f>VLOOKUP(B733,'PO with created By ASR'!A:J,7,FALSE)</f>
        <v>A - Mumbai</v>
      </c>
      <c r="M733" s="2" t="str">
        <f>VLOOKUP(B733,'PO with created By ASR'!A:K,8,FALSE)</f>
        <v>Purchase Order-Mum</v>
      </c>
      <c r="N733" t="s">
        <v>36</v>
      </c>
      <c r="P733" s="2">
        <v>6</v>
      </c>
    </row>
    <row r="734" s="2" customFormat="1" spans="1:16">
      <c r="A734" s="8"/>
      <c r="B734" s="9" t="s">
        <v>1560</v>
      </c>
      <c r="C734" s="10" t="s">
        <v>347</v>
      </c>
      <c r="D734" s="11">
        <v>1</v>
      </c>
      <c r="E734" s="12">
        <v>10000</v>
      </c>
      <c r="F734" s="13">
        <v>10000</v>
      </c>
      <c r="G734" s="2">
        <f>VLOOKUP(B734,'PO with created By ASR'!A:C,3,FALSE)</f>
        <v>45679</v>
      </c>
      <c r="J734" s="2" t="str">
        <f>VLOOKUP(B734,'PO with created By ASR'!A:G,4,FALSE)</f>
        <v>Dinesh Kanojia (Cr)-Mum</v>
      </c>
      <c r="K734" s="2" t="e">
        <f>VLOOKUP(B734,'PO with created By ASR'!A:I,6,FALSE)</f>
        <v>#N/A</v>
      </c>
      <c r="L734" s="2" t="str">
        <f>VLOOKUP(B734,'PO with created By ASR'!A:J,7,FALSE)</f>
        <v>A - Mumbai</v>
      </c>
      <c r="M734" s="2" t="str">
        <f>VLOOKUP(B734,'PO with created By ASR'!A:K,8,FALSE)</f>
        <v>Purchase Order-Mum</v>
      </c>
      <c r="N734" t="s">
        <v>36</v>
      </c>
      <c r="P734" s="2">
        <v>6</v>
      </c>
    </row>
    <row r="735" s="2" customFormat="1" spans="1:16">
      <c r="A735" s="8"/>
      <c r="B735" s="9" t="s">
        <v>1562</v>
      </c>
      <c r="C735" s="10" t="s">
        <v>347</v>
      </c>
      <c r="D735" s="11">
        <v>1</v>
      </c>
      <c r="E735" s="12">
        <v>40000</v>
      </c>
      <c r="F735" s="13">
        <v>40000</v>
      </c>
      <c r="G735" s="2">
        <f>VLOOKUP(B735,'PO with created By ASR'!A:C,3,FALSE)</f>
        <v>45679</v>
      </c>
      <c r="J735" s="2" t="str">
        <f>VLOOKUP(B735,'PO with created By ASR'!A:G,4,FALSE)</f>
        <v>Wellness Associates Fitness Solutions &amp; Management Pvt Ltd-Mum</v>
      </c>
      <c r="K735" s="2" t="str">
        <f>VLOOKUP(B735,'PO with created By ASR'!A:I,6,FALSE)</f>
        <v>12617  Wellness Associates Fitness Solutions &amp; Management Pvt Ltd</v>
      </c>
      <c r="L735" s="2" t="str">
        <f>VLOOKUP(B735,'PO with created By ASR'!A:J,7,FALSE)</f>
        <v>A - Mumbai</v>
      </c>
      <c r="M735" s="2" t="str">
        <f>VLOOKUP(B735,'PO with created By ASR'!A:K,8,FALSE)</f>
        <v>Purchase Order-Mum</v>
      </c>
      <c r="N735" t="s">
        <v>36</v>
      </c>
      <c r="P735" s="2">
        <v>6</v>
      </c>
    </row>
    <row r="736" s="2" customFormat="1" spans="1:16">
      <c r="A736" s="8"/>
      <c r="B736" s="9" t="s">
        <v>1567</v>
      </c>
      <c r="C736" s="10" t="s">
        <v>1239</v>
      </c>
      <c r="D736" s="11">
        <v>1</v>
      </c>
      <c r="E736" s="12">
        <v>100000</v>
      </c>
      <c r="F736" s="13">
        <v>100000</v>
      </c>
      <c r="G736" s="2">
        <f>VLOOKUP(B736,'PO with created By ASR'!A:C,3,FALSE)</f>
        <v>45679</v>
      </c>
      <c r="J736" s="2" t="str">
        <f>VLOOKUP(B736,'PO with created By ASR'!A:G,4,FALSE)</f>
        <v>K Raheja IT Park (Hyderabad) Ltd (OTV)-Blr</v>
      </c>
      <c r="K736" s="2" t="str">
        <f>VLOOKUP(B736,'PO with created By ASR'!A:I,6,FALSE)</f>
        <v>12899  K Raheja IT Park (Hyderabad) Ltd (OTV)</v>
      </c>
      <c r="L736" s="2" t="str">
        <f>VLOOKUP(B736,'PO with created By ASR'!A:J,7,FALSE)</f>
        <v>A - Mumbai</v>
      </c>
      <c r="M736" s="2" t="str">
        <f>VLOOKUP(B736,'PO with created By ASR'!A:K,8,FALSE)</f>
        <v>Purchase Order-Mum</v>
      </c>
      <c r="N736" t="s">
        <v>36</v>
      </c>
      <c r="P736" s="2">
        <v>6</v>
      </c>
    </row>
    <row r="737" s="2" customFormat="1" spans="1:16">
      <c r="A737" s="8"/>
      <c r="B737" s="9" t="s">
        <v>1567</v>
      </c>
      <c r="C737" s="10" t="s">
        <v>676</v>
      </c>
      <c r="D737" s="11">
        <v>1</v>
      </c>
      <c r="E737" s="12">
        <v>9000</v>
      </c>
      <c r="F737" s="13">
        <v>9000</v>
      </c>
      <c r="G737" s="2">
        <f>VLOOKUP(B737,'PO with created By ASR'!A:C,3,FALSE)</f>
        <v>45679</v>
      </c>
      <c r="J737" s="2" t="str">
        <f>VLOOKUP(B737,'PO with created By ASR'!A:G,4,FALSE)</f>
        <v>K Raheja IT Park (Hyderabad) Ltd (OTV)-Blr</v>
      </c>
      <c r="K737" s="2" t="str">
        <f>VLOOKUP(B737,'PO with created By ASR'!A:I,6,FALSE)</f>
        <v>12899  K Raheja IT Park (Hyderabad) Ltd (OTV)</v>
      </c>
      <c r="L737" s="2" t="str">
        <f>VLOOKUP(B737,'PO with created By ASR'!A:J,7,FALSE)</f>
        <v>A - Mumbai</v>
      </c>
      <c r="M737" s="2" t="str">
        <f>VLOOKUP(B737,'PO with created By ASR'!A:K,8,FALSE)</f>
        <v>Purchase Order-Mum</v>
      </c>
      <c r="N737" t="s">
        <v>36</v>
      </c>
      <c r="P737" s="2">
        <v>6</v>
      </c>
    </row>
    <row r="738" s="2" customFormat="1" spans="1:16">
      <c r="A738" s="8"/>
      <c r="B738" s="9" t="s">
        <v>1567</v>
      </c>
      <c r="C738" s="10" t="s">
        <v>4365</v>
      </c>
      <c r="D738" s="11">
        <v>1</v>
      </c>
      <c r="E738" s="12">
        <v>9000</v>
      </c>
      <c r="F738" s="13">
        <v>9000</v>
      </c>
      <c r="G738" s="2">
        <f>VLOOKUP(B738,'PO with created By ASR'!A:C,3,FALSE)</f>
        <v>45679</v>
      </c>
      <c r="J738" s="2" t="str">
        <f>VLOOKUP(B738,'PO with created By ASR'!A:G,4,FALSE)</f>
        <v>K Raheja IT Park (Hyderabad) Ltd (OTV)-Blr</v>
      </c>
      <c r="K738" s="2" t="str">
        <f>VLOOKUP(B738,'PO with created By ASR'!A:I,6,FALSE)</f>
        <v>12899  K Raheja IT Park (Hyderabad) Ltd (OTV)</v>
      </c>
      <c r="L738" s="2" t="str">
        <f>VLOOKUP(B738,'PO with created By ASR'!A:J,7,FALSE)</f>
        <v>A - Mumbai</v>
      </c>
      <c r="M738" s="2" t="str">
        <f>VLOOKUP(B738,'PO with created By ASR'!A:K,8,FALSE)</f>
        <v>Purchase Order-Mum</v>
      </c>
      <c r="N738" t="s">
        <v>36</v>
      </c>
      <c r="P738" s="2">
        <v>6</v>
      </c>
    </row>
    <row r="739" s="2" customFormat="1" spans="1:16">
      <c r="A739" s="8"/>
      <c r="B739" s="9" t="s">
        <v>1570</v>
      </c>
      <c r="C739" s="10" t="s">
        <v>140</v>
      </c>
      <c r="D739" s="11">
        <v>1</v>
      </c>
      <c r="E739" s="12">
        <v>2800</v>
      </c>
      <c r="F739" s="13">
        <v>2800</v>
      </c>
      <c r="G739" s="2">
        <f>VLOOKUP(B739,'PO with created By ASR'!A:C,3,FALSE)</f>
        <v>45680</v>
      </c>
      <c r="J739" s="2" t="str">
        <f>VLOOKUP(B739,'PO with created By ASR'!A:G,4,FALSE)</f>
        <v>Megascule-Blr</v>
      </c>
      <c r="K739" s="2" t="e">
        <f>VLOOKUP(B739,'PO with created By ASR'!A:I,6,FALSE)</f>
        <v>#N/A</v>
      </c>
      <c r="L739" s="2" t="str">
        <f>VLOOKUP(B739,'PO with created By ASR'!A:J,7,FALSE)</f>
        <v>B - Bangalore</v>
      </c>
      <c r="M739" s="2" t="str">
        <f>VLOOKUP(B739,'PO with created By ASR'!A:K,8,FALSE)</f>
        <v>Purchase Order-Blr</v>
      </c>
      <c r="N739" t="s">
        <v>36</v>
      </c>
      <c r="P739" s="2">
        <v>6</v>
      </c>
    </row>
    <row r="740" s="2" customFormat="1" spans="1:16">
      <c r="A740" s="8"/>
      <c r="B740" s="9" t="s">
        <v>1571</v>
      </c>
      <c r="C740" s="10" t="s">
        <v>1572</v>
      </c>
      <c r="D740" s="11">
        <v>1</v>
      </c>
      <c r="E740" s="12">
        <v>23700</v>
      </c>
      <c r="F740" s="13">
        <v>23700</v>
      </c>
      <c r="G740" s="2">
        <f>VLOOKUP(B740,'PO with created By ASR'!A:C,3,FALSE)</f>
        <v>45680</v>
      </c>
      <c r="J740" s="2" t="str">
        <f>VLOOKUP(B740,'PO with created By ASR'!A:G,4,FALSE)</f>
        <v>Infutech Solutions-Blr</v>
      </c>
      <c r="K740" s="2" t="str">
        <f>VLOOKUP(B740,'PO with created By ASR'!A:I,6,FALSE)</f>
        <v>12027 Infutech Solutions</v>
      </c>
      <c r="L740" s="2" t="str">
        <f>VLOOKUP(B740,'PO with created By ASR'!A:J,7,FALSE)</f>
        <v>B - Bangalore</v>
      </c>
      <c r="M740" s="2" t="str">
        <f>VLOOKUP(B740,'PO with created By ASR'!A:K,8,FALSE)</f>
        <v>Purchase Order-Blr</v>
      </c>
      <c r="N740" t="s">
        <v>36</v>
      </c>
      <c r="P740" s="2">
        <v>6</v>
      </c>
    </row>
    <row r="741" s="2" customFormat="1" spans="1:16">
      <c r="A741" s="8"/>
      <c r="B741" s="9" t="s">
        <v>1573</v>
      </c>
      <c r="C741" s="10" t="s">
        <v>317</v>
      </c>
      <c r="D741" s="11">
        <v>1</v>
      </c>
      <c r="E741" s="12">
        <v>158000</v>
      </c>
      <c r="F741" s="13">
        <v>158000</v>
      </c>
      <c r="G741" s="2">
        <f>VLOOKUP(B741,'PO with created By ASR'!A:C,3,FALSE)</f>
        <v>45680</v>
      </c>
      <c r="J741" s="2" t="str">
        <f>VLOOKUP(B741,'PO with created By ASR'!A:G,4,FALSE)</f>
        <v>Gala Event Solutions-Che</v>
      </c>
      <c r="K741" s="2" t="str">
        <f>VLOOKUP(B741,'PO with created By ASR'!A:I,6,FALSE)</f>
        <v>11939 Gala Event Solutions</v>
      </c>
      <c r="L741" s="2" t="str">
        <f>VLOOKUP(B741,'PO with created By ASR'!A:J,7,FALSE)</f>
        <v>C - Chennai</v>
      </c>
      <c r="M741" s="2" t="str">
        <f>VLOOKUP(B741,'PO with created By ASR'!A:K,8,FALSE)</f>
        <v>Purchase Order-Che</v>
      </c>
      <c r="N741" t="s">
        <v>36</v>
      </c>
      <c r="P741" s="2">
        <v>6</v>
      </c>
    </row>
    <row r="742" s="2" customFormat="1" spans="1:16">
      <c r="A742" s="8"/>
      <c r="B742" s="9" t="s">
        <v>1576</v>
      </c>
      <c r="C742" s="10" t="s">
        <v>126</v>
      </c>
      <c r="D742" s="11">
        <v>1</v>
      </c>
      <c r="E742" s="12">
        <v>990</v>
      </c>
      <c r="F742" s="13">
        <v>990</v>
      </c>
      <c r="G742" s="2">
        <f>VLOOKUP(B742,'PO with created By ASR'!A:C,3,FALSE)</f>
        <v>45680</v>
      </c>
      <c r="J742" s="2" t="str">
        <f>VLOOKUP(B742,'PO with created By ASR'!A:G,4,FALSE)</f>
        <v>Evangelin Dominiic  -CR</v>
      </c>
      <c r="K742" s="2" t="e">
        <f>VLOOKUP(B742,'PO with created By ASR'!A:I,6,FALSE)</f>
        <v>#N/A</v>
      </c>
      <c r="L742" s="2" t="str">
        <f>VLOOKUP(B742,'PO with created By ASR'!A:J,7,FALSE)</f>
        <v>C - Chennai</v>
      </c>
      <c r="M742" s="2" t="str">
        <f>VLOOKUP(B742,'PO with created By ASR'!A:K,8,FALSE)</f>
        <v>Purchase Order-Che</v>
      </c>
      <c r="N742" t="s">
        <v>36</v>
      </c>
      <c r="P742" s="2">
        <v>6</v>
      </c>
    </row>
    <row r="743" s="2" customFormat="1" spans="1:16">
      <c r="A743" s="8"/>
      <c r="B743" s="9" t="s">
        <v>1578</v>
      </c>
      <c r="C743" s="10" t="s">
        <v>126</v>
      </c>
      <c r="D743" s="11">
        <v>1</v>
      </c>
      <c r="E743" s="12">
        <v>280</v>
      </c>
      <c r="F743" s="13">
        <v>280</v>
      </c>
      <c r="G743" s="2">
        <f>VLOOKUP(B743,'PO with created By ASR'!A:C,3,FALSE)</f>
        <v>45680</v>
      </c>
      <c r="J743" s="2" t="str">
        <f>VLOOKUP(B743,'PO with created By ASR'!A:G,4,FALSE)</f>
        <v>Clinton J  for Expense-CR</v>
      </c>
      <c r="K743" s="2" t="e">
        <f>VLOOKUP(B743,'PO with created By ASR'!A:I,6,FALSE)</f>
        <v>#N/A</v>
      </c>
      <c r="L743" s="2" t="str">
        <f>VLOOKUP(B743,'PO with created By ASR'!A:J,7,FALSE)</f>
        <v>C - Chennai</v>
      </c>
      <c r="M743" s="2" t="str">
        <f>VLOOKUP(B743,'PO with created By ASR'!A:K,8,FALSE)</f>
        <v>Purchase Order-Che</v>
      </c>
      <c r="N743" t="s">
        <v>36</v>
      </c>
      <c r="P743" s="2">
        <v>6</v>
      </c>
    </row>
    <row r="744" s="2" customFormat="1" spans="1:16">
      <c r="A744" s="8"/>
      <c r="B744" s="9" t="s">
        <v>1578</v>
      </c>
      <c r="C744" s="10" t="s">
        <v>196</v>
      </c>
      <c r="D744" s="11">
        <v>1</v>
      </c>
      <c r="E744" s="12">
        <v>531</v>
      </c>
      <c r="F744" s="13">
        <v>531</v>
      </c>
      <c r="G744" s="2">
        <f>VLOOKUP(B744,'PO with created By ASR'!A:C,3,FALSE)</f>
        <v>45680</v>
      </c>
      <c r="J744" s="2" t="str">
        <f>VLOOKUP(B744,'PO with created By ASR'!A:G,4,FALSE)</f>
        <v>Clinton J  for Expense-CR</v>
      </c>
      <c r="K744" s="2" t="e">
        <f>VLOOKUP(B744,'PO with created By ASR'!A:I,6,FALSE)</f>
        <v>#N/A</v>
      </c>
      <c r="L744" s="2" t="str">
        <f>VLOOKUP(B744,'PO with created By ASR'!A:J,7,FALSE)</f>
        <v>C - Chennai</v>
      </c>
      <c r="M744" s="2" t="str">
        <f>VLOOKUP(B744,'PO with created By ASR'!A:K,8,FALSE)</f>
        <v>Purchase Order-Che</v>
      </c>
      <c r="N744" t="s">
        <v>36</v>
      </c>
      <c r="P744" s="2">
        <v>6</v>
      </c>
    </row>
    <row r="745" s="2" customFormat="1" spans="1:16">
      <c r="A745" s="8"/>
      <c r="B745" s="9" t="s">
        <v>1579</v>
      </c>
      <c r="C745" s="10" t="s">
        <v>276</v>
      </c>
      <c r="D745" s="11">
        <v>1</v>
      </c>
      <c r="E745" s="12">
        <v>108359.12</v>
      </c>
      <c r="F745" s="13">
        <v>108359.12</v>
      </c>
      <c r="G745" s="2">
        <f>VLOOKUP(B745,'PO with created By ASR'!A:C,3,FALSE)</f>
        <v>45680</v>
      </c>
      <c r="J745" s="2" t="str">
        <f>VLOOKUP(B745,'PO with created By ASR'!A:G,4,FALSE)</f>
        <v>Empee Hotels Limited (Hilton Chennai)-Che</v>
      </c>
      <c r="K745" s="2" t="e">
        <f>VLOOKUP(B745,'PO with created By ASR'!A:I,6,FALSE)</f>
        <v>#N/A</v>
      </c>
      <c r="L745" s="2" t="str">
        <f>VLOOKUP(B745,'PO with created By ASR'!A:J,7,FALSE)</f>
        <v>C - Chennai</v>
      </c>
      <c r="M745" s="2" t="str">
        <f>VLOOKUP(B745,'PO with created By ASR'!A:K,8,FALSE)</f>
        <v>Purchase Order-Che</v>
      </c>
      <c r="N745" t="s">
        <v>36</v>
      </c>
      <c r="P745" s="2">
        <v>6</v>
      </c>
    </row>
    <row r="746" s="2" customFormat="1" spans="1:16">
      <c r="A746" s="8"/>
      <c r="B746" s="9" t="s">
        <v>1579</v>
      </c>
      <c r="C746" s="10" t="s">
        <v>276</v>
      </c>
      <c r="D746" s="11">
        <v>1</v>
      </c>
      <c r="E746" s="12">
        <v>35099.96</v>
      </c>
      <c r="F746" s="13">
        <v>35099.96</v>
      </c>
      <c r="G746" s="2">
        <f>VLOOKUP(B746,'PO with created By ASR'!A:C,3,FALSE)</f>
        <v>45680</v>
      </c>
      <c r="J746" s="2" t="str">
        <f>VLOOKUP(B746,'PO with created By ASR'!A:G,4,FALSE)</f>
        <v>Empee Hotels Limited (Hilton Chennai)-Che</v>
      </c>
      <c r="K746" s="2" t="e">
        <f>VLOOKUP(B746,'PO with created By ASR'!A:I,6,FALSE)</f>
        <v>#N/A</v>
      </c>
      <c r="L746" s="2" t="str">
        <f>VLOOKUP(B746,'PO with created By ASR'!A:J,7,FALSE)</f>
        <v>C - Chennai</v>
      </c>
      <c r="M746" s="2" t="str">
        <f>VLOOKUP(B746,'PO with created By ASR'!A:K,8,FALSE)</f>
        <v>Purchase Order-Che</v>
      </c>
      <c r="N746" t="s">
        <v>36</v>
      </c>
      <c r="P746" s="2">
        <v>6</v>
      </c>
    </row>
    <row r="747" s="2" customFormat="1" spans="1:16">
      <c r="A747" s="8"/>
      <c r="B747" s="9" t="s">
        <v>1583</v>
      </c>
      <c r="C747" s="10" t="s">
        <v>1055</v>
      </c>
      <c r="D747" s="11">
        <v>1</v>
      </c>
      <c r="E747" s="12">
        <v>783</v>
      </c>
      <c r="F747" s="13">
        <v>783</v>
      </c>
      <c r="G747" s="2">
        <f>VLOOKUP(B747,'PO with created By ASR'!A:C,3,FALSE)</f>
        <v>45680</v>
      </c>
      <c r="J747" s="2" t="str">
        <f>VLOOKUP(B747,'PO with created By ASR'!A:G,4,FALSE)</f>
        <v>Clinton J  for Expense-CR</v>
      </c>
      <c r="K747" s="2" t="e">
        <f>VLOOKUP(B747,'PO with created By ASR'!A:I,6,FALSE)</f>
        <v>#N/A</v>
      </c>
      <c r="L747" s="2" t="str">
        <f>VLOOKUP(B747,'PO with created By ASR'!A:J,7,FALSE)</f>
        <v>C - Chennai</v>
      </c>
      <c r="M747" s="2" t="str">
        <f>VLOOKUP(B747,'PO with created By ASR'!A:K,8,FALSE)</f>
        <v>Purchase Order-Che</v>
      </c>
      <c r="N747" t="s">
        <v>36</v>
      </c>
      <c r="P747" s="2">
        <v>6</v>
      </c>
    </row>
    <row r="748" s="2" customFormat="1" spans="1:16">
      <c r="A748" s="8"/>
      <c r="B748" s="9" t="s">
        <v>1583</v>
      </c>
      <c r="C748" s="10" t="s">
        <v>126</v>
      </c>
      <c r="D748" s="11">
        <v>1</v>
      </c>
      <c r="E748" s="12">
        <v>500</v>
      </c>
      <c r="F748" s="13">
        <v>500</v>
      </c>
      <c r="G748" s="2">
        <f>VLOOKUP(B748,'PO with created By ASR'!A:C,3,FALSE)</f>
        <v>45680</v>
      </c>
      <c r="J748" s="2" t="str">
        <f>VLOOKUP(B748,'PO with created By ASR'!A:G,4,FALSE)</f>
        <v>Clinton J  for Expense-CR</v>
      </c>
      <c r="K748" s="2" t="e">
        <f>VLOOKUP(B748,'PO with created By ASR'!A:I,6,FALSE)</f>
        <v>#N/A</v>
      </c>
      <c r="L748" s="2" t="str">
        <f>VLOOKUP(B748,'PO with created By ASR'!A:J,7,FALSE)</f>
        <v>C - Chennai</v>
      </c>
      <c r="M748" s="2" t="str">
        <f>VLOOKUP(B748,'PO with created By ASR'!A:K,8,FALSE)</f>
        <v>Purchase Order-Che</v>
      </c>
      <c r="N748" t="s">
        <v>36</v>
      </c>
      <c r="P748" s="2">
        <v>6</v>
      </c>
    </row>
    <row r="749" s="2" customFormat="1" spans="1:16">
      <c r="A749" s="8"/>
      <c r="B749" s="9" t="s">
        <v>1583</v>
      </c>
      <c r="C749" s="10" t="s">
        <v>412</v>
      </c>
      <c r="D749" s="11">
        <v>1</v>
      </c>
      <c r="E749" s="12">
        <v>400</v>
      </c>
      <c r="F749" s="13">
        <v>400</v>
      </c>
      <c r="G749" s="2">
        <f>VLOOKUP(B749,'PO with created By ASR'!A:C,3,FALSE)</f>
        <v>45680</v>
      </c>
      <c r="J749" s="2" t="str">
        <f>VLOOKUP(B749,'PO with created By ASR'!A:G,4,FALSE)</f>
        <v>Clinton J  for Expense-CR</v>
      </c>
      <c r="K749" s="2" t="e">
        <f>VLOOKUP(B749,'PO with created By ASR'!A:I,6,FALSE)</f>
        <v>#N/A</v>
      </c>
      <c r="L749" s="2" t="str">
        <f>VLOOKUP(B749,'PO with created By ASR'!A:J,7,FALSE)</f>
        <v>C - Chennai</v>
      </c>
      <c r="M749" s="2" t="str">
        <f>VLOOKUP(B749,'PO with created By ASR'!A:K,8,FALSE)</f>
        <v>Purchase Order-Che</v>
      </c>
      <c r="N749" t="s">
        <v>36</v>
      </c>
      <c r="P749" s="2">
        <v>6</v>
      </c>
    </row>
    <row r="750" s="2" customFormat="1" spans="1:16">
      <c r="A750" s="8"/>
      <c r="B750" s="9" t="s">
        <v>1584</v>
      </c>
      <c r="C750" s="10" t="s">
        <v>126</v>
      </c>
      <c r="D750" s="11">
        <v>1</v>
      </c>
      <c r="E750" s="12">
        <v>3950</v>
      </c>
      <c r="F750" s="13">
        <v>3950</v>
      </c>
      <c r="G750" s="2">
        <f>VLOOKUP(B750,'PO with created By ASR'!A:C,3,FALSE)</f>
        <v>45680</v>
      </c>
      <c r="J750" s="2" t="str">
        <f>VLOOKUP(B750,'PO with created By ASR'!A:G,4,FALSE)</f>
        <v>Praveen Raj Adv for Expenses-CR</v>
      </c>
      <c r="K750" s="2" t="e">
        <f>VLOOKUP(B750,'PO with created By ASR'!A:I,6,FALSE)</f>
        <v>#N/A</v>
      </c>
      <c r="L750" s="2" t="str">
        <f>VLOOKUP(B750,'PO with created By ASR'!A:J,7,FALSE)</f>
        <v>C - Chennai</v>
      </c>
      <c r="M750" s="2" t="str">
        <f>VLOOKUP(B750,'PO with created By ASR'!A:K,8,FALSE)</f>
        <v>Purchase Order-Che</v>
      </c>
      <c r="N750" t="s">
        <v>36</v>
      </c>
      <c r="P750" s="2">
        <v>6</v>
      </c>
    </row>
    <row r="751" s="2" customFormat="1" spans="1:16">
      <c r="A751" s="8"/>
      <c r="B751" s="9" t="s">
        <v>1584</v>
      </c>
      <c r="C751" s="10" t="s">
        <v>412</v>
      </c>
      <c r="D751" s="11">
        <v>1</v>
      </c>
      <c r="E751" s="12">
        <v>2300</v>
      </c>
      <c r="F751" s="13">
        <v>2300</v>
      </c>
      <c r="G751" s="2">
        <f>VLOOKUP(B751,'PO with created By ASR'!A:C,3,FALSE)</f>
        <v>45680</v>
      </c>
      <c r="J751" s="2" t="str">
        <f>VLOOKUP(B751,'PO with created By ASR'!A:G,4,FALSE)</f>
        <v>Praveen Raj Adv for Expenses-CR</v>
      </c>
      <c r="K751" s="2" t="e">
        <f>VLOOKUP(B751,'PO with created By ASR'!A:I,6,FALSE)</f>
        <v>#N/A</v>
      </c>
      <c r="L751" s="2" t="str">
        <f>VLOOKUP(B751,'PO with created By ASR'!A:J,7,FALSE)</f>
        <v>C - Chennai</v>
      </c>
      <c r="M751" s="2" t="str">
        <f>VLOOKUP(B751,'PO with created By ASR'!A:K,8,FALSE)</f>
        <v>Purchase Order-Che</v>
      </c>
      <c r="N751" t="s">
        <v>36</v>
      </c>
      <c r="P751" s="2">
        <v>6</v>
      </c>
    </row>
    <row r="752" s="2" customFormat="1" spans="1:16">
      <c r="A752" s="8"/>
      <c r="B752" s="9" t="s">
        <v>1584</v>
      </c>
      <c r="C752" s="10" t="s">
        <v>61</v>
      </c>
      <c r="D752" s="11">
        <v>1</v>
      </c>
      <c r="E752" s="12">
        <v>5600</v>
      </c>
      <c r="F752" s="13">
        <v>5600</v>
      </c>
      <c r="G752" s="2">
        <f>VLOOKUP(B752,'PO with created By ASR'!A:C,3,FALSE)</f>
        <v>45680</v>
      </c>
      <c r="J752" s="2" t="str">
        <f>VLOOKUP(B752,'PO with created By ASR'!A:G,4,FALSE)</f>
        <v>Praveen Raj Adv for Expenses-CR</v>
      </c>
      <c r="K752" s="2" t="e">
        <f>VLOOKUP(B752,'PO with created By ASR'!A:I,6,FALSE)</f>
        <v>#N/A</v>
      </c>
      <c r="L752" s="2" t="str">
        <f>VLOOKUP(B752,'PO with created By ASR'!A:J,7,FALSE)</f>
        <v>C - Chennai</v>
      </c>
      <c r="M752" s="2" t="str">
        <f>VLOOKUP(B752,'PO with created By ASR'!A:K,8,FALSE)</f>
        <v>Purchase Order-Che</v>
      </c>
      <c r="N752" t="s">
        <v>36</v>
      </c>
      <c r="P752" s="2">
        <v>6</v>
      </c>
    </row>
    <row r="753" s="2" customFormat="1" spans="1:16">
      <c r="A753" s="8"/>
      <c r="B753" s="9" t="s">
        <v>1586</v>
      </c>
      <c r="C753" s="10" t="s">
        <v>126</v>
      </c>
      <c r="D753" s="11">
        <v>1</v>
      </c>
      <c r="E753" s="12">
        <v>4950</v>
      </c>
      <c r="F753" s="13">
        <v>4950</v>
      </c>
      <c r="G753" s="2">
        <f>VLOOKUP(B753,'PO with created By ASR'!A:C,3,FALSE)</f>
        <v>45680</v>
      </c>
      <c r="J753" s="2" t="str">
        <f>VLOOKUP(B753,'PO with created By ASR'!A:G,4,FALSE)</f>
        <v>Praveen Raj Adv for Expenses-CR</v>
      </c>
      <c r="K753" s="2" t="e">
        <f>VLOOKUP(B753,'PO with created By ASR'!A:I,6,FALSE)</f>
        <v>#N/A</v>
      </c>
      <c r="L753" s="2" t="str">
        <f>VLOOKUP(B753,'PO with created By ASR'!A:J,7,FALSE)</f>
        <v>C - Chennai</v>
      </c>
      <c r="M753" s="2" t="str">
        <f>VLOOKUP(B753,'PO with created By ASR'!A:K,8,FALSE)</f>
        <v>Purchase Order-Che</v>
      </c>
      <c r="N753" t="s">
        <v>36</v>
      </c>
      <c r="P753" s="2">
        <v>6</v>
      </c>
    </row>
    <row r="754" s="2" customFormat="1" spans="1:16">
      <c r="A754" s="8"/>
      <c r="B754" s="9" t="s">
        <v>1586</v>
      </c>
      <c r="C754" s="10" t="s">
        <v>412</v>
      </c>
      <c r="D754" s="11">
        <v>1</v>
      </c>
      <c r="E754" s="12">
        <v>2200</v>
      </c>
      <c r="F754" s="13">
        <v>2200</v>
      </c>
      <c r="G754" s="2">
        <f>VLOOKUP(B754,'PO with created By ASR'!A:C,3,FALSE)</f>
        <v>45680</v>
      </c>
      <c r="J754" s="2" t="str">
        <f>VLOOKUP(B754,'PO with created By ASR'!A:G,4,FALSE)</f>
        <v>Praveen Raj Adv for Expenses-CR</v>
      </c>
      <c r="K754" s="2" t="e">
        <f>VLOOKUP(B754,'PO with created By ASR'!A:I,6,FALSE)</f>
        <v>#N/A</v>
      </c>
      <c r="L754" s="2" t="str">
        <f>VLOOKUP(B754,'PO with created By ASR'!A:J,7,FALSE)</f>
        <v>C - Chennai</v>
      </c>
      <c r="M754" s="2" t="str">
        <f>VLOOKUP(B754,'PO with created By ASR'!A:K,8,FALSE)</f>
        <v>Purchase Order-Che</v>
      </c>
      <c r="N754" t="s">
        <v>36</v>
      </c>
      <c r="P754" s="2">
        <v>6</v>
      </c>
    </row>
    <row r="755" s="2" customFormat="1" spans="1:16">
      <c r="A755" s="8"/>
      <c r="B755" s="9" t="s">
        <v>1586</v>
      </c>
      <c r="C755" s="10" t="s">
        <v>508</v>
      </c>
      <c r="D755" s="11">
        <v>1</v>
      </c>
      <c r="E755" s="12">
        <v>3181.35</v>
      </c>
      <c r="F755" s="13">
        <v>3181.35</v>
      </c>
      <c r="G755" s="2">
        <f>VLOOKUP(B755,'PO with created By ASR'!A:C,3,FALSE)</f>
        <v>45680</v>
      </c>
      <c r="J755" s="2" t="str">
        <f>VLOOKUP(B755,'PO with created By ASR'!A:G,4,FALSE)</f>
        <v>Praveen Raj Adv for Expenses-CR</v>
      </c>
      <c r="K755" s="2" t="e">
        <f>VLOOKUP(B755,'PO with created By ASR'!A:I,6,FALSE)</f>
        <v>#N/A</v>
      </c>
      <c r="L755" s="2" t="str">
        <f>VLOOKUP(B755,'PO with created By ASR'!A:J,7,FALSE)</f>
        <v>C - Chennai</v>
      </c>
      <c r="M755" s="2" t="str">
        <f>VLOOKUP(B755,'PO with created By ASR'!A:K,8,FALSE)</f>
        <v>Purchase Order-Che</v>
      </c>
      <c r="N755" t="s">
        <v>36</v>
      </c>
      <c r="P755" s="2">
        <v>6</v>
      </c>
    </row>
    <row r="756" s="2" customFormat="1" spans="1:16">
      <c r="A756" s="8"/>
      <c r="B756" s="9" t="s">
        <v>1586</v>
      </c>
      <c r="C756" s="10" t="s">
        <v>61</v>
      </c>
      <c r="D756" s="11">
        <v>1</v>
      </c>
      <c r="E756" s="12">
        <v>9395.52</v>
      </c>
      <c r="F756" s="13">
        <v>9395.52</v>
      </c>
      <c r="G756" s="2">
        <f>VLOOKUP(B756,'PO with created By ASR'!A:C,3,FALSE)</f>
        <v>45680</v>
      </c>
      <c r="J756" s="2" t="str">
        <f>VLOOKUP(B756,'PO with created By ASR'!A:G,4,FALSE)</f>
        <v>Praveen Raj Adv for Expenses-CR</v>
      </c>
      <c r="K756" s="2" t="e">
        <f>VLOOKUP(B756,'PO with created By ASR'!A:I,6,FALSE)</f>
        <v>#N/A</v>
      </c>
      <c r="L756" s="2" t="str">
        <f>VLOOKUP(B756,'PO with created By ASR'!A:J,7,FALSE)</f>
        <v>C - Chennai</v>
      </c>
      <c r="M756" s="2" t="str">
        <f>VLOOKUP(B756,'PO with created By ASR'!A:K,8,FALSE)</f>
        <v>Purchase Order-Che</v>
      </c>
      <c r="N756" t="s">
        <v>36</v>
      </c>
      <c r="P756" s="2">
        <v>6</v>
      </c>
    </row>
    <row r="757" s="2" customFormat="1" spans="1:16">
      <c r="A757" s="8"/>
      <c r="B757" s="9" t="s">
        <v>1587</v>
      </c>
      <c r="C757" s="10" t="s">
        <v>126</v>
      </c>
      <c r="D757" s="11">
        <v>1</v>
      </c>
      <c r="E757" s="12">
        <v>600</v>
      </c>
      <c r="F757" s="13">
        <v>600</v>
      </c>
      <c r="G757" s="2">
        <f>VLOOKUP(B757,'PO with created By ASR'!A:C,3,FALSE)</f>
        <v>45680</v>
      </c>
      <c r="J757" s="2" t="str">
        <f>VLOOKUP(B757,'PO with created By ASR'!A:G,4,FALSE)</f>
        <v>Utkarsh Luthra  -CR</v>
      </c>
      <c r="K757" s="2" t="e">
        <f>VLOOKUP(B757,'PO with created By ASR'!A:I,6,FALSE)</f>
        <v>#N/A</v>
      </c>
      <c r="L757" s="2" t="str">
        <f>VLOOKUP(B757,'PO with created By ASR'!A:J,7,FALSE)</f>
        <v>D - Delhi</v>
      </c>
      <c r="M757" s="2" t="str">
        <f>VLOOKUP(B757,'PO with created By ASR'!A:K,8,FALSE)</f>
        <v>Purchase Order-Del</v>
      </c>
      <c r="N757" t="s">
        <v>36</v>
      </c>
      <c r="P757" s="2">
        <v>6</v>
      </c>
    </row>
    <row r="758" s="2" customFormat="1" spans="1:16">
      <c r="A758" s="8"/>
      <c r="B758" s="9" t="s">
        <v>1587</v>
      </c>
      <c r="C758" s="10" t="s">
        <v>412</v>
      </c>
      <c r="D758" s="11">
        <v>1</v>
      </c>
      <c r="E758" s="12">
        <v>1243</v>
      </c>
      <c r="F758" s="13">
        <v>1243</v>
      </c>
      <c r="G758" s="2">
        <f>VLOOKUP(B758,'PO with created By ASR'!A:C,3,FALSE)</f>
        <v>45680</v>
      </c>
      <c r="J758" s="2" t="str">
        <f>VLOOKUP(B758,'PO with created By ASR'!A:G,4,FALSE)</f>
        <v>Utkarsh Luthra  -CR</v>
      </c>
      <c r="K758" s="2" t="e">
        <f>VLOOKUP(B758,'PO with created By ASR'!A:I,6,FALSE)</f>
        <v>#N/A</v>
      </c>
      <c r="L758" s="2" t="str">
        <f>VLOOKUP(B758,'PO with created By ASR'!A:J,7,FALSE)</f>
        <v>D - Delhi</v>
      </c>
      <c r="M758" s="2" t="str">
        <f>VLOOKUP(B758,'PO with created By ASR'!A:K,8,FALSE)</f>
        <v>Purchase Order-Del</v>
      </c>
      <c r="N758" t="s">
        <v>36</v>
      </c>
      <c r="P758" s="2">
        <v>6</v>
      </c>
    </row>
    <row r="759" s="2" customFormat="1" spans="1:16">
      <c r="A759" s="8"/>
      <c r="B759" s="9" t="s">
        <v>1591</v>
      </c>
      <c r="C759" s="10" t="s">
        <v>126</v>
      </c>
      <c r="D759" s="11">
        <v>1</v>
      </c>
      <c r="E759" s="12">
        <v>1960</v>
      </c>
      <c r="F759" s="13">
        <v>1960</v>
      </c>
      <c r="G759" s="2">
        <f>VLOOKUP(B759,'PO with created By ASR'!A:C,3,FALSE)</f>
        <v>45680</v>
      </c>
      <c r="J759" s="2" t="str">
        <f>VLOOKUP(B759,'PO with created By ASR'!A:G,4,FALSE)</f>
        <v>Harsh Arya  -CR</v>
      </c>
      <c r="K759" s="2" t="e">
        <f>VLOOKUP(B759,'PO with created By ASR'!A:I,6,FALSE)</f>
        <v>#N/A</v>
      </c>
      <c r="L759" s="2" t="str">
        <f>VLOOKUP(B759,'PO with created By ASR'!A:J,7,FALSE)</f>
        <v>D - Delhi</v>
      </c>
      <c r="M759" s="2" t="str">
        <f>VLOOKUP(B759,'PO with created By ASR'!A:K,8,FALSE)</f>
        <v>Purchase Order-Del</v>
      </c>
      <c r="N759" t="s">
        <v>36</v>
      </c>
      <c r="P759" s="2">
        <v>6</v>
      </c>
    </row>
    <row r="760" s="2" customFormat="1" spans="1:16">
      <c r="A760" s="8"/>
      <c r="B760" s="9" t="s">
        <v>1591</v>
      </c>
      <c r="C760" s="10" t="s">
        <v>412</v>
      </c>
      <c r="D760" s="11">
        <v>1</v>
      </c>
      <c r="E760" s="12">
        <v>472</v>
      </c>
      <c r="F760" s="13">
        <v>472</v>
      </c>
      <c r="G760" s="2">
        <f>VLOOKUP(B760,'PO with created By ASR'!A:C,3,FALSE)</f>
        <v>45680</v>
      </c>
      <c r="J760" s="2" t="str">
        <f>VLOOKUP(B760,'PO with created By ASR'!A:G,4,FALSE)</f>
        <v>Harsh Arya  -CR</v>
      </c>
      <c r="K760" s="2" t="e">
        <f>VLOOKUP(B760,'PO with created By ASR'!A:I,6,FALSE)</f>
        <v>#N/A</v>
      </c>
      <c r="L760" s="2" t="str">
        <f>VLOOKUP(B760,'PO with created By ASR'!A:J,7,FALSE)</f>
        <v>D - Delhi</v>
      </c>
      <c r="M760" s="2" t="str">
        <f>VLOOKUP(B760,'PO with created By ASR'!A:K,8,FALSE)</f>
        <v>Purchase Order-Del</v>
      </c>
      <c r="N760" t="s">
        <v>36</v>
      </c>
      <c r="P760" s="2">
        <v>6</v>
      </c>
    </row>
    <row r="761" s="2" customFormat="1" spans="1:16">
      <c r="A761" s="8"/>
      <c r="B761" s="9" t="s">
        <v>1595</v>
      </c>
      <c r="C761" s="10" t="s">
        <v>317</v>
      </c>
      <c r="D761" s="11">
        <v>1</v>
      </c>
      <c r="E761" s="12">
        <v>129000</v>
      </c>
      <c r="F761" s="13">
        <v>129000</v>
      </c>
      <c r="G761" s="2">
        <f>VLOOKUP(B761,'PO with created By ASR'!A:C,3,FALSE)</f>
        <v>45680</v>
      </c>
      <c r="J761" s="2" t="str">
        <f>VLOOKUP(B761,'PO with created By ASR'!A:G,4,FALSE)</f>
        <v>Ground Zero Events Pvt Ltd-Del</v>
      </c>
      <c r="K761" s="2" t="str">
        <f>VLOOKUP(B761,'PO with created By ASR'!A:I,6,FALSE)</f>
        <v>11974  Ground Zero Events Pvt Ltd</v>
      </c>
      <c r="L761" s="2" t="str">
        <f>VLOOKUP(B761,'PO with created By ASR'!A:J,7,FALSE)</f>
        <v>D - Delhi</v>
      </c>
      <c r="M761" s="2" t="str">
        <f>VLOOKUP(B761,'PO with created By ASR'!A:K,8,FALSE)</f>
        <v>Purchase Order-Del</v>
      </c>
      <c r="N761" t="s">
        <v>36</v>
      </c>
      <c r="P761" s="2">
        <v>6</v>
      </c>
    </row>
    <row r="762" s="2" customFormat="1" spans="1:16">
      <c r="A762" s="8"/>
      <c r="B762" s="9" t="s">
        <v>1599</v>
      </c>
      <c r="C762" s="10" t="s">
        <v>233</v>
      </c>
      <c r="D762" s="11">
        <v>1</v>
      </c>
      <c r="E762" s="12">
        <v>2120.46</v>
      </c>
      <c r="F762" s="13">
        <v>2120.46</v>
      </c>
      <c r="G762" s="2">
        <f>VLOOKUP(B762,'PO with created By ASR'!A:C,3,FALSE)</f>
        <v>45680</v>
      </c>
      <c r="J762" s="2" t="str">
        <f>VLOOKUP(B762,'PO with created By ASR'!A:G,4,FALSE)</f>
        <v>Pankaj Kumar Mishra  -CR</v>
      </c>
      <c r="K762" s="2" t="e">
        <f>VLOOKUP(B762,'PO with created By ASR'!A:I,6,FALSE)</f>
        <v>#N/A</v>
      </c>
      <c r="L762" s="2" t="str">
        <f>VLOOKUP(B762,'PO with created By ASR'!A:J,7,FALSE)</f>
        <v>D - Delhi</v>
      </c>
      <c r="M762" s="2" t="str">
        <f>VLOOKUP(B762,'PO with created By ASR'!A:K,8,FALSE)</f>
        <v>Purchase Order-Del</v>
      </c>
      <c r="N762" t="s">
        <v>36</v>
      </c>
      <c r="P762" s="2">
        <v>6</v>
      </c>
    </row>
    <row r="763" s="2" customFormat="1" spans="1:16">
      <c r="A763" s="8"/>
      <c r="B763" s="9" t="s">
        <v>1600</v>
      </c>
      <c r="C763" s="10" t="s">
        <v>292</v>
      </c>
      <c r="D763" s="11">
        <v>1</v>
      </c>
      <c r="E763" s="12">
        <v>4000</v>
      </c>
      <c r="F763" s="13">
        <v>4000</v>
      </c>
      <c r="G763" s="2">
        <f>VLOOKUP(B763,'PO with created By ASR'!A:C,3,FALSE)</f>
        <v>45680</v>
      </c>
      <c r="J763" s="2" t="str">
        <f>VLOOKUP(B763,'PO with created By ASR'!A:G,4,FALSE)</f>
        <v>Red Carpet Events And Entertainment-Del</v>
      </c>
      <c r="K763" s="2" t="str">
        <f>VLOOKUP(B763,'PO with created By ASR'!A:I,6,FALSE)</f>
        <v>12326 Red Carpet Events And Entertainment</v>
      </c>
      <c r="L763" s="2" t="str">
        <f>VLOOKUP(B763,'PO with created By ASR'!A:J,7,FALSE)</f>
        <v>D - Delhi</v>
      </c>
      <c r="M763" s="2" t="str">
        <f>VLOOKUP(B763,'PO with created By ASR'!A:K,8,FALSE)</f>
        <v>Purchase Order-Del</v>
      </c>
      <c r="N763" t="s">
        <v>36</v>
      </c>
      <c r="P763" s="2">
        <v>6</v>
      </c>
    </row>
    <row r="764" s="2" customFormat="1" spans="1:16">
      <c r="A764" s="8"/>
      <c r="B764" s="9" t="s">
        <v>1602</v>
      </c>
      <c r="C764" s="10" t="s">
        <v>526</v>
      </c>
      <c r="D764" s="11">
        <v>1</v>
      </c>
      <c r="E764" s="12">
        <v>48850</v>
      </c>
      <c r="F764" s="13">
        <v>48850</v>
      </c>
      <c r="G764" s="2">
        <f>VLOOKUP(B764,'PO with created By ASR'!A:C,3,FALSE)</f>
        <v>45680</v>
      </c>
      <c r="J764" s="2" t="str">
        <f>VLOOKUP(B764,'PO with created By ASR'!A:G,4,FALSE)</f>
        <v>Minter Cstech Pvt.Ltd.-Del</v>
      </c>
      <c r="K764" s="2" t="e">
        <f>VLOOKUP(B764,'PO with created By ASR'!A:I,6,FALSE)</f>
        <v>#N/A</v>
      </c>
      <c r="L764" s="2" t="str">
        <f>VLOOKUP(B764,'PO with created By ASR'!A:J,7,FALSE)</f>
        <v>D - Delhi</v>
      </c>
      <c r="M764" s="2" t="str">
        <f>VLOOKUP(B764,'PO with created By ASR'!A:K,8,FALSE)</f>
        <v>Purchase Order-Del</v>
      </c>
      <c r="N764" t="s">
        <v>36</v>
      </c>
      <c r="P764" s="2">
        <v>6</v>
      </c>
    </row>
    <row r="765" s="2" customFormat="1" spans="1:16">
      <c r="A765" s="8"/>
      <c r="B765" s="9" t="s">
        <v>1603</v>
      </c>
      <c r="C765" s="10" t="s">
        <v>704</v>
      </c>
      <c r="D765" s="11">
        <v>1</v>
      </c>
      <c r="E765" s="12">
        <v>24576</v>
      </c>
      <c r="F765" s="13">
        <v>24576</v>
      </c>
      <c r="G765" s="2">
        <f>VLOOKUP(B765,'PO with created By ASR'!A:C,3,FALSE)</f>
        <v>45680</v>
      </c>
      <c r="J765" s="2" t="str">
        <f>VLOOKUP(B765,'PO with created By ASR'!A:G,4,FALSE)</f>
        <v>Shree Ram Computers-Del</v>
      </c>
      <c r="K765" s="2" t="str">
        <f>VLOOKUP(B765,'PO with created By ASR'!A:I,6,FALSE)</f>
        <v>11132 Shree Ram Computers</v>
      </c>
      <c r="L765" s="2" t="str">
        <f>VLOOKUP(B765,'PO with created By ASR'!A:J,7,FALSE)</f>
        <v>D - Delhi</v>
      </c>
      <c r="M765" s="2" t="str">
        <f>VLOOKUP(B765,'PO with created By ASR'!A:K,8,FALSE)</f>
        <v>Purchase Order-Del</v>
      </c>
      <c r="N765" t="s">
        <v>36</v>
      </c>
      <c r="P765" s="2">
        <v>6</v>
      </c>
    </row>
    <row r="766" s="2" customFormat="1" spans="1:16">
      <c r="A766" s="8"/>
      <c r="B766" s="9" t="s">
        <v>1604</v>
      </c>
      <c r="C766" s="10" t="s">
        <v>196</v>
      </c>
      <c r="D766" s="11">
        <v>1</v>
      </c>
      <c r="E766" s="12">
        <v>28335</v>
      </c>
      <c r="F766" s="13">
        <v>28335</v>
      </c>
      <c r="G766" s="2">
        <f>VLOOKUP(B766,'PO with created By ASR'!A:C,3,FALSE)</f>
        <v>45680</v>
      </c>
      <c r="J766" s="2" t="str">
        <f>VLOOKUP(B766,'PO with created By ASR'!A:G,4,FALSE)</f>
        <v>Yolekha Events-Del</v>
      </c>
      <c r="K766" s="2" t="str">
        <f>VLOOKUP(B766,'PO with created By ASR'!A:I,6,FALSE)</f>
        <v>11496 Yolekha Events</v>
      </c>
      <c r="L766" s="2" t="str">
        <f>VLOOKUP(B766,'PO with created By ASR'!A:J,7,FALSE)</f>
        <v>D - Delhi</v>
      </c>
      <c r="M766" s="2" t="str">
        <f>VLOOKUP(B766,'PO with created By ASR'!A:K,8,FALSE)</f>
        <v>Purchase Order-Del</v>
      </c>
      <c r="N766" t="s">
        <v>36</v>
      </c>
      <c r="P766" s="2">
        <v>6</v>
      </c>
    </row>
    <row r="767" s="2" customFormat="1" spans="1:16">
      <c r="A767" s="8"/>
      <c r="B767" s="9" t="s">
        <v>1604</v>
      </c>
      <c r="C767" s="10" t="s">
        <v>196</v>
      </c>
      <c r="D767" s="11">
        <v>1</v>
      </c>
      <c r="E767" s="12">
        <v>2550</v>
      </c>
      <c r="F767" s="13">
        <v>2550</v>
      </c>
      <c r="G767" s="2">
        <f>VLOOKUP(B767,'PO with created By ASR'!A:C,3,FALSE)</f>
        <v>45680</v>
      </c>
      <c r="J767" s="2" t="str">
        <f>VLOOKUP(B767,'PO with created By ASR'!A:G,4,FALSE)</f>
        <v>Yolekha Events-Del</v>
      </c>
      <c r="K767" s="2" t="str">
        <f>VLOOKUP(B767,'PO with created By ASR'!A:I,6,FALSE)</f>
        <v>11496 Yolekha Events</v>
      </c>
      <c r="L767" s="2" t="str">
        <f>VLOOKUP(B767,'PO with created By ASR'!A:J,7,FALSE)</f>
        <v>D - Delhi</v>
      </c>
      <c r="M767" s="2" t="str">
        <f>VLOOKUP(B767,'PO with created By ASR'!A:K,8,FALSE)</f>
        <v>Purchase Order-Del</v>
      </c>
      <c r="N767" t="s">
        <v>36</v>
      </c>
      <c r="P767" s="2">
        <v>6</v>
      </c>
    </row>
    <row r="768" s="2" customFormat="1" spans="1:16">
      <c r="A768" s="8"/>
      <c r="B768" s="9" t="s">
        <v>1605</v>
      </c>
      <c r="C768" s="10" t="s">
        <v>704</v>
      </c>
      <c r="D768" s="11">
        <v>1</v>
      </c>
      <c r="E768" s="12">
        <v>860</v>
      </c>
      <c r="F768" s="13">
        <v>860</v>
      </c>
      <c r="G768" s="2">
        <f>VLOOKUP(B768,'PO with created By ASR'!A:C,3,FALSE)</f>
        <v>45680</v>
      </c>
      <c r="J768" s="2" t="str">
        <f>VLOOKUP(B768,'PO with created By ASR'!A:G,4,FALSE)</f>
        <v>Shree Ram Computers-Del</v>
      </c>
      <c r="K768" s="2" t="str">
        <f>VLOOKUP(B768,'PO with created By ASR'!A:I,6,FALSE)</f>
        <v>11132 Shree Ram Computers</v>
      </c>
      <c r="L768" s="2" t="str">
        <f>VLOOKUP(B768,'PO with created By ASR'!A:J,7,FALSE)</f>
        <v>D - Delhi</v>
      </c>
      <c r="M768" s="2" t="str">
        <f>VLOOKUP(B768,'PO with created By ASR'!A:K,8,FALSE)</f>
        <v>Purchase Order-Del</v>
      </c>
      <c r="N768" t="s">
        <v>36</v>
      </c>
      <c r="P768" s="2">
        <v>6</v>
      </c>
    </row>
    <row r="769" s="2" customFormat="1" spans="1:16">
      <c r="A769" s="8"/>
      <c r="B769" s="9" t="s">
        <v>1606</v>
      </c>
      <c r="C769" s="10" t="s">
        <v>250</v>
      </c>
      <c r="D769" s="11">
        <v>1</v>
      </c>
      <c r="E769" s="12">
        <v>5000000</v>
      </c>
      <c r="F769" s="13">
        <v>5000000</v>
      </c>
      <c r="G769" s="2">
        <f>VLOOKUP(B769,'PO with created By ASR'!A:C,3,FALSE)</f>
        <v>45680</v>
      </c>
      <c r="J769" s="2" t="str">
        <f>VLOOKUP(B769,'PO with created By ASR'!A:G,4,FALSE)</f>
        <v>Amrik Singh (Mika Singh)-Del</v>
      </c>
      <c r="K769" s="2" t="str">
        <f>VLOOKUP(B769,'PO with created By ASR'!A:I,6,FALSE)</f>
        <v>12905 Amrik Singh (Mika Singh)</v>
      </c>
      <c r="L769" s="2" t="str">
        <f>VLOOKUP(B769,'PO with created By ASR'!A:J,7,FALSE)</f>
        <v>D - Delhi</v>
      </c>
      <c r="M769" s="2" t="str">
        <f>VLOOKUP(B769,'PO with created By ASR'!A:K,8,FALSE)</f>
        <v>Purchase Order-Del</v>
      </c>
      <c r="N769" t="s">
        <v>36</v>
      </c>
      <c r="P769" s="2">
        <v>6</v>
      </c>
    </row>
    <row r="770" s="2" customFormat="1" spans="1:16">
      <c r="A770" s="8"/>
      <c r="B770" s="9" t="s">
        <v>1611</v>
      </c>
      <c r="C770" s="10" t="s">
        <v>61</v>
      </c>
      <c r="D770" s="11">
        <v>1</v>
      </c>
      <c r="E770" s="12">
        <v>143138</v>
      </c>
      <c r="F770" s="13">
        <v>143138</v>
      </c>
      <c r="G770" s="2">
        <f>VLOOKUP(B770,'PO with created By ASR'!A:C,3,FALSE)</f>
        <v>45680</v>
      </c>
      <c r="J770" s="2" t="str">
        <f>VLOOKUP(B770,'PO with created By ASR'!A:G,4,FALSE)</f>
        <v>Elite International-Mum</v>
      </c>
      <c r="K770" s="2" t="e">
        <f>VLOOKUP(B770,'PO with created By ASR'!A:I,6,FALSE)</f>
        <v>#N/A</v>
      </c>
      <c r="L770" s="2" t="str">
        <f>VLOOKUP(B770,'PO with created By ASR'!A:J,7,FALSE)</f>
        <v>A - Mumbai</v>
      </c>
      <c r="M770" s="2" t="str">
        <f>VLOOKUP(B770,'PO with created By ASR'!A:K,8,FALSE)</f>
        <v>Purchase Order-Mum</v>
      </c>
      <c r="N770" t="s">
        <v>36</v>
      </c>
      <c r="P770" s="2">
        <v>6</v>
      </c>
    </row>
    <row r="771" s="2" customFormat="1" spans="1:16">
      <c r="A771" s="8"/>
      <c r="B771" s="9" t="s">
        <v>1611</v>
      </c>
      <c r="C771" s="10" t="s">
        <v>61</v>
      </c>
      <c r="D771" s="11">
        <v>1</v>
      </c>
      <c r="E771" s="12">
        <v>1300</v>
      </c>
      <c r="F771" s="13">
        <v>1300</v>
      </c>
      <c r="G771" s="2">
        <f>VLOOKUP(B771,'PO with created By ASR'!A:C,3,FALSE)</f>
        <v>45680</v>
      </c>
      <c r="J771" s="2" t="str">
        <f>VLOOKUP(B771,'PO with created By ASR'!A:G,4,FALSE)</f>
        <v>Elite International-Mum</v>
      </c>
      <c r="K771" s="2" t="e">
        <f>VLOOKUP(B771,'PO with created By ASR'!A:I,6,FALSE)</f>
        <v>#N/A</v>
      </c>
      <c r="L771" s="2" t="str">
        <f>VLOOKUP(B771,'PO with created By ASR'!A:J,7,FALSE)</f>
        <v>A - Mumbai</v>
      </c>
      <c r="M771" s="2" t="str">
        <f>VLOOKUP(B771,'PO with created By ASR'!A:K,8,FALSE)</f>
        <v>Purchase Order-Mum</v>
      </c>
      <c r="N771" t="s">
        <v>36</v>
      </c>
      <c r="P771" s="2">
        <v>6</v>
      </c>
    </row>
    <row r="772" s="2" customFormat="1" spans="1:16">
      <c r="A772" s="8"/>
      <c r="B772" s="9" t="s">
        <v>1611</v>
      </c>
      <c r="C772" s="10" t="s">
        <v>2783</v>
      </c>
      <c r="D772" s="11">
        <v>1</v>
      </c>
      <c r="E772" s="12">
        <v>15200</v>
      </c>
      <c r="F772" s="13">
        <v>15200</v>
      </c>
      <c r="G772" s="2">
        <f>VLOOKUP(B772,'PO with created By ASR'!A:C,3,FALSE)</f>
        <v>45680</v>
      </c>
      <c r="J772" s="2" t="str">
        <f>VLOOKUP(B772,'PO with created By ASR'!A:G,4,FALSE)</f>
        <v>Elite International-Mum</v>
      </c>
      <c r="K772" s="2" t="e">
        <f>VLOOKUP(B772,'PO with created By ASR'!A:I,6,FALSE)</f>
        <v>#N/A</v>
      </c>
      <c r="L772" s="2" t="str">
        <f>VLOOKUP(B772,'PO with created By ASR'!A:J,7,FALSE)</f>
        <v>A - Mumbai</v>
      </c>
      <c r="M772" s="2" t="str">
        <f>VLOOKUP(B772,'PO with created By ASR'!A:K,8,FALSE)</f>
        <v>Purchase Order-Mum</v>
      </c>
      <c r="N772" t="s">
        <v>36</v>
      </c>
      <c r="P772" s="2">
        <v>6</v>
      </c>
    </row>
    <row r="773" s="2" customFormat="1" spans="1:16">
      <c r="A773" s="8"/>
      <c r="B773" s="9" t="s">
        <v>1611</v>
      </c>
      <c r="C773" s="10" t="s">
        <v>2783</v>
      </c>
      <c r="D773" s="11">
        <v>1</v>
      </c>
      <c r="E773" s="12">
        <v>100</v>
      </c>
      <c r="F773" s="13">
        <v>100</v>
      </c>
      <c r="G773" s="2">
        <f>VLOOKUP(B773,'PO with created By ASR'!A:C,3,FALSE)</f>
        <v>45680</v>
      </c>
      <c r="J773" s="2" t="str">
        <f>VLOOKUP(B773,'PO with created By ASR'!A:G,4,FALSE)</f>
        <v>Elite International-Mum</v>
      </c>
      <c r="K773" s="2" t="e">
        <f>VLOOKUP(B773,'PO with created By ASR'!A:I,6,FALSE)</f>
        <v>#N/A</v>
      </c>
      <c r="L773" s="2" t="str">
        <f>VLOOKUP(B773,'PO with created By ASR'!A:J,7,FALSE)</f>
        <v>A - Mumbai</v>
      </c>
      <c r="M773" s="2" t="str">
        <f>VLOOKUP(B773,'PO with created By ASR'!A:K,8,FALSE)</f>
        <v>Purchase Order-Mum</v>
      </c>
      <c r="N773" t="s">
        <v>36</v>
      </c>
      <c r="P773" s="2">
        <v>6</v>
      </c>
    </row>
    <row r="774" s="2" customFormat="1" spans="1:16">
      <c r="A774" s="8"/>
      <c r="B774" s="9" t="s">
        <v>1613</v>
      </c>
      <c r="C774" s="10" t="s">
        <v>401</v>
      </c>
      <c r="D774" s="11">
        <v>1</v>
      </c>
      <c r="E774" s="12">
        <v>59000</v>
      </c>
      <c r="F774" s="13">
        <v>59000</v>
      </c>
      <c r="G774" s="2">
        <f>VLOOKUP(B774,'PO with created By ASR'!A:C,3,FALSE)</f>
        <v>45680</v>
      </c>
      <c r="J774" s="2" t="str">
        <f>VLOOKUP(B774,'PO with created By ASR'!A:G,4,FALSE)</f>
        <v>Shalini Digital Photo Studio-Mum</v>
      </c>
      <c r="K774" s="2" t="str">
        <f>VLOOKUP(B774,'PO with created By ASR'!A:I,6,FALSE)</f>
        <v>12381 Shalini Digital Photo Studio</v>
      </c>
      <c r="L774" s="2" t="str">
        <f>VLOOKUP(B774,'PO with created By ASR'!A:J,7,FALSE)</f>
        <v>A - Mumbai</v>
      </c>
      <c r="M774" s="2" t="str">
        <f>VLOOKUP(B774,'PO with created By ASR'!A:K,8,FALSE)</f>
        <v>Purchase Order-Mum</v>
      </c>
      <c r="N774" t="s">
        <v>36</v>
      </c>
      <c r="P774" s="2">
        <v>6</v>
      </c>
    </row>
    <row r="775" s="2" customFormat="1" spans="1:16">
      <c r="A775" s="8"/>
      <c r="B775" s="9" t="s">
        <v>1616</v>
      </c>
      <c r="C775" s="10" t="s">
        <v>196</v>
      </c>
      <c r="D775" s="11">
        <v>1</v>
      </c>
      <c r="E775" s="12">
        <v>174336</v>
      </c>
      <c r="F775" s="13">
        <v>174336</v>
      </c>
      <c r="G775" s="2">
        <f>VLOOKUP(B775,'PO with created By ASR'!A:C,3,FALSE)</f>
        <v>45680</v>
      </c>
      <c r="J775" s="2" t="str">
        <f>VLOOKUP(B775,'PO with created By ASR'!A:G,4,FALSE)</f>
        <v>Noaman Digital Partnership Firm-Mum</v>
      </c>
      <c r="K775" s="2" t="e">
        <f>VLOOKUP(B775,'PO with created By ASR'!A:I,6,FALSE)</f>
        <v>#N/A</v>
      </c>
      <c r="L775" s="2" t="str">
        <f>VLOOKUP(B775,'PO with created By ASR'!A:J,7,FALSE)</f>
        <v>A - Mumbai</v>
      </c>
      <c r="M775" s="2" t="str">
        <f>VLOOKUP(B775,'PO with created By ASR'!A:K,8,FALSE)</f>
        <v>Purchase Order-Mum</v>
      </c>
      <c r="N775" t="s">
        <v>36</v>
      </c>
      <c r="P775" s="2">
        <v>6</v>
      </c>
    </row>
    <row r="776" s="2" customFormat="1" spans="1:16">
      <c r="A776" s="8"/>
      <c r="B776" s="9" t="s">
        <v>1617</v>
      </c>
      <c r="C776" s="10" t="s">
        <v>256</v>
      </c>
      <c r="D776" s="11">
        <v>1</v>
      </c>
      <c r="E776" s="12">
        <v>67500</v>
      </c>
      <c r="F776" s="13">
        <v>67500</v>
      </c>
      <c r="G776" s="2">
        <f>VLOOKUP(B776,'PO with created By ASR'!A:C,3,FALSE)</f>
        <v>45680</v>
      </c>
      <c r="J776" s="2" t="str">
        <f>VLOOKUP(B776,'PO with created By ASR'!A:G,4,FALSE)</f>
        <v>The Indian Performing Right Society Ltd.-Mum</v>
      </c>
      <c r="K776" s="2" t="e">
        <f>VLOOKUP(B776,'PO with created By ASR'!A:I,6,FALSE)</f>
        <v>#N/A</v>
      </c>
      <c r="L776" s="2" t="str">
        <f>VLOOKUP(B776,'PO with created By ASR'!A:J,7,FALSE)</f>
        <v>A - Mumbai</v>
      </c>
      <c r="M776" s="2" t="str">
        <f>VLOOKUP(B776,'PO with created By ASR'!A:K,8,FALSE)</f>
        <v>Purchase Order-Mum</v>
      </c>
      <c r="N776" t="s">
        <v>36</v>
      </c>
      <c r="P776" s="2">
        <v>6</v>
      </c>
    </row>
    <row r="777" s="2" customFormat="1" spans="1:16">
      <c r="A777" s="8"/>
      <c r="B777" s="9" t="s">
        <v>1618</v>
      </c>
      <c r="C777" s="10" t="s">
        <v>256</v>
      </c>
      <c r="D777" s="11">
        <v>1</v>
      </c>
      <c r="E777" s="12">
        <v>60000</v>
      </c>
      <c r="F777" s="13">
        <v>60000</v>
      </c>
      <c r="G777" s="2">
        <f>VLOOKUP(B777,'PO with created By ASR'!A:C,3,FALSE)</f>
        <v>45680</v>
      </c>
      <c r="J777" s="2" t="str">
        <f>VLOOKUP(B777,'PO with created By ASR'!A:G,4,FALSE)</f>
        <v>Phonographic Performance Limited-Mum</v>
      </c>
      <c r="K777" s="2" t="e">
        <f>VLOOKUP(B777,'PO with created By ASR'!A:I,6,FALSE)</f>
        <v>#N/A</v>
      </c>
      <c r="L777" s="2" t="str">
        <f>VLOOKUP(B777,'PO with created By ASR'!A:J,7,FALSE)</f>
        <v>A - Mumbai</v>
      </c>
      <c r="M777" s="2" t="str">
        <f>VLOOKUP(B777,'PO with created By ASR'!A:K,8,FALSE)</f>
        <v>Purchase Order-Mum</v>
      </c>
      <c r="N777" t="s">
        <v>36</v>
      </c>
      <c r="P777" s="2">
        <v>6</v>
      </c>
    </row>
    <row r="778" s="2" customFormat="1" spans="1:16">
      <c r="A778" s="8"/>
      <c r="B778" s="9" t="s">
        <v>1619</v>
      </c>
      <c r="C778" s="10" t="s">
        <v>256</v>
      </c>
      <c r="D778" s="11">
        <v>1</v>
      </c>
      <c r="E778" s="12">
        <v>60000</v>
      </c>
      <c r="F778" s="13">
        <v>60000</v>
      </c>
      <c r="G778" s="2">
        <f>VLOOKUP(B778,'PO with created By ASR'!A:C,3,FALSE)</f>
        <v>45680</v>
      </c>
      <c r="J778" s="2" t="str">
        <f>VLOOKUP(B778,'PO with created By ASR'!A:G,4,FALSE)</f>
        <v>Novex Communications Pvt. Ltd.-Mum</v>
      </c>
      <c r="K778" s="2" t="e">
        <f>VLOOKUP(B778,'PO with created By ASR'!A:I,6,FALSE)</f>
        <v>#N/A</v>
      </c>
      <c r="L778" s="2" t="str">
        <f>VLOOKUP(B778,'PO with created By ASR'!A:J,7,FALSE)</f>
        <v>A - Mumbai</v>
      </c>
      <c r="M778" s="2" t="str">
        <f>VLOOKUP(B778,'PO with created By ASR'!A:K,8,FALSE)</f>
        <v>Purchase Order-Mum</v>
      </c>
      <c r="N778" t="s">
        <v>36</v>
      </c>
      <c r="P778" s="2">
        <v>6</v>
      </c>
    </row>
    <row r="779" s="2" customFormat="1" spans="1:16">
      <c r="A779" s="8"/>
      <c r="B779" s="9" t="s">
        <v>1620</v>
      </c>
      <c r="C779" s="10" t="s">
        <v>347</v>
      </c>
      <c r="D779" s="11">
        <v>1</v>
      </c>
      <c r="E779" s="12">
        <v>50500</v>
      </c>
      <c r="F779" s="13">
        <v>50500</v>
      </c>
      <c r="G779" s="2">
        <f>VLOOKUP(B779,'PO with created By ASR'!A:C,3,FALSE)</f>
        <v>45680</v>
      </c>
      <c r="J779" s="2" t="str">
        <f>VLOOKUP(B779,'PO with created By ASR'!A:G,4,FALSE)</f>
        <v>Mahesh Borade-Mum</v>
      </c>
      <c r="K779" s="2" t="str">
        <f>VLOOKUP(B779,'PO with created By ASR'!A:I,6,FALSE)</f>
        <v>10735 Mahesh Borade</v>
      </c>
      <c r="L779" s="2" t="str">
        <f>VLOOKUP(B779,'PO with created By ASR'!A:J,7,FALSE)</f>
        <v>A - Mumbai</v>
      </c>
      <c r="M779" s="2" t="str">
        <f>VLOOKUP(B779,'PO with created By ASR'!A:K,8,FALSE)</f>
        <v>Purchase Order-Mum</v>
      </c>
      <c r="N779" t="s">
        <v>36</v>
      </c>
      <c r="P779" s="2">
        <v>6</v>
      </c>
    </row>
    <row r="780" s="2" customFormat="1" spans="1:16">
      <c r="A780" s="8"/>
      <c r="B780" s="9" t="s">
        <v>1623</v>
      </c>
      <c r="C780" s="10" t="s">
        <v>292</v>
      </c>
      <c r="D780" s="11">
        <v>1</v>
      </c>
      <c r="E780" s="12">
        <v>120000</v>
      </c>
      <c r="F780" s="13">
        <v>120000</v>
      </c>
      <c r="G780" s="2">
        <f>VLOOKUP(B780,'PO with created By ASR'!A:C,3,FALSE)</f>
        <v>45680</v>
      </c>
      <c r="J780" s="2" t="str">
        <f>VLOOKUP(B780,'PO with created By ASR'!A:G,4,FALSE)</f>
        <v>Kirti Kishor Lokhande-Mum</v>
      </c>
      <c r="K780" s="2" t="str">
        <f>VLOOKUP(B780,'PO with created By ASR'!A:I,6,FALSE)</f>
        <v>10710 Kirti Kishor Lokhande</v>
      </c>
      <c r="L780" s="2" t="str">
        <f>VLOOKUP(B780,'PO with created By ASR'!A:J,7,FALSE)</f>
        <v>A - Mumbai</v>
      </c>
      <c r="M780" s="2" t="str">
        <f>VLOOKUP(B780,'PO with created By ASR'!A:K,8,FALSE)</f>
        <v>Purchase Order-Mum</v>
      </c>
      <c r="N780" t="s">
        <v>36</v>
      </c>
      <c r="P780" s="2">
        <v>6</v>
      </c>
    </row>
    <row r="781" s="2" customFormat="1" spans="1:16">
      <c r="A781" s="8"/>
      <c r="B781" s="9" t="s">
        <v>1626</v>
      </c>
      <c r="C781" s="10" t="s">
        <v>250</v>
      </c>
      <c r="D781" s="11">
        <v>1</v>
      </c>
      <c r="E781" s="12">
        <v>50000</v>
      </c>
      <c r="F781" s="13">
        <v>50000</v>
      </c>
      <c r="G781" s="2">
        <f>VLOOKUP(B781,'PO with created By ASR'!A:C,3,FALSE)</f>
        <v>45680</v>
      </c>
      <c r="J781" s="2" t="str">
        <f>VLOOKUP(B781,'PO with created By ASR'!A:G,4,FALSE)</f>
        <v>Blink Entertainment-Mum</v>
      </c>
      <c r="K781" s="2" t="str">
        <f>VLOOKUP(B781,'PO with created By ASR'!A:I,6,FALSE)</f>
        <v>11177 Blink Entertainment</v>
      </c>
      <c r="L781" s="2" t="str">
        <f>VLOOKUP(B781,'PO with created By ASR'!A:J,7,FALSE)</f>
        <v>A - Mumbai</v>
      </c>
      <c r="M781" s="2" t="str">
        <f>VLOOKUP(B781,'PO with created By ASR'!A:K,8,FALSE)</f>
        <v>Purchase Order-Mum</v>
      </c>
      <c r="N781" t="s">
        <v>36</v>
      </c>
      <c r="P781" s="2">
        <v>6</v>
      </c>
    </row>
    <row r="782" s="2" customFormat="1" spans="1:16">
      <c r="A782" s="8"/>
      <c r="B782" s="9" t="s">
        <v>1629</v>
      </c>
      <c r="C782" s="10" t="s">
        <v>126</v>
      </c>
      <c r="D782" s="11">
        <v>1</v>
      </c>
      <c r="E782" s="12">
        <v>317</v>
      </c>
      <c r="F782" s="13">
        <v>317</v>
      </c>
      <c r="G782" s="2">
        <f>VLOOKUP(B782,'PO with created By ASR'!A:C,3,FALSE)</f>
        <v>45680</v>
      </c>
      <c r="J782" s="2" t="str">
        <f>VLOOKUP(B782,'PO with created By ASR'!A:G,4,FALSE)</f>
        <v>Rutika Dhotre  -CR</v>
      </c>
      <c r="K782" s="2" t="e">
        <f>VLOOKUP(B782,'PO with created By ASR'!A:I,6,FALSE)</f>
        <v>#N/A</v>
      </c>
      <c r="L782" s="2" t="str">
        <f>VLOOKUP(B782,'PO with created By ASR'!A:J,7,FALSE)</f>
        <v>A - Mumbai</v>
      </c>
      <c r="M782" s="2" t="str">
        <f>VLOOKUP(B782,'PO with created By ASR'!A:K,8,FALSE)</f>
        <v>Purchase Order-Mum</v>
      </c>
      <c r="N782" t="s">
        <v>36</v>
      </c>
      <c r="P782" s="2">
        <v>6</v>
      </c>
    </row>
    <row r="783" s="2" customFormat="1" spans="1:16">
      <c r="A783" s="8"/>
      <c r="B783" s="9" t="s">
        <v>1629</v>
      </c>
      <c r="C783" s="10" t="s">
        <v>412</v>
      </c>
      <c r="D783" s="11">
        <v>1</v>
      </c>
      <c r="E783" s="12">
        <v>115</v>
      </c>
      <c r="F783" s="13">
        <v>115</v>
      </c>
      <c r="G783" s="2">
        <f>VLOOKUP(B783,'PO with created By ASR'!A:C,3,FALSE)</f>
        <v>45680</v>
      </c>
      <c r="J783" s="2" t="str">
        <f>VLOOKUP(B783,'PO with created By ASR'!A:G,4,FALSE)</f>
        <v>Rutika Dhotre  -CR</v>
      </c>
      <c r="K783" s="2" t="e">
        <f>VLOOKUP(B783,'PO with created By ASR'!A:I,6,FALSE)</f>
        <v>#N/A</v>
      </c>
      <c r="L783" s="2" t="str">
        <f>VLOOKUP(B783,'PO with created By ASR'!A:J,7,FALSE)</f>
        <v>A - Mumbai</v>
      </c>
      <c r="M783" s="2" t="str">
        <f>VLOOKUP(B783,'PO with created By ASR'!A:K,8,FALSE)</f>
        <v>Purchase Order-Mum</v>
      </c>
      <c r="N783" t="s">
        <v>36</v>
      </c>
      <c r="P783" s="2">
        <v>6</v>
      </c>
    </row>
    <row r="784" s="2" customFormat="1" spans="1:16">
      <c r="A784" s="8"/>
      <c r="B784" s="9" t="s">
        <v>1631</v>
      </c>
      <c r="C784" s="10" t="s">
        <v>126</v>
      </c>
      <c r="D784" s="11">
        <v>1</v>
      </c>
      <c r="E784" s="12">
        <v>3400</v>
      </c>
      <c r="F784" s="13">
        <v>3400</v>
      </c>
      <c r="G784" s="2">
        <f>VLOOKUP(B784,'PO with created By ASR'!A:C,3,FALSE)</f>
        <v>45680</v>
      </c>
      <c r="J784" s="2" t="str">
        <f>VLOOKUP(B784,'PO with created By ASR'!A:G,4,FALSE)</f>
        <v>Mohammad Danish  -CR</v>
      </c>
      <c r="K784" s="2" t="str">
        <f>VLOOKUP(B784,'PO with created By ASR'!A:I,6,FALSE)</f>
        <v>10757 Mohammad Danish</v>
      </c>
      <c r="L784" s="2" t="str">
        <f>VLOOKUP(B784,'PO with created By ASR'!A:J,7,FALSE)</f>
        <v>A - Mumbai</v>
      </c>
      <c r="M784" s="2" t="str">
        <f>VLOOKUP(B784,'PO with created By ASR'!A:K,8,FALSE)</f>
        <v>Purchase Order-Mum</v>
      </c>
      <c r="N784" t="s">
        <v>36</v>
      </c>
      <c r="P784" s="2">
        <v>6</v>
      </c>
    </row>
    <row r="785" s="2" customFormat="1" spans="1:16">
      <c r="A785" s="8"/>
      <c r="B785" s="9" t="s">
        <v>1631</v>
      </c>
      <c r="C785" s="10" t="s">
        <v>412</v>
      </c>
      <c r="D785" s="11">
        <v>1</v>
      </c>
      <c r="E785" s="12">
        <v>16962</v>
      </c>
      <c r="F785" s="13">
        <v>16962</v>
      </c>
      <c r="G785" s="2">
        <f>VLOOKUP(B785,'PO with created By ASR'!A:C,3,FALSE)</f>
        <v>45680</v>
      </c>
      <c r="J785" s="2" t="str">
        <f>VLOOKUP(B785,'PO with created By ASR'!A:G,4,FALSE)</f>
        <v>Mohammad Danish  -CR</v>
      </c>
      <c r="K785" s="2" t="str">
        <f>VLOOKUP(B785,'PO with created By ASR'!A:I,6,FALSE)</f>
        <v>10757 Mohammad Danish</v>
      </c>
      <c r="L785" s="2" t="str">
        <f>VLOOKUP(B785,'PO with created By ASR'!A:J,7,FALSE)</f>
        <v>A - Mumbai</v>
      </c>
      <c r="M785" s="2" t="str">
        <f>VLOOKUP(B785,'PO with created By ASR'!A:K,8,FALSE)</f>
        <v>Purchase Order-Mum</v>
      </c>
      <c r="N785" t="s">
        <v>36</v>
      </c>
      <c r="P785" s="2">
        <v>6</v>
      </c>
    </row>
    <row r="786" s="2" customFormat="1" spans="1:16">
      <c r="A786" s="8"/>
      <c r="B786" s="9" t="s">
        <v>1631</v>
      </c>
      <c r="C786" s="10" t="s">
        <v>1055</v>
      </c>
      <c r="D786" s="11">
        <v>1</v>
      </c>
      <c r="E786" s="12">
        <v>1368</v>
      </c>
      <c r="F786" s="13">
        <v>1368</v>
      </c>
      <c r="G786" s="2">
        <f>VLOOKUP(B786,'PO with created By ASR'!A:C,3,FALSE)</f>
        <v>45680</v>
      </c>
      <c r="J786" s="2" t="str">
        <f>VLOOKUP(B786,'PO with created By ASR'!A:G,4,FALSE)</f>
        <v>Mohammad Danish  -CR</v>
      </c>
      <c r="K786" s="2" t="str">
        <f>VLOOKUP(B786,'PO with created By ASR'!A:I,6,FALSE)</f>
        <v>10757 Mohammad Danish</v>
      </c>
      <c r="L786" s="2" t="str">
        <f>VLOOKUP(B786,'PO with created By ASR'!A:J,7,FALSE)</f>
        <v>A - Mumbai</v>
      </c>
      <c r="M786" s="2" t="str">
        <f>VLOOKUP(B786,'PO with created By ASR'!A:K,8,FALSE)</f>
        <v>Purchase Order-Mum</v>
      </c>
      <c r="N786" t="s">
        <v>36</v>
      </c>
      <c r="P786" s="2">
        <v>6</v>
      </c>
    </row>
    <row r="787" s="2" customFormat="1" spans="1:16">
      <c r="A787" s="8"/>
      <c r="B787" s="9" t="s">
        <v>1631</v>
      </c>
      <c r="C787" s="10" t="s">
        <v>317</v>
      </c>
      <c r="D787" s="11">
        <v>1</v>
      </c>
      <c r="E787" s="12">
        <v>1290</v>
      </c>
      <c r="F787" s="13">
        <v>1290</v>
      </c>
      <c r="G787" s="2">
        <f>VLOOKUP(B787,'PO with created By ASR'!A:C,3,FALSE)</f>
        <v>45680</v>
      </c>
      <c r="J787" s="2" t="str">
        <f>VLOOKUP(B787,'PO with created By ASR'!A:G,4,FALSE)</f>
        <v>Mohammad Danish  -CR</v>
      </c>
      <c r="K787" s="2" t="str">
        <f>VLOOKUP(B787,'PO with created By ASR'!A:I,6,FALSE)</f>
        <v>10757 Mohammad Danish</v>
      </c>
      <c r="L787" s="2" t="str">
        <f>VLOOKUP(B787,'PO with created By ASR'!A:J,7,FALSE)</f>
        <v>A - Mumbai</v>
      </c>
      <c r="M787" s="2" t="str">
        <f>VLOOKUP(B787,'PO with created By ASR'!A:K,8,FALSE)</f>
        <v>Purchase Order-Mum</v>
      </c>
      <c r="N787" t="s">
        <v>36</v>
      </c>
      <c r="P787" s="2">
        <v>6</v>
      </c>
    </row>
    <row r="788" s="2" customFormat="1" spans="1:16">
      <c r="A788" s="8"/>
      <c r="B788" s="9" t="s">
        <v>1632</v>
      </c>
      <c r="C788" s="10" t="s">
        <v>317</v>
      </c>
      <c r="D788" s="11">
        <v>1</v>
      </c>
      <c r="E788" s="12">
        <v>900</v>
      </c>
      <c r="F788" s="13">
        <v>900</v>
      </c>
      <c r="G788" s="2">
        <f>VLOOKUP(B788,'PO with created By ASR'!A:C,3,FALSE)</f>
        <v>45680</v>
      </c>
      <c r="J788" s="2" t="str">
        <f>VLOOKUP(B788,'PO with created By ASR'!A:G,4,FALSE)</f>
        <v>Sachin Jadhav -CR</v>
      </c>
      <c r="K788" s="2" t="e">
        <f>VLOOKUP(B788,'PO with created By ASR'!A:I,6,FALSE)</f>
        <v>#N/A</v>
      </c>
      <c r="L788" s="2" t="str">
        <f>VLOOKUP(B788,'PO with created By ASR'!A:J,7,FALSE)</f>
        <v>A - Mumbai</v>
      </c>
      <c r="M788" s="2" t="str">
        <f>VLOOKUP(B788,'PO with created By ASR'!A:K,8,FALSE)</f>
        <v>Purchase Order-Mum</v>
      </c>
      <c r="N788" t="s">
        <v>36</v>
      </c>
      <c r="P788" s="2">
        <v>6</v>
      </c>
    </row>
    <row r="789" s="2" customFormat="1" spans="1:16">
      <c r="A789" s="8"/>
      <c r="B789" s="9" t="s">
        <v>1633</v>
      </c>
      <c r="C789" s="10" t="s">
        <v>126</v>
      </c>
      <c r="D789" s="11">
        <v>1</v>
      </c>
      <c r="E789" s="12">
        <v>378</v>
      </c>
      <c r="F789" s="13">
        <v>378</v>
      </c>
      <c r="G789" s="2">
        <f>VLOOKUP(B789,'PO with created By ASR'!A:C,3,FALSE)</f>
        <v>45680</v>
      </c>
      <c r="J789" s="2" t="str">
        <f>VLOOKUP(B789,'PO with created By ASR'!A:G,4,FALSE)</f>
        <v>Sachin Jadhav -CR</v>
      </c>
      <c r="K789" s="2" t="e">
        <f>VLOOKUP(B789,'PO with created By ASR'!A:I,6,FALSE)</f>
        <v>#N/A</v>
      </c>
      <c r="L789" s="2" t="str">
        <f>VLOOKUP(B789,'PO with created By ASR'!A:J,7,FALSE)</f>
        <v>A - Mumbai</v>
      </c>
      <c r="M789" s="2" t="str">
        <f>VLOOKUP(B789,'PO with created By ASR'!A:K,8,FALSE)</f>
        <v>Purchase Order-Mum</v>
      </c>
      <c r="N789" t="s">
        <v>36</v>
      </c>
      <c r="P789" s="2">
        <v>6</v>
      </c>
    </row>
    <row r="790" s="2" customFormat="1" spans="1:16">
      <c r="A790" s="8"/>
      <c r="B790" s="9" t="s">
        <v>1633</v>
      </c>
      <c r="C790" s="10" t="s">
        <v>412</v>
      </c>
      <c r="D790" s="11">
        <v>1</v>
      </c>
      <c r="E790" s="12">
        <v>150</v>
      </c>
      <c r="F790" s="13">
        <v>150</v>
      </c>
      <c r="G790" s="2">
        <f>VLOOKUP(B790,'PO with created By ASR'!A:C,3,FALSE)</f>
        <v>45680</v>
      </c>
      <c r="J790" s="2" t="str">
        <f>VLOOKUP(B790,'PO with created By ASR'!A:G,4,FALSE)</f>
        <v>Sachin Jadhav -CR</v>
      </c>
      <c r="K790" s="2" t="e">
        <f>VLOOKUP(B790,'PO with created By ASR'!A:I,6,FALSE)</f>
        <v>#N/A</v>
      </c>
      <c r="L790" s="2" t="str">
        <f>VLOOKUP(B790,'PO with created By ASR'!A:J,7,FALSE)</f>
        <v>A - Mumbai</v>
      </c>
      <c r="M790" s="2" t="str">
        <f>VLOOKUP(B790,'PO with created By ASR'!A:K,8,FALSE)</f>
        <v>Purchase Order-Mum</v>
      </c>
      <c r="N790" t="s">
        <v>36</v>
      </c>
      <c r="P790" s="2">
        <v>6</v>
      </c>
    </row>
    <row r="791" s="2" customFormat="1" spans="1:16">
      <c r="A791" s="8"/>
      <c r="B791" s="9" t="s">
        <v>1634</v>
      </c>
      <c r="C791" s="10" t="s">
        <v>126</v>
      </c>
      <c r="D791" s="11">
        <v>1</v>
      </c>
      <c r="E791" s="12">
        <v>2031</v>
      </c>
      <c r="F791" s="13">
        <v>2031</v>
      </c>
      <c r="G791" s="2">
        <f>VLOOKUP(B791,'PO with created By ASR'!A:C,3,FALSE)</f>
        <v>45680</v>
      </c>
      <c r="J791" s="2" t="str">
        <f>VLOOKUP(B791,'PO with created By ASR'!A:G,4,FALSE)</f>
        <v>Rushabh Vimlesh Upadhyay  -CR</v>
      </c>
      <c r="K791" s="2" t="e">
        <f>VLOOKUP(B791,'PO with created By ASR'!A:I,6,FALSE)</f>
        <v>#N/A</v>
      </c>
      <c r="L791" s="2" t="str">
        <f>VLOOKUP(B791,'PO with created By ASR'!A:J,7,FALSE)</f>
        <v>A - Mumbai</v>
      </c>
      <c r="M791" s="2" t="str">
        <f>VLOOKUP(B791,'PO with created By ASR'!A:K,8,FALSE)</f>
        <v>Purchase Order-Mum</v>
      </c>
      <c r="N791" t="s">
        <v>36</v>
      </c>
      <c r="P791" s="2">
        <v>6</v>
      </c>
    </row>
    <row r="792" s="2" customFormat="1" spans="1:16">
      <c r="A792" s="8"/>
      <c r="B792" s="9" t="s">
        <v>1634</v>
      </c>
      <c r="C792" s="10" t="s">
        <v>1055</v>
      </c>
      <c r="D792" s="11">
        <v>1</v>
      </c>
      <c r="E792" s="12">
        <v>1196</v>
      </c>
      <c r="F792" s="13">
        <v>1196</v>
      </c>
      <c r="G792" s="2">
        <f>VLOOKUP(B792,'PO with created By ASR'!A:C,3,FALSE)</f>
        <v>45680</v>
      </c>
      <c r="J792" s="2" t="str">
        <f>VLOOKUP(B792,'PO with created By ASR'!A:G,4,FALSE)</f>
        <v>Rushabh Vimlesh Upadhyay  -CR</v>
      </c>
      <c r="K792" s="2" t="e">
        <f>VLOOKUP(B792,'PO with created By ASR'!A:I,6,FALSE)</f>
        <v>#N/A</v>
      </c>
      <c r="L792" s="2" t="str">
        <f>VLOOKUP(B792,'PO with created By ASR'!A:J,7,FALSE)</f>
        <v>A - Mumbai</v>
      </c>
      <c r="M792" s="2" t="str">
        <f>VLOOKUP(B792,'PO with created By ASR'!A:K,8,FALSE)</f>
        <v>Purchase Order-Mum</v>
      </c>
      <c r="N792" t="s">
        <v>36</v>
      </c>
      <c r="P792" s="2">
        <v>6</v>
      </c>
    </row>
    <row r="793" s="2" customFormat="1" spans="1:16">
      <c r="A793" s="8"/>
      <c r="B793" s="9" t="s">
        <v>1635</v>
      </c>
      <c r="C793" s="10" t="s">
        <v>126</v>
      </c>
      <c r="D793" s="11">
        <v>1</v>
      </c>
      <c r="E793" s="12">
        <v>387</v>
      </c>
      <c r="F793" s="13">
        <v>387</v>
      </c>
      <c r="G793" s="2">
        <f>VLOOKUP(B793,'PO with created By ASR'!A:C,3,FALSE)</f>
        <v>45680</v>
      </c>
      <c r="J793" s="2" t="str">
        <f>VLOOKUP(B793,'PO with created By ASR'!A:G,4,FALSE)</f>
        <v>Padmakar Jadhav -CR</v>
      </c>
      <c r="K793" s="2" t="e">
        <f>VLOOKUP(B793,'PO with created By ASR'!A:I,6,FALSE)</f>
        <v>#N/A</v>
      </c>
      <c r="L793" s="2" t="str">
        <f>VLOOKUP(B793,'PO with created By ASR'!A:J,7,FALSE)</f>
        <v>A - Mumbai</v>
      </c>
      <c r="M793" s="2" t="str">
        <f>VLOOKUP(B793,'PO with created By ASR'!A:K,8,FALSE)</f>
        <v>Purchase Order-Mum</v>
      </c>
      <c r="N793" t="s">
        <v>36</v>
      </c>
      <c r="P793" s="2">
        <v>6</v>
      </c>
    </row>
    <row r="794" s="2" customFormat="1" spans="1:16">
      <c r="A794" s="8"/>
      <c r="B794" s="9" t="s">
        <v>1636</v>
      </c>
      <c r="C794" s="10" t="s">
        <v>126</v>
      </c>
      <c r="D794" s="11">
        <v>1</v>
      </c>
      <c r="E794" s="12">
        <v>382</v>
      </c>
      <c r="F794" s="13">
        <v>382</v>
      </c>
      <c r="G794" s="2">
        <f>VLOOKUP(B794,'PO with created By ASR'!A:C,3,FALSE)</f>
        <v>45680</v>
      </c>
      <c r="J794" s="2" t="str">
        <f>VLOOKUP(B794,'PO with created By ASR'!A:G,4,FALSE)</f>
        <v>Padmakar Jadhav -CR</v>
      </c>
      <c r="K794" s="2" t="e">
        <f>VLOOKUP(B794,'PO with created By ASR'!A:I,6,FALSE)</f>
        <v>#N/A</v>
      </c>
      <c r="L794" s="2" t="str">
        <f>VLOOKUP(B794,'PO with created By ASR'!A:J,7,FALSE)</f>
        <v>A - Mumbai</v>
      </c>
      <c r="M794" s="2" t="str">
        <f>VLOOKUP(B794,'PO with created By ASR'!A:K,8,FALSE)</f>
        <v>Purchase Order-Mum</v>
      </c>
      <c r="N794" t="s">
        <v>36</v>
      </c>
      <c r="P794" s="2">
        <v>6</v>
      </c>
    </row>
    <row r="795" s="2" customFormat="1" spans="1:16">
      <c r="A795" s="8"/>
      <c r="B795" s="9" t="s">
        <v>1637</v>
      </c>
      <c r="C795" s="10" t="s">
        <v>126</v>
      </c>
      <c r="D795" s="11">
        <v>1</v>
      </c>
      <c r="E795" s="12">
        <v>344</v>
      </c>
      <c r="F795" s="13">
        <v>344</v>
      </c>
      <c r="G795" s="2">
        <f>VLOOKUP(B795,'PO with created By ASR'!A:C,3,FALSE)</f>
        <v>45680</v>
      </c>
      <c r="J795" s="2" t="str">
        <f>VLOOKUP(B795,'PO with created By ASR'!A:G,4,FALSE)</f>
        <v>Suresh Pardhle  -CR</v>
      </c>
      <c r="K795" s="2" t="e">
        <f>VLOOKUP(B795,'PO with created By ASR'!A:I,6,FALSE)</f>
        <v>#N/A</v>
      </c>
      <c r="L795" s="2" t="str">
        <f>VLOOKUP(B795,'PO with created By ASR'!A:J,7,FALSE)</f>
        <v>A - Mumbai</v>
      </c>
      <c r="M795" s="2" t="str">
        <f>VLOOKUP(B795,'PO with created By ASR'!A:K,8,FALSE)</f>
        <v>Purchase Order-Mum</v>
      </c>
      <c r="N795" t="s">
        <v>36</v>
      </c>
      <c r="P795" s="2">
        <v>6</v>
      </c>
    </row>
    <row r="796" s="2" customFormat="1" spans="1:16">
      <c r="A796" s="8"/>
      <c r="B796" s="9" t="s">
        <v>1637</v>
      </c>
      <c r="C796" s="10" t="s">
        <v>412</v>
      </c>
      <c r="D796" s="11">
        <v>1</v>
      </c>
      <c r="E796" s="12">
        <v>150</v>
      </c>
      <c r="F796" s="13">
        <v>150</v>
      </c>
      <c r="G796" s="2">
        <f>VLOOKUP(B796,'PO with created By ASR'!A:C,3,FALSE)</f>
        <v>45680</v>
      </c>
      <c r="J796" s="2" t="str">
        <f>VLOOKUP(B796,'PO with created By ASR'!A:G,4,FALSE)</f>
        <v>Suresh Pardhle  -CR</v>
      </c>
      <c r="K796" s="2" t="e">
        <f>VLOOKUP(B796,'PO with created By ASR'!A:I,6,FALSE)</f>
        <v>#N/A</v>
      </c>
      <c r="L796" s="2" t="str">
        <f>VLOOKUP(B796,'PO with created By ASR'!A:J,7,FALSE)</f>
        <v>A - Mumbai</v>
      </c>
      <c r="M796" s="2" t="str">
        <f>VLOOKUP(B796,'PO with created By ASR'!A:K,8,FALSE)</f>
        <v>Purchase Order-Mum</v>
      </c>
      <c r="N796" t="s">
        <v>36</v>
      </c>
      <c r="P796" s="2">
        <v>6</v>
      </c>
    </row>
    <row r="797" s="2" customFormat="1" spans="1:16">
      <c r="A797" s="8"/>
      <c r="B797" s="9" t="s">
        <v>1638</v>
      </c>
      <c r="C797" s="10" t="s">
        <v>126</v>
      </c>
      <c r="D797" s="11">
        <v>1</v>
      </c>
      <c r="E797" s="12">
        <v>1051</v>
      </c>
      <c r="F797" s="13">
        <v>1051</v>
      </c>
      <c r="G797" s="2">
        <f>VLOOKUP(B797,'PO with created By ASR'!A:C,3,FALSE)</f>
        <v>45680</v>
      </c>
      <c r="J797" s="2" t="str">
        <f>VLOOKUP(B797,'PO with created By ASR'!A:G,4,FALSE)</f>
        <v>Rajaram Shinde Cash -CR</v>
      </c>
      <c r="K797" s="2" t="e">
        <f>VLOOKUP(B797,'PO with created By ASR'!A:I,6,FALSE)</f>
        <v>#N/A</v>
      </c>
      <c r="L797" s="2" t="str">
        <f>VLOOKUP(B797,'PO with created By ASR'!A:J,7,FALSE)</f>
        <v>A - Mumbai</v>
      </c>
      <c r="M797" s="2" t="str">
        <f>VLOOKUP(B797,'PO with created By ASR'!A:K,8,FALSE)</f>
        <v>Purchase Order-Mum</v>
      </c>
      <c r="N797" t="s">
        <v>36</v>
      </c>
      <c r="P797" s="2">
        <v>6</v>
      </c>
    </row>
    <row r="798" s="2" customFormat="1" spans="1:16">
      <c r="A798" s="8"/>
      <c r="B798" s="9" t="s">
        <v>1638</v>
      </c>
      <c r="C798" s="10" t="s">
        <v>412</v>
      </c>
      <c r="D798" s="11">
        <v>1</v>
      </c>
      <c r="E798" s="12">
        <v>150</v>
      </c>
      <c r="F798" s="13">
        <v>150</v>
      </c>
      <c r="G798" s="2">
        <f>VLOOKUP(B798,'PO with created By ASR'!A:C,3,FALSE)</f>
        <v>45680</v>
      </c>
      <c r="J798" s="2" t="str">
        <f>VLOOKUP(B798,'PO with created By ASR'!A:G,4,FALSE)</f>
        <v>Rajaram Shinde Cash -CR</v>
      </c>
      <c r="K798" s="2" t="e">
        <f>VLOOKUP(B798,'PO with created By ASR'!A:I,6,FALSE)</f>
        <v>#N/A</v>
      </c>
      <c r="L798" s="2" t="str">
        <f>VLOOKUP(B798,'PO with created By ASR'!A:J,7,FALSE)</f>
        <v>A - Mumbai</v>
      </c>
      <c r="M798" s="2" t="str">
        <f>VLOOKUP(B798,'PO with created By ASR'!A:K,8,FALSE)</f>
        <v>Purchase Order-Mum</v>
      </c>
      <c r="N798" t="s">
        <v>36</v>
      </c>
      <c r="P798" s="2">
        <v>6</v>
      </c>
    </row>
    <row r="799" s="2" customFormat="1" spans="1:16">
      <c r="A799" s="8"/>
      <c r="B799" s="9" t="s">
        <v>1640</v>
      </c>
      <c r="C799" s="10" t="s">
        <v>126</v>
      </c>
      <c r="D799" s="11">
        <v>1</v>
      </c>
      <c r="E799" s="12">
        <v>988</v>
      </c>
      <c r="F799" s="13">
        <v>988</v>
      </c>
      <c r="G799" s="2">
        <f>VLOOKUP(B799,'PO with created By ASR'!A:C,3,FALSE)</f>
        <v>45680</v>
      </c>
      <c r="J799" s="2" t="str">
        <f>VLOOKUP(B799,'PO with created By ASR'!A:G,4,FALSE)</f>
        <v>Santosh Bhogal Cash  -CR</v>
      </c>
      <c r="K799" s="2" t="e">
        <f>VLOOKUP(B799,'PO with created By ASR'!A:I,6,FALSE)</f>
        <v>#N/A</v>
      </c>
      <c r="L799" s="2" t="str">
        <f>VLOOKUP(B799,'PO with created By ASR'!A:J,7,FALSE)</f>
        <v>A - Mumbai</v>
      </c>
      <c r="M799" s="2" t="str">
        <f>VLOOKUP(B799,'PO with created By ASR'!A:K,8,FALSE)</f>
        <v>Purchase Order-Mum</v>
      </c>
      <c r="N799" t="s">
        <v>36</v>
      </c>
      <c r="P799" s="2">
        <v>6</v>
      </c>
    </row>
    <row r="800" s="2" customFormat="1" spans="1:16">
      <c r="A800" s="8"/>
      <c r="B800" s="9" t="s">
        <v>1640</v>
      </c>
      <c r="C800" s="10" t="s">
        <v>412</v>
      </c>
      <c r="D800" s="11">
        <v>1</v>
      </c>
      <c r="E800" s="12">
        <v>150</v>
      </c>
      <c r="F800" s="13">
        <v>150</v>
      </c>
      <c r="G800" s="2">
        <f>VLOOKUP(B800,'PO with created By ASR'!A:C,3,FALSE)</f>
        <v>45680</v>
      </c>
      <c r="J800" s="2" t="str">
        <f>VLOOKUP(B800,'PO with created By ASR'!A:G,4,FALSE)</f>
        <v>Santosh Bhogal Cash  -CR</v>
      </c>
      <c r="K800" s="2" t="e">
        <f>VLOOKUP(B800,'PO with created By ASR'!A:I,6,FALSE)</f>
        <v>#N/A</v>
      </c>
      <c r="L800" s="2" t="str">
        <f>VLOOKUP(B800,'PO with created By ASR'!A:J,7,FALSE)</f>
        <v>A - Mumbai</v>
      </c>
      <c r="M800" s="2" t="str">
        <f>VLOOKUP(B800,'PO with created By ASR'!A:K,8,FALSE)</f>
        <v>Purchase Order-Mum</v>
      </c>
      <c r="N800" t="s">
        <v>36</v>
      </c>
      <c r="P800" s="2">
        <v>6</v>
      </c>
    </row>
    <row r="801" s="2" customFormat="1" spans="1:16">
      <c r="A801" s="8"/>
      <c r="B801" s="9" t="s">
        <v>1641</v>
      </c>
      <c r="C801" s="10" t="s">
        <v>126</v>
      </c>
      <c r="D801" s="11">
        <v>1</v>
      </c>
      <c r="E801" s="12">
        <v>1265</v>
      </c>
      <c r="F801" s="13">
        <v>1265</v>
      </c>
      <c r="G801" s="2">
        <f>VLOOKUP(B801,'PO with created By ASR'!A:C,3,FALSE)</f>
        <v>45680</v>
      </c>
      <c r="J801" s="2" t="str">
        <f>VLOOKUP(B801,'PO with created By ASR'!A:G,4,FALSE)</f>
        <v>Mahendra Mane -CR</v>
      </c>
      <c r="K801" s="2" t="e">
        <f>VLOOKUP(B801,'PO with created By ASR'!A:I,6,FALSE)</f>
        <v>#N/A</v>
      </c>
      <c r="L801" s="2" t="str">
        <f>VLOOKUP(B801,'PO with created By ASR'!A:J,7,FALSE)</f>
        <v>A - Mumbai</v>
      </c>
      <c r="M801" s="2" t="str">
        <f>VLOOKUP(B801,'PO with created By ASR'!A:K,8,FALSE)</f>
        <v>Purchase Order-Mum</v>
      </c>
      <c r="N801" t="s">
        <v>36</v>
      </c>
      <c r="P801" s="2">
        <v>6</v>
      </c>
    </row>
    <row r="802" s="2" customFormat="1" spans="1:16">
      <c r="A802" s="8"/>
      <c r="B802" s="9" t="s">
        <v>1642</v>
      </c>
      <c r="C802" s="10" t="s">
        <v>126</v>
      </c>
      <c r="D802" s="11">
        <v>1</v>
      </c>
      <c r="E802" s="12">
        <v>10845.08</v>
      </c>
      <c r="F802" s="13">
        <v>10845.08</v>
      </c>
      <c r="G802" s="2">
        <f>VLOOKUP(B802,'PO with created By ASR'!A:C,3,FALSE)</f>
        <v>45680</v>
      </c>
      <c r="J802" s="2" t="str">
        <f>VLOOKUP(B802,'PO with created By ASR'!A:G,4,FALSE)</f>
        <v>Ashwin Mishra  -CR</v>
      </c>
      <c r="K802" s="2" t="e">
        <f>VLOOKUP(B802,'PO with created By ASR'!A:I,6,FALSE)</f>
        <v>#N/A</v>
      </c>
      <c r="L802" s="2" t="str">
        <f>VLOOKUP(B802,'PO with created By ASR'!A:J,7,FALSE)</f>
        <v>A - Mumbai</v>
      </c>
      <c r="M802" s="2" t="str">
        <f>VLOOKUP(B802,'PO with created By ASR'!A:K,8,FALSE)</f>
        <v>Purchase Order-Mum</v>
      </c>
      <c r="N802" t="s">
        <v>36</v>
      </c>
      <c r="P802" s="2">
        <v>6</v>
      </c>
    </row>
    <row r="803" s="2" customFormat="1" spans="1:16">
      <c r="A803" s="8"/>
      <c r="B803" s="9" t="s">
        <v>1642</v>
      </c>
      <c r="C803" s="10" t="s">
        <v>412</v>
      </c>
      <c r="D803" s="11">
        <v>1</v>
      </c>
      <c r="E803" s="12">
        <v>10245.92</v>
      </c>
      <c r="F803" s="13">
        <v>10245.92</v>
      </c>
      <c r="G803" s="2">
        <f>VLOOKUP(B803,'PO with created By ASR'!A:C,3,FALSE)</f>
        <v>45680</v>
      </c>
      <c r="J803" s="2" t="str">
        <f>VLOOKUP(B803,'PO with created By ASR'!A:G,4,FALSE)</f>
        <v>Ashwin Mishra  -CR</v>
      </c>
      <c r="K803" s="2" t="e">
        <f>VLOOKUP(B803,'PO with created By ASR'!A:I,6,FALSE)</f>
        <v>#N/A</v>
      </c>
      <c r="L803" s="2" t="str">
        <f>VLOOKUP(B803,'PO with created By ASR'!A:J,7,FALSE)</f>
        <v>A - Mumbai</v>
      </c>
      <c r="M803" s="2" t="str">
        <f>VLOOKUP(B803,'PO with created By ASR'!A:K,8,FALSE)</f>
        <v>Purchase Order-Mum</v>
      </c>
      <c r="N803" t="s">
        <v>36</v>
      </c>
      <c r="P803" s="2">
        <v>6</v>
      </c>
    </row>
    <row r="804" s="2" customFormat="1" spans="1:16">
      <c r="A804" s="8"/>
      <c r="B804" s="9" t="s">
        <v>1644</v>
      </c>
      <c r="C804" s="10" t="s">
        <v>126</v>
      </c>
      <c r="D804" s="11">
        <v>1</v>
      </c>
      <c r="E804" s="12">
        <v>3132</v>
      </c>
      <c r="F804" s="13">
        <v>3132</v>
      </c>
      <c r="G804" s="2">
        <f>VLOOKUP(B804,'PO with created By ASR'!A:C,3,FALSE)</f>
        <v>45680</v>
      </c>
      <c r="J804" s="2" t="str">
        <f>VLOOKUP(B804,'PO with created By ASR'!A:G,4,FALSE)</f>
        <v>Maitree Dang  -CR</v>
      </c>
      <c r="K804" s="2" t="e">
        <f>VLOOKUP(B804,'PO with created By ASR'!A:I,6,FALSE)</f>
        <v>#N/A</v>
      </c>
      <c r="L804" s="2" t="str">
        <f>VLOOKUP(B804,'PO with created By ASR'!A:J,7,FALSE)</f>
        <v>A - Mumbai</v>
      </c>
      <c r="M804" s="2" t="str">
        <f>VLOOKUP(B804,'PO with created By ASR'!A:K,8,FALSE)</f>
        <v>Purchase Order-Mum</v>
      </c>
      <c r="N804" t="s">
        <v>36</v>
      </c>
      <c r="P804" s="2">
        <v>6</v>
      </c>
    </row>
    <row r="805" s="2" customFormat="1" spans="1:16">
      <c r="A805" s="8"/>
      <c r="B805" s="9" t="s">
        <v>1644</v>
      </c>
      <c r="C805" s="10" t="s">
        <v>412</v>
      </c>
      <c r="D805" s="11">
        <v>1</v>
      </c>
      <c r="E805" s="12">
        <v>7021</v>
      </c>
      <c r="F805" s="13">
        <v>7021</v>
      </c>
      <c r="G805" s="2">
        <f>VLOOKUP(B805,'PO with created By ASR'!A:C,3,FALSE)</f>
        <v>45680</v>
      </c>
      <c r="J805" s="2" t="str">
        <f>VLOOKUP(B805,'PO with created By ASR'!A:G,4,FALSE)</f>
        <v>Maitree Dang  -CR</v>
      </c>
      <c r="K805" s="2" t="e">
        <f>VLOOKUP(B805,'PO with created By ASR'!A:I,6,FALSE)</f>
        <v>#N/A</v>
      </c>
      <c r="L805" s="2" t="str">
        <f>VLOOKUP(B805,'PO with created By ASR'!A:J,7,FALSE)</f>
        <v>A - Mumbai</v>
      </c>
      <c r="M805" s="2" t="str">
        <f>VLOOKUP(B805,'PO with created By ASR'!A:K,8,FALSE)</f>
        <v>Purchase Order-Mum</v>
      </c>
      <c r="N805" t="s">
        <v>36</v>
      </c>
      <c r="P805" s="2">
        <v>6</v>
      </c>
    </row>
    <row r="806" s="2" customFormat="1" spans="1:16">
      <c r="A806" s="8"/>
      <c r="B806" s="9" t="s">
        <v>1646</v>
      </c>
      <c r="C806" s="10" t="s">
        <v>61</v>
      </c>
      <c r="D806" s="11">
        <v>1</v>
      </c>
      <c r="E806" s="12">
        <v>1800</v>
      </c>
      <c r="F806" s="13">
        <v>1800</v>
      </c>
      <c r="G806" s="2">
        <f>VLOOKUP(B806,'PO with created By ASR'!A:C,3,FALSE)</f>
        <v>45680</v>
      </c>
      <c r="J806" s="2" t="str">
        <f>VLOOKUP(B806,'PO with created By ASR'!A:G,4,FALSE)</f>
        <v>Aftab Shaikh  -CR</v>
      </c>
      <c r="K806" s="2" t="e">
        <f>VLOOKUP(B806,'PO with created By ASR'!A:I,6,FALSE)</f>
        <v>#N/A</v>
      </c>
      <c r="L806" s="2" t="str">
        <f>VLOOKUP(B806,'PO with created By ASR'!A:J,7,FALSE)</f>
        <v>A - Mumbai</v>
      </c>
      <c r="M806" s="2" t="str">
        <f>VLOOKUP(B806,'PO with created By ASR'!A:K,8,FALSE)</f>
        <v>Purchase Order-Mum</v>
      </c>
      <c r="N806" t="s">
        <v>36</v>
      </c>
      <c r="P806" s="2">
        <v>6</v>
      </c>
    </row>
    <row r="807" s="2" customFormat="1" spans="1:16">
      <c r="A807" s="8"/>
      <c r="B807" s="9" t="s">
        <v>1646</v>
      </c>
      <c r="C807" s="10" t="s">
        <v>126</v>
      </c>
      <c r="D807" s="11">
        <v>1</v>
      </c>
      <c r="E807" s="12">
        <v>5523.58</v>
      </c>
      <c r="F807" s="13">
        <v>5523.58</v>
      </c>
      <c r="G807" s="2">
        <f>VLOOKUP(B807,'PO with created By ASR'!A:C,3,FALSE)</f>
        <v>45680</v>
      </c>
      <c r="J807" s="2" t="str">
        <f>VLOOKUP(B807,'PO with created By ASR'!A:G,4,FALSE)</f>
        <v>Aftab Shaikh  -CR</v>
      </c>
      <c r="K807" s="2" t="e">
        <f>VLOOKUP(B807,'PO with created By ASR'!A:I,6,FALSE)</f>
        <v>#N/A</v>
      </c>
      <c r="L807" s="2" t="str">
        <f>VLOOKUP(B807,'PO with created By ASR'!A:J,7,FALSE)</f>
        <v>A - Mumbai</v>
      </c>
      <c r="M807" s="2" t="str">
        <f>VLOOKUP(B807,'PO with created By ASR'!A:K,8,FALSE)</f>
        <v>Purchase Order-Mum</v>
      </c>
      <c r="N807" t="s">
        <v>36</v>
      </c>
      <c r="P807" s="2">
        <v>6</v>
      </c>
    </row>
    <row r="808" s="2" customFormat="1" spans="1:16">
      <c r="A808" s="8"/>
      <c r="B808" s="9" t="s">
        <v>1646</v>
      </c>
      <c r="C808" s="10" t="s">
        <v>412</v>
      </c>
      <c r="D808" s="11">
        <v>1</v>
      </c>
      <c r="E808" s="12">
        <v>13422.94</v>
      </c>
      <c r="F808" s="13">
        <v>13422.94</v>
      </c>
      <c r="G808" s="2">
        <f>VLOOKUP(B808,'PO with created By ASR'!A:C,3,FALSE)</f>
        <v>45680</v>
      </c>
      <c r="J808" s="2" t="str">
        <f>VLOOKUP(B808,'PO with created By ASR'!A:G,4,FALSE)</f>
        <v>Aftab Shaikh  -CR</v>
      </c>
      <c r="K808" s="2" t="e">
        <f>VLOOKUP(B808,'PO with created By ASR'!A:I,6,FALSE)</f>
        <v>#N/A</v>
      </c>
      <c r="L808" s="2" t="str">
        <f>VLOOKUP(B808,'PO with created By ASR'!A:J,7,FALSE)</f>
        <v>A - Mumbai</v>
      </c>
      <c r="M808" s="2" t="str">
        <f>VLOOKUP(B808,'PO with created By ASR'!A:K,8,FALSE)</f>
        <v>Purchase Order-Mum</v>
      </c>
      <c r="N808" t="s">
        <v>36</v>
      </c>
      <c r="P808" s="2">
        <v>6</v>
      </c>
    </row>
    <row r="809" s="2" customFormat="1" spans="1:16">
      <c r="A809" s="8"/>
      <c r="B809" s="9" t="s">
        <v>1646</v>
      </c>
      <c r="C809" s="10" t="s">
        <v>205</v>
      </c>
      <c r="D809" s="11">
        <v>1</v>
      </c>
      <c r="E809" s="12">
        <v>1000</v>
      </c>
      <c r="F809" s="13">
        <v>1000</v>
      </c>
      <c r="G809" s="2">
        <f>VLOOKUP(B809,'PO with created By ASR'!A:C,3,FALSE)</f>
        <v>45680</v>
      </c>
      <c r="J809" s="2" t="str">
        <f>VLOOKUP(B809,'PO with created By ASR'!A:G,4,FALSE)</f>
        <v>Aftab Shaikh  -CR</v>
      </c>
      <c r="K809" s="2" t="e">
        <f>VLOOKUP(B809,'PO with created By ASR'!A:I,6,FALSE)</f>
        <v>#N/A</v>
      </c>
      <c r="L809" s="2" t="str">
        <f>VLOOKUP(B809,'PO with created By ASR'!A:J,7,FALSE)</f>
        <v>A - Mumbai</v>
      </c>
      <c r="M809" s="2" t="str">
        <f>VLOOKUP(B809,'PO with created By ASR'!A:K,8,FALSE)</f>
        <v>Purchase Order-Mum</v>
      </c>
      <c r="N809" t="s">
        <v>36</v>
      </c>
      <c r="P809" s="2">
        <v>6</v>
      </c>
    </row>
    <row r="810" s="2" customFormat="1" spans="1:16">
      <c r="A810" s="8"/>
      <c r="B810" s="9" t="s">
        <v>1646</v>
      </c>
      <c r="C810" s="10" t="s">
        <v>1055</v>
      </c>
      <c r="D810" s="11">
        <v>1</v>
      </c>
      <c r="E810" s="12">
        <v>1797</v>
      </c>
      <c r="F810" s="13">
        <v>1797</v>
      </c>
      <c r="G810" s="2">
        <f>VLOOKUP(B810,'PO with created By ASR'!A:C,3,FALSE)</f>
        <v>45680</v>
      </c>
      <c r="J810" s="2" t="str">
        <f>VLOOKUP(B810,'PO with created By ASR'!A:G,4,FALSE)</f>
        <v>Aftab Shaikh  -CR</v>
      </c>
      <c r="K810" s="2" t="e">
        <f>VLOOKUP(B810,'PO with created By ASR'!A:I,6,FALSE)</f>
        <v>#N/A</v>
      </c>
      <c r="L810" s="2" t="str">
        <f>VLOOKUP(B810,'PO with created By ASR'!A:J,7,FALSE)</f>
        <v>A - Mumbai</v>
      </c>
      <c r="M810" s="2" t="str">
        <f>VLOOKUP(B810,'PO with created By ASR'!A:K,8,FALSE)</f>
        <v>Purchase Order-Mum</v>
      </c>
      <c r="N810" t="s">
        <v>36</v>
      </c>
      <c r="P810" s="2">
        <v>6</v>
      </c>
    </row>
    <row r="811" s="2" customFormat="1" spans="1:16">
      <c r="A811" s="8"/>
      <c r="B811" s="9" t="s">
        <v>1648</v>
      </c>
      <c r="C811" s="10" t="s">
        <v>292</v>
      </c>
      <c r="D811" s="11">
        <v>1</v>
      </c>
      <c r="E811" s="12">
        <v>196000</v>
      </c>
      <c r="F811" s="13">
        <v>196000</v>
      </c>
      <c r="G811" s="2">
        <f>VLOOKUP(B811,'PO with created By ASR'!A:C,3,FALSE)</f>
        <v>45680</v>
      </c>
      <c r="J811" s="2" t="str">
        <f>VLOOKUP(B811,'PO with created By ASR'!A:G,4,FALSE)</f>
        <v>Ameya Integrated Services-Mum</v>
      </c>
      <c r="K811" s="2" t="str">
        <f>VLOOKUP(B811,'PO with created By ASR'!A:I,6,FALSE)</f>
        <v>11662 Ameya Integrated Services</v>
      </c>
      <c r="L811" s="2" t="str">
        <f>VLOOKUP(B811,'PO with created By ASR'!A:J,7,FALSE)</f>
        <v>A - Mumbai</v>
      </c>
      <c r="M811" s="2" t="str">
        <f>VLOOKUP(B811,'PO with created By ASR'!A:K,8,FALSE)</f>
        <v>Purchase Order-Mum</v>
      </c>
      <c r="N811" t="s">
        <v>36</v>
      </c>
      <c r="P811" s="2">
        <v>6</v>
      </c>
    </row>
    <row r="812" s="2" customFormat="1" spans="1:16">
      <c r="A812" s="8"/>
      <c r="B812" s="9" t="s">
        <v>1649</v>
      </c>
      <c r="C812" s="10" t="s">
        <v>151</v>
      </c>
      <c r="D812" s="11">
        <v>1</v>
      </c>
      <c r="E812" s="12">
        <v>8000</v>
      </c>
      <c r="F812" s="13">
        <v>8000</v>
      </c>
      <c r="G812" s="2">
        <f>VLOOKUP(B812,'PO with created By ASR'!A:C,3,FALSE)</f>
        <v>45680</v>
      </c>
      <c r="J812" s="2" t="str">
        <f>VLOOKUP(B812,'PO with created By ASR'!A:G,4,FALSE)</f>
        <v>A A Fur1044835 Neetu Prakash Poojaryre(Abbas Abdul Hussain Ujjainwala)-Mum</v>
      </c>
      <c r="K812" s="2" t="str">
        <f>VLOOKUP(B812,'PO with created By ASR'!A:I,6,FALSE)</f>
        <v>11018 A A Fur1044835 Neetu Prakash Poojaryre (Abbas Abdul Hussain Ujjainwala)</v>
      </c>
      <c r="L812" s="2" t="str">
        <f>VLOOKUP(B812,'PO with created By ASR'!A:J,7,FALSE)</f>
        <v>A - Mumbai</v>
      </c>
      <c r="M812" s="2" t="str">
        <f>VLOOKUP(B812,'PO with created By ASR'!A:K,8,FALSE)</f>
        <v>Purchase Order-Mum</v>
      </c>
      <c r="N812" t="s">
        <v>36</v>
      </c>
      <c r="P812" s="2">
        <v>6</v>
      </c>
    </row>
    <row r="813" s="2" customFormat="1" spans="1:16">
      <c r="A813" s="8"/>
      <c r="B813" s="9" t="s">
        <v>1652</v>
      </c>
      <c r="C813" s="10" t="s">
        <v>292</v>
      </c>
      <c r="D813" s="11">
        <v>1</v>
      </c>
      <c r="E813" s="12">
        <v>34600</v>
      </c>
      <c r="F813" s="13">
        <v>34600</v>
      </c>
      <c r="G813" s="2">
        <f>VLOOKUP(B813,'PO with created By ASR'!A:C,3,FALSE)</f>
        <v>45680</v>
      </c>
      <c r="J813" s="2" t="str">
        <f>VLOOKUP(B813,'PO with created By ASR'!A:G,4,FALSE)</f>
        <v>Emblaze Events (Sunita Harihar Sharma)-Mum</v>
      </c>
      <c r="K813" s="2" t="str">
        <f>VLOOKUP(B813,'PO with created By ASR'!A:I,6,FALSE)</f>
        <v>11869 Emblaze Events (Sunita Harihar Sharma)</v>
      </c>
      <c r="L813" s="2" t="str">
        <f>VLOOKUP(B813,'PO with created By ASR'!A:J,7,FALSE)</f>
        <v>A - Mumbai</v>
      </c>
      <c r="M813" s="2" t="str">
        <f>VLOOKUP(B813,'PO with created By ASR'!A:K,8,FALSE)</f>
        <v>Purchase Order-Mum</v>
      </c>
      <c r="N813" t="s">
        <v>36</v>
      </c>
      <c r="P813" s="2">
        <v>6</v>
      </c>
    </row>
    <row r="814" s="2" customFormat="1" spans="1:16">
      <c r="A814" s="8"/>
      <c r="B814" s="9" t="s">
        <v>1653</v>
      </c>
      <c r="C814" s="10" t="s">
        <v>250</v>
      </c>
      <c r="D814" s="11">
        <v>1</v>
      </c>
      <c r="E814" s="12">
        <v>460000</v>
      </c>
      <c r="F814" s="13">
        <v>460000</v>
      </c>
      <c r="G814" s="2">
        <f>VLOOKUP(B814,'PO with created By ASR'!A:C,3,FALSE)</f>
        <v>45680</v>
      </c>
      <c r="J814" s="2" t="str">
        <f>VLOOKUP(B814,'PO with created By ASR'!A:G,4,FALSE)</f>
        <v>Tribal Monk Network LLP-Mum</v>
      </c>
      <c r="K814" s="2" t="str">
        <f>VLOOKUP(B814,'PO with created By ASR'!A:I,6,FALSE)</f>
        <v>12910 Tribal Monk Network LLP</v>
      </c>
      <c r="L814" s="2" t="str">
        <f>VLOOKUP(B814,'PO with created By ASR'!A:J,7,FALSE)</f>
        <v>A - Mumbai</v>
      </c>
      <c r="M814" s="2" t="str">
        <f>VLOOKUP(B814,'PO with created By ASR'!A:K,8,FALSE)</f>
        <v>Purchase Order-Mum</v>
      </c>
      <c r="N814" t="s">
        <v>36</v>
      </c>
      <c r="P814" s="2">
        <v>6</v>
      </c>
    </row>
    <row r="815" s="2" customFormat="1" spans="1:16">
      <c r="A815" s="8"/>
      <c r="B815" s="9" t="s">
        <v>1656</v>
      </c>
      <c r="C815" s="10" t="s">
        <v>61</v>
      </c>
      <c r="D815" s="11">
        <v>1</v>
      </c>
      <c r="E815" s="12">
        <v>14320</v>
      </c>
      <c r="F815" s="13">
        <v>14320</v>
      </c>
      <c r="G815" s="2">
        <f>VLOOKUP(B815,'PO with created By ASR'!A:C,3,FALSE)</f>
        <v>45680</v>
      </c>
      <c r="J815" s="2" t="str">
        <f>VLOOKUP(B815,'PO with created By ASR'!A:G,4,FALSE)</f>
        <v>Hotel Ratna Mahal (Shree Swami Samarth Hospitality) (Happay)-Mum</v>
      </c>
      <c r="K815" s="2" t="str">
        <f>VLOOKUP(B815,'PO with created By ASR'!A:I,6,FALSE)</f>
        <v>12826 Hotel Ratna Mahal (Shree Swami   Samarth Hospitality) (Happay)</v>
      </c>
      <c r="L815" s="2" t="str">
        <f>VLOOKUP(B815,'PO with created By ASR'!A:J,7,FALSE)</f>
        <v>A - Mumbai</v>
      </c>
      <c r="M815" s="2" t="str">
        <f>VLOOKUP(B815,'PO with created By ASR'!A:K,8,FALSE)</f>
        <v>Purchase Order-Mum</v>
      </c>
      <c r="N815" t="s">
        <v>36</v>
      </c>
      <c r="P815" s="2">
        <v>6</v>
      </c>
    </row>
    <row r="816" s="2" customFormat="1" spans="1:16">
      <c r="A816" s="8"/>
      <c r="B816" s="9" t="s">
        <v>1660</v>
      </c>
      <c r="C816" s="10" t="s">
        <v>61</v>
      </c>
      <c r="D816" s="11">
        <v>1</v>
      </c>
      <c r="E816" s="12">
        <v>14320</v>
      </c>
      <c r="F816" s="13">
        <v>14320</v>
      </c>
      <c r="G816" s="2">
        <f>VLOOKUP(B816,'PO with created By ASR'!A:C,3,FALSE)</f>
        <v>45680</v>
      </c>
      <c r="J816" s="2" t="str">
        <f>VLOOKUP(B816,'PO with created By ASR'!A:G,4,FALSE)</f>
        <v>Hotel Ratna Mahal (Shree Swami Samarth Hospitality) (Happay)-Mum</v>
      </c>
      <c r="K816" s="2" t="str">
        <f>VLOOKUP(B816,'PO with created By ASR'!A:I,6,FALSE)</f>
        <v>12826 Hotel Ratna Mahal (Shree Swami   Samarth Hospitality) (Happay)</v>
      </c>
      <c r="L816" s="2" t="str">
        <f>VLOOKUP(B816,'PO with created By ASR'!A:J,7,FALSE)</f>
        <v>A - Mumbai</v>
      </c>
      <c r="M816" s="2" t="str">
        <f>VLOOKUP(B816,'PO with created By ASR'!A:K,8,FALSE)</f>
        <v>Purchase Order-Mum</v>
      </c>
      <c r="N816" t="s">
        <v>36</v>
      </c>
      <c r="P816" s="2">
        <v>6</v>
      </c>
    </row>
    <row r="817" s="2" customFormat="1" spans="1:16">
      <c r="A817" s="8"/>
      <c r="B817" s="9" t="s">
        <v>1661</v>
      </c>
      <c r="C817" s="10" t="s">
        <v>292</v>
      </c>
      <c r="D817" s="11">
        <v>1</v>
      </c>
      <c r="E817" s="12">
        <v>1500</v>
      </c>
      <c r="F817" s="13">
        <v>1500</v>
      </c>
      <c r="G817" s="2">
        <f>VLOOKUP(B817,'PO with created By ASR'!A:C,3,FALSE)</f>
        <v>45680</v>
      </c>
      <c r="J817" s="2" t="str">
        <f>VLOOKUP(B817,'PO with created By ASR'!A:G,4,FALSE)</f>
        <v>Smile Entertainment-Mum</v>
      </c>
      <c r="K817" s="2" t="str">
        <f>VLOOKUP(B817,'PO with created By ASR'!A:I,6,FALSE)</f>
        <v>12909 Smile Entertainment</v>
      </c>
      <c r="L817" s="2" t="str">
        <f>VLOOKUP(B817,'PO with created By ASR'!A:J,7,FALSE)</f>
        <v>A - Mumbai</v>
      </c>
      <c r="M817" s="2" t="str">
        <f>VLOOKUP(B817,'PO with created By ASR'!A:K,8,FALSE)</f>
        <v>Purchase Order-Mum</v>
      </c>
      <c r="N817" t="s">
        <v>36</v>
      </c>
      <c r="P817" s="2">
        <v>6</v>
      </c>
    </row>
    <row r="818" s="2" customFormat="1" spans="1:16">
      <c r="A818" s="8"/>
      <c r="B818" s="9" t="s">
        <v>1661</v>
      </c>
      <c r="C818" s="10" t="s">
        <v>151</v>
      </c>
      <c r="D818" s="11">
        <v>1</v>
      </c>
      <c r="E818" s="12">
        <v>11000</v>
      </c>
      <c r="F818" s="13">
        <v>11000</v>
      </c>
      <c r="G818" s="2">
        <f>VLOOKUP(B818,'PO with created By ASR'!A:C,3,FALSE)</f>
        <v>45680</v>
      </c>
      <c r="J818" s="2" t="str">
        <f>VLOOKUP(B818,'PO with created By ASR'!A:G,4,FALSE)</f>
        <v>Smile Entertainment-Mum</v>
      </c>
      <c r="K818" s="2" t="str">
        <f>VLOOKUP(B818,'PO with created By ASR'!A:I,6,FALSE)</f>
        <v>12909 Smile Entertainment</v>
      </c>
      <c r="L818" s="2" t="str">
        <f>VLOOKUP(B818,'PO with created By ASR'!A:J,7,FALSE)</f>
        <v>A - Mumbai</v>
      </c>
      <c r="M818" s="2" t="str">
        <f>VLOOKUP(B818,'PO with created By ASR'!A:K,8,FALSE)</f>
        <v>Purchase Order-Mum</v>
      </c>
      <c r="N818" t="s">
        <v>36</v>
      </c>
      <c r="P818" s="2">
        <v>6</v>
      </c>
    </row>
    <row r="819" s="2" customFormat="1" spans="1:16">
      <c r="A819" s="8"/>
      <c r="B819" s="9" t="s">
        <v>1666</v>
      </c>
      <c r="C819" s="10" t="s">
        <v>1221</v>
      </c>
      <c r="D819" s="11">
        <v>1</v>
      </c>
      <c r="E819" s="12">
        <v>3831240</v>
      </c>
      <c r="F819" s="13">
        <v>3831240</v>
      </c>
      <c r="G819" s="2">
        <f>VLOOKUP(B819,'PO with created By ASR'!A:C,3,FALSE)</f>
        <v>45680</v>
      </c>
      <c r="J819" s="2" t="str">
        <f>VLOOKUP(B819,'PO with created By ASR'!A:G,4,FALSE)</f>
        <v>Proelectro Ltd-Mum</v>
      </c>
      <c r="K819" s="2" t="str">
        <f>VLOOKUP(B819,'PO with created By ASR'!A:I,6,FALSE)</f>
        <v>12903  Proelectro Ltd</v>
      </c>
      <c r="L819" s="2" t="str">
        <f>VLOOKUP(B819,'PO with created By ASR'!A:J,7,FALSE)</f>
        <v>A - Mumbai</v>
      </c>
      <c r="M819" s="2" t="str">
        <f>VLOOKUP(B819,'PO with created By ASR'!A:K,8,FALSE)</f>
        <v>Purchase Order-Mum</v>
      </c>
      <c r="N819" t="s">
        <v>36</v>
      </c>
      <c r="P819" s="2">
        <v>6</v>
      </c>
    </row>
    <row r="820" s="2" customFormat="1" spans="1:16">
      <c r="A820" s="8"/>
      <c r="B820" s="9" t="s">
        <v>1669</v>
      </c>
      <c r="C820" s="10" t="s">
        <v>1672</v>
      </c>
      <c r="D820" s="11">
        <v>1</v>
      </c>
      <c r="E820" s="12">
        <v>7622982</v>
      </c>
      <c r="F820" s="13">
        <v>7622982</v>
      </c>
      <c r="G820" s="2">
        <f>VLOOKUP(B820,'PO with created By ASR'!A:C,3,FALSE)</f>
        <v>45680</v>
      </c>
      <c r="J820" s="2" t="str">
        <f>VLOOKUP(B820,'PO with created By ASR'!A:G,4,FALSE)</f>
        <v>Grand Hyatt Athens (Sygroy 115 Hotel Enterprises Single Member S A)-Mum</v>
      </c>
      <c r="K820" s="2" t="str">
        <f>VLOOKUP(B820,'PO with created By ASR'!A:I,6,FALSE)</f>
        <v>12852 Grand Hyatt Athens (Sygroy 115 Hotel Enterprises Single Member S A)</v>
      </c>
      <c r="L820" s="2" t="str">
        <f>VLOOKUP(B820,'PO with created By ASR'!A:J,7,FALSE)</f>
        <v>A - Mumbai</v>
      </c>
      <c r="M820" s="2" t="str">
        <f>VLOOKUP(B820,'PO with created By ASR'!A:K,8,FALSE)</f>
        <v>Purchase Order-Mum</v>
      </c>
      <c r="N820" t="s">
        <v>36</v>
      </c>
      <c r="P820" s="2">
        <v>6</v>
      </c>
    </row>
    <row r="821" s="2" customFormat="1" spans="1:16">
      <c r="A821" s="8"/>
      <c r="B821" s="9" t="s">
        <v>1673</v>
      </c>
      <c r="C821" s="10" t="s">
        <v>61</v>
      </c>
      <c r="D821" s="11">
        <v>1</v>
      </c>
      <c r="E821" s="12">
        <v>30000</v>
      </c>
      <c r="F821" s="13">
        <v>30000</v>
      </c>
      <c r="G821" s="2">
        <f>VLOOKUP(B821,'PO with created By ASR'!A:C,3,FALSE)</f>
        <v>45681</v>
      </c>
      <c r="J821" s="2" t="str">
        <f>VLOOKUP(B821,'PO with created By ASR'!A:G,4,FALSE)</f>
        <v>Triangle Property Developers Pvt Ltd-Blr</v>
      </c>
      <c r="K821" s="2" t="str">
        <f>VLOOKUP(B821,'PO with created By ASR'!A:I,6,FALSE)</f>
        <v>12893  Triangle Property Developers Pvt Ltd</v>
      </c>
      <c r="L821" s="2" t="str">
        <f>VLOOKUP(B821,'PO with created By ASR'!A:J,7,FALSE)</f>
        <v>B - Bangalore</v>
      </c>
      <c r="M821" s="2" t="str">
        <f>VLOOKUP(B821,'PO with created By ASR'!A:K,8,FALSE)</f>
        <v>Purchase Order-Blr</v>
      </c>
      <c r="N821" t="s">
        <v>36</v>
      </c>
      <c r="P821" s="2">
        <v>6</v>
      </c>
    </row>
    <row r="822" s="2" customFormat="1" spans="1:16">
      <c r="A822" s="8"/>
      <c r="B822" s="9" t="s">
        <v>1673</v>
      </c>
      <c r="C822" s="10" t="s">
        <v>61</v>
      </c>
      <c r="D822" s="11">
        <v>1</v>
      </c>
      <c r="E822" s="12">
        <v>124</v>
      </c>
      <c r="F822" s="13">
        <v>124</v>
      </c>
      <c r="G822" s="2">
        <f>VLOOKUP(B822,'PO with created By ASR'!A:C,3,FALSE)</f>
        <v>45681</v>
      </c>
      <c r="J822" s="2" t="str">
        <f>VLOOKUP(B822,'PO with created By ASR'!A:G,4,FALSE)</f>
        <v>Triangle Property Developers Pvt Ltd-Blr</v>
      </c>
      <c r="K822" s="2" t="str">
        <f>VLOOKUP(B822,'PO with created By ASR'!A:I,6,FALSE)</f>
        <v>12893  Triangle Property Developers Pvt Ltd</v>
      </c>
      <c r="L822" s="2" t="str">
        <f>VLOOKUP(B822,'PO with created By ASR'!A:J,7,FALSE)</f>
        <v>B - Bangalore</v>
      </c>
      <c r="M822" s="2" t="str">
        <f>VLOOKUP(B822,'PO with created By ASR'!A:K,8,FALSE)</f>
        <v>Purchase Order-Blr</v>
      </c>
      <c r="N822" t="s">
        <v>36</v>
      </c>
      <c r="P822" s="2">
        <v>6</v>
      </c>
    </row>
    <row r="823" s="2" customFormat="1" spans="1:16">
      <c r="A823" s="8"/>
      <c r="B823" s="9" t="s">
        <v>1677</v>
      </c>
      <c r="C823" s="10" t="s">
        <v>196</v>
      </c>
      <c r="D823" s="11">
        <v>1</v>
      </c>
      <c r="E823" s="12">
        <v>3200</v>
      </c>
      <c r="F823" s="13">
        <v>3200</v>
      </c>
      <c r="G823" s="2">
        <f>VLOOKUP(B823,'PO with created By ASR'!A:C,3,FALSE)</f>
        <v>45681</v>
      </c>
      <c r="J823" s="2" t="str">
        <f>VLOOKUP(B823,'PO with created By ASR'!A:G,4,FALSE)</f>
        <v>New Print House-Blr</v>
      </c>
      <c r="K823" s="2" t="str">
        <f>VLOOKUP(B823,'PO with created By ASR'!A:I,6,FALSE)</f>
        <v>12196 New Print House</v>
      </c>
      <c r="L823" s="2" t="str">
        <f>VLOOKUP(B823,'PO with created By ASR'!A:J,7,FALSE)</f>
        <v>B - Bangalore</v>
      </c>
      <c r="M823" s="2" t="str">
        <f>VLOOKUP(B823,'PO with created By ASR'!A:K,8,FALSE)</f>
        <v>Purchase Order-Blr</v>
      </c>
      <c r="N823" t="s">
        <v>36</v>
      </c>
      <c r="P823" s="2">
        <v>6</v>
      </c>
    </row>
    <row r="824" s="2" customFormat="1" spans="1:16">
      <c r="A824" s="8"/>
      <c r="B824" s="9" t="s">
        <v>1680</v>
      </c>
      <c r="C824" s="10" t="s">
        <v>401</v>
      </c>
      <c r="D824" s="11">
        <v>1</v>
      </c>
      <c r="E824" s="12">
        <v>5000</v>
      </c>
      <c r="F824" s="13">
        <v>5000</v>
      </c>
      <c r="G824" s="2">
        <f>VLOOKUP(B824,'PO with created By ASR'!A:C,3,FALSE)</f>
        <v>45681</v>
      </c>
      <c r="J824" s="2" t="str">
        <f>VLOOKUP(B824,'PO with created By ASR'!A:G,4,FALSE)</f>
        <v>VSFE Events LLP-Blr</v>
      </c>
      <c r="K824" s="2" t="str">
        <f>VLOOKUP(B824,'PO with created By ASR'!A:I,6,FALSE)</f>
        <v>12612 VSFE Events LLP</v>
      </c>
      <c r="L824" s="2" t="str">
        <f>VLOOKUP(B824,'PO with created By ASR'!A:J,7,FALSE)</f>
        <v>B - Bangalore</v>
      </c>
      <c r="M824" s="2" t="str">
        <f>VLOOKUP(B824,'PO with created By ASR'!A:K,8,FALSE)</f>
        <v>Purchase Order-Blr</v>
      </c>
      <c r="N824" t="s">
        <v>36</v>
      </c>
      <c r="P824" s="2">
        <v>6</v>
      </c>
    </row>
    <row r="825" s="2" customFormat="1" spans="1:16">
      <c r="A825" s="8"/>
      <c r="B825" s="9" t="s">
        <v>1682</v>
      </c>
      <c r="C825" s="10" t="s">
        <v>526</v>
      </c>
      <c r="D825" s="11">
        <v>1</v>
      </c>
      <c r="E825" s="12">
        <v>5400</v>
      </c>
      <c r="F825" s="13">
        <v>5400</v>
      </c>
      <c r="G825" s="2">
        <f>VLOOKUP(B825,'PO with created By ASR'!A:C,3,FALSE)</f>
        <v>45681</v>
      </c>
      <c r="J825" s="2" t="str">
        <f>VLOOKUP(B825,'PO with created By ASR'!A:G,4,FALSE)</f>
        <v>Infutech Solutions-Blr</v>
      </c>
      <c r="K825" s="2" t="str">
        <f>VLOOKUP(B825,'PO with created By ASR'!A:I,6,FALSE)</f>
        <v>12027 Infutech Solutions</v>
      </c>
      <c r="L825" s="2" t="str">
        <f>VLOOKUP(B825,'PO with created By ASR'!A:J,7,FALSE)</f>
        <v>B - Bangalore</v>
      </c>
      <c r="M825" s="2" t="str">
        <f>VLOOKUP(B825,'PO with created By ASR'!A:K,8,FALSE)</f>
        <v>Purchase Order-Blr</v>
      </c>
      <c r="N825" t="s">
        <v>36</v>
      </c>
      <c r="P825" s="2">
        <v>6</v>
      </c>
    </row>
    <row r="826" s="2" customFormat="1" spans="1:16">
      <c r="A826" s="8"/>
      <c r="B826" s="9" t="s">
        <v>1683</v>
      </c>
      <c r="C826" s="10" t="s">
        <v>371</v>
      </c>
      <c r="D826" s="11">
        <v>1</v>
      </c>
      <c r="E826" s="12">
        <v>110000</v>
      </c>
      <c r="F826" s="13">
        <v>110000</v>
      </c>
      <c r="G826" s="2">
        <f>VLOOKUP(B826,'PO with created By ASR'!A:C,3,FALSE)</f>
        <v>45681</v>
      </c>
      <c r="J826" s="2" t="str">
        <f>VLOOKUP(B826,'PO with created By ASR'!A:G,4,FALSE)</f>
        <v>Pro Audio Solutions India Pvt Ltd-Che</v>
      </c>
      <c r="K826" s="2" t="str">
        <f>VLOOKUP(B826,'PO with created By ASR'!A:I,6,FALSE)</f>
        <v>12288  Pro Audio Solutions India Pvt Ltd</v>
      </c>
      <c r="L826" s="2" t="str">
        <f>VLOOKUP(B826,'PO with created By ASR'!A:J,7,FALSE)</f>
        <v>C - Chennai</v>
      </c>
      <c r="M826" s="2" t="str">
        <f>VLOOKUP(B826,'PO with created By ASR'!A:K,8,FALSE)</f>
        <v>Purchase Order-Che</v>
      </c>
      <c r="N826" t="s">
        <v>36</v>
      </c>
      <c r="P826" s="2">
        <v>6</v>
      </c>
    </row>
    <row r="827" s="2" customFormat="1" spans="1:16">
      <c r="A827" s="8"/>
      <c r="B827" s="9" t="s">
        <v>1684</v>
      </c>
      <c r="C827" s="10" t="s">
        <v>151</v>
      </c>
      <c r="D827" s="11">
        <v>1</v>
      </c>
      <c r="E827" s="12">
        <v>18810</v>
      </c>
      <c r="F827" s="13">
        <v>18810</v>
      </c>
      <c r="G827" s="2">
        <f>VLOOKUP(B827,'PO with created By ASR'!A:C,3,FALSE)</f>
        <v>45681</v>
      </c>
      <c r="J827" s="2" t="str">
        <f>VLOOKUP(B827,'PO with created By ASR'!A:G,4,FALSE)</f>
        <v>Neet (M) Fabricators-Che</v>
      </c>
      <c r="K827" s="2" t="str">
        <f>VLOOKUP(B827,'PO with created By ASR'!A:I,6,FALSE)</f>
        <v>11044 Neet (M) Fabricators</v>
      </c>
      <c r="L827" s="2" t="str">
        <f>VLOOKUP(B827,'PO with created By ASR'!A:J,7,FALSE)</f>
        <v>C - Chennai</v>
      </c>
      <c r="M827" s="2" t="str">
        <f>VLOOKUP(B827,'PO with created By ASR'!A:K,8,FALSE)</f>
        <v>Purchase Order-Che</v>
      </c>
      <c r="N827" t="s">
        <v>36</v>
      </c>
      <c r="P827" s="2">
        <v>6</v>
      </c>
    </row>
    <row r="828" s="2" customFormat="1" spans="1:16">
      <c r="A828" s="8"/>
      <c r="B828" s="9" t="s">
        <v>1685</v>
      </c>
      <c r="C828" s="10" t="s">
        <v>196</v>
      </c>
      <c r="D828" s="11">
        <v>1</v>
      </c>
      <c r="E828" s="12">
        <v>11500</v>
      </c>
      <c r="F828" s="13">
        <v>11500</v>
      </c>
      <c r="G828" s="2">
        <f>VLOOKUP(B828,'PO with created By ASR'!A:C,3,FALSE)</f>
        <v>45681</v>
      </c>
      <c r="J828" s="2" t="str">
        <f>VLOOKUP(B828,'PO with created By ASR'!A:G,4,FALSE)</f>
        <v>Eco Prints-Che</v>
      </c>
      <c r="K828" s="2" t="str">
        <f>VLOOKUP(B828,'PO with created By ASR'!A:I,6,FALSE)</f>
        <v>11857 Eco Prints</v>
      </c>
      <c r="L828" s="2" t="str">
        <f>VLOOKUP(B828,'PO with created By ASR'!A:J,7,FALSE)</f>
        <v>C - Chennai</v>
      </c>
      <c r="M828" s="2" t="str">
        <f>VLOOKUP(B828,'PO with created By ASR'!A:K,8,FALSE)</f>
        <v>Purchase Order-Che</v>
      </c>
      <c r="N828" t="s">
        <v>36</v>
      </c>
      <c r="P828" s="2">
        <v>6</v>
      </c>
    </row>
    <row r="829" s="2" customFormat="1" spans="1:16">
      <c r="A829" s="8"/>
      <c r="B829" s="9" t="s">
        <v>1686</v>
      </c>
      <c r="C829" s="10" t="s">
        <v>151</v>
      </c>
      <c r="D829" s="11">
        <v>1</v>
      </c>
      <c r="E829" s="12">
        <v>230000</v>
      </c>
      <c r="F829" s="13">
        <v>230000</v>
      </c>
      <c r="G829" s="2">
        <f>VLOOKUP(B829,'PO with created By ASR'!A:C,3,FALSE)</f>
        <v>45681</v>
      </c>
      <c r="J829" s="2" t="str">
        <f>VLOOKUP(B829,'PO with created By ASR'!A:G,4,FALSE)</f>
        <v>Square Feet Productions-Che</v>
      </c>
      <c r="K829" s="2" t="str">
        <f>VLOOKUP(B829,'PO with created By ASR'!A:I,6,FALSE)</f>
        <v>11054 Square Feet Productions</v>
      </c>
      <c r="L829" s="2" t="str">
        <f>VLOOKUP(B829,'PO with created By ASR'!A:J,7,FALSE)</f>
        <v>C - Chennai</v>
      </c>
      <c r="M829" s="2" t="str">
        <f>VLOOKUP(B829,'PO with created By ASR'!A:K,8,FALSE)</f>
        <v>Purchase Order-Che</v>
      </c>
      <c r="N829" t="s">
        <v>36</v>
      </c>
      <c r="P829" s="2">
        <v>6</v>
      </c>
    </row>
    <row r="830" s="2" customFormat="1" spans="1:16">
      <c r="A830" s="8"/>
      <c r="B830" s="9" t="s">
        <v>1687</v>
      </c>
      <c r="C830" s="10" t="s">
        <v>61</v>
      </c>
      <c r="D830" s="11">
        <v>1</v>
      </c>
      <c r="E830" s="12">
        <v>36110</v>
      </c>
      <c r="F830" s="13">
        <v>36110</v>
      </c>
      <c r="G830" s="2">
        <f>VLOOKUP(B830,'PO with created By ASR'!A:C,3,FALSE)</f>
        <v>45681</v>
      </c>
      <c r="J830" s="2" t="str">
        <f>VLOOKUP(B830,'PO with created By ASR'!A:G,4,FALSE)</f>
        <v>Paulraj S  -CR</v>
      </c>
      <c r="K830" s="2" t="e">
        <f>VLOOKUP(B830,'PO with created By ASR'!A:I,6,FALSE)</f>
        <v>#N/A</v>
      </c>
      <c r="L830" s="2" t="str">
        <f>VLOOKUP(B830,'PO with created By ASR'!A:J,7,FALSE)</f>
        <v>C - Chennai</v>
      </c>
      <c r="M830" s="2" t="str">
        <f>VLOOKUP(B830,'PO with created By ASR'!A:K,8,FALSE)</f>
        <v>Purchase Order-Che</v>
      </c>
      <c r="N830" t="s">
        <v>36</v>
      </c>
      <c r="P830" s="2">
        <v>6</v>
      </c>
    </row>
    <row r="831" s="2" customFormat="1" spans="1:16">
      <c r="A831" s="8"/>
      <c r="B831" s="9" t="s">
        <v>1687</v>
      </c>
      <c r="C831" s="10" t="s">
        <v>412</v>
      </c>
      <c r="D831" s="11">
        <v>1</v>
      </c>
      <c r="E831" s="12">
        <v>6076</v>
      </c>
      <c r="F831" s="13">
        <v>6076</v>
      </c>
      <c r="G831" s="2">
        <f>VLOOKUP(B831,'PO with created By ASR'!A:C,3,FALSE)</f>
        <v>45681</v>
      </c>
      <c r="J831" s="2" t="str">
        <f>VLOOKUP(B831,'PO with created By ASR'!A:G,4,FALSE)</f>
        <v>Paulraj S  -CR</v>
      </c>
      <c r="K831" s="2" t="e">
        <f>VLOOKUP(B831,'PO with created By ASR'!A:I,6,FALSE)</f>
        <v>#N/A</v>
      </c>
      <c r="L831" s="2" t="str">
        <f>VLOOKUP(B831,'PO with created By ASR'!A:J,7,FALSE)</f>
        <v>C - Chennai</v>
      </c>
      <c r="M831" s="2" t="str">
        <f>VLOOKUP(B831,'PO with created By ASR'!A:K,8,FALSE)</f>
        <v>Purchase Order-Che</v>
      </c>
      <c r="N831" t="s">
        <v>36</v>
      </c>
      <c r="P831" s="2">
        <v>6</v>
      </c>
    </row>
    <row r="832" s="2" customFormat="1" spans="1:16">
      <c r="A832" s="8"/>
      <c r="B832" s="9" t="s">
        <v>1689</v>
      </c>
      <c r="C832" s="10" t="s">
        <v>61</v>
      </c>
      <c r="D832" s="11">
        <v>1</v>
      </c>
      <c r="E832" s="12">
        <v>7655</v>
      </c>
      <c r="F832" s="13">
        <v>7655</v>
      </c>
      <c r="G832" s="2">
        <f>VLOOKUP(B832,'PO with created By ASR'!A:C,3,FALSE)</f>
        <v>45681</v>
      </c>
      <c r="J832" s="2" t="str">
        <f>VLOOKUP(B832,'PO with created By ASR'!A:G,4,FALSE)</f>
        <v>R Anandan  -CR</v>
      </c>
      <c r="K832" s="2" t="e">
        <f>VLOOKUP(B832,'PO with created By ASR'!A:I,6,FALSE)</f>
        <v>#N/A</v>
      </c>
      <c r="L832" s="2" t="str">
        <f>VLOOKUP(B832,'PO with created By ASR'!A:J,7,FALSE)</f>
        <v>C - Chennai</v>
      </c>
      <c r="M832" s="2" t="str">
        <f>VLOOKUP(B832,'PO with created By ASR'!A:K,8,FALSE)</f>
        <v>Purchase Order-Che</v>
      </c>
      <c r="N832" t="s">
        <v>36</v>
      </c>
      <c r="P832" s="2">
        <v>6</v>
      </c>
    </row>
    <row r="833" s="2" customFormat="1" spans="1:16">
      <c r="A833" s="8"/>
      <c r="B833" s="9" t="s">
        <v>1689</v>
      </c>
      <c r="C833" s="10" t="s">
        <v>412</v>
      </c>
      <c r="D833" s="11">
        <v>1</v>
      </c>
      <c r="E833" s="12">
        <v>280</v>
      </c>
      <c r="F833" s="13">
        <v>280</v>
      </c>
      <c r="G833" s="2">
        <f>VLOOKUP(B833,'PO with created By ASR'!A:C,3,FALSE)</f>
        <v>45681</v>
      </c>
      <c r="J833" s="2" t="str">
        <f>VLOOKUP(B833,'PO with created By ASR'!A:G,4,FALSE)</f>
        <v>R Anandan  -CR</v>
      </c>
      <c r="K833" s="2" t="e">
        <f>VLOOKUP(B833,'PO with created By ASR'!A:I,6,FALSE)</f>
        <v>#N/A</v>
      </c>
      <c r="L833" s="2" t="str">
        <f>VLOOKUP(B833,'PO with created By ASR'!A:J,7,FALSE)</f>
        <v>C - Chennai</v>
      </c>
      <c r="M833" s="2" t="str">
        <f>VLOOKUP(B833,'PO with created By ASR'!A:K,8,FALSE)</f>
        <v>Purchase Order-Che</v>
      </c>
      <c r="N833" t="s">
        <v>36</v>
      </c>
      <c r="P833" s="2">
        <v>6</v>
      </c>
    </row>
    <row r="834" s="2" customFormat="1" spans="1:16">
      <c r="A834" s="8"/>
      <c r="B834" s="9" t="s">
        <v>1690</v>
      </c>
      <c r="C834" s="10" t="s">
        <v>126</v>
      </c>
      <c r="D834" s="11">
        <v>1</v>
      </c>
      <c r="E834" s="12">
        <v>4634</v>
      </c>
      <c r="F834" s="13">
        <v>4634</v>
      </c>
      <c r="G834" s="2">
        <f>VLOOKUP(B834,'PO with created By ASR'!A:C,3,FALSE)</f>
        <v>45681</v>
      </c>
      <c r="J834" s="2" t="str">
        <f>VLOOKUP(B834,'PO with created By ASR'!A:G,4,FALSE)</f>
        <v>R Anandan  -CR</v>
      </c>
      <c r="K834" s="2" t="e">
        <f>VLOOKUP(B834,'PO with created By ASR'!A:I,6,FALSE)</f>
        <v>#N/A</v>
      </c>
      <c r="L834" s="2" t="str">
        <f>VLOOKUP(B834,'PO with created By ASR'!A:J,7,FALSE)</f>
        <v>C - Chennai</v>
      </c>
      <c r="M834" s="2" t="str">
        <f>VLOOKUP(B834,'PO with created By ASR'!A:K,8,FALSE)</f>
        <v>Purchase Order-Che</v>
      </c>
      <c r="N834" t="s">
        <v>36</v>
      </c>
      <c r="P834" s="2">
        <v>6</v>
      </c>
    </row>
    <row r="835" s="2" customFormat="1" spans="1:16">
      <c r="A835" s="8"/>
      <c r="B835" s="9" t="s">
        <v>1690</v>
      </c>
      <c r="C835" s="10" t="s">
        <v>412</v>
      </c>
      <c r="D835" s="11">
        <v>1</v>
      </c>
      <c r="E835" s="12">
        <v>3400</v>
      </c>
      <c r="F835" s="13">
        <v>3400</v>
      </c>
      <c r="G835" s="2">
        <f>VLOOKUP(B835,'PO with created By ASR'!A:C,3,FALSE)</f>
        <v>45681</v>
      </c>
      <c r="J835" s="2" t="str">
        <f>VLOOKUP(B835,'PO with created By ASR'!A:G,4,FALSE)</f>
        <v>R Anandan  -CR</v>
      </c>
      <c r="K835" s="2" t="e">
        <f>VLOOKUP(B835,'PO with created By ASR'!A:I,6,FALSE)</f>
        <v>#N/A</v>
      </c>
      <c r="L835" s="2" t="str">
        <f>VLOOKUP(B835,'PO with created By ASR'!A:J,7,FALSE)</f>
        <v>C - Chennai</v>
      </c>
      <c r="M835" s="2" t="str">
        <f>VLOOKUP(B835,'PO with created By ASR'!A:K,8,FALSE)</f>
        <v>Purchase Order-Che</v>
      </c>
      <c r="N835" t="s">
        <v>36</v>
      </c>
      <c r="P835" s="2">
        <v>6</v>
      </c>
    </row>
    <row r="836" s="2" customFormat="1" spans="1:16">
      <c r="A836" s="8"/>
      <c r="B836" s="9" t="s">
        <v>1690</v>
      </c>
      <c r="C836" s="10" t="s">
        <v>61</v>
      </c>
      <c r="D836" s="11">
        <v>1</v>
      </c>
      <c r="E836" s="12">
        <v>4314</v>
      </c>
      <c r="F836" s="13">
        <v>4314</v>
      </c>
      <c r="G836" s="2">
        <f>VLOOKUP(B836,'PO with created By ASR'!A:C,3,FALSE)</f>
        <v>45681</v>
      </c>
      <c r="J836" s="2" t="str">
        <f>VLOOKUP(B836,'PO with created By ASR'!A:G,4,FALSE)</f>
        <v>R Anandan  -CR</v>
      </c>
      <c r="K836" s="2" t="e">
        <f>VLOOKUP(B836,'PO with created By ASR'!A:I,6,FALSE)</f>
        <v>#N/A</v>
      </c>
      <c r="L836" s="2" t="str">
        <f>VLOOKUP(B836,'PO with created By ASR'!A:J,7,FALSE)</f>
        <v>C - Chennai</v>
      </c>
      <c r="M836" s="2" t="str">
        <f>VLOOKUP(B836,'PO with created By ASR'!A:K,8,FALSE)</f>
        <v>Purchase Order-Che</v>
      </c>
      <c r="N836" t="s">
        <v>36</v>
      </c>
      <c r="P836" s="2">
        <v>6</v>
      </c>
    </row>
    <row r="837" s="2" customFormat="1" spans="1:16">
      <c r="A837" s="8"/>
      <c r="B837" s="9" t="s">
        <v>1691</v>
      </c>
      <c r="C837" s="10" t="s">
        <v>126</v>
      </c>
      <c r="D837" s="11">
        <v>1</v>
      </c>
      <c r="E837" s="12">
        <v>500</v>
      </c>
      <c r="F837" s="13">
        <v>500</v>
      </c>
      <c r="G837" s="2">
        <f>VLOOKUP(B837,'PO with created By ASR'!A:C,3,FALSE)</f>
        <v>45681</v>
      </c>
      <c r="J837" s="2" t="str">
        <f>VLOOKUP(B837,'PO with created By ASR'!A:G,4,FALSE)</f>
        <v>Subodh Kumar Singh  -CR</v>
      </c>
      <c r="K837" s="2" t="e">
        <f>VLOOKUP(B837,'PO with created By ASR'!A:I,6,FALSE)</f>
        <v>#N/A</v>
      </c>
      <c r="L837" s="2" t="str">
        <f>VLOOKUP(B837,'PO with created By ASR'!A:J,7,FALSE)</f>
        <v>D - Delhi</v>
      </c>
      <c r="M837" s="2" t="str">
        <f>VLOOKUP(B837,'PO with created By ASR'!A:K,8,FALSE)</f>
        <v>Purchase Order-Del</v>
      </c>
      <c r="N837" t="s">
        <v>36</v>
      </c>
      <c r="P837" s="2">
        <v>6</v>
      </c>
    </row>
    <row r="838" s="2" customFormat="1" spans="1:16">
      <c r="A838" s="8"/>
      <c r="B838" s="9" t="s">
        <v>1695</v>
      </c>
      <c r="C838" s="10" t="s">
        <v>317</v>
      </c>
      <c r="D838" s="11">
        <v>1</v>
      </c>
      <c r="E838" s="12">
        <v>180000</v>
      </c>
      <c r="F838" s="13">
        <v>180000</v>
      </c>
      <c r="G838" s="2">
        <f>VLOOKUP(B838,'PO with created By ASR'!A:C,3,FALSE)</f>
        <v>45681</v>
      </c>
      <c r="J838" s="2" t="str">
        <f>VLOOKUP(B838,'PO with created By ASR'!A:G,4,FALSE)</f>
        <v>Ground Zero Events Pvt Ltd-Del</v>
      </c>
      <c r="K838" s="2" t="str">
        <f>VLOOKUP(B838,'PO with created By ASR'!A:I,6,FALSE)</f>
        <v>11974  Ground Zero Events Pvt Ltd</v>
      </c>
      <c r="L838" s="2" t="str">
        <f>VLOOKUP(B838,'PO with created By ASR'!A:J,7,FALSE)</f>
        <v>D - Delhi</v>
      </c>
      <c r="M838" s="2" t="str">
        <f>VLOOKUP(B838,'PO with created By ASR'!A:K,8,FALSE)</f>
        <v>Purchase Order-Del</v>
      </c>
      <c r="N838" t="s">
        <v>36</v>
      </c>
      <c r="P838" s="2">
        <v>6</v>
      </c>
    </row>
    <row r="839" s="2" customFormat="1" spans="1:16">
      <c r="A839" s="8"/>
      <c r="B839" s="9" t="s">
        <v>1697</v>
      </c>
      <c r="C839" s="10" t="s">
        <v>347</v>
      </c>
      <c r="D839" s="11">
        <v>1</v>
      </c>
      <c r="E839" s="12">
        <v>35000</v>
      </c>
      <c r="F839" s="13">
        <v>35000</v>
      </c>
      <c r="G839" s="2">
        <f>VLOOKUP(B839,'PO with created By ASR'!A:C,3,FALSE)</f>
        <v>45681</v>
      </c>
      <c r="J839" s="2" t="str">
        <f>VLOOKUP(B839,'PO with created By ASR'!A:G,4,FALSE)</f>
        <v>Kritigya Yadav-Del</v>
      </c>
      <c r="K839" s="2" t="str">
        <f>VLOOKUP(B839,'PO with created By ASR'!A:I,6,FALSE)</f>
        <v>12835 Kritigya Yadav</v>
      </c>
      <c r="L839" s="2" t="str">
        <f>VLOOKUP(B839,'PO with created By ASR'!A:J,7,FALSE)</f>
        <v>D - Delhi</v>
      </c>
      <c r="M839" s="2" t="str">
        <f>VLOOKUP(B839,'PO with created By ASR'!A:K,8,FALSE)</f>
        <v>Purchase Order-Del</v>
      </c>
      <c r="N839" t="s">
        <v>36</v>
      </c>
      <c r="P839" s="2">
        <v>6</v>
      </c>
    </row>
    <row r="840" s="2" customFormat="1" spans="1:16">
      <c r="A840" s="8"/>
      <c r="B840" s="9" t="s">
        <v>1703</v>
      </c>
      <c r="C840" s="10" t="s">
        <v>140</v>
      </c>
      <c r="D840" s="11">
        <v>1</v>
      </c>
      <c r="E840" s="12">
        <v>162000</v>
      </c>
      <c r="F840" s="13">
        <v>162000</v>
      </c>
      <c r="G840" s="2">
        <f>VLOOKUP(B840,'PO with created By ASR'!A:C,3,FALSE)</f>
        <v>45681</v>
      </c>
      <c r="J840" s="2" t="str">
        <f>VLOOKUP(B840,'PO with created By ASR'!A:G,4,FALSE)</f>
        <v>Benson Trophies And Awards-Del</v>
      </c>
      <c r="K840" s="2" t="str">
        <f>VLOOKUP(B840,'PO with created By ASR'!A:I,6,FALSE)</f>
        <v>11719 Benson Trophies And Awards</v>
      </c>
      <c r="L840" s="2" t="str">
        <f>VLOOKUP(B840,'PO with created By ASR'!A:J,7,FALSE)</f>
        <v>D - Delhi</v>
      </c>
      <c r="M840" s="2" t="str">
        <f>VLOOKUP(B840,'PO with created By ASR'!A:K,8,FALSE)</f>
        <v>Purchase Order-Del</v>
      </c>
      <c r="N840" t="s">
        <v>36</v>
      </c>
      <c r="P840" s="2">
        <v>6</v>
      </c>
    </row>
    <row r="841" s="2" customFormat="1" spans="1:16">
      <c r="A841" s="8"/>
      <c r="B841" s="9" t="s">
        <v>1704</v>
      </c>
      <c r="C841" s="10" t="s">
        <v>233</v>
      </c>
      <c r="D841" s="11">
        <v>1</v>
      </c>
      <c r="E841" s="12">
        <v>850000</v>
      </c>
      <c r="F841" s="13">
        <v>850000</v>
      </c>
      <c r="G841" s="2">
        <f>VLOOKUP(B841,'PO with created By ASR'!A:C,3,FALSE)</f>
        <v>45681</v>
      </c>
      <c r="J841" s="2" t="str">
        <f>VLOOKUP(B841,'PO with created By ASR'!A:G,4,FALSE)</f>
        <v>Amrik Singh (Mika Singh)-Del</v>
      </c>
      <c r="K841" s="2" t="str">
        <f>VLOOKUP(B841,'PO with created By ASR'!A:I,6,FALSE)</f>
        <v>12905 Amrik Singh (Mika Singh)</v>
      </c>
      <c r="L841" s="2" t="str">
        <f>VLOOKUP(B841,'PO with created By ASR'!A:J,7,FALSE)</f>
        <v>D - Delhi</v>
      </c>
      <c r="M841" s="2" t="str">
        <f>VLOOKUP(B841,'PO with created By ASR'!A:K,8,FALSE)</f>
        <v>Purchase Order-Del</v>
      </c>
      <c r="N841" t="s">
        <v>36</v>
      </c>
      <c r="P841" s="2">
        <v>6</v>
      </c>
    </row>
    <row r="842" s="2" customFormat="1" spans="1:16">
      <c r="A842" s="8"/>
      <c r="B842" s="9" t="s">
        <v>1705</v>
      </c>
      <c r="C842" s="10" t="s">
        <v>140</v>
      </c>
      <c r="D842" s="11">
        <v>1</v>
      </c>
      <c r="E842" s="12">
        <v>49000</v>
      </c>
      <c r="F842" s="13">
        <v>49000</v>
      </c>
      <c r="G842" s="2">
        <f>VLOOKUP(B842,'PO with created By ASR'!A:C,3,FALSE)</f>
        <v>45681</v>
      </c>
      <c r="J842" s="2" t="str">
        <f>VLOOKUP(B842,'PO with created By ASR'!A:G,4,FALSE)</f>
        <v>Zpay Solutions Private Limited-Del</v>
      </c>
      <c r="K842" s="2" t="e">
        <f>VLOOKUP(B842,'PO with created By ASR'!A:I,6,FALSE)</f>
        <v>#N/A</v>
      </c>
      <c r="L842" s="2" t="str">
        <f>VLOOKUP(B842,'PO with created By ASR'!A:J,7,FALSE)</f>
        <v>D - Delhi</v>
      </c>
      <c r="M842" s="2" t="str">
        <f>VLOOKUP(B842,'PO with created By ASR'!A:K,8,FALSE)</f>
        <v>Purchase Order-Del</v>
      </c>
      <c r="N842" t="s">
        <v>36</v>
      </c>
      <c r="P842" s="2">
        <v>6</v>
      </c>
    </row>
    <row r="843" s="2" customFormat="1" spans="1:16">
      <c r="A843" s="8"/>
      <c r="B843" s="9" t="s">
        <v>1706</v>
      </c>
      <c r="C843" s="10" t="s">
        <v>412</v>
      </c>
      <c r="D843" s="11">
        <v>1</v>
      </c>
      <c r="E843" s="12">
        <v>23854</v>
      </c>
      <c r="F843" s="13">
        <v>23854</v>
      </c>
      <c r="G843" s="2">
        <f>VLOOKUP(B843,'PO with created By ASR'!A:C,3,FALSE)</f>
        <v>45681</v>
      </c>
      <c r="J843" s="2" t="str">
        <f>VLOOKUP(B843,'PO with created By ASR'!A:G,4,FALSE)</f>
        <v>Kalu Halder............. -CR</v>
      </c>
      <c r="K843" s="2" t="e">
        <f>VLOOKUP(B843,'PO with created By ASR'!A:I,6,FALSE)</f>
        <v>#N/A</v>
      </c>
      <c r="L843" s="2" t="str">
        <f>VLOOKUP(B843,'PO with created By ASR'!A:J,7,FALSE)</f>
        <v>D - Delhi</v>
      </c>
      <c r="M843" s="2" t="str">
        <f>VLOOKUP(B843,'PO with created By ASR'!A:K,8,FALSE)</f>
        <v>Purchase Order-Del</v>
      </c>
      <c r="N843" t="s">
        <v>36</v>
      </c>
      <c r="P843" s="2">
        <v>6</v>
      </c>
    </row>
    <row r="844" s="2" customFormat="1" spans="1:16">
      <c r="A844" s="8"/>
      <c r="B844" s="9" t="s">
        <v>1707</v>
      </c>
      <c r="C844" s="10" t="s">
        <v>256</v>
      </c>
      <c r="D844" s="11">
        <v>1</v>
      </c>
      <c r="E844" s="12">
        <v>365000</v>
      </c>
      <c r="F844" s="13">
        <v>365000</v>
      </c>
      <c r="G844" s="2">
        <f>VLOOKUP(B844,'PO with created By ASR'!A:C,3,FALSE)</f>
        <v>45681</v>
      </c>
      <c r="J844" s="2" t="str">
        <f>VLOOKUP(B844,'PO with created By ASR'!A:G,4,FALSE)</f>
        <v>Lal Jha-Del</v>
      </c>
      <c r="K844" s="2" t="str">
        <f>VLOOKUP(B844,'PO with created By ASR'!A:I,6,FALSE)</f>
        <v>12093 Lal Jha</v>
      </c>
      <c r="L844" s="2" t="str">
        <f>VLOOKUP(B844,'PO with created By ASR'!A:J,7,FALSE)</f>
        <v>D - Delhi</v>
      </c>
      <c r="M844" s="2" t="str">
        <f>VLOOKUP(B844,'PO with created By ASR'!A:K,8,FALSE)</f>
        <v>Purchase Order-Del</v>
      </c>
      <c r="N844" t="s">
        <v>36</v>
      </c>
      <c r="P844" s="2">
        <v>6</v>
      </c>
    </row>
    <row r="845" s="2" customFormat="1" spans="1:16">
      <c r="A845" s="8"/>
      <c r="B845" s="9" t="s">
        <v>1712</v>
      </c>
      <c r="C845" s="10" t="s">
        <v>1055</v>
      </c>
      <c r="D845" s="11">
        <v>1</v>
      </c>
      <c r="E845" s="12">
        <v>35000</v>
      </c>
      <c r="F845" s="13">
        <v>35000</v>
      </c>
      <c r="G845" s="2">
        <f>VLOOKUP(B845,'PO with created By ASR'!A:C,3,FALSE)</f>
        <v>45681</v>
      </c>
      <c r="J845" s="2" t="str">
        <f>VLOOKUP(B845,'PO with created By ASR'!A:G,4,FALSE)</f>
        <v>R E Rogers India Pvt Ltd-Del</v>
      </c>
      <c r="K845" s="2" t="str">
        <f>VLOOKUP(B845,'PO with created By ASR'!A:I,6,FALSE)</f>
        <v>12332  R E Rogers India Pvt Ltd</v>
      </c>
      <c r="L845" s="2" t="str">
        <f>VLOOKUP(B845,'PO with created By ASR'!A:J,7,FALSE)</f>
        <v>D - Delhi</v>
      </c>
      <c r="M845" s="2" t="str">
        <f>VLOOKUP(B845,'PO with created By ASR'!A:K,8,FALSE)</f>
        <v>Purchase Order-Del</v>
      </c>
      <c r="N845" t="s">
        <v>36</v>
      </c>
      <c r="P845" s="2">
        <v>6</v>
      </c>
    </row>
    <row r="846" s="2" customFormat="1" spans="1:16">
      <c r="A846" s="8"/>
      <c r="B846" s="9" t="s">
        <v>1713</v>
      </c>
      <c r="C846" s="10" t="s">
        <v>1055</v>
      </c>
      <c r="D846" s="11">
        <v>1</v>
      </c>
      <c r="E846" s="12">
        <v>50000</v>
      </c>
      <c r="F846" s="13">
        <v>50000</v>
      </c>
      <c r="G846" s="2">
        <f>VLOOKUP(B846,'PO with created By ASR'!A:C,3,FALSE)</f>
        <v>45681</v>
      </c>
      <c r="J846" s="2" t="str">
        <f>VLOOKUP(B846,'PO with created By ASR'!A:G,4,FALSE)</f>
        <v>R E Rogers India Pvt Ltd-Del</v>
      </c>
      <c r="K846" s="2" t="str">
        <f>VLOOKUP(B846,'PO with created By ASR'!A:I,6,FALSE)</f>
        <v>12332  R E Rogers India Pvt Ltd</v>
      </c>
      <c r="L846" s="2" t="str">
        <f>VLOOKUP(B846,'PO with created By ASR'!A:J,7,FALSE)</f>
        <v>D - Delhi</v>
      </c>
      <c r="M846" s="2" t="str">
        <f>VLOOKUP(B846,'PO with created By ASR'!A:K,8,FALSE)</f>
        <v>Purchase Order-Del</v>
      </c>
      <c r="N846" t="s">
        <v>36</v>
      </c>
      <c r="P846" s="2">
        <v>6</v>
      </c>
    </row>
    <row r="847" s="2" customFormat="1" spans="1:16">
      <c r="A847" s="8"/>
      <c r="B847" s="9" t="s">
        <v>1714</v>
      </c>
      <c r="C847" s="10" t="s">
        <v>126</v>
      </c>
      <c r="D847" s="11">
        <v>1</v>
      </c>
      <c r="E847" s="12">
        <v>3994</v>
      </c>
      <c r="F847" s="13">
        <v>3994</v>
      </c>
      <c r="G847" s="2">
        <f>VLOOKUP(B847,'PO with created By ASR'!A:C,3,FALSE)</f>
        <v>45681</v>
      </c>
      <c r="J847" s="2" t="str">
        <f>VLOOKUP(B847,'PO with created By ASR'!A:G,4,FALSE)</f>
        <v>Anurag Jadli  -CR</v>
      </c>
      <c r="K847" s="2" t="e">
        <f>VLOOKUP(B847,'PO with created By ASR'!A:I,6,FALSE)</f>
        <v>#N/A</v>
      </c>
      <c r="L847" s="2" t="str">
        <f>VLOOKUP(B847,'PO with created By ASR'!A:J,7,FALSE)</f>
        <v>D - Delhi</v>
      </c>
      <c r="M847" s="2" t="str">
        <f>VLOOKUP(B847,'PO with created By ASR'!A:K,8,FALSE)</f>
        <v>Purchase Order-Del</v>
      </c>
      <c r="N847" t="s">
        <v>36</v>
      </c>
      <c r="P847" s="2">
        <v>6</v>
      </c>
    </row>
    <row r="848" s="2" customFormat="1" spans="1:16">
      <c r="A848" s="8"/>
      <c r="B848" s="9" t="s">
        <v>1714</v>
      </c>
      <c r="C848" s="10" t="s">
        <v>412</v>
      </c>
      <c r="D848" s="11">
        <v>1</v>
      </c>
      <c r="E848" s="12">
        <v>3359</v>
      </c>
      <c r="F848" s="13">
        <v>3359</v>
      </c>
      <c r="G848" s="2">
        <f>VLOOKUP(B848,'PO with created By ASR'!A:C,3,FALSE)</f>
        <v>45681</v>
      </c>
      <c r="J848" s="2" t="str">
        <f>VLOOKUP(B848,'PO with created By ASR'!A:G,4,FALSE)</f>
        <v>Anurag Jadli  -CR</v>
      </c>
      <c r="K848" s="2" t="e">
        <f>VLOOKUP(B848,'PO with created By ASR'!A:I,6,FALSE)</f>
        <v>#N/A</v>
      </c>
      <c r="L848" s="2" t="str">
        <f>VLOOKUP(B848,'PO with created By ASR'!A:J,7,FALSE)</f>
        <v>D - Delhi</v>
      </c>
      <c r="M848" s="2" t="str">
        <f>VLOOKUP(B848,'PO with created By ASR'!A:K,8,FALSE)</f>
        <v>Purchase Order-Del</v>
      </c>
      <c r="N848" t="s">
        <v>36</v>
      </c>
      <c r="P848" s="2">
        <v>6</v>
      </c>
    </row>
    <row r="849" s="2" customFormat="1" spans="1:16">
      <c r="A849" s="8"/>
      <c r="B849" s="9" t="s">
        <v>1714</v>
      </c>
      <c r="C849" s="10" t="s">
        <v>61</v>
      </c>
      <c r="D849" s="11">
        <v>1</v>
      </c>
      <c r="E849" s="12">
        <v>3983</v>
      </c>
      <c r="F849" s="13">
        <v>3983</v>
      </c>
      <c r="G849" s="2">
        <f>VLOOKUP(B849,'PO with created By ASR'!A:C,3,FALSE)</f>
        <v>45681</v>
      </c>
      <c r="J849" s="2" t="str">
        <f>VLOOKUP(B849,'PO with created By ASR'!A:G,4,FALSE)</f>
        <v>Anurag Jadli  -CR</v>
      </c>
      <c r="K849" s="2" t="e">
        <f>VLOOKUP(B849,'PO with created By ASR'!A:I,6,FALSE)</f>
        <v>#N/A</v>
      </c>
      <c r="L849" s="2" t="str">
        <f>VLOOKUP(B849,'PO with created By ASR'!A:J,7,FALSE)</f>
        <v>D - Delhi</v>
      </c>
      <c r="M849" s="2" t="str">
        <f>VLOOKUP(B849,'PO with created By ASR'!A:K,8,FALSE)</f>
        <v>Purchase Order-Del</v>
      </c>
      <c r="N849" t="s">
        <v>36</v>
      </c>
      <c r="P849" s="2">
        <v>6</v>
      </c>
    </row>
    <row r="850" s="2" customFormat="1" spans="1:16">
      <c r="A850" s="8"/>
      <c r="B850" s="9" t="s">
        <v>1716</v>
      </c>
      <c r="C850" s="10" t="s">
        <v>126</v>
      </c>
      <c r="D850" s="11">
        <v>1</v>
      </c>
      <c r="E850" s="12">
        <v>648</v>
      </c>
      <c r="F850" s="13">
        <v>648</v>
      </c>
      <c r="G850" s="2">
        <f>VLOOKUP(B850,'PO with created By ASR'!A:C,3,FALSE)</f>
        <v>45681</v>
      </c>
      <c r="J850" s="2" t="str">
        <f>VLOOKUP(B850,'PO with created By ASR'!A:G,4,FALSE)</f>
        <v>Varun Sondhi  -CR</v>
      </c>
      <c r="K850" s="2" t="e">
        <f>VLOOKUP(B850,'PO with created By ASR'!A:I,6,FALSE)</f>
        <v>#N/A</v>
      </c>
      <c r="L850" s="2" t="str">
        <f>VLOOKUP(B850,'PO with created By ASR'!A:J,7,FALSE)</f>
        <v>D - Delhi</v>
      </c>
      <c r="M850" s="2" t="str">
        <f>VLOOKUP(B850,'PO with created By ASR'!A:K,8,FALSE)</f>
        <v>Purchase Order-Del</v>
      </c>
      <c r="N850" t="s">
        <v>36</v>
      </c>
      <c r="P850" s="2">
        <v>6</v>
      </c>
    </row>
    <row r="851" s="2" customFormat="1" spans="1:16">
      <c r="A851" s="8"/>
      <c r="B851" s="9" t="s">
        <v>1716</v>
      </c>
      <c r="C851" s="10" t="s">
        <v>126</v>
      </c>
      <c r="D851" s="11">
        <v>1</v>
      </c>
      <c r="E851" s="12">
        <v>3571</v>
      </c>
      <c r="F851" s="13">
        <v>3571</v>
      </c>
      <c r="G851" s="2">
        <f>VLOOKUP(B851,'PO with created By ASR'!A:C,3,FALSE)</f>
        <v>45681</v>
      </c>
      <c r="J851" s="2" t="str">
        <f>VLOOKUP(B851,'PO with created By ASR'!A:G,4,FALSE)</f>
        <v>Varun Sondhi  -CR</v>
      </c>
      <c r="K851" s="2" t="e">
        <f>VLOOKUP(B851,'PO with created By ASR'!A:I,6,FALSE)</f>
        <v>#N/A</v>
      </c>
      <c r="L851" s="2" t="str">
        <f>VLOOKUP(B851,'PO with created By ASR'!A:J,7,FALSE)</f>
        <v>D - Delhi</v>
      </c>
      <c r="M851" s="2" t="str">
        <f>VLOOKUP(B851,'PO with created By ASR'!A:K,8,FALSE)</f>
        <v>Purchase Order-Del</v>
      </c>
      <c r="N851" t="s">
        <v>36</v>
      </c>
      <c r="P851" s="2">
        <v>6</v>
      </c>
    </row>
    <row r="852" s="2" customFormat="1" spans="1:16">
      <c r="A852" s="8"/>
      <c r="B852" s="9" t="s">
        <v>1716</v>
      </c>
      <c r="C852" s="10" t="s">
        <v>412</v>
      </c>
      <c r="D852" s="11">
        <v>1</v>
      </c>
      <c r="E852" s="12">
        <v>4256</v>
      </c>
      <c r="F852" s="13">
        <v>4256</v>
      </c>
      <c r="G852" s="2">
        <f>VLOOKUP(B852,'PO with created By ASR'!A:C,3,FALSE)</f>
        <v>45681</v>
      </c>
      <c r="J852" s="2" t="str">
        <f>VLOOKUP(B852,'PO with created By ASR'!A:G,4,FALSE)</f>
        <v>Varun Sondhi  -CR</v>
      </c>
      <c r="K852" s="2" t="e">
        <f>VLOOKUP(B852,'PO with created By ASR'!A:I,6,FALSE)</f>
        <v>#N/A</v>
      </c>
      <c r="L852" s="2" t="str">
        <f>VLOOKUP(B852,'PO with created By ASR'!A:J,7,FALSE)</f>
        <v>D - Delhi</v>
      </c>
      <c r="M852" s="2" t="str">
        <f>VLOOKUP(B852,'PO with created By ASR'!A:K,8,FALSE)</f>
        <v>Purchase Order-Del</v>
      </c>
      <c r="N852" t="s">
        <v>36</v>
      </c>
      <c r="P852" s="2">
        <v>6</v>
      </c>
    </row>
    <row r="853" s="2" customFormat="1" spans="1:16">
      <c r="A853" s="8"/>
      <c r="B853" s="9" t="s">
        <v>1719</v>
      </c>
      <c r="C853" s="10" t="s">
        <v>126</v>
      </c>
      <c r="D853" s="11">
        <v>1</v>
      </c>
      <c r="E853" s="12">
        <v>3399</v>
      </c>
      <c r="F853" s="13">
        <v>3399</v>
      </c>
      <c r="G853" s="2">
        <f>VLOOKUP(B853,'PO with created By ASR'!A:C,3,FALSE)</f>
        <v>45681</v>
      </c>
      <c r="J853" s="2" t="str">
        <f>VLOOKUP(B853,'PO with created By ASR'!A:G,4,FALSE)</f>
        <v>Anil Kumar Singh..........-CR</v>
      </c>
      <c r="K853" s="2" t="e">
        <f>VLOOKUP(B853,'PO with created By ASR'!A:I,6,FALSE)</f>
        <v>#N/A</v>
      </c>
      <c r="L853" s="2" t="str">
        <f>VLOOKUP(B853,'PO with created By ASR'!A:J,7,FALSE)</f>
        <v>D - Delhi</v>
      </c>
      <c r="M853" s="2" t="str">
        <f>VLOOKUP(B853,'PO with created By ASR'!A:K,8,FALSE)</f>
        <v>Purchase Order-Del</v>
      </c>
      <c r="N853" t="s">
        <v>36</v>
      </c>
      <c r="P853" s="2">
        <v>6</v>
      </c>
    </row>
    <row r="854" s="2" customFormat="1" spans="1:16">
      <c r="A854" s="8"/>
      <c r="B854" s="9" t="s">
        <v>1719</v>
      </c>
      <c r="C854" s="10" t="s">
        <v>233</v>
      </c>
      <c r="D854" s="11">
        <v>1</v>
      </c>
      <c r="E854" s="12">
        <v>1027</v>
      </c>
      <c r="F854" s="13">
        <v>1027</v>
      </c>
      <c r="G854" s="2">
        <f>VLOOKUP(B854,'PO with created By ASR'!A:C,3,FALSE)</f>
        <v>45681</v>
      </c>
      <c r="J854" s="2" t="str">
        <f>VLOOKUP(B854,'PO with created By ASR'!A:G,4,FALSE)</f>
        <v>Anil Kumar Singh..........-CR</v>
      </c>
      <c r="K854" s="2" t="e">
        <f>VLOOKUP(B854,'PO with created By ASR'!A:I,6,FALSE)</f>
        <v>#N/A</v>
      </c>
      <c r="L854" s="2" t="str">
        <f>VLOOKUP(B854,'PO with created By ASR'!A:J,7,FALSE)</f>
        <v>D - Delhi</v>
      </c>
      <c r="M854" s="2" t="str">
        <f>VLOOKUP(B854,'PO with created By ASR'!A:K,8,FALSE)</f>
        <v>Purchase Order-Del</v>
      </c>
      <c r="N854" t="s">
        <v>36</v>
      </c>
      <c r="P854" s="2">
        <v>6</v>
      </c>
    </row>
    <row r="855" s="2" customFormat="1" spans="1:16">
      <c r="A855" s="8"/>
      <c r="B855" s="9" t="s">
        <v>1723</v>
      </c>
      <c r="C855" s="10" t="s">
        <v>126</v>
      </c>
      <c r="D855" s="11">
        <v>1</v>
      </c>
      <c r="E855" s="12">
        <v>1534.73</v>
      </c>
      <c r="F855" s="13">
        <v>1534.73</v>
      </c>
      <c r="G855" s="2">
        <f>VLOOKUP(B855,'PO with created By ASR'!A:C,3,FALSE)</f>
        <v>45681</v>
      </c>
      <c r="J855" s="2" t="str">
        <f>VLOOKUP(B855,'PO with created By ASR'!A:G,4,FALSE)</f>
        <v>Kanupriya Aggarwal  -CR</v>
      </c>
      <c r="K855" s="2" t="e">
        <f>VLOOKUP(B855,'PO with created By ASR'!A:I,6,FALSE)</f>
        <v>#N/A</v>
      </c>
      <c r="L855" s="2" t="str">
        <f>VLOOKUP(B855,'PO with created By ASR'!A:J,7,FALSE)</f>
        <v>D - Delhi</v>
      </c>
      <c r="M855" s="2" t="str">
        <f>VLOOKUP(B855,'PO with created By ASR'!A:K,8,FALSE)</f>
        <v>Purchase Order-Del</v>
      </c>
      <c r="N855" t="s">
        <v>36</v>
      </c>
      <c r="P855" s="2">
        <v>6</v>
      </c>
    </row>
    <row r="856" s="2" customFormat="1" spans="1:16">
      <c r="A856" s="8"/>
      <c r="B856" s="9" t="s">
        <v>1723</v>
      </c>
      <c r="C856" s="10" t="s">
        <v>412</v>
      </c>
      <c r="D856" s="11">
        <v>1</v>
      </c>
      <c r="E856" s="12">
        <v>234.81</v>
      </c>
      <c r="F856" s="13">
        <v>234.81</v>
      </c>
      <c r="G856" s="2">
        <f>VLOOKUP(B856,'PO with created By ASR'!A:C,3,FALSE)</f>
        <v>45681</v>
      </c>
      <c r="J856" s="2" t="str">
        <f>VLOOKUP(B856,'PO with created By ASR'!A:G,4,FALSE)</f>
        <v>Kanupriya Aggarwal  -CR</v>
      </c>
      <c r="K856" s="2" t="e">
        <f>VLOOKUP(B856,'PO with created By ASR'!A:I,6,FALSE)</f>
        <v>#N/A</v>
      </c>
      <c r="L856" s="2" t="str">
        <f>VLOOKUP(B856,'PO with created By ASR'!A:J,7,FALSE)</f>
        <v>D - Delhi</v>
      </c>
      <c r="M856" s="2" t="str">
        <f>VLOOKUP(B856,'PO with created By ASR'!A:K,8,FALSE)</f>
        <v>Purchase Order-Del</v>
      </c>
      <c r="N856" t="s">
        <v>36</v>
      </c>
      <c r="P856" s="2">
        <v>6</v>
      </c>
    </row>
    <row r="857" s="2" customFormat="1" spans="1:16">
      <c r="A857" s="8"/>
      <c r="B857" s="9" t="s">
        <v>1724</v>
      </c>
      <c r="C857" s="10" t="s">
        <v>126</v>
      </c>
      <c r="D857" s="11">
        <v>1</v>
      </c>
      <c r="E857" s="12">
        <v>3351</v>
      </c>
      <c r="F857" s="13">
        <v>3351</v>
      </c>
      <c r="G857" s="2">
        <f>VLOOKUP(B857,'PO with created By ASR'!A:C,3,FALSE)</f>
        <v>45681</v>
      </c>
      <c r="J857" s="2" t="str">
        <f>VLOOKUP(B857,'PO with created By ASR'!A:G,4,FALSE)</f>
        <v>Rahul Luthra  -CR</v>
      </c>
      <c r="K857" s="2" t="e">
        <f>VLOOKUP(B857,'PO with created By ASR'!A:I,6,FALSE)</f>
        <v>#N/A</v>
      </c>
      <c r="L857" s="2" t="str">
        <f>VLOOKUP(B857,'PO with created By ASR'!A:J,7,FALSE)</f>
        <v>D - Delhi</v>
      </c>
      <c r="M857" s="2" t="str">
        <f>VLOOKUP(B857,'PO with created By ASR'!A:K,8,FALSE)</f>
        <v>Purchase Order-Del</v>
      </c>
      <c r="N857" t="s">
        <v>36</v>
      </c>
      <c r="P857" s="2">
        <v>6</v>
      </c>
    </row>
    <row r="858" s="2" customFormat="1" spans="1:16">
      <c r="A858" s="8"/>
      <c r="B858" s="9" t="s">
        <v>1724</v>
      </c>
      <c r="C858" s="10" t="s">
        <v>412</v>
      </c>
      <c r="D858" s="11">
        <v>1</v>
      </c>
      <c r="E858" s="12">
        <v>1182</v>
      </c>
      <c r="F858" s="13">
        <v>1182</v>
      </c>
      <c r="G858" s="2">
        <f>VLOOKUP(B858,'PO with created By ASR'!A:C,3,FALSE)</f>
        <v>45681</v>
      </c>
      <c r="J858" s="2" t="str">
        <f>VLOOKUP(B858,'PO with created By ASR'!A:G,4,FALSE)</f>
        <v>Rahul Luthra  -CR</v>
      </c>
      <c r="K858" s="2" t="e">
        <f>VLOOKUP(B858,'PO with created By ASR'!A:I,6,FALSE)</f>
        <v>#N/A</v>
      </c>
      <c r="L858" s="2" t="str">
        <f>VLOOKUP(B858,'PO with created By ASR'!A:J,7,FALSE)</f>
        <v>D - Delhi</v>
      </c>
      <c r="M858" s="2" t="str">
        <f>VLOOKUP(B858,'PO with created By ASR'!A:K,8,FALSE)</f>
        <v>Purchase Order-Del</v>
      </c>
      <c r="N858" t="s">
        <v>36</v>
      </c>
      <c r="P858" s="2">
        <v>6</v>
      </c>
    </row>
    <row r="859" s="2" customFormat="1" spans="1:16">
      <c r="A859" s="8"/>
      <c r="B859" s="9" t="s">
        <v>1726</v>
      </c>
      <c r="C859" s="10" t="s">
        <v>126</v>
      </c>
      <c r="D859" s="11">
        <v>1</v>
      </c>
      <c r="E859" s="12">
        <v>8259</v>
      </c>
      <c r="F859" s="13">
        <v>8259</v>
      </c>
      <c r="G859" s="2">
        <f>VLOOKUP(B859,'PO with created By ASR'!A:C,3,FALSE)</f>
        <v>45681</v>
      </c>
      <c r="J859" s="2" t="str">
        <f>VLOOKUP(B859,'PO with created By ASR'!A:G,4,FALSE)</f>
        <v>Samarth Kapoor  -CR</v>
      </c>
      <c r="K859" s="2" t="e">
        <f>VLOOKUP(B859,'PO with created By ASR'!A:I,6,FALSE)</f>
        <v>#N/A</v>
      </c>
      <c r="L859" s="2" t="str">
        <f>VLOOKUP(B859,'PO with created By ASR'!A:J,7,FALSE)</f>
        <v>D - Delhi</v>
      </c>
      <c r="M859" s="2" t="str">
        <f>VLOOKUP(B859,'PO with created By ASR'!A:K,8,FALSE)</f>
        <v>Purchase Order-Del</v>
      </c>
      <c r="N859" t="s">
        <v>36</v>
      </c>
      <c r="P859" s="2">
        <v>6</v>
      </c>
    </row>
    <row r="860" s="2" customFormat="1" spans="1:16">
      <c r="A860" s="8"/>
      <c r="B860" s="9" t="s">
        <v>1728</v>
      </c>
      <c r="C860" s="10" t="s">
        <v>140</v>
      </c>
      <c r="D860" s="11">
        <v>1</v>
      </c>
      <c r="E860" s="12">
        <v>70223</v>
      </c>
      <c r="F860" s="13">
        <v>70223</v>
      </c>
      <c r="G860" s="2">
        <f>VLOOKUP(B860,'PO with created By ASR'!A:C,3,FALSE)</f>
        <v>45681</v>
      </c>
      <c r="J860" s="2" t="str">
        <f>VLOOKUP(B860,'PO with created By ASR'!A:G,4,FALSE)</f>
        <v>Bitu Kumar  -CR</v>
      </c>
      <c r="K860" s="2" t="e">
        <f>VLOOKUP(B860,'PO with created By ASR'!A:I,6,FALSE)</f>
        <v>#N/A</v>
      </c>
      <c r="L860" s="2" t="str">
        <f>VLOOKUP(B860,'PO with created By ASR'!A:J,7,FALSE)</f>
        <v>D - Delhi</v>
      </c>
      <c r="M860" s="2" t="str">
        <f>VLOOKUP(B860,'PO with created By ASR'!A:K,8,FALSE)</f>
        <v>Purchase Order-Del</v>
      </c>
      <c r="N860" t="s">
        <v>36</v>
      </c>
      <c r="P860" s="2">
        <v>6</v>
      </c>
    </row>
    <row r="861" s="2" customFormat="1" spans="1:16">
      <c r="A861" s="8"/>
      <c r="B861" s="9" t="s">
        <v>1731</v>
      </c>
      <c r="C861" s="10" t="s">
        <v>126</v>
      </c>
      <c r="D861" s="11">
        <v>1</v>
      </c>
      <c r="E861" s="12">
        <v>12200</v>
      </c>
      <c r="F861" s="13">
        <v>12200</v>
      </c>
      <c r="G861" s="2">
        <f>VLOOKUP(B861,'PO with created By ASR'!A:C,3,FALSE)</f>
        <v>45681</v>
      </c>
      <c r="J861" s="2" t="str">
        <f>VLOOKUP(B861,'PO with created By ASR'!A:G,4,FALSE)</f>
        <v>Rahul Luthra  -CR</v>
      </c>
      <c r="K861" s="2" t="e">
        <f>VLOOKUP(B861,'PO with created By ASR'!A:I,6,FALSE)</f>
        <v>#N/A</v>
      </c>
      <c r="L861" s="2" t="str">
        <f>VLOOKUP(B861,'PO with created By ASR'!A:J,7,FALSE)</f>
        <v>D - Delhi</v>
      </c>
      <c r="M861" s="2" t="str">
        <f>VLOOKUP(B861,'PO with created By ASR'!A:K,8,FALSE)</f>
        <v>Purchase Order-Del</v>
      </c>
      <c r="N861" t="s">
        <v>36</v>
      </c>
      <c r="P861" s="2">
        <v>6</v>
      </c>
    </row>
    <row r="862" s="2" customFormat="1" spans="1:16">
      <c r="A862" s="8"/>
      <c r="B862" s="9" t="s">
        <v>1732</v>
      </c>
      <c r="C862" s="10" t="s">
        <v>126</v>
      </c>
      <c r="D862" s="11">
        <v>1</v>
      </c>
      <c r="E862" s="12">
        <v>4656</v>
      </c>
      <c r="F862" s="13">
        <v>4656</v>
      </c>
      <c r="G862" s="2">
        <f>VLOOKUP(B862,'PO with created By ASR'!A:C,3,FALSE)</f>
        <v>45681</v>
      </c>
      <c r="J862" s="2" t="str">
        <f>VLOOKUP(B862,'PO with created By ASR'!A:G,4,FALSE)</f>
        <v>Sachin Vaid  -CR</v>
      </c>
      <c r="K862" s="2" t="str">
        <f>VLOOKUP(B862,'PO with created By ASR'!A:I,6,FALSE)</f>
        <v>12718 Sachin Vaid</v>
      </c>
      <c r="L862" s="2" t="str">
        <f>VLOOKUP(B862,'PO with created By ASR'!A:J,7,FALSE)</f>
        <v>D - Delhi</v>
      </c>
      <c r="M862" s="2" t="str">
        <f>VLOOKUP(B862,'PO with created By ASR'!A:K,8,FALSE)</f>
        <v>Purchase Order-Del</v>
      </c>
      <c r="N862" t="s">
        <v>36</v>
      </c>
      <c r="P862" s="2">
        <v>6</v>
      </c>
    </row>
    <row r="863" s="2" customFormat="1" spans="1:16">
      <c r="A863" s="8"/>
      <c r="B863" s="9" t="s">
        <v>1732</v>
      </c>
      <c r="C863" s="10" t="s">
        <v>412</v>
      </c>
      <c r="D863" s="11">
        <v>1</v>
      </c>
      <c r="E863" s="12">
        <v>1252</v>
      </c>
      <c r="F863" s="13">
        <v>1252</v>
      </c>
      <c r="G863" s="2">
        <f>VLOOKUP(B863,'PO with created By ASR'!A:C,3,FALSE)</f>
        <v>45681</v>
      </c>
      <c r="J863" s="2" t="str">
        <f>VLOOKUP(B863,'PO with created By ASR'!A:G,4,FALSE)</f>
        <v>Sachin Vaid  -CR</v>
      </c>
      <c r="K863" s="2" t="str">
        <f>VLOOKUP(B863,'PO with created By ASR'!A:I,6,FALSE)</f>
        <v>12718 Sachin Vaid</v>
      </c>
      <c r="L863" s="2" t="str">
        <f>VLOOKUP(B863,'PO with created By ASR'!A:J,7,FALSE)</f>
        <v>D - Delhi</v>
      </c>
      <c r="M863" s="2" t="str">
        <f>VLOOKUP(B863,'PO with created By ASR'!A:K,8,FALSE)</f>
        <v>Purchase Order-Del</v>
      </c>
      <c r="N863" t="s">
        <v>36</v>
      </c>
      <c r="P863" s="2">
        <v>6</v>
      </c>
    </row>
    <row r="864" s="2" customFormat="1" spans="1:16">
      <c r="A864" s="8"/>
      <c r="B864" s="9" t="s">
        <v>1735</v>
      </c>
      <c r="C864" s="10" t="s">
        <v>126</v>
      </c>
      <c r="D864" s="11">
        <v>1</v>
      </c>
      <c r="E864" s="12">
        <v>7887</v>
      </c>
      <c r="F864" s="13">
        <v>7887</v>
      </c>
      <c r="G864" s="2">
        <f>VLOOKUP(B864,'PO with created By ASR'!A:C,3,FALSE)</f>
        <v>45681</v>
      </c>
      <c r="J864" s="2" t="str">
        <f>VLOOKUP(B864,'PO with created By ASR'!A:G,4,FALSE)</f>
        <v>Tribhuvan Kapoor.....-CR</v>
      </c>
      <c r="K864" s="2" t="e">
        <f>VLOOKUP(B864,'PO with created By ASR'!A:I,6,FALSE)</f>
        <v>#N/A</v>
      </c>
      <c r="L864" s="2" t="str">
        <f>VLOOKUP(B864,'PO with created By ASR'!A:J,7,FALSE)</f>
        <v>D - Delhi</v>
      </c>
      <c r="M864" s="2" t="str">
        <f>VLOOKUP(B864,'PO with created By ASR'!A:K,8,FALSE)</f>
        <v>Purchase Order-Del</v>
      </c>
      <c r="N864" t="s">
        <v>36</v>
      </c>
      <c r="P864" s="2">
        <v>6</v>
      </c>
    </row>
    <row r="865" s="2" customFormat="1" spans="1:16">
      <c r="A865" s="8"/>
      <c r="B865" s="9" t="s">
        <v>1735</v>
      </c>
      <c r="C865" s="10" t="s">
        <v>412</v>
      </c>
      <c r="D865" s="11">
        <v>1</v>
      </c>
      <c r="E865" s="12">
        <v>15119</v>
      </c>
      <c r="F865" s="13">
        <v>15119</v>
      </c>
      <c r="G865" s="2">
        <f>VLOOKUP(B865,'PO with created By ASR'!A:C,3,FALSE)</f>
        <v>45681</v>
      </c>
      <c r="J865" s="2" t="str">
        <f>VLOOKUP(B865,'PO with created By ASR'!A:G,4,FALSE)</f>
        <v>Tribhuvan Kapoor.....-CR</v>
      </c>
      <c r="K865" s="2" t="e">
        <f>VLOOKUP(B865,'PO with created By ASR'!A:I,6,FALSE)</f>
        <v>#N/A</v>
      </c>
      <c r="L865" s="2" t="str">
        <f>VLOOKUP(B865,'PO with created By ASR'!A:J,7,FALSE)</f>
        <v>D - Delhi</v>
      </c>
      <c r="M865" s="2" t="str">
        <f>VLOOKUP(B865,'PO with created By ASR'!A:K,8,FALSE)</f>
        <v>Purchase Order-Del</v>
      </c>
      <c r="N865" t="s">
        <v>36</v>
      </c>
      <c r="P865" s="2">
        <v>6</v>
      </c>
    </row>
    <row r="866" s="2" customFormat="1" spans="1:16">
      <c r="A866" s="8"/>
      <c r="B866" s="9" t="s">
        <v>1735</v>
      </c>
      <c r="C866" s="10" t="s">
        <v>233</v>
      </c>
      <c r="D866" s="11">
        <v>1</v>
      </c>
      <c r="E866" s="12">
        <v>4148</v>
      </c>
      <c r="F866" s="13">
        <v>4148</v>
      </c>
      <c r="G866" s="2">
        <f>VLOOKUP(B866,'PO with created By ASR'!A:C,3,FALSE)</f>
        <v>45681</v>
      </c>
      <c r="J866" s="2" t="str">
        <f>VLOOKUP(B866,'PO with created By ASR'!A:G,4,FALSE)</f>
        <v>Tribhuvan Kapoor.....-CR</v>
      </c>
      <c r="K866" s="2" t="e">
        <f>VLOOKUP(B866,'PO with created By ASR'!A:I,6,FALSE)</f>
        <v>#N/A</v>
      </c>
      <c r="L866" s="2" t="str">
        <f>VLOOKUP(B866,'PO with created By ASR'!A:J,7,FALSE)</f>
        <v>D - Delhi</v>
      </c>
      <c r="M866" s="2" t="str">
        <f>VLOOKUP(B866,'PO with created By ASR'!A:K,8,FALSE)</f>
        <v>Purchase Order-Del</v>
      </c>
      <c r="N866" t="s">
        <v>36</v>
      </c>
      <c r="P866" s="2">
        <v>6</v>
      </c>
    </row>
    <row r="867" s="2" customFormat="1" spans="1:16">
      <c r="A867" s="8"/>
      <c r="B867" s="9" t="s">
        <v>1737</v>
      </c>
      <c r="C867" s="10" t="s">
        <v>126</v>
      </c>
      <c r="D867" s="11">
        <v>1</v>
      </c>
      <c r="E867" s="12">
        <v>2394</v>
      </c>
      <c r="F867" s="13">
        <v>2394</v>
      </c>
      <c r="G867" s="2">
        <f>VLOOKUP(B867,'PO with created By ASR'!A:C,3,FALSE)</f>
        <v>45681</v>
      </c>
      <c r="J867" s="2" t="str">
        <f>VLOOKUP(B867,'PO with created By ASR'!A:G,4,FALSE)</f>
        <v>Ajeet Singh  -CR</v>
      </c>
      <c r="K867" s="2" t="str">
        <f>VLOOKUP(B867,'PO with created By ASR'!A:I,6,FALSE)</f>
        <v>10519 Ajeet Singh</v>
      </c>
      <c r="L867" s="2" t="str">
        <f>VLOOKUP(B867,'PO with created By ASR'!A:J,7,FALSE)</f>
        <v>D - Delhi</v>
      </c>
      <c r="M867" s="2" t="str">
        <f>VLOOKUP(B867,'PO with created By ASR'!A:K,8,FALSE)</f>
        <v>Purchase Order-Del</v>
      </c>
      <c r="N867" t="s">
        <v>36</v>
      </c>
      <c r="P867" s="2">
        <v>6</v>
      </c>
    </row>
    <row r="868" s="2" customFormat="1" spans="1:16">
      <c r="A868" s="8"/>
      <c r="B868" s="9" t="s">
        <v>1737</v>
      </c>
      <c r="C868" s="10" t="s">
        <v>412</v>
      </c>
      <c r="D868" s="11">
        <v>1</v>
      </c>
      <c r="E868" s="12">
        <v>227</v>
      </c>
      <c r="F868" s="13">
        <v>227</v>
      </c>
      <c r="G868" s="2">
        <f>VLOOKUP(B868,'PO with created By ASR'!A:C,3,FALSE)</f>
        <v>45681</v>
      </c>
      <c r="J868" s="2" t="str">
        <f>VLOOKUP(B868,'PO with created By ASR'!A:G,4,FALSE)</f>
        <v>Ajeet Singh  -CR</v>
      </c>
      <c r="K868" s="2" t="str">
        <f>VLOOKUP(B868,'PO with created By ASR'!A:I,6,FALSE)</f>
        <v>10519 Ajeet Singh</v>
      </c>
      <c r="L868" s="2" t="str">
        <f>VLOOKUP(B868,'PO with created By ASR'!A:J,7,FALSE)</f>
        <v>D - Delhi</v>
      </c>
      <c r="M868" s="2" t="str">
        <f>VLOOKUP(B868,'PO with created By ASR'!A:K,8,FALSE)</f>
        <v>Purchase Order-Del</v>
      </c>
      <c r="N868" t="s">
        <v>36</v>
      </c>
      <c r="P868" s="2">
        <v>6</v>
      </c>
    </row>
    <row r="869" s="2" customFormat="1" spans="1:16">
      <c r="A869" s="8"/>
      <c r="B869" s="9" t="s">
        <v>1739</v>
      </c>
      <c r="C869" s="10" t="s">
        <v>126</v>
      </c>
      <c r="D869" s="11">
        <v>1</v>
      </c>
      <c r="E869" s="12">
        <v>1802</v>
      </c>
      <c r="F869" s="13">
        <v>1802</v>
      </c>
      <c r="G869" s="2">
        <f>VLOOKUP(B869,'PO with created By ASR'!A:C,3,FALSE)</f>
        <v>45681</v>
      </c>
      <c r="J869" s="2" t="str">
        <f>VLOOKUP(B869,'PO with created By ASR'!A:G,4,FALSE)</f>
        <v>Harshit Jain...............  -CR</v>
      </c>
      <c r="K869" s="2" t="e">
        <f>VLOOKUP(B869,'PO with created By ASR'!A:I,6,FALSE)</f>
        <v>#N/A</v>
      </c>
      <c r="L869" s="2" t="str">
        <f>VLOOKUP(B869,'PO with created By ASR'!A:J,7,FALSE)</f>
        <v>D - Delhi</v>
      </c>
      <c r="M869" s="2" t="str">
        <f>VLOOKUP(B869,'PO with created By ASR'!A:K,8,FALSE)</f>
        <v>Purchase Order-Del</v>
      </c>
      <c r="N869" t="s">
        <v>36</v>
      </c>
      <c r="P869" s="2">
        <v>6</v>
      </c>
    </row>
    <row r="870" s="2" customFormat="1" spans="1:16">
      <c r="A870" s="8"/>
      <c r="B870" s="9" t="s">
        <v>1739</v>
      </c>
      <c r="C870" s="10" t="s">
        <v>412</v>
      </c>
      <c r="D870" s="11">
        <v>1</v>
      </c>
      <c r="E870" s="12">
        <v>3255</v>
      </c>
      <c r="F870" s="13">
        <v>3255</v>
      </c>
      <c r="G870" s="2">
        <f>VLOOKUP(B870,'PO with created By ASR'!A:C,3,FALSE)</f>
        <v>45681</v>
      </c>
      <c r="J870" s="2" t="str">
        <f>VLOOKUP(B870,'PO with created By ASR'!A:G,4,FALSE)</f>
        <v>Harshit Jain...............  -CR</v>
      </c>
      <c r="K870" s="2" t="e">
        <f>VLOOKUP(B870,'PO with created By ASR'!A:I,6,FALSE)</f>
        <v>#N/A</v>
      </c>
      <c r="L870" s="2" t="str">
        <f>VLOOKUP(B870,'PO with created By ASR'!A:J,7,FALSE)</f>
        <v>D - Delhi</v>
      </c>
      <c r="M870" s="2" t="str">
        <f>VLOOKUP(B870,'PO with created By ASR'!A:K,8,FALSE)</f>
        <v>Purchase Order-Del</v>
      </c>
      <c r="N870" t="s">
        <v>36</v>
      </c>
      <c r="P870" s="2">
        <v>6</v>
      </c>
    </row>
    <row r="871" s="2" customFormat="1" spans="1:16">
      <c r="A871" s="8"/>
      <c r="B871" s="9" t="s">
        <v>1741</v>
      </c>
      <c r="C871" s="10" t="s">
        <v>126</v>
      </c>
      <c r="D871" s="11">
        <v>1</v>
      </c>
      <c r="E871" s="12">
        <v>1080</v>
      </c>
      <c r="F871" s="13">
        <v>1080</v>
      </c>
      <c r="G871" s="2">
        <f>VLOOKUP(B871,'PO with created By ASR'!A:C,3,FALSE)</f>
        <v>45681</v>
      </c>
      <c r="J871" s="2" t="str">
        <f>VLOOKUP(B871,'PO with created By ASR'!A:G,4,FALSE)</f>
        <v>Puneet Kumar ........... -CR</v>
      </c>
      <c r="K871" s="2" t="e">
        <f>VLOOKUP(B871,'PO with created By ASR'!A:I,6,FALSE)</f>
        <v>#N/A</v>
      </c>
      <c r="L871" s="2" t="str">
        <f>VLOOKUP(B871,'PO with created By ASR'!A:J,7,FALSE)</f>
        <v>D - Delhi</v>
      </c>
      <c r="M871" s="2" t="str">
        <f>VLOOKUP(B871,'PO with created By ASR'!A:K,8,FALSE)</f>
        <v>Purchase Order-Del</v>
      </c>
      <c r="N871" t="s">
        <v>36</v>
      </c>
      <c r="P871" s="2">
        <v>6</v>
      </c>
    </row>
    <row r="872" s="2" customFormat="1" spans="1:16">
      <c r="A872" s="8"/>
      <c r="B872" s="9" t="s">
        <v>1744</v>
      </c>
      <c r="C872" s="10" t="s">
        <v>837</v>
      </c>
      <c r="D872" s="11">
        <v>1</v>
      </c>
      <c r="E872" s="12">
        <v>5000</v>
      </c>
      <c r="F872" s="13">
        <v>5000</v>
      </c>
      <c r="G872" s="2">
        <f>VLOOKUP(B872,'PO with created By ASR'!A:C,3,FALSE)</f>
        <v>45681</v>
      </c>
      <c r="J872" s="2" t="str">
        <f>VLOOKUP(B872,'PO with created By ASR'!A:G,4,FALSE)</f>
        <v>Blue Dart Express Limited-Del</v>
      </c>
      <c r="K872" s="2" t="e">
        <f>VLOOKUP(B872,'PO with created By ASR'!A:I,6,FALSE)</f>
        <v>#N/A</v>
      </c>
      <c r="L872" s="2" t="str">
        <f>VLOOKUP(B872,'PO with created By ASR'!A:J,7,FALSE)</f>
        <v>D - Delhi</v>
      </c>
      <c r="M872" s="2" t="str">
        <f>VLOOKUP(B872,'PO with created By ASR'!A:K,8,FALSE)</f>
        <v>Purchase Order-Del</v>
      </c>
      <c r="N872" t="s">
        <v>36</v>
      </c>
      <c r="P872" s="2">
        <v>6</v>
      </c>
    </row>
    <row r="873" s="2" customFormat="1" spans="1:16">
      <c r="A873" s="8"/>
      <c r="B873" s="9" t="s">
        <v>1744</v>
      </c>
      <c r="C873" s="10" t="s">
        <v>205</v>
      </c>
      <c r="D873" s="11">
        <v>1</v>
      </c>
      <c r="E873" s="12">
        <v>6659</v>
      </c>
      <c r="F873" s="13">
        <v>6659</v>
      </c>
      <c r="G873" s="2">
        <f>VLOOKUP(B873,'PO with created By ASR'!A:C,3,FALSE)</f>
        <v>45681</v>
      </c>
      <c r="J873" s="2" t="str">
        <f>VLOOKUP(B873,'PO with created By ASR'!A:G,4,FALSE)</f>
        <v>Blue Dart Express Limited-Del</v>
      </c>
      <c r="K873" s="2" t="e">
        <f>VLOOKUP(B873,'PO with created By ASR'!A:I,6,FALSE)</f>
        <v>#N/A</v>
      </c>
      <c r="L873" s="2" t="str">
        <f>VLOOKUP(B873,'PO with created By ASR'!A:J,7,FALSE)</f>
        <v>D - Delhi</v>
      </c>
      <c r="M873" s="2" t="str">
        <f>VLOOKUP(B873,'PO with created By ASR'!A:K,8,FALSE)</f>
        <v>Purchase Order-Del</v>
      </c>
      <c r="N873" t="s">
        <v>36</v>
      </c>
      <c r="P873" s="2">
        <v>6</v>
      </c>
    </row>
    <row r="874" s="2" customFormat="1" spans="1:16">
      <c r="A874" s="8"/>
      <c r="B874" s="9" t="s">
        <v>1746</v>
      </c>
      <c r="C874" s="10" t="s">
        <v>151</v>
      </c>
      <c r="D874" s="11">
        <v>1</v>
      </c>
      <c r="E874" s="12">
        <v>55000</v>
      </c>
      <c r="F874" s="13">
        <v>55000</v>
      </c>
      <c r="G874" s="2">
        <f>VLOOKUP(B874,'PO with created By ASR'!A:C,3,FALSE)</f>
        <v>45681</v>
      </c>
      <c r="J874" s="2" t="str">
        <f>VLOOKUP(B874,'PO with created By ASR'!A:G,4,FALSE)</f>
        <v>Black Pearl Production Pvt Ltd-Del</v>
      </c>
      <c r="K874" s="2" t="str">
        <f>VLOOKUP(B874,'PO with created By ASR'!A:I,6,FALSE)</f>
        <v>11734  Black Pearl Production Pvt Ltd</v>
      </c>
      <c r="L874" s="2" t="str">
        <f>VLOOKUP(B874,'PO with created By ASR'!A:J,7,FALSE)</f>
        <v>D - Delhi</v>
      </c>
      <c r="M874" s="2" t="str">
        <f>VLOOKUP(B874,'PO with created By ASR'!A:K,8,FALSE)</f>
        <v>Purchase Order-Del</v>
      </c>
      <c r="N874" t="s">
        <v>36</v>
      </c>
      <c r="P874" s="2">
        <v>6</v>
      </c>
    </row>
    <row r="875" s="2" customFormat="1" spans="1:16">
      <c r="A875" s="8"/>
      <c r="B875" s="9" t="s">
        <v>1748</v>
      </c>
      <c r="C875" s="10" t="s">
        <v>347</v>
      </c>
      <c r="D875" s="11">
        <v>1</v>
      </c>
      <c r="E875" s="12">
        <v>6000</v>
      </c>
      <c r="F875" s="13">
        <v>6000</v>
      </c>
      <c r="G875" s="2">
        <f>VLOOKUP(B875,'PO with created By ASR'!A:C,3,FALSE)</f>
        <v>45681</v>
      </c>
      <c r="J875" s="2" t="str">
        <f>VLOOKUP(B875,'PO with created By ASR'!A:G,4,FALSE)</f>
        <v>Show Supporters LLP-Del</v>
      </c>
      <c r="K875" s="2" t="str">
        <f>VLOOKUP(B875,'PO with created By ASR'!A:I,6,FALSE)</f>
        <v>12396 Show Supporters LLP</v>
      </c>
      <c r="L875" s="2" t="str">
        <f>VLOOKUP(B875,'PO with created By ASR'!A:J,7,FALSE)</f>
        <v>D - Delhi</v>
      </c>
      <c r="M875" s="2" t="str">
        <f>VLOOKUP(B875,'PO with created By ASR'!A:K,8,FALSE)</f>
        <v>Purchase Order-Del</v>
      </c>
      <c r="N875" t="s">
        <v>36</v>
      </c>
      <c r="P875" s="2">
        <v>6</v>
      </c>
    </row>
    <row r="876" s="2" customFormat="1" spans="1:16">
      <c r="A876" s="8"/>
      <c r="B876" s="9" t="s">
        <v>1751</v>
      </c>
      <c r="C876" s="10" t="s">
        <v>412</v>
      </c>
      <c r="D876" s="11">
        <v>1</v>
      </c>
      <c r="E876" s="12">
        <v>2800</v>
      </c>
      <c r="F876" s="13">
        <v>2800</v>
      </c>
      <c r="G876" s="2">
        <f>VLOOKUP(B876,'PO with created By ASR'!A:C,3,FALSE)</f>
        <v>45681</v>
      </c>
      <c r="J876" s="2" t="str">
        <f>VLOOKUP(B876,'PO with created By ASR'!A:G,4,FALSE)</f>
        <v>Puneet Kumar ........... -CR</v>
      </c>
      <c r="K876" s="2" t="e">
        <f>VLOOKUP(B876,'PO with created By ASR'!A:I,6,FALSE)</f>
        <v>#N/A</v>
      </c>
      <c r="L876" s="2" t="str">
        <f>VLOOKUP(B876,'PO with created By ASR'!A:J,7,FALSE)</f>
        <v>D - Delhi</v>
      </c>
      <c r="M876" s="2" t="str">
        <f>VLOOKUP(B876,'PO with created By ASR'!A:K,8,FALSE)</f>
        <v>Purchase Order-Del</v>
      </c>
      <c r="N876" t="s">
        <v>36</v>
      </c>
      <c r="P876" s="2">
        <v>6</v>
      </c>
    </row>
    <row r="877" s="2" customFormat="1" spans="1:16">
      <c r="A877" s="8"/>
      <c r="B877" s="9" t="s">
        <v>1752</v>
      </c>
      <c r="C877" s="10" t="s">
        <v>126</v>
      </c>
      <c r="D877" s="11">
        <v>1</v>
      </c>
      <c r="E877" s="12">
        <v>1918</v>
      </c>
      <c r="F877" s="13">
        <v>1918</v>
      </c>
      <c r="G877" s="2">
        <f>VLOOKUP(B877,'PO with created By ASR'!A:C,3,FALSE)</f>
        <v>45681</v>
      </c>
      <c r="J877" s="2" t="str">
        <f>VLOOKUP(B877,'PO with created By ASR'!A:G,4,FALSE)</f>
        <v>Virender Singh  -CR</v>
      </c>
      <c r="K877" s="2" t="e">
        <f>VLOOKUP(B877,'PO with created By ASR'!A:I,6,FALSE)</f>
        <v>#N/A</v>
      </c>
      <c r="L877" s="2" t="str">
        <f>VLOOKUP(B877,'PO with created By ASR'!A:J,7,FALSE)</f>
        <v>D - Delhi</v>
      </c>
      <c r="M877" s="2" t="str">
        <f>VLOOKUP(B877,'PO with created By ASR'!A:K,8,FALSE)</f>
        <v>Purchase Order-Del</v>
      </c>
      <c r="N877" t="s">
        <v>36</v>
      </c>
      <c r="P877" s="2">
        <v>6</v>
      </c>
    </row>
    <row r="878" s="2" customFormat="1" spans="1:16">
      <c r="A878" s="8"/>
      <c r="B878" s="9" t="s">
        <v>1753</v>
      </c>
      <c r="C878" s="10" t="s">
        <v>84</v>
      </c>
      <c r="D878" s="11">
        <v>3</v>
      </c>
      <c r="E878" s="12">
        <v>2000</v>
      </c>
      <c r="F878" s="13">
        <v>6000</v>
      </c>
      <c r="G878" s="2">
        <f>VLOOKUP(B878,'PO with created By ASR'!A:C,3,FALSE)</f>
        <v>45681</v>
      </c>
      <c r="J878" s="2" t="str">
        <f>VLOOKUP(B878,'PO with created By ASR'!A:G,4,FALSE)</f>
        <v>Hindustan Computer &amp; Communication Services-Mum</v>
      </c>
      <c r="K878" s="2" t="str">
        <f>VLOOKUP(B878,'PO with created By ASR'!A:I,6,FALSE)</f>
        <v>11987 Hindustan Computer &amp; Communication Services</v>
      </c>
      <c r="L878" s="2" t="str">
        <f>VLOOKUP(B878,'PO with created By ASR'!A:J,7,FALSE)</f>
        <v>A - Mumbai</v>
      </c>
      <c r="M878" s="2" t="str">
        <f>VLOOKUP(B878,'PO with created By ASR'!A:K,8,FALSE)</f>
        <v>Purchase Order(Gen)-Mum</v>
      </c>
      <c r="N878" t="s">
        <v>36</v>
      </c>
      <c r="P878" s="2">
        <v>6</v>
      </c>
    </row>
    <row r="879" s="2" customFormat="1" spans="1:16">
      <c r="A879" s="8"/>
      <c r="B879" s="9" t="s">
        <v>1756</v>
      </c>
      <c r="C879" s="10" t="s">
        <v>126</v>
      </c>
      <c r="D879" s="11">
        <v>1</v>
      </c>
      <c r="E879" s="12">
        <v>760</v>
      </c>
      <c r="F879" s="13">
        <v>760</v>
      </c>
      <c r="G879" s="2">
        <f>VLOOKUP(B879,'PO with created By ASR'!A:C,3,FALSE)</f>
        <v>45681</v>
      </c>
      <c r="J879" s="2" t="str">
        <f>VLOOKUP(B879,'PO with created By ASR'!A:G,4,FALSE)</f>
        <v>Tanoj Tandel  -CR</v>
      </c>
      <c r="K879" s="2" t="e">
        <f>VLOOKUP(B879,'PO with created By ASR'!A:I,6,FALSE)</f>
        <v>#N/A</v>
      </c>
      <c r="L879" s="2" t="str">
        <f>VLOOKUP(B879,'PO with created By ASR'!A:J,7,FALSE)</f>
        <v>A - Mumbai</v>
      </c>
      <c r="M879" s="2" t="str">
        <f>VLOOKUP(B879,'PO with created By ASR'!A:K,8,FALSE)</f>
        <v>Purchase Order-Mum</v>
      </c>
      <c r="N879" t="s">
        <v>36</v>
      </c>
      <c r="P879" s="2">
        <v>6</v>
      </c>
    </row>
    <row r="880" s="2" customFormat="1" spans="1:16">
      <c r="A880" s="8"/>
      <c r="B880" s="9" t="s">
        <v>1756</v>
      </c>
      <c r="C880" s="10" t="s">
        <v>412</v>
      </c>
      <c r="D880" s="11">
        <v>1</v>
      </c>
      <c r="E880" s="12">
        <v>390</v>
      </c>
      <c r="F880" s="13">
        <v>390</v>
      </c>
      <c r="G880" s="2">
        <f>VLOOKUP(B880,'PO with created By ASR'!A:C,3,FALSE)</f>
        <v>45681</v>
      </c>
      <c r="J880" s="2" t="str">
        <f>VLOOKUP(B880,'PO with created By ASR'!A:G,4,FALSE)</f>
        <v>Tanoj Tandel  -CR</v>
      </c>
      <c r="K880" s="2" t="e">
        <f>VLOOKUP(B880,'PO with created By ASR'!A:I,6,FALSE)</f>
        <v>#N/A</v>
      </c>
      <c r="L880" s="2" t="str">
        <f>VLOOKUP(B880,'PO with created By ASR'!A:J,7,FALSE)</f>
        <v>A - Mumbai</v>
      </c>
      <c r="M880" s="2" t="str">
        <f>VLOOKUP(B880,'PO with created By ASR'!A:K,8,FALSE)</f>
        <v>Purchase Order-Mum</v>
      </c>
      <c r="N880" t="s">
        <v>36</v>
      </c>
      <c r="P880" s="2">
        <v>6</v>
      </c>
    </row>
    <row r="881" s="2" customFormat="1" spans="1:16">
      <c r="A881" s="8"/>
      <c r="B881" s="9" t="s">
        <v>1758</v>
      </c>
      <c r="C881" s="10" t="s">
        <v>126</v>
      </c>
      <c r="D881" s="11">
        <v>1</v>
      </c>
      <c r="E881" s="12">
        <v>1382</v>
      </c>
      <c r="F881" s="13">
        <v>1382</v>
      </c>
      <c r="G881" s="2">
        <f>VLOOKUP(B881,'PO with created By ASR'!A:C,3,FALSE)</f>
        <v>45681</v>
      </c>
      <c r="J881" s="2" t="str">
        <f>VLOOKUP(B881,'PO with created By ASR'!A:G,4,FALSE)</f>
        <v>Sachin Daripkar -CR</v>
      </c>
      <c r="K881" s="2" t="e">
        <f>VLOOKUP(B881,'PO with created By ASR'!A:I,6,FALSE)</f>
        <v>#N/A</v>
      </c>
      <c r="L881" s="2" t="str">
        <f>VLOOKUP(B881,'PO with created By ASR'!A:J,7,FALSE)</f>
        <v>A - Mumbai</v>
      </c>
      <c r="M881" s="2" t="str">
        <f>VLOOKUP(B881,'PO with created By ASR'!A:K,8,FALSE)</f>
        <v>Purchase Order-Mum</v>
      </c>
      <c r="N881" t="s">
        <v>36</v>
      </c>
      <c r="P881" s="2">
        <v>6</v>
      </c>
    </row>
    <row r="882" s="2" customFormat="1" spans="1:16">
      <c r="A882" s="8"/>
      <c r="B882" s="9" t="s">
        <v>1760</v>
      </c>
      <c r="C882" s="10" t="s">
        <v>317</v>
      </c>
      <c r="D882" s="11">
        <v>1</v>
      </c>
      <c r="E882" s="12">
        <v>32500</v>
      </c>
      <c r="F882" s="13">
        <v>32500</v>
      </c>
      <c r="G882" s="2">
        <f>VLOOKUP(B882,'PO with created By ASR'!A:C,3,FALSE)</f>
        <v>45681</v>
      </c>
      <c r="J882" s="2" t="str">
        <f>VLOOKUP(B882,'PO with created By ASR'!A:G,4,FALSE)</f>
        <v>Kissamago Transcriptions Pvt Ltd-Mum</v>
      </c>
      <c r="K882" s="2" t="str">
        <f>VLOOKUP(B882,'PO with created By ASR'!A:I,6,FALSE)</f>
        <v>10711  Kissamago Transcriptions Pvt Ltd</v>
      </c>
      <c r="L882" s="2" t="str">
        <f>VLOOKUP(B882,'PO with created By ASR'!A:J,7,FALSE)</f>
        <v>A - Mumbai</v>
      </c>
      <c r="M882" s="2" t="str">
        <f>VLOOKUP(B882,'PO with created By ASR'!A:K,8,FALSE)</f>
        <v>Purchase Order-Mum</v>
      </c>
      <c r="N882" t="s">
        <v>36</v>
      </c>
      <c r="P882" s="2">
        <v>6</v>
      </c>
    </row>
    <row r="883" s="2" customFormat="1" spans="1:16">
      <c r="A883" s="8"/>
      <c r="B883" s="9" t="s">
        <v>1765</v>
      </c>
      <c r="C883" s="10" t="s">
        <v>317</v>
      </c>
      <c r="D883" s="11">
        <v>1</v>
      </c>
      <c r="E883" s="12">
        <v>275000</v>
      </c>
      <c r="F883" s="13">
        <v>275000</v>
      </c>
      <c r="G883" s="2">
        <f>VLOOKUP(B883,'PO with created By ASR'!A:C,3,FALSE)</f>
        <v>45681</v>
      </c>
      <c r="J883" s="2" t="str">
        <f>VLOOKUP(B883,'PO with created By ASR'!A:G,4,FALSE)</f>
        <v>Ultimate Event Solutions-Mum</v>
      </c>
      <c r="K883" s="2" t="str">
        <f>VLOOKUP(B883,'PO with created By ASR'!A:I,6,FALSE)</f>
        <v>12567 Ultimate Event Solutions</v>
      </c>
      <c r="L883" s="2" t="str">
        <f>VLOOKUP(B883,'PO with created By ASR'!A:J,7,FALSE)</f>
        <v>A - Mumbai</v>
      </c>
      <c r="M883" s="2" t="str">
        <f>VLOOKUP(B883,'PO with created By ASR'!A:K,8,FALSE)</f>
        <v>Purchase Order-Mum</v>
      </c>
      <c r="N883" t="s">
        <v>36</v>
      </c>
      <c r="P883" s="2">
        <v>6</v>
      </c>
    </row>
    <row r="884" s="2" customFormat="1" spans="1:16">
      <c r="A884" s="8"/>
      <c r="B884" s="9" t="s">
        <v>1769</v>
      </c>
      <c r="C884" s="10" t="s">
        <v>292</v>
      </c>
      <c r="D884" s="11">
        <v>1</v>
      </c>
      <c r="E884" s="12">
        <v>40000</v>
      </c>
      <c r="F884" s="13">
        <v>40000</v>
      </c>
      <c r="G884" s="2">
        <f>VLOOKUP(B884,'PO with created By ASR'!A:C,3,FALSE)</f>
        <v>45681</v>
      </c>
      <c r="J884" s="2" t="str">
        <f>VLOOKUP(B884,'PO with created By ASR'!A:G,4,FALSE)</f>
        <v>Emblaze Events (Sunita Harihar Sharma)-Mum</v>
      </c>
      <c r="K884" s="2" t="str">
        <f>VLOOKUP(B884,'PO with created By ASR'!A:I,6,FALSE)</f>
        <v>11869 Emblaze Events (Sunita Harihar Sharma)</v>
      </c>
      <c r="L884" s="2" t="str">
        <f>VLOOKUP(B884,'PO with created By ASR'!A:J,7,FALSE)</f>
        <v>A - Mumbai</v>
      </c>
      <c r="M884" s="2" t="str">
        <f>VLOOKUP(B884,'PO with created By ASR'!A:K,8,FALSE)</f>
        <v>Purchase Order-Mum</v>
      </c>
      <c r="N884" t="s">
        <v>36</v>
      </c>
      <c r="P884" s="2">
        <v>6</v>
      </c>
    </row>
    <row r="885" s="2" customFormat="1" spans="1:16">
      <c r="A885" s="8"/>
      <c r="B885" s="9" t="s">
        <v>1770</v>
      </c>
      <c r="C885" s="10" t="s">
        <v>126</v>
      </c>
      <c r="D885" s="11">
        <v>1</v>
      </c>
      <c r="E885" s="12">
        <v>2040</v>
      </c>
      <c r="F885" s="13">
        <v>2040</v>
      </c>
      <c r="G885" s="2">
        <f>VLOOKUP(B885,'PO with created By ASR'!A:C,3,FALSE)</f>
        <v>45681</v>
      </c>
      <c r="J885" s="2" t="str">
        <f>VLOOKUP(B885,'PO with created By ASR'!A:G,4,FALSE)</f>
        <v>Sachin Jadhav -CR</v>
      </c>
      <c r="K885" s="2" t="e">
        <f>VLOOKUP(B885,'PO with created By ASR'!A:I,6,FALSE)</f>
        <v>#N/A</v>
      </c>
      <c r="L885" s="2" t="str">
        <f>VLOOKUP(B885,'PO with created By ASR'!A:J,7,FALSE)</f>
        <v>A - Mumbai</v>
      </c>
      <c r="M885" s="2" t="str">
        <f>VLOOKUP(B885,'PO with created By ASR'!A:K,8,FALSE)</f>
        <v>Purchase Order-Mum</v>
      </c>
      <c r="N885" t="s">
        <v>36</v>
      </c>
      <c r="P885" s="2">
        <v>6</v>
      </c>
    </row>
    <row r="886" s="2" customFormat="1" spans="1:16">
      <c r="A886" s="8"/>
      <c r="B886" s="9" t="s">
        <v>1770</v>
      </c>
      <c r="C886" s="10" t="s">
        <v>412</v>
      </c>
      <c r="D886" s="11">
        <v>1</v>
      </c>
      <c r="E886" s="12">
        <v>200</v>
      </c>
      <c r="F886" s="13">
        <v>200</v>
      </c>
      <c r="G886" s="2">
        <f>VLOOKUP(B886,'PO with created By ASR'!A:C,3,FALSE)</f>
        <v>45681</v>
      </c>
      <c r="J886" s="2" t="str">
        <f>VLOOKUP(B886,'PO with created By ASR'!A:G,4,FALSE)</f>
        <v>Sachin Jadhav -CR</v>
      </c>
      <c r="K886" s="2" t="e">
        <f>VLOOKUP(B886,'PO with created By ASR'!A:I,6,FALSE)</f>
        <v>#N/A</v>
      </c>
      <c r="L886" s="2" t="str">
        <f>VLOOKUP(B886,'PO with created By ASR'!A:J,7,FALSE)</f>
        <v>A - Mumbai</v>
      </c>
      <c r="M886" s="2" t="str">
        <f>VLOOKUP(B886,'PO with created By ASR'!A:K,8,FALSE)</f>
        <v>Purchase Order-Mum</v>
      </c>
      <c r="N886" t="s">
        <v>36</v>
      </c>
      <c r="P886" s="2">
        <v>6</v>
      </c>
    </row>
    <row r="887" s="2" customFormat="1" spans="1:16">
      <c r="A887" s="8"/>
      <c r="B887" s="9" t="s">
        <v>1771</v>
      </c>
      <c r="C887" s="10" t="s">
        <v>256</v>
      </c>
      <c r="D887" s="11">
        <v>1</v>
      </c>
      <c r="E887" s="12">
        <v>195000</v>
      </c>
      <c r="F887" s="13">
        <v>195000</v>
      </c>
      <c r="G887" s="2">
        <f>VLOOKUP(B887,'PO with created By ASR'!A:C,3,FALSE)</f>
        <v>45681</v>
      </c>
      <c r="J887" s="2" t="str">
        <f>VLOOKUP(B887,'PO with created By ASR'!A:G,4,FALSE)</f>
        <v>Novex Communications Pvt. Ltd.-Mum</v>
      </c>
      <c r="K887" s="2" t="e">
        <f>VLOOKUP(B887,'PO with created By ASR'!A:I,6,FALSE)</f>
        <v>#N/A</v>
      </c>
      <c r="L887" s="2" t="str">
        <f>VLOOKUP(B887,'PO with created By ASR'!A:J,7,FALSE)</f>
        <v>A - Mumbai</v>
      </c>
      <c r="M887" s="2" t="str">
        <f>VLOOKUP(B887,'PO with created By ASR'!A:K,8,FALSE)</f>
        <v>Purchase Order-Mum</v>
      </c>
      <c r="N887" t="s">
        <v>36</v>
      </c>
      <c r="P887" s="2">
        <v>6</v>
      </c>
    </row>
    <row r="888" s="2" customFormat="1" spans="1:16">
      <c r="A888" s="8"/>
      <c r="B888" s="9" t="s">
        <v>1772</v>
      </c>
      <c r="C888" s="10" t="s">
        <v>256</v>
      </c>
      <c r="D888" s="11">
        <v>1</v>
      </c>
      <c r="E888" s="12">
        <v>75000</v>
      </c>
      <c r="F888" s="13">
        <v>75000</v>
      </c>
      <c r="G888" s="2">
        <f>VLOOKUP(B888,'PO with created By ASR'!A:C,3,FALSE)</f>
        <v>45681</v>
      </c>
      <c r="J888" s="2" t="str">
        <f>VLOOKUP(B888,'PO with created By ASR'!A:G,4,FALSE)</f>
        <v>The Indian Performing Right Society Ltd.-Mum</v>
      </c>
      <c r="K888" s="2" t="e">
        <f>VLOOKUP(B888,'PO with created By ASR'!A:I,6,FALSE)</f>
        <v>#N/A</v>
      </c>
      <c r="L888" s="2" t="str">
        <f>VLOOKUP(B888,'PO with created By ASR'!A:J,7,FALSE)</f>
        <v>A - Mumbai</v>
      </c>
      <c r="M888" s="2" t="str">
        <f>VLOOKUP(B888,'PO with created By ASR'!A:K,8,FALSE)</f>
        <v>Purchase Order-Mum</v>
      </c>
      <c r="N888" t="s">
        <v>36</v>
      </c>
      <c r="P888" s="2">
        <v>6</v>
      </c>
    </row>
    <row r="889" s="2" customFormat="1" spans="1:16">
      <c r="A889" s="8"/>
      <c r="B889" s="9" t="s">
        <v>1773</v>
      </c>
      <c r="C889" s="10" t="s">
        <v>126</v>
      </c>
      <c r="D889" s="11">
        <v>1</v>
      </c>
      <c r="E889" s="12">
        <v>932</v>
      </c>
      <c r="F889" s="13">
        <v>932</v>
      </c>
      <c r="G889" s="2">
        <f>VLOOKUP(B889,'PO with created By ASR'!A:C,3,FALSE)</f>
        <v>45681</v>
      </c>
      <c r="J889" s="2" t="str">
        <f>VLOOKUP(B889,'PO with created By ASR'!A:G,4,FALSE)</f>
        <v>Mahendra Mane -CR</v>
      </c>
      <c r="K889" s="2" t="e">
        <f>VLOOKUP(B889,'PO with created By ASR'!A:I,6,FALSE)</f>
        <v>#N/A</v>
      </c>
      <c r="L889" s="2" t="str">
        <f>VLOOKUP(B889,'PO with created By ASR'!A:J,7,FALSE)</f>
        <v>A - Mumbai</v>
      </c>
      <c r="M889" s="2" t="str">
        <f>VLOOKUP(B889,'PO with created By ASR'!A:K,8,FALSE)</f>
        <v>Purchase Order-Mum</v>
      </c>
      <c r="N889" t="s">
        <v>36</v>
      </c>
      <c r="P889" s="2">
        <v>6</v>
      </c>
    </row>
    <row r="890" s="2" customFormat="1" spans="1:16">
      <c r="A890" s="8"/>
      <c r="B890" s="9" t="s">
        <v>1773</v>
      </c>
      <c r="C890" s="10" t="s">
        <v>317</v>
      </c>
      <c r="D890" s="11">
        <v>1</v>
      </c>
      <c r="E890" s="12">
        <v>5550</v>
      </c>
      <c r="F890" s="13">
        <v>5550</v>
      </c>
      <c r="G890" s="2">
        <f>VLOOKUP(B890,'PO with created By ASR'!A:C,3,FALSE)</f>
        <v>45681</v>
      </c>
      <c r="J890" s="2" t="str">
        <f>VLOOKUP(B890,'PO with created By ASR'!A:G,4,FALSE)</f>
        <v>Mahendra Mane -CR</v>
      </c>
      <c r="K890" s="2" t="e">
        <f>VLOOKUP(B890,'PO with created By ASR'!A:I,6,FALSE)</f>
        <v>#N/A</v>
      </c>
      <c r="L890" s="2" t="str">
        <f>VLOOKUP(B890,'PO with created By ASR'!A:J,7,FALSE)</f>
        <v>A - Mumbai</v>
      </c>
      <c r="M890" s="2" t="str">
        <f>VLOOKUP(B890,'PO with created By ASR'!A:K,8,FALSE)</f>
        <v>Purchase Order-Mum</v>
      </c>
      <c r="N890" t="s">
        <v>36</v>
      </c>
      <c r="P890" s="2">
        <v>6</v>
      </c>
    </row>
    <row r="891" s="2" customFormat="1" spans="1:16">
      <c r="A891" s="8"/>
      <c r="B891" s="9" t="s">
        <v>1774</v>
      </c>
      <c r="C891" s="10" t="s">
        <v>126</v>
      </c>
      <c r="D891" s="11">
        <v>1</v>
      </c>
      <c r="E891" s="12">
        <v>1831</v>
      </c>
      <c r="F891" s="13">
        <v>1831</v>
      </c>
      <c r="G891" s="2">
        <f>VLOOKUP(B891,'PO with created By ASR'!A:C,3,FALSE)</f>
        <v>45681</v>
      </c>
      <c r="J891" s="2" t="str">
        <f>VLOOKUP(B891,'PO with created By ASR'!A:G,4,FALSE)</f>
        <v>Mohammad Danish  -CR</v>
      </c>
      <c r="K891" s="2" t="str">
        <f>VLOOKUP(B891,'PO with created By ASR'!A:I,6,FALSE)</f>
        <v>10757 Mohammad Danish</v>
      </c>
      <c r="L891" s="2" t="str">
        <f>VLOOKUP(B891,'PO with created By ASR'!A:J,7,FALSE)</f>
        <v>A - Mumbai</v>
      </c>
      <c r="M891" s="2" t="str">
        <f>VLOOKUP(B891,'PO with created By ASR'!A:K,8,FALSE)</f>
        <v>Purchase Order-Mum</v>
      </c>
      <c r="N891" t="s">
        <v>36</v>
      </c>
      <c r="P891" s="2">
        <v>6</v>
      </c>
    </row>
    <row r="892" s="2" customFormat="1" spans="1:16">
      <c r="A892" s="8"/>
      <c r="B892" s="9" t="s">
        <v>1774</v>
      </c>
      <c r="C892" s="10" t="s">
        <v>412</v>
      </c>
      <c r="D892" s="11">
        <v>1</v>
      </c>
      <c r="E892" s="12">
        <v>863</v>
      </c>
      <c r="F892" s="13">
        <v>863</v>
      </c>
      <c r="G892" s="2">
        <f>VLOOKUP(B892,'PO with created By ASR'!A:C,3,FALSE)</f>
        <v>45681</v>
      </c>
      <c r="J892" s="2" t="str">
        <f>VLOOKUP(B892,'PO with created By ASR'!A:G,4,FALSE)</f>
        <v>Mohammad Danish  -CR</v>
      </c>
      <c r="K892" s="2" t="str">
        <f>VLOOKUP(B892,'PO with created By ASR'!A:I,6,FALSE)</f>
        <v>10757 Mohammad Danish</v>
      </c>
      <c r="L892" s="2" t="str">
        <f>VLOOKUP(B892,'PO with created By ASR'!A:J,7,FALSE)</f>
        <v>A - Mumbai</v>
      </c>
      <c r="M892" s="2" t="str">
        <f>VLOOKUP(B892,'PO with created By ASR'!A:K,8,FALSE)</f>
        <v>Purchase Order-Mum</v>
      </c>
      <c r="N892" t="s">
        <v>36</v>
      </c>
      <c r="P892" s="2">
        <v>6</v>
      </c>
    </row>
    <row r="893" s="2" customFormat="1" spans="1:16">
      <c r="A893" s="8"/>
      <c r="B893" s="9" t="s">
        <v>1775</v>
      </c>
      <c r="C893" s="10" t="s">
        <v>126</v>
      </c>
      <c r="D893" s="11">
        <v>1</v>
      </c>
      <c r="E893" s="12">
        <v>3574</v>
      </c>
      <c r="F893" s="13">
        <v>3574</v>
      </c>
      <c r="G893" s="2">
        <f>VLOOKUP(B893,'PO with created By ASR'!A:C,3,FALSE)</f>
        <v>45681</v>
      </c>
      <c r="J893" s="2" t="str">
        <f>VLOOKUP(B893,'PO with created By ASR'!A:G,4,FALSE)</f>
        <v>Suresh Pardhle  -CR</v>
      </c>
      <c r="K893" s="2" t="e">
        <f>VLOOKUP(B893,'PO with created By ASR'!A:I,6,FALSE)</f>
        <v>#N/A</v>
      </c>
      <c r="L893" s="2" t="str">
        <f>VLOOKUP(B893,'PO with created By ASR'!A:J,7,FALSE)</f>
        <v>A - Mumbai</v>
      </c>
      <c r="M893" s="2" t="str">
        <f>VLOOKUP(B893,'PO with created By ASR'!A:K,8,FALSE)</f>
        <v>Purchase Order-Mum</v>
      </c>
      <c r="N893" t="s">
        <v>36</v>
      </c>
      <c r="P893" s="2">
        <v>6</v>
      </c>
    </row>
    <row r="894" s="2" customFormat="1" spans="1:16">
      <c r="A894" s="8"/>
      <c r="B894" s="9" t="s">
        <v>1775</v>
      </c>
      <c r="C894" s="10" t="s">
        <v>412</v>
      </c>
      <c r="D894" s="11">
        <v>1</v>
      </c>
      <c r="E894" s="12">
        <v>1435</v>
      </c>
      <c r="F894" s="13">
        <v>1435</v>
      </c>
      <c r="G894" s="2">
        <f>VLOOKUP(B894,'PO with created By ASR'!A:C,3,FALSE)</f>
        <v>45681</v>
      </c>
      <c r="J894" s="2" t="str">
        <f>VLOOKUP(B894,'PO with created By ASR'!A:G,4,FALSE)</f>
        <v>Suresh Pardhle  -CR</v>
      </c>
      <c r="K894" s="2" t="e">
        <f>VLOOKUP(B894,'PO with created By ASR'!A:I,6,FALSE)</f>
        <v>#N/A</v>
      </c>
      <c r="L894" s="2" t="str">
        <f>VLOOKUP(B894,'PO with created By ASR'!A:J,7,FALSE)</f>
        <v>A - Mumbai</v>
      </c>
      <c r="M894" s="2" t="str">
        <f>VLOOKUP(B894,'PO with created By ASR'!A:K,8,FALSE)</f>
        <v>Purchase Order-Mum</v>
      </c>
      <c r="N894" t="s">
        <v>36</v>
      </c>
      <c r="P894" s="2">
        <v>6</v>
      </c>
    </row>
    <row r="895" s="2" customFormat="1" spans="1:16">
      <c r="A895" s="8"/>
      <c r="B895" s="9" t="s">
        <v>1775</v>
      </c>
      <c r="C895" s="10" t="s">
        <v>1055</v>
      </c>
      <c r="D895" s="11">
        <v>1</v>
      </c>
      <c r="E895" s="12">
        <v>4200</v>
      </c>
      <c r="F895" s="13">
        <v>4200</v>
      </c>
      <c r="G895" s="2">
        <f>VLOOKUP(B895,'PO with created By ASR'!A:C,3,FALSE)</f>
        <v>45681</v>
      </c>
      <c r="J895" s="2" t="str">
        <f>VLOOKUP(B895,'PO with created By ASR'!A:G,4,FALSE)</f>
        <v>Suresh Pardhle  -CR</v>
      </c>
      <c r="K895" s="2" t="e">
        <f>VLOOKUP(B895,'PO with created By ASR'!A:I,6,FALSE)</f>
        <v>#N/A</v>
      </c>
      <c r="L895" s="2" t="str">
        <f>VLOOKUP(B895,'PO with created By ASR'!A:J,7,FALSE)</f>
        <v>A - Mumbai</v>
      </c>
      <c r="M895" s="2" t="str">
        <f>VLOOKUP(B895,'PO with created By ASR'!A:K,8,FALSE)</f>
        <v>Purchase Order-Mum</v>
      </c>
      <c r="N895" t="s">
        <v>36</v>
      </c>
      <c r="P895" s="2">
        <v>6</v>
      </c>
    </row>
    <row r="896" s="2" customFormat="1" spans="1:16">
      <c r="A896" s="8"/>
      <c r="B896" s="9" t="s">
        <v>1776</v>
      </c>
      <c r="C896" s="10" t="s">
        <v>126</v>
      </c>
      <c r="D896" s="11">
        <v>1</v>
      </c>
      <c r="E896" s="12">
        <v>1857</v>
      </c>
      <c r="F896" s="13">
        <v>1857</v>
      </c>
      <c r="G896" s="2">
        <f>VLOOKUP(B896,'PO with created By ASR'!A:C,3,FALSE)</f>
        <v>45681</v>
      </c>
      <c r="J896" s="2" t="str">
        <f>VLOOKUP(B896,'PO with created By ASR'!A:G,4,FALSE)</f>
        <v>Suresh Pardhle  -CR</v>
      </c>
      <c r="K896" s="2" t="e">
        <f>VLOOKUP(B896,'PO with created By ASR'!A:I,6,FALSE)</f>
        <v>#N/A</v>
      </c>
      <c r="L896" s="2" t="str">
        <f>VLOOKUP(B896,'PO with created By ASR'!A:J,7,FALSE)</f>
        <v>A - Mumbai</v>
      </c>
      <c r="M896" s="2" t="str">
        <f>VLOOKUP(B896,'PO with created By ASR'!A:K,8,FALSE)</f>
        <v>Purchase Order-Mum</v>
      </c>
      <c r="N896" t="s">
        <v>36</v>
      </c>
      <c r="P896" s="2">
        <v>6</v>
      </c>
    </row>
    <row r="897" s="2" customFormat="1" spans="1:16">
      <c r="A897" s="8"/>
      <c r="B897" s="9" t="s">
        <v>1776</v>
      </c>
      <c r="C897" s="10" t="s">
        <v>412</v>
      </c>
      <c r="D897" s="11">
        <v>1</v>
      </c>
      <c r="E897" s="12">
        <v>1240</v>
      </c>
      <c r="F897" s="13">
        <v>1240</v>
      </c>
      <c r="G897" s="2">
        <f>VLOOKUP(B897,'PO with created By ASR'!A:C,3,FALSE)</f>
        <v>45681</v>
      </c>
      <c r="J897" s="2" t="str">
        <f>VLOOKUP(B897,'PO with created By ASR'!A:G,4,FALSE)</f>
        <v>Suresh Pardhle  -CR</v>
      </c>
      <c r="K897" s="2" t="e">
        <f>VLOOKUP(B897,'PO with created By ASR'!A:I,6,FALSE)</f>
        <v>#N/A</v>
      </c>
      <c r="L897" s="2" t="str">
        <f>VLOOKUP(B897,'PO with created By ASR'!A:J,7,FALSE)</f>
        <v>A - Mumbai</v>
      </c>
      <c r="M897" s="2" t="str">
        <f>VLOOKUP(B897,'PO with created By ASR'!A:K,8,FALSE)</f>
        <v>Purchase Order-Mum</v>
      </c>
      <c r="N897" t="s">
        <v>36</v>
      </c>
      <c r="P897" s="2">
        <v>6</v>
      </c>
    </row>
    <row r="898" s="2" customFormat="1" spans="1:16">
      <c r="A898" s="8"/>
      <c r="B898" s="9" t="s">
        <v>1776</v>
      </c>
      <c r="C898" s="10" t="s">
        <v>1055</v>
      </c>
      <c r="D898" s="11">
        <v>1</v>
      </c>
      <c r="E898" s="12">
        <v>1400</v>
      </c>
      <c r="F898" s="13">
        <v>1400</v>
      </c>
      <c r="G898" s="2">
        <f>VLOOKUP(B898,'PO with created By ASR'!A:C,3,FALSE)</f>
        <v>45681</v>
      </c>
      <c r="J898" s="2" t="str">
        <f>VLOOKUP(B898,'PO with created By ASR'!A:G,4,FALSE)</f>
        <v>Suresh Pardhle  -CR</v>
      </c>
      <c r="K898" s="2" t="e">
        <f>VLOOKUP(B898,'PO with created By ASR'!A:I,6,FALSE)</f>
        <v>#N/A</v>
      </c>
      <c r="L898" s="2" t="str">
        <f>VLOOKUP(B898,'PO with created By ASR'!A:J,7,FALSE)</f>
        <v>A - Mumbai</v>
      </c>
      <c r="M898" s="2" t="str">
        <f>VLOOKUP(B898,'PO with created By ASR'!A:K,8,FALSE)</f>
        <v>Purchase Order-Mum</v>
      </c>
      <c r="N898" t="s">
        <v>36</v>
      </c>
      <c r="P898" s="2">
        <v>6</v>
      </c>
    </row>
    <row r="899" s="2" customFormat="1" spans="1:16">
      <c r="A899" s="8"/>
      <c r="B899" s="9" t="s">
        <v>1776</v>
      </c>
      <c r="C899" s="10" t="s">
        <v>317</v>
      </c>
      <c r="D899" s="11">
        <v>1</v>
      </c>
      <c r="E899" s="12">
        <v>200</v>
      </c>
      <c r="F899" s="13">
        <v>200</v>
      </c>
      <c r="G899" s="2">
        <f>VLOOKUP(B899,'PO with created By ASR'!A:C,3,FALSE)</f>
        <v>45681</v>
      </c>
      <c r="J899" s="2" t="str">
        <f>VLOOKUP(B899,'PO with created By ASR'!A:G,4,FALSE)</f>
        <v>Suresh Pardhle  -CR</v>
      </c>
      <c r="K899" s="2" t="e">
        <f>VLOOKUP(B899,'PO with created By ASR'!A:I,6,FALSE)</f>
        <v>#N/A</v>
      </c>
      <c r="L899" s="2" t="str">
        <f>VLOOKUP(B899,'PO with created By ASR'!A:J,7,FALSE)</f>
        <v>A - Mumbai</v>
      </c>
      <c r="M899" s="2" t="str">
        <f>VLOOKUP(B899,'PO with created By ASR'!A:K,8,FALSE)</f>
        <v>Purchase Order-Mum</v>
      </c>
      <c r="N899" t="s">
        <v>36</v>
      </c>
      <c r="P899" s="2">
        <v>6</v>
      </c>
    </row>
    <row r="900" s="2" customFormat="1" spans="1:16">
      <c r="A900" s="8"/>
      <c r="B900" s="9" t="s">
        <v>1777</v>
      </c>
      <c r="C900" s="10" t="s">
        <v>317</v>
      </c>
      <c r="D900" s="11">
        <v>1</v>
      </c>
      <c r="E900" s="12">
        <v>4499</v>
      </c>
      <c r="F900" s="13">
        <v>4499</v>
      </c>
      <c r="G900" s="2">
        <f>VLOOKUP(B900,'PO with created By ASR'!A:C,3,FALSE)</f>
        <v>45681</v>
      </c>
      <c r="J900" s="2" t="str">
        <f>VLOOKUP(B900,'PO with created By ASR'!A:G,4,FALSE)</f>
        <v>PARESH SURVE ADV FOR EXPENCES-CR</v>
      </c>
      <c r="K900" s="2" t="e">
        <f>VLOOKUP(B900,'PO with created By ASR'!A:I,6,FALSE)</f>
        <v>#N/A</v>
      </c>
      <c r="L900" s="2" t="str">
        <f>VLOOKUP(B900,'PO with created By ASR'!A:J,7,FALSE)</f>
        <v>A - Mumbai</v>
      </c>
      <c r="M900" s="2" t="str">
        <f>VLOOKUP(B900,'PO with created By ASR'!A:K,8,FALSE)</f>
        <v>Purchase Order-Mum</v>
      </c>
      <c r="N900" t="s">
        <v>36</v>
      </c>
      <c r="P900" s="2">
        <v>6</v>
      </c>
    </row>
    <row r="901" s="2" customFormat="1" spans="1:16">
      <c r="A901" s="8"/>
      <c r="B901" s="9" t="s">
        <v>1778</v>
      </c>
      <c r="C901" s="10" t="s">
        <v>126</v>
      </c>
      <c r="D901" s="11">
        <v>1</v>
      </c>
      <c r="E901" s="12">
        <v>231</v>
      </c>
      <c r="F901" s="13">
        <v>231</v>
      </c>
      <c r="G901" s="2">
        <f>VLOOKUP(B901,'PO with created By ASR'!A:C,3,FALSE)</f>
        <v>45681</v>
      </c>
      <c r="J901" s="2" t="str">
        <f>VLOOKUP(B901,'PO with created By ASR'!A:G,4,FALSE)</f>
        <v>Padmakar Jadhav -CR</v>
      </c>
      <c r="K901" s="2" t="e">
        <f>VLOOKUP(B901,'PO with created By ASR'!A:I,6,FALSE)</f>
        <v>#N/A</v>
      </c>
      <c r="L901" s="2" t="str">
        <f>VLOOKUP(B901,'PO with created By ASR'!A:J,7,FALSE)</f>
        <v>A - Mumbai</v>
      </c>
      <c r="M901" s="2" t="str">
        <f>VLOOKUP(B901,'PO with created By ASR'!A:K,8,FALSE)</f>
        <v>Purchase Order-Mum</v>
      </c>
      <c r="N901" t="s">
        <v>36</v>
      </c>
      <c r="P901" s="2">
        <v>6</v>
      </c>
    </row>
    <row r="902" s="2" customFormat="1" spans="1:16">
      <c r="A902" s="8"/>
      <c r="B902" s="9" t="s">
        <v>1779</v>
      </c>
      <c r="C902" s="10" t="s">
        <v>256</v>
      </c>
      <c r="D902" s="11">
        <v>1</v>
      </c>
      <c r="E902" s="12">
        <v>329242.8</v>
      </c>
      <c r="F902" s="13">
        <v>329242.8</v>
      </c>
      <c r="G902" s="2">
        <f>VLOOKUP(B902,'PO with created By ASR'!A:C,3,FALSE)</f>
        <v>45681</v>
      </c>
      <c r="J902" s="2" t="str">
        <f>VLOOKUP(B902,'PO with created By ASR'!A:G,4,FALSE)</f>
        <v>Novex Communications Pvt. Ltd.-Mum</v>
      </c>
      <c r="K902" s="2" t="e">
        <f>VLOOKUP(B902,'PO with created By ASR'!A:I,6,FALSE)</f>
        <v>#N/A</v>
      </c>
      <c r="L902" s="2" t="str">
        <f>VLOOKUP(B902,'PO with created By ASR'!A:J,7,FALSE)</f>
        <v>A - Mumbai</v>
      </c>
      <c r="M902" s="2" t="str">
        <f>VLOOKUP(B902,'PO with created By ASR'!A:K,8,FALSE)</f>
        <v>Purchase Order-Mum</v>
      </c>
      <c r="N902" t="s">
        <v>36</v>
      </c>
      <c r="P902" s="2">
        <v>6</v>
      </c>
    </row>
    <row r="903" s="2" customFormat="1" spans="1:16">
      <c r="A903" s="8"/>
      <c r="B903" s="9" t="s">
        <v>1780</v>
      </c>
      <c r="C903" s="10" t="s">
        <v>683</v>
      </c>
      <c r="D903" s="11">
        <v>1</v>
      </c>
      <c r="E903" s="12">
        <v>20000</v>
      </c>
      <c r="F903" s="13">
        <v>20000</v>
      </c>
      <c r="G903" s="2">
        <f>VLOOKUP(B903,'PO with created By ASR'!A:C,3,FALSE)</f>
        <v>45681</v>
      </c>
      <c r="J903" s="2" t="str">
        <f>VLOOKUP(B903,'PO with created By ASR'!A:G,4,FALSE)</f>
        <v>Vansh Agrawal-Mum</v>
      </c>
      <c r="K903" s="2" t="str">
        <f>VLOOKUP(B903,'PO with created By ASR'!A:I,6,FALSE)</f>
        <v>10987 Vansh Agrawal</v>
      </c>
      <c r="L903" s="2" t="str">
        <f>VLOOKUP(B903,'PO with created By ASR'!A:J,7,FALSE)</f>
        <v>A - Mumbai</v>
      </c>
      <c r="M903" s="2" t="str">
        <f>VLOOKUP(B903,'PO with created By ASR'!A:K,8,FALSE)</f>
        <v>Purchase Order-Mum</v>
      </c>
      <c r="N903" t="s">
        <v>36</v>
      </c>
      <c r="P903" s="2">
        <v>6</v>
      </c>
    </row>
    <row r="904" s="2" customFormat="1" spans="1:16">
      <c r="A904" s="8"/>
      <c r="B904" s="9" t="s">
        <v>1786</v>
      </c>
      <c r="C904" s="10" t="s">
        <v>734</v>
      </c>
      <c r="D904" s="11">
        <v>1</v>
      </c>
      <c r="E904" s="12">
        <v>899484</v>
      </c>
      <c r="F904" s="13">
        <v>899484</v>
      </c>
      <c r="G904" s="2">
        <f>VLOOKUP(B904,'PO with created By ASR'!A:C,3,FALSE)</f>
        <v>45681</v>
      </c>
      <c r="J904" s="2" t="str">
        <f>VLOOKUP(B904,'PO with created By ASR'!A:G,4,FALSE)</f>
        <v>Musafir.Com India Pvt Ltd-Mum</v>
      </c>
      <c r="K904" s="2" t="str">
        <f>VLOOKUP(B904,'PO with created By ASR'!A:I,6,FALSE)</f>
        <v>10060  Musafir.Com India Pvt Ltd</v>
      </c>
      <c r="L904" s="2" t="str">
        <f>VLOOKUP(B904,'PO with created By ASR'!A:J,7,FALSE)</f>
        <v>A - Mumbai</v>
      </c>
      <c r="M904" s="2" t="str">
        <f>VLOOKUP(B904,'PO with created By ASR'!A:K,8,FALSE)</f>
        <v>Purchase Order-Mum</v>
      </c>
      <c r="N904" t="s">
        <v>36</v>
      </c>
      <c r="P904" s="2">
        <v>6</v>
      </c>
    </row>
    <row r="905" s="2" customFormat="1" spans="1:16">
      <c r="A905" s="8"/>
      <c r="B905" s="9" t="s">
        <v>1786</v>
      </c>
      <c r="C905" s="10" t="s">
        <v>1808</v>
      </c>
      <c r="D905" s="11">
        <v>1</v>
      </c>
      <c r="E905" s="12">
        <v>66811</v>
      </c>
      <c r="F905" s="13">
        <v>66811</v>
      </c>
      <c r="G905" s="2">
        <f>VLOOKUP(B905,'PO with created By ASR'!A:C,3,FALSE)</f>
        <v>45681</v>
      </c>
      <c r="J905" s="2" t="str">
        <f>VLOOKUP(B905,'PO with created By ASR'!A:G,4,FALSE)</f>
        <v>Musafir.Com India Pvt Ltd-Mum</v>
      </c>
      <c r="K905" s="2" t="str">
        <f>VLOOKUP(B905,'PO with created By ASR'!A:I,6,FALSE)</f>
        <v>10060  Musafir.Com India Pvt Ltd</v>
      </c>
      <c r="L905" s="2" t="str">
        <f>VLOOKUP(B905,'PO with created By ASR'!A:J,7,FALSE)</f>
        <v>A - Mumbai</v>
      </c>
      <c r="M905" s="2" t="str">
        <f>VLOOKUP(B905,'PO with created By ASR'!A:K,8,FALSE)</f>
        <v>Purchase Order-Mum</v>
      </c>
      <c r="N905" t="s">
        <v>36</v>
      </c>
      <c r="P905" s="2">
        <v>6</v>
      </c>
    </row>
    <row r="906" s="2" customFormat="1" spans="1:16">
      <c r="A906" s="8"/>
      <c r="B906" s="9" t="s">
        <v>1787</v>
      </c>
      <c r="C906" s="10" t="s">
        <v>256</v>
      </c>
      <c r="D906" s="11">
        <v>1</v>
      </c>
      <c r="E906" s="12">
        <v>75000</v>
      </c>
      <c r="F906" s="13">
        <v>75000</v>
      </c>
      <c r="G906" s="2">
        <f>VLOOKUP(B906,'PO with created By ASR'!A:C,3,FALSE)</f>
        <v>45681</v>
      </c>
      <c r="J906" s="2" t="str">
        <f>VLOOKUP(B906,'PO with created By ASR'!A:G,4,FALSE)</f>
        <v>The Indian Performing Right Society Ltd.-Mum</v>
      </c>
      <c r="K906" s="2" t="e">
        <f>VLOOKUP(B906,'PO with created By ASR'!A:I,6,FALSE)</f>
        <v>#N/A</v>
      </c>
      <c r="L906" s="2" t="str">
        <f>VLOOKUP(B906,'PO with created By ASR'!A:J,7,FALSE)</f>
        <v>A - Mumbai</v>
      </c>
      <c r="M906" s="2" t="str">
        <f>VLOOKUP(B906,'PO with created By ASR'!A:K,8,FALSE)</f>
        <v>Purchase Order-Mum</v>
      </c>
      <c r="N906" t="s">
        <v>36</v>
      </c>
      <c r="P906" s="2">
        <v>6</v>
      </c>
    </row>
    <row r="907" s="2" customFormat="1" spans="1:16">
      <c r="A907" s="8"/>
      <c r="B907" s="9" t="s">
        <v>1787</v>
      </c>
      <c r="C907" s="10" t="s">
        <v>256</v>
      </c>
      <c r="D907" s="11">
        <v>1</v>
      </c>
      <c r="E907" s="12">
        <v>75000</v>
      </c>
      <c r="F907" s="13">
        <v>75000</v>
      </c>
      <c r="G907" s="2">
        <f>VLOOKUP(B907,'PO with created By ASR'!A:C,3,FALSE)</f>
        <v>45681</v>
      </c>
      <c r="J907" s="2" t="str">
        <f>VLOOKUP(B907,'PO with created By ASR'!A:G,4,FALSE)</f>
        <v>The Indian Performing Right Society Ltd.-Mum</v>
      </c>
      <c r="K907" s="2" t="e">
        <f>VLOOKUP(B907,'PO with created By ASR'!A:I,6,FALSE)</f>
        <v>#N/A</v>
      </c>
      <c r="L907" s="2" t="str">
        <f>VLOOKUP(B907,'PO with created By ASR'!A:J,7,FALSE)</f>
        <v>A - Mumbai</v>
      </c>
      <c r="M907" s="2" t="str">
        <f>VLOOKUP(B907,'PO with created By ASR'!A:K,8,FALSE)</f>
        <v>Purchase Order-Mum</v>
      </c>
      <c r="N907" t="s">
        <v>36</v>
      </c>
      <c r="P907" s="2">
        <v>6</v>
      </c>
    </row>
    <row r="908" s="2" customFormat="1" spans="1:16">
      <c r="A908" s="8"/>
      <c r="B908" s="9" t="s">
        <v>1788</v>
      </c>
      <c r="C908" s="10" t="s">
        <v>256</v>
      </c>
      <c r="D908" s="11">
        <v>1</v>
      </c>
      <c r="E908" s="12">
        <v>93600</v>
      </c>
      <c r="F908" s="13">
        <v>93600</v>
      </c>
      <c r="G908" s="2">
        <f>VLOOKUP(B908,'PO with created By ASR'!A:C,3,FALSE)</f>
        <v>45681</v>
      </c>
      <c r="J908" s="2" t="str">
        <f>VLOOKUP(B908,'PO with created By ASR'!A:G,4,FALSE)</f>
        <v>Phonographic Performance Limited-Mum</v>
      </c>
      <c r="K908" s="2" t="e">
        <f>VLOOKUP(B908,'PO with created By ASR'!A:I,6,FALSE)</f>
        <v>#N/A</v>
      </c>
      <c r="L908" s="2" t="str">
        <f>VLOOKUP(B908,'PO with created By ASR'!A:J,7,FALSE)</f>
        <v>A - Mumbai</v>
      </c>
      <c r="M908" s="2" t="str">
        <f>VLOOKUP(B908,'PO with created By ASR'!A:K,8,FALSE)</f>
        <v>Purchase Order-Mum</v>
      </c>
      <c r="N908" t="s">
        <v>36</v>
      </c>
      <c r="P908" s="2">
        <v>6</v>
      </c>
    </row>
    <row r="909" s="2" customFormat="1" spans="1:16">
      <c r="A909" s="8"/>
      <c r="B909" s="9" t="s">
        <v>1788</v>
      </c>
      <c r="C909" s="10" t="s">
        <v>256</v>
      </c>
      <c r="D909" s="11">
        <v>1</v>
      </c>
      <c r="E909" s="12">
        <v>166500</v>
      </c>
      <c r="F909" s="13">
        <v>166500</v>
      </c>
      <c r="G909" s="2">
        <f>VLOOKUP(B909,'PO with created By ASR'!A:C,3,FALSE)</f>
        <v>45681</v>
      </c>
      <c r="J909" s="2" t="str">
        <f>VLOOKUP(B909,'PO with created By ASR'!A:G,4,FALSE)</f>
        <v>Phonographic Performance Limited-Mum</v>
      </c>
      <c r="K909" s="2" t="e">
        <f>VLOOKUP(B909,'PO with created By ASR'!A:I,6,FALSE)</f>
        <v>#N/A</v>
      </c>
      <c r="L909" s="2" t="str">
        <f>VLOOKUP(B909,'PO with created By ASR'!A:J,7,FALSE)</f>
        <v>A - Mumbai</v>
      </c>
      <c r="M909" s="2" t="str">
        <f>VLOOKUP(B909,'PO with created By ASR'!A:K,8,FALSE)</f>
        <v>Purchase Order-Mum</v>
      </c>
      <c r="N909" t="s">
        <v>36</v>
      </c>
      <c r="P909" s="2">
        <v>6</v>
      </c>
    </row>
    <row r="910" s="2" customFormat="1" spans="1:16">
      <c r="A910" s="8"/>
      <c r="B910" s="9" t="s">
        <v>1788</v>
      </c>
      <c r="C910" s="10" t="s">
        <v>256</v>
      </c>
      <c r="D910" s="11">
        <v>1</v>
      </c>
      <c r="E910" s="12">
        <v>166500</v>
      </c>
      <c r="F910" s="13">
        <v>166500</v>
      </c>
      <c r="G910" s="2">
        <f>VLOOKUP(B910,'PO with created By ASR'!A:C,3,FALSE)</f>
        <v>45681</v>
      </c>
      <c r="J910" s="2" t="str">
        <f>VLOOKUP(B910,'PO with created By ASR'!A:G,4,FALSE)</f>
        <v>Phonographic Performance Limited-Mum</v>
      </c>
      <c r="K910" s="2" t="e">
        <f>VLOOKUP(B910,'PO with created By ASR'!A:I,6,FALSE)</f>
        <v>#N/A</v>
      </c>
      <c r="L910" s="2" t="str">
        <f>VLOOKUP(B910,'PO with created By ASR'!A:J,7,FALSE)</f>
        <v>A - Mumbai</v>
      </c>
      <c r="M910" s="2" t="str">
        <f>VLOOKUP(B910,'PO with created By ASR'!A:K,8,FALSE)</f>
        <v>Purchase Order-Mum</v>
      </c>
      <c r="N910" t="s">
        <v>36</v>
      </c>
      <c r="P910" s="2">
        <v>6</v>
      </c>
    </row>
    <row r="911" s="2" customFormat="1" spans="1:16">
      <c r="A911" s="8"/>
      <c r="B911" s="9" t="s">
        <v>1788</v>
      </c>
      <c r="C911" s="10" t="s">
        <v>256</v>
      </c>
      <c r="D911" s="11">
        <v>1</v>
      </c>
      <c r="E911" s="12">
        <v>108000</v>
      </c>
      <c r="F911" s="13">
        <v>108000</v>
      </c>
      <c r="G911" s="2">
        <f>VLOOKUP(B911,'PO with created By ASR'!A:C,3,FALSE)</f>
        <v>45681</v>
      </c>
      <c r="J911" s="2" t="str">
        <f>VLOOKUP(B911,'PO with created By ASR'!A:G,4,FALSE)</f>
        <v>Phonographic Performance Limited-Mum</v>
      </c>
      <c r="K911" s="2" t="e">
        <f>VLOOKUP(B911,'PO with created By ASR'!A:I,6,FALSE)</f>
        <v>#N/A</v>
      </c>
      <c r="L911" s="2" t="str">
        <f>VLOOKUP(B911,'PO with created By ASR'!A:J,7,FALSE)</f>
        <v>A - Mumbai</v>
      </c>
      <c r="M911" s="2" t="str">
        <f>VLOOKUP(B911,'PO with created By ASR'!A:K,8,FALSE)</f>
        <v>Purchase Order-Mum</v>
      </c>
      <c r="N911" t="s">
        <v>36</v>
      </c>
      <c r="P911" s="2">
        <v>6</v>
      </c>
    </row>
    <row r="912" s="2" customFormat="1" spans="1:16">
      <c r="A912" s="8"/>
      <c r="B912" s="9" t="s">
        <v>1788</v>
      </c>
      <c r="C912" s="10" t="s">
        <v>256</v>
      </c>
      <c r="D912" s="11">
        <v>1</v>
      </c>
      <c r="E912" s="12">
        <v>162000</v>
      </c>
      <c r="F912" s="13">
        <v>162000</v>
      </c>
      <c r="G912" s="2">
        <f>VLOOKUP(B912,'PO with created By ASR'!A:C,3,FALSE)</f>
        <v>45681</v>
      </c>
      <c r="J912" s="2" t="str">
        <f>VLOOKUP(B912,'PO with created By ASR'!A:G,4,FALSE)</f>
        <v>Phonographic Performance Limited-Mum</v>
      </c>
      <c r="K912" s="2" t="e">
        <f>VLOOKUP(B912,'PO with created By ASR'!A:I,6,FALSE)</f>
        <v>#N/A</v>
      </c>
      <c r="L912" s="2" t="str">
        <f>VLOOKUP(B912,'PO with created By ASR'!A:J,7,FALSE)</f>
        <v>A - Mumbai</v>
      </c>
      <c r="M912" s="2" t="str">
        <f>VLOOKUP(B912,'PO with created By ASR'!A:K,8,FALSE)</f>
        <v>Purchase Order-Mum</v>
      </c>
      <c r="N912" t="s">
        <v>36</v>
      </c>
      <c r="P912" s="2">
        <v>6</v>
      </c>
    </row>
    <row r="913" s="2" customFormat="1" spans="1:16">
      <c r="A913" s="8"/>
      <c r="B913" s="9" t="s">
        <v>1788</v>
      </c>
      <c r="C913" s="10" t="s">
        <v>256</v>
      </c>
      <c r="D913" s="11">
        <v>1</v>
      </c>
      <c r="E913" s="12">
        <v>103500</v>
      </c>
      <c r="F913" s="13">
        <v>103500</v>
      </c>
      <c r="G913" s="2">
        <f>VLOOKUP(B913,'PO with created By ASR'!A:C,3,FALSE)</f>
        <v>45681</v>
      </c>
      <c r="J913" s="2" t="str">
        <f>VLOOKUP(B913,'PO with created By ASR'!A:G,4,FALSE)</f>
        <v>Phonographic Performance Limited-Mum</v>
      </c>
      <c r="K913" s="2" t="e">
        <f>VLOOKUP(B913,'PO with created By ASR'!A:I,6,FALSE)</f>
        <v>#N/A</v>
      </c>
      <c r="L913" s="2" t="str">
        <f>VLOOKUP(B913,'PO with created By ASR'!A:J,7,FALSE)</f>
        <v>A - Mumbai</v>
      </c>
      <c r="M913" s="2" t="str">
        <f>VLOOKUP(B913,'PO with created By ASR'!A:K,8,FALSE)</f>
        <v>Purchase Order-Mum</v>
      </c>
      <c r="N913" t="s">
        <v>36</v>
      </c>
      <c r="P913" s="2">
        <v>6</v>
      </c>
    </row>
    <row r="914" s="2" customFormat="1" spans="1:16">
      <c r="A914" s="8"/>
      <c r="B914" s="9" t="s">
        <v>1789</v>
      </c>
      <c r="C914" s="10" t="s">
        <v>256</v>
      </c>
      <c r="D914" s="11">
        <v>1</v>
      </c>
      <c r="E914" s="12">
        <v>95000</v>
      </c>
      <c r="F914" s="13">
        <v>95000</v>
      </c>
      <c r="G914" s="2">
        <f>VLOOKUP(B914,'PO with created By ASR'!A:C,3,FALSE)</f>
        <v>45681</v>
      </c>
      <c r="J914" s="2" t="str">
        <f>VLOOKUP(B914,'PO with created By ASR'!A:G,4,FALSE)</f>
        <v>Novex Communications Pvt. Ltd.-Mum</v>
      </c>
      <c r="K914" s="2" t="e">
        <f>VLOOKUP(B914,'PO with created By ASR'!A:I,6,FALSE)</f>
        <v>#N/A</v>
      </c>
      <c r="L914" s="2" t="str">
        <f>VLOOKUP(B914,'PO with created By ASR'!A:J,7,FALSE)</f>
        <v>A - Mumbai</v>
      </c>
      <c r="M914" s="2" t="str">
        <f>VLOOKUP(B914,'PO with created By ASR'!A:K,8,FALSE)</f>
        <v>Purchase Order-Mum</v>
      </c>
      <c r="N914" t="s">
        <v>36</v>
      </c>
      <c r="P914" s="2">
        <v>6</v>
      </c>
    </row>
    <row r="915" s="2" customFormat="1" spans="1:16">
      <c r="A915" s="8"/>
      <c r="B915" s="9" t="s">
        <v>1789</v>
      </c>
      <c r="C915" s="10" t="s">
        <v>256</v>
      </c>
      <c r="D915" s="11">
        <v>1</v>
      </c>
      <c r="E915" s="12">
        <v>147250.01</v>
      </c>
      <c r="F915" s="13">
        <v>147250.01</v>
      </c>
      <c r="G915" s="2">
        <f>VLOOKUP(B915,'PO with created By ASR'!A:C,3,FALSE)</f>
        <v>45681</v>
      </c>
      <c r="J915" s="2" t="str">
        <f>VLOOKUP(B915,'PO with created By ASR'!A:G,4,FALSE)</f>
        <v>Novex Communications Pvt. Ltd.-Mum</v>
      </c>
      <c r="K915" s="2" t="e">
        <f>VLOOKUP(B915,'PO with created By ASR'!A:I,6,FALSE)</f>
        <v>#N/A</v>
      </c>
      <c r="L915" s="2" t="str">
        <f>VLOOKUP(B915,'PO with created By ASR'!A:J,7,FALSE)</f>
        <v>A - Mumbai</v>
      </c>
      <c r="M915" s="2" t="str">
        <f>VLOOKUP(B915,'PO with created By ASR'!A:K,8,FALSE)</f>
        <v>Purchase Order-Mum</v>
      </c>
      <c r="N915" t="s">
        <v>36</v>
      </c>
      <c r="P915" s="2">
        <v>6</v>
      </c>
    </row>
    <row r="916" s="2" customFormat="1" spans="1:16">
      <c r="A916" s="8"/>
      <c r="B916" s="9" t="s">
        <v>1789</v>
      </c>
      <c r="C916" s="10" t="s">
        <v>256</v>
      </c>
      <c r="D916" s="11">
        <v>1</v>
      </c>
      <c r="E916" s="12">
        <v>185250.01</v>
      </c>
      <c r="F916" s="13">
        <v>185250.01</v>
      </c>
      <c r="G916" s="2">
        <f>VLOOKUP(B916,'PO with created By ASR'!A:C,3,FALSE)</f>
        <v>45681</v>
      </c>
      <c r="J916" s="2" t="str">
        <f>VLOOKUP(B916,'PO with created By ASR'!A:G,4,FALSE)</f>
        <v>Novex Communications Pvt. Ltd.-Mum</v>
      </c>
      <c r="K916" s="2" t="e">
        <f>VLOOKUP(B916,'PO with created By ASR'!A:I,6,FALSE)</f>
        <v>#N/A</v>
      </c>
      <c r="L916" s="2" t="str">
        <f>VLOOKUP(B916,'PO with created By ASR'!A:J,7,FALSE)</f>
        <v>A - Mumbai</v>
      </c>
      <c r="M916" s="2" t="str">
        <f>VLOOKUP(B916,'PO with created By ASR'!A:K,8,FALSE)</f>
        <v>Purchase Order-Mum</v>
      </c>
      <c r="N916" t="s">
        <v>36</v>
      </c>
      <c r="P916" s="2">
        <v>6</v>
      </c>
    </row>
    <row r="917" s="2" customFormat="1" spans="1:16">
      <c r="A917" s="8"/>
      <c r="B917" s="9" t="s">
        <v>1789</v>
      </c>
      <c r="C917" s="10" t="s">
        <v>256</v>
      </c>
      <c r="D917" s="11">
        <v>1</v>
      </c>
      <c r="E917" s="12">
        <v>114000</v>
      </c>
      <c r="F917" s="13">
        <v>114000</v>
      </c>
      <c r="G917" s="2">
        <f>VLOOKUP(B917,'PO with created By ASR'!A:C,3,FALSE)</f>
        <v>45681</v>
      </c>
      <c r="J917" s="2" t="str">
        <f>VLOOKUP(B917,'PO with created By ASR'!A:G,4,FALSE)</f>
        <v>Novex Communications Pvt. Ltd.-Mum</v>
      </c>
      <c r="K917" s="2" t="e">
        <f>VLOOKUP(B917,'PO with created By ASR'!A:I,6,FALSE)</f>
        <v>#N/A</v>
      </c>
      <c r="L917" s="2" t="str">
        <f>VLOOKUP(B917,'PO with created By ASR'!A:J,7,FALSE)</f>
        <v>A - Mumbai</v>
      </c>
      <c r="M917" s="2" t="str">
        <f>VLOOKUP(B917,'PO with created By ASR'!A:K,8,FALSE)</f>
        <v>Purchase Order-Mum</v>
      </c>
      <c r="N917" t="s">
        <v>36</v>
      </c>
      <c r="P917" s="2">
        <v>6</v>
      </c>
    </row>
    <row r="918" s="2" customFormat="1" spans="1:16">
      <c r="A918" s="8"/>
      <c r="B918" s="9" t="s">
        <v>1789</v>
      </c>
      <c r="C918" s="10" t="s">
        <v>256</v>
      </c>
      <c r="D918" s="11">
        <v>1</v>
      </c>
      <c r="E918" s="12">
        <v>185250.01</v>
      </c>
      <c r="F918" s="13">
        <v>185250.01</v>
      </c>
      <c r="G918" s="2">
        <f>VLOOKUP(B918,'PO with created By ASR'!A:C,3,FALSE)</f>
        <v>45681</v>
      </c>
      <c r="J918" s="2" t="str">
        <f>VLOOKUP(B918,'PO with created By ASR'!A:G,4,FALSE)</f>
        <v>Novex Communications Pvt. Ltd.-Mum</v>
      </c>
      <c r="K918" s="2" t="e">
        <f>VLOOKUP(B918,'PO with created By ASR'!A:I,6,FALSE)</f>
        <v>#N/A</v>
      </c>
      <c r="L918" s="2" t="str">
        <f>VLOOKUP(B918,'PO with created By ASR'!A:J,7,FALSE)</f>
        <v>A - Mumbai</v>
      </c>
      <c r="M918" s="2" t="str">
        <f>VLOOKUP(B918,'PO with created By ASR'!A:K,8,FALSE)</f>
        <v>Purchase Order-Mum</v>
      </c>
      <c r="N918" t="s">
        <v>36</v>
      </c>
      <c r="P918" s="2">
        <v>6</v>
      </c>
    </row>
    <row r="919" s="2" customFormat="1" spans="1:16">
      <c r="A919" s="8"/>
      <c r="B919" s="9" t="s">
        <v>1789</v>
      </c>
      <c r="C919" s="10" t="s">
        <v>256</v>
      </c>
      <c r="D919" s="11">
        <v>1</v>
      </c>
      <c r="E919" s="12">
        <v>185250.01</v>
      </c>
      <c r="F919" s="13">
        <v>185250.01</v>
      </c>
      <c r="G919" s="2">
        <f>VLOOKUP(B919,'PO with created By ASR'!A:C,3,FALSE)</f>
        <v>45681</v>
      </c>
      <c r="J919" s="2" t="str">
        <f>VLOOKUP(B919,'PO with created By ASR'!A:G,4,FALSE)</f>
        <v>Novex Communications Pvt. Ltd.-Mum</v>
      </c>
      <c r="K919" s="2" t="e">
        <f>VLOOKUP(B919,'PO with created By ASR'!A:I,6,FALSE)</f>
        <v>#N/A</v>
      </c>
      <c r="L919" s="2" t="str">
        <f>VLOOKUP(B919,'PO with created By ASR'!A:J,7,FALSE)</f>
        <v>A - Mumbai</v>
      </c>
      <c r="M919" s="2" t="str">
        <f>VLOOKUP(B919,'PO with created By ASR'!A:K,8,FALSE)</f>
        <v>Purchase Order-Mum</v>
      </c>
      <c r="N919" t="s">
        <v>36</v>
      </c>
      <c r="P919" s="2">
        <v>6</v>
      </c>
    </row>
    <row r="920" s="2" customFormat="1" spans="1:16">
      <c r="A920" s="8"/>
      <c r="B920" s="9" t="s">
        <v>1790</v>
      </c>
      <c r="C920" s="10" t="s">
        <v>140</v>
      </c>
      <c r="D920" s="11">
        <v>1</v>
      </c>
      <c r="E920" s="12">
        <v>7000</v>
      </c>
      <c r="F920" s="13">
        <v>7000</v>
      </c>
      <c r="G920" s="2">
        <f>VLOOKUP(B920,'PO with created By ASR'!A:C,3,FALSE)</f>
        <v>45681</v>
      </c>
      <c r="J920" s="2" t="str">
        <f>VLOOKUP(B920,'PO with created By ASR'!A:G,4,FALSE)</f>
        <v>SRA Carpets (Happay)-Mum</v>
      </c>
      <c r="K920" s="2" t="str">
        <f>VLOOKUP(B920,'PO with created By ASR'!A:I,6,FALSE)</f>
        <v>12753 SRA Carpets (Happay)</v>
      </c>
      <c r="L920" s="2" t="str">
        <f>VLOOKUP(B920,'PO with created By ASR'!A:J,7,FALSE)</f>
        <v>A - Mumbai</v>
      </c>
      <c r="M920" s="2" t="str">
        <f>VLOOKUP(B920,'PO with created By ASR'!A:K,8,FALSE)</f>
        <v>Purchase Order-Mum</v>
      </c>
      <c r="N920" t="s">
        <v>36</v>
      </c>
      <c r="P920" s="2">
        <v>6</v>
      </c>
    </row>
    <row r="921" s="2" customFormat="1" spans="1:16">
      <c r="A921" s="8"/>
      <c r="B921" s="9" t="s">
        <v>1794</v>
      </c>
      <c r="C921" s="10" t="s">
        <v>151</v>
      </c>
      <c r="D921" s="11">
        <v>1</v>
      </c>
      <c r="E921" s="12">
        <v>90000</v>
      </c>
      <c r="F921" s="13">
        <v>90000</v>
      </c>
      <c r="G921" s="2">
        <f>VLOOKUP(B921,'PO with created By ASR'!A:C,3,FALSE)</f>
        <v>45682</v>
      </c>
      <c r="J921" s="2" t="str">
        <f>VLOOKUP(B921,'PO with created By ASR'!A:G,4,FALSE)</f>
        <v>Dream Factory Pvt. Ltd.-Del</v>
      </c>
      <c r="K921" s="2" t="e">
        <f>VLOOKUP(B921,'PO with created By ASR'!A:I,6,FALSE)</f>
        <v>#N/A</v>
      </c>
      <c r="L921" s="2" t="str">
        <f>VLOOKUP(B921,'PO with created By ASR'!A:J,7,FALSE)</f>
        <v>B - Bangalore</v>
      </c>
      <c r="M921" s="2" t="str">
        <f>VLOOKUP(B921,'PO with created By ASR'!A:K,8,FALSE)</f>
        <v>Purchase Order-Blr</v>
      </c>
      <c r="N921" t="s">
        <v>36</v>
      </c>
      <c r="P921" s="2">
        <v>6</v>
      </c>
    </row>
    <row r="922" s="2" customFormat="1" spans="1:16">
      <c r="A922" s="8"/>
      <c r="B922" s="9" t="s">
        <v>1795</v>
      </c>
      <c r="C922" s="10" t="s">
        <v>233</v>
      </c>
      <c r="D922" s="11">
        <v>1</v>
      </c>
      <c r="E922" s="12">
        <v>270000</v>
      </c>
      <c r="F922" s="13">
        <v>270000</v>
      </c>
      <c r="G922" s="2">
        <f>VLOOKUP(B922,'PO with created By ASR'!A:C,3,FALSE)</f>
        <v>45682</v>
      </c>
      <c r="J922" s="2" t="str">
        <f>VLOOKUP(B922,'PO with created By ASR'!A:G,4,FALSE)</f>
        <v>Avalon Inc-Blr</v>
      </c>
      <c r="K922" s="2" t="str">
        <f>VLOOKUP(B922,'PO with created By ASR'!A:I,6,FALSE)</f>
        <v>11703 Avalon Inc</v>
      </c>
      <c r="L922" s="2" t="str">
        <f>VLOOKUP(B922,'PO with created By ASR'!A:J,7,FALSE)</f>
        <v>B - Bangalore</v>
      </c>
      <c r="M922" s="2" t="str">
        <f>VLOOKUP(B922,'PO with created By ASR'!A:K,8,FALSE)</f>
        <v>Purchase Order-Blr</v>
      </c>
      <c r="N922" t="s">
        <v>36</v>
      </c>
      <c r="P922" s="2">
        <v>6</v>
      </c>
    </row>
    <row r="923" s="2" customFormat="1" spans="1:16">
      <c r="A923" s="8"/>
      <c r="B923" s="9" t="s">
        <v>1798</v>
      </c>
      <c r="C923" s="10" t="s">
        <v>317</v>
      </c>
      <c r="D923" s="11">
        <v>1</v>
      </c>
      <c r="E923" s="12">
        <v>218289</v>
      </c>
      <c r="F923" s="13">
        <v>218289</v>
      </c>
      <c r="G923" s="2">
        <f>VLOOKUP(B923,'PO with created By ASR'!A:C,3,FALSE)</f>
        <v>45682</v>
      </c>
      <c r="J923" s="2" t="str">
        <f>VLOOKUP(B923,'PO with created By ASR'!A:G,4,FALSE)</f>
        <v>A V Links-Blr</v>
      </c>
      <c r="K923" s="2" t="str">
        <f>VLOOKUP(B923,'PO with created By ASR'!A:I,6,FALSE)</f>
        <v>11083 A V Links</v>
      </c>
      <c r="L923" s="2" t="str">
        <f>VLOOKUP(B923,'PO with created By ASR'!A:J,7,FALSE)</f>
        <v>B - Bangalore</v>
      </c>
      <c r="M923" s="2" t="str">
        <f>VLOOKUP(B923,'PO with created By ASR'!A:K,8,FALSE)</f>
        <v>Purchase Order-Blr</v>
      </c>
      <c r="N923" t="s">
        <v>36</v>
      </c>
      <c r="P923" s="2">
        <v>6</v>
      </c>
    </row>
    <row r="924" s="2" customFormat="1" spans="1:16">
      <c r="A924" s="8"/>
      <c r="B924" s="9" t="s">
        <v>1800</v>
      </c>
      <c r="C924" s="10" t="s">
        <v>107</v>
      </c>
      <c r="D924" s="11">
        <v>1</v>
      </c>
      <c r="E924" s="12">
        <v>2000</v>
      </c>
      <c r="F924" s="13">
        <v>2000</v>
      </c>
      <c r="G924" s="2">
        <f>VLOOKUP(B924,'PO with created By ASR'!A:C,3,FALSE)</f>
        <v>45682</v>
      </c>
      <c r="J924" s="2" t="str">
        <f>VLOOKUP(B924,'PO with created By ASR'!A:G,4,FALSE)</f>
        <v>Anurama V  -CR</v>
      </c>
      <c r="K924" s="2" t="e">
        <f>VLOOKUP(B924,'PO with created By ASR'!A:I,6,FALSE)</f>
        <v>#N/A</v>
      </c>
      <c r="L924" s="2" t="str">
        <f>VLOOKUP(B924,'PO with created By ASR'!A:J,7,FALSE)</f>
        <v>B - Bangalore</v>
      </c>
      <c r="M924" s="2" t="str">
        <f>VLOOKUP(B924,'PO with created By ASR'!A:K,8,FALSE)</f>
        <v>Purchase Order-Blr</v>
      </c>
      <c r="N924" t="s">
        <v>36</v>
      </c>
      <c r="P924" s="2">
        <v>6</v>
      </c>
    </row>
    <row r="925" s="2" customFormat="1" spans="1:16">
      <c r="A925" s="8"/>
      <c r="B925" s="9" t="s">
        <v>1801</v>
      </c>
      <c r="C925" s="10" t="s">
        <v>134</v>
      </c>
      <c r="D925" s="11">
        <v>1</v>
      </c>
      <c r="E925" s="12">
        <v>6466</v>
      </c>
      <c r="F925" s="13">
        <v>6466</v>
      </c>
      <c r="G925" s="2">
        <f>VLOOKUP(B925,'PO with created By ASR'!A:C,3,FALSE)</f>
        <v>45682</v>
      </c>
      <c r="J925" s="2" t="str">
        <f>VLOOKUP(B925,'PO with created By ASR'!A:G,4,FALSE)</f>
        <v>Anurama V  -CR</v>
      </c>
      <c r="K925" s="2" t="e">
        <f>VLOOKUP(B925,'PO with created By ASR'!A:I,6,FALSE)</f>
        <v>#N/A</v>
      </c>
      <c r="L925" s="2" t="str">
        <f>VLOOKUP(B925,'PO with created By ASR'!A:J,7,FALSE)</f>
        <v>B - Bangalore</v>
      </c>
      <c r="M925" s="2" t="str">
        <f>VLOOKUP(B925,'PO with created By ASR'!A:K,8,FALSE)</f>
        <v>Purchase Order-Blr</v>
      </c>
      <c r="N925" t="s">
        <v>36</v>
      </c>
      <c r="P925" s="2">
        <v>6</v>
      </c>
    </row>
    <row r="926" s="2" customFormat="1" spans="1:16">
      <c r="A926" s="8"/>
      <c r="B926" s="9" t="s">
        <v>1803</v>
      </c>
      <c r="C926" s="10" t="s">
        <v>317</v>
      </c>
      <c r="D926" s="11">
        <v>1</v>
      </c>
      <c r="E926" s="12">
        <v>550000</v>
      </c>
      <c r="F926" s="13">
        <v>550000</v>
      </c>
      <c r="G926" s="2">
        <f>VLOOKUP(B926,'PO with created By ASR'!A:C,3,FALSE)</f>
        <v>45682</v>
      </c>
      <c r="J926" s="2" t="str">
        <f>VLOOKUP(B926,'PO with created By ASR'!A:G,4,FALSE)</f>
        <v>Ngenius Brand Interaction Pvt Ltd-Del</v>
      </c>
      <c r="K926" s="2" t="str">
        <f>VLOOKUP(B926,'PO with created By ASR'!A:I,6,FALSE)</f>
        <v>12201  Ngenius Brand Interaction Pvt Ltd</v>
      </c>
      <c r="L926" s="2" t="str">
        <f>VLOOKUP(B926,'PO with created By ASR'!A:J,7,FALSE)</f>
        <v>D - Delhi</v>
      </c>
      <c r="M926" s="2" t="str">
        <f>VLOOKUP(B926,'PO with created By ASR'!A:K,8,FALSE)</f>
        <v>Purchase Order-Del</v>
      </c>
      <c r="N926" t="s">
        <v>36</v>
      </c>
      <c r="P926" s="2">
        <v>6</v>
      </c>
    </row>
    <row r="927" s="2" customFormat="1" spans="1:16">
      <c r="A927" s="8"/>
      <c r="B927" s="9" t="s">
        <v>1805</v>
      </c>
      <c r="C927" s="10" t="s">
        <v>371</v>
      </c>
      <c r="D927" s="11">
        <v>1</v>
      </c>
      <c r="E927" s="12">
        <v>100000</v>
      </c>
      <c r="F927" s="13">
        <v>100000</v>
      </c>
      <c r="G927" s="2">
        <f>VLOOKUP(B927,'PO with created By ASR'!A:C,3,FALSE)</f>
        <v>45682</v>
      </c>
      <c r="J927" s="2" t="str">
        <f>VLOOKUP(B927,'PO with created By ASR'!A:G,4,FALSE)</f>
        <v>99 Online-Del</v>
      </c>
      <c r="K927" s="2" t="str">
        <f>VLOOKUP(B927,'PO with created By ASR'!A:I,6,FALSE)</f>
        <v>11623 99 Online</v>
      </c>
      <c r="L927" s="2" t="str">
        <f>VLOOKUP(B927,'PO with created By ASR'!A:J,7,FALSE)</f>
        <v>D - Delhi</v>
      </c>
      <c r="M927" s="2" t="str">
        <f>VLOOKUP(B927,'PO with created By ASR'!A:K,8,FALSE)</f>
        <v>Purchase Order-Del</v>
      </c>
      <c r="N927" t="s">
        <v>36</v>
      </c>
      <c r="P927" s="2">
        <v>6</v>
      </c>
    </row>
    <row r="928" s="2" customFormat="1" spans="1:16">
      <c r="A928" s="8"/>
      <c r="B928" s="9" t="s">
        <v>1806</v>
      </c>
      <c r="C928" s="10" t="s">
        <v>1808</v>
      </c>
      <c r="D928" s="11">
        <v>1</v>
      </c>
      <c r="E928" s="12">
        <v>10400</v>
      </c>
      <c r="F928" s="13">
        <v>10400</v>
      </c>
      <c r="G928" s="2">
        <f>VLOOKUP(B928,'PO with created By ASR'!A:C,3,FALSE)</f>
        <v>45682</v>
      </c>
      <c r="J928" s="2" t="str">
        <f>VLOOKUP(B928,'PO with created By ASR'!A:G,4,FALSE)</f>
        <v>Travelnama-Del</v>
      </c>
      <c r="K928" s="2" t="e">
        <f>VLOOKUP(B928,'PO with created By ASR'!A:I,6,FALSE)</f>
        <v>#N/A</v>
      </c>
      <c r="L928" s="2" t="str">
        <f>VLOOKUP(B928,'PO with created By ASR'!A:J,7,FALSE)</f>
        <v>D - Delhi</v>
      </c>
      <c r="M928" s="2" t="str">
        <f>VLOOKUP(B928,'PO with created By ASR'!A:K,8,FALSE)</f>
        <v>Purchase Order-Del</v>
      </c>
      <c r="N928" t="s">
        <v>36</v>
      </c>
      <c r="P928" s="2">
        <v>6</v>
      </c>
    </row>
    <row r="929" s="2" customFormat="1" spans="1:16">
      <c r="A929" s="8"/>
      <c r="B929" s="9" t="s">
        <v>1806</v>
      </c>
      <c r="C929" s="10" t="s">
        <v>734</v>
      </c>
      <c r="D929" s="11">
        <v>1</v>
      </c>
      <c r="E929" s="12">
        <v>85664</v>
      </c>
      <c r="F929" s="13">
        <v>85664</v>
      </c>
      <c r="G929" s="2">
        <f>VLOOKUP(B929,'PO with created By ASR'!A:C,3,FALSE)</f>
        <v>45682</v>
      </c>
      <c r="J929" s="2" t="str">
        <f>VLOOKUP(B929,'PO with created By ASR'!A:G,4,FALSE)</f>
        <v>Travelnama-Del</v>
      </c>
      <c r="K929" s="2" t="e">
        <f>VLOOKUP(B929,'PO with created By ASR'!A:I,6,FALSE)</f>
        <v>#N/A</v>
      </c>
      <c r="L929" s="2" t="str">
        <f>VLOOKUP(B929,'PO with created By ASR'!A:J,7,FALSE)</f>
        <v>D - Delhi</v>
      </c>
      <c r="M929" s="2" t="str">
        <f>VLOOKUP(B929,'PO with created By ASR'!A:K,8,FALSE)</f>
        <v>Purchase Order-Del</v>
      </c>
      <c r="N929" t="s">
        <v>36</v>
      </c>
      <c r="P929" s="2">
        <v>6</v>
      </c>
    </row>
    <row r="930" s="2" customFormat="1" spans="1:16">
      <c r="A930" s="8"/>
      <c r="B930" s="9" t="s">
        <v>1806</v>
      </c>
      <c r="C930" s="10" t="s">
        <v>734</v>
      </c>
      <c r="D930" s="11">
        <v>1</v>
      </c>
      <c r="E930" s="12">
        <v>1284931</v>
      </c>
      <c r="F930" s="13">
        <v>1284931</v>
      </c>
      <c r="G930" s="2">
        <f>VLOOKUP(B930,'PO with created By ASR'!A:C,3,FALSE)</f>
        <v>45682</v>
      </c>
      <c r="J930" s="2" t="str">
        <f>VLOOKUP(B930,'PO with created By ASR'!A:G,4,FALSE)</f>
        <v>Travelnama-Del</v>
      </c>
      <c r="K930" s="2" t="e">
        <f>VLOOKUP(B930,'PO with created By ASR'!A:I,6,FALSE)</f>
        <v>#N/A</v>
      </c>
      <c r="L930" s="2" t="str">
        <f>VLOOKUP(B930,'PO with created By ASR'!A:J,7,FALSE)</f>
        <v>D - Delhi</v>
      </c>
      <c r="M930" s="2" t="str">
        <f>VLOOKUP(B930,'PO with created By ASR'!A:K,8,FALSE)</f>
        <v>Purchase Order-Del</v>
      </c>
      <c r="N930" t="s">
        <v>36</v>
      </c>
      <c r="P930" s="2">
        <v>6</v>
      </c>
    </row>
    <row r="931" s="2" customFormat="1" spans="1:16">
      <c r="A931" s="8"/>
      <c r="B931" s="9" t="s">
        <v>1810</v>
      </c>
      <c r="C931" s="10" t="s">
        <v>151</v>
      </c>
      <c r="D931" s="11">
        <v>1</v>
      </c>
      <c r="E931" s="12">
        <v>100000</v>
      </c>
      <c r="F931" s="13">
        <v>100000</v>
      </c>
      <c r="G931" s="2">
        <f>VLOOKUP(B931,'PO with created By ASR'!A:C,3,FALSE)</f>
        <v>45682</v>
      </c>
      <c r="J931" s="2" t="str">
        <f>VLOOKUP(B931,'PO with created By ASR'!A:G,4,FALSE)</f>
        <v>Fabrile Productions-Mum</v>
      </c>
      <c r="K931" s="2" t="str">
        <f>VLOOKUP(B931,'PO with created By ASR'!A:I,6,FALSE)</f>
        <v>11909 Fabrile Productions</v>
      </c>
      <c r="L931" s="2" t="str">
        <f>VLOOKUP(B931,'PO with created By ASR'!A:J,7,FALSE)</f>
        <v>A - Mumbai</v>
      </c>
      <c r="M931" s="2" t="str">
        <f>VLOOKUP(B931,'PO with created By ASR'!A:K,8,FALSE)</f>
        <v>Purchase Order-Mum</v>
      </c>
      <c r="N931" t="s">
        <v>36</v>
      </c>
      <c r="P931" s="2">
        <v>6</v>
      </c>
    </row>
    <row r="932" s="2" customFormat="1" spans="1:16">
      <c r="A932" s="8"/>
      <c r="B932" s="9" t="s">
        <v>1813</v>
      </c>
      <c r="C932" s="10" t="s">
        <v>151</v>
      </c>
      <c r="D932" s="11">
        <v>1</v>
      </c>
      <c r="E932" s="12">
        <v>750000</v>
      </c>
      <c r="F932" s="13">
        <v>750000</v>
      </c>
      <c r="G932" s="2">
        <f>VLOOKUP(B932,'PO with created By ASR'!A:C,3,FALSE)</f>
        <v>45682</v>
      </c>
      <c r="J932" s="2" t="str">
        <f>VLOOKUP(B932,'PO with created By ASR'!A:G,4,FALSE)</f>
        <v>Pyramid Production-Mum</v>
      </c>
      <c r="K932" s="2" t="str">
        <f>VLOOKUP(B932,'PO with created By ASR'!A:I,6,FALSE)</f>
        <v>12299 Pyramid Production</v>
      </c>
      <c r="L932" s="2" t="str">
        <f>VLOOKUP(B932,'PO with created By ASR'!A:J,7,FALSE)</f>
        <v>A - Mumbai</v>
      </c>
      <c r="M932" s="2" t="str">
        <f>VLOOKUP(B932,'PO with created By ASR'!A:K,8,FALSE)</f>
        <v>Purchase Order-Mum</v>
      </c>
      <c r="N932" t="s">
        <v>36</v>
      </c>
      <c r="P932" s="2">
        <v>6</v>
      </c>
    </row>
    <row r="933" s="2" customFormat="1" spans="1:16">
      <c r="A933" s="8"/>
      <c r="B933" s="9" t="s">
        <v>1814</v>
      </c>
      <c r="C933" s="10" t="s">
        <v>196</v>
      </c>
      <c r="D933" s="11">
        <v>1</v>
      </c>
      <c r="E933" s="12">
        <v>185311</v>
      </c>
      <c r="F933" s="13">
        <v>185311</v>
      </c>
      <c r="G933" s="2">
        <f>VLOOKUP(B933,'PO with created By ASR'!A:C,3,FALSE)</f>
        <v>45682</v>
      </c>
      <c r="J933" s="2" t="str">
        <f>VLOOKUP(B933,'PO with created By ASR'!A:G,4,FALSE)</f>
        <v>Digicraft-Mum</v>
      </c>
      <c r="K933" s="2" t="e">
        <f>VLOOKUP(B933,'PO with created By ASR'!A:I,6,FALSE)</f>
        <v>#N/A</v>
      </c>
      <c r="L933" s="2" t="str">
        <f>VLOOKUP(B933,'PO with created By ASR'!A:J,7,FALSE)</f>
        <v>A - Mumbai</v>
      </c>
      <c r="M933" s="2" t="str">
        <f>VLOOKUP(B933,'PO with created By ASR'!A:K,8,FALSE)</f>
        <v>Purchase Order-Mum</v>
      </c>
      <c r="N933" t="s">
        <v>36</v>
      </c>
      <c r="P933" s="2">
        <v>6</v>
      </c>
    </row>
    <row r="934" s="2" customFormat="1" spans="1:16">
      <c r="A934" s="8"/>
      <c r="B934" s="9" t="s">
        <v>1815</v>
      </c>
      <c r="C934" s="10" t="s">
        <v>151</v>
      </c>
      <c r="D934" s="11">
        <v>1</v>
      </c>
      <c r="E934" s="12">
        <v>42000</v>
      </c>
      <c r="F934" s="13">
        <v>42000</v>
      </c>
      <c r="G934" s="2">
        <f>VLOOKUP(B934,'PO with created By ASR'!A:C,3,FALSE)</f>
        <v>45682</v>
      </c>
      <c r="J934" s="2" t="str">
        <f>VLOOKUP(B934,'PO with created By ASR'!A:G,4,FALSE)</f>
        <v>Soni Enterprise-Mum</v>
      </c>
      <c r="K934" s="2" t="str">
        <f>VLOOKUP(B934,'PO with created By ASR'!A:I,6,FALSE)</f>
        <v>12424 Soni Enterprise</v>
      </c>
      <c r="L934" s="2" t="str">
        <f>VLOOKUP(B934,'PO with created By ASR'!A:J,7,FALSE)</f>
        <v>A - Mumbai</v>
      </c>
      <c r="M934" s="2" t="str">
        <f>VLOOKUP(B934,'PO with created By ASR'!A:K,8,FALSE)</f>
        <v>Purchase Order-Mum</v>
      </c>
      <c r="N934" t="s">
        <v>36</v>
      </c>
      <c r="P934" s="2">
        <v>6</v>
      </c>
    </row>
    <row r="935" s="2" customFormat="1" spans="1:16">
      <c r="A935" s="8"/>
      <c r="B935" s="9" t="s">
        <v>1818</v>
      </c>
      <c r="C935" s="10" t="s">
        <v>126</v>
      </c>
      <c r="D935" s="11">
        <v>1</v>
      </c>
      <c r="E935" s="12">
        <v>1010</v>
      </c>
      <c r="F935" s="13">
        <v>1010</v>
      </c>
      <c r="G935" s="2">
        <f>VLOOKUP(B935,'PO with created By ASR'!A:C,3,FALSE)</f>
        <v>45682</v>
      </c>
      <c r="J935" s="2" t="str">
        <f>VLOOKUP(B935,'PO with created By ASR'!A:G,4,FALSE)</f>
        <v>Nitin Kamble  -CR</v>
      </c>
      <c r="K935" s="2" t="e">
        <f>VLOOKUP(B935,'PO with created By ASR'!A:I,6,FALSE)</f>
        <v>#N/A</v>
      </c>
      <c r="L935" s="2" t="str">
        <f>VLOOKUP(B935,'PO with created By ASR'!A:J,7,FALSE)</f>
        <v>A - Mumbai</v>
      </c>
      <c r="M935" s="2" t="str">
        <f>VLOOKUP(B935,'PO with created By ASR'!A:K,8,FALSE)</f>
        <v>Purchase Order-Mum</v>
      </c>
      <c r="N935" t="s">
        <v>36</v>
      </c>
      <c r="P935" s="2">
        <v>6</v>
      </c>
    </row>
    <row r="936" s="2" customFormat="1" spans="1:16">
      <c r="A936" s="8"/>
      <c r="B936" s="9" t="s">
        <v>1818</v>
      </c>
      <c r="C936" s="10" t="s">
        <v>412</v>
      </c>
      <c r="D936" s="11">
        <v>1</v>
      </c>
      <c r="E936" s="12">
        <v>1278</v>
      </c>
      <c r="F936" s="13">
        <v>1278</v>
      </c>
      <c r="G936" s="2">
        <f>VLOOKUP(B936,'PO with created By ASR'!A:C,3,FALSE)</f>
        <v>45682</v>
      </c>
      <c r="J936" s="2" t="str">
        <f>VLOOKUP(B936,'PO with created By ASR'!A:G,4,FALSE)</f>
        <v>Nitin Kamble  -CR</v>
      </c>
      <c r="K936" s="2" t="e">
        <f>VLOOKUP(B936,'PO with created By ASR'!A:I,6,FALSE)</f>
        <v>#N/A</v>
      </c>
      <c r="L936" s="2" t="str">
        <f>VLOOKUP(B936,'PO with created By ASR'!A:J,7,FALSE)</f>
        <v>A - Mumbai</v>
      </c>
      <c r="M936" s="2" t="str">
        <f>VLOOKUP(B936,'PO with created By ASR'!A:K,8,FALSE)</f>
        <v>Purchase Order-Mum</v>
      </c>
      <c r="N936" t="s">
        <v>36</v>
      </c>
      <c r="P936" s="2">
        <v>6</v>
      </c>
    </row>
    <row r="937" s="2" customFormat="1" spans="1:16">
      <c r="A937" s="8"/>
      <c r="B937" s="9" t="s">
        <v>1819</v>
      </c>
      <c r="C937" s="10" t="s">
        <v>126</v>
      </c>
      <c r="D937" s="11">
        <v>1</v>
      </c>
      <c r="E937" s="12">
        <v>1840</v>
      </c>
      <c r="F937" s="13">
        <v>1840</v>
      </c>
      <c r="G937" s="2">
        <f>VLOOKUP(B937,'PO with created By ASR'!A:C,3,FALSE)</f>
        <v>45682</v>
      </c>
      <c r="J937" s="2" t="str">
        <f>VLOOKUP(B937,'PO with created By ASR'!A:G,4,FALSE)</f>
        <v>Mahendra Mane -CR</v>
      </c>
      <c r="K937" s="2" t="e">
        <f>VLOOKUP(B937,'PO with created By ASR'!A:I,6,FALSE)</f>
        <v>#N/A</v>
      </c>
      <c r="L937" s="2" t="str">
        <f>VLOOKUP(B937,'PO with created By ASR'!A:J,7,FALSE)</f>
        <v>A - Mumbai</v>
      </c>
      <c r="M937" s="2" t="str">
        <f>VLOOKUP(B937,'PO with created By ASR'!A:K,8,FALSE)</f>
        <v>Purchase Order-Mum</v>
      </c>
      <c r="N937" t="s">
        <v>36</v>
      </c>
      <c r="P937" s="2">
        <v>6</v>
      </c>
    </row>
    <row r="938" s="2" customFormat="1" spans="1:16">
      <c r="A938" s="8"/>
      <c r="B938" s="9" t="s">
        <v>1819</v>
      </c>
      <c r="C938" s="10" t="s">
        <v>412</v>
      </c>
      <c r="D938" s="11">
        <v>1</v>
      </c>
      <c r="E938" s="12">
        <v>600</v>
      </c>
      <c r="F938" s="13">
        <v>600</v>
      </c>
      <c r="G938" s="2">
        <f>VLOOKUP(B938,'PO with created By ASR'!A:C,3,FALSE)</f>
        <v>45682</v>
      </c>
      <c r="J938" s="2" t="str">
        <f>VLOOKUP(B938,'PO with created By ASR'!A:G,4,FALSE)</f>
        <v>Mahendra Mane -CR</v>
      </c>
      <c r="K938" s="2" t="e">
        <f>VLOOKUP(B938,'PO with created By ASR'!A:I,6,FALSE)</f>
        <v>#N/A</v>
      </c>
      <c r="L938" s="2" t="str">
        <f>VLOOKUP(B938,'PO with created By ASR'!A:J,7,FALSE)</f>
        <v>A - Mumbai</v>
      </c>
      <c r="M938" s="2" t="str">
        <f>VLOOKUP(B938,'PO with created By ASR'!A:K,8,FALSE)</f>
        <v>Purchase Order-Mum</v>
      </c>
      <c r="N938" t="s">
        <v>36</v>
      </c>
      <c r="P938" s="2">
        <v>6</v>
      </c>
    </row>
    <row r="939" s="2" customFormat="1" spans="1:16">
      <c r="A939" s="8"/>
      <c r="B939" s="9" t="s">
        <v>1819</v>
      </c>
      <c r="C939" s="10" t="s">
        <v>1055</v>
      </c>
      <c r="D939" s="11">
        <v>1</v>
      </c>
      <c r="E939" s="12">
        <v>3600</v>
      </c>
      <c r="F939" s="13">
        <v>3600</v>
      </c>
      <c r="G939" s="2">
        <f>VLOOKUP(B939,'PO with created By ASR'!A:C,3,FALSE)</f>
        <v>45682</v>
      </c>
      <c r="J939" s="2" t="str">
        <f>VLOOKUP(B939,'PO with created By ASR'!A:G,4,FALSE)</f>
        <v>Mahendra Mane -CR</v>
      </c>
      <c r="K939" s="2" t="e">
        <f>VLOOKUP(B939,'PO with created By ASR'!A:I,6,FALSE)</f>
        <v>#N/A</v>
      </c>
      <c r="L939" s="2" t="str">
        <f>VLOOKUP(B939,'PO with created By ASR'!A:J,7,FALSE)</f>
        <v>A - Mumbai</v>
      </c>
      <c r="M939" s="2" t="str">
        <f>VLOOKUP(B939,'PO with created By ASR'!A:K,8,FALSE)</f>
        <v>Purchase Order-Mum</v>
      </c>
      <c r="N939" t="s">
        <v>36</v>
      </c>
      <c r="P939" s="2">
        <v>6</v>
      </c>
    </row>
    <row r="940" s="2" customFormat="1" spans="1:16">
      <c r="A940" s="8"/>
      <c r="B940" s="9" t="s">
        <v>1819</v>
      </c>
      <c r="C940" s="10" t="s">
        <v>317</v>
      </c>
      <c r="D940" s="11">
        <v>1</v>
      </c>
      <c r="E940" s="12">
        <v>31250</v>
      </c>
      <c r="F940" s="13">
        <v>31250</v>
      </c>
      <c r="G940" s="2">
        <f>VLOOKUP(B940,'PO with created By ASR'!A:C,3,FALSE)</f>
        <v>45682</v>
      </c>
      <c r="J940" s="2" t="str">
        <f>VLOOKUP(B940,'PO with created By ASR'!A:G,4,FALSE)</f>
        <v>Mahendra Mane -CR</v>
      </c>
      <c r="K940" s="2" t="e">
        <f>VLOOKUP(B940,'PO with created By ASR'!A:I,6,FALSE)</f>
        <v>#N/A</v>
      </c>
      <c r="L940" s="2" t="str">
        <f>VLOOKUP(B940,'PO with created By ASR'!A:J,7,FALSE)</f>
        <v>A - Mumbai</v>
      </c>
      <c r="M940" s="2" t="str">
        <f>VLOOKUP(B940,'PO with created By ASR'!A:K,8,FALSE)</f>
        <v>Purchase Order-Mum</v>
      </c>
      <c r="N940" t="s">
        <v>36</v>
      </c>
      <c r="P940" s="2">
        <v>6</v>
      </c>
    </row>
    <row r="941" s="2" customFormat="1" spans="1:16">
      <c r="A941" s="8"/>
      <c r="B941" s="9" t="s">
        <v>1820</v>
      </c>
      <c r="C941" s="10" t="s">
        <v>317</v>
      </c>
      <c r="D941" s="11">
        <v>1</v>
      </c>
      <c r="E941" s="12">
        <v>163200</v>
      </c>
      <c r="F941" s="13">
        <v>163200</v>
      </c>
      <c r="G941" s="2">
        <f>VLOOKUP(B941,'PO with created By ASR'!A:C,3,FALSE)</f>
        <v>45682</v>
      </c>
      <c r="J941" s="2" t="str">
        <f>VLOOKUP(B941,'PO with created By ASR'!A:G,4,FALSE)</f>
        <v>The Infinite Impressions-Mum</v>
      </c>
      <c r="K941" s="2" t="str">
        <f>VLOOKUP(B941,'PO with created By ASR'!A:I,6,FALSE)</f>
        <v>10098 The Infinite Impressions</v>
      </c>
      <c r="L941" s="2" t="str">
        <f>VLOOKUP(B941,'PO with created By ASR'!A:J,7,FALSE)</f>
        <v>A - Mumbai</v>
      </c>
      <c r="M941" s="2" t="str">
        <f>VLOOKUP(B941,'PO with created By ASR'!A:K,8,FALSE)</f>
        <v>Purchase Order-Mum</v>
      </c>
      <c r="N941" t="s">
        <v>36</v>
      </c>
      <c r="P941" s="2">
        <v>6</v>
      </c>
    </row>
    <row r="942" s="2" customFormat="1" spans="1:16">
      <c r="A942" s="8"/>
      <c r="B942" s="9" t="s">
        <v>1823</v>
      </c>
      <c r="C942" s="10" t="s">
        <v>508</v>
      </c>
      <c r="D942" s="11">
        <v>1</v>
      </c>
      <c r="E942" s="12">
        <v>8656</v>
      </c>
      <c r="F942" s="13">
        <v>8656</v>
      </c>
      <c r="G942" s="2">
        <f>VLOOKUP(B942,'PO with created By ASR'!A:C,3,FALSE)</f>
        <v>45683</v>
      </c>
      <c r="J942" s="2" t="str">
        <f>VLOOKUP(B942,'PO with created By ASR'!A:G,4,FALSE)</f>
        <v>Farhan Shariff  -CR</v>
      </c>
      <c r="K942" s="2" t="e">
        <f>VLOOKUP(B942,'PO with created By ASR'!A:I,6,FALSE)</f>
        <v>#N/A</v>
      </c>
      <c r="L942" s="2" t="str">
        <f>VLOOKUP(B942,'PO with created By ASR'!A:J,7,FALSE)</f>
        <v>B - Bangalore</v>
      </c>
      <c r="M942" s="2" t="str">
        <f>VLOOKUP(B942,'PO with created By ASR'!A:K,8,FALSE)</f>
        <v>Purchase Order-Blr</v>
      </c>
      <c r="N942" t="s">
        <v>36</v>
      </c>
      <c r="P942" s="2">
        <v>6</v>
      </c>
    </row>
    <row r="943" s="2" customFormat="1" spans="1:16">
      <c r="A943" s="8"/>
      <c r="B943" s="9" t="s">
        <v>1823</v>
      </c>
      <c r="C943" s="10" t="s">
        <v>126</v>
      </c>
      <c r="D943" s="11">
        <v>1</v>
      </c>
      <c r="E943" s="12">
        <v>3290</v>
      </c>
      <c r="F943" s="13">
        <v>3290</v>
      </c>
      <c r="G943" s="2">
        <f>VLOOKUP(B943,'PO with created By ASR'!A:C,3,FALSE)</f>
        <v>45683</v>
      </c>
      <c r="J943" s="2" t="str">
        <f>VLOOKUP(B943,'PO with created By ASR'!A:G,4,FALSE)</f>
        <v>Farhan Shariff  -CR</v>
      </c>
      <c r="K943" s="2" t="e">
        <f>VLOOKUP(B943,'PO with created By ASR'!A:I,6,FALSE)</f>
        <v>#N/A</v>
      </c>
      <c r="L943" s="2" t="str">
        <f>VLOOKUP(B943,'PO with created By ASR'!A:J,7,FALSE)</f>
        <v>B - Bangalore</v>
      </c>
      <c r="M943" s="2" t="str">
        <f>VLOOKUP(B943,'PO with created By ASR'!A:K,8,FALSE)</f>
        <v>Purchase Order-Blr</v>
      </c>
      <c r="N943" t="s">
        <v>36</v>
      </c>
      <c r="P943" s="2">
        <v>6</v>
      </c>
    </row>
    <row r="944" s="2" customFormat="1" spans="1:16">
      <c r="A944" s="8"/>
      <c r="B944" s="9" t="s">
        <v>1823</v>
      </c>
      <c r="C944" s="10" t="s">
        <v>412</v>
      </c>
      <c r="D944" s="11">
        <v>1</v>
      </c>
      <c r="E944" s="12">
        <v>4914</v>
      </c>
      <c r="F944" s="13">
        <v>4914</v>
      </c>
      <c r="G944" s="2">
        <f>VLOOKUP(B944,'PO with created By ASR'!A:C,3,FALSE)</f>
        <v>45683</v>
      </c>
      <c r="J944" s="2" t="str">
        <f>VLOOKUP(B944,'PO with created By ASR'!A:G,4,FALSE)</f>
        <v>Farhan Shariff  -CR</v>
      </c>
      <c r="K944" s="2" t="e">
        <f>VLOOKUP(B944,'PO with created By ASR'!A:I,6,FALSE)</f>
        <v>#N/A</v>
      </c>
      <c r="L944" s="2" t="str">
        <f>VLOOKUP(B944,'PO with created By ASR'!A:J,7,FALSE)</f>
        <v>B - Bangalore</v>
      </c>
      <c r="M944" s="2" t="str">
        <f>VLOOKUP(B944,'PO with created By ASR'!A:K,8,FALSE)</f>
        <v>Purchase Order-Blr</v>
      </c>
      <c r="N944" t="s">
        <v>36</v>
      </c>
      <c r="P944" s="2">
        <v>6</v>
      </c>
    </row>
    <row r="945" s="2" customFormat="1" spans="1:16">
      <c r="A945" s="8"/>
      <c r="B945" s="9" t="s">
        <v>1823</v>
      </c>
      <c r="C945" s="10" t="s">
        <v>61</v>
      </c>
      <c r="D945" s="11">
        <v>1</v>
      </c>
      <c r="E945" s="12">
        <v>12940</v>
      </c>
      <c r="F945" s="13">
        <v>12940</v>
      </c>
      <c r="G945" s="2">
        <f>VLOOKUP(B945,'PO with created By ASR'!A:C,3,FALSE)</f>
        <v>45683</v>
      </c>
      <c r="J945" s="2" t="str">
        <f>VLOOKUP(B945,'PO with created By ASR'!A:G,4,FALSE)</f>
        <v>Farhan Shariff  -CR</v>
      </c>
      <c r="K945" s="2" t="e">
        <f>VLOOKUP(B945,'PO with created By ASR'!A:I,6,FALSE)</f>
        <v>#N/A</v>
      </c>
      <c r="L945" s="2" t="str">
        <f>VLOOKUP(B945,'PO with created By ASR'!A:J,7,FALSE)</f>
        <v>B - Bangalore</v>
      </c>
      <c r="M945" s="2" t="str">
        <f>VLOOKUP(B945,'PO with created By ASR'!A:K,8,FALSE)</f>
        <v>Purchase Order-Blr</v>
      </c>
      <c r="N945" t="s">
        <v>36</v>
      </c>
      <c r="P945" s="2">
        <v>6</v>
      </c>
    </row>
    <row r="946" s="2" customFormat="1" spans="1:16">
      <c r="A946" s="8"/>
      <c r="B946" s="9" t="s">
        <v>1823</v>
      </c>
      <c r="C946" s="10" t="s">
        <v>233</v>
      </c>
      <c r="D946" s="11">
        <v>1</v>
      </c>
      <c r="E946" s="12">
        <v>8435</v>
      </c>
      <c r="F946" s="13">
        <v>8435</v>
      </c>
      <c r="G946" s="2">
        <f>VLOOKUP(B946,'PO with created By ASR'!A:C,3,FALSE)</f>
        <v>45683</v>
      </c>
      <c r="J946" s="2" t="str">
        <f>VLOOKUP(B946,'PO with created By ASR'!A:G,4,FALSE)</f>
        <v>Farhan Shariff  -CR</v>
      </c>
      <c r="K946" s="2" t="e">
        <f>VLOOKUP(B946,'PO with created By ASR'!A:I,6,FALSE)</f>
        <v>#N/A</v>
      </c>
      <c r="L946" s="2" t="str">
        <f>VLOOKUP(B946,'PO with created By ASR'!A:J,7,FALSE)</f>
        <v>B - Bangalore</v>
      </c>
      <c r="M946" s="2" t="str">
        <f>VLOOKUP(B946,'PO with created By ASR'!A:K,8,FALSE)</f>
        <v>Purchase Order-Blr</v>
      </c>
      <c r="N946" t="s">
        <v>36</v>
      </c>
      <c r="P946" s="2">
        <v>6</v>
      </c>
    </row>
    <row r="947" s="2" customFormat="1" spans="1:16">
      <c r="A947" s="8"/>
      <c r="B947" s="9" t="s">
        <v>1823</v>
      </c>
      <c r="C947" s="10" t="s">
        <v>196</v>
      </c>
      <c r="D947" s="11">
        <v>1</v>
      </c>
      <c r="E947" s="12">
        <v>1050</v>
      </c>
      <c r="F947" s="13">
        <v>1050</v>
      </c>
      <c r="G947" s="2">
        <f>VLOOKUP(B947,'PO with created By ASR'!A:C,3,FALSE)</f>
        <v>45683</v>
      </c>
      <c r="J947" s="2" t="str">
        <f>VLOOKUP(B947,'PO with created By ASR'!A:G,4,FALSE)</f>
        <v>Farhan Shariff  -CR</v>
      </c>
      <c r="K947" s="2" t="e">
        <f>VLOOKUP(B947,'PO with created By ASR'!A:I,6,FALSE)</f>
        <v>#N/A</v>
      </c>
      <c r="L947" s="2" t="str">
        <f>VLOOKUP(B947,'PO with created By ASR'!A:J,7,FALSE)</f>
        <v>B - Bangalore</v>
      </c>
      <c r="M947" s="2" t="str">
        <f>VLOOKUP(B947,'PO with created By ASR'!A:K,8,FALSE)</f>
        <v>Purchase Order-Blr</v>
      </c>
      <c r="N947" t="s">
        <v>36</v>
      </c>
      <c r="P947" s="2">
        <v>6</v>
      </c>
    </row>
    <row r="948" s="2" customFormat="1" spans="1:16">
      <c r="A948" s="8"/>
      <c r="B948" s="9" t="s">
        <v>1824</v>
      </c>
      <c r="C948" s="10" t="s">
        <v>126</v>
      </c>
      <c r="D948" s="11">
        <v>1</v>
      </c>
      <c r="E948" s="12">
        <v>2162</v>
      </c>
      <c r="F948" s="13">
        <v>2162</v>
      </c>
      <c r="G948" s="2">
        <f>VLOOKUP(B948,'PO with created By ASR'!A:C,3,FALSE)</f>
        <v>45683</v>
      </c>
      <c r="J948" s="2" t="str">
        <f>VLOOKUP(B948,'PO with created By ASR'!A:G,4,FALSE)</f>
        <v>Nandini Nair -CR</v>
      </c>
      <c r="K948" s="2" t="e">
        <f>VLOOKUP(B948,'PO with created By ASR'!A:I,6,FALSE)</f>
        <v>#N/A</v>
      </c>
      <c r="L948" s="2" t="str">
        <f>VLOOKUP(B948,'PO with created By ASR'!A:J,7,FALSE)</f>
        <v>B - Bangalore</v>
      </c>
      <c r="M948" s="2" t="str">
        <f>VLOOKUP(B948,'PO with created By ASR'!A:K,8,FALSE)</f>
        <v>Purchase Order-Blr</v>
      </c>
      <c r="N948" t="s">
        <v>36</v>
      </c>
      <c r="P948" s="2">
        <v>6</v>
      </c>
    </row>
    <row r="949" s="2" customFormat="1" spans="1:16">
      <c r="A949" s="8"/>
      <c r="B949" s="9" t="s">
        <v>1824</v>
      </c>
      <c r="C949" s="10" t="s">
        <v>412</v>
      </c>
      <c r="D949" s="11">
        <v>1</v>
      </c>
      <c r="E949" s="12">
        <v>600</v>
      </c>
      <c r="F949" s="13">
        <v>600</v>
      </c>
      <c r="G949" s="2">
        <f>VLOOKUP(B949,'PO with created By ASR'!A:C,3,FALSE)</f>
        <v>45683</v>
      </c>
      <c r="J949" s="2" t="str">
        <f>VLOOKUP(B949,'PO with created By ASR'!A:G,4,FALSE)</f>
        <v>Nandini Nair -CR</v>
      </c>
      <c r="K949" s="2" t="e">
        <f>VLOOKUP(B949,'PO with created By ASR'!A:I,6,FALSE)</f>
        <v>#N/A</v>
      </c>
      <c r="L949" s="2" t="str">
        <f>VLOOKUP(B949,'PO with created By ASR'!A:J,7,FALSE)</f>
        <v>B - Bangalore</v>
      </c>
      <c r="M949" s="2" t="str">
        <f>VLOOKUP(B949,'PO with created By ASR'!A:K,8,FALSE)</f>
        <v>Purchase Order-Blr</v>
      </c>
      <c r="N949" t="s">
        <v>36</v>
      </c>
      <c r="P949" s="2">
        <v>6</v>
      </c>
    </row>
    <row r="950" s="2" customFormat="1" spans="1:16">
      <c r="A950" s="8"/>
      <c r="B950" s="9" t="s">
        <v>1826</v>
      </c>
      <c r="C950" s="10" t="s">
        <v>317</v>
      </c>
      <c r="D950" s="11">
        <v>1</v>
      </c>
      <c r="E950" s="12">
        <v>520000</v>
      </c>
      <c r="F950" s="13">
        <v>520000</v>
      </c>
      <c r="G950" s="2">
        <f>VLOOKUP(B950,'PO with created By ASR'!A:C,3,FALSE)</f>
        <v>45683</v>
      </c>
      <c r="J950" s="2" t="str">
        <f>VLOOKUP(B950,'PO with created By ASR'!A:G,4,FALSE)</f>
        <v>Lyra Entertainment And Media-Blr</v>
      </c>
      <c r="K950" s="2" t="e">
        <f>VLOOKUP(B950,'PO with created By ASR'!A:I,6,FALSE)</f>
        <v>#N/A</v>
      </c>
      <c r="L950" s="2" t="str">
        <f>VLOOKUP(B950,'PO with created By ASR'!A:J,7,FALSE)</f>
        <v>B - Bangalore</v>
      </c>
      <c r="M950" s="2" t="str">
        <f>VLOOKUP(B950,'PO with created By ASR'!A:K,8,FALSE)</f>
        <v>Purchase Order-Blr</v>
      </c>
      <c r="N950" t="s">
        <v>36</v>
      </c>
      <c r="P950" s="2">
        <v>6</v>
      </c>
    </row>
    <row r="951" s="2" customFormat="1" spans="1:16">
      <c r="A951" s="8"/>
      <c r="B951" s="9" t="s">
        <v>1828</v>
      </c>
      <c r="C951" s="10" t="s">
        <v>107</v>
      </c>
      <c r="D951" s="11">
        <v>1</v>
      </c>
      <c r="E951" s="12">
        <v>1360</v>
      </c>
      <c r="F951" s="13">
        <v>1360</v>
      </c>
      <c r="G951" s="2">
        <f>VLOOKUP(B951,'PO with created By ASR'!A:C,3,FALSE)</f>
        <v>45683</v>
      </c>
      <c r="J951" s="2" t="str">
        <f>VLOOKUP(B951,'PO with created By ASR'!A:G,4,FALSE)</f>
        <v>Clinton J  for Expense-CR</v>
      </c>
      <c r="K951" s="2" t="e">
        <f>VLOOKUP(B951,'PO with created By ASR'!A:I,6,FALSE)</f>
        <v>#N/A</v>
      </c>
      <c r="L951" s="2" t="str">
        <f>VLOOKUP(B951,'PO with created By ASR'!A:J,7,FALSE)</f>
        <v>C - Chennai</v>
      </c>
      <c r="M951" s="2" t="str">
        <f>VLOOKUP(B951,'PO with created By ASR'!A:K,8,FALSE)</f>
        <v>Purchase Order-Che</v>
      </c>
      <c r="N951" t="s">
        <v>36</v>
      </c>
      <c r="P951" s="2">
        <v>6</v>
      </c>
    </row>
    <row r="952" s="2" customFormat="1" spans="1:16">
      <c r="A952" s="8"/>
      <c r="B952" s="9" t="s">
        <v>1829</v>
      </c>
      <c r="C952" s="10" t="s">
        <v>412</v>
      </c>
      <c r="D952" s="11">
        <v>1</v>
      </c>
      <c r="E952" s="12">
        <v>14932</v>
      </c>
      <c r="F952" s="13">
        <v>14932</v>
      </c>
      <c r="G952" s="2">
        <f>VLOOKUP(B952,'PO with created By ASR'!A:C,3,FALSE)</f>
        <v>45683</v>
      </c>
      <c r="J952" s="2" t="str">
        <f>VLOOKUP(B952,'PO with created By ASR'!A:G,4,FALSE)</f>
        <v>Clinton J  for Expense-CR</v>
      </c>
      <c r="K952" s="2" t="e">
        <f>VLOOKUP(B952,'PO with created By ASR'!A:I,6,FALSE)</f>
        <v>#N/A</v>
      </c>
      <c r="L952" s="2" t="str">
        <f>VLOOKUP(B952,'PO with created By ASR'!A:J,7,FALSE)</f>
        <v>C - Chennai</v>
      </c>
      <c r="M952" s="2" t="str">
        <f>VLOOKUP(B952,'PO with created By ASR'!A:K,8,FALSE)</f>
        <v>Purchase Order-Che</v>
      </c>
      <c r="N952" t="s">
        <v>36</v>
      </c>
      <c r="P952" s="2">
        <v>6</v>
      </c>
    </row>
    <row r="953" s="2" customFormat="1" spans="1:16">
      <c r="A953" s="8"/>
      <c r="B953" s="9" t="s">
        <v>1830</v>
      </c>
      <c r="C953" s="10" t="s">
        <v>508</v>
      </c>
      <c r="D953" s="11">
        <v>1</v>
      </c>
      <c r="E953" s="12">
        <v>4375.47</v>
      </c>
      <c r="F953" s="13">
        <v>4375.47</v>
      </c>
      <c r="G953" s="2">
        <f>VLOOKUP(B953,'PO with created By ASR'!A:C,3,FALSE)</f>
        <v>45683</v>
      </c>
      <c r="J953" s="2" t="str">
        <f>VLOOKUP(B953,'PO with created By ASR'!A:G,4,FALSE)</f>
        <v>Praveen Raj Adv for Expenses-CR</v>
      </c>
      <c r="K953" s="2" t="e">
        <f>VLOOKUP(B953,'PO with created By ASR'!A:I,6,FALSE)</f>
        <v>#N/A</v>
      </c>
      <c r="L953" s="2" t="str">
        <f>VLOOKUP(B953,'PO with created By ASR'!A:J,7,FALSE)</f>
        <v>C - Chennai</v>
      </c>
      <c r="M953" s="2" t="str">
        <f>VLOOKUP(B953,'PO with created By ASR'!A:K,8,FALSE)</f>
        <v>Purchase Order-Che</v>
      </c>
      <c r="N953" t="s">
        <v>36</v>
      </c>
      <c r="P953" s="2">
        <v>6</v>
      </c>
    </row>
    <row r="954" s="2" customFormat="1" spans="1:16">
      <c r="A954" s="8"/>
      <c r="B954" s="9" t="s">
        <v>1830</v>
      </c>
      <c r="C954" s="10" t="s">
        <v>126</v>
      </c>
      <c r="D954" s="11">
        <v>1</v>
      </c>
      <c r="E954" s="12">
        <v>3350</v>
      </c>
      <c r="F954" s="13">
        <v>3350</v>
      </c>
      <c r="G954" s="2">
        <f>VLOOKUP(B954,'PO with created By ASR'!A:C,3,FALSE)</f>
        <v>45683</v>
      </c>
      <c r="J954" s="2" t="str">
        <f>VLOOKUP(B954,'PO with created By ASR'!A:G,4,FALSE)</f>
        <v>Praveen Raj Adv for Expenses-CR</v>
      </c>
      <c r="K954" s="2" t="e">
        <f>VLOOKUP(B954,'PO with created By ASR'!A:I,6,FALSE)</f>
        <v>#N/A</v>
      </c>
      <c r="L954" s="2" t="str">
        <f>VLOOKUP(B954,'PO with created By ASR'!A:J,7,FALSE)</f>
        <v>C - Chennai</v>
      </c>
      <c r="M954" s="2" t="str">
        <f>VLOOKUP(B954,'PO with created By ASR'!A:K,8,FALSE)</f>
        <v>Purchase Order-Che</v>
      </c>
      <c r="N954" t="s">
        <v>36</v>
      </c>
      <c r="P954" s="2">
        <v>6</v>
      </c>
    </row>
    <row r="955" s="2" customFormat="1" spans="1:16">
      <c r="A955" s="8"/>
      <c r="B955" s="9" t="s">
        <v>1830</v>
      </c>
      <c r="C955" s="10" t="s">
        <v>412</v>
      </c>
      <c r="D955" s="11">
        <v>1</v>
      </c>
      <c r="E955" s="12">
        <v>1900</v>
      </c>
      <c r="F955" s="13">
        <v>1900</v>
      </c>
      <c r="G955" s="2">
        <f>VLOOKUP(B955,'PO with created By ASR'!A:C,3,FALSE)</f>
        <v>45683</v>
      </c>
      <c r="J955" s="2" t="str">
        <f>VLOOKUP(B955,'PO with created By ASR'!A:G,4,FALSE)</f>
        <v>Praveen Raj Adv for Expenses-CR</v>
      </c>
      <c r="K955" s="2" t="e">
        <f>VLOOKUP(B955,'PO with created By ASR'!A:I,6,FALSE)</f>
        <v>#N/A</v>
      </c>
      <c r="L955" s="2" t="str">
        <f>VLOOKUP(B955,'PO with created By ASR'!A:J,7,FALSE)</f>
        <v>C - Chennai</v>
      </c>
      <c r="M955" s="2" t="str">
        <f>VLOOKUP(B955,'PO with created By ASR'!A:K,8,FALSE)</f>
        <v>Purchase Order-Che</v>
      </c>
      <c r="N955" t="s">
        <v>36</v>
      </c>
      <c r="P955" s="2">
        <v>6</v>
      </c>
    </row>
    <row r="956" s="2" customFormat="1" spans="1:16">
      <c r="A956" s="8"/>
      <c r="B956" s="9" t="s">
        <v>1830</v>
      </c>
      <c r="C956" s="10" t="s">
        <v>61</v>
      </c>
      <c r="D956" s="11">
        <v>1</v>
      </c>
      <c r="E956" s="12">
        <v>5394</v>
      </c>
      <c r="F956" s="13">
        <v>5394</v>
      </c>
      <c r="G956" s="2">
        <f>VLOOKUP(B956,'PO with created By ASR'!A:C,3,FALSE)</f>
        <v>45683</v>
      </c>
      <c r="J956" s="2" t="str">
        <f>VLOOKUP(B956,'PO with created By ASR'!A:G,4,FALSE)</f>
        <v>Praveen Raj Adv for Expenses-CR</v>
      </c>
      <c r="K956" s="2" t="e">
        <f>VLOOKUP(B956,'PO with created By ASR'!A:I,6,FALSE)</f>
        <v>#N/A</v>
      </c>
      <c r="L956" s="2" t="str">
        <f>VLOOKUP(B956,'PO with created By ASR'!A:J,7,FALSE)</f>
        <v>C - Chennai</v>
      </c>
      <c r="M956" s="2" t="str">
        <f>VLOOKUP(B956,'PO with created By ASR'!A:K,8,FALSE)</f>
        <v>Purchase Order-Che</v>
      </c>
      <c r="N956" t="s">
        <v>36</v>
      </c>
      <c r="P956" s="2">
        <v>6</v>
      </c>
    </row>
    <row r="957" s="2" customFormat="1" spans="1:16">
      <c r="A957" s="8"/>
      <c r="B957" s="9" t="s">
        <v>1831</v>
      </c>
      <c r="C957" s="10" t="s">
        <v>412</v>
      </c>
      <c r="D957" s="11">
        <v>1</v>
      </c>
      <c r="E957" s="12">
        <v>1290</v>
      </c>
      <c r="F957" s="13">
        <v>1290</v>
      </c>
      <c r="G957" s="2">
        <f>VLOOKUP(B957,'PO with created By ASR'!A:C,3,FALSE)</f>
        <v>45683</v>
      </c>
      <c r="J957" s="2" t="str">
        <f>VLOOKUP(B957,'PO with created By ASR'!A:G,4,FALSE)</f>
        <v>Ashwath TV  for Expense-CR</v>
      </c>
      <c r="K957" s="2" t="e">
        <f>VLOOKUP(B957,'PO with created By ASR'!A:I,6,FALSE)</f>
        <v>#N/A</v>
      </c>
      <c r="L957" s="2" t="str">
        <f>VLOOKUP(B957,'PO with created By ASR'!A:J,7,FALSE)</f>
        <v>C - Chennai</v>
      </c>
      <c r="M957" s="2" t="str">
        <f>VLOOKUP(B957,'PO with created By ASR'!A:K,8,FALSE)</f>
        <v>Purchase Order-Che</v>
      </c>
      <c r="N957" t="s">
        <v>36</v>
      </c>
      <c r="P957" s="2">
        <v>6</v>
      </c>
    </row>
    <row r="958" s="2" customFormat="1" spans="1:16">
      <c r="A958" s="8"/>
      <c r="B958" s="9" t="s">
        <v>1831</v>
      </c>
      <c r="C958" s="10" t="s">
        <v>119</v>
      </c>
      <c r="D958" s="11">
        <v>1</v>
      </c>
      <c r="E958" s="12">
        <v>1500</v>
      </c>
      <c r="F958" s="13">
        <v>1500</v>
      </c>
      <c r="G958" s="2">
        <f>VLOOKUP(B958,'PO with created By ASR'!A:C,3,FALSE)</f>
        <v>45683</v>
      </c>
      <c r="J958" s="2" t="str">
        <f>VLOOKUP(B958,'PO with created By ASR'!A:G,4,FALSE)</f>
        <v>Ashwath TV  for Expense-CR</v>
      </c>
      <c r="K958" s="2" t="e">
        <f>VLOOKUP(B958,'PO with created By ASR'!A:I,6,FALSE)</f>
        <v>#N/A</v>
      </c>
      <c r="L958" s="2" t="str">
        <f>VLOOKUP(B958,'PO with created By ASR'!A:J,7,FALSE)</f>
        <v>C - Chennai</v>
      </c>
      <c r="M958" s="2" t="str">
        <f>VLOOKUP(B958,'PO with created By ASR'!A:K,8,FALSE)</f>
        <v>Purchase Order-Che</v>
      </c>
      <c r="N958" t="s">
        <v>36</v>
      </c>
      <c r="P958" s="2">
        <v>6</v>
      </c>
    </row>
    <row r="959" s="2" customFormat="1" spans="1:16">
      <c r="A959" s="8"/>
      <c r="B959" s="9" t="s">
        <v>1833</v>
      </c>
      <c r="C959" s="10" t="s">
        <v>990</v>
      </c>
      <c r="D959" s="11">
        <v>1</v>
      </c>
      <c r="E959" s="12">
        <v>500</v>
      </c>
      <c r="F959" s="13">
        <v>500</v>
      </c>
      <c r="G959" s="2">
        <f>VLOOKUP(B959,'PO with created By ASR'!A:C,3,FALSE)</f>
        <v>45683</v>
      </c>
      <c r="J959" s="2" t="str">
        <f>VLOOKUP(B959,'PO with created By ASR'!A:G,4,FALSE)</f>
        <v>Win Technologies-Che</v>
      </c>
      <c r="K959" s="2" t="str">
        <f>VLOOKUP(B959,'PO with created By ASR'!A:I,6,FALSE)</f>
        <v>12626 Win Technologies</v>
      </c>
      <c r="L959" s="2" t="str">
        <f>VLOOKUP(B959,'PO with created By ASR'!A:J,7,FALSE)</f>
        <v>C - Chennai</v>
      </c>
      <c r="M959" s="2" t="str">
        <f>VLOOKUP(B959,'PO with created By ASR'!A:K,8,FALSE)</f>
        <v>Purchase Order-Che</v>
      </c>
      <c r="N959" t="s">
        <v>36</v>
      </c>
      <c r="P959" s="2">
        <v>6</v>
      </c>
    </row>
    <row r="960" s="2" customFormat="1" spans="1:16">
      <c r="A960" s="8"/>
      <c r="B960" s="9" t="s">
        <v>1837</v>
      </c>
      <c r="C960" s="10" t="s">
        <v>126</v>
      </c>
      <c r="D960" s="11">
        <v>1</v>
      </c>
      <c r="E960" s="12">
        <v>166</v>
      </c>
      <c r="F960" s="13">
        <v>166</v>
      </c>
      <c r="G960" s="2">
        <f>VLOOKUP(B960,'PO with created By ASR'!A:C,3,FALSE)</f>
        <v>45683</v>
      </c>
      <c r="J960" s="2" t="str">
        <f>VLOOKUP(B960,'PO with created By ASR'!A:G,4,FALSE)</f>
        <v>Santosh Bhogal Cash  -CR</v>
      </c>
      <c r="K960" s="2" t="e">
        <f>VLOOKUP(B960,'PO with created By ASR'!A:I,6,FALSE)</f>
        <v>#N/A</v>
      </c>
      <c r="L960" s="2" t="str">
        <f>VLOOKUP(B960,'PO with created By ASR'!A:J,7,FALSE)</f>
        <v>A - Mumbai</v>
      </c>
      <c r="M960" s="2" t="str">
        <f>VLOOKUP(B960,'PO with created By ASR'!A:K,8,FALSE)</f>
        <v>Purchase Order-Mum</v>
      </c>
      <c r="N960" t="s">
        <v>36</v>
      </c>
      <c r="P960" s="2">
        <v>6</v>
      </c>
    </row>
    <row r="961" s="2" customFormat="1" spans="1:16">
      <c r="A961" s="8"/>
      <c r="B961" s="9" t="s">
        <v>1838</v>
      </c>
      <c r="C961" s="10" t="s">
        <v>126</v>
      </c>
      <c r="D961" s="11">
        <v>1</v>
      </c>
      <c r="E961" s="12">
        <v>264</v>
      </c>
      <c r="F961" s="13">
        <v>264</v>
      </c>
      <c r="G961" s="2">
        <f>VLOOKUP(B961,'PO with created By ASR'!A:C,3,FALSE)</f>
        <v>45683</v>
      </c>
      <c r="J961" s="2" t="str">
        <f>VLOOKUP(B961,'PO with created By ASR'!A:G,4,FALSE)</f>
        <v>Padmakar Jadhav -CR</v>
      </c>
      <c r="K961" s="2" t="e">
        <f>VLOOKUP(B961,'PO with created By ASR'!A:I,6,FALSE)</f>
        <v>#N/A</v>
      </c>
      <c r="L961" s="2" t="str">
        <f>VLOOKUP(B961,'PO with created By ASR'!A:J,7,FALSE)</f>
        <v>A - Mumbai</v>
      </c>
      <c r="M961" s="2" t="str">
        <f>VLOOKUP(B961,'PO with created By ASR'!A:K,8,FALSE)</f>
        <v>Purchase Order-Mum</v>
      </c>
      <c r="N961" t="s">
        <v>36</v>
      </c>
      <c r="P961" s="2">
        <v>6</v>
      </c>
    </row>
    <row r="962" s="2" customFormat="1" spans="1:16">
      <c r="A962" s="8"/>
      <c r="B962" s="9" t="s">
        <v>1838</v>
      </c>
      <c r="C962" s="10" t="s">
        <v>1055</v>
      </c>
      <c r="D962" s="11">
        <v>1</v>
      </c>
      <c r="E962" s="12">
        <v>1600</v>
      </c>
      <c r="F962" s="13">
        <v>1600</v>
      </c>
      <c r="G962" s="2">
        <f>VLOOKUP(B962,'PO with created By ASR'!A:C,3,FALSE)</f>
        <v>45683</v>
      </c>
      <c r="J962" s="2" t="str">
        <f>VLOOKUP(B962,'PO with created By ASR'!A:G,4,FALSE)</f>
        <v>Padmakar Jadhav -CR</v>
      </c>
      <c r="K962" s="2" t="e">
        <f>VLOOKUP(B962,'PO with created By ASR'!A:I,6,FALSE)</f>
        <v>#N/A</v>
      </c>
      <c r="L962" s="2" t="str">
        <f>VLOOKUP(B962,'PO with created By ASR'!A:J,7,FALSE)</f>
        <v>A - Mumbai</v>
      </c>
      <c r="M962" s="2" t="str">
        <f>VLOOKUP(B962,'PO with created By ASR'!A:K,8,FALSE)</f>
        <v>Purchase Order-Mum</v>
      </c>
      <c r="N962" t="s">
        <v>36</v>
      </c>
      <c r="P962" s="2">
        <v>6</v>
      </c>
    </row>
    <row r="963" s="2" customFormat="1" spans="1:16">
      <c r="A963" s="8"/>
      <c r="B963" s="9" t="s">
        <v>1839</v>
      </c>
      <c r="C963" s="10" t="s">
        <v>126</v>
      </c>
      <c r="D963" s="11">
        <v>1</v>
      </c>
      <c r="E963" s="12">
        <v>3260</v>
      </c>
      <c r="F963" s="13">
        <v>3260</v>
      </c>
      <c r="G963" s="2">
        <f>VLOOKUP(B963,'PO with created By ASR'!A:C,3,FALSE)</f>
        <v>45683</v>
      </c>
      <c r="J963" s="2" t="str">
        <f>VLOOKUP(B963,'PO with created By ASR'!A:G,4,FALSE)</f>
        <v>Mohammad Danish  -CR</v>
      </c>
      <c r="K963" s="2" t="str">
        <f>VLOOKUP(B963,'PO with created By ASR'!A:I,6,FALSE)</f>
        <v>10757 Mohammad Danish</v>
      </c>
      <c r="L963" s="2" t="str">
        <f>VLOOKUP(B963,'PO with created By ASR'!A:J,7,FALSE)</f>
        <v>A - Mumbai</v>
      </c>
      <c r="M963" s="2" t="str">
        <f>VLOOKUP(B963,'PO with created By ASR'!A:K,8,FALSE)</f>
        <v>Purchase Order-Mum</v>
      </c>
      <c r="N963" t="s">
        <v>36</v>
      </c>
      <c r="P963" s="2">
        <v>6</v>
      </c>
    </row>
    <row r="964" s="2" customFormat="1" spans="1:16">
      <c r="A964" s="8"/>
      <c r="B964" s="9" t="s">
        <v>1839</v>
      </c>
      <c r="C964" s="10" t="s">
        <v>412</v>
      </c>
      <c r="D964" s="11">
        <v>1</v>
      </c>
      <c r="E964" s="12">
        <v>274</v>
      </c>
      <c r="F964" s="13">
        <v>274</v>
      </c>
      <c r="G964" s="2">
        <f>VLOOKUP(B964,'PO with created By ASR'!A:C,3,FALSE)</f>
        <v>45683</v>
      </c>
      <c r="J964" s="2" t="str">
        <f>VLOOKUP(B964,'PO with created By ASR'!A:G,4,FALSE)</f>
        <v>Mohammad Danish  -CR</v>
      </c>
      <c r="K964" s="2" t="str">
        <f>VLOOKUP(B964,'PO with created By ASR'!A:I,6,FALSE)</f>
        <v>10757 Mohammad Danish</v>
      </c>
      <c r="L964" s="2" t="str">
        <f>VLOOKUP(B964,'PO with created By ASR'!A:J,7,FALSE)</f>
        <v>A - Mumbai</v>
      </c>
      <c r="M964" s="2" t="str">
        <f>VLOOKUP(B964,'PO with created By ASR'!A:K,8,FALSE)</f>
        <v>Purchase Order-Mum</v>
      </c>
      <c r="N964" t="s">
        <v>36</v>
      </c>
      <c r="P964" s="2">
        <v>6</v>
      </c>
    </row>
    <row r="965" s="2" customFormat="1" spans="1:16">
      <c r="A965" s="8"/>
      <c r="B965" s="9" t="s">
        <v>1840</v>
      </c>
      <c r="C965" s="10" t="s">
        <v>94</v>
      </c>
      <c r="D965" s="11">
        <v>1</v>
      </c>
      <c r="E965" s="12">
        <v>1256.39</v>
      </c>
      <c r="F965" s="13">
        <v>1256.39</v>
      </c>
      <c r="G965" s="2">
        <f>VLOOKUP(B965,'PO with created By ASR'!A:C,3,FALSE)</f>
        <v>45684</v>
      </c>
      <c r="J965" s="2" t="str">
        <f>VLOOKUP(B965,'PO with created By ASR'!A:G,4,FALSE)</f>
        <v>Bharti Airtel Ltd.-Del</v>
      </c>
      <c r="K965" s="2" t="e">
        <f>VLOOKUP(B965,'PO with created By ASR'!A:I,6,FALSE)</f>
        <v>#N/A</v>
      </c>
      <c r="L965" s="2" t="str">
        <f>VLOOKUP(B965,'PO with created By ASR'!A:J,7,FALSE)</f>
        <v>B - Bangalore</v>
      </c>
      <c r="M965" s="2" t="str">
        <f>VLOOKUP(B965,'PO with created By ASR'!A:K,8,FALSE)</f>
        <v>Purchase Order-Blr</v>
      </c>
      <c r="N965" t="s">
        <v>36</v>
      </c>
      <c r="P965" s="2">
        <v>6</v>
      </c>
    </row>
    <row r="966" s="2" customFormat="1" spans="1:16">
      <c r="A966" s="8"/>
      <c r="B966" s="9" t="s">
        <v>1841</v>
      </c>
      <c r="C966" s="10" t="s">
        <v>127</v>
      </c>
      <c r="D966" s="11">
        <v>1</v>
      </c>
      <c r="E966" s="12">
        <v>1714</v>
      </c>
      <c r="F966" s="13">
        <v>1714</v>
      </c>
      <c r="G966" s="2">
        <f>VLOOKUP(B966,'PO with created By ASR'!A:C,3,FALSE)</f>
        <v>45684</v>
      </c>
      <c r="J966" s="2" t="str">
        <f>VLOOKUP(B966,'PO with created By ASR'!A:G,4,FALSE)</f>
        <v>Tijo Joseph -CR</v>
      </c>
      <c r="K966" s="2" t="e">
        <f>VLOOKUP(B966,'PO with created By ASR'!A:I,6,FALSE)</f>
        <v>#N/A</v>
      </c>
      <c r="L966" s="2" t="str">
        <f>VLOOKUP(B966,'PO with created By ASR'!A:J,7,FALSE)</f>
        <v>B - Bangalore</v>
      </c>
      <c r="M966" s="2" t="str">
        <f>VLOOKUP(B966,'PO with created By ASR'!A:K,8,FALSE)</f>
        <v>Purchase Order-Blr</v>
      </c>
      <c r="N966" t="s">
        <v>36</v>
      </c>
      <c r="P966" s="2">
        <v>6</v>
      </c>
    </row>
    <row r="967" s="2" customFormat="1" spans="1:16">
      <c r="A967" s="8"/>
      <c r="B967" s="9" t="s">
        <v>1841</v>
      </c>
      <c r="C967" s="10" t="s">
        <v>134</v>
      </c>
      <c r="D967" s="11">
        <v>1</v>
      </c>
      <c r="E967" s="12">
        <v>3124</v>
      </c>
      <c r="F967" s="13">
        <v>3124</v>
      </c>
      <c r="G967" s="2">
        <f>VLOOKUP(B967,'PO with created By ASR'!A:C,3,FALSE)</f>
        <v>45684</v>
      </c>
      <c r="J967" s="2" t="str">
        <f>VLOOKUP(B967,'PO with created By ASR'!A:G,4,FALSE)</f>
        <v>Tijo Joseph -CR</v>
      </c>
      <c r="K967" s="2" t="e">
        <f>VLOOKUP(B967,'PO with created By ASR'!A:I,6,FALSE)</f>
        <v>#N/A</v>
      </c>
      <c r="L967" s="2" t="str">
        <f>VLOOKUP(B967,'PO with created By ASR'!A:J,7,FALSE)</f>
        <v>B - Bangalore</v>
      </c>
      <c r="M967" s="2" t="str">
        <f>VLOOKUP(B967,'PO with created By ASR'!A:K,8,FALSE)</f>
        <v>Purchase Order-Blr</v>
      </c>
      <c r="N967" t="s">
        <v>36</v>
      </c>
      <c r="P967" s="2">
        <v>6</v>
      </c>
    </row>
    <row r="968" s="2" customFormat="1" spans="1:16">
      <c r="A968" s="8"/>
      <c r="B968" s="9" t="s">
        <v>1844</v>
      </c>
      <c r="C968" s="10" t="s">
        <v>126</v>
      </c>
      <c r="D968" s="11">
        <v>1</v>
      </c>
      <c r="E968" s="12">
        <v>4103</v>
      </c>
      <c r="F968" s="13">
        <v>4103</v>
      </c>
      <c r="G968" s="2">
        <f>VLOOKUP(B968,'PO with created By ASR'!A:C,3,FALSE)</f>
        <v>45684</v>
      </c>
      <c r="J968" s="2" t="str">
        <f>VLOOKUP(B968,'PO with created By ASR'!A:G,4,FALSE)</f>
        <v>Farhan Shariff  -CR</v>
      </c>
      <c r="K968" s="2" t="e">
        <f>VLOOKUP(B968,'PO with created By ASR'!A:I,6,FALSE)</f>
        <v>#N/A</v>
      </c>
      <c r="L968" s="2" t="str">
        <f>VLOOKUP(B968,'PO with created By ASR'!A:J,7,FALSE)</f>
        <v>B - Bangalore</v>
      </c>
      <c r="M968" s="2" t="str">
        <f>VLOOKUP(B968,'PO with created By ASR'!A:K,8,FALSE)</f>
        <v>Purchase Order-Blr</v>
      </c>
      <c r="N968" t="s">
        <v>36</v>
      </c>
      <c r="P968" s="2">
        <v>6</v>
      </c>
    </row>
    <row r="969" s="2" customFormat="1" spans="1:16">
      <c r="A969" s="8"/>
      <c r="B969" s="9" t="s">
        <v>1844</v>
      </c>
      <c r="C969" s="10" t="s">
        <v>412</v>
      </c>
      <c r="D969" s="11">
        <v>1</v>
      </c>
      <c r="E969" s="12">
        <v>1427</v>
      </c>
      <c r="F969" s="13">
        <v>1427</v>
      </c>
      <c r="G969" s="2">
        <f>VLOOKUP(B969,'PO with created By ASR'!A:C,3,FALSE)</f>
        <v>45684</v>
      </c>
      <c r="J969" s="2" t="str">
        <f>VLOOKUP(B969,'PO with created By ASR'!A:G,4,FALSE)</f>
        <v>Farhan Shariff  -CR</v>
      </c>
      <c r="K969" s="2" t="e">
        <f>VLOOKUP(B969,'PO with created By ASR'!A:I,6,FALSE)</f>
        <v>#N/A</v>
      </c>
      <c r="L969" s="2" t="str">
        <f>VLOOKUP(B969,'PO with created By ASR'!A:J,7,FALSE)</f>
        <v>B - Bangalore</v>
      </c>
      <c r="M969" s="2" t="str">
        <f>VLOOKUP(B969,'PO with created By ASR'!A:K,8,FALSE)</f>
        <v>Purchase Order-Blr</v>
      </c>
      <c r="N969" t="s">
        <v>36</v>
      </c>
      <c r="P969" s="2">
        <v>6</v>
      </c>
    </row>
    <row r="970" s="2" customFormat="1" spans="1:16">
      <c r="A970" s="8"/>
      <c r="B970" s="9" t="s">
        <v>1844</v>
      </c>
      <c r="C970" s="10" t="s">
        <v>1055</v>
      </c>
      <c r="D970" s="11">
        <v>1</v>
      </c>
      <c r="E970" s="12">
        <v>1289</v>
      </c>
      <c r="F970" s="13">
        <v>1289</v>
      </c>
      <c r="G970" s="2">
        <f>VLOOKUP(B970,'PO with created By ASR'!A:C,3,FALSE)</f>
        <v>45684</v>
      </c>
      <c r="J970" s="2" t="str">
        <f>VLOOKUP(B970,'PO with created By ASR'!A:G,4,FALSE)</f>
        <v>Farhan Shariff  -CR</v>
      </c>
      <c r="K970" s="2" t="e">
        <f>VLOOKUP(B970,'PO with created By ASR'!A:I,6,FALSE)</f>
        <v>#N/A</v>
      </c>
      <c r="L970" s="2" t="str">
        <f>VLOOKUP(B970,'PO with created By ASR'!A:J,7,FALSE)</f>
        <v>B - Bangalore</v>
      </c>
      <c r="M970" s="2" t="str">
        <f>VLOOKUP(B970,'PO with created By ASR'!A:K,8,FALSE)</f>
        <v>Purchase Order-Blr</v>
      </c>
      <c r="N970" t="s">
        <v>36</v>
      </c>
      <c r="P970" s="2">
        <v>6</v>
      </c>
    </row>
    <row r="971" s="2" customFormat="1" spans="1:16">
      <c r="A971" s="8"/>
      <c r="B971" s="9" t="s">
        <v>1844</v>
      </c>
      <c r="C971" s="10" t="s">
        <v>196</v>
      </c>
      <c r="D971" s="11">
        <v>1</v>
      </c>
      <c r="E971" s="12">
        <v>100</v>
      </c>
      <c r="F971" s="13">
        <v>100</v>
      </c>
      <c r="G971" s="2">
        <f>VLOOKUP(B971,'PO with created By ASR'!A:C,3,FALSE)</f>
        <v>45684</v>
      </c>
      <c r="J971" s="2" t="str">
        <f>VLOOKUP(B971,'PO with created By ASR'!A:G,4,FALSE)</f>
        <v>Farhan Shariff  -CR</v>
      </c>
      <c r="K971" s="2" t="e">
        <f>VLOOKUP(B971,'PO with created By ASR'!A:I,6,FALSE)</f>
        <v>#N/A</v>
      </c>
      <c r="L971" s="2" t="str">
        <f>VLOOKUP(B971,'PO with created By ASR'!A:J,7,FALSE)</f>
        <v>B - Bangalore</v>
      </c>
      <c r="M971" s="2" t="str">
        <f>VLOOKUP(B971,'PO with created By ASR'!A:K,8,FALSE)</f>
        <v>Purchase Order-Blr</v>
      </c>
      <c r="N971" t="s">
        <v>36</v>
      </c>
      <c r="P971" s="2">
        <v>6</v>
      </c>
    </row>
    <row r="972" s="2" customFormat="1" spans="1:16">
      <c r="A972" s="8"/>
      <c r="B972" s="9" t="s">
        <v>1844</v>
      </c>
      <c r="C972" s="10" t="s">
        <v>233</v>
      </c>
      <c r="D972" s="11">
        <v>1</v>
      </c>
      <c r="E972" s="12">
        <v>1200</v>
      </c>
      <c r="F972" s="13">
        <v>1200</v>
      </c>
      <c r="G972" s="2">
        <f>VLOOKUP(B972,'PO with created By ASR'!A:C,3,FALSE)</f>
        <v>45684</v>
      </c>
      <c r="J972" s="2" t="str">
        <f>VLOOKUP(B972,'PO with created By ASR'!A:G,4,FALSE)</f>
        <v>Farhan Shariff  -CR</v>
      </c>
      <c r="K972" s="2" t="e">
        <f>VLOOKUP(B972,'PO with created By ASR'!A:I,6,FALSE)</f>
        <v>#N/A</v>
      </c>
      <c r="L972" s="2" t="str">
        <f>VLOOKUP(B972,'PO with created By ASR'!A:J,7,FALSE)</f>
        <v>B - Bangalore</v>
      </c>
      <c r="M972" s="2" t="str">
        <f>VLOOKUP(B972,'PO with created By ASR'!A:K,8,FALSE)</f>
        <v>Purchase Order-Blr</v>
      </c>
      <c r="N972" t="s">
        <v>36</v>
      </c>
      <c r="P972" s="2">
        <v>6</v>
      </c>
    </row>
    <row r="973" s="2" customFormat="1" spans="1:16">
      <c r="A973" s="8"/>
      <c r="B973" s="9" t="s">
        <v>1845</v>
      </c>
      <c r="C973" s="10" t="s">
        <v>196</v>
      </c>
      <c r="D973" s="11">
        <v>1</v>
      </c>
      <c r="E973" s="12">
        <v>23860</v>
      </c>
      <c r="F973" s="13">
        <v>23860</v>
      </c>
      <c r="G973" s="2">
        <f>VLOOKUP(B973,'PO with created By ASR'!A:C,3,FALSE)</f>
        <v>45684</v>
      </c>
      <c r="J973" s="2" t="str">
        <f>VLOOKUP(B973,'PO with created By ASR'!A:G,4,FALSE)</f>
        <v>Stepone Office Stationers-Blr</v>
      </c>
      <c r="K973" s="2" t="str">
        <f>VLOOKUP(B973,'PO with created By ASR'!A:I,6,FALSE)</f>
        <v>12459 Stepone Office Stationers</v>
      </c>
      <c r="L973" s="2" t="str">
        <f>VLOOKUP(B973,'PO with created By ASR'!A:J,7,FALSE)</f>
        <v>B - Bangalore</v>
      </c>
      <c r="M973" s="2" t="str">
        <f>VLOOKUP(B973,'PO with created By ASR'!A:K,8,FALSE)</f>
        <v>Purchase Order-Blr</v>
      </c>
      <c r="N973" t="s">
        <v>36</v>
      </c>
      <c r="P973" s="2">
        <v>6</v>
      </c>
    </row>
    <row r="974" s="2" customFormat="1" spans="1:16">
      <c r="A974" s="8"/>
      <c r="B974" s="9" t="s">
        <v>1848</v>
      </c>
      <c r="C974" s="10" t="s">
        <v>276</v>
      </c>
      <c r="D974" s="11">
        <v>1</v>
      </c>
      <c r="E974" s="12">
        <v>454550</v>
      </c>
      <c r="F974" s="13">
        <v>454550</v>
      </c>
      <c r="G974" s="2">
        <f>VLOOKUP(B974,'PO with created By ASR'!A:C,3,FALSE)</f>
        <v>45684</v>
      </c>
      <c r="J974" s="2" t="str">
        <f>VLOOKUP(B974,'PO with created By ASR'!A:G,4,FALSE)</f>
        <v>Jw Marriot Bengaluru-Blr</v>
      </c>
      <c r="K974" s="2" t="str">
        <f>VLOOKUP(B974,'PO with created By ASR'!A:I,6,FALSE)</f>
        <v>10347  Jw Marriot Bengaluru</v>
      </c>
      <c r="L974" s="2" t="str">
        <f>VLOOKUP(B974,'PO with created By ASR'!A:J,7,FALSE)</f>
        <v>B - Bangalore</v>
      </c>
      <c r="M974" s="2" t="str">
        <f>VLOOKUP(B974,'PO with created By ASR'!A:K,8,FALSE)</f>
        <v>Purchase Order-Blr</v>
      </c>
      <c r="N974" t="s">
        <v>36</v>
      </c>
      <c r="P974" s="2">
        <v>6</v>
      </c>
    </row>
    <row r="975" s="2" customFormat="1" spans="1:16">
      <c r="A975" s="8"/>
      <c r="B975" s="9" t="s">
        <v>1848</v>
      </c>
      <c r="C975" s="10" t="s">
        <v>276</v>
      </c>
      <c r="D975" s="11">
        <v>1</v>
      </c>
      <c r="E975" s="12">
        <v>306205</v>
      </c>
      <c r="F975" s="13">
        <v>306205</v>
      </c>
      <c r="G975" s="2">
        <f>VLOOKUP(B975,'PO with created By ASR'!A:C,3,FALSE)</f>
        <v>45684</v>
      </c>
      <c r="J975" s="2" t="str">
        <f>VLOOKUP(B975,'PO with created By ASR'!A:G,4,FALSE)</f>
        <v>Jw Marriot Bengaluru-Blr</v>
      </c>
      <c r="K975" s="2" t="str">
        <f>VLOOKUP(B975,'PO with created By ASR'!A:I,6,FALSE)</f>
        <v>10347  Jw Marriot Bengaluru</v>
      </c>
      <c r="L975" s="2" t="str">
        <f>VLOOKUP(B975,'PO with created By ASR'!A:J,7,FALSE)</f>
        <v>B - Bangalore</v>
      </c>
      <c r="M975" s="2" t="str">
        <f>VLOOKUP(B975,'PO with created By ASR'!A:K,8,FALSE)</f>
        <v>Purchase Order-Blr</v>
      </c>
      <c r="N975" t="s">
        <v>36</v>
      </c>
      <c r="P975" s="2">
        <v>6</v>
      </c>
    </row>
    <row r="976" s="2" customFormat="1" spans="1:16">
      <c r="A976" s="8"/>
      <c r="B976" s="9" t="s">
        <v>1848</v>
      </c>
      <c r="C976" s="10" t="s">
        <v>1239</v>
      </c>
      <c r="D976" s="11">
        <v>1</v>
      </c>
      <c r="E976" s="12">
        <v>220000</v>
      </c>
      <c r="F976" s="13">
        <v>220000</v>
      </c>
      <c r="G976" s="2">
        <f>VLOOKUP(B976,'PO with created By ASR'!A:C,3,FALSE)</f>
        <v>45684</v>
      </c>
      <c r="J976" s="2" t="str">
        <f>VLOOKUP(B976,'PO with created By ASR'!A:G,4,FALSE)</f>
        <v>Jw Marriot Bengaluru-Blr</v>
      </c>
      <c r="K976" s="2" t="str">
        <f>VLOOKUP(B976,'PO with created By ASR'!A:I,6,FALSE)</f>
        <v>10347  Jw Marriot Bengaluru</v>
      </c>
      <c r="L976" s="2" t="str">
        <f>VLOOKUP(B976,'PO with created By ASR'!A:J,7,FALSE)</f>
        <v>B - Bangalore</v>
      </c>
      <c r="M976" s="2" t="str">
        <f>VLOOKUP(B976,'PO with created By ASR'!A:K,8,FALSE)</f>
        <v>Purchase Order-Blr</v>
      </c>
      <c r="N976" t="s">
        <v>36</v>
      </c>
      <c r="P976" s="2">
        <v>6</v>
      </c>
    </row>
    <row r="977" s="2" customFormat="1" spans="1:16">
      <c r="A977" s="8"/>
      <c r="B977" s="9" t="s">
        <v>1852</v>
      </c>
      <c r="C977" s="10" t="s">
        <v>196</v>
      </c>
      <c r="D977" s="11">
        <v>1</v>
      </c>
      <c r="E977" s="12">
        <v>6608</v>
      </c>
      <c r="F977" s="13">
        <v>6608</v>
      </c>
      <c r="G977" s="2">
        <f>VLOOKUP(B977,'PO with created By ASR'!A:C,3,FALSE)</f>
        <v>45684</v>
      </c>
      <c r="J977" s="2" t="str">
        <f>VLOOKUP(B977,'PO with created By ASR'!A:G,4,FALSE)</f>
        <v>Farhan Shariff  -CR</v>
      </c>
      <c r="K977" s="2" t="e">
        <f>VLOOKUP(B977,'PO with created By ASR'!A:I,6,FALSE)</f>
        <v>#N/A</v>
      </c>
      <c r="L977" s="2" t="str">
        <f>VLOOKUP(B977,'PO with created By ASR'!A:J,7,FALSE)</f>
        <v>B - Bangalore</v>
      </c>
      <c r="M977" s="2" t="str">
        <f>VLOOKUP(B977,'PO with created By ASR'!A:K,8,FALSE)</f>
        <v>Purchase Order-Blr</v>
      </c>
      <c r="N977" t="s">
        <v>36</v>
      </c>
      <c r="P977" s="2">
        <v>6</v>
      </c>
    </row>
    <row r="978" s="2" customFormat="1" spans="1:16">
      <c r="A978" s="8"/>
      <c r="B978" s="9" t="s">
        <v>1853</v>
      </c>
      <c r="C978" s="10" t="s">
        <v>508</v>
      </c>
      <c r="D978" s="11">
        <v>1</v>
      </c>
      <c r="E978" s="12">
        <v>6166</v>
      </c>
      <c r="F978" s="13">
        <v>6166</v>
      </c>
      <c r="G978" s="2">
        <f>VLOOKUP(B978,'PO with created By ASR'!A:C,3,FALSE)</f>
        <v>45684</v>
      </c>
      <c r="J978" s="2" t="str">
        <f>VLOOKUP(B978,'PO with created By ASR'!A:G,4,FALSE)</f>
        <v>Farhan Shariff  -CR</v>
      </c>
      <c r="K978" s="2" t="e">
        <f>VLOOKUP(B978,'PO with created By ASR'!A:I,6,FALSE)</f>
        <v>#N/A</v>
      </c>
      <c r="L978" s="2" t="str">
        <f>VLOOKUP(B978,'PO with created By ASR'!A:J,7,FALSE)</f>
        <v>B - Bangalore</v>
      </c>
      <c r="M978" s="2" t="str">
        <f>VLOOKUP(B978,'PO with created By ASR'!A:K,8,FALSE)</f>
        <v>Purchase Order-Blr</v>
      </c>
      <c r="N978" t="s">
        <v>36</v>
      </c>
      <c r="P978" s="2">
        <v>6</v>
      </c>
    </row>
    <row r="979" s="2" customFormat="1" spans="1:16">
      <c r="A979" s="8"/>
      <c r="B979" s="9" t="s">
        <v>1853</v>
      </c>
      <c r="C979" s="10" t="s">
        <v>126</v>
      </c>
      <c r="D979" s="11">
        <v>1</v>
      </c>
      <c r="E979" s="12">
        <v>996</v>
      </c>
      <c r="F979" s="13">
        <v>996</v>
      </c>
      <c r="G979" s="2">
        <f>VLOOKUP(B979,'PO with created By ASR'!A:C,3,FALSE)</f>
        <v>45684</v>
      </c>
      <c r="J979" s="2" t="str">
        <f>VLOOKUP(B979,'PO with created By ASR'!A:G,4,FALSE)</f>
        <v>Farhan Shariff  -CR</v>
      </c>
      <c r="K979" s="2" t="e">
        <f>VLOOKUP(B979,'PO with created By ASR'!A:I,6,FALSE)</f>
        <v>#N/A</v>
      </c>
      <c r="L979" s="2" t="str">
        <f>VLOOKUP(B979,'PO with created By ASR'!A:J,7,FALSE)</f>
        <v>B - Bangalore</v>
      </c>
      <c r="M979" s="2" t="str">
        <f>VLOOKUP(B979,'PO with created By ASR'!A:K,8,FALSE)</f>
        <v>Purchase Order-Blr</v>
      </c>
      <c r="N979" t="s">
        <v>36</v>
      </c>
      <c r="P979" s="2">
        <v>6</v>
      </c>
    </row>
    <row r="980" s="2" customFormat="1" spans="1:16">
      <c r="A980" s="8"/>
      <c r="B980" s="9" t="s">
        <v>1853</v>
      </c>
      <c r="C980" s="10" t="s">
        <v>412</v>
      </c>
      <c r="D980" s="11">
        <v>1</v>
      </c>
      <c r="E980" s="12">
        <v>2333</v>
      </c>
      <c r="F980" s="13">
        <v>2333</v>
      </c>
      <c r="G980" s="2">
        <f>VLOOKUP(B980,'PO with created By ASR'!A:C,3,FALSE)</f>
        <v>45684</v>
      </c>
      <c r="J980" s="2" t="str">
        <f>VLOOKUP(B980,'PO with created By ASR'!A:G,4,FALSE)</f>
        <v>Farhan Shariff  -CR</v>
      </c>
      <c r="K980" s="2" t="e">
        <f>VLOOKUP(B980,'PO with created By ASR'!A:I,6,FALSE)</f>
        <v>#N/A</v>
      </c>
      <c r="L980" s="2" t="str">
        <f>VLOOKUP(B980,'PO with created By ASR'!A:J,7,FALSE)</f>
        <v>B - Bangalore</v>
      </c>
      <c r="M980" s="2" t="str">
        <f>VLOOKUP(B980,'PO with created By ASR'!A:K,8,FALSE)</f>
        <v>Purchase Order-Blr</v>
      </c>
      <c r="N980" t="s">
        <v>36</v>
      </c>
      <c r="P980" s="2">
        <v>6</v>
      </c>
    </row>
    <row r="981" s="2" customFormat="1" spans="1:16">
      <c r="A981" s="8"/>
      <c r="B981" s="9" t="s">
        <v>1853</v>
      </c>
      <c r="C981" s="10" t="s">
        <v>61</v>
      </c>
      <c r="D981" s="11">
        <v>1</v>
      </c>
      <c r="E981" s="12">
        <v>5600</v>
      </c>
      <c r="F981" s="13">
        <v>5600</v>
      </c>
      <c r="G981" s="2">
        <f>VLOOKUP(B981,'PO with created By ASR'!A:C,3,FALSE)</f>
        <v>45684</v>
      </c>
      <c r="J981" s="2" t="str">
        <f>VLOOKUP(B981,'PO with created By ASR'!A:G,4,FALSE)</f>
        <v>Farhan Shariff  -CR</v>
      </c>
      <c r="K981" s="2" t="e">
        <f>VLOOKUP(B981,'PO with created By ASR'!A:I,6,FALSE)</f>
        <v>#N/A</v>
      </c>
      <c r="L981" s="2" t="str">
        <f>VLOOKUP(B981,'PO with created By ASR'!A:J,7,FALSE)</f>
        <v>B - Bangalore</v>
      </c>
      <c r="M981" s="2" t="str">
        <f>VLOOKUP(B981,'PO with created By ASR'!A:K,8,FALSE)</f>
        <v>Purchase Order-Blr</v>
      </c>
      <c r="N981" t="s">
        <v>36</v>
      </c>
      <c r="P981" s="2">
        <v>6</v>
      </c>
    </row>
    <row r="982" s="2" customFormat="1" spans="1:16">
      <c r="A982" s="8"/>
      <c r="B982" s="9" t="s">
        <v>1853</v>
      </c>
      <c r="C982" s="10" t="s">
        <v>1055</v>
      </c>
      <c r="D982" s="11">
        <v>1</v>
      </c>
      <c r="E982" s="12">
        <v>83</v>
      </c>
      <c r="F982" s="13">
        <v>83</v>
      </c>
      <c r="G982" s="2">
        <f>VLOOKUP(B982,'PO with created By ASR'!A:C,3,FALSE)</f>
        <v>45684</v>
      </c>
      <c r="J982" s="2" t="str">
        <f>VLOOKUP(B982,'PO with created By ASR'!A:G,4,FALSE)</f>
        <v>Farhan Shariff  -CR</v>
      </c>
      <c r="K982" s="2" t="e">
        <f>VLOOKUP(B982,'PO with created By ASR'!A:I,6,FALSE)</f>
        <v>#N/A</v>
      </c>
      <c r="L982" s="2" t="str">
        <f>VLOOKUP(B982,'PO with created By ASR'!A:J,7,FALSE)</f>
        <v>B - Bangalore</v>
      </c>
      <c r="M982" s="2" t="str">
        <f>VLOOKUP(B982,'PO with created By ASR'!A:K,8,FALSE)</f>
        <v>Purchase Order-Blr</v>
      </c>
      <c r="N982" t="s">
        <v>36</v>
      </c>
      <c r="P982" s="2">
        <v>6</v>
      </c>
    </row>
    <row r="983" s="2" customFormat="1" spans="1:16">
      <c r="A983" s="8"/>
      <c r="B983" s="9" t="s">
        <v>1853</v>
      </c>
      <c r="C983" s="10" t="s">
        <v>196</v>
      </c>
      <c r="D983" s="11">
        <v>1</v>
      </c>
      <c r="E983" s="12">
        <v>400</v>
      </c>
      <c r="F983" s="13">
        <v>400</v>
      </c>
      <c r="G983" s="2">
        <f>VLOOKUP(B983,'PO with created By ASR'!A:C,3,FALSE)</f>
        <v>45684</v>
      </c>
      <c r="J983" s="2" t="str">
        <f>VLOOKUP(B983,'PO with created By ASR'!A:G,4,FALSE)</f>
        <v>Farhan Shariff  -CR</v>
      </c>
      <c r="K983" s="2" t="e">
        <f>VLOOKUP(B983,'PO with created By ASR'!A:I,6,FALSE)</f>
        <v>#N/A</v>
      </c>
      <c r="L983" s="2" t="str">
        <f>VLOOKUP(B983,'PO with created By ASR'!A:J,7,FALSE)</f>
        <v>B - Bangalore</v>
      </c>
      <c r="M983" s="2" t="str">
        <f>VLOOKUP(B983,'PO with created By ASR'!A:K,8,FALSE)</f>
        <v>Purchase Order-Blr</v>
      </c>
      <c r="N983" t="s">
        <v>36</v>
      </c>
      <c r="P983" s="2">
        <v>6</v>
      </c>
    </row>
    <row r="984" s="2" customFormat="1" spans="1:16">
      <c r="A984" s="8"/>
      <c r="B984" s="9" t="s">
        <v>1853</v>
      </c>
      <c r="C984" s="10" t="s">
        <v>3829</v>
      </c>
      <c r="D984" s="11">
        <v>1</v>
      </c>
      <c r="E984" s="12">
        <v>500</v>
      </c>
      <c r="F984" s="13">
        <v>500</v>
      </c>
      <c r="G984" s="2">
        <f>VLOOKUP(B984,'PO with created By ASR'!A:C,3,FALSE)</f>
        <v>45684</v>
      </c>
      <c r="J984" s="2" t="str">
        <f>VLOOKUP(B984,'PO with created By ASR'!A:G,4,FALSE)</f>
        <v>Farhan Shariff  -CR</v>
      </c>
      <c r="K984" s="2" t="e">
        <f>VLOOKUP(B984,'PO with created By ASR'!A:I,6,FALSE)</f>
        <v>#N/A</v>
      </c>
      <c r="L984" s="2" t="str">
        <f>VLOOKUP(B984,'PO with created By ASR'!A:J,7,FALSE)</f>
        <v>B - Bangalore</v>
      </c>
      <c r="M984" s="2" t="str">
        <f>VLOOKUP(B984,'PO with created By ASR'!A:K,8,FALSE)</f>
        <v>Purchase Order-Blr</v>
      </c>
      <c r="N984" t="s">
        <v>36</v>
      </c>
      <c r="P984" s="2">
        <v>6</v>
      </c>
    </row>
    <row r="985" s="2" customFormat="1" spans="1:16">
      <c r="A985" s="8"/>
      <c r="B985" s="9" t="s">
        <v>1856</v>
      </c>
      <c r="C985" s="10" t="s">
        <v>205</v>
      </c>
      <c r="D985" s="11">
        <v>1</v>
      </c>
      <c r="E985" s="12">
        <v>275000</v>
      </c>
      <c r="F985" s="13">
        <v>275000</v>
      </c>
      <c r="G985" s="2">
        <f>VLOOKUP(B985,'PO with created By ASR'!A:C,3,FALSE)</f>
        <v>45684</v>
      </c>
      <c r="J985" s="2" t="str">
        <f>VLOOKUP(B985,'PO with created By ASR'!A:G,4,FALSE)</f>
        <v>Gpm Xpress Logistics Pvt Ltd-Blr</v>
      </c>
      <c r="K985" s="2" t="str">
        <f>VLOOKUP(B985,'PO with created By ASR'!A:I,6,FALSE)</f>
        <v>11966  Gpm Xpress Logistics Pvt Ltd</v>
      </c>
      <c r="L985" s="2" t="str">
        <f>VLOOKUP(B985,'PO with created By ASR'!A:J,7,FALSE)</f>
        <v>B - Bangalore</v>
      </c>
      <c r="M985" s="2" t="str">
        <f>VLOOKUP(B985,'PO with created By ASR'!A:K,8,FALSE)</f>
        <v>Purchase Order-Blr</v>
      </c>
      <c r="N985" t="s">
        <v>36</v>
      </c>
      <c r="P985" s="2">
        <v>6</v>
      </c>
    </row>
    <row r="986" s="2" customFormat="1" spans="1:16">
      <c r="A986" s="8"/>
      <c r="B986" s="9" t="s">
        <v>1859</v>
      </c>
      <c r="C986" s="10" t="s">
        <v>140</v>
      </c>
      <c r="D986" s="11">
        <v>1</v>
      </c>
      <c r="E986" s="12">
        <v>14250</v>
      </c>
      <c r="F986" s="13">
        <v>14250</v>
      </c>
      <c r="G986" s="2">
        <f>VLOOKUP(B986,'PO with created By ASR'!A:C,3,FALSE)</f>
        <v>45684</v>
      </c>
      <c r="J986" s="2" t="str">
        <f>VLOOKUP(B986,'PO with created By ASR'!A:G,4,FALSE)</f>
        <v>Vinayaka Wooden Die Makers-Blr</v>
      </c>
      <c r="K986" s="2" t="str">
        <f>VLOOKUP(B986,'PO with created By ASR'!A:I,6,FALSE)</f>
        <v>11479 Vinayaka Wooden Die Makers</v>
      </c>
      <c r="L986" s="2" t="str">
        <f>VLOOKUP(B986,'PO with created By ASR'!A:J,7,FALSE)</f>
        <v>B - Bangalore</v>
      </c>
      <c r="M986" s="2" t="str">
        <f>VLOOKUP(B986,'PO with created By ASR'!A:K,8,FALSE)</f>
        <v>Purchase Order-Blr</v>
      </c>
      <c r="N986" t="s">
        <v>36</v>
      </c>
      <c r="P986" s="2">
        <v>6</v>
      </c>
    </row>
    <row r="987" s="2" customFormat="1" spans="1:16">
      <c r="A987" s="8"/>
      <c r="B987" s="9" t="s">
        <v>1860</v>
      </c>
      <c r="C987" s="10" t="s">
        <v>990</v>
      </c>
      <c r="D987" s="11">
        <v>1</v>
      </c>
      <c r="E987" s="12">
        <v>10500</v>
      </c>
      <c r="F987" s="13">
        <v>10500</v>
      </c>
      <c r="G987" s="2">
        <f>VLOOKUP(B987,'PO with created By ASR'!A:C,3,FALSE)</f>
        <v>45684</v>
      </c>
      <c r="J987" s="2" t="str">
        <f>VLOOKUP(B987,'PO with created By ASR'!A:G,4,FALSE)</f>
        <v>Win Technologies-Che</v>
      </c>
      <c r="K987" s="2" t="str">
        <f>VLOOKUP(B987,'PO with created By ASR'!A:I,6,FALSE)</f>
        <v>12626 Win Technologies</v>
      </c>
      <c r="L987" s="2" t="str">
        <f>VLOOKUP(B987,'PO with created By ASR'!A:J,7,FALSE)</f>
        <v>C - Chennai</v>
      </c>
      <c r="M987" s="2" t="str">
        <f>VLOOKUP(B987,'PO with created By ASR'!A:K,8,FALSE)</f>
        <v>Purchase Order-Che</v>
      </c>
      <c r="N987" t="s">
        <v>36</v>
      </c>
      <c r="P987" s="2">
        <v>6</v>
      </c>
    </row>
    <row r="988" s="2" customFormat="1" spans="1:16">
      <c r="A988" s="8"/>
      <c r="B988" s="9" t="s">
        <v>1862</v>
      </c>
      <c r="C988" s="10" t="s">
        <v>317</v>
      </c>
      <c r="D988" s="11">
        <v>1</v>
      </c>
      <c r="E988" s="12">
        <v>33000</v>
      </c>
      <c r="F988" s="13">
        <v>33000</v>
      </c>
      <c r="G988" s="2">
        <f>VLOOKUP(B988,'PO with created By ASR'!A:C,3,FALSE)</f>
        <v>45684</v>
      </c>
      <c r="J988" s="2" t="str">
        <f>VLOOKUP(B988,'PO with created By ASR'!A:G,4,FALSE)</f>
        <v>Gala Event Solutions-Che</v>
      </c>
      <c r="K988" s="2" t="str">
        <f>VLOOKUP(B988,'PO with created By ASR'!A:I,6,FALSE)</f>
        <v>11939 Gala Event Solutions</v>
      </c>
      <c r="L988" s="2" t="str">
        <f>VLOOKUP(B988,'PO with created By ASR'!A:J,7,FALSE)</f>
        <v>C - Chennai</v>
      </c>
      <c r="M988" s="2" t="str">
        <f>VLOOKUP(B988,'PO with created By ASR'!A:K,8,FALSE)</f>
        <v>Purchase Order-Che</v>
      </c>
      <c r="N988" t="s">
        <v>36</v>
      </c>
      <c r="P988" s="2">
        <v>6</v>
      </c>
    </row>
    <row r="989" s="2" customFormat="1" spans="1:16">
      <c r="A989" s="8"/>
      <c r="B989" s="9" t="s">
        <v>1863</v>
      </c>
      <c r="C989" s="10" t="s">
        <v>140</v>
      </c>
      <c r="D989" s="11">
        <v>1</v>
      </c>
      <c r="E989" s="12">
        <v>110800</v>
      </c>
      <c r="F989" s="13">
        <v>110800</v>
      </c>
      <c r="G989" s="2">
        <f>VLOOKUP(B989,'PO with created By ASR'!A:C,3,FALSE)</f>
        <v>45684</v>
      </c>
      <c r="J989" s="2" t="str">
        <f>VLOOKUP(B989,'PO with created By ASR'!A:G,4,FALSE)</f>
        <v>Studio Merchandise Pvt Ltd-Del</v>
      </c>
      <c r="K989" s="2" t="str">
        <f>VLOOKUP(B989,'PO with created By ASR'!A:I,6,FALSE)</f>
        <v>12464  Studio Merchandise Pvt Ltd</v>
      </c>
      <c r="L989" s="2" t="str">
        <f>VLOOKUP(B989,'PO with created By ASR'!A:J,7,FALSE)</f>
        <v>D - Delhi</v>
      </c>
      <c r="M989" s="2" t="str">
        <f>VLOOKUP(B989,'PO with created By ASR'!A:K,8,FALSE)</f>
        <v>Purchase Order-Del</v>
      </c>
      <c r="N989" t="s">
        <v>36</v>
      </c>
      <c r="P989" s="2">
        <v>6</v>
      </c>
    </row>
    <row r="990" s="2" customFormat="1" spans="1:16">
      <c r="A990" s="8"/>
      <c r="B990" s="9" t="s">
        <v>1864</v>
      </c>
      <c r="C990" s="10" t="s">
        <v>317</v>
      </c>
      <c r="D990" s="11">
        <v>1</v>
      </c>
      <c r="E990" s="12">
        <v>300000</v>
      </c>
      <c r="F990" s="13">
        <v>300000</v>
      </c>
      <c r="G990" s="2">
        <f>VLOOKUP(B990,'PO with created By ASR'!A:C,3,FALSE)</f>
        <v>45684</v>
      </c>
      <c r="J990" s="2" t="str">
        <f>VLOOKUP(B990,'PO with created By ASR'!A:G,4,FALSE)</f>
        <v>Jetking Technologies Pvt Ltd-Del</v>
      </c>
      <c r="K990" s="2" t="str">
        <f>VLOOKUP(B990,'PO with created By ASR'!A:I,6,FALSE)</f>
        <v>12056  Jetking Technologies Pvt Ltd</v>
      </c>
      <c r="L990" s="2" t="str">
        <f>VLOOKUP(B990,'PO with created By ASR'!A:J,7,FALSE)</f>
        <v>D - Delhi</v>
      </c>
      <c r="M990" s="2" t="str">
        <f>VLOOKUP(B990,'PO with created By ASR'!A:K,8,FALSE)</f>
        <v>Purchase Order-Del</v>
      </c>
      <c r="N990" t="s">
        <v>36</v>
      </c>
      <c r="P990" s="2">
        <v>6</v>
      </c>
    </row>
    <row r="991" s="2" customFormat="1" spans="1:16">
      <c r="A991" s="8"/>
      <c r="B991" s="9" t="s">
        <v>1867</v>
      </c>
      <c r="C991" s="10" t="s">
        <v>1271</v>
      </c>
      <c r="D991" s="14">
        <v>5</v>
      </c>
      <c r="E991" s="15">
        <v>163650.84</v>
      </c>
      <c r="F991" s="13">
        <v>818254.2</v>
      </c>
      <c r="G991" s="2">
        <f>VLOOKUP(B991,'PO with created By ASR'!A:C,3,FALSE)</f>
        <v>45684</v>
      </c>
      <c r="J991" s="2" t="str">
        <f>VLOOKUP(B991,'PO with created By ASR'!A:G,4,FALSE)</f>
        <v>Pcss Solutions Pvt. Ltd.-Mum</v>
      </c>
      <c r="K991" s="2" t="e">
        <f>VLOOKUP(B991,'PO with created By ASR'!A:I,6,FALSE)</f>
        <v>#N/A</v>
      </c>
      <c r="L991" s="2" t="str">
        <f>VLOOKUP(B991,'PO with created By ASR'!A:J,7,FALSE)</f>
        <v>A - Mumbai</v>
      </c>
      <c r="M991" s="2" t="str">
        <f>VLOOKUP(B991,'PO with created By ASR'!A:K,8,FALSE)</f>
        <v>Purchase Order(Gen)-Mum</v>
      </c>
      <c r="N991" t="s">
        <v>36</v>
      </c>
      <c r="P991" s="2">
        <v>6</v>
      </c>
    </row>
    <row r="992" s="2" customFormat="1" spans="1:16">
      <c r="A992" s="8"/>
      <c r="B992" s="9" t="s">
        <v>1867</v>
      </c>
      <c r="C992" s="10" t="s">
        <v>1271</v>
      </c>
      <c r="D992" s="14">
        <v>5</v>
      </c>
      <c r="E992" s="15">
        <v>22796.61</v>
      </c>
      <c r="F992" s="13">
        <v>113983.05</v>
      </c>
      <c r="G992" s="2">
        <f>VLOOKUP(B992,'PO with created By ASR'!A:C,3,FALSE)</f>
        <v>45684</v>
      </c>
      <c r="J992" s="2" t="str">
        <f>VLOOKUP(B992,'PO with created By ASR'!A:G,4,FALSE)</f>
        <v>Pcss Solutions Pvt. Ltd.-Mum</v>
      </c>
      <c r="K992" s="2" t="e">
        <f>VLOOKUP(B992,'PO with created By ASR'!A:I,6,FALSE)</f>
        <v>#N/A</v>
      </c>
      <c r="L992" s="2" t="str">
        <f>VLOOKUP(B992,'PO with created By ASR'!A:J,7,FALSE)</f>
        <v>A - Mumbai</v>
      </c>
      <c r="M992" s="2" t="str">
        <f>VLOOKUP(B992,'PO with created By ASR'!A:K,8,FALSE)</f>
        <v>Purchase Order(Gen)-Mum</v>
      </c>
      <c r="N992" t="s">
        <v>36</v>
      </c>
      <c r="P992" s="2">
        <v>6</v>
      </c>
    </row>
    <row r="993" s="2" customFormat="1" spans="1:16">
      <c r="A993" s="8"/>
      <c r="B993" s="9" t="s">
        <v>1870</v>
      </c>
      <c r="C993" s="10" t="s">
        <v>126</v>
      </c>
      <c r="D993" s="11">
        <v>1</v>
      </c>
      <c r="E993" s="12">
        <v>1371</v>
      </c>
      <c r="F993" s="13">
        <v>1371</v>
      </c>
      <c r="G993" s="2">
        <f>VLOOKUP(B993,'PO with created By ASR'!A:C,3,FALSE)</f>
        <v>45684</v>
      </c>
      <c r="J993" s="2" t="str">
        <f>VLOOKUP(B993,'PO with created By ASR'!A:G,4,FALSE)</f>
        <v>Mahendra Mane -CR</v>
      </c>
      <c r="K993" s="2" t="e">
        <f>VLOOKUP(B993,'PO with created By ASR'!A:I,6,FALSE)</f>
        <v>#N/A</v>
      </c>
      <c r="L993" s="2" t="str">
        <f>VLOOKUP(B993,'PO with created By ASR'!A:J,7,FALSE)</f>
        <v>A - Mumbai</v>
      </c>
      <c r="M993" s="2" t="str">
        <f>VLOOKUP(B993,'PO with created By ASR'!A:K,8,FALSE)</f>
        <v>Purchase Order-Mum</v>
      </c>
      <c r="N993" t="s">
        <v>36</v>
      </c>
      <c r="P993" s="2">
        <v>6</v>
      </c>
    </row>
    <row r="994" s="2" customFormat="1" spans="1:16">
      <c r="A994" s="8"/>
      <c r="B994" s="9" t="s">
        <v>1870</v>
      </c>
      <c r="C994" s="10" t="s">
        <v>412</v>
      </c>
      <c r="D994" s="11">
        <v>1</v>
      </c>
      <c r="E994" s="12">
        <v>1528</v>
      </c>
      <c r="F994" s="13">
        <v>1528</v>
      </c>
      <c r="G994" s="2">
        <f>VLOOKUP(B994,'PO with created By ASR'!A:C,3,FALSE)</f>
        <v>45684</v>
      </c>
      <c r="J994" s="2" t="str">
        <f>VLOOKUP(B994,'PO with created By ASR'!A:G,4,FALSE)</f>
        <v>Mahendra Mane -CR</v>
      </c>
      <c r="K994" s="2" t="e">
        <f>VLOOKUP(B994,'PO with created By ASR'!A:I,6,FALSE)</f>
        <v>#N/A</v>
      </c>
      <c r="L994" s="2" t="str">
        <f>VLOOKUP(B994,'PO with created By ASR'!A:J,7,FALSE)</f>
        <v>A - Mumbai</v>
      </c>
      <c r="M994" s="2" t="str">
        <f>VLOOKUP(B994,'PO with created By ASR'!A:K,8,FALSE)</f>
        <v>Purchase Order-Mum</v>
      </c>
      <c r="N994" t="s">
        <v>36</v>
      </c>
      <c r="P994" s="2">
        <v>6</v>
      </c>
    </row>
    <row r="995" s="2" customFormat="1" spans="1:16">
      <c r="A995" s="8"/>
      <c r="B995" s="9" t="s">
        <v>1870</v>
      </c>
      <c r="C995" s="10" t="s">
        <v>317</v>
      </c>
      <c r="D995" s="11">
        <v>1</v>
      </c>
      <c r="E995" s="12">
        <v>1340</v>
      </c>
      <c r="F995" s="13">
        <v>1340</v>
      </c>
      <c r="G995" s="2">
        <f>VLOOKUP(B995,'PO with created By ASR'!A:C,3,FALSE)</f>
        <v>45684</v>
      </c>
      <c r="J995" s="2" t="str">
        <f>VLOOKUP(B995,'PO with created By ASR'!A:G,4,FALSE)</f>
        <v>Mahendra Mane -CR</v>
      </c>
      <c r="K995" s="2" t="e">
        <f>VLOOKUP(B995,'PO with created By ASR'!A:I,6,FALSE)</f>
        <v>#N/A</v>
      </c>
      <c r="L995" s="2" t="str">
        <f>VLOOKUP(B995,'PO with created By ASR'!A:J,7,FALSE)</f>
        <v>A - Mumbai</v>
      </c>
      <c r="M995" s="2" t="str">
        <f>VLOOKUP(B995,'PO with created By ASR'!A:K,8,FALSE)</f>
        <v>Purchase Order-Mum</v>
      </c>
      <c r="N995" t="s">
        <v>36</v>
      </c>
      <c r="P995" s="2">
        <v>6</v>
      </c>
    </row>
    <row r="996" s="2" customFormat="1" spans="1:16">
      <c r="A996" s="8"/>
      <c r="B996" s="9" t="s">
        <v>1872</v>
      </c>
      <c r="C996" s="10" t="s">
        <v>126</v>
      </c>
      <c r="D996" s="11">
        <v>1</v>
      </c>
      <c r="E996" s="12">
        <v>704</v>
      </c>
      <c r="F996" s="13">
        <v>704</v>
      </c>
      <c r="G996" s="2">
        <f>VLOOKUP(B996,'PO with created By ASR'!A:C,3,FALSE)</f>
        <v>45684</v>
      </c>
      <c r="J996" s="2" t="str">
        <f>VLOOKUP(B996,'PO with created By ASR'!A:G,4,FALSE)</f>
        <v>Sachin Jadhav -CR</v>
      </c>
      <c r="K996" s="2" t="e">
        <f>VLOOKUP(B996,'PO with created By ASR'!A:I,6,FALSE)</f>
        <v>#N/A</v>
      </c>
      <c r="L996" s="2" t="str">
        <f>VLOOKUP(B996,'PO with created By ASR'!A:J,7,FALSE)</f>
        <v>A - Mumbai</v>
      </c>
      <c r="M996" s="2" t="str">
        <f>VLOOKUP(B996,'PO with created By ASR'!A:K,8,FALSE)</f>
        <v>Purchase Order-Mum</v>
      </c>
      <c r="N996" t="s">
        <v>36</v>
      </c>
      <c r="P996" s="2">
        <v>6</v>
      </c>
    </row>
    <row r="997" s="2" customFormat="1" spans="1:16">
      <c r="A997" s="8"/>
      <c r="B997" s="9" t="s">
        <v>1872</v>
      </c>
      <c r="C997" s="10" t="s">
        <v>412</v>
      </c>
      <c r="D997" s="11">
        <v>1</v>
      </c>
      <c r="E997" s="12">
        <v>150</v>
      </c>
      <c r="F997" s="13">
        <v>150</v>
      </c>
      <c r="G997" s="2">
        <f>VLOOKUP(B997,'PO with created By ASR'!A:C,3,FALSE)</f>
        <v>45684</v>
      </c>
      <c r="J997" s="2" t="str">
        <f>VLOOKUP(B997,'PO with created By ASR'!A:G,4,FALSE)</f>
        <v>Sachin Jadhav -CR</v>
      </c>
      <c r="K997" s="2" t="e">
        <f>VLOOKUP(B997,'PO with created By ASR'!A:I,6,FALSE)</f>
        <v>#N/A</v>
      </c>
      <c r="L997" s="2" t="str">
        <f>VLOOKUP(B997,'PO with created By ASR'!A:J,7,FALSE)</f>
        <v>A - Mumbai</v>
      </c>
      <c r="M997" s="2" t="str">
        <f>VLOOKUP(B997,'PO with created By ASR'!A:K,8,FALSE)</f>
        <v>Purchase Order-Mum</v>
      </c>
      <c r="N997" t="s">
        <v>36</v>
      </c>
      <c r="P997" s="2">
        <v>6</v>
      </c>
    </row>
    <row r="998" s="2" customFormat="1" spans="1:16">
      <c r="A998" s="8"/>
      <c r="B998" s="9" t="s">
        <v>1873</v>
      </c>
      <c r="C998" s="10" t="s">
        <v>126</v>
      </c>
      <c r="D998" s="11">
        <v>1</v>
      </c>
      <c r="E998" s="12">
        <v>2466</v>
      </c>
      <c r="F998" s="13">
        <v>2466</v>
      </c>
      <c r="G998" s="2">
        <f>VLOOKUP(B998,'PO with created By ASR'!A:C,3,FALSE)</f>
        <v>45684</v>
      </c>
      <c r="J998" s="2" t="str">
        <f>VLOOKUP(B998,'PO with created By ASR'!A:G,4,FALSE)</f>
        <v>Abhimanyu Awate -CR</v>
      </c>
      <c r="K998" s="2" t="e">
        <f>VLOOKUP(B998,'PO with created By ASR'!A:I,6,FALSE)</f>
        <v>#N/A</v>
      </c>
      <c r="L998" s="2" t="str">
        <f>VLOOKUP(B998,'PO with created By ASR'!A:J,7,FALSE)</f>
        <v>A - Mumbai</v>
      </c>
      <c r="M998" s="2" t="str">
        <f>VLOOKUP(B998,'PO with created By ASR'!A:K,8,FALSE)</f>
        <v>Purchase Order-Mum</v>
      </c>
      <c r="N998" t="s">
        <v>36</v>
      </c>
      <c r="P998" s="2">
        <v>6</v>
      </c>
    </row>
    <row r="999" s="2" customFormat="1" spans="1:16">
      <c r="A999" s="8"/>
      <c r="B999" s="9" t="s">
        <v>1874</v>
      </c>
      <c r="C999" s="10" t="s">
        <v>126</v>
      </c>
      <c r="D999" s="11">
        <v>1</v>
      </c>
      <c r="E999" s="12">
        <v>581</v>
      </c>
      <c r="F999" s="13">
        <v>581</v>
      </c>
      <c r="G999" s="2">
        <f>VLOOKUP(B999,'PO with created By ASR'!A:C,3,FALSE)</f>
        <v>45684</v>
      </c>
      <c r="J999" s="2" t="str">
        <f>VLOOKUP(B999,'PO with created By ASR'!A:G,4,FALSE)</f>
        <v>Sachin Jadhav -CR</v>
      </c>
      <c r="K999" s="2" t="e">
        <f>VLOOKUP(B999,'PO with created By ASR'!A:I,6,FALSE)</f>
        <v>#N/A</v>
      </c>
      <c r="L999" s="2" t="str">
        <f>VLOOKUP(B999,'PO with created By ASR'!A:J,7,FALSE)</f>
        <v>A - Mumbai</v>
      </c>
      <c r="M999" s="2" t="str">
        <f>VLOOKUP(B999,'PO with created By ASR'!A:K,8,FALSE)</f>
        <v>Purchase Order-Mum</v>
      </c>
      <c r="N999" t="s">
        <v>36</v>
      </c>
      <c r="P999" s="2">
        <v>6</v>
      </c>
    </row>
    <row r="1000" s="2" customFormat="1" spans="1:16">
      <c r="A1000" s="8"/>
      <c r="B1000" s="9" t="s">
        <v>1876</v>
      </c>
      <c r="C1000" s="10" t="s">
        <v>256</v>
      </c>
      <c r="D1000" s="11">
        <v>1</v>
      </c>
      <c r="E1000" s="12">
        <v>18757.2</v>
      </c>
      <c r="F1000" s="13">
        <v>18757.2</v>
      </c>
      <c r="G1000" s="2">
        <f>VLOOKUP(B1000,'PO with created By ASR'!A:C,3,FALSE)</f>
        <v>45684</v>
      </c>
      <c r="J1000" s="2" t="str">
        <f>VLOOKUP(B1000,'PO with created By ASR'!A:G,4,FALSE)</f>
        <v>Novex Communications Pvt. Ltd.-Mum</v>
      </c>
      <c r="K1000" s="2" t="e">
        <f>VLOOKUP(B1000,'PO with created By ASR'!A:I,6,FALSE)</f>
        <v>#N/A</v>
      </c>
      <c r="L1000" s="2" t="str">
        <f>VLOOKUP(B1000,'PO with created By ASR'!A:J,7,FALSE)</f>
        <v>A - Mumbai</v>
      </c>
      <c r="M1000" s="2" t="str">
        <f>VLOOKUP(B1000,'PO with created By ASR'!A:K,8,FALSE)</f>
        <v>Purchase Order-Mum</v>
      </c>
      <c r="N1000" t="s">
        <v>36</v>
      </c>
      <c r="P1000" s="2">
        <v>6</v>
      </c>
    </row>
    <row r="1001" s="2" customFormat="1" spans="1:16">
      <c r="A1001" s="8"/>
      <c r="B1001" s="9" t="s">
        <v>1878</v>
      </c>
      <c r="C1001" s="10" t="s">
        <v>250</v>
      </c>
      <c r="D1001" s="11">
        <v>1</v>
      </c>
      <c r="E1001" s="12">
        <v>148500</v>
      </c>
      <c r="F1001" s="13">
        <v>148500</v>
      </c>
      <c r="G1001" s="2">
        <f>VLOOKUP(B1001,'PO with created By ASR'!A:C,3,FALSE)</f>
        <v>45684</v>
      </c>
      <c r="J1001" s="2" t="str">
        <f>VLOOKUP(B1001,'PO with created By ASR'!A:G,4,FALSE)</f>
        <v>Skil Travel Pvt Ltd (CR)-Mum</v>
      </c>
      <c r="K1001" s="2" t="e">
        <f>VLOOKUP(B1001,'PO with created By ASR'!A:I,6,FALSE)</f>
        <v>#N/A</v>
      </c>
      <c r="L1001" s="2" t="str">
        <f>VLOOKUP(B1001,'PO with created By ASR'!A:J,7,FALSE)</f>
        <v>A - Mumbai</v>
      </c>
      <c r="M1001" s="2" t="str">
        <f>VLOOKUP(B1001,'PO with created By ASR'!A:K,8,FALSE)</f>
        <v>Purchase Order-Mum</v>
      </c>
      <c r="N1001" t="s">
        <v>36</v>
      </c>
      <c r="P1001" s="2">
        <v>6</v>
      </c>
    </row>
    <row r="1002" s="2" customFormat="1" spans="1:16">
      <c r="A1002" s="8"/>
      <c r="B1002" s="9" t="s">
        <v>1881</v>
      </c>
      <c r="C1002" s="10" t="s">
        <v>140</v>
      </c>
      <c r="D1002" s="11">
        <v>1</v>
      </c>
      <c r="E1002" s="12">
        <v>3050</v>
      </c>
      <c r="F1002" s="13">
        <v>3050</v>
      </c>
      <c r="G1002" s="2">
        <f>VLOOKUP(B1002,'PO with created By ASR'!A:C,3,FALSE)</f>
        <v>45684</v>
      </c>
      <c r="J1002" s="2" t="str">
        <f>VLOOKUP(B1002,'PO with created By ASR'!A:G,4,FALSE)</f>
        <v>Mimo Retail Pvt Ltd (Amazon)-Mum</v>
      </c>
      <c r="K1002" s="2" t="str">
        <f>VLOOKUP(B1002,'PO with created By ASR'!A:I,6,FALSE)</f>
        <v>12900  Mimo Retail Pvt Ltd (Amazon)</v>
      </c>
      <c r="L1002" s="2" t="str">
        <f>VLOOKUP(B1002,'PO with created By ASR'!A:J,7,FALSE)</f>
        <v>A - Mumbai</v>
      </c>
      <c r="M1002" s="2" t="str">
        <f>VLOOKUP(B1002,'PO with created By ASR'!A:K,8,FALSE)</f>
        <v>Purchase Order-Mum</v>
      </c>
      <c r="N1002" t="s">
        <v>36</v>
      </c>
      <c r="P1002" s="2">
        <v>6</v>
      </c>
    </row>
    <row r="1003" s="2" customFormat="1" spans="1:16">
      <c r="A1003" s="8"/>
      <c r="B1003" s="9" t="s">
        <v>1885</v>
      </c>
      <c r="C1003" s="10" t="s">
        <v>317</v>
      </c>
      <c r="D1003" s="11">
        <v>1</v>
      </c>
      <c r="E1003" s="12">
        <v>347250</v>
      </c>
      <c r="F1003" s="13">
        <v>347250</v>
      </c>
      <c r="G1003" s="2">
        <f>VLOOKUP(B1003,'PO with created By ASR'!A:C,3,FALSE)</f>
        <v>45684</v>
      </c>
      <c r="J1003" s="2" t="str">
        <f>VLOOKUP(B1003,'PO with created By ASR'!A:G,4,FALSE)</f>
        <v>Kalasiddha Creations-Mum</v>
      </c>
      <c r="K1003" s="2" t="str">
        <f>VLOOKUP(B1003,'PO with created By ASR'!A:I,6,FALSE)</f>
        <v>12070 Kalasiddha Creations</v>
      </c>
      <c r="L1003" s="2" t="str">
        <f>VLOOKUP(B1003,'PO with created By ASR'!A:J,7,FALSE)</f>
        <v>A - Mumbai</v>
      </c>
      <c r="M1003" s="2" t="str">
        <f>VLOOKUP(B1003,'PO with created By ASR'!A:K,8,FALSE)</f>
        <v>Purchase Order-Mum</v>
      </c>
      <c r="N1003" t="s">
        <v>36</v>
      </c>
      <c r="P1003" s="2">
        <v>6</v>
      </c>
    </row>
    <row r="1004" s="2" customFormat="1" spans="1:16">
      <c r="A1004" s="8"/>
      <c r="B1004" s="9" t="s">
        <v>1888</v>
      </c>
      <c r="C1004" s="10" t="s">
        <v>250</v>
      </c>
      <c r="D1004" s="11">
        <v>1</v>
      </c>
      <c r="E1004" s="12">
        <v>350000</v>
      </c>
      <c r="F1004" s="13">
        <v>350000</v>
      </c>
      <c r="G1004" s="2">
        <f>VLOOKUP(B1004,'PO with created By ASR'!A:C,3,FALSE)</f>
        <v>45684</v>
      </c>
      <c r="J1004" s="2" t="str">
        <f>VLOOKUP(B1004,'PO with created By ASR'!A:G,4,FALSE)</f>
        <v>Black Hat Talent Solutions &amp; Consulting Pvt Ltd-Mum</v>
      </c>
      <c r="K1004" s="2" t="str">
        <f>VLOOKUP(B1004,'PO with created By ASR'!A:I,6,FALSE)</f>
        <v>10572  Black Hat Talent Solutions &amp; Consulting Pvt Ltd</v>
      </c>
      <c r="L1004" s="2" t="str">
        <f>VLOOKUP(B1004,'PO with created By ASR'!A:J,7,FALSE)</f>
        <v>A - Mumbai</v>
      </c>
      <c r="M1004" s="2" t="str">
        <f>VLOOKUP(B1004,'PO with created By ASR'!A:K,8,FALSE)</f>
        <v>Purchase Order-Mum</v>
      </c>
      <c r="N1004" t="s">
        <v>36</v>
      </c>
      <c r="P1004" s="2">
        <v>6</v>
      </c>
    </row>
    <row r="1005" s="2" customFormat="1" spans="1:16">
      <c r="A1005" s="8"/>
      <c r="B1005" s="9" t="s">
        <v>1891</v>
      </c>
      <c r="C1005" s="10" t="s">
        <v>317</v>
      </c>
      <c r="D1005" s="11">
        <v>1</v>
      </c>
      <c r="E1005" s="12">
        <v>1425000</v>
      </c>
      <c r="F1005" s="13">
        <v>1425000</v>
      </c>
      <c r="G1005" s="2">
        <f>VLOOKUP(B1005,'PO with created By ASR'!A:C,3,FALSE)</f>
        <v>45684</v>
      </c>
      <c r="J1005" s="2" t="str">
        <f>VLOOKUP(B1005,'PO with created By ASR'!A:G,4,FALSE)</f>
        <v>Kalasiddha Creations-Mum</v>
      </c>
      <c r="K1005" s="2" t="str">
        <f>VLOOKUP(B1005,'PO with created By ASR'!A:I,6,FALSE)</f>
        <v>12070 Kalasiddha Creations</v>
      </c>
      <c r="L1005" s="2" t="str">
        <f>VLOOKUP(B1005,'PO with created By ASR'!A:J,7,FALSE)</f>
        <v>A - Mumbai</v>
      </c>
      <c r="M1005" s="2" t="str">
        <f>VLOOKUP(B1005,'PO with created By ASR'!A:K,8,FALSE)</f>
        <v>Purchase Order-Mum</v>
      </c>
      <c r="N1005" t="s">
        <v>36</v>
      </c>
      <c r="P1005" s="2">
        <v>6</v>
      </c>
    </row>
    <row r="1006" s="2" customFormat="1" spans="1:16">
      <c r="A1006" s="8"/>
      <c r="B1006" s="9" t="s">
        <v>1892</v>
      </c>
      <c r="C1006" s="10" t="s">
        <v>151</v>
      </c>
      <c r="D1006" s="11">
        <v>1</v>
      </c>
      <c r="E1006" s="12">
        <v>930000</v>
      </c>
      <c r="F1006" s="13">
        <v>930000</v>
      </c>
      <c r="G1006" s="2">
        <f>VLOOKUP(B1006,'PO with created By ASR'!A:C,3,FALSE)</f>
        <v>45684</v>
      </c>
      <c r="J1006" s="2" t="str">
        <f>VLOOKUP(B1006,'PO with created By ASR'!A:G,4,FALSE)</f>
        <v>Right Angle Productions LLP-Mum</v>
      </c>
      <c r="K1006" s="2" t="str">
        <f>VLOOKUP(B1006,'PO with created By ASR'!A:I,6,FALSE)</f>
        <v>12810 Right Angle Productions LLP</v>
      </c>
      <c r="L1006" s="2" t="str">
        <f>VLOOKUP(B1006,'PO with created By ASR'!A:J,7,FALSE)</f>
        <v>A - Mumbai</v>
      </c>
      <c r="M1006" s="2" t="str">
        <f>VLOOKUP(B1006,'PO with created By ASR'!A:K,8,FALSE)</f>
        <v>Purchase Order-Mum</v>
      </c>
      <c r="N1006" t="s">
        <v>36</v>
      </c>
      <c r="P1006" s="2">
        <v>6</v>
      </c>
    </row>
    <row r="1007" s="2" customFormat="1" spans="1:16">
      <c r="A1007" s="8"/>
      <c r="B1007" s="9" t="s">
        <v>1895</v>
      </c>
      <c r="C1007" s="10" t="s">
        <v>151</v>
      </c>
      <c r="D1007" s="11">
        <v>1</v>
      </c>
      <c r="E1007" s="12">
        <v>104000</v>
      </c>
      <c r="F1007" s="13">
        <v>104000</v>
      </c>
      <c r="G1007" s="2">
        <f>VLOOKUP(B1007,'PO with created By ASR'!A:C,3,FALSE)</f>
        <v>45684</v>
      </c>
      <c r="J1007" s="2" t="str">
        <f>VLOOKUP(B1007,'PO with created By ASR'!A:G,4,FALSE)</f>
        <v>Sagar Services-Mum</v>
      </c>
      <c r="K1007" s="2" t="str">
        <f>VLOOKUP(B1007,'PO with created By ASR'!A:I,6,FALSE)</f>
        <v>11052 Sagar Services</v>
      </c>
      <c r="L1007" s="2" t="str">
        <f>VLOOKUP(B1007,'PO with created By ASR'!A:J,7,FALSE)</f>
        <v>A - Mumbai</v>
      </c>
      <c r="M1007" s="2" t="str">
        <f>VLOOKUP(B1007,'PO with created By ASR'!A:K,8,FALSE)</f>
        <v>Purchase Order-Mum</v>
      </c>
      <c r="N1007" t="s">
        <v>36</v>
      </c>
      <c r="P1007" s="2">
        <v>6</v>
      </c>
    </row>
    <row r="1008" s="2" customFormat="1" spans="1:16">
      <c r="A1008" s="8"/>
      <c r="B1008" s="9" t="s">
        <v>1898</v>
      </c>
      <c r="C1008" s="10" t="s">
        <v>347</v>
      </c>
      <c r="D1008" s="11">
        <v>1</v>
      </c>
      <c r="E1008" s="12">
        <v>58000</v>
      </c>
      <c r="F1008" s="13">
        <v>58000</v>
      </c>
      <c r="G1008" s="2">
        <f>VLOOKUP(B1008,'PO with created By ASR'!A:C,3,FALSE)</f>
        <v>45684</v>
      </c>
      <c r="J1008" s="2" t="str">
        <f>VLOOKUP(B1008,'PO with created By ASR'!A:G,4,FALSE)</f>
        <v>Sai Leela Enterprises-Mum</v>
      </c>
      <c r="K1008" s="2" t="str">
        <f>VLOOKUP(B1008,'PO with created By ASR'!A:I,6,FALSE)</f>
        <v>12670 Sai Leela Enterprises</v>
      </c>
      <c r="L1008" s="2" t="str">
        <f>VLOOKUP(B1008,'PO with created By ASR'!A:J,7,FALSE)</f>
        <v>A - Mumbai</v>
      </c>
      <c r="M1008" s="2" t="str">
        <f>VLOOKUP(B1008,'PO with created By ASR'!A:K,8,FALSE)</f>
        <v>Purchase Order-Mum</v>
      </c>
      <c r="N1008" t="s">
        <v>36</v>
      </c>
      <c r="P1008" s="2">
        <v>6</v>
      </c>
    </row>
    <row r="1009" s="2" customFormat="1" spans="1:16">
      <c r="A1009" s="8"/>
      <c r="B1009" s="9" t="s">
        <v>1901</v>
      </c>
      <c r="C1009" s="10" t="s">
        <v>292</v>
      </c>
      <c r="D1009" s="11">
        <v>1</v>
      </c>
      <c r="E1009" s="12">
        <v>26000</v>
      </c>
      <c r="F1009" s="13">
        <v>26000</v>
      </c>
      <c r="G1009" s="2">
        <f>VLOOKUP(B1009,'PO with created By ASR'!A:C,3,FALSE)</f>
        <v>45684</v>
      </c>
      <c r="J1009" s="2" t="str">
        <f>VLOOKUP(B1009,'PO with created By ASR'!A:G,4,FALSE)</f>
        <v>Emblaze Events (Sunita Harihar Sharma)-Mum</v>
      </c>
      <c r="K1009" s="2" t="str">
        <f>VLOOKUP(B1009,'PO with created By ASR'!A:I,6,FALSE)</f>
        <v>11869 Emblaze Events (Sunita Harihar Sharma)</v>
      </c>
      <c r="L1009" s="2" t="str">
        <f>VLOOKUP(B1009,'PO with created By ASR'!A:J,7,FALSE)</f>
        <v>A - Mumbai</v>
      </c>
      <c r="M1009" s="2" t="str">
        <f>VLOOKUP(B1009,'PO with created By ASR'!A:K,8,FALSE)</f>
        <v>Purchase Order-Mum</v>
      </c>
      <c r="N1009" t="s">
        <v>36</v>
      </c>
      <c r="P1009" s="2">
        <v>6</v>
      </c>
    </row>
    <row r="1010" s="2" customFormat="1" spans="1:16">
      <c r="A1010" s="8"/>
      <c r="B1010" s="9" t="s">
        <v>1902</v>
      </c>
      <c r="C1010" s="10" t="s">
        <v>205</v>
      </c>
      <c r="D1010" s="11">
        <v>1</v>
      </c>
      <c r="E1010" s="12">
        <v>600</v>
      </c>
      <c r="F1010" s="13">
        <v>600</v>
      </c>
      <c r="G1010" s="2">
        <f>VLOOKUP(B1010,'PO with created By ASR'!A:C,3,FALSE)</f>
        <v>45684</v>
      </c>
      <c r="J1010" s="2" t="str">
        <f>VLOOKUP(B1010,'PO with created By ASR'!A:G,4,FALSE)</f>
        <v>Hanja Express-Mum</v>
      </c>
      <c r="K1010" s="2" t="str">
        <f>VLOOKUP(B1010,'PO with created By ASR'!A:I,6,FALSE)</f>
        <v>10046 Hanja Express</v>
      </c>
      <c r="L1010" s="2" t="str">
        <f>VLOOKUP(B1010,'PO with created By ASR'!A:J,7,FALSE)</f>
        <v>A - Mumbai</v>
      </c>
      <c r="M1010" s="2" t="str">
        <f>VLOOKUP(B1010,'PO with created By ASR'!A:K,8,FALSE)</f>
        <v>Purchase Order-Mum</v>
      </c>
      <c r="N1010" t="s">
        <v>36</v>
      </c>
      <c r="P1010" s="2">
        <v>6</v>
      </c>
    </row>
    <row r="1011" s="2" customFormat="1" spans="1:16">
      <c r="A1011" s="8"/>
      <c r="B1011" s="9" t="s">
        <v>1906</v>
      </c>
      <c r="C1011" s="10" t="s">
        <v>134</v>
      </c>
      <c r="D1011" s="11">
        <v>1</v>
      </c>
      <c r="E1011" s="12">
        <v>19000</v>
      </c>
      <c r="F1011" s="13">
        <v>19000</v>
      </c>
      <c r="G1011" s="2">
        <f>VLOOKUP(B1011,'PO with created By ASR'!A:C,3,FALSE)</f>
        <v>45685</v>
      </c>
      <c r="J1011" s="2" t="str">
        <f>VLOOKUP(B1011,'PO with created By ASR'!A:G,4,FALSE)</f>
        <v>Anurama V  -CR</v>
      </c>
      <c r="K1011" s="2" t="e">
        <f>VLOOKUP(B1011,'PO with created By ASR'!A:I,6,FALSE)</f>
        <v>#N/A</v>
      </c>
      <c r="L1011" s="2" t="str">
        <f>VLOOKUP(B1011,'PO with created By ASR'!A:J,7,FALSE)</f>
        <v>B - Bangalore</v>
      </c>
      <c r="M1011" s="2" t="str">
        <f>VLOOKUP(B1011,'PO with created By ASR'!A:K,8,FALSE)</f>
        <v>Purchase Order-Blr</v>
      </c>
      <c r="N1011" t="s">
        <v>36</v>
      </c>
      <c r="P1011" s="2">
        <v>6</v>
      </c>
    </row>
    <row r="1012" s="2" customFormat="1" spans="1:16">
      <c r="A1012" s="8"/>
      <c r="B1012" s="9" t="s">
        <v>1907</v>
      </c>
      <c r="C1012" s="10" t="s">
        <v>127</v>
      </c>
      <c r="D1012" s="11">
        <v>1</v>
      </c>
      <c r="E1012" s="12">
        <v>475</v>
      </c>
      <c r="F1012" s="13">
        <v>475</v>
      </c>
      <c r="G1012" s="2">
        <f>VLOOKUP(B1012,'PO with created By ASR'!A:C,3,FALSE)</f>
        <v>45685</v>
      </c>
      <c r="J1012" s="2" t="str">
        <f>VLOOKUP(B1012,'PO with created By ASR'!A:G,4,FALSE)</f>
        <v>Anurama V  -CR</v>
      </c>
      <c r="K1012" s="2" t="e">
        <f>VLOOKUP(B1012,'PO with created By ASR'!A:I,6,FALSE)</f>
        <v>#N/A</v>
      </c>
      <c r="L1012" s="2" t="str">
        <f>VLOOKUP(B1012,'PO with created By ASR'!A:J,7,FALSE)</f>
        <v>B - Bangalore</v>
      </c>
      <c r="M1012" s="2" t="str">
        <f>VLOOKUP(B1012,'PO with created By ASR'!A:K,8,FALSE)</f>
        <v>Purchase Order-Blr</v>
      </c>
      <c r="N1012" t="s">
        <v>36</v>
      </c>
      <c r="P1012" s="2">
        <v>6</v>
      </c>
    </row>
    <row r="1013" s="2" customFormat="1" spans="1:16">
      <c r="A1013" s="8"/>
      <c r="B1013" s="9" t="s">
        <v>1908</v>
      </c>
      <c r="C1013" s="10" t="s">
        <v>134</v>
      </c>
      <c r="D1013" s="11">
        <v>1</v>
      </c>
      <c r="E1013" s="12">
        <v>3393</v>
      </c>
      <c r="F1013" s="13">
        <v>3393</v>
      </c>
      <c r="G1013" s="2">
        <f>VLOOKUP(B1013,'PO with created By ASR'!A:C,3,FALSE)</f>
        <v>45685</v>
      </c>
      <c r="J1013" s="2" t="str">
        <f>VLOOKUP(B1013,'PO with created By ASR'!A:G,4,FALSE)</f>
        <v>Anurama V  -CR</v>
      </c>
      <c r="K1013" s="2" t="e">
        <f>VLOOKUP(B1013,'PO with created By ASR'!A:I,6,FALSE)</f>
        <v>#N/A</v>
      </c>
      <c r="L1013" s="2" t="str">
        <f>VLOOKUP(B1013,'PO with created By ASR'!A:J,7,FALSE)</f>
        <v>B - Bangalore</v>
      </c>
      <c r="M1013" s="2" t="str">
        <f>VLOOKUP(B1013,'PO with created By ASR'!A:K,8,FALSE)</f>
        <v>Purchase Order-Blr</v>
      </c>
      <c r="N1013" t="s">
        <v>36</v>
      </c>
      <c r="P1013" s="2">
        <v>6</v>
      </c>
    </row>
    <row r="1014" s="2" customFormat="1" spans="1:16">
      <c r="A1014" s="8"/>
      <c r="B1014" s="9" t="s">
        <v>1909</v>
      </c>
      <c r="C1014" s="10" t="s">
        <v>140</v>
      </c>
      <c r="D1014" s="11">
        <v>1</v>
      </c>
      <c r="E1014" s="12">
        <v>18500</v>
      </c>
      <c r="F1014" s="13">
        <v>18500</v>
      </c>
      <c r="G1014" s="2">
        <f>VLOOKUP(B1014,'PO with created By ASR'!A:C,3,FALSE)</f>
        <v>45685</v>
      </c>
      <c r="J1014" s="2" t="str">
        <f>VLOOKUP(B1014,'PO with created By ASR'!A:G,4,FALSE)</f>
        <v>Time Marketing-Blr</v>
      </c>
      <c r="K1014" s="2" t="str">
        <f>VLOOKUP(B1014,'PO with created By ASR'!A:I,6,FALSE)</f>
        <v>12541 Time Marketing</v>
      </c>
      <c r="L1014" s="2" t="str">
        <f>VLOOKUP(B1014,'PO with created By ASR'!A:J,7,FALSE)</f>
        <v>B - Bangalore</v>
      </c>
      <c r="M1014" s="2" t="str">
        <f>VLOOKUP(B1014,'PO with created By ASR'!A:K,8,FALSE)</f>
        <v>Purchase Order-Blr</v>
      </c>
      <c r="N1014" t="s">
        <v>36</v>
      </c>
      <c r="P1014" s="2">
        <v>6</v>
      </c>
    </row>
    <row r="1015" s="2" customFormat="1" spans="1:16">
      <c r="A1015" s="8"/>
      <c r="B1015" s="9" t="s">
        <v>1910</v>
      </c>
      <c r="C1015" s="10" t="s">
        <v>140</v>
      </c>
      <c r="D1015" s="11">
        <v>1</v>
      </c>
      <c r="E1015" s="12">
        <v>17900</v>
      </c>
      <c r="F1015" s="13">
        <v>17900</v>
      </c>
      <c r="G1015" s="2">
        <f>VLOOKUP(B1015,'PO with created By ASR'!A:C,3,FALSE)</f>
        <v>45685</v>
      </c>
      <c r="J1015" s="2" t="str">
        <f>VLOOKUP(B1015,'PO with created By ASR'!A:G,4,FALSE)</f>
        <v>Yash Gifts-Blr</v>
      </c>
      <c r="K1015" s="2" t="str">
        <f>VLOOKUP(B1015,'PO with created By ASR'!A:I,6,FALSE)</f>
        <v>12634 Yash  Gifts</v>
      </c>
      <c r="L1015" s="2" t="str">
        <f>VLOOKUP(B1015,'PO with created By ASR'!A:J,7,FALSE)</f>
        <v>B - Bangalore</v>
      </c>
      <c r="M1015" s="2" t="str">
        <f>VLOOKUP(B1015,'PO with created By ASR'!A:K,8,FALSE)</f>
        <v>Purchase Order-Blr</v>
      </c>
      <c r="N1015" t="s">
        <v>36</v>
      </c>
      <c r="P1015" s="2">
        <v>6</v>
      </c>
    </row>
    <row r="1016" s="2" customFormat="1" spans="1:16">
      <c r="A1016" s="8"/>
      <c r="B1016" s="9" t="s">
        <v>1911</v>
      </c>
      <c r="C1016" s="10" t="s">
        <v>126</v>
      </c>
      <c r="D1016" s="11">
        <v>1</v>
      </c>
      <c r="E1016" s="12">
        <v>399</v>
      </c>
      <c r="F1016" s="13">
        <v>399</v>
      </c>
      <c r="G1016" s="2">
        <f>VLOOKUP(B1016,'PO with created By ASR'!A:C,3,FALSE)</f>
        <v>45685</v>
      </c>
      <c r="J1016" s="2" t="str">
        <f>VLOOKUP(B1016,'PO with created By ASR'!A:G,4,FALSE)</f>
        <v>Mervin  -CR</v>
      </c>
      <c r="K1016" s="2" t="e">
        <f>VLOOKUP(B1016,'PO with created By ASR'!A:I,6,FALSE)</f>
        <v>#N/A</v>
      </c>
      <c r="L1016" s="2" t="str">
        <f>VLOOKUP(B1016,'PO with created By ASR'!A:J,7,FALSE)</f>
        <v>B - Bangalore</v>
      </c>
      <c r="M1016" s="2" t="str">
        <f>VLOOKUP(B1016,'PO with created By ASR'!A:K,8,FALSE)</f>
        <v>Purchase Order-Blr</v>
      </c>
      <c r="N1016" t="s">
        <v>36</v>
      </c>
      <c r="P1016" s="2">
        <v>6</v>
      </c>
    </row>
    <row r="1017" s="2" customFormat="1" spans="1:16">
      <c r="A1017" s="8"/>
      <c r="B1017" s="9" t="s">
        <v>1914</v>
      </c>
      <c r="C1017" s="10" t="s">
        <v>134</v>
      </c>
      <c r="D1017" s="11">
        <v>1</v>
      </c>
      <c r="E1017" s="12">
        <v>2670</v>
      </c>
      <c r="F1017" s="13">
        <v>2670</v>
      </c>
      <c r="G1017" s="2">
        <f>VLOOKUP(B1017,'PO with created By ASR'!A:C,3,FALSE)</f>
        <v>45685</v>
      </c>
      <c r="J1017" s="2" t="str">
        <f>VLOOKUP(B1017,'PO with created By ASR'!A:G,4,FALSE)</f>
        <v>Anurama V  -CR</v>
      </c>
      <c r="K1017" s="2" t="e">
        <f>VLOOKUP(B1017,'PO with created By ASR'!A:I,6,FALSE)</f>
        <v>#N/A</v>
      </c>
      <c r="L1017" s="2" t="str">
        <f>VLOOKUP(B1017,'PO with created By ASR'!A:J,7,FALSE)</f>
        <v>B - Bangalore</v>
      </c>
      <c r="M1017" s="2" t="str">
        <f>VLOOKUP(B1017,'PO with created By ASR'!A:K,8,FALSE)</f>
        <v>Purchase Order-Blr</v>
      </c>
      <c r="N1017" t="s">
        <v>36</v>
      </c>
      <c r="P1017" s="2">
        <v>6</v>
      </c>
    </row>
    <row r="1018" s="2" customFormat="1" spans="1:16">
      <c r="A1018" s="8"/>
      <c r="B1018" s="9" t="s">
        <v>1915</v>
      </c>
      <c r="C1018" s="10" t="s">
        <v>107</v>
      </c>
      <c r="D1018" s="11">
        <v>1</v>
      </c>
      <c r="E1018" s="12">
        <v>8508</v>
      </c>
      <c r="F1018" s="13">
        <v>8508</v>
      </c>
      <c r="G1018" s="2">
        <f>VLOOKUP(B1018,'PO with created By ASR'!A:C,3,FALSE)</f>
        <v>45685</v>
      </c>
      <c r="J1018" s="2" t="str">
        <f>VLOOKUP(B1018,'PO with created By ASR'!A:G,4,FALSE)</f>
        <v>Anurama V  -CR</v>
      </c>
      <c r="K1018" s="2" t="e">
        <f>VLOOKUP(B1018,'PO with created By ASR'!A:I,6,FALSE)</f>
        <v>#N/A</v>
      </c>
      <c r="L1018" s="2" t="str">
        <f>VLOOKUP(B1018,'PO with created By ASR'!A:J,7,FALSE)</f>
        <v>B - Bangalore</v>
      </c>
      <c r="M1018" s="2" t="str">
        <f>VLOOKUP(B1018,'PO with created By ASR'!A:K,8,FALSE)</f>
        <v>Purchase Order-Blr</v>
      </c>
      <c r="N1018" t="s">
        <v>36</v>
      </c>
      <c r="P1018" s="2">
        <v>6</v>
      </c>
    </row>
    <row r="1019" s="2" customFormat="1" spans="1:16">
      <c r="A1019" s="8"/>
      <c r="B1019" s="9" t="s">
        <v>1916</v>
      </c>
      <c r="C1019" s="10" t="s">
        <v>317</v>
      </c>
      <c r="D1019" s="11">
        <v>1</v>
      </c>
      <c r="E1019" s="12">
        <v>155000</v>
      </c>
      <c r="F1019" s="13">
        <v>155000</v>
      </c>
      <c r="G1019" s="2">
        <f>VLOOKUP(B1019,'PO with created By ASR'!A:C,3,FALSE)</f>
        <v>45685</v>
      </c>
      <c r="J1019" s="2" t="str">
        <f>VLOOKUP(B1019,'PO with created By ASR'!A:G,4,FALSE)</f>
        <v>Aishwarya Anil Kumar-Che</v>
      </c>
      <c r="K1019" s="2" t="str">
        <f>VLOOKUP(B1019,'PO with created By ASR'!A:I,6,FALSE)</f>
        <v>12895 Aishwarya Anil Kumar</v>
      </c>
      <c r="L1019" s="2" t="str">
        <f>VLOOKUP(B1019,'PO with created By ASR'!A:J,7,FALSE)</f>
        <v>C - Chennai</v>
      </c>
      <c r="M1019" s="2" t="str">
        <f>VLOOKUP(B1019,'PO with created By ASR'!A:K,8,FALSE)</f>
        <v>Purchase Order-Che</v>
      </c>
      <c r="N1019" t="s">
        <v>36</v>
      </c>
      <c r="P1019" s="2">
        <v>6</v>
      </c>
    </row>
    <row r="1020" s="2" customFormat="1" spans="1:16">
      <c r="A1020" s="8"/>
      <c r="B1020" s="9" t="s">
        <v>1917</v>
      </c>
      <c r="C1020" s="10" t="s">
        <v>371</v>
      </c>
      <c r="D1020" s="11">
        <v>1</v>
      </c>
      <c r="E1020" s="12">
        <v>12300</v>
      </c>
      <c r="F1020" s="13">
        <v>12300</v>
      </c>
      <c r="G1020" s="2">
        <f>VLOOKUP(B1020,'PO with created By ASR'!A:C,3,FALSE)</f>
        <v>45685</v>
      </c>
      <c r="J1020" s="2" t="str">
        <f>VLOOKUP(B1020,'PO with created By ASR'!A:G,4,FALSE)</f>
        <v>Sri Thanigaivel Electricals-Che</v>
      </c>
      <c r="K1020" s="2" t="str">
        <f>VLOOKUP(B1020,'PO with created By ASR'!A:I,6,FALSE)</f>
        <v>12446 Sri Thanigaivel Electricals</v>
      </c>
      <c r="L1020" s="2" t="str">
        <f>VLOOKUP(B1020,'PO with created By ASR'!A:J,7,FALSE)</f>
        <v>C - Chennai</v>
      </c>
      <c r="M1020" s="2" t="str">
        <f>VLOOKUP(B1020,'PO with created By ASR'!A:K,8,FALSE)</f>
        <v>Purchase Order-Che</v>
      </c>
      <c r="N1020" t="s">
        <v>36</v>
      </c>
      <c r="P1020" s="2">
        <v>6</v>
      </c>
    </row>
    <row r="1021" s="2" customFormat="1" spans="1:16">
      <c r="A1021" s="8"/>
      <c r="B1021" s="9" t="s">
        <v>1920</v>
      </c>
      <c r="C1021" s="10" t="s">
        <v>151</v>
      </c>
      <c r="D1021" s="11">
        <v>1</v>
      </c>
      <c r="E1021" s="12">
        <v>9700</v>
      </c>
      <c r="F1021" s="13">
        <v>9700</v>
      </c>
      <c r="G1021" s="2">
        <f>VLOOKUP(B1021,'PO with created By ASR'!A:C,3,FALSE)</f>
        <v>45685</v>
      </c>
      <c r="J1021" s="2" t="str">
        <f>VLOOKUP(B1021,'PO with created By ASR'!A:G,4,FALSE)</f>
        <v>Expressions Enlivened-Che</v>
      </c>
      <c r="K1021" s="2" t="str">
        <f>VLOOKUP(B1021,'PO with created By ASR'!A:I,6,FALSE)</f>
        <v>11225 Expressions Enlivened</v>
      </c>
      <c r="L1021" s="2" t="str">
        <f>VLOOKUP(B1021,'PO with created By ASR'!A:J,7,FALSE)</f>
        <v>C - Chennai</v>
      </c>
      <c r="M1021" s="2" t="str">
        <f>VLOOKUP(B1021,'PO with created By ASR'!A:K,8,FALSE)</f>
        <v>Purchase Order-Che</v>
      </c>
      <c r="N1021" t="s">
        <v>36</v>
      </c>
      <c r="P1021" s="2">
        <v>6</v>
      </c>
    </row>
    <row r="1022" s="2" customFormat="1" spans="1:16">
      <c r="A1022" s="8"/>
      <c r="B1022" s="9" t="s">
        <v>1923</v>
      </c>
      <c r="C1022" s="10" t="s">
        <v>196</v>
      </c>
      <c r="D1022" s="11">
        <v>1</v>
      </c>
      <c r="E1022" s="12">
        <v>1250</v>
      </c>
      <c r="F1022" s="13">
        <v>1250</v>
      </c>
      <c r="G1022" s="2">
        <f>VLOOKUP(B1022,'PO with created By ASR'!A:C,3,FALSE)</f>
        <v>45685</v>
      </c>
      <c r="J1022" s="2" t="str">
        <f>VLOOKUP(B1022,'PO with created By ASR'!A:G,4,FALSE)</f>
        <v>Joshi prints-Che</v>
      </c>
      <c r="K1022" s="2" t="str">
        <f>VLOOKUP(B1022,'PO with created By ASR'!A:I,6,FALSE)</f>
        <v>10015 Joshi Prints</v>
      </c>
      <c r="L1022" s="2" t="str">
        <f>VLOOKUP(B1022,'PO with created By ASR'!A:J,7,FALSE)</f>
        <v>C - Chennai</v>
      </c>
      <c r="M1022" s="2" t="str">
        <f>VLOOKUP(B1022,'PO with created By ASR'!A:K,8,FALSE)</f>
        <v>Purchase Order-Che</v>
      </c>
      <c r="N1022" t="s">
        <v>36</v>
      </c>
      <c r="P1022" s="2">
        <v>6</v>
      </c>
    </row>
    <row r="1023" s="2" customFormat="1" spans="1:16">
      <c r="A1023" s="8"/>
      <c r="B1023" s="9" t="s">
        <v>1926</v>
      </c>
      <c r="C1023" s="10" t="s">
        <v>401</v>
      </c>
      <c r="D1023" s="11">
        <v>1</v>
      </c>
      <c r="E1023" s="12">
        <v>4000</v>
      </c>
      <c r="F1023" s="13">
        <v>4000</v>
      </c>
      <c r="G1023" s="2">
        <f>VLOOKUP(B1023,'PO with created By ASR'!A:C,3,FALSE)</f>
        <v>45685</v>
      </c>
      <c r="J1023" s="2" t="str">
        <f>VLOOKUP(B1023,'PO with created By ASR'!A:G,4,FALSE)</f>
        <v>Rekha Stills-Che</v>
      </c>
      <c r="K1023" s="2" t="str">
        <f>VLOOKUP(B1023,'PO with created By ASR'!A:I,6,FALSE)</f>
        <v>12328 Rekha Stills</v>
      </c>
      <c r="L1023" s="2" t="str">
        <f>VLOOKUP(B1023,'PO with created By ASR'!A:J,7,FALSE)</f>
        <v>C - Chennai</v>
      </c>
      <c r="M1023" s="2" t="str">
        <f>VLOOKUP(B1023,'PO with created By ASR'!A:K,8,FALSE)</f>
        <v>Purchase Order-Che</v>
      </c>
      <c r="N1023" t="s">
        <v>36</v>
      </c>
      <c r="P1023" s="2">
        <v>6</v>
      </c>
    </row>
    <row r="1024" s="2" customFormat="1" spans="1:16">
      <c r="A1024" s="8"/>
      <c r="B1024" s="9" t="s">
        <v>1929</v>
      </c>
      <c r="C1024" s="10" t="s">
        <v>317</v>
      </c>
      <c r="D1024" s="11">
        <v>1</v>
      </c>
      <c r="E1024" s="12">
        <v>1010000</v>
      </c>
      <c r="F1024" s="13">
        <v>1010000</v>
      </c>
      <c r="G1024" s="2">
        <f>VLOOKUP(B1024,'PO with created By ASR'!A:C,3,FALSE)</f>
        <v>45685</v>
      </c>
      <c r="J1024" s="2" t="str">
        <f>VLOOKUP(B1024,'PO with created By ASR'!A:G,4,FALSE)</f>
        <v>Crystal Event &amp; Service-Che</v>
      </c>
      <c r="K1024" s="2" t="str">
        <f>VLOOKUP(B1024,'PO with created By ASR'!A:I,6,FALSE)</f>
        <v>11809 Crystal Event &amp; Service</v>
      </c>
      <c r="L1024" s="2" t="str">
        <f>VLOOKUP(B1024,'PO with created By ASR'!A:J,7,FALSE)</f>
        <v>C - Chennai</v>
      </c>
      <c r="M1024" s="2" t="str">
        <f>VLOOKUP(B1024,'PO with created By ASR'!A:K,8,FALSE)</f>
        <v>Purchase Order-Che</v>
      </c>
      <c r="N1024" t="s">
        <v>36</v>
      </c>
      <c r="P1024" s="2">
        <v>6</v>
      </c>
    </row>
    <row r="1025" s="2" customFormat="1" spans="1:16">
      <c r="A1025" s="8"/>
      <c r="B1025" s="9" t="s">
        <v>1930</v>
      </c>
      <c r="C1025" s="10" t="s">
        <v>317</v>
      </c>
      <c r="D1025" s="11">
        <v>1</v>
      </c>
      <c r="E1025" s="12">
        <v>101000</v>
      </c>
      <c r="F1025" s="13">
        <v>101000</v>
      </c>
      <c r="G1025" s="2">
        <f>VLOOKUP(B1025,'PO with created By ASR'!A:C,3,FALSE)</f>
        <v>45685</v>
      </c>
      <c r="J1025" s="2" t="str">
        <f>VLOOKUP(B1025,'PO with created By ASR'!A:G,4,FALSE)</f>
        <v>Crystal Event &amp; Service-Che</v>
      </c>
      <c r="K1025" s="2" t="str">
        <f>VLOOKUP(B1025,'PO with created By ASR'!A:I,6,FALSE)</f>
        <v>11809 Crystal Event &amp; Service</v>
      </c>
      <c r="L1025" s="2" t="str">
        <f>VLOOKUP(B1025,'PO with created By ASR'!A:J,7,FALSE)</f>
        <v>C - Chennai</v>
      </c>
      <c r="M1025" s="2" t="str">
        <f>VLOOKUP(B1025,'PO with created By ASR'!A:K,8,FALSE)</f>
        <v>Purchase Order-Che</v>
      </c>
      <c r="N1025" t="s">
        <v>36</v>
      </c>
      <c r="P1025" s="2">
        <v>6</v>
      </c>
    </row>
    <row r="1026" s="2" customFormat="1" spans="1:16">
      <c r="A1026" s="8"/>
      <c r="B1026" s="9" t="s">
        <v>1931</v>
      </c>
      <c r="C1026" s="10" t="s">
        <v>196</v>
      </c>
      <c r="D1026" s="11">
        <v>1</v>
      </c>
      <c r="E1026" s="12">
        <v>7493</v>
      </c>
      <c r="F1026" s="13">
        <v>7493</v>
      </c>
      <c r="G1026" s="2">
        <f>VLOOKUP(B1026,'PO with created By ASR'!A:C,3,FALSE)</f>
        <v>45685</v>
      </c>
      <c r="J1026" s="2" t="str">
        <f>VLOOKUP(B1026,'PO with created By ASR'!A:G,4,FALSE)</f>
        <v>Clinton J  for Expense-CR</v>
      </c>
      <c r="K1026" s="2" t="e">
        <f>VLOOKUP(B1026,'PO with created By ASR'!A:I,6,FALSE)</f>
        <v>#N/A</v>
      </c>
      <c r="L1026" s="2" t="str">
        <f>VLOOKUP(B1026,'PO with created By ASR'!A:J,7,FALSE)</f>
        <v>C - Chennai</v>
      </c>
      <c r="M1026" s="2" t="str">
        <f>VLOOKUP(B1026,'PO with created By ASR'!A:K,8,FALSE)</f>
        <v>Purchase Order-Che</v>
      </c>
      <c r="N1026" t="s">
        <v>36</v>
      </c>
      <c r="P1026" s="2">
        <v>6</v>
      </c>
    </row>
    <row r="1027" s="2" customFormat="1" spans="1:16">
      <c r="A1027" s="8"/>
      <c r="B1027" s="9" t="s">
        <v>1931</v>
      </c>
      <c r="C1027" s="10" t="s">
        <v>412</v>
      </c>
      <c r="D1027" s="11">
        <v>1</v>
      </c>
      <c r="E1027" s="12">
        <v>312</v>
      </c>
      <c r="F1027" s="13">
        <v>312</v>
      </c>
      <c r="G1027" s="2">
        <f>VLOOKUP(B1027,'PO with created By ASR'!A:C,3,FALSE)</f>
        <v>45685</v>
      </c>
      <c r="J1027" s="2" t="str">
        <f>VLOOKUP(B1027,'PO with created By ASR'!A:G,4,FALSE)</f>
        <v>Clinton J  for Expense-CR</v>
      </c>
      <c r="K1027" s="2" t="e">
        <f>VLOOKUP(B1027,'PO with created By ASR'!A:I,6,FALSE)</f>
        <v>#N/A</v>
      </c>
      <c r="L1027" s="2" t="str">
        <f>VLOOKUP(B1027,'PO with created By ASR'!A:J,7,FALSE)</f>
        <v>C - Chennai</v>
      </c>
      <c r="M1027" s="2" t="str">
        <f>VLOOKUP(B1027,'PO with created By ASR'!A:K,8,FALSE)</f>
        <v>Purchase Order-Che</v>
      </c>
      <c r="N1027" t="s">
        <v>36</v>
      </c>
      <c r="P1027" s="2">
        <v>6</v>
      </c>
    </row>
    <row r="1028" s="2" customFormat="1" spans="1:16">
      <c r="A1028" s="8"/>
      <c r="B1028" s="9" t="s">
        <v>1931</v>
      </c>
      <c r="C1028" s="10" t="s">
        <v>233</v>
      </c>
      <c r="D1028" s="11">
        <v>1</v>
      </c>
      <c r="E1028" s="12">
        <v>1500</v>
      </c>
      <c r="F1028" s="13">
        <v>1500</v>
      </c>
      <c r="G1028" s="2">
        <f>VLOOKUP(B1028,'PO with created By ASR'!A:C,3,FALSE)</f>
        <v>45685</v>
      </c>
      <c r="J1028" s="2" t="str">
        <f>VLOOKUP(B1028,'PO with created By ASR'!A:G,4,FALSE)</f>
        <v>Clinton J  for Expense-CR</v>
      </c>
      <c r="K1028" s="2" t="e">
        <f>VLOOKUP(B1028,'PO with created By ASR'!A:I,6,FALSE)</f>
        <v>#N/A</v>
      </c>
      <c r="L1028" s="2" t="str">
        <f>VLOOKUP(B1028,'PO with created By ASR'!A:J,7,FALSE)</f>
        <v>C - Chennai</v>
      </c>
      <c r="M1028" s="2" t="str">
        <f>VLOOKUP(B1028,'PO with created By ASR'!A:K,8,FALSE)</f>
        <v>Purchase Order-Che</v>
      </c>
      <c r="N1028" t="s">
        <v>36</v>
      </c>
      <c r="P1028" s="2">
        <v>6</v>
      </c>
    </row>
    <row r="1029" s="2" customFormat="1" spans="1:16">
      <c r="A1029" s="8"/>
      <c r="B1029" s="9" t="s">
        <v>1932</v>
      </c>
      <c r="C1029" s="10" t="s">
        <v>126</v>
      </c>
      <c r="D1029" s="11">
        <v>1</v>
      </c>
      <c r="E1029" s="12">
        <v>2182</v>
      </c>
      <c r="F1029" s="13">
        <v>2182</v>
      </c>
      <c r="G1029" s="2">
        <f>VLOOKUP(B1029,'PO with created By ASR'!A:C,3,FALSE)</f>
        <v>45685</v>
      </c>
      <c r="J1029" s="2" t="str">
        <f>VLOOKUP(B1029,'PO with created By ASR'!A:G,4,FALSE)</f>
        <v>Evangelin Dominiic  -CR</v>
      </c>
      <c r="K1029" s="2" t="e">
        <f>VLOOKUP(B1029,'PO with created By ASR'!A:I,6,FALSE)</f>
        <v>#N/A</v>
      </c>
      <c r="L1029" s="2" t="str">
        <f>VLOOKUP(B1029,'PO with created By ASR'!A:J,7,FALSE)</f>
        <v>C - Chennai</v>
      </c>
      <c r="M1029" s="2" t="str">
        <f>VLOOKUP(B1029,'PO with created By ASR'!A:K,8,FALSE)</f>
        <v>Purchase Order-Che</v>
      </c>
      <c r="N1029" t="s">
        <v>36</v>
      </c>
      <c r="P1029" s="2">
        <v>6</v>
      </c>
    </row>
    <row r="1030" s="2" customFormat="1" spans="1:16">
      <c r="A1030" s="8"/>
      <c r="B1030" s="9" t="s">
        <v>1932</v>
      </c>
      <c r="C1030" s="10" t="s">
        <v>412</v>
      </c>
      <c r="D1030" s="11">
        <v>1</v>
      </c>
      <c r="E1030" s="12">
        <v>850</v>
      </c>
      <c r="F1030" s="13">
        <v>850</v>
      </c>
      <c r="G1030" s="2">
        <f>VLOOKUP(B1030,'PO with created By ASR'!A:C,3,FALSE)</f>
        <v>45685</v>
      </c>
      <c r="J1030" s="2" t="str">
        <f>VLOOKUP(B1030,'PO with created By ASR'!A:G,4,FALSE)</f>
        <v>Evangelin Dominiic  -CR</v>
      </c>
      <c r="K1030" s="2" t="e">
        <f>VLOOKUP(B1030,'PO with created By ASR'!A:I,6,FALSE)</f>
        <v>#N/A</v>
      </c>
      <c r="L1030" s="2" t="str">
        <f>VLOOKUP(B1030,'PO with created By ASR'!A:J,7,FALSE)</f>
        <v>C - Chennai</v>
      </c>
      <c r="M1030" s="2" t="str">
        <f>VLOOKUP(B1030,'PO with created By ASR'!A:K,8,FALSE)</f>
        <v>Purchase Order-Che</v>
      </c>
      <c r="N1030" t="s">
        <v>36</v>
      </c>
      <c r="P1030" s="2">
        <v>6</v>
      </c>
    </row>
    <row r="1031" s="2" customFormat="1" spans="1:16">
      <c r="A1031" s="8"/>
      <c r="B1031" s="9" t="s">
        <v>1934</v>
      </c>
      <c r="C1031" s="10" t="s">
        <v>412</v>
      </c>
      <c r="D1031" s="11">
        <v>1</v>
      </c>
      <c r="E1031" s="12">
        <v>4786</v>
      </c>
      <c r="F1031" s="13">
        <v>4786</v>
      </c>
      <c r="G1031" s="2">
        <f>VLOOKUP(B1031,'PO with created By ASR'!A:C,3,FALSE)</f>
        <v>45685</v>
      </c>
      <c r="J1031" s="2" t="str">
        <f>VLOOKUP(B1031,'PO with created By ASR'!A:G,4,FALSE)</f>
        <v>Clinton J  for Expense-CR</v>
      </c>
      <c r="K1031" s="2" t="e">
        <f>VLOOKUP(B1031,'PO with created By ASR'!A:I,6,FALSE)</f>
        <v>#N/A</v>
      </c>
      <c r="L1031" s="2" t="str">
        <f>VLOOKUP(B1031,'PO with created By ASR'!A:J,7,FALSE)</f>
        <v>C - Chennai</v>
      </c>
      <c r="M1031" s="2" t="str">
        <f>VLOOKUP(B1031,'PO with created By ASR'!A:K,8,FALSE)</f>
        <v>Purchase Order-Che</v>
      </c>
      <c r="N1031" t="s">
        <v>36</v>
      </c>
      <c r="P1031" s="2">
        <v>6</v>
      </c>
    </row>
    <row r="1032" s="2" customFormat="1" spans="1:16">
      <c r="A1032" s="8"/>
      <c r="B1032" s="9" t="s">
        <v>1935</v>
      </c>
      <c r="C1032" s="10" t="s">
        <v>61</v>
      </c>
      <c r="D1032" s="11">
        <v>1</v>
      </c>
      <c r="E1032" s="12">
        <v>11760</v>
      </c>
      <c r="F1032" s="13">
        <v>11760</v>
      </c>
      <c r="G1032" s="2">
        <f>VLOOKUP(B1032,'PO with created By ASR'!A:C,3,FALSE)</f>
        <v>45685</v>
      </c>
      <c r="J1032" s="2" t="str">
        <f>VLOOKUP(B1032,'PO with created By ASR'!A:G,4,FALSE)</f>
        <v>Paulraj S  -CR</v>
      </c>
      <c r="K1032" s="2" t="e">
        <f>VLOOKUP(B1032,'PO with created By ASR'!A:I,6,FALSE)</f>
        <v>#N/A</v>
      </c>
      <c r="L1032" s="2" t="str">
        <f>VLOOKUP(B1032,'PO with created By ASR'!A:J,7,FALSE)</f>
        <v>C - Chennai</v>
      </c>
      <c r="M1032" s="2" t="str">
        <f>VLOOKUP(B1032,'PO with created By ASR'!A:K,8,FALSE)</f>
        <v>Purchase Order-Che</v>
      </c>
      <c r="N1032" t="s">
        <v>36</v>
      </c>
      <c r="P1032" s="2">
        <v>6</v>
      </c>
    </row>
    <row r="1033" s="2" customFormat="1" spans="1:16">
      <c r="A1033" s="8"/>
      <c r="B1033" s="9" t="s">
        <v>1935</v>
      </c>
      <c r="C1033" s="10" t="s">
        <v>412</v>
      </c>
      <c r="D1033" s="11">
        <v>1</v>
      </c>
      <c r="E1033" s="12">
        <v>1410</v>
      </c>
      <c r="F1033" s="13">
        <v>1410</v>
      </c>
      <c r="G1033" s="2">
        <f>VLOOKUP(B1033,'PO with created By ASR'!A:C,3,FALSE)</f>
        <v>45685</v>
      </c>
      <c r="J1033" s="2" t="str">
        <f>VLOOKUP(B1033,'PO with created By ASR'!A:G,4,FALSE)</f>
        <v>Paulraj S  -CR</v>
      </c>
      <c r="K1033" s="2" t="e">
        <f>VLOOKUP(B1033,'PO with created By ASR'!A:I,6,FALSE)</f>
        <v>#N/A</v>
      </c>
      <c r="L1033" s="2" t="str">
        <f>VLOOKUP(B1033,'PO with created By ASR'!A:J,7,FALSE)</f>
        <v>C - Chennai</v>
      </c>
      <c r="M1033" s="2" t="str">
        <f>VLOOKUP(B1033,'PO with created By ASR'!A:K,8,FALSE)</f>
        <v>Purchase Order-Che</v>
      </c>
      <c r="N1033" t="s">
        <v>36</v>
      </c>
      <c r="P1033" s="2">
        <v>6</v>
      </c>
    </row>
    <row r="1034" s="2" customFormat="1" spans="1:16">
      <c r="A1034" s="8"/>
      <c r="B1034" s="9" t="s">
        <v>1936</v>
      </c>
      <c r="C1034" s="10" t="s">
        <v>317</v>
      </c>
      <c r="D1034" s="11">
        <v>1</v>
      </c>
      <c r="E1034" s="12">
        <v>750000</v>
      </c>
      <c r="F1034" s="13">
        <v>750000</v>
      </c>
      <c r="G1034" s="2">
        <f>VLOOKUP(B1034,'PO with created By ASR'!A:C,3,FALSE)</f>
        <v>45685</v>
      </c>
      <c r="J1034" s="2" t="str">
        <f>VLOOKUP(B1034,'PO with created By ASR'!A:G,4,FALSE)</f>
        <v>Cockpitmarx -Del</v>
      </c>
      <c r="K1034" s="2" t="e">
        <f>VLOOKUP(B1034,'PO with created By ASR'!A:I,6,FALSE)</f>
        <v>#N/A</v>
      </c>
      <c r="L1034" s="2" t="str">
        <f>VLOOKUP(B1034,'PO with created By ASR'!A:J,7,FALSE)</f>
        <v>D - Delhi</v>
      </c>
      <c r="M1034" s="2" t="str">
        <f>VLOOKUP(B1034,'PO with created By ASR'!A:K,8,FALSE)</f>
        <v>Purchase Order-Del</v>
      </c>
      <c r="N1034" t="s">
        <v>36</v>
      </c>
      <c r="P1034" s="2">
        <v>6</v>
      </c>
    </row>
    <row r="1035" s="2" customFormat="1" spans="1:16">
      <c r="A1035" s="8"/>
      <c r="B1035" s="9" t="s">
        <v>1937</v>
      </c>
      <c r="C1035" s="10" t="s">
        <v>126</v>
      </c>
      <c r="D1035" s="11">
        <v>1</v>
      </c>
      <c r="E1035" s="12">
        <v>443</v>
      </c>
      <c r="F1035" s="13">
        <v>443</v>
      </c>
      <c r="G1035" s="2">
        <f>VLOOKUP(B1035,'PO with created By ASR'!A:C,3,FALSE)</f>
        <v>45685</v>
      </c>
      <c r="J1035" s="2" t="str">
        <f>VLOOKUP(B1035,'PO with created By ASR'!A:G,4,FALSE)</f>
        <v>Sudhakar Sawant   -CR</v>
      </c>
      <c r="K1035" s="2" t="e">
        <f>VLOOKUP(B1035,'PO with created By ASR'!A:I,6,FALSE)</f>
        <v>#N/A</v>
      </c>
      <c r="L1035" s="2" t="str">
        <f>VLOOKUP(B1035,'PO with created By ASR'!A:J,7,FALSE)</f>
        <v>A - Mumbai</v>
      </c>
      <c r="M1035" s="2" t="str">
        <f>VLOOKUP(B1035,'PO with created By ASR'!A:K,8,FALSE)</f>
        <v>Purchase Order-Mum</v>
      </c>
      <c r="N1035" t="s">
        <v>36</v>
      </c>
      <c r="P1035" s="2">
        <v>6</v>
      </c>
    </row>
    <row r="1036" s="2" customFormat="1" spans="1:16">
      <c r="A1036" s="8"/>
      <c r="B1036" s="9" t="s">
        <v>1937</v>
      </c>
      <c r="C1036" s="10" t="s">
        <v>412</v>
      </c>
      <c r="D1036" s="11">
        <v>1</v>
      </c>
      <c r="E1036" s="12">
        <v>150</v>
      </c>
      <c r="F1036" s="13">
        <v>150</v>
      </c>
      <c r="G1036" s="2">
        <f>VLOOKUP(B1036,'PO with created By ASR'!A:C,3,FALSE)</f>
        <v>45685</v>
      </c>
      <c r="J1036" s="2" t="str">
        <f>VLOOKUP(B1036,'PO with created By ASR'!A:G,4,FALSE)</f>
        <v>Sudhakar Sawant   -CR</v>
      </c>
      <c r="K1036" s="2" t="e">
        <f>VLOOKUP(B1036,'PO with created By ASR'!A:I,6,FALSE)</f>
        <v>#N/A</v>
      </c>
      <c r="L1036" s="2" t="str">
        <f>VLOOKUP(B1036,'PO with created By ASR'!A:J,7,FALSE)</f>
        <v>A - Mumbai</v>
      </c>
      <c r="M1036" s="2" t="str">
        <f>VLOOKUP(B1036,'PO with created By ASR'!A:K,8,FALSE)</f>
        <v>Purchase Order-Mum</v>
      </c>
      <c r="N1036" t="s">
        <v>36</v>
      </c>
      <c r="P1036" s="2">
        <v>6</v>
      </c>
    </row>
    <row r="1037" s="2" customFormat="1" spans="1:16">
      <c r="A1037" s="8"/>
      <c r="B1037" s="9" t="s">
        <v>1939</v>
      </c>
      <c r="C1037" s="10" t="s">
        <v>1055</v>
      </c>
      <c r="D1037" s="11">
        <v>1</v>
      </c>
      <c r="E1037" s="12">
        <v>1800</v>
      </c>
      <c r="F1037" s="13">
        <v>1800</v>
      </c>
      <c r="G1037" s="2">
        <f>VLOOKUP(B1037,'PO with created By ASR'!A:C,3,FALSE)</f>
        <v>45685</v>
      </c>
      <c r="J1037" s="2" t="str">
        <f>VLOOKUP(B1037,'PO with created By ASR'!A:G,4,FALSE)</f>
        <v>Sachin Jadhav -CR</v>
      </c>
      <c r="K1037" s="2" t="e">
        <f>VLOOKUP(B1037,'PO with created By ASR'!A:I,6,FALSE)</f>
        <v>#N/A</v>
      </c>
      <c r="L1037" s="2" t="str">
        <f>VLOOKUP(B1037,'PO with created By ASR'!A:J,7,FALSE)</f>
        <v>A - Mumbai</v>
      </c>
      <c r="M1037" s="2" t="str">
        <f>VLOOKUP(B1037,'PO with created By ASR'!A:K,8,FALSE)</f>
        <v>Purchase Order-Mum</v>
      </c>
      <c r="N1037" t="s">
        <v>36</v>
      </c>
      <c r="P1037" s="2">
        <v>6</v>
      </c>
    </row>
    <row r="1038" s="2" customFormat="1" spans="1:16">
      <c r="A1038" s="8"/>
      <c r="B1038" s="9" t="s">
        <v>1939</v>
      </c>
      <c r="C1038" s="10" t="s">
        <v>126</v>
      </c>
      <c r="D1038" s="11">
        <v>1</v>
      </c>
      <c r="E1038" s="12">
        <v>1016</v>
      </c>
      <c r="F1038" s="13">
        <v>1016</v>
      </c>
      <c r="G1038" s="2">
        <f>VLOOKUP(B1038,'PO with created By ASR'!A:C,3,FALSE)</f>
        <v>45685</v>
      </c>
      <c r="J1038" s="2" t="str">
        <f>VLOOKUP(B1038,'PO with created By ASR'!A:G,4,FALSE)</f>
        <v>Sachin Jadhav -CR</v>
      </c>
      <c r="K1038" s="2" t="e">
        <f>VLOOKUP(B1038,'PO with created By ASR'!A:I,6,FALSE)</f>
        <v>#N/A</v>
      </c>
      <c r="L1038" s="2" t="str">
        <f>VLOOKUP(B1038,'PO with created By ASR'!A:J,7,FALSE)</f>
        <v>A - Mumbai</v>
      </c>
      <c r="M1038" s="2" t="str">
        <f>VLOOKUP(B1038,'PO with created By ASR'!A:K,8,FALSE)</f>
        <v>Purchase Order-Mum</v>
      </c>
      <c r="N1038" t="s">
        <v>36</v>
      </c>
      <c r="P1038" s="2">
        <v>6</v>
      </c>
    </row>
    <row r="1039" s="2" customFormat="1" spans="1:16">
      <c r="A1039" s="8"/>
      <c r="B1039" s="9" t="s">
        <v>1940</v>
      </c>
      <c r="C1039" s="10" t="s">
        <v>151</v>
      </c>
      <c r="D1039" s="11">
        <v>1</v>
      </c>
      <c r="E1039" s="12">
        <v>28000</v>
      </c>
      <c r="F1039" s="13">
        <v>28000</v>
      </c>
      <c r="G1039" s="2">
        <f>VLOOKUP(B1039,'PO with created By ASR'!A:C,3,FALSE)</f>
        <v>45685</v>
      </c>
      <c r="J1039" s="2" t="str">
        <f>VLOOKUP(B1039,'PO with created By ASR'!A:G,4,FALSE)</f>
        <v>Woodcraft Production-Mum</v>
      </c>
      <c r="K1039" s="2" t="str">
        <f>VLOOKUP(B1039,'PO with created By ASR'!A:I,6,FALSE)</f>
        <v>12630 Woodcraft Production</v>
      </c>
      <c r="L1039" s="2" t="str">
        <f>VLOOKUP(B1039,'PO with created By ASR'!A:J,7,FALSE)</f>
        <v>A - Mumbai</v>
      </c>
      <c r="M1039" s="2" t="str">
        <f>VLOOKUP(B1039,'PO with created By ASR'!A:K,8,FALSE)</f>
        <v>Purchase Order-Mum</v>
      </c>
      <c r="N1039" t="s">
        <v>36</v>
      </c>
      <c r="P1039" s="2">
        <v>6</v>
      </c>
    </row>
    <row r="1040" s="2" customFormat="1" spans="1:16">
      <c r="A1040" s="8"/>
      <c r="B1040" s="9" t="s">
        <v>1945</v>
      </c>
      <c r="C1040" s="10" t="s">
        <v>371</v>
      </c>
      <c r="D1040" s="11">
        <v>1</v>
      </c>
      <c r="E1040" s="12">
        <v>40000</v>
      </c>
      <c r="F1040" s="13">
        <v>40000</v>
      </c>
      <c r="G1040" s="2">
        <f>VLOOKUP(B1040,'PO with created By ASR'!A:C,3,FALSE)</f>
        <v>45685</v>
      </c>
      <c r="J1040" s="2" t="str">
        <f>VLOOKUP(B1040,'PO with created By ASR'!A:G,4,FALSE)</f>
        <v>S T Sound System-Mum</v>
      </c>
      <c r="K1040" s="2" t="str">
        <f>VLOOKUP(B1040,'PO with created By ASR'!A:I,6,FALSE)</f>
        <v>11137 S T Sound System</v>
      </c>
      <c r="L1040" s="2" t="str">
        <f>VLOOKUP(B1040,'PO with created By ASR'!A:J,7,FALSE)</f>
        <v>A - Mumbai</v>
      </c>
      <c r="M1040" s="2" t="str">
        <f>VLOOKUP(B1040,'PO with created By ASR'!A:K,8,FALSE)</f>
        <v>Purchase Order-Mum</v>
      </c>
      <c r="N1040" t="s">
        <v>36</v>
      </c>
      <c r="P1040" s="2">
        <v>6</v>
      </c>
    </row>
    <row r="1041" s="2" customFormat="1" spans="1:16">
      <c r="A1041" s="8"/>
      <c r="B1041" s="9" t="s">
        <v>1946</v>
      </c>
      <c r="C1041" s="10" t="s">
        <v>196</v>
      </c>
      <c r="D1041" s="11">
        <v>1</v>
      </c>
      <c r="E1041" s="12">
        <v>5100</v>
      </c>
      <c r="F1041" s="13">
        <v>5100</v>
      </c>
      <c r="G1041" s="2">
        <f>VLOOKUP(B1041,'PO with created By ASR'!A:C,3,FALSE)</f>
        <v>45685</v>
      </c>
      <c r="J1041" s="2" t="str">
        <f>VLOOKUP(B1041,'PO with created By ASR'!A:G,4,FALSE)</f>
        <v>Noaman Digital Partnership Firm-Mum</v>
      </c>
      <c r="K1041" s="2" t="e">
        <f>VLOOKUP(B1041,'PO with created By ASR'!A:I,6,FALSE)</f>
        <v>#N/A</v>
      </c>
      <c r="L1041" s="2" t="str">
        <f>VLOOKUP(B1041,'PO with created By ASR'!A:J,7,FALSE)</f>
        <v>A - Mumbai</v>
      </c>
      <c r="M1041" s="2" t="str">
        <f>VLOOKUP(B1041,'PO with created By ASR'!A:K,8,FALSE)</f>
        <v>Purchase Order-Mum</v>
      </c>
      <c r="N1041" t="s">
        <v>36</v>
      </c>
      <c r="P1041" s="2">
        <v>6</v>
      </c>
    </row>
    <row r="1042" s="2" customFormat="1" spans="1:16">
      <c r="A1042" s="8"/>
      <c r="B1042" s="9" t="s">
        <v>1947</v>
      </c>
      <c r="C1042" s="10" t="s">
        <v>151</v>
      </c>
      <c r="D1042" s="11">
        <v>1</v>
      </c>
      <c r="E1042" s="12">
        <v>2900000</v>
      </c>
      <c r="F1042" s="13">
        <v>2900000</v>
      </c>
      <c r="G1042" s="2">
        <f>VLOOKUP(B1042,'PO with created By ASR'!A:C,3,FALSE)</f>
        <v>45685</v>
      </c>
      <c r="J1042" s="2" t="str">
        <f>VLOOKUP(B1042,'PO with created By ASR'!A:G,4,FALSE)</f>
        <v>Vivify Productions-Mum</v>
      </c>
      <c r="K1042" s="2" t="str">
        <f>VLOOKUP(B1042,'PO with created By ASR'!A:I,6,FALSE)</f>
        <v>12820 Vivify Productions</v>
      </c>
      <c r="L1042" s="2" t="str">
        <f>VLOOKUP(B1042,'PO with created By ASR'!A:J,7,FALSE)</f>
        <v>A - Mumbai</v>
      </c>
      <c r="M1042" s="2" t="str">
        <f>VLOOKUP(B1042,'PO with created By ASR'!A:K,8,FALSE)</f>
        <v>Purchase Order-Mum</v>
      </c>
      <c r="N1042" t="s">
        <v>36</v>
      </c>
      <c r="P1042" s="2">
        <v>6</v>
      </c>
    </row>
    <row r="1043" s="2" customFormat="1" spans="1:16">
      <c r="A1043" s="8"/>
      <c r="B1043" s="9" t="s">
        <v>1952</v>
      </c>
      <c r="C1043" s="10" t="s">
        <v>151</v>
      </c>
      <c r="D1043" s="11">
        <v>1</v>
      </c>
      <c r="E1043" s="12">
        <v>200000</v>
      </c>
      <c r="F1043" s="13">
        <v>200000</v>
      </c>
      <c r="G1043" s="2">
        <f>VLOOKUP(B1043,'PO with created By ASR'!A:C,3,FALSE)</f>
        <v>45685</v>
      </c>
      <c r="J1043" s="2" t="str">
        <f>VLOOKUP(B1043,'PO with created By ASR'!A:G,4,FALSE)</f>
        <v>Stage D閏or-Mum</v>
      </c>
      <c r="K1043" s="2" t="e">
        <f>VLOOKUP(B1043,'PO with created By ASR'!A:I,6,FALSE)</f>
        <v>#N/A</v>
      </c>
      <c r="L1043" s="2" t="str">
        <f>VLOOKUP(B1043,'PO with created By ASR'!A:J,7,FALSE)</f>
        <v>A - Mumbai</v>
      </c>
      <c r="M1043" s="2" t="str">
        <f>VLOOKUP(B1043,'PO with created By ASR'!A:K,8,FALSE)</f>
        <v>Purchase Order-Mum</v>
      </c>
      <c r="N1043" t="s">
        <v>36</v>
      </c>
      <c r="P1043" s="2">
        <v>6</v>
      </c>
    </row>
    <row r="1044" s="2" customFormat="1" spans="1:16">
      <c r="A1044" s="8"/>
      <c r="B1044" s="9" t="s">
        <v>1954</v>
      </c>
      <c r="C1044" s="10" t="s">
        <v>371</v>
      </c>
      <c r="D1044" s="11">
        <v>1</v>
      </c>
      <c r="E1044" s="12">
        <v>27000</v>
      </c>
      <c r="F1044" s="13">
        <v>27000</v>
      </c>
      <c r="G1044" s="2">
        <f>VLOOKUP(B1044,'PO with created By ASR'!A:C,3,FALSE)</f>
        <v>45685</v>
      </c>
      <c r="J1044" s="2" t="str">
        <f>VLOOKUP(B1044,'PO with created By ASR'!A:G,4,FALSE)</f>
        <v>Events Power-Mum</v>
      </c>
      <c r="K1044" s="2" t="str">
        <f>VLOOKUP(B1044,'PO with created By ASR'!A:I,6,FALSE)</f>
        <v>11895 Events Power</v>
      </c>
      <c r="L1044" s="2" t="str">
        <f>VLOOKUP(B1044,'PO with created By ASR'!A:J,7,FALSE)</f>
        <v>A - Mumbai</v>
      </c>
      <c r="M1044" s="2" t="str">
        <f>VLOOKUP(B1044,'PO with created By ASR'!A:K,8,FALSE)</f>
        <v>Purchase Order-Mum</v>
      </c>
      <c r="N1044" t="s">
        <v>36</v>
      </c>
      <c r="P1044" s="2">
        <v>6</v>
      </c>
    </row>
    <row r="1045" s="2" customFormat="1" spans="1:16">
      <c r="A1045" s="8"/>
      <c r="B1045" s="9" t="s">
        <v>1955</v>
      </c>
      <c r="C1045" s="10" t="s">
        <v>371</v>
      </c>
      <c r="D1045" s="11">
        <v>1</v>
      </c>
      <c r="E1045" s="12">
        <v>65000</v>
      </c>
      <c r="F1045" s="13">
        <v>65000</v>
      </c>
      <c r="G1045" s="2">
        <f>VLOOKUP(B1045,'PO with created By ASR'!A:C,3,FALSE)</f>
        <v>45685</v>
      </c>
      <c r="J1045" s="2" t="str">
        <f>VLOOKUP(B1045,'PO with created By ASR'!A:G,4,FALSE)</f>
        <v>Shiv Shakti Enterprises-Mum</v>
      </c>
      <c r="K1045" s="2" t="str">
        <f>VLOOKUP(B1045,'PO with created By ASR'!A:I,6,FALSE)</f>
        <v>11130 Shiv Shakti Enterprises</v>
      </c>
      <c r="L1045" s="2" t="str">
        <f>VLOOKUP(B1045,'PO with created By ASR'!A:J,7,FALSE)</f>
        <v>A - Mumbai</v>
      </c>
      <c r="M1045" s="2" t="str">
        <f>VLOOKUP(B1045,'PO with created By ASR'!A:K,8,FALSE)</f>
        <v>Purchase Order-Mum</v>
      </c>
      <c r="N1045" t="s">
        <v>36</v>
      </c>
      <c r="P1045" s="2">
        <v>6</v>
      </c>
    </row>
    <row r="1046" s="2" customFormat="1" spans="1:16">
      <c r="A1046" s="8"/>
      <c r="B1046" s="9" t="s">
        <v>1956</v>
      </c>
      <c r="C1046" s="10" t="s">
        <v>371</v>
      </c>
      <c r="D1046" s="11">
        <v>1</v>
      </c>
      <c r="E1046" s="12">
        <v>235000</v>
      </c>
      <c r="F1046" s="13">
        <v>235000</v>
      </c>
      <c r="G1046" s="2">
        <f>VLOOKUP(B1046,'PO with created By ASR'!A:C,3,FALSE)</f>
        <v>45685</v>
      </c>
      <c r="J1046" s="2" t="str">
        <f>VLOOKUP(B1046,'PO with created By ASR'!A:G,4,FALSE)</f>
        <v>Bizzaro Event-Mum</v>
      </c>
      <c r="K1046" s="2" t="str">
        <f>VLOOKUP(B1046,'PO with created By ASR'!A:I,6,FALSE)</f>
        <v>11733 Bizzaro Event</v>
      </c>
      <c r="L1046" s="2" t="str">
        <f>VLOOKUP(B1046,'PO with created By ASR'!A:J,7,FALSE)</f>
        <v>A - Mumbai</v>
      </c>
      <c r="M1046" s="2" t="str">
        <f>VLOOKUP(B1046,'PO with created By ASR'!A:K,8,FALSE)</f>
        <v>Purchase Order-Mum</v>
      </c>
      <c r="N1046" t="s">
        <v>36</v>
      </c>
      <c r="P1046" s="2">
        <v>6</v>
      </c>
    </row>
    <row r="1047" s="2" customFormat="1" spans="1:16">
      <c r="A1047" s="8"/>
      <c r="B1047" s="9" t="s">
        <v>1959</v>
      </c>
      <c r="C1047" s="10" t="s">
        <v>990</v>
      </c>
      <c r="D1047" s="11">
        <v>1</v>
      </c>
      <c r="E1047" s="12">
        <v>10000</v>
      </c>
      <c r="F1047" s="13">
        <v>10000</v>
      </c>
      <c r="G1047" s="2">
        <f>VLOOKUP(B1047,'PO with created By ASR'!A:C,3,FALSE)</f>
        <v>45685</v>
      </c>
      <c r="J1047" s="2" t="str">
        <f>VLOOKUP(B1047,'PO with created By ASR'!A:G,4,FALSE)</f>
        <v>Shree Vision-Mum</v>
      </c>
      <c r="K1047" s="2" t="str">
        <f>VLOOKUP(B1047,'PO with created By ASR'!A:I,6,FALSE)</f>
        <v>12401 Shree Vision</v>
      </c>
      <c r="L1047" s="2" t="str">
        <f>VLOOKUP(B1047,'PO with created By ASR'!A:J,7,FALSE)</f>
        <v>A - Mumbai</v>
      </c>
      <c r="M1047" s="2" t="str">
        <f>VLOOKUP(B1047,'PO with created By ASR'!A:K,8,FALSE)</f>
        <v>Purchase Order-Mum</v>
      </c>
      <c r="N1047" t="s">
        <v>36</v>
      </c>
      <c r="P1047" s="2">
        <v>6</v>
      </c>
    </row>
    <row r="1048" s="2" customFormat="1" spans="1:16">
      <c r="A1048" s="8"/>
      <c r="B1048" s="9" t="s">
        <v>1962</v>
      </c>
      <c r="C1048" s="10" t="s">
        <v>347</v>
      </c>
      <c r="D1048" s="11">
        <v>1</v>
      </c>
      <c r="E1048" s="12">
        <v>22000</v>
      </c>
      <c r="F1048" s="13">
        <v>22000</v>
      </c>
      <c r="G1048" s="2">
        <f>VLOOKUP(B1048,'PO with created By ASR'!A:C,3,FALSE)</f>
        <v>45685</v>
      </c>
      <c r="J1048" s="2" t="str">
        <f>VLOOKUP(B1048,'PO with created By ASR'!A:G,4,FALSE)</f>
        <v>Sayyed Mohd Rafiq-Mum</v>
      </c>
      <c r="K1048" s="2" t="str">
        <f>VLOOKUP(B1048,'PO with created By ASR'!A:I,6,FALSE)</f>
        <v>10895 Sayyed Mohd Rafiq</v>
      </c>
      <c r="L1048" s="2" t="str">
        <f>VLOOKUP(B1048,'PO with created By ASR'!A:J,7,FALSE)</f>
        <v>A - Mumbai</v>
      </c>
      <c r="M1048" s="2" t="str">
        <f>VLOOKUP(B1048,'PO with created By ASR'!A:K,8,FALSE)</f>
        <v>Purchase Order-Mum</v>
      </c>
      <c r="N1048" t="s">
        <v>36</v>
      </c>
      <c r="P1048" s="2">
        <v>6</v>
      </c>
    </row>
    <row r="1049" s="2" customFormat="1" spans="1:16">
      <c r="A1049" s="8"/>
      <c r="B1049" s="9" t="s">
        <v>1965</v>
      </c>
      <c r="C1049" s="10" t="s">
        <v>250</v>
      </c>
      <c r="D1049" s="11">
        <v>1</v>
      </c>
      <c r="E1049" s="12">
        <v>75000</v>
      </c>
      <c r="F1049" s="13">
        <v>75000</v>
      </c>
      <c r="G1049" s="2">
        <f>VLOOKUP(B1049,'PO with created By ASR'!A:C,3,FALSE)</f>
        <v>45685</v>
      </c>
      <c r="J1049" s="2" t="str">
        <f>VLOOKUP(B1049,'PO with created By ASR'!A:G,4,FALSE)</f>
        <v>Executant Media House Pvt Ltd -Mum</v>
      </c>
      <c r="K1049" s="2" t="str">
        <f>VLOOKUP(B1049,'PO with created By ASR'!A:I,6,FALSE)</f>
        <v>11901  Executant Media House Pvt Ltd</v>
      </c>
      <c r="L1049" s="2" t="str">
        <f>VLOOKUP(B1049,'PO with created By ASR'!A:J,7,FALSE)</f>
        <v>A - Mumbai</v>
      </c>
      <c r="M1049" s="2" t="str">
        <f>VLOOKUP(B1049,'PO with created By ASR'!A:K,8,FALSE)</f>
        <v>Purchase Order-Mum</v>
      </c>
      <c r="N1049" t="s">
        <v>36</v>
      </c>
      <c r="P1049" s="2">
        <v>6</v>
      </c>
    </row>
    <row r="1050" s="2" customFormat="1" spans="1:16">
      <c r="A1050" s="8"/>
      <c r="B1050" s="9" t="s">
        <v>1971</v>
      </c>
      <c r="C1050" s="10" t="s">
        <v>990</v>
      </c>
      <c r="D1050" s="11">
        <v>1</v>
      </c>
      <c r="E1050" s="12">
        <v>1500</v>
      </c>
      <c r="F1050" s="13">
        <v>1500</v>
      </c>
      <c r="G1050" s="2">
        <f>VLOOKUP(B1050,'PO with created By ASR'!A:C,3,FALSE)</f>
        <v>45685</v>
      </c>
      <c r="J1050" s="2" t="str">
        <f>VLOOKUP(B1050,'PO with created By ASR'!A:G,4,FALSE)</f>
        <v>Aaa Rental Llp-Mum</v>
      </c>
      <c r="K1050" s="2" t="str">
        <f>VLOOKUP(B1050,'PO with created By ASR'!A:I,6,FALSE)</f>
        <v>11626 Aaa Rental Llp</v>
      </c>
      <c r="L1050" s="2" t="str">
        <f>VLOOKUP(B1050,'PO with created By ASR'!A:J,7,FALSE)</f>
        <v>A - Mumbai</v>
      </c>
      <c r="M1050" s="2" t="str">
        <f>VLOOKUP(B1050,'PO with created By ASR'!A:K,8,FALSE)</f>
        <v>Purchase Order-Mum</v>
      </c>
      <c r="N1050" t="s">
        <v>36</v>
      </c>
      <c r="P1050" s="2">
        <v>6</v>
      </c>
    </row>
    <row r="1051" s="2" customFormat="1" spans="1:16">
      <c r="A1051" s="8"/>
      <c r="B1051" s="9" t="s">
        <v>1974</v>
      </c>
      <c r="C1051" s="10" t="s">
        <v>151</v>
      </c>
      <c r="D1051" s="11">
        <v>1</v>
      </c>
      <c r="E1051" s="12">
        <v>140000</v>
      </c>
      <c r="F1051" s="13">
        <v>140000</v>
      </c>
      <c r="G1051" s="2">
        <f>VLOOKUP(B1051,'PO with created By ASR'!A:C,3,FALSE)</f>
        <v>45685</v>
      </c>
      <c r="J1051" s="2" t="str">
        <f>VLOOKUP(B1051,'PO with created By ASR'!A:G,4,FALSE)</f>
        <v>Start Edge-Mum</v>
      </c>
      <c r="K1051" s="2" t="str">
        <f>VLOOKUP(B1051,'PO with created By ASR'!A:I,6,FALSE)</f>
        <v>12458 Start Edge</v>
      </c>
      <c r="L1051" s="2" t="str">
        <f>VLOOKUP(B1051,'PO with created By ASR'!A:J,7,FALSE)</f>
        <v>A - Mumbai</v>
      </c>
      <c r="M1051" s="2" t="str">
        <f>VLOOKUP(B1051,'PO with created By ASR'!A:K,8,FALSE)</f>
        <v>Purchase Order-Mum</v>
      </c>
      <c r="N1051" t="s">
        <v>36</v>
      </c>
      <c r="P1051" s="2">
        <v>6</v>
      </c>
    </row>
    <row r="1052" s="2" customFormat="1" spans="1:16">
      <c r="A1052" s="8"/>
      <c r="B1052" s="9" t="s">
        <v>1979</v>
      </c>
      <c r="C1052" s="10" t="s">
        <v>317</v>
      </c>
      <c r="D1052" s="11">
        <v>1</v>
      </c>
      <c r="E1052" s="12">
        <v>275500</v>
      </c>
      <c r="F1052" s="13">
        <v>275500</v>
      </c>
      <c r="G1052" s="2">
        <f>VLOOKUP(B1052,'PO with created By ASR'!A:C,3,FALSE)</f>
        <v>45685</v>
      </c>
      <c r="J1052" s="2" t="str">
        <f>VLOOKUP(B1052,'PO with created By ASR'!A:G,4,FALSE)</f>
        <v>Kalasiddha Creations-Mum</v>
      </c>
      <c r="K1052" s="2" t="str">
        <f>VLOOKUP(B1052,'PO with created By ASR'!A:I,6,FALSE)</f>
        <v>12070 Kalasiddha Creations</v>
      </c>
      <c r="L1052" s="2" t="str">
        <f>VLOOKUP(B1052,'PO with created By ASR'!A:J,7,FALSE)</f>
        <v>A - Mumbai</v>
      </c>
      <c r="M1052" s="2" t="str">
        <f>VLOOKUP(B1052,'PO with created By ASR'!A:K,8,FALSE)</f>
        <v>Purchase Order-Mum</v>
      </c>
      <c r="N1052" t="s">
        <v>36</v>
      </c>
      <c r="P1052" s="2">
        <v>6</v>
      </c>
    </row>
    <row r="1053" s="2" customFormat="1" spans="1:16">
      <c r="A1053" s="8"/>
      <c r="B1053" s="9" t="s">
        <v>1980</v>
      </c>
      <c r="C1053" s="10" t="s">
        <v>371</v>
      </c>
      <c r="D1053" s="11">
        <v>1</v>
      </c>
      <c r="E1053" s="12">
        <v>6800</v>
      </c>
      <c r="F1053" s="13">
        <v>6800</v>
      </c>
      <c r="G1053" s="2">
        <f>VLOOKUP(B1053,'PO with created By ASR'!A:C,3,FALSE)</f>
        <v>45685</v>
      </c>
      <c r="J1053" s="2" t="str">
        <f>VLOOKUP(B1053,'PO with created By ASR'!A:G,4,FALSE)</f>
        <v>Oriana Communications-Mum</v>
      </c>
      <c r="K1053" s="2" t="str">
        <f>VLOOKUP(B1053,'PO with created By ASR'!A:I,6,FALSE)</f>
        <v>11121 Oriana Communications</v>
      </c>
      <c r="L1053" s="2" t="str">
        <f>VLOOKUP(B1053,'PO with created By ASR'!A:J,7,FALSE)</f>
        <v>A - Mumbai</v>
      </c>
      <c r="M1053" s="2" t="str">
        <f>VLOOKUP(B1053,'PO with created By ASR'!A:K,8,FALSE)</f>
        <v>Purchase Order-Mum</v>
      </c>
      <c r="N1053" t="s">
        <v>36</v>
      </c>
      <c r="P1053" s="2">
        <v>6</v>
      </c>
    </row>
    <row r="1054" s="2" customFormat="1" spans="1:16">
      <c r="A1054" s="8"/>
      <c r="B1054" s="9" t="s">
        <v>1983</v>
      </c>
      <c r="C1054" s="10" t="s">
        <v>317</v>
      </c>
      <c r="D1054" s="11">
        <v>1</v>
      </c>
      <c r="E1054" s="12">
        <v>650000</v>
      </c>
      <c r="F1054" s="13">
        <v>650000</v>
      </c>
      <c r="G1054" s="2">
        <f>VLOOKUP(B1054,'PO with created By ASR'!A:C,3,FALSE)</f>
        <v>45685</v>
      </c>
      <c r="J1054" s="2" t="str">
        <f>VLOOKUP(B1054,'PO with created By ASR'!A:G,4,FALSE)</f>
        <v>Razzmatazz Ventures Pvt Ltd-Mum</v>
      </c>
      <c r="K1054" s="2" t="str">
        <f>VLOOKUP(B1054,'PO with created By ASR'!A:I,6,FALSE)</f>
        <v>12324  Razzmatazz Ventures Pvt Ltd</v>
      </c>
      <c r="L1054" s="2" t="str">
        <f>VLOOKUP(B1054,'PO with created By ASR'!A:J,7,FALSE)</f>
        <v>A - Mumbai</v>
      </c>
      <c r="M1054" s="2" t="str">
        <f>VLOOKUP(B1054,'PO with created By ASR'!A:K,8,FALSE)</f>
        <v>Purchase Order-Mum</v>
      </c>
      <c r="N1054" t="s">
        <v>36</v>
      </c>
      <c r="P1054" s="2">
        <v>6</v>
      </c>
    </row>
    <row r="1055" s="2" customFormat="1" spans="1:16">
      <c r="A1055" s="8"/>
      <c r="B1055" s="9" t="s">
        <v>1986</v>
      </c>
      <c r="C1055" s="10" t="s">
        <v>250</v>
      </c>
      <c r="D1055" s="11">
        <v>1</v>
      </c>
      <c r="E1055" s="12">
        <v>550000</v>
      </c>
      <c r="F1055" s="13">
        <v>550000</v>
      </c>
      <c r="G1055" s="2">
        <f>VLOOKUP(B1055,'PO with created By ASR'!A:C,3,FALSE)</f>
        <v>45685</v>
      </c>
      <c r="J1055" s="2" t="str">
        <f>VLOOKUP(B1055,'PO with created By ASR'!A:G,4,FALSE)</f>
        <v>Tm Ventures Pvt Ltd-Mum</v>
      </c>
      <c r="K1055" s="2" t="str">
        <f>VLOOKUP(B1055,'PO with created By ASR'!A:I,6,FALSE)</f>
        <v>12545  Tm Ventures Pvt Ltd</v>
      </c>
      <c r="L1055" s="2" t="str">
        <f>VLOOKUP(B1055,'PO with created By ASR'!A:J,7,FALSE)</f>
        <v>A - Mumbai</v>
      </c>
      <c r="M1055" s="2" t="str">
        <f>VLOOKUP(B1055,'PO with created By ASR'!A:K,8,FALSE)</f>
        <v>Purchase Order-Mum</v>
      </c>
      <c r="N1055" t="s">
        <v>36</v>
      </c>
      <c r="P1055" s="2">
        <v>6</v>
      </c>
    </row>
    <row r="1056" s="2" customFormat="1" spans="1:16">
      <c r="A1056" s="8"/>
      <c r="B1056" s="9" t="s">
        <v>1991</v>
      </c>
      <c r="C1056" s="10" t="s">
        <v>371</v>
      </c>
      <c r="D1056" s="11">
        <v>1</v>
      </c>
      <c r="E1056" s="12">
        <v>32450</v>
      </c>
      <c r="F1056" s="13">
        <v>32450</v>
      </c>
      <c r="G1056" s="2">
        <f>VLOOKUP(B1056,'PO with created By ASR'!A:C,3,FALSE)</f>
        <v>45685</v>
      </c>
      <c r="J1056" s="2" t="str">
        <f>VLOOKUP(B1056,'PO with created By ASR'!A:G,4,FALSE)</f>
        <v>Host Vision Technologies-Mum</v>
      </c>
      <c r="K1056" s="2" t="str">
        <f>VLOOKUP(B1056,'PO with created By ASR'!A:I,6,FALSE)</f>
        <v>12913 Host Vision Technologies</v>
      </c>
      <c r="L1056" s="2" t="str">
        <f>VLOOKUP(B1056,'PO with created By ASR'!A:J,7,FALSE)</f>
        <v>A - Mumbai</v>
      </c>
      <c r="M1056" s="2" t="str">
        <f>VLOOKUP(B1056,'PO with created By ASR'!A:K,8,FALSE)</f>
        <v>Purchase Order-Mum</v>
      </c>
      <c r="N1056" t="s">
        <v>36</v>
      </c>
      <c r="P1056" s="2">
        <v>6</v>
      </c>
    </row>
    <row r="1057" s="2" customFormat="1" spans="1:16">
      <c r="A1057" s="8"/>
      <c r="B1057" s="9" t="s">
        <v>1994</v>
      </c>
      <c r="C1057" s="10" t="s">
        <v>256</v>
      </c>
      <c r="D1057" s="11">
        <v>1</v>
      </c>
      <c r="E1057" s="12">
        <v>30000</v>
      </c>
      <c r="F1057" s="13">
        <v>30000</v>
      </c>
      <c r="G1057" s="2">
        <f>VLOOKUP(B1057,'PO with created By ASR'!A:C,3,FALSE)</f>
        <v>45685</v>
      </c>
      <c r="J1057" s="2" t="str">
        <f>VLOOKUP(B1057,'PO with created By ASR'!A:G,4,FALSE)</f>
        <v>The Indian Performing Right Society Ltd.-Mum</v>
      </c>
      <c r="K1057" s="2" t="e">
        <f>VLOOKUP(B1057,'PO with created By ASR'!A:I,6,FALSE)</f>
        <v>#N/A</v>
      </c>
      <c r="L1057" s="2" t="str">
        <f>VLOOKUP(B1057,'PO with created By ASR'!A:J,7,FALSE)</f>
        <v>A - Mumbai</v>
      </c>
      <c r="M1057" s="2" t="str">
        <f>VLOOKUP(B1057,'PO with created By ASR'!A:K,8,FALSE)</f>
        <v>Purchase Order-Mum</v>
      </c>
      <c r="N1057" t="s">
        <v>36</v>
      </c>
      <c r="P1057" s="2">
        <v>6</v>
      </c>
    </row>
    <row r="1058" s="2" customFormat="1" spans="1:16">
      <c r="A1058" s="8"/>
      <c r="B1058" s="9" t="s">
        <v>1996</v>
      </c>
      <c r="C1058" s="10" t="s">
        <v>256</v>
      </c>
      <c r="D1058" s="11">
        <v>1</v>
      </c>
      <c r="E1058" s="12">
        <v>69375</v>
      </c>
      <c r="F1058" s="13">
        <v>69375</v>
      </c>
      <c r="G1058" s="2">
        <f>VLOOKUP(B1058,'PO with created By ASR'!A:C,3,FALSE)</f>
        <v>45685</v>
      </c>
      <c r="J1058" s="2" t="str">
        <f>VLOOKUP(B1058,'PO with created By ASR'!A:G,4,FALSE)</f>
        <v>Phonographic Performance Limited-Mum</v>
      </c>
      <c r="K1058" s="2" t="e">
        <f>VLOOKUP(B1058,'PO with created By ASR'!A:I,6,FALSE)</f>
        <v>#N/A</v>
      </c>
      <c r="L1058" s="2" t="str">
        <f>VLOOKUP(B1058,'PO with created By ASR'!A:J,7,FALSE)</f>
        <v>A - Mumbai</v>
      </c>
      <c r="M1058" s="2" t="str">
        <f>VLOOKUP(B1058,'PO with created By ASR'!A:K,8,FALSE)</f>
        <v>Purchase Order-Mum</v>
      </c>
      <c r="N1058" t="s">
        <v>36</v>
      </c>
      <c r="P1058" s="2">
        <v>6</v>
      </c>
    </row>
    <row r="1059" s="2" customFormat="1" spans="1:16">
      <c r="A1059" s="8"/>
      <c r="B1059" s="9" t="s">
        <v>1997</v>
      </c>
      <c r="C1059" s="10" t="s">
        <v>256</v>
      </c>
      <c r="D1059" s="11">
        <v>1</v>
      </c>
      <c r="E1059" s="12">
        <v>80000</v>
      </c>
      <c r="F1059" s="13">
        <v>80000</v>
      </c>
      <c r="G1059" s="2">
        <f>VLOOKUP(B1059,'PO with created By ASR'!A:C,3,FALSE)</f>
        <v>45685</v>
      </c>
      <c r="J1059" s="2" t="str">
        <f>VLOOKUP(B1059,'PO with created By ASR'!A:G,4,FALSE)</f>
        <v>Novex Communications Pvt. Ltd.-Mum</v>
      </c>
      <c r="K1059" s="2" t="e">
        <f>VLOOKUP(B1059,'PO with created By ASR'!A:I,6,FALSE)</f>
        <v>#N/A</v>
      </c>
      <c r="L1059" s="2" t="str">
        <f>VLOOKUP(B1059,'PO with created By ASR'!A:J,7,FALSE)</f>
        <v>A - Mumbai</v>
      </c>
      <c r="M1059" s="2" t="str">
        <f>VLOOKUP(B1059,'PO with created By ASR'!A:K,8,FALSE)</f>
        <v>Purchase Order-Mum</v>
      </c>
      <c r="N1059" t="s">
        <v>36</v>
      </c>
      <c r="P1059" s="2">
        <v>6</v>
      </c>
    </row>
    <row r="1060" s="2" customFormat="1" spans="1:16">
      <c r="A1060" s="8"/>
      <c r="B1060" s="9" t="s">
        <v>1998</v>
      </c>
      <c r="C1060" s="10" t="s">
        <v>256</v>
      </c>
      <c r="D1060" s="11">
        <v>1</v>
      </c>
      <c r="E1060" s="12">
        <v>35000</v>
      </c>
      <c r="F1060" s="13">
        <v>35000</v>
      </c>
      <c r="G1060" s="2">
        <f>VLOOKUP(B1060,'PO with created By ASR'!A:C,3,FALSE)</f>
        <v>45685</v>
      </c>
      <c r="J1060" s="2" t="str">
        <f>VLOOKUP(B1060,'PO with created By ASR'!A:G,4,FALSE)</f>
        <v>Recorded Music Performance Ltd-Mum</v>
      </c>
      <c r="K1060" s="2" t="str">
        <f>VLOOKUP(B1060,'PO with created By ASR'!A:I,6,FALSE)</f>
        <v>10856  Recorded Music Performance Ltd</v>
      </c>
      <c r="L1060" s="2" t="str">
        <f>VLOOKUP(B1060,'PO with created By ASR'!A:J,7,FALSE)</f>
        <v>A - Mumbai</v>
      </c>
      <c r="M1060" s="2" t="str">
        <f>VLOOKUP(B1060,'PO with created By ASR'!A:K,8,FALSE)</f>
        <v>Purchase Order-Mum</v>
      </c>
      <c r="N1060" t="s">
        <v>36</v>
      </c>
      <c r="P1060" s="2">
        <v>6</v>
      </c>
    </row>
    <row r="1061" s="2" customFormat="1" spans="1:16">
      <c r="A1061" s="8"/>
      <c r="B1061" s="9" t="s">
        <v>1999</v>
      </c>
      <c r="C1061" s="10" t="s">
        <v>256</v>
      </c>
      <c r="D1061" s="11">
        <v>1</v>
      </c>
      <c r="E1061" s="12">
        <v>75000</v>
      </c>
      <c r="F1061" s="13">
        <v>75000</v>
      </c>
      <c r="G1061" s="2">
        <f>VLOOKUP(B1061,'PO with created By ASR'!A:C,3,FALSE)</f>
        <v>45685</v>
      </c>
      <c r="J1061" s="2" t="str">
        <f>VLOOKUP(B1061,'PO with created By ASR'!A:G,4,FALSE)</f>
        <v>The Indian Performing Right Society Ltd.-Mum</v>
      </c>
      <c r="K1061" s="2" t="e">
        <f>VLOOKUP(B1061,'PO with created By ASR'!A:I,6,FALSE)</f>
        <v>#N/A</v>
      </c>
      <c r="L1061" s="2" t="str">
        <f>VLOOKUP(B1061,'PO with created By ASR'!A:J,7,FALSE)</f>
        <v>A - Mumbai</v>
      </c>
      <c r="M1061" s="2" t="str">
        <f>VLOOKUP(B1061,'PO with created By ASR'!A:K,8,FALSE)</f>
        <v>Purchase Order-Mum</v>
      </c>
      <c r="N1061" t="s">
        <v>36</v>
      </c>
      <c r="P1061" s="2">
        <v>6</v>
      </c>
    </row>
    <row r="1062" s="2" customFormat="1" spans="1:16">
      <c r="A1062" s="8"/>
      <c r="B1062" s="9" t="s">
        <v>2000</v>
      </c>
      <c r="C1062" s="10" t="s">
        <v>256</v>
      </c>
      <c r="D1062" s="11">
        <v>1</v>
      </c>
      <c r="E1062" s="12">
        <v>69375</v>
      </c>
      <c r="F1062" s="13">
        <v>69375</v>
      </c>
      <c r="G1062" s="2">
        <f>VLOOKUP(B1062,'PO with created By ASR'!A:C,3,FALSE)</f>
        <v>45685</v>
      </c>
      <c r="J1062" s="2" t="str">
        <f>VLOOKUP(B1062,'PO with created By ASR'!A:G,4,FALSE)</f>
        <v>Phonographic Performance Limited-Mum</v>
      </c>
      <c r="K1062" s="2" t="e">
        <f>VLOOKUP(B1062,'PO with created By ASR'!A:I,6,FALSE)</f>
        <v>#N/A</v>
      </c>
      <c r="L1062" s="2" t="str">
        <f>VLOOKUP(B1062,'PO with created By ASR'!A:J,7,FALSE)</f>
        <v>A - Mumbai</v>
      </c>
      <c r="M1062" s="2" t="str">
        <f>VLOOKUP(B1062,'PO with created By ASR'!A:K,8,FALSE)</f>
        <v>Purchase Order-Mum</v>
      </c>
      <c r="N1062" t="s">
        <v>36</v>
      </c>
      <c r="P1062" s="2">
        <v>6</v>
      </c>
    </row>
    <row r="1063" s="2" customFormat="1" spans="1:16">
      <c r="A1063" s="8"/>
      <c r="B1063" s="9" t="s">
        <v>2001</v>
      </c>
      <c r="C1063" s="10" t="s">
        <v>256</v>
      </c>
      <c r="D1063" s="11">
        <v>1</v>
      </c>
      <c r="E1063" s="12">
        <v>80000</v>
      </c>
      <c r="F1063" s="13">
        <v>80000</v>
      </c>
      <c r="G1063" s="2">
        <f>VLOOKUP(B1063,'PO with created By ASR'!A:C,3,FALSE)</f>
        <v>45685</v>
      </c>
      <c r="J1063" s="2" t="str">
        <f>VLOOKUP(B1063,'PO with created By ASR'!A:G,4,FALSE)</f>
        <v>Novex Communications Pvt. Ltd.-Mum</v>
      </c>
      <c r="K1063" s="2" t="e">
        <f>VLOOKUP(B1063,'PO with created By ASR'!A:I,6,FALSE)</f>
        <v>#N/A</v>
      </c>
      <c r="L1063" s="2" t="str">
        <f>VLOOKUP(B1063,'PO with created By ASR'!A:J,7,FALSE)</f>
        <v>A - Mumbai</v>
      </c>
      <c r="M1063" s="2" t="str">
        <f>VLOOKUP(B1063,'PO with created By ASR'!A:K,8,FALSE)</f>
        <v>Purchase Order-Mum</v>
      </c>
      <c r="N1063" t="s">
        <v>36</v>
      </c>
      <c r="P1063" s="2">
        <v>6</v>
      </c>
    </row>
    <row r="1064" s="2" customFormat="1" spans="1:16">
      <c r="A1064" s="8"/>
      <c r="B1064" s="9" t="s">
        <v>2002</v>
      </c>
      <c r="C1064" s="10" t="s">
        <v>256</v>
      </c>
      <c r="D1064" s="11">
        <v>1</v>
      </c>
      <c r="E1064" s="12">
        <v>57500</v>
      </c>
      <c r="F1064" s="13">
        <v>57500</v>
      </c>
      <c r="G1064" s="2">
        <f>VLOOKUP(B1064,'PO with created By ASR'!A:C,3,FALSE)</f>
        <v>45685</v>
      </c>
      <c r="J1064" s="2" t="str">
        <f>VLOOKUP(B1064,'PO with created By ASR'!A:G,4,FALSE)</f>
        <v>Vista Services (Sainath Govind Shirke)-Mum</v>
      </c>
      <c r="K1064" s="2" t="str">
        <f>VLOOKUP(B1064,'PO with created By ASR'!A:I,6,FALSE)</f>
        <v>10237 Vista Services (Sainath Govind Shirke)</v>
      </c>
      <c r="L1064" s="2" t="str">
        <f>VLOOKUP(B1064,'PO with created By ASR'!A:J,7,FALSE)</f>
        <v>A - Mumbai</v>
      </c>
      <c r="M1064" s="2" t="str">
        <f>VLOOKUP(B1064,'PO with created By ASR'!A:K,8,FALSE)</f>
        <v>Purchase Order-Mum</v>
      </c>
      <c r="N1064" t="s">
        <v>36</v>
      </c>
      <c r="P1064" s="2">
        <v>6</v>
      </c>
    </row>
    <row r="1065" s="2" customFormat="1" spans="1:16">
      <c r="A1065" s="8"/>
      <c r="B1065" s="9" t="s">
        <v>2005</v>
      </c>
      <c r="C1065" s="10" t="s">
        <v>1176</v>
      </c>
      <c r="D1065" s="11">
        <v>1</v>
      </c>
      <c r="E1065" s="12">
        <v>161619.64</v>
      </c>
      <c r="F1065" s="13">
        <v>161619.64</v>
      </c>
      <c r="G1065" s="2">
        <f>VLOOKUP(B1065,'PO with created By ASR'!A:C,3,FALSE)</f>
        <v>45685</v>
      </c>
      <c r="J1065" s="2" t="str">
        <f>VLOOKUP(B1065,'PO with created By ASR'!A:G,4,FALSE)</f>
        <v>Fairmont Mumbai (Shrem Airport Hotels Pvt Ltd)-Mum</v>
      </c>
      <c r="K1065" s="2" t="str">
        <f>VLOOKUP(B1065,'PO with created By ASR'!A:I,6,FALSE)</f>
        <v>12914  Fairmont Mumbai (Shrem Airport Hotels Pvt Ltd)</v>
      </c>
      <c r="L1065" s="2" t="str">
        <f>VLOOKUP(B1065,'PO with created By ASR'!A:J,7,FALSE)</f>
        <v>A - Mumbai</v>
      </c>
      <c r="M1065" s="2" t="str">
        <f>VLOOKUP(B1065,'PO with created By ASR'!A:K,8,FALSE)</f>
        <v>Purchase Order-Mum</v>
      </c>
      <c r="N1065" t="s">
        <v>36</v>
      </c>
      <c r="P1065" s="2">
        <v>6</v>
      </c>
    </row>
    <row r="1066" s="2" customFormat="1" spans="1:16">
      <c r="A1066" s="8"/>
      <c r="B1066" s="9" t="s">
        <v>2005</v>
      </c>
      <c r="C1066" s="10" t="s">
        <v>276</v>
      </c>
      <c r="D1066" s="11">
        <v>1</v>
      </c>
      <c r="E1066" s="12">
        <v>914725</v>
      </c>
      <c r="F1066" s="13">
        <v>914725</v>
      </c>
      <c r="G1066" s="2">
        <f>VLOOKUP(B1066,'PO with created By ASR'!A:C,3,FALSE)</f>
        <v>45685</v>
      </c>
      <c r="J1066" s="2" t="str">
        <f>VLOOKUP(B1066,'PO with created By ASR'!A:G,4,FALSE)</f>
        <v>Fairmont Mumbai (Shrem Airport Hotels Pvt Ltd)-Mum</v>
      </c>
      <c r="K1066" s="2" t="str">
        <f>VLOOKUP(B1066,'PO with created By ASR'!A:I,6,FALSE)</f>
        <v>12914  Fairmont Mumbai (Shrem Airport Hotels Pvt Ltd)</v>
      </c>
      <c r="L1066" s="2" t="str">
        <f>VLOOKUP(B1066,'PO with created By ASR'!A:J,7,FALSE)</f>
        <v>A - Mumbai</v>
      </c>
      <c r="M1066" s="2" t="str">
        <f>VLOOKUP(B1066,'PO with created By ASR'!A:K,8,FALSE)</f>
        <v>Purchase Order-Mum</v>
      </c>
      <c r="N1066" t="s">
        <v>36</v>
      </c>
      <c r="P1066" s="2">
        <v>6</v>
      </c>
    </row>
    <row r="1067" s="2" customFormat="1" spans="1:16">
      <c r="A1067" s="8"/>
      <c r="B1067" s="9" t="s">
        <v>2005</v>
      </c>
      <c r="C1067" s="10" t="s">
        <v>276</v>
      </c>
      <c r="D1067" s="11">
        <v>1</v>
      </c>
      <c r="E1067" s="12">
        <v>208386</v>
      </c>
      <c r="F1067" s="13">
        <v>208386</v>
      </c>
      <c r="G1067" s="2">
        <f>VLOOKUP(B1067,'PO with created By ASR'!A:C,3,FALSE)</f>
        <v>45685</v>
      </c>
      <c r="J1067" s="2" t="str">
        <f>VLOOKUP(B1067,'PO with created By ASR'!A:G,4,FALSE)</f>
        <v>Fairmont Mumbai (Shrem Airport Hotels Pvt Ltd)-Mum</v>
      </c>
      <c r="K1067" s="2" t="str">
        <f>VLOOKUP(B1067,'PO with created By ASR'!A:I,6,FALSE)</f>
        <v>12914  Fairmont Mumbai (Shrem Airport Hotels Pvt Ltd)</v>
      </c>
      <c r="L1067" s="2" t="str">
        <f>VLOOKUP(B1067,'PO with created By ASR'!A:J,7,FALSE)</f>
        <v>A - Mumbai</v>
      </c>
      <c r="M1067" s="2" t="str">
        <f>VLOOKUP(B1067,'PO with created By ASR'!A:K,8,FALSE)</f>
        <v>Purchase Order-Mum</v>
      </c>
      <c r="N1067" t="s">
        <v>36</v>
      </c>
      <c r="P1067" s="2">
        <v>6</v>
      </c>
    </row>
    <row r="1068" s="2" customFormat="1" spans="1:16">
      <c r="A1068" s="8"/>
      <c r="B1068" s="9" t="s">
        <v>2008</v>
      </c>
      <c r="C1068" s="10" t="s">
        <v>1176</v>
      </c>
      <c r="D1068" s="11">
        <v>1</v>
      </c>
      <c r="E1068" s="12">
        <v>650000</v>
      </c>
      <c r="F1068" s="13">
        <v>650000</v>
      </c>
      <c r="G1068" s="2">
        <f>VLOOKUP(B1068,'PO with created By ASR'!A:C,3,FALSE)</f>
        <v>45685</v>
      </c>
      <c r="J1068" s="2" t="str">
        <f>VLOOKUP(B1068,'PO with created By ASR'!A:G,4,FALSE)</f>
        <v>ITC Narmada Ahmedabad (ITC Hotels Ltd)-Mum</v>
      </c>
      <c r="K1068" s="2" t="str">
        <f>VLOOKUP(B1068,'PO with created By ASR'!A:I,6,FALSE)</f>
        <v>12892  ITC Narmada Ahmedabad (ITC Hotels Ltd)</v>
      </c>
      <c r="L1068" s="2" t="str">
        <f>VLOOKUP(B1068,'PO with created By ASR'!A:J,7,FALSE)</f>
        <v>A - Mumbai</v>
      </c>
      <c r="M1068" s="2" t="str">
        <f>VLOOKUP(B1068,'PO with created By ASR'!A:K,8,FALSE)</f>
        <v>Purchase Order-Mum</v>
      </c>
      <c r="N1068" t="s">
        <v>36</v>
      </c>
      <c r="P1068" s="2">
        <v>6</v>
      </c>
    </row>
    <row r="1069" s="2" customFormat="1" spans="1:16">
      <c r="A1069" s="8"/>
      <c r="B1069" s="9" t="s">
        <v>2008</v>
      </c>
      <c r="C1069" s="10" t="s">
        <v>61</v>
      </c>
      <c r="D1069" s="11">
        <v>1</v>
      </c>
      <c r="E1069" s="12">
        <v>30525</v>
      </c>
      <c r="F1069" s="13">
        <v>30525</v>
      </c>
      <c r="G1069" s="2">
        <f>VLOOKUP(B1069,'PO with created By ASR'!A:C,3,FALSE)</f>
        <v>45685</v>
      </c>
      <c r="J1069" s="2" t="str">
        <f>VLOOKUP(B1069,'PO with created By ASR'!A:G,4,FALSE)</f>
        <v>ITC Narmada Ahmedabad (ITC Hotels Ltd)-Mum</v>
      </c>
      <c r="K1069" s="2" t="str">
        <f>VLOOKUP(B1069,'PO with created By ASR'!A:I,6,FALSE)</f>
        <v>12892  ITC Narmada Ahmedabad (ITC Hotels Ltd)</v>
      </c>
      <c r="L1069" s="2" t="str">
        <f>VLOOKUP(B1069,'PO with created By ASR'!A:J,7,FALSE)</f>
        <v>A - Mumbai</v>
      </c>
      <c r="M1069" s="2" t="str">
        <f>VLOOKUP(B1069,'PO with created By ASR'!A:K,8,FALSE)</f>
        <v>Purchase Order-Mum</v>
      </c>
      <c r="N1069" t="s">
        <v>36</v>
      </c>
      <c r="P1069" s="2">
        <v>6</v>
      </c>
    </row>
    <row r="1070" s="2" customFormat="1" spans="1:16">
      <c r="A1070" s="8"/>
      <c r="B1070" s="9" t="s">
        <v>2009</v>
      </c>
      <c r="C1070" s="10" t="s">
        <v>196</v>
      </c>
      <c r="D1070" s="11">
        <v>1</v>
      </c>
      <c r="E1070" s="12">
        <v>15000</v>
      </c>
      <c r="F1070" s="13">
        <v>15000</v>
      </c>
      <c r="G1070" s="2">
        <f>VLOOKUP(B1070,'PO with created By ASR'!A:C,3,FALSE)</f>
        <v>45685</v>
      </c>
      <c r="J1070" s="2" t="str">
        <f>VLOOKUP(B1070,'PO with created By ASR'!A:G,4,FALSE)</f>
        <v>Metro Enterprises (Viral Hirabhai Patel)-Mum</v>
      </c>
      <c r="K1070" s="2" t="str">
        <f>VLOOKUP(B1070,'PO with created By ASR'!A:I,6,FALSE)</f>
        <v>12141 Metro Enterprises (Viral Hirabhai Patel)</v>
      </c>
      <c r="L1070" s="2" t="str">
        <f>VLOOKUP(B1070,'PO with created By ASR'!A:J,7,FALSE)</f>
        <v>A - Mumbai</v>
      </c>
      <c r="M1070" s="2" t="str">
        <f>VLOOKUP(B1070,'PO with created By ASR'!A:K,8,FALSE)</f>
        <v>Purchase Order-Mum</v>
      </c>
      <c r="N1070" t="s">
        <v>36</v>
      </c>
      <c r="P1070" s="2">
        <v>6</v>
      </c>
    </row>
    <row r="1071" s="2" customFormat="1" spans="1:16">
      <c r="A1071" s="8"/>
      <c r="B1071" s="9" t="s">
        <v>2010</v>
      </c>
      <c r="C1071" s="10" t="s">
        <v>347</v>
      </c>
      <c r="D1071" s="11">
        <v>1</v>
      </c>
      <c r="E1071" s="12">
        <v>9000</v>
      </c>
      <c r="F1071" s="13">
        <v>9000</v>
      </c>
      <c r="G1071" s="2">
        <f>VLOOKUP(B1071,'PO with created By ASR'!A:C,3,FALSE)</f>
        <v>45685</v>
      </c>
      <c r="J1071" s="2" t="str">
        <f>VLOOKUP(B1071,'PO with created By ASR'!A:G,4,FALSE)</f>
        <v>Atrika Majumdar-Mum</v>
      </c>
      <c r="K1071" s="2" t="str">
        <f>VLOOKUP(B1071,'PO with created By ASR'!A:I,6,FALSE)</f>
        <v>10558 Atrika Majumdar</v>
      </c>
      <c r="L1071" s="2" t="str">
        <f>VLOOKUP(B1071,'PO with created By ASR'!A:J,7,FALSE)</f>
        <v>A - Mumbai</v>
      </c>
      <c r="M1071" s="2" t="str">
        <f>VLOOKUP(B1071,'PO with created By ASR'!A:K,8,FALSE)</f>
        <v>Purchase Order-Mum</v>
      </c>
      <c r="N1071" t="s">
        <v>36</v>
      </c>
      <c r="P1071" s="2">
        <v>6</v>
      </c>
    </row>
    <row r="1072" s="2" customFormat="1" spans="1:16">
      <c r="A1072" s="8"/>
      <c r="B1072" s="9" t="s">
        <v>2013</v>
      </c>
      <c r="C1072" s="10" t="s">
        <v>803</v>
      </c>
      <c r="D1072" s="11">
        <v>1</v>
      </c>
      <c r="E1072" s="12">
        <v>21395</v>
      </c>
      <c r="F1072" s="13">
        <v>21395</v>
      </c>
      <c r="G1072" s="2">
        <f>VLOOKUP(B1072,'PO with created By ASR'!A:C,3,FALSE)</f>
        <v>45685</v>
      </c>
      <c r="J1072" s="2" t="str">
        <f>VLOOKUP(B1072,'PO with created By ASR'!A:G,4,FALSE)</f>
        <v>Fastspring-Mum</v>
      </c>
      <c r="K1072" s="2" t="e">
        <f>VLOOKUP(B1072,'PO with created By ASR'!A:I,6,FALSE)</f>
        <v>#N/A</v>
      </c>
      <c r="L1072" s="2" t="str">
        <f>VLOOKUP(B1072,'PO with created By ASR'!A:J,7,FALSE)</f>
        <v>A - Mumbai</v>
      </c>
      <c r="M1072" s="2" t="str">
        <f>VLOOKUP(B1072,'PO with created By ASR'!A:K,8,FALSE)</f>
        <v>Purchase Order-Mum</v>
      </c>
      <c r="N1072" t="s">
        <v>36</v>
      </c>
      <c r="P1072" s="2">
        <v>6</v>
      </c>
    </row>
    <row r="1073" s="2" customFormat="1" spans="1:16">
      <c r="A1073" s="8"/>
      <c r="B1073" s="9" t="s">
        <v>2015</v>
      </c>
      <c r="C1073" s="10" t="s">
        <v>205</v>
      </c>
      <c r="D1073" s="11">
        <v>1</v>
      </c>
      <c r="E1073" s="12">
        <v>1200</v>
      </c>
      <c r="F1073" s="13">
        <v>1200</v>
      </c>
      <c r="G1073" s="2">
        <f>VLOOKUP(B1073,'PO with created By ASR'!A:C,3,FALSE)</f>
        <v>45685</v>
      </c>
      <c r="J1073" s="2" t="str">
        <f>VLOOKUP(B1073,'PO with created By ASR'!A:G,4,FALSE)</f>
        <v>Hanja Express-Mum</v>
      </c>
      <c r="K1073" s="2" t="str">
        <f>VLOOKUP(B1073,'PO with created By ASR'!A:I,6,FALSE)</f>
        <v>10046 Hanja Express</v>
      </c>
      <c r="L1073" s="2" t="str">
        <f>VLOOKUP(B1073,'PO with created By ASR'!A:J,7,FALSE)</f>
        <v>A - Mumbai</v>
      </c>
      <c r="M1073" s="2" t="str">
        <f>VLOOKUP(B1073,'PO with created By ASR'!A:K,8,FALSE)</f>
        <v>Purchase Order-Mum</v>
      </c>
      <c r="N1073" t="s">
        <v>36</v>
      </c>
      <c r="P1073" s="2">
        <v>6</v>
      </c>
    </row>
    <row r="1074" s="2" customFormat="1" spans="1:16">
      <c r="A1074" s="8"/>
      <c r="B1074" s="9" t="s">
        <v>2017</v>
      </c>
      <c r="C1074" s="10" t="s">
        <v>205</v>
      </c>
      <c r="D1074" s="11">
        <v>1</v>
      </c>
      <c r="E1074" s="12">
        <v>16000</v>
      </c>
      <c r="F1074" s="13">
        <v>16000</v>
      </c>
      <c r="G1074" s="2">
        <f>VLOOKUP(B1074,'PO with created By ASR'!A:C,3,FALSE)</f>
        <v>45685</v>
      </c>
      <c r="J1074" s="2" t="str">
        <f>VLOOKUP(B1074,'PO with created By ASR'!A:G,4,FALSE)</f>
        <v>Hanja Express-Mum</v>
      </c>
      <c r="K1074" s="2" t="str">
        <f>VLOOKUP(B1074,'PO with created By ASR'!A:I,6,FALSE)</f>
        <v>10046 Hanja Express</v>
      </c>
      <c r="L1074" s="2" t="str">
        <f>VLOOKUP(B1074,'PO with created By ASR'!A:J,7,FALSE)</f>
        <v>A - Mumbai</v>
      </c>
      <c r="M1074" s="2" t="str">
        <f>VLOOKUP(B1074,'PO with created By ASR'!A:K,8,FALSE)</f>
        <v>Purchase Order-Mum</v>
      </c>
      <c r="N1074" t="s">
        <v>36</v>
      </c>
      <c r="P1074" s="2">
        <v>6</v>
      </c>
    </row>
    <row r="1075" s="2" customFormat="1" spans="1:16">
      <c r="A1075" s="8"/>
      <c r="B1075" s="9" t="s">
        <v>2018</v>
      </c>
      <c r="C1075" s="10" t="s">
        <v>347</v>
      </c>
      <c r="D1075" s="11">
        <v>1</v>
      </c>
      <c r="E1075" s="12">
        <v>60000</v>
      </c>
      <c r="F1075" s="13">
        <v>60000</v>
      </c>
      <c r="G1075" s="2">
        <f>VLOOKUP(B1075,'PO with created By ASR'!A:C,3,FALSE)</f>
        <v>45686</v>
      </c>
      <c r="J1075" s="2" t="str">
        <f>VLOOKUP(B1075,'PO with created By ASR'!A:G,4,FALSE)</f>
        <v>Ramesh C-Blr</v>
      </c>
      <c r="K1075" s="2" t="str">
        <f>VLOOKUP(B1075,'PO with created By ASR'!A:I,6,FALSE)</f>
        <v>10847 Ramesh C</v>
      </c>
      <c r="L1075" s="2" t="str">
        <f>VLOOKUP(B1075,'PO with created By ASR'!A:J,7,FALSE)</f>
        <v>B - Bangalore</v>
      </c>
      <c r="M1075" s="2" t="str">
        <f>VLOOKUP(B1075,'PO with created By ASR'!A:K,8,FALSE)</f>
        <v>Purchase Order-Blr</v>
      </c>
      <c r="N1075" t="s">
        <v>36</v>
      </c>
      <c r="P1075" s="2">
        <v>6</v>
      </c>
    </row>
    <row r="1076" s="2" customFormat="1" spans="1:16">
      <c r="A1076" s="8"/>
      <c r="B1076" s="9" t="s">
        <v>2023</v>
      </c>
      <c r="C1076" s="10" t="s">
        <v>61</v>
      </c>
      <c r="D1076" s="11">
        <v>1</v>
      </c>
      <c r="E1076" s="12">
        <v>107820</v>
      </c>
      <c r="F1076" s="13">
        <v>107820</v>
      </c>
      <c r="G1076" s="2">
        <f>VLOOKUP(B1076,'PO with created By ASR'!A:C,3,FALSE)</f>
        <v>45686</v>
      </c>
      <c r="J1076" s="2" t="str">
        <f>VLOOKUP(B1076,'PO with created By ASR'!A:G,4,FALSE)</f>
        <v>The Oberoi Bengaluru-Blr</v>
      </c>
      <c r="K1076" s="2" t="str">
        <f>VLOOKUP(B1076,'PO with created By ASR'!A:I,6,FALSE)</f>
        <v>10455  The Oberoi Bengaluru</v>
      </c>
      <c r="L1076" s="2" t="str">
        <f>VLOOKUP(B1076,'PO with created By ASR'!A:J,7,FALSE)</f>
        <v>B - Bangalore</v>
      </c>
      <c r="M1076" s="2" t="str">
        <f>VLOOKUP(B1076,'PO with created By ASR'!A:K,8,FALSE)</f>
        <v>Purchase Order-Blr</v>
      </c>
      <c r="N1076" t="s">
        <v>36</v>
      </c>
      <c r="P1076" s="2">
        <v>6</v>
      </c>
    </row>
    <row r="1077" s="2" customFormat="1" spans="1:16">
      <c r="A1077" s="8"/>
      <c r="B1077" s="9" t="s">
        <v>2023</v>
      </c>
      <c r="C1077" s="10" t="s">
        <v>61</v>
      </c>
      <c r="D1077" s="11">
        <v>1</v>
      </c>
      <c r="E1077" s="12">
        <v>1036</v>
      </c>
      <c r="F1077" s="13">
        <v>1036</v>
      </c>
      <c r="G1077" s="2">
        <f>VLOOKUP(B1077,'PO with created By ASR'!A:C,3,FALSE)</f>
        <v>45686</v>
      </c>
      <c r="J1077" s="2" t="str">
        <f>VLOOKUP(B1077,'PO with created By ASR'!A:G,4,FALSE)</f>
        <v>The Oberoi Bengaluru-Blr</v>
      </c>
      <c r="K1077" s="2" t="str">
        <f>VLOOKUP(B1077,'PO with created By ASR'!A:I,6,FALSE)</f>
        <v>10455  The Oberoi Bengaluru</v>
      </c>
      <c r="L1077" s="2" t="str">
        <f>VLOOKUP(B1077,'PO with created By ASR'!A:J,7,FALSE)</f>
        <v>B - Bangalore</v>
      </c>
      <c r="M1077" s="2" t="str">
        <f>VLOOKUP(B1077,'PO with created By ASR'!A:K,8,FALSE)</f>
        <v>Purchase Order-Blr</v>
      </c>
      <c r="N1077" t="s">
        <v>36</v>
      </c>
      <c r="P1077" s="2">
        <v>6</v>
      </c>
    </row>
    <row r="1078" s="2" customFormat="1" spans="1:16">
      <c r="A1078" s="8"/>
      <c r="B1078" s="9" t="s">
        <v>2025</v>
      </c>
      <c r="C1078" s="10" t="s">
        <v>126</v>
      </c>
      <c r="D1078" s="11">
        <v>1</v>
      </c>
      <c r="E1078" s="12">
        <v>3497</v>
      </c>
      <c r="F1078" s="13">
        <v>3497</v>
      </c>
      <c r="G1078" s="2">
        <f>VLOOKUP(B1078,'PO with created By ASR'!A:C,3,FALSE)</f>
        <v>45686</v>
      </c>
      <c r="J1078" s="2" t="str">
        <f>VLOOKUP(B1078,'PO with created By ASR'!A:G,4,FALSE)</f>
        <v>Paulraj S  -CR</v>
      </c>
      <c r="K1078" s="2" t="e">
        <f>VLOOKUP(B1078,'PO with created By ASR'!A:I,6,FALSE)</f>
        <v>#N/A</v>
      </c>
      <c r="L1078" s="2" t="str">
        <f>VLOOKUP(B1078,'PO with created By ASR'!A:J,7,FALSE)</f>
        <v>C - Chennai</v>
      </c>
      <c r="M1078" s="2" t="str">
        <f>VLOOKUP(B1078,'PO with created By ASR'!A:K,8,FALSE)</f>
        <v>Purchase Order-Che</v>
      </c>
      <c r="N1078" t="s">
        <v>36</v>
      </c>
      <c r="P1078" s="2">
        <v>6</v>
      </c>
    </row>
    <row r="1079" s="2" customFormat="1" spans="1:16">
      <c r="A1079" s="8"/>
      <c r="B1079" s="9" t="s">
        <v>2025</v>
      </c>
      <c r="C1079" s="10" t="s">
        <v>233</v>
      </c>
      <c r="D1079" s="11">
        <v>1</v>
      </c>
      <c r="E1079" s="12">
        <v>18500</v>
      </c>
      <c r="F1079" s="13">
        <v>18500</v>
      </c>
      <c r="G1079" s="2">
        <f>VLOOKUP(B1079,'PO with created By ASR'!A:C,3,FALSE)</f>
        <v>45686</v>
      </c>
      <c r="J1079" s="2" t="str">
        <f>VLOOKUP(B1079,'PO with created By ASR'!A:G,4,FALSE)</f>
        <v>Paulraj S  -CR</v>
      </c>
      <c r="K1079" s="2" t="e">
        <f>VLOOKUP(B1079,'PO with created By ASR'!A:I,6,FALSE)</f>
        <v>#N/A</v>
      </c>
      <c r="L1079" s="2" t="str">
        <f>VLOOKUP(B1079,'PO with created By ASR'!A:J,7,FALSE)</f>
        <v>C - Chennai</v>
      </c>
      <c r="M1079" s="2" t="str">
        <f>VLOOKUP(B1079,'PO with created By ASR'!A:K,8,FALSE)</f>
        <v>Purchase Order-Che</v>
      </c>
      <c r="N1079" t="s">
        <v>36</v>
      </c>
      <c r="P1079" s="2">
        <v>6</v>
      </c>
    </row>
    <row r="1080" s="2" customFormat="1" spans="1:16">
      <c r="A1080" s="8"/>
      <c r="B1080" s="9" t="s">
        <v>2026</v>
      </c>
      <c r="C1080" s="10" t="s">
        <v>412</v>
      </c>
      <c r="D1080" s="11">
        <v>1</v>
      </c>
      <c r="E1080" s="12">
        <v>1299</v>
      </c>
      <c r="F1080" s="13">
        <v>1299</v>
      </c>
      <c r="G1080" s="2">
        <f>VLOOKUP(B1080,'PO with created By ASR'!A:C,3,FALSE)</f>
        <v>45686</v>
      </c>
      <c r="J1080" s="2" t="str">
        <f>VLOOKUP(B1080,'PO with created By ASR'!A:G,4,FALSE)</f>
        <v>Clinton J  for Expense-CR</v>
      </c>
      <c r="K1080" s="2" t="e">
        <f>VLOOKUP(B1080,'PO with created By ASR'!A:I,6,FALSE)</f>
        <v>#N/A</v>
      </c>
      <c r="L1080" s="2" t="str">
        <f>VLOOKUP(B1080,'PO with created By ASR'!A:J,7,FALSE)</f>
        <v>C - Chennai</v>
      </c>
      <c r="M1080" s="2" t="str">
        <f>VLOOKUP(B1080,'PO with created By ASR'!A:K,8,FALSE)</f>
        <v>Purchase Order-Che</v>
      </c>
      <c r="N1080" t="s">
        <v>36</v>
      </c>
      <c r="P1080" s="2">
        <v>6</v>
      </c>
    </row>
    <row r="1081" s="2" customFormat="1" spans="1:16">
      <c r="A1081" s="8"/>
      <c r="B1081" s="9" t="s">
        <v>2027</v>
      </c>
      <c r="C1081" s="10" t="s">
        <v>126</v>
      </c>
      <c r="D1081" s="11">
        <v>1</v>
      </c>
      <c r="E1081" s="12">
        <v>800</v>
      </c>
      <c r="F1081" s="13">
        <v>800</v>
      </c>
      <c r="G1081" s="2">
        <f>VLOOKUP(B1081,'PO with created By ASR'!A:C,3,FALSE)</f>
        <v>45686</v>
      </c>
      <c r="J1081" s="2" t="str">
        <f>VLOOKUP(B1081,'PO with created By ASR'!A:G,4,FALSE)</f>
        <v>Santosh Bhogal Cash  -CR</v>
      </c>
      <c r="K1081" s="2" t="e">
        <f>VLOOKUP(B1081,'PO with created By ASR'!A:I,6,FALSE)</f>
        <v>#N/A</v>
      </c>
      <c r="L1081" s="2" t="str">
        <f>VLOOKUP(B1081,'PO with created By ASR'!A:J,7,FALSE)</f>
        <v>A - Mumbai</v>
      </c>
      <c r="M1081" s="2" t="str">
        <f>VLOOKUP(B1081,'PO with created By ASR'!A:K,8,FALSE)</f>
        <v>Purchase Order-Mum</v>
      </c>
      <c r="N1081" t="s">
        <v>36</v>
      </c>
      <c r="P1081" s="2">
        <v>6</v>
      </c>
    </row>
    <row r="1082" s="2" customFormat="1" spans="1:16">
      <c r="A1082" s="8"/>
      <c r="B1082" s="9" t="s">
        <v>2028</v>
      </c>
      <c r="C1082" s="10" t="s">
        <v>140</v>
      </c>
      <c r="D1082" s="11">
        <v>1</v>
      </c>
      <c r="E1082" s="12">
        <v>3600</v>
      </c>
      <c r="F1082" s="13">
        <v>3600</v>
      </c>
      <c r="G1082" s="2">
        <f>VLOOKUP(B1082,'PO with created By ASR'!A:C,3,FALSE)</f>
        <v>45686</v>
      </c>
      <c r="J1082" s="2" t="str">
        <f>VLOOKUP(B1082,'PO with created By ASR'!A:G,4,FALSE)</f>
        <v>Sachin Jadhav -CR</v>
      </c>
      <c r="K1082" s="2" t="e">
        <f>VLOOKUP(B1082,'PO with created By ASR'!A:I,6,FALSE)</f>
        <v>#N/A</v>
      </c>
      <c r="L1082" s="2" t="str">
        <f>VLOOKUP(B1082,'PO with created By ASR'!A:J,7,FALSE)</f>
        <v>A - Mumbai</v>
      </c>
      <c r="M1082" s="2" t="str">
        <f>VLOOKUP(B1082,'PO with created By ASR'!A:K,8,FALSE)</f>
        <v>Purchase Order-Mum</v>
      </c>
      <c r="N1082" t="s">
        <v>36</v>
      </c>
      <c r="P1082" s="2">
        <v>6</v>
      </c>
    </row>
    <row r="1083" s="2" customFormat="1" spans="1:16">
      <c r="A1083" s="8"/>
      <c r="B1083" s="9" t="s">
        <v>2028</v>
      </c>
      <c r="C1083" s="10" t="s">
        <v>126</v>
      </c>
      <c r="D1083" s="11">
        <v>1</v>
      </c>
      <c r="E1083" s="12">
        <v>830</v>
      </c>
      <c r="F1083" s="13">
        <v>830</v>
      </c>
      <c r="G1083" s="2">
        <f>VLOOKUP(B1083,'PO with created By ASR'!A:C,3,FALSE)</f>
        <v>45686</v>
      </c>
      <c r="J1083" s="2" t="str">
        <f>VLOOKUP(B1083,'PO with created By ASR'!A:G,4,FALSE)</f>
        <v>Sachin Jadhav -CR</v>
      </c>
      <c r="K1083" s="2" t="e">
        <f>VLOOKUP(B1083,'PO with created By ASR'!A:I,6,FALSE)</f>
        <v>#N/A</v>
      </c>
      <c r="L1083" s="2" t="str">
        <f>VLOOKUP(B1083,'PO with created By ASR'!A:J,7,FALSE)</f>
        <v>A - Mumbai</v>
      </c>
      <c r="M1083" s="2" t="str">
        <f>VLOOKUP(B1083,'PO with created By ASR'!A:K,8,FALSE)</f>
        <v>Purchase Order-Mum</v>
      </c>
      <c r="N1083" t="s">
        <v>36</v>
      </c>
      <c r="P1083" s="2">
        <v>6</v>
      </c>
    </row>
    <row r="1084" s="2" customFormat="1" spans="1:16">
      <c r="A1084" s="8"/>
      <c r="B1084" s="9" t="s">
        <v>2028</v>
      </c>
      <c r="C1084" s="10" t="s">
        <v>412</v>
      </c>
      <c r="D1084" s="11">
        <v>1</v>
      </c>
      <c r="E1084" s="12">
        <v>150</v>
      </c>
      <c r="F1084" s="13">
        <v>150</v>
      </c>
      <c r="G1084" s="2">
        <f>VLOOKUP(B1084,'PO with created By ASR'!A:C,3,FALSE)</f>
        <v>45686</v>
      </c>
      <c r="J1084" s="2" t="str">
        <f>VLOOKUP(B1084,'PO with created By ASR'!A:G,4,FALSE)</f>
        <v>Sachin Jadhav -CR</v>
      </c>
      <c r="K1084" s="2" t="e">
        <f>VLOOKUP(B1084,'PO with created By ASR'!A:I,6,FALSE)</f>
        <v>#N/A</v>
      </c>
      <c r="L1084" s="2" t="str">
        <f>VLOOKUP(B1084,'PO with created By ASR'!A:J,7,FALSE)</f>
        <v>A - Mumbai</v>
      </c>
      <c r="M1084" s="2" t="str">
        <f>VLOOKUP(B1084,'PO with created By ASR'!A:K,8,FALSE)</f>
        <v>Purchase Order-Mum</v>
      </c>
      <c r="N1084" t="s">
        <v>36</v>
      </c>
      <c r="P1084" s="2">
        <v>6</v>
      </c>
    </row>
    <row r="1085" s="2" customFormat="1" spans="1:16">
      <c r="A1085" s="8"/>
      <c r="B1085" s="9" t="s">
        <v>2029</v>
      </c>
      <c r="C1085" s="10" t="s">
        <v>317</v>
      </c>
      <c r="D1085" s="11">
        <v>1</v>
      </c>
      <c r="E1085" s="12">
        <v>975</v>
      </c>
      <c r="F1085" s="13">
        <v>975</v>
      </c>
      <c r="G1085" s="2">
        <f>VLOOKUP(B1085,'PO with created By ASR'!A:C,3,FALSE)</f>
        <v>45686</v>
      </c>
      <c r="J1085" s="2" t="str">
        <f>VLOOKUP(B1085,'PO with created By ASR'!A:G,4,FALSE)</f>
        <v>Sanil Thombare -CR</v>
      </c>
      <c r="K1085" s="2" t="e">
        <f>VLOOKUP(B1085,'PO with created By ASR'!A:I,6,FALSE)</f>
        <v>#N/A</v>
      </c>
      <c r="L1085" s="2" t="str">
        <f>VLOOKUP(B1085,'PO with created By ASR'!A:J,7,FALSE)</f>
        <v>A - Mumbai</v>
      </c>
      <c r="M1085" s="2" t="str">
        <f>VLOOKUP(B1085,'PO with created By ASR'!A:K,8,FALSE)</f>
        <v>Purchase Order-Mum</v>
      </c>
      <c r="N1085" t="s">
        <v>36</v>
      </c>
      <c r="P1085" s="2">
        <v>6</v>
      </c>
    </row>
    <row r="1086" s="2" customFormat="1" spans="1:16">
      <c r="A1086" s="8"/>
      <c r="B1086" s="9" t="s">
        <v>2029</v>
      </c>
      <c r="C1086" s="10" t="s">
        <v>126</v>
      </c>
      <c r="D1086" s="11">
        <v>1</v>
      </c>
      <c r="E1086" s="12">
        <v>1402</v>
      </c>
      <c r="F1086" s="13">
        <v>1402</v>
      </c>
      <c r="G1086" s="2">
        <f>VLOOKUP(B1086,'PO with created By ASR'!A:C,3,FALSE)</f>
        <v>45686</v>
      </c>
      <c r="J1086" s="2" t="str">
        <f>VLOOKUP(B1086,'PO with created By ASR'!A:G,4,FALSE)</f>
        <v>Sanil Thombare -CR</v>
      </c>
      <c r="K1086" s="2" t="e">
        <f>VLOOKUP(B1086,'PO with created By ASR'!A:I,6,FALSE)</f>
        <v>#N/A</v>
      </c>
      <c r="L1086" s="2" t="str">
        <f>VLOOKUP(B1086,'PO with created By ASR'!A:J,7,FALSE)</f>
        <v>A - Mumbai</v>
      </c>
      <c r="M1086" s="2" t="str">
        <f>VLOOKUP(B1086,'PO with created By ASR'!A:K,8,FALSE)</f>
        <v>Purchase Order-Mum</v>
      </c>
      <c r="N1086" t="s">
        <v>36</v>
      </c>
      <c r="P1086" s="2">
        <v>6</v>
      </c>
    </row>
    <row r="1087" s="2" customFormat="1" spans="1:16">
      <c r="A1087" s="8"/>
      <c r="B1087" s="9" t="s">
        <v>2029</v>
      </c>
      <c r="C1087" s="10" t="s">
        <v>412</v>
      </c>
      <c r="D1087" s="11">
        <v>1</v>
      </c>
      <c r="E1087" s="12">
        <v>150</v>
      </c>
      <c r="F1087" s="13">
        <v>150</v>
      </c>
      <c r="G1087" s="2">
        <f>VLOOKUP(B1087,'PO with created By ASR'!A:C,3,FALSE)</f>
        <v>45686</v>
      </c>
      <c r="J1087" s="2" t="str">
        <f>VLOOKUP(B1087,'PO with created By ASR'!A:G,4,FALSE)</f>
        <v>Sanil Thombare -CR</v>
      </c>
      <c r="K1087" s="2" t="e">
        <f>VLOOKUP(B1087,'PO with created By ASR'!A:I,6,FALSE)</f>
        <v>#N/A</v>
      </c>
      <c r="L1087" s="2" t="str">
        <f>VLOOKUP(B1087,'PO with created By ASR'!A:J,7,FALSE)</f>
        <v>A - Mumbai</v>
      </c>
      <c r="M1087" s="2" t="str">
        <f>VLOOKUP(B1087,'PO with created By ASR'!A:K,8,FALSE)</f>
        <v>Purchase Order-Mum</v>
      </c>
      <c r="N1087" t="s">
        <v>36</v>
      </c>
      <c r="P1087" s="2">
        <v>6</v>
      </c>
    </row>
    <row r="1088" s="2" customFormat="1" spans="1:16">
      <c r="A1088" s="8"/>
      <c r="B1088" s="9" t="s">
        <v>2031</v>
      </c>
      <c r="C1088" s="10" t="s">
        <v>126</v>
      </c>
      <c r="D1088" s="11">
        <v>1</v>
      </c>
      <c r="E1088" s="12">
        <v>2076</v>
      </c>
      <c r="F1088" s="13">
        <v>2076</v>
      </c>
      <c r="G1088" s="2">
        <f>VLOOKUP(B1088,'PO with created By ASR'!A:C,3,FALSE)</f>
        <v>45686</v>
      </c>
      <c r="J1088" s="2" t="str">
        <f>VLOOKUP(B1088,'PO with created By ASR'!A:G,4,FALSE)</f>
        <v>Sachin Jadhav -CR</v>
      </c>
      <c r="K1088" s="2" t="e">
        <f>VLOOKUP(B1088,'PO with created By ASR'!A:I,6,FALSE)</f>
        <v>#N/A</v>
      </c>
      <c r="L1088" s="2" t="str">
        <f>VLOOKUP(B1088,'PO with created By ASR'!A:J,7,FALSE)</f>
        <v>A - Mumbai</v>
      </c>
      <c r="M1088" s="2" t="str">
        <f>VLOOKUP(B1088,'PO with created By ASR'!A:K,8,FALSE)</f>
        <v>Purchase Order-Mum</v>
      </c>
      <c r="N1088" t="s">
        <v>36</v>
      </c>
      <c r="P1088" s="2">
        <v>6</v>
      </c>
    </row>
    <row r="1089" s="2" customFormat="1" spans="1:16">
      <c r="A1089" s="8"/>
      <c r="B1089" s="9" t="s">
        <v>2031</v>
      </c>
      <c r="C1089" s="10" t="s">
        <v>317</v>
      </c>
      <c r="D1089" s="11">
        <v>1</v>
      </c>
      <c r="E1089" s="12">
        <v>11582</v>
      </c>
      <c r="F1089" s="13">
        <v>11582</v>
      </c>
      <c r="G1089" s="2">
        <f>VLOOKUP(B1089,'PO with created By ASR'!A:C,3,FALSE)</f>
        <v>45686</v>
      </c>
      <c r="J1089" s="2" t="str">
        <f>VLOOKUP(B1089,'PO with created By ASR'!A:G,4,FALSE)</f>
        <v>Sachin Jadhav -CR</v>
      </c>
      <c r="K1089" s="2" t="e">
        <f>VLOOKUP(B1089,'PO with created By ASR'!A:I,6,FALSE)</f>
        <v>#N/A</v>
      </c>
      <c r="L1089" s="2" t="str">
        <f>VLOOKUP(B1089,'PO with created By ASR'!A:J,7,FALSE)</f>
        <v>A - Mumbai</v>
      </c>
      <c r="M1089" s="2" t="str">
        <f>VLOOKUP(B1089,'PO with created By ASR'!A:K,8,FALSE)</f>
        <v>Purchase Order-Mum</v>
      </c>
      <c r="N1089" t="s">
        <v>36</v>
      </c>
      <c r="P1089" s="2">
        <v>6</v>
      </c>
    </row>
    <row r="1090" s="2" customFormat="1" spans="1:16">
      <c r="A1090" s="8"/>
      <c r="B1090" s="9" t="s">
        <v>2032</v>
      </c>
      <c r="C1090" s="10" t="s">
        <v>317</v>
      </c>
      <c r="D1090" s="11">
        <v>1</v>
      </c>
      <c r="E1090" s="12">
        <v>4154</v>
      </c>
      <c r="F1090" s="13">
        <v>4154</v>
      </c>
      <c r="G1090" s="2">
        <f>VLOOKUP(B1090,'PO with created By ASR'!A:C,3,FALSE)</f>
        <v>45686</v>
      </c>
      <c r="J1090" s="2" t="str">
        <f>VLOOKUP(B1090,'PO with created By ASR'!A:G,4,FALSE)</f>
        <v>Pinky Sharma  -CR</v>
      </c>
      <c r="K1090" s="2" t="e">
        <f>VLOOKUP(B1090,'PO with created By ASR'!A:I,6,FALSE)</f>
        <v>#N/A</v>
      </c>
      <c r="L1090" s="2" t="str">
        <f>VLOOKUP(B1090,'PO with created By ASR'!A:J,7,FALSE)</f>
        <v>A - Mumbai</v>
      </c>
      <c r="M1090" s="2" t="str">
        <f>VLOOKUP(B1090,'PO with created By ASR'!A:K,8,FALSE)</f>
        <v>Purchase Order-Mum</v>
      </c>
      <c r="N1090" t="s">
        <v>36</v>
      </c>
      <c r="P1090" s="2">
        <v>6</v>
      </c>
    </row>
    <row r="1091" s="2" customFormat="1" spans="1:16">
      <c r="A1091" s="8"/>
      <c r="B1091" s="9" t="s">
        <v>2032</v>
      </c>
      <c r="C1091" s="10" t="s">
        <v>126</v>
      </c>
      <c r="D1091" s="11">
        <v>1</v>
      </c>
      <c r="E1091" s="12">
        <v>9673</v>
      </c>
      <c r="F1091" s="13">
        <v>9673</v>
      </c>
      <c r="G1091" s="2">
        <f>VLOOKUP(B1091,'PO with created By ASR'!A:C,3,FALSE)</f>
        <v>45686</v>
      </c>
      <c r="J1091" s="2" t="str">
        <f>VLOOKUP(B1091,'PO with created By ASR'!A:G,4,FALSE)</f>
        <v>Pinky Sharma  -CR</v>
      </c>
      <c r="K1091" s="2" t="e">
        <f>VLOOKUP(B1091,'PO with created By ASR'!A:I,6,FALSE)</f>
        <v>#N/A</v>
      </c>
      <c r="L1091" s="2" t="str">
        <f>VLOOKUP(B1091,'PO with created By ASR'!A:J,7,FALSE)</f>
        <v>A - Mumbai</v>
      </c>
      <c r="M1091" s="2" t="str">
        <f>VLOOKUP(B1091,'PO with created By ASR'!A:K,8,FALSE)</f>
        <v>Purchase Order-Mum</v>
      </c>
      <c r="N1091" t="s">
        <v>36</v>
      </c>
      <c r="P1091" s="2">
        <v>6</v>
      </c>
    </row>
    <row r="1092" s="2" customFormat="1" spans="1:16">
      <c r="A1092" s="8"/>
      <c r="B1092" s="9" t="s">
        <v>2032</v>
      </c>
      <c r="C1092" s="10" t="s">
        <v>412</v>
      </c>
      <c r="D1092" s="11">
        <v>1</v>
      </c>
      <c r="E1092" s="12">
        <v>2326.45</v>
      </c>
      <c r="F1092" s="13">
        <v>2326.45</v>
      </c>
      <c r="G1092" s="2">
        <f>VLOOKUP(B1092,'PO with created By ASR'!A:C,3,FALSE)</f>
        <v>45686</v>
      </c>
      <c r="J1092" s="2" t="str">
        <f>VLOOKUP(B1092,'PO with created By ASR'!A:G,4,FALSE)</f>
        <v>Pinky Sharma  -CR</v>
      </c>
      <c r="K1092" s="2" t="e">
        <f>VLOOKUP(B1092,'PO with created By ASR'!A:I,6,FALSE)</f>
        <v>#N/A</v>
      </c>
      <c r="L1092" s="2" t="str">
        <f>VLOOKUP(B1092,'PO with created By ASR'!A:J,7,FALSE)</f>
        <v>A - Mumbai</v>
      </c>
      <c r="M1092" s="2" t="str">
        <f>VLOOKUP(B1092,'PO with created By ASR'!A:K,8,FALSE)</f>
        <v>Purchase Order-Mum</v>
      </c>
      <c r="N1092" t="s">
        <v>36</v>
      </c>
      <c r="P1092" s="2">
        <v>6</v>
      </c>
    </row>
    <row r="1093" s="2" customFormat="1" spans="1:16">
      <c r="A1093" s="8"/>
      <c r="B1093" s="9" t="s">
        <v>2034</v>
      </c>
      <c r="C1093" s="10" t="s">
        <v>126</v>
      </c>
      <c r="D1093" s="11">
        <v>1</v>
      </c>
      <c r="E1093" s="12">
        <v>3959.13</v>
      </c>
      <c r="F1093" s="13">
        <v>3959.13</v>
      </c>
      <c r="G1093" s="2">
        <f>VLOOKUP(B1093,'PO with created By ASR'!A:C,3,FALSE)</f>
        <v>45686</v>
      </c>
      <c r="J1093" s="2" t="str">
        <f>VLOOKUP(B1093,'PO with created By ASR'!A:G,4,FALSE)</f>
        <v>Hemanshu Sawant  -CR</v>
      </c>
      <c r="K1093" s="2" t="e">
        <f>VLOOKUP(B1093,'PO with created By ASR'!A:I,6,FALSE)</f>
        <v>#N/A</v>
      </c>
      <c r="L1093" s="2" t="str">
        <f>VLOOKUP(B1093,'PO with created By ASR'!A:J,7,FALSE)</f>
        <v>A - Mumbai</v>
      </c>
      <c r="M1093" s="2" t="str">
        <f>VLOOKUP(B1093,'PO with created By ASR'!A:K,8,FALSE)</f>
        <v>Purchase Order-Mum</v>
      </c>
      <c r="N1093" t="s">
        <v>36</v>
      </c>
      <c r="P1093" s="2">
        <v>6</v>
      </c>
    </row>
    <row r="1094" s="2" customFormat="1" spans="1:16">
      <c r="A1094" s="8"/>
      <c r="B1094" s="9" t="s">
        <v>2034</v>
      </c>
      <c r="C1094" s="10" t="s">
        <v>412</v>
      </c>
      <c r="D1094" s="11">
        <v>1</v>
      </c>
      <c r="E1094" s="12">
        <v>12497.65</v>
      </c>
      <c r="F1094" s="13">
        <v>12497.65</v>
      </c>
      <c r="G1094" s="2">
        <f>VLOOKUP(B1094,'PO with created By ASR'!A:C,3,FALSE)</f>
        <v>45686</v>
      </c>
      <c r="J1094" s="2" t="str">
        <f>VLOOKUP(B1094,'PO with created By ASR'!A:G,4,FALSE)</f>
        <v>Hemanshu Sawant  -CR</v>
      </c>
      <c r="K1094" s="2" t="e">
        <f>VLOOKUP(B1094,'PO with created By ASR'!A:I,6,FALSE)</f>
        <v>#N/A</v>
      </c>
      <c r="L1094" s="2" t="str">
        <f>VLOOKUP(B1094,'PO with created By ASR'!A:J,7,FALSE)</f>
        <v>A - Mumbai</v>
      </c>
      <c r="M1094" s="2" t="str">
        <f>VLOOKUP(B1094,'PO with created By ASR'!A:K,8,FALSE)</f>
        <v>Purchase Order-Mum</v>
      </c>
      <c r="N1094" t="s">
        <v>36</v>
      </c>
      <c r="P1094" s="2">
        <v>6</v>
      </c>
    </row>
    <row r="1095" s="2" customFormat="1" spans="1:16">
      <c r="A1095" s="8"/>
      <c r="B1095" s="9" t="s">
        <v>2034</v>
      </c>
      <c r="C1095" s="10" t="s">
        <v>61</v>
      </c>
      <c r="D1095" s="11">
        <v>1</v>
      </c>
      <c r="E1095" s="12">
        <v>6944</v>
      </c>
      <c r="F1095" s="13">
        <v>6944</v>
      </c>
      <c r="G1095" s="2">
        <f>VLOOKUP(B1095,'PO with created By ASR'!A:C,3,FALSE)</f>
        <v>45686</v>
      </c>
      <c r="J1095" s="2" t="str">
        <f>VLOOKUP(B1095,'PO with created By ASR'!A:G,4,FALSE)</f>
        <v>Hemanshu Sawant  -CR</v>
      </c>
      <c r="K1095" s="2" t="e">
        <f>VLOOKUP(B1095,'PO with created By ASR'!A:I,6,FALSE)</f>
        <v>#N/A</v>
      </c>
      <c r="L1095" s="2" t="str">
        <f>VLOOKUP(B1095,'PO with created By ASR'!A:J,7,FALSE)</f>
        <v>A - Mumbai</v>
      </c>
      <c r="M1095" s="2" t="str">
        <f>VLOOKUP(B1095,'PO with created By ASR'!A:K,8,FALSE)</f>
        <v>Purchase Order-Mum</v>
      </c>
      <c r="N1095" t="s">
        <v>36</v>
      </c>
      <c r="P1095" s="2">
        <v>6</v>
      </c>
    </row>
    <row r="1096" s="2" customFormat="1" spans="1:16">
      <c r="A1096" s="8"/>
      <c r="B1096" s="9" t="s">
        <v>2035</v>
      </c>
      <c r="C1096" s="10" t="s">
        <v>126</v>
      </c>
      <c r="D1096" s="11">
        <v>1</v>
      </c>
      <c r="E1096" s="12">
        <v>1072</v>
      </c>
      <c r="F1096" s="13">
        <v>1072</v>
      </c>
      <c r="G1096" s="2">
        <f>VLOOKUP(B1096,'PO with created By ASR'!A:C,3,FALSE)</f>
        <v>45686</v>
      </c>
      <c r="J1096" s="2" t="str">
        <f>VLOOKUP(B1096,'PO with created By ASR'!A:G,4,FALSE)</f>
        <v>Hemanshu Sawant  -CR</v>
      </c>
      <c r="K1096" s="2" t="e">
        <f>VLOOKUP(B1096,'PO with created By ASR'!A:I,6,FALSE)</f>
        <v>#N/A</v>
      </c>
      <c r="L1096" s="2" t="str">
        <f>VLOOKUP(B1096,'PO with created By ASR'!A:J,7,FALSE)</f>
        <v>A - Mumbai</v>
      </c>
      <c r="M1096" s="2" t="str">
        <f>VLOOKUP(B1096,'PO with created By ASR'!A:K,8,FALSE)</f>
        <v>Purchase Order-Mum</v>
      </c>
      <c r="N1096" t="s">
        <v>36</v>
      </c>
      <c r="P1096" s="2">
        <v>6</v>
      </c>
    </row>
    <row r="1097" s="2" customFormat="1" spans="1:16">
      <c r="A1097" s="8"/>
      <c r="B1097" s="9" t="s">
        <v>2035</v>
      </c>
      <c r="C1097" s="10" t="s">
        <v>412</v>
      </c>
      <c r="D1097" s="11">
        <v>1</v>
      </c>
      <c r="E1097" s="12">
        <v>730</v>
      </c>
      <c r="F1097" s="13">
        <v>730</v>
      </c>
      <c r="G1097" s="2">
        <f>VLOOKUP(B1097,'PO with created By ASR'!A:C,3,FALSE)</f>
        <v>45686</v>
      </c>
      <c r="J1097" s="2" t="str">
        <f>VLOOKUP(B1097,'PO with created By ASR'!A:G,4,FALSE)</f>
        <v>Hemanshu Sawant  -CR</v>
      </c>
      <c r="K1097" s="2" t="e">
        <f>VLOOKUP(B1097,'PO with created By ASR'!A:I,6,FALSE)</f>
        <v>#N/A</v>
      </c>
      <c r="L1097" s="2" t="str">
        <f>VLOOKUP(B1097,'PO with created By ASR'!A:J,7,FALSE)</f>
        <v>A - Mumbai</v>
      </c>
      <c r="M1097" s="2" t="str">
        <f>VLOOKUP(B1097,'PO with created By ASR'!A:K,8,FALSE)</f>
        <v>Purchase Order-Mum</v>
      </c>
      <c r="N1097" t="s">
        <v>36</v>
      </c>
      <c r="P1097" s="2">
        <v>6</v>
      </c>
    </row>
    <row r="1098" s="2" customFormat="1" spans="1:16">
      <c r="A1098" s="8"/>
      <c r="B1098" s="9" t="s">
        <v>2036</v>
      </c>
      <c r="C1098" s="10" t="s">
        <v>1055</v>
      </c>
      <c r="D1098" s="11">
        <v>1</v>
      </c>
      <c r="E1098" s="12">
        <v>10500</v>
      </c>
      <c r="F1098" s="13">
        <v>10500</v>
      </c>
      <c r="G1098" s="2">
        <f>VLOOKUP(B1098,'PO with created By ASR'!A:C,3,FALSE)</f>
        <v>45686</v>
      </c>
      <c r="J1098" s="2" t="str">
        <f>VLOOKUP(B1098,'PO with created By ASR'!A:G,4,FALSE)</f>
        <v>Sachin Jadhav -CR</v>
      </c>
      <c r="K1098" s="2" t="e">
        <f>VLOOKUP(B1098,'PO with created By ASR'!A:I,6,FALSE)</f>
        <v>#N/A</v>
      </c>
      <c r="L1098" s="2" t="str">
        <f>VLOOKUP(B1098,'PO with created By ASR'!A:J,7,FALSE)</f>
        <v>A - Mumbai</v>
      </c>
      <c r="M1098" s="2" t="str">
        <f>VLOOKUP(B1098,'PO with created By ASR'!A:K,8,FALSE)</f>
        <v>Purchase Order-Mum</v>
      </c>
      <c r="N1098" t="s">
        <v>36</v>
      </c>
      <c r="P1098" s="2">
        <v>6</v>
      </c>
    </row>
    <row r="1099" s="2" customFormat="1" spans="1:16">
      <c r="A1099" s="8"/>
      <c r="B1099" s="9" t="s">
        <v>2036</v>
      </c>
      <c r="C1099" s="10" t="s">
        <v>412</v>
      </c>
      <c r="D1099" s="11">
        <v>1</v>
      </c>
      <c r="E1099" s="12">
        <v>500</v>
      </c>
      <c r="F1099" s="13">
        <v>500</v>
      </c>
      <c r="G1099" s="2">
        <f>VLOOKUP(B1099,'PO with created By ASR'!A:C,3,FALSE)</f>
        <v>45686</v>
      </c>
      <c r="J1099" s="2" t="str">
        <f>VLOOKUP(B1099,'PO with created By ASR'!A:G,4,FALSE)</f>
        <v>Sachin Jadhav -CR</v>
      </c>
      <c r="K1099" s="2" t="e">
        <f>VLOOKUP(B1099,'PO with created By ASR'!A:I,6,FALSE)</f>
        <v>#N/A</v>
      </c>
      <c r="L1099" s="2" t="str">
        <f>VLOOKUP(B1099,'PO with created By ASR'!A:J,7,FALSE)</f>
        <v>A - Mumbai</v>
      </c>
      <c r="M1099" s="2" t="str">
        <f>VLOOKUP(B1099,'PO with created By ASR'!A:K,8,FALSE)</f>
        <v>Purchase Order-Mum</v>
      </c>
      <c r="N1099" t="s">
        <v>36</v>
      </c>
      <c r="P1099" s="2">
        <v>6</v>
      </c>
    </row>
    <row r="1100" s="2" customFormat="1" spans="1:16">
      <c r="A1100" s="8"/>
      <c r="B1100" s="9" t="s">
        <v>2037</v>
      </c>
      <c r="C1100" s="10" t="s">
        <v>126</v>
      </c>
      <c r="D1100" s="11">
        <v>1</v>
      </c>
      <c r="E1100" s="12">
        <v>953</v>
      </c>
      <c r="F1100" s="13">
        <v>953</v>
      </c>
      <c r="G1100" s="2">
        <f>VLOOKUP(B1100,'PO with created By ASR'!A:C,3,FALSE)</f>
        <v>45686</v>
      </c>
      <c r="J1100" s="2" t="str">
        <f>VLOOKUP(B1100,'PO with created By ASR'!A:G,4,FALSE)</f>
        <v>Suresh Pardhle  -CR</v>
      </c>
      <c r="K1100" s="2" t="e">
        <f>VLOOKUP(B1100,'PO with created By ASR'!A:I,6,FALSE)</f>
        <v>#N/A</v>
      </c>
      <c r="L1100" s="2" t="str">
        <f>VLOOKUP(B1100,'PO with created By ASR'!A:J,7,FALSE)</f>
        <v>A - Mumbai</v>
      </c>
      <c r="M1100" s="2" t="str">
        <f>VLOOKUP(B1100,'PO with created By ASR'!A:K,8,FALSE)</f>
        <v>Purchase Order-Mum</v>
      </c>
      <c r="N1100" t="s">
        <v>36</v>
      </c>
      <c r="P1100" s="2">
        <v>6</v>
      </c>
    </row>
    <row r="1101" s="2" customFormat="1" spans="1:16">
      <c r="A1101" s="8"/>
      <c r="B1101" s="9" t="s">
        <v>2038</v>
      </c>
      <c r="C1101" s="10" t="s">
        <v>61</v>
      </c>
      <c r="D1101" s="11">
        <v>1</v>
      </c>
      <c r="E1101" s="12">
        <v>4635.5</v>
      </c>
      <c r="F1101" s="13">
        <v>4635.5</v>
      </c>
      <c r="G1101" s="2">
        <f>VLOOKUP(B1101,'PO with created By ASR'!A:C,3,FALSE)</f>
        <v>45686</v>
      </c>
      <c r="J1101" s="2" t="str">
        <f>VLOOKUP(B1101,'PO with created By ASR'!A:G,4,FALSE)</f>
        <v>Chahek Poddar  -CR</v>
      </c>
      <c r="K1101" s="2" t="e">
        <f>VLOOKUP(B1101,'PO with created By ASR'!A:I,6,FALSE)</f>
        <v>#N/A</v>
      </c>
      <c r="L1101" s="2" t="str">
        <f>VLOOKUP(B1101,'PO with created By ASR'!A:J,7,FALSE)</f>
        <v>A - Mumbai</v>
      </c>
      <c r="M1101" s="2" t="str">
        <f>VLOOKUP(B1101,'PO with created By ASR'!A:K,8,FALSE)</f>
        <v>Purchase Order-Mum</v>
      </c>
      <c r="N1101" t="s">
        <v>36</v>
      </c>
      <c r="P1101" s="2">
        <v>6</v>
      </c>
    </row>
    <row r="1102" s="2" customFormat="1" spans="1:16">
      <c r="A1102" s="8"/>
      <c r="B1102" s="9" t="s">
        <v>2040</v>
      </c>
      <c r="C1102" s="10" t="s">
        <v>126</v>
      </c>
      <c r="D1102" s="11">
        <v>1</v>
      </c>
      <c r="E1102" s="12">
        <v>1086</v>
      </c>
      <c r="F1102" s="13">
        <v>1086</v>
      </c>
      <c r="G1102" s="2">
        <f>VLOOKUP(B1102,'PO with created By ASR'!A:C,3,FALSE)</f>
        <v>45686</v>
      </c>
      <c r="J1102" s="2" t="str">
        <f>VLOOKUP(B1102,'PO with created By ASR'!A:G,4,FALSE)</f>
        <v>Mahendra Mane -CR</v>
      </c>
      <c r="K1102" s="2" t="e">
        <f>VLOOKUP(B1102,'PO with created By ASR'!A:I,6,FALSE)</f>
        <v>#N/A</v>
      </c>
      <c r="L1102" s="2" t="str">
        <f>VLOOKUP(B1102,'PO with created By ASR'!A:J,7,FALSE)</f>
        <v>A - Mumbai</v>
      </c>
      <c r="M1102" s="2" t="str">
        <f>VLOOKUP(B1102,'PO with created By ASR'!A:K,8,FALSE)</f>
        <v>Purchase Order-Mum</v>
      </c>
      <c r="N1102" t="s">
        <v>36</v>
      </c>
      <c r="P1102" s="2">
        <v>6</v>
      </c>
    </row>
    <row r="1103" s="2" customFormat="1" spans="1:16">
      <c r="A1103" s="8"/>
      <c r="B1103" s="9" t="s">
        <v>2040</v>
      </c>
      <c r="C1103" s="10" t="s">
        <v>412</v>
      </c>
      <c r="D1103" s="11">
        <v>1</v>
      </c>
      <c r="E1103" s="12">
        <v>150</v>
      </c>
      <c r="F1103" s="13">
        <v>150</v>
      </c>
      <c r="G1103" s="2">
        <f>VLOOKUP(B1103,'PO with created By ASR'!A:C,3,FALSE)</f>
        <v>45686</v>
      </c>
      <c r="J1103" s="2" t="str">
        <f>VLOOKUP(B1103,'PO with created By ASR'!A:G,4,FALSE)</f>
        <v>Mahendra Mane -CR</v>
      </c>
      <c r="K1103" s="2" t="e">
        <f>VLOOKUP(B1103,'PO with created By ASR'!A:I,6,FALSE)</f>
        <v>#N/A</v>
      </c>
      <c r="L1103" s="2" t="str">
        <f>VLOOKUP(B1103,'PO with created By ASR'!A:J,7,FALSE)</f>
        <v>A - Mumbai</v>
      </c>
      <c r="M1103" s="2" t="str">
        <f>VLOOKUP(B1103,'PO with created By ASR'!A:K,8,FALSE)</f>
        <v>Purchase Order-Mum</v>
      </c>
      <c r="N1103" t="s">
        <v>36</v>
      </c>
      <c r="P1103" s="2">
        <v>6</v>
      </c>
    </row>
    <row r="1104" s="2" customFormat="1" spans="1:16">
      <c r="A1104" s="8"/>
      <c r="B1104" s="9" t="s">
        <v>2041</v>
      </c>
      <c r="C1104" s="10" t="s">
        <v>140</v>
      </c>
      <c r="D1104" s="11">
        <v>1</v>
      </c>
      <c r="E1104" s="12">
        <v>50900</v>
      </c>
      <c r="F1104" s="13">
        <v>50900</v>
      </c>
      <c r="G1104" s="2">
        <f>VLOOKUP(B1104,'PO with created By ASR'!A:C,3,FALSE)</f>
        <v>45686</v>
      </c>
      <c r="J1104" s="2" t="str">
        <f>VLOOKUP(B1104,'PO with created By ASR'!A:G,4,FALSE)</f>
        <v>Mahendra Mane -CR</v>
      </c>
      <c r="K1104" s="2" t="e">
        <f>VLOOKUP(B1104,'PO with created By ASR'!A:I,6,FALSE)</f>
        <v>#N/A</v>
      </c>
      <c r="L1104" s="2" t="str">
        <f>VLOOKUP(B1104,'PO with created By ASR'!A:J,7,FALSE)</f>
        <v>A - Mumbai</v>
      </c>
      <c r="M1104" s="2" t="str">
        <f>VLOOKUP(B1104,'PO with created By ASR'!A:K,8,FALSE)</f>
        <v>Purchase Order-Mum</v>
      </c>
      <c r="N1104" t="s">
        <v>36</v>
      </c>
      <c r="P1104" s="2">
        <v>6</v>
      </c>
    </row>
    <row r="1105" s="2" customFormat="1" spans="1:16">
      <c r="A1105" s="8"/>
      <c r="B1105" s="9" t="s">
        <v>2042</v>
      </c>
      <c r="C1105" s="10" t="s">
        <v>317</v>
      </c>
      <c r="D1105" s="11">
        <v>1</v>
      </c>
      <c r="E1105" s="12">
        <v>7500</v>
      </c>
      <c r="F1105" s="13">
        <v>7500</v>
      </c>
      <c r="G1105" s="2">
        <f>VLOOKUP(B1105,'PO with created By ASR'!A:C,3,FALSE)</f>
        <v>45686</v>
      </c>
      <c r="J1105" s="2" t="str">
        <f>VLOOKUP(B1105,'PO with created By ASR'!A:G,4,FALSE)</f>
        <v>Sachin Jadhav -CR</v>
      </c>
      <c r="K1105" s="2" t="e">
        <f>VLOOKUP(B1105,'PO with created By ASR'!A:I,6,FALSE)</f>
        <v>#N/A</v>
      </c>
      <c r="L1105" s="2" t="str">
        <f>VLOOKUP(B1105,'PO with created By ASR'!A:J,7,FALSE)</f>
        <v>A - Mumbai</v>
      </c>
      <c r="M1105" s="2" t="str">
        <f>VLOOKUP(B1105,'PO with created By ASR'!A:K,8,FALSE)</f>
        <v>Purchase Order-Mum</v>
      </c>
      <c r="N1105" t="s">
        <v>36</v>
      </c>
      <c r="P1105" s="2">
        <v>6</v>
      </c>
    </row>
    <row r="1106" s="2" customFormat="1" spans="1:16">
      <c r="A1106" s="8"/>
      <c r="B1106" s="9" t="s">
        <v>2043</v>
      </c>
      <c r="C1106" s="10" t="s">
        <v>412</v>
      </c>
      <c r="D1106" s="11">
        <v>1</v>
      </c>
      <c r="E1106" s="12">
        <v>57070.52</v>
      </c>
      <c r="F1106" s="13">
        <v>57070.52</v>
      </c>
      <c r="G1106" s="2">
        <f>VLOOKUP(B1106,'PO with created By ASR'!A:C,3,FALSE)</f>
        <v>45686</v>
      </c>
      <c r="J1106" s="2" t="str">
        <f>VLOOKUP(B1106,'PO with created By ASR'!A:G,4,FALSE)</f>
        <v>Chahek Poddar  -CR</v>
      </c>
      <c r="K1106" s="2" t="e">
        <f>VLOOKUP(B1106,'PO with created By ASR'!A:I,6,FALSE)</f>
        <v>#N/A</v>
      </c>
      <c r="L1106" s="2" t="str">
        <f>VLOOKUP(B1106,'PO with created By ASR'!A:J,7,FALSE)</f>
        <v>A - Mumbai</v>
      </c>
      <c r="M1106" s="2" t="str">
        <f>VLOOKUP(B1106,'PO with created By ASR'!A:K,8,FALSE)</f>
        <v>Purchase Order-Mum</v>
      </c>
      <c r="N1106" t="s">
        <v>36</v>
      </c>
      <c r="P1106" s="2">
        <v>6</v>
      </c>
    </row>
    <row r="1107" s="2" customFormat="1" spans="1:16">
      <c r="A1107" s="8"/>
      <c r="B1107" s="9" t="s">
        <v>2044</v>
      </c>
      <c r="C1107" s="10" t="s">
        <v>317</v>
      </c>
      <c r="D1107" s="11">
        <v>1</v>
      </c>
      <c r="E1107" s="12">
        <v>1645</v>
      </c>
      <c r="F1107" s="13">
        <v>1645</v>
      </c>
      <c r="G1107" s="2">
        <f>VLOOKUP(B1107,'PO with created By ASR'!A:C,3,FALSE)</f>
        <v>45686</v>
      </c>
      <c r="J1107" s="2" t="str">
        <f>VLOOKUP(B1107,'PO with created By ASR'!A:G,4,FALSE)</f>
        <v>Mahendra Mane -CR</v>
      </c>
      <c r="K1107" s="2" t="e">
        <f>VLOOKUP(B1107,'PO with created By ASR'!A:I,6,FALSE)</f>
        <v>#N/A</v>
      </c>
      <c r="L1107" s="2" t="str">
        <f>VLOOKUP(B1107,'PO with created By ASR'!A:J,7,FALSE)</f>
        <v>A - Mumbai</v>
      </c>
      <c r="M1107" s="2" t="str">
        <f>VLOOKUP(B1107,'PO with created By ASR'!A:K,8,FALSE)</f>
        <v>Purchase Order-Mum</v>
      </c>
      <c r="N1107" t="s">
        <v>36</v>
      </c>
      <c r="P1107" s="2">
        <v>6</v>
      </c>
    </row>
    <row r="1108" s="2" customFormat="1" spans="1:16">
      <c r="A1108" s="8"/>
      <c r="B1108" s="9" t="s">
        <v>2044</v>
      </c>
      <c r="C1108" s="10" t="s">
        <v>126</v>
      </c>
      <c r="D1108" s="11">
        <v>1</v>
      </c>
      <c r="E1108" s="12">
        <v>441</v>
      </c>
      <c r="F1108" s="13">
        <v>441</v>
      </c>
      <c r="G1108" s="2">
        <f>VLOOKUP(B1108,'PO with created By ASR'!A:C,3,FALSE)</f>
        <v>45686</v>
      </c>
      <c r="J1108" s="2" t="str">
        <f>VLOOKUP(B1108,'PO with created By ASR'!A:G,4,FALSE)</f>
        <v>Mahendra Mane -CR</v>
      </c>
      <c r="K1108" s="2" t="e">
        <f>VLOOKUP(B1108,'PO with created By ASR'!A:I,6,FALSE)</f>
        <v>#N/A</v>
      </c>
      <c r="L1108" s="2" t="str">
        <f>VLOOKUP(B1108,'PO with created By ASR'!A:J,7,FALSE)</f>
        <v>A - Mumbai</v>
      </c>
      <c r="M1108" s="2" t="str">
        <f>VLOOKUP(B1108,'PO with created By ASR'!A:K,8,FALSE)</f>
        <v>Purchase Order-Mum</v>
      </c>
      <c r="N1108" t="s">
        <v>36</v>
      </c>
      <c r="P1108" s="2">
        <v>6</v>
      </c>
    </row>
    <row r="1109" s="2" customFormat="1" spans="1:16">
      <c r="A1109" s="8"/>
      <c r="B1109" s="9" t="s">
        <v>2045</v>
      </c>
      <c r="C1109" s="10" t="s">
        <v>126</v>
      </c>
      <c r="D1109" s="11">
        <v>1</v>
      </c>
      <c r="E1109" s="12">
        <v>4185</v>
      </c>
      <c r="F1109" s="13">
        <v>4185</v>
      </c>
      <c r="G1109" s="2">
        <f>VLOOKUP(B1109,'PO with created By ASR'!A:C,3,FALSE)</f>
        <v>45686</v>
      </c>
      <c r="J1109" s="2" t="str">
        <f>VLOOKUP(B1109,'PO with created By ASR'!A:G,4,FALSE)</f>
        <v>Ashwin Mishra  -CR</v>
      </c>
      <c r="K1109" s="2" t="e">
        <f>VLOOKUP(B1109,'PO with created By ASR'!A:I,6,FALSE)</f>
        <v>#N/A</v>
      </c>
      <c r="L1109" s="2" t="str">
        <f>VLOOKUP(B1109,'PO with created By ASR'!A:J,7,FALSE)</f>
        <v>A - Mumbai</v>
      </c>
      <c r="M1109" s="2" t="str">
        <f>VLOOKUP(B1109,'PO with created By ASR'!A:K,8,FALSE)</f>
        <v>Purchase Order-Mum</v>
      </c>
      <c r="N1109" t="s">
        <v>36</v>
      </c>
      <c r="P1109" s="2">
        <v>6</v>
      </c>
    </row>
    <row r="1110" s="2" customFormat="1" spans="1:16">
      <c r="A1110" s="8"/>
      <c r="B1110" s="9" t="s">
        <v>2045</v>
      </c>
      <c r="C1110" s="10" t="s">
        <v>412</v>
      </c>
      <c r="D1110" s="11">
        <v>1</v>
      </c>
      <c r="E1110" s="12">
        <v>5430</v>
      </c>
      <c r="F1110" s="13">
        <v>5430</v>
      </c>
      <c r="G1110" s="2">
        <f>VLOOKUP(B1110,'PO with created By ASR'!A:C,3,FALSE)</f>
        <v>45686</v>
      </c>
      <c r="J1110" s="2" t="str">
        <f>VLOOKUP(B1110,'PO with created By ASR'!A:G,4,FALSE)</f>
        <v>Ashwin Mishra  -CR</v>
      </c>
      <c r="K1110" s="2" t="e">
        <f>VLOOKUP(B1110,'PO with created By ASR'!A:I,6,FALSE)</f>
        <v>#N/A</v>
      </c>
      <c r="L1110" s="2" t="str">
        <f>VLOOKUP(B1110,'PO with created By ASR'!A:J,7,FALSE)</f>
        <v>A - Mumbai</v>
      </c>
      <c r="M1110" s="2" t="str">
        <f>VLOOKUP(B1110,'PO with created By ASR'!A:K,8,FALSE)</f>
        <v>Purchase Order-Mum</v>
      </c>
      <c r="N1110" t="s">
        <v>36</v>
      </c>
      <c r="P1110" s="2">
        <v>6</v>
      </c>
    </row>
    <row r="1111" s="2" customFormat="1" spans="1:16">
      <c r="A1111" s="8"/>
      <c r="B1111" s="9" t="s">
        <v>2046</v>
      </c>
      <c r="C1111" s="10" t="s">
        <v>126</v>
      </c>
      <c r="D1111" s="11">
        <v>1</v>
      </c>
      <c r="E1111" s="12">
        <v>3157</v>
      </c>
      <c r="F1111" s="13">
        <v>3157</v>
      </c>
      <c r="G1111" s="2">
        <f>VLOOKUP(B1111,'PO with created By ASR'!A:C,3,FALSE)</f>
        <v>45686</v>
      </c>
      <c r="J1111" s="2" t="str">
        <f>VLOOKUP(B1111,'PO with created By ASR'!A:G,4,FALSE)</f>
        <v>Pritam Amberkar  -CR</v>
      </c>
      <c r="K1111" s="2" t="e">
        <f>VLOOKUP(B1111,'PO with created By ASR'!A:I,6,FALSE)</f>
        <v>#N/A</v>
      </c>
      <c r="L1111" s="2" t="str">
        <f>VLOOKUP(B1111,'PO with created By ASR'!A:J,7,FALSE)</f>
        <v>A - Mumbai</v>
      </c>
      <c r="M1111" s="2" t="str">
        <f>VLOOKUP(B1111,'PO with created By ASR'!A:K,8,FALSE)</f>
        <v>Purchase Order-Mum</v>
      </c>
      <c r="N1111" t="s">
        <v>36</v>
      </c>
      <c r="P1111" s="2">
        <v>6</v>
      </c>
    </row>
    <row r="1112" s="2" customFormat="1" spans="1:16">
      <c r="A1112" s="8"/>
      <c r="B1112" s="9" t="s">
        <v>2048</v>
      </c>
      <c r="C1112" s="10" t="s">
        <v>412</v>
      </c>
      <c r="D1112" s="11">
        <v>1</v>
      </c>
      <c r="E1112" s="12">
        <v>28923</v>
      </c>
      <c r="F1112" s="13">
        <v>28923</v>
      </c>
      <c r="G1112" s="2">
        <f>VLOOKUP(B1112,'PO with created By ASR'!A:C,3,FALSE)</f>
        <v>45686</v>
      </c>
      <c r="J1112" s="2" t="str">
        <f>VLOOKUP(B1112,'PO with created By ASR'!A:G,4,FALSE)</f>
        <v>Sameer Tobaccowala -CR</v>
      </c>
      <c r="K1112" s="2" t="e">
        <f>VLOOKUP(B1112,'PO with created By ASR'!A:I,6,FALSE)</f>
        <v>#N/A</v>
      </c>
      <c r="L1112" s="2" t="str">
        <f>VLOOKUP(B1112,'PO with created By ASR'!A:J,7,FALSE)</f>
        <v>A - Mumbai</v>
      </c>
      <c r="M1112" s="2" t="str">
        <f>VLOOKUP(B1112,'PO with created By ASR'!A:K,8,FALSE)</f>
        <v>Purchase Order-Mum</v>
      </c>
      <c r="N1112" t="s">
        <v>36</v>
      </c>
      <c r="P1112" s="2">
        <v>6</v>
      </c>
    </row>
    <row r="1113" s="2" customFormat="1" spans="1:16">
      <c r="A1113" s="8"/>
      <c r="B1113" s="9" t="s">
        <v>2050</v>
      </c>
      <c r="C1113" s="10" t="s">
        <v>126</v>
      </c>
      <c r="D1113" s="11">
        <v>1</v>
      </c>
      <c r="E1113" s="12">
        <v>311</v>
      </c>
      <c r="F1113" s="13">
        <v>311</v>
      </c>
      <c r="G1113" s="2">
        <f>VLOOKUP(B1113,'PO with created By ASR'!A:C,3,FALSE)</f>
        <v>45686</v>
      </c>
      <c r="J1113" s="2" t="str">
        <f>VLOOKUP(B1113,'PO with created By ASR'!A:G,4,FALSE)</f>
        <v>Sachin Jadhav -CR</v>
      </c>
      <c r="K1113" s="2" t="e">
        <f>VLOOKUP(B1113,'PO with created By ASR'!A:I,6,FALSE)</f>
        <v>#N/A</v>
      </c>
      <c r="L1113" s="2" t="str">
        <f>VLOOKUP(B1113,'PO with created By ASR'!A:J,7,FALSE)</f>
        <v>A - Mumbai</v>
      </c>
      <c r="M1113" s="2" t="str">
        <f>VLOOKUP(B1113,'PO with created By ASR'!A:K,8,FALSE)</f>
        <v>Purchase Order-Mum</v>
      </c>
      <c r="N1113" t="s">
        <v>36</v>
      </c>
      <c r="P1113" s="2">
        <v>6</v>
      </c>
    </row>
    <row r="1114" s="2" customFormat="1" spans="1:16">
      <c r="A1114" s="8"/>
      <c r="B1114" s="9" t="s">
        <v>2051</v>
      </c>
      <c r="C1114" s="10" t="s">
        <v>347</v>
      </c>
      <c r="D1114" s="11">
        <v>1</v>
      </c>
      <c r="E1114" s="12">
        <v>50000</v>
      </c>
      <c r="F1114" s="13">
        <v>50000</v>
      </c>
      <c r="G1114" s="2">
        <f>VLOOKUP(B1114,'PO with created By ASR'!A:C,3,FALSE)</f>
        <v>45686</v>
      </c>
      <c r="J1114" s="2" t="str">
        <f>VLOOKUP(B1114,'PO with created By ASR'!A:G,4,FALSE)</f>
        <v>Musafir.Com India Pvt Ltd-Mum</v>
      </c>
      <c r="K1114" s="2" t="str">
        <f>VLOOKUP(B1114,'PO with created By ASR'!A:I,6,FALSE)</f>
        <v>10060  Musafir.Com India Pvt Ltd</v>
      </c>
      <c r="L1114" s="2" t="str">
        <f>VLOOKUP(B1114,'PO with created By ASR'!A:J,7,FALSE)</f>
        <v>A - Mumbai</v>
      </c>
      <c r="M1114" s="2" t="str">
        <f>VLOOKUP(B1114,'PO with created By ASR'!A:K,8,FALSE)</f>
        <v>Purchase Order-Mum</v>
      </c>
      <c r="N1114" t="s">
        <v>36</v>
      </c>
      <c r="P1114" s="2">
        <v>6</v>
      </c>
    </row>
    <row r="1115" s="2" customFormat="1" spans="1:16">
      <c r="A1115" s="8"/>
      <c r="B1115" s="9" t="s">
        <v>2052</v>
      </c>
      <c r="C1115" s="10" t="s">
        <v>371</v>
      </c>
      <c r="D1115" s="11">
        <v>1</v>
      </c>
      <c r="E1115" s="12">
        <v>75000</v>
      </c>
      <c r="F1115" s="13">
        <v>75000</v>
      </c>
      <c r="G1115" s="2">
        <f>VLOOKUP(B1115,'PO with created By ASR'!A:C,3,FALSE)</f>
        <v>45686</v>
      </c>
      <c r="J1115" s="2" t="str">
        <f>VLOOKUP(B1115,'PO with created By ASR'!A:G,4,FALSE)</f>
        <v>Sound.Com Pvt Ltd-Mum</v>
      </c>
      <c r="K1115" s="2" t="str">
        <f>VLOOKUP(B1115,'PO with created By ASR'!A:I,6,FALSE)</f>
        <v>12427  Sound.Com Pvt Ltd</v>
      </c>
      <c r="L1115" s="2" t="str">
        <f>VLOOKUP(B1115,'PO with created By ASR'!A:J,7,FALSE)</f>
        <v>A - Mumbai</v>
      </c>
      <c r="M1115" s="2" t="str">
        <f>VLOOKUP(B1115,'PO with created By ASR'!A:K,8,FALSE)</f>
        <v>Purchase Order-Mum</v>
      </c>
      <c r="N1115" t="s">
        <v>36</v>
      </c>
      <c r="P1115" s="2">
        <v>6</v>
      </c>
    </row>
    <row r="1116" s="2" customFormat="1" spans="1:16">
      <c r="A1116" s="8"/>
      <c r="B1116" s="9" t="s">
        <v>2057</v>
      </c>
      <c r="C1116" s="10" t="s">
        <v>371</v>
      </c>
      <c r="D1116" s="11">
        <v>1</v>
      </c>
      <c r="E1116" s="12">
        <v>225000</v>
      </c>
      <c r="F1116" s="13">
        <v>225000</v>
      </c>
      <c r="G1116" s="2">
        <f>VLOOKUP(B1116,'PO with created By ASR'!A:C,3,FALSE)</f>
        <v>45686</v>
      </c>
      <c r="J1116" s="2" t="str">
        <f>VLOOKUP(B1116,'PO with created By ASR'!A:G,4,FALSE)</f>
        <v>Shiv Shakti Enterprises-Mum</v>
      </c>
      <c r="K1116" s="2" t="str">
        <f>VLOOKUP(B1116,'PO with created By ASR'!A:I,6,FALSE)</f>
        <v>11130 Shiv Shakti Enterprises</v>
      </c>
      <c r="L1116" s="2" t="str">
        <f>VLOOKUP(B1116,'PO with created By ASR'!A:J,7,FALSE)</f>
        <v>A - Mumbai</v>
      </c>
      <c r="M1116" s="2" t="str">
        <f>VLOOKUP(B1116,'PO with created By ASR'!A:K,8,FALSE)</f>
        <v>Purchase Order-Mum</v>
      </c>
      <c r="N1116" t="s">
        <v>36</v>
      </c>
      <c r="P1116" s="2">
        <v>6</v>
      </c>
    </row>
    <row r="1117" s="2" customFormat="1" spans="1:16">
      <c r="A1117" s="8"/>
      <c r="B1117" s="9" t="s">
        <v>2058</v>
      </c>
      <c r="C1117" s="10" t="s">
        <v>317</v>
      </c>
      <c r="D1117" s="11">
        <v>1</v>
      </c>
      <c r="E1117" s="12">
        <v>4375</v>
      </c>
      <c r="F1117" s="13">
        <v>4375</v>
      </c>
      <c r="G1117" s="2">
        <f>VLOOKUP(B1117,'PO with created By ASR'!A:C,3,FALSE)</f>
        <v>45686</v>
      </c>
      <c r="J1117" s="2" t="str">
        <f>VLOOKUP(B1117,'PO with created By ASR'!A:G,4,FALSE)</f>
        <v>Sanjay Kathale Cash -CR</v>
      </c>
      <c r="K1117" s="2" t="e">
        <f>VLOOKUP(B1117,'PO with created By ASR'!A:I,6,FALSE)</f>
        <v>#N/A</v>
      </c>
      <c r="L1117" s="2" t="str">
        <f>VLOOKUP(B1117,'PO with created By ASR'!A:J,7,FALSE)</f>
        <v>A - Mumbai</v>
      </c>
      <c r="M1117" s="2" t="str">
        <f>VLOOKUP(B1117,'PO with created By ASR'!A:K,8,FALSE)</f>
        <v>Purchase Order-Mum</v>
      </c>
      <c r="N1117" t="s">
        <v>36</v>
      </c>
      <c r="P1117" s="2">
        <v>6</v>
      </c>
    </row>
    <row r="1118" s="2" customFormat="1" spans="1:16">
      <c r="A1118" s="8"/>
      <c r="B1118" s="9" t="s">
        <v>2058</v>
      </c>
      <c r="C1118" s="10" t="s">
        <v>126</v>
      </c>
      <c r="D1118" s="11">
        <v>1</v>
      </c>
      <c r="E1118" s="12">
        <v>1290</v>
      </c>
      <c r="F1118" s="13">
        <v>1290</v>
      </c>
      <c r="G1118" s="2">
        <f>VLOOKUP(B1118,'PO with created By ASR'!A:C,3,FALSE)</f>
        <v>45686</v>
      </c>
      <c r="J1118" s="2" t="str">
        <f>VLOOKUP(B1118,'PO with created By ASR'!A:G,4,FALSE)</f>
        <v>Sanjay Kathale Cash -CR</v>
      </c>
      <c r="K1118" s="2" t="e">
        <f>VLOOKUP(B1118,'PO with created By ASR'!A:I,6,FALSE)</f>
        <v>#N/A</v>
      </c>
      <c r="L1118" s="2" t="str">
        <f>VLOOKUP(B1118,'PO with created By ASR'!A:J,7,FALSE)</f>
        <v>A - Mumbai</v>
      </c>
      <c r="M1118" s="2" t="str">
        <f>VLOOKUP(B1118,'PO with created By ASR'!A:K,8,FALSE)</f>
        <v>Purchase Order-Mum</v>
      </c>
      <c r="N1118" t="s">
        <v>36</v>
      </c>
      <c r="P1118" s="2">
        <v>6</v>
      </c>
    </row>
    <row r="1119" s="2" customFormat="1" spans="1:16">
      <c r="A1119" s="8"/>
      <c r="B1119" s="9" t="s">
        <v>2059</v>
      </c>
      <c r="C1119" s="10" t="s">
        <v>371</v>
      </c>
      <c r="D1119" s="11">
        <v>1</v>
      </c>
      <c r="E1119" s="12">
        <v>180000</v>
      </c>
      <c r="F1119" s="13">
        <v>180000</v>
      </c>
      <c r="G1119" s="2">
        <f>VLOOKUP(B1119,'PO with created By ASR'!A:C,3,FALSE)</f>
        <v>45686</v>
      </c>
      <c r="J1119" s="2" t="str">
        <f>VLOOKUP(B1119,'PO with created By ASR'!A:G,4,FALSE)</f>
        <v>Videowaves-Mum</v>
      </c>
      <c r="K1119" s="2" t="e">
        <f>VLOOKUP(B1119,'PO with created By ASR'!A:I,6,FALSE)</f>
        <v>#N/A</v>
      </c>
      <c r="L1119" s="2" t="str">
        <f>VLOOKUP(B1119,'PO with created By ASR'!A:J,7,FALSE)</f>
        <v>A - Mumbai</v>
      </c>
      <c r="M1119" s="2" t="str">
        <f>VLOOKUP(B1119,'PO with created By ASR'!A:K,8,FALSE)</f>
        <v>Purchase Order-Mum</v>
      </c>
      <c r="N1119" t="s">
        <v>36</v>
      </c>
      <c r="P1119" s="2">
        <v>6</v>
      </c>
    </row>
    <row r="1120" s="2" customFormat="1" spans="1:16">
      <c r="A1120" s="8"/>
      <c r="B1120" s="9" t="s">
        <v>2060</v>
      </c>
      <c r="C1120" s="10" t="s">
        <v>371</v>
      </c>
      <c r="D1120" s="11">
        <v>1</v>
      </c>
      <c r="E1120" s="12">
        <v>45000</v>
      </c>
      <c r="F1120" s="13">
        <v>45000</v>
      </c>
      <c r="G1120" s="2">
        <f>VLOOKUP(B1120,'PO with created By ASR'!A:C,3,FALSE)</f>
        <v>45686</v>
      </c>
      <c r="J1120" s="2" t="str">
        <f>VLOOKUP(B1120,'PO with created By ASR'!A:G,4,FALSE)</f>
        <v>Jayant K Shetty-Mum</v>
      </c>
      <c r="K1120" s="2" t="str">
        <f>VLOOKUP(B1120,'PO with created By ASR'!A:I,6,FALSE)</f>
        <v>12048 Jayant K Shetty</v>
      </c>
      <c r="L1120" s="2" t="str">
        <f>VLOOKUP(B1120,'PO with created By ASR'!A:J,7,FALSE)</f>
        <v>A - Mumbai</v>
      </c>
      <c r="M1120" s="2" t="str">
        <f>VLOOKUP(B1120,'PO with created By ASR'!A:K,8,FALSE)</f>
        <v>Purchase Order-Mum</v>
      </c>
      <c r="N1120" t="s">
        <v>36</v>
      </c>
      <c r="P1120" s="2">
        <v>6</v>
      </c>
    </row>
    <row r="1121" s="2" customFormat="1" spans="1:16">
      <c r="A1121" s="8"/>
      <c r="B1121" s="9" t="s">
        <v>2063</v>
      </c>
      <c r="C1121" s="10" t="s">
        <v>371</v>
      </c>
      <c r="D1121" s="11">
        <v>1</v>
      </c>
      <c r="E1121" s="12">
        <v>85000</v>
      </c>
      <c r="F1121" s="13">
        <v>85000</v>
      </c>
      <c r="G1121" s="2">
        <f>VLOOKUP(B1121,'PO with created By ASR'!A:C,3,FALSE)</f>
        <v>45686</v>
      </c>
      <c r="J1121" s="2" t="str">
        <f>VLOOKUP(B1121,'PO with created By ASR'!A:G,4,FALSE)</f>
        <v>Events Power-Mum</v>
      </c>
      <c r="K1121" s="2" t="str">
        <f>VLOOKUP(B1121,'PO with created By ASR'!A:I,6,FALSE)</f>
        <v>11895 Events Power</v>
      </c>
      <c r="L1121" s="2" t="str">
        <f>VLOOKUP(B1121,'PO with created By ASR'!A:J,7,FALSE)</f>
        <v>A - Mumbai</v>
      </c>
      <c r="M1121" s="2" t="str">
        <f>VLOOKUP(B1121,'PO with created By ASR'!A:K,8,FALSE)</f>
        <v>Purchase Order-Mum</v>
      </c>
      <c r="N1121" t="s">
        <v>36</v>
      </c>
      <c r="P1121" s="2">
        <v>6</v>
      </c>
    </row>
    <row r="1122" s="2" customFormat="1" spans="1:16">
      <c r="A1122" s="8"/>
      <c r="B1122" s="9" t="s">
        <v>2064</v>
      </c>
      <c r="C1122" s="10" t="s">
        <v>371</v>
      </c>
      <c r="D1122" s="11">
        <v>1</v>
      </c>
      <c r="E1122" s="12">
        <v>7000</v>
      </c>
      <c r="F1122" s="13">
        <v>7000</v>
      </c>
      <c r="G1122" s="2">
        <f>VLOOKUP(B1122,'PO with created By ASR'!A:C,3,FALSE)</f>
        <v>45686</v>
      </c>
      <c r="J1122" s="2" t="str">
        <f>VLOOKUP(B1122,'PO with created By ASR'!A:G,4,FALSE)</f>
        <v>Oriana Communications-Mum</v>
      </c>
      <c r="K1122" s="2" t="str">
        <f>VLOOKUP(B1122,'PO with created By ASR'!A:I,6,FALSE)</f>
        <v>11121 Oriana Communications</v>
      </c>
      <c r="L1122" s="2" t="str">
        <f>VLOOKUP(B1122,'PO with created By ASR'!A:J,7,FALSE)</f>
        <v>A - Mumbai</v>
      </c>
      <c r="M1122" s="2" t="str">
        <f>VLOOKUP(B1122,'PO with created By ASR'!A:K,8,FALSE)</f>
        <v>Purchase Order-Mum</v>
      </c>
      <c r="N1122" t="s">
        <v>36</v>
      </c>
      <c r="P1122" s="2">
        <v>6</v>
      </c>
    </row>
    <row r="1123" s="2" customFormat="1" spans="1:16">
      <c r="A1123" s="8"/>
      <c r="B1123" s="9" t="s">
        <v>2065</v>
      </c>
      <c r="C1123" s="10" t="s">
        <v>990</v>
      </c>
      <c r="D1123" s="11">
        <v>1</v>
      </c>
      <c r="E1123" s="12">
        <v>3000</v>
      </c>
      <c r="F1123" s="13">
        <v>3000</v>
      </c>
      <c r="G1123" s="2">
        <f>VLOOKUP(B1123,'PO with created By ASR'!A:C,3,FALSE)</f>
        <v>45686</v>
      </c>
      <c r="J1123" s="2" t="str">
        <f>VLOOKUP(B1123,'PO with created By ASR'!A:G,4,FALSE)</f>
        <v>Shree Vision-Mum</v>
      </c>
      <c r="K1123" s="2" t="str">
        <f>VLOOKUP(B1123,'PO with created By ASR'!A:I,6,FALSE)</f>
        <v>12401 Shree Vision</v>
      </c>
      <c r="L1123" s="2" t="str">
        <f>VLOOKUP(B1123,'PO with created By ASR'!A:J,7,FALSE)</f>
        <v>A - Mumbai</v>
      </c>
      <c r="M1123" s="2" t="str">
        <f>VLOOKUP(B1123,'PO with created By ASR'!A:K,8,FALSE)</f>
        <v>Purchase Order-Mum</v>
      </c>
      <c r="N1123" t="s">
        <v>36</v>
      </c>
      <c r="P1123" s="2">
        <v>6</v>
      </c>
    </row>
    <row r="1124" s="2" customFormat="1" spans="1:16">
      <c r="A1124" s="8"/>
      <c r="B1124" s="9" t="s">
        <v>2066</v>
      </c>
      <c r="C1124" s="10" t="s">
        <v>371</v>
      </c>
      <c r="D1124" s="11">
        <v>1</v>
      </c>
      <c r="E1124" s="12">
        <v>90000</v>
      </c>
      <c r="F1124" s="13">
        <v>90000</v>
      </c>
      <c r="G1124" s="2">
        <f>VLOOKUP(B1124,'PO with created By ASR'!A:C,3,FALSE)</f>
        <v>45686</v>
      </c>
      <c r="J1124" s="2" t="str">
        <f>VLOOKUP(B1124,'PO with created By ASR'!A:G,4,FALSE)</f>
        <v>Prem Enterprise-Mum</v>
      </c>
      <c r="K1124" s="2" t="str">
        <f>VLOOKUP(B1124,'PO with created By ASR'!A:I,6,FALSE)</f>
        <v>11360 Prem Enterprise</v>
      </c>
      <c r="L1124" s="2" t="str">
        <f>VLOOKUP(B1124,'PO with created By ASR'!A:J,7,FALSE)</f>
        <v>A - Mumbai</v>
      </c>
      <c r="M1124" s="2" t="str">
        <f>VLOOKUP(B1124,'PO with created By ASR'!A:K,8,FALSE)</f>
        <v>Purchase Order-Mum</v>
      </c>
      <c r="N1124" t="s">
        <v>36</v>
      </c>
      <c r="P1124" s="2">
        <v>6</v>
      </c>
    </row>
    <row r="1125" s="2" customFormat="1" spans="1:16">
      <c r="A1125" s="8"/>
      <c r="B1125" s="9" t="s">
        <v>2069</v>
      </c>
      <c r="C1125" s="10" t="s">
        <v>140</v>
      </c>
      <c r="D1125" s="11">
        <v>1</v>
      </c>
      <c r="E1125" s="12">
        <v>10151.69</v>
      </c>
      <c r="F1125" s="13">
        <v>10151.69</v>
      </c>
      <c r="G1125" s="2">
        <f>VLOOKUP(B1125,'PO with created By ASR'!A:C,3,FALSE)</f>
        <v>45686</v>
      </c>
      <c r="J1125" s="2" t="str">
        <f>VLOOKUP(B1125,'PO with created By ASR'!A:G,4,FALSE)</f>
        <v>IKEA India Pvt Ltd (CR)-Mum</v>
      </c>
      <c r="K1125" s="2" t="e">
        <f>VLOOKUP(B1125,'PO with created By ASR'!A:I,6,FALSE)</f>
        <v>#N/A</v>
      </c>
      <c r="L1125" s="2" t="str">
        <f>VLOOKUP(B1125,'PO with created By ASR'!A:J,7,FALSE)</f>
        <v>A - Mumbai</v>
      </c>
      <c r="M1125" s="2" t="str">
        <f>VLOOKUP(B1125,'PO with created By ASR'!A:K,8,FALSE)</f>
        <v>Purchase Order-Mum</v>
      </c>
      <c r="N1125" t="s">
        <v>36</v>
      </c>
      <c r="P1125" s="2">
        <v>6</v>
      </c>
    </row>
    <row r="1126" s="2" customFormat="1" spans="1:16">
      <c r="A1126" s="8"/>
      <c r="B1126" s="9" t="s">
        <v>2072</v>
      </c>
      <c r="C1126" s="10" t="s">
        <v>347</v>
      </c>
      <c r="D1126" s="11">
        <v>1</v>
      </c>
      <c r="E1126" s="12">
        <v>50000</v>
      </c>
      <c r="F1126" s="13">
        <v>50000</v>
      </c>
      <c r="G1126" s="2">
        <f>VLOOKUP(B1126,'PO with created By ASR'!A:C,3,FALSE)</f>
        <v>45686</v>
      </c>
      <c r="J1126" s="2" t="str">
        <f>VLOOKUP(B1126,'PO with created By ASR'!A:G,4,FALSE)</f>
        <v>Musafir.Com India Pvt Ltd-Mum</v>
      </c>
      <c r="K1126" s="2" t="str">
        <f>VLOOKUP(B1126,'PO with created By ASR'!A:I,6,FALSE)</f>
        <v>10060  Musafir.Com India Pvt Ltd</v>
      </c>
      <c r="L1126" s="2" t="str">
        <f>VLOOKUP(B1126,'PO with created By ASR'!A:J,7,FALSE)</f>
        <v>A - Mumbai</v>
      </c>
      <c r="M1126" s="2" t="str">
        <f>VLOOKUP(B1126,'PO with created By ASR'!A:K,8,FALSE)</f>
        <v>Purchase Order-Mum</v>
      </c>
      <c r="N1126" t="s">
        <v>36</v>
      </c>
      <c r="P1126" s="2">
        <v>6</v>
      </c>
    </row>
    <row r="1127" s="2" customFormat="1" spans="1:16">
      <c r="A1127" s="8"/>
      <c r="B1127" s="9" t="s">
        <v>2073</v>
      </c>
      <c r="C1127" s="10" t="s">
        <v>787</v>
      </c>
      <c r="D1127" s="11">
        <v>1</v>
      </c>
      <c r="E1127" s="12">
        <v>810161</v>
      </c>
      <c r="F1127" s="13">
        <v>810161</v>
      </c>
      <c r="G1127" s="2">
        <f>VLOOKUP(B1127,'PO with created By ASR'!A:C,3,FALSE)</f>
        <v>45686</v>
      </c>
      <c r="J1127" s="2" t="str">
        <f>VLOOKUP(B1127,'PO with created By ASR'!A:G,4,FALSE)</f>
        <v>Ushta Te Consultancy Services LLP-Mum</v>
      </c>
      <c r="K1127" s="2" t="str">
        <f>VLOOKUP(B1127,'PO with created By ASR'!A:I,6,FALSE)</f>
        <v>12575 Ushta Te Consultancy Services LLP</v>
      </c>
      <c r="L1127" s="2" t="str">
        <f>VLOOKUP(B1127,'PO with created By ASR'!A:J,7,FALSE)</f>
        <v>A - Mumbai</v>
      </c>
      <c r="M1127" s="2" t="str">
        <f>VLOOKUP(B1127,'PO with created By ASR'!A:K,8,FALSE)</f>
        <v>Purchase Order-Mum</v>
      </c>
      <c r="N1127" t="s">
        <v>36</v>
      </c>
      <c r="P1127" s="2">
        <v>6</v>
      </c>
    </row>
    <row r="1128" s="2" customFormat="1" spans="1:16">
      <c r="A1128" s="8"/>
      <c r="B1128" s="9" t="s">
        <v>2075</v>
      </c>
      <c r="C1128" s="10" t="s">
        <v>140</v>
      </c>
      <c r="D1128" s="11">
        <v>1</v>
      </c>
      <c r="E1128" s="12">
        <v>7956</v>
      </c>
      <c r="F1128" s="13">
        <v>7956</v>
      </c>
      <c r="G1128" s="2">
        <f>VLOOKUP(B1128,'PO with created By ASR'!A:C,3,FALSE)</f>
        <v>45686</v>
      </c>
      <c r="J1128" s="2" t="str">
        <f>VLOOKUP(B1128,'PO with created By ASR'!A:G,4,FALSE)</f>
        <v>Sterling Book House-Mum</v>
      </c>
      <c r="K1128" s="2" t="str">
        <f>VLOOKUP(B1128,'PO with created By ASR'!A:I,6,FALSE)</f>
        <v>12461 Sterling Book House</v>
      </c>
      <c r="L1128" s="2" t="str">
        <f>VLOOKUP(B1128,'PO with created By ASR'!A:J,7,FALSE)</f>
        <v>A - Mumbai</v>
      </c>
      <c r="M1128" s="2" t="str">
        <f>VLOOKUP(B1128,'PO with created By ASR'!A:K,8,FALSE)</f>
        <v>Purchase Order-Mum</v>
      </c>
      <c r="N1128" t="s">
        <v>36</v>
      </c>
      <c r="P1128" s="2">
        <v>6</v>
      </c>
    </row>
    <row r="1129" s="2" customFormat="1" spans="1:16">
      <c r="A1129" s="8"/>
      <c r="B1129" s="9" t="s">
        <v>2079</v>
      </c>
      <c r="C1129" s="10" t="s">
        <v>140</v>
      </c>
      <c r="D1129" s="11">
        <v>1</v>
      </c>
      <c r="E1129" s="12">
        <v>52463</v>
      </c>
      <c r="F1129" s="13">
        <v>52463</v>
      </c>
      <c r="G1129" s="2">
        <f>VLOOKUP(B1129,'PO with created By ASR'!A:C,3,FALSE)</f>
        <v>45686</v>
      </c>
      <c r="J1129" s="2" t="str">
        <f>VLOOKUP(B1129,'PO with created By ASR'!A:G,4,FALSE)</f>
        <v>Sterling Book House-Mum</v>
      </c>
      <c r="K1129" s="2" t="str">
        <f>VLOOKUP(B1129,'PO with created By ASR'!A:I,6,FALSE)</f>
        <v>12461 Sterling Book House</v>
      </c>
      <c r="L1129" s="2" t="str">
        <f>VLOOKUP(B1129,'PO with created By ASR'!A:J,7,FALSE)</f>
        <v>A - Mumbai</v>
      </c>
      <c r="M1129" s="2" t="str">
        <f>VLOOKUP(B1129,'PO with created By ASR'!A:K,8,FALSE)</f>
        <v>Purchase Order-Mum</v>
      </c>
      <c r="N1129" t="s">
        <v>36</v>
      </c>
      <c r="P1129" s="2">
        <v>6</v>
      </c>
    </row>
    <row r="1130" s="2" customFormat="1" spans="1:16">
      <c r="A1130" s="8"/>
      <c r="B1130" s="9" t="s">
        <v>2080</v>
      </c>
      <c r="C1130" s="10" t="s">
        <v>250</v>
      </c>
      <c r="D1130" s="11">
        <v>1</v>
      </c>
      <c r="E1130" s="12">
        <v>850000</v>
      </c>
      <c r="F1130" s="13">
        <v>850000</v>
      </c>
      <c r="G1130" s="2">
        <f>VLOOKUP(B1130,'PO with created By ASR'!A:C,3,FALSE)</f>
        <v>45686</v>
      </c>
      <c r="J1130" s="2" t="str">
        <f>VLOOKUP(B1130,'PO with created By ASR'!A:G,4,FALSE)</f>
        <v>Black Hat Talent Solutions &amp; Consulting Pvt Ltd-Mum</v>
      </c>
      <c r="K1130" s="2" t="str">
        <f>VLOOKUP(B1130,'PO with created By ASR'!A:I,6,FALSE)</f>
        <v>10572  Black Hat Talent Solutions &amp; Consulting Pvt Ltd</v>
      </c>
      <c r="L1130" s="2" t="str">
        <f>VLOOKUP(B1130,'PO with created By ASR'!A:J,7,FALSE)</f>
        <v>A - Mumbai</v>
      </c>
      <c r="M1130" s="2" t="str">
        <f>VLOOKUP(B1130,'PO with created By ASR'!A:K,8,FALSE)</f>
        <v>Purchase Order-Mum</v>
      </c>
      <c r="N1130" t="s">
        <v>36</v>
      </c>
      <c r="P1130" s="2">
        <v>6</v>
      </c>
    </row>
    <row r="1131" s="2" customFormat="1" spans="1:16">
      <c r="A1131" s="8"/>
      <c r="B1131" s="9" t="s">
        <v>2082</v>
      </c>
      <c r="C1131" s="10" t="s">
        <v>61</v>
      </c>
      <c r="D1131" s="11">
        <v>1</v>
      </c>
      <c r="E1131" s="12">
        <v>15000</v>
      </c>
      <c r="F1131" s="13">
        <v>15000</v>
      </c>
      <c r="G1131" s="2">
        <f>VLOOKUP(B1131,'PO with created By ASR'!A:C,3,FALSE)</f>
        <v>45686</v>
      </c>
      <c r="J1131" s="2" t="str">
        <f>VLOOKUP(B1131,'PO with created By ASR'!A:G,4,FALSE)</f>
        <v>Jw Marriot Sahar Mumbai-Mum</v>
      </c>
      <c r="K1131" s="2" t="str">
        <f>VLOOKUP(B1131,'PO with created By ASR'!A:I,6,FALSE)</f>
        <v>10349  Jw Marriot Sahar Mumbai</v>
      </c>
      <c r="L1131" s="2" t="str">
        <f>VLOOKUP(B1131,'PO with created By ASR'!A:J,7,FALSE)</f>
        <v>A - Mumbai</v>
      </c>
      <c r="M1131" s="2" t="str">
        <f>VLOOKUP(B1131,'PO with created By ASR'!A:K,8,FALSE)</f>
        <v>Purchase Order-Mum</v>
      </c>
      <c r="N1131" t="s">
        <v>36</v>
      </c>
      <c r="P1131" s="2">
        <v>6</v>
      </c>
    </row>
    <row r="1132" s="2" customFormat="1" spans="1:16">
      <c r="A1132" s="8"/>
      <c r="B1132" s="9" t="s">
        <v>2085</v>
      </c>
      <c r="C1132" s="10" t="s">
        <v>317</v>
      </c>
      <c r="D1132" s="11">
        <v>1</v>
      </c>
      <c r="E1132" s="12">
        <v>345000</v>
      </c>
      <c r="F1132" s="13">
        <v>345000</v>
      </c>
      <c r="G1132" s="2">
        <f>VLOOKUP(B1132,'PO with created By ASR'!A:C,3,FALSE)</f>
        <v>45686</v>
      </c>
      <c r="J1132" s="2" t="str">
        <f>VLOOKUP(B1132,'PO with created By ASR'!A:G,4,FALSE)</f>
        <v>Impact KORE Learning Llp-Mum</v>
      </c>
      <c r="K1132" s="2" t="str">
        <f>VLOOKUP(B1132,'PO with created By ASR'!A:I,6,FALSE)</f>
        <v>12017 Impact KORE Learning Llp</v>
      </c>
      <c r="L1132" s="2" t="str">
        <f>VLOOKUP(B1132,'PO with created By ASR'!A:J,7,FALSE)</f>
        <v>A - Mumbai</v>
      </c>
      <c r="M1132" s="2" t="str">
        <f>VLOOKUP(B1132,'PO with created By ASR'!A:K,8,FALSE)</f>
        <v>Purchase Order-Mum</v>
      </c>
      <c r="N1132" t="s">
        <v>36</v>
      </c>
      <c r="P1132" s="2">
        <v>6</v>
      </c>
    </row>
    <row r="1133" s="2" customFormat="1" spans="1:16">
      <c r="A1133" s="8"/>
      <c r="B1133" s="9" t="s">
        <v>2088</v>
      </c>
      <c r="C1133" s="10" t="s">
        <v>250</v>
      </c>
      <c r="D1133" s="11">
        <v>1</v>
      </c>
      <c r="E1133" s="12">
        <v>25000</v>
      </c>
      <c r="F1133" s="13">
        <v>25000</v>
      </c>
      <c r="G1133" s="2">
        <f>VLOOKUP(B1133,'PO with created By ASR'!A:C,3,FALSE)</f>
        <v>45686</v>
      </c>
      <c r="J1133" s="2" t="str">
        <f>VLOOKUP(B1133,'PO with created By ASR'!A:G,4,FALSE)</f>
        <v>Twintech Entertainment LLP-Mum</v>
      </c>
      <c r="K1133" s="2" t="str">
        <f>VLOOKUP(B1133,'PO with created By ASR'!A:I,6,FALSE)</f>
        <v>10981 Twintech Entertainment LLP</v>
      </c>
      <c r="L1133" s="2" t="str">
        <f>VLOOKUP(B1133,'PO with created By ASR'!A:J,7,FALSE)</f>
        <v>A - Mumbai</v>
      </c>
      <c r="M1133" s="2" t="str">
        <f>VLOOKUP(B1133,'PO with created By ASR'!A:K,8,FALSE)</f>
        <v>Purchase Order-Mum</v>
      </c>
      <c r="N1133" t="s">
        <v>36</v>
      </c>
      <c r="P1133" s="2">
        <v>6</v>
      </c>
    </row>
    <row r="1134" s="2" customFormat="1" spans="1:16">
      <c r="A1134" s="8"/>
      <c r="B1134" s="9" t="s">
        <v>2091</v>
      </c>
      <c r="C1134" s="10" t="s">
        <v>140</v>
      </c>
      <c r="D1134" s="11">
        <v>1</v>
      </c>
      <c r="E1134" s="12">
        <v>3920</v>
      </c>
      <c r="F1134" s="13">
        <v>3920</v>
      </c>
      <c r="G1134" s="2">
        <f>VLOOKUP(B1134,'PO with created By ASR'!A:C,3,FALSE)</f>
        <v>45686</v>
      </c>
      <c r="J1134" s="2" t="str">
        <f>VLOOKUP(B1134,'PO with created By ASR'!A:G,4,FALSE)</f>
        <v>Shree Padmavati Plastics (Happay)-Mum</v>
      </c>
      <c r="K1134" s="2" t="str">
        <f>VLOOKUP(B1134,'PO with created By ASR'!A:I,6,FALSE)</f>
        <v>12901 Shree Padmavati Plastics (Happay)</v>
      </c>
      <c r="L1134" s="2" t="str">
        <f>VLOOKUP(B1134,'PO with created By ASR'!A:J,7,FALSE)</f>
        <v>A - Mumbai</v>
      </c>
      <c r="M1134" s="2" t="str">
        <f>VLOOKUP(B1134,'PO with created By ASR'!A:K,8,FALSE)</f>
        <v>Purchase Order-Mum</v>
      </c>
      <c r="N1134" t="s">
        <v>36</v>
      </c>
      <c r="P1134" s="2">
        <v>6</v>
      </c>
    </row>
    <row r="1135" s="2" customFormat="1" spans="1:16">
      <c r="A1135" s="8"/>
      <c r="B1135" s="9" t="s">
        <v>2091</v>
      </c>
      <c r="C1135" s="10" t="s">
        <v>140</v>
      </c>
      <c r="D1135" s="11">
        <v>1</v>
      </c>
      <c r="E1135" s="12">
        <v>900</v>
      </c>
      <c r="F1135" s="13">
        <v>900</v>
      </c>
      <c r="G1135" s="2">
        <f>VLOOKUP(B1135,'PO with created By ASR'!A:C,3,FALSE)</f>
        <v>45686</v>
      </c>
      <c r="J1135" s="2" t="str">
        <f>VLOOKUP(B1135,'PO with created By ASR'!A:G,4,FALSE)</f>
        <v>Shree Padmavati Plastics (Happay)-Mum</v>
      </c>
      <c r="K1135" s="2" t="str">
        <f>VLOOKUP(B1135,'PO with created By ASR'!A:I,6,FALSE)</f>
        <v>12901 Shree Padmavati Plastics (Happay)</v>
      </c>
      <c r="L1135" s="2" t="str">
        <f>VLOOKUP(B1135,'PO with created By ASR'!A:J,7,FALSE)</f>
        <v>A - Mumbai</v>
      </c>
      <c r="M1135" s="2" t="str">
        <f>VLOOKUP(B1135,'PO with created By ASR'!A:K,8,FALSE)</f>
        <v>Purchase Order-Mum</v>
      </c>
      <c r="N1135" t="s">
        <v>36</v>
      </c>
      <c r="P1135" s="2">
        <v>6</v>
      </c>
    </row>
    <row r="1136" s="2" customFormat="1" spans="1:16">
      <c r="A1136" s="8"/>
      <c r="B1136" s="9" t="s">
        <v>2091</v>
      </c>
      <c r="C1136" s="10" t="s">
        <v>140</v>
      </c>
      <c r="D1136" s="11">
        <v>1</v>
      </c>
      <c r="E1136" s="12">
        <v>7200</v>
      </c>
      <c r="F1136" s="13">
        <v>7200</v>
      </c>
      <c r="G1136" s="2">
        <f>VLOOKUP(B1136,'PO with created By ASR'!A:C,3,FALSE)</f>
        <v>45686</v>
      </c>
      <c r="J1136" s="2" t="str">
        <f>VLOOKUP(B1136,'PO with created By ASR'!A:G,4,FALSE)</f>
        <v>Shree Padmavati Plastics (Happay)-Mum</v>
      </c>
      <c r="K1136" s="2" t="str">
        <f>VLOOKUP(B1136,'PO with created By ASR'!A:I,6,FALSE)</f>
        <v>12901 Shree Padmavati Plastics (Happay)</v>
      </c>
      <c r="L1136" s="2" t="str">
        <f>VLOOKUP(B1136,'PO with created By ASR'!A:J,7,FALSE)</f>
        <v>A - Mumbai</v>
      </c>
      <c r="M1136" s="2" t="str">
        <f>VLOOKUP(B1136,'PO with created By ASR'!A:K,8,FALSE)</f>
        <v>Purchase Order-Mum</v>
      </c>
      <c r="N1136" t="s">
        <v>36</v>
      </c>
      <c r="P1136" s="2">
        <v>6</v>
      </c>
    </row>
    <row r="1137" s="2" customFormat="1" spans="1:16">
      <c r="A1137" s="8"/>
      <c r="B1137" s="9" t="s">
        <v>2096</v>
      </c>
      <c r="C1137" s="10" t="s">
        <v>276</v>
      </c>
      <c r="D1137" s="11">
        <v>1</v>
      </c>
      <c r="E1137" s="12">
        <v>273255.5</v>
      </c>
      <c r="F1137" s="13">
        <v>273255.5</v>
      </c>
      <c r="G1137" s="2">
        <f>VLOOKUP(B1137,'PO with created By ASR'!A:C,3,FALSE)</f>
        <v>45686</v>
      </c>
      <c r="J1137" s="2" t="str">
        <f>VLOOKUP(B1137,'PO with created By ASR'!A:G,4,FALSE)</f>
        <v>Four Points by Sheraton (Duet India Hotels Pune Pvt Ltd)-Mum</v>
      </c>
      <c r="K1137" s="2" t="str">
        <f>VLOOKUP(B1137,'PO with created By ASR'!A:I,6,FALSE)</f>
        <v>10290  Four Points by Sheraton (Duet India Hotels Pune Pvt Ltd)</v>
      </c>
      <c r="L1137" s="2" t="str">
        <f>VLOOKUP(B1137,'PO with created By ASR'!A:J,7,FALSE)</f>
        <v>A - Mumbai</v>
      </c>
      <c r="M1137" s="2" t="str">
        <f>VLOOKUP(B1137,'PO with created By ASR'!A:K,8,FALSE)</f>
        <v>Purchase Order-Mum</v>
      </c>
      <c r="N1137" t="s">
        <v>36</v>
      </c>
      <c r="P1137" s="2">
        <v>6</v>
      </c>
    </row>
    <row r="1138" s="2" customFormat="1" spans="1:16">
      <c r="A1138" s="8"/>
      <c r="B1138" s="9" t="s">
        <v>2096</v>
      </c>
      <c r="C1138" s="10" t="s">
        <v>276</v>
      </c>
      <c r="D1138" s="11">
        <v>1</v>
      </c>
      <c r="E1138" s="12">
        <v>91626.6</v>
      </c>
      <c r="F1138" s="13">
        <v>91626.6</v>
      </c>
      <c r="G1138" s="2">
        <f>VLOOKUP(B1138,'PO with created By ASR'!A:C,3,FALSE)</f>
        <v>45686</v>
      </c>
      <c r="J1138" s="2" t="str">
        <f>VLOOKUP(B1138,'PO with created By ASR'!A:G,4,FALSE)</f>
        <v>Four Points by Sheraton (Duet India Hotels Pune Pvt Ltd)-Mum</v>
      </c>
      <c r="K1138" s="2" t="str">
        <f>VLOOKUP(B1138,'PO with created By ASR'!A:I,6,FALSE)</f>
        <v>10290  Four Points by Sheraton (Duet India Hotels Pune Pvt Ltd)</v>
      </c>
      <c r="L1138" s="2" t="str">
        <f>VLOOKUP(B1138,'PO with created By ASR'!A:J,7,FALSE)</f>
        <v>A - Mumbai</v>
      </c>
      <c r="M1138" s="2" t="str">
        <f>VLOOKUP(B1138,'PO with created By ASR'!A:K,8,FALSE)</f>
        <v>Purchase Order-Mum</v>
      </c>
      <c r="N1138" t="s">
        <v>36</v>
      </c>
      <c r="P1138" s="2">
        <v>6</v>
      </c>
    </row>
    <row r="1139" s="2" customFormat="1" spans="1:16">
      <c r="A1139" s="8"/>
      <c r="B1139" s="9" t="s">
        <v>2096</v>
      </c>
      <c r="C1139" s="10" t="s">
        <v>1239</v>
      </c>
      <c r="D1139" s="11">
        <v>1</v>
      </c>
      <c r="E1139" s="12">
        <v>80000</v>
      </c>
      <c r="F1139" s="13">
        <v>80000</v>
      </c>
      <c r="G1139" s="2">
        <f>VLOOKUP(B1139,'PO with created By ASR'!A:C,3,FALSE)</f>
        <v>45686</v>
      </c>
      <c r="J1139" s="2" t="str">
        <f>VLOOKUP(B1139,'PO with created By ASR'!A:G,4,FALSE)</f>
        <v>Four Points by Sheraton (Duet India Hotels Pune Pvt Ltd)-Mum</v>
      </c>
      <c r="K1139" s="2" t="str">
        <f>VLOOKUP(B1139,'PO with created By ASR'!A:I,6,FALSE)</f>
        <v>10290  Four Points by Sheraton (Duet India Hotels Pune Pvt Ltd)</v>
      </c>
      <c r="L1139" s="2" t="str">
        <f>VLOOKUP(B1139,'PO with created By ASR'!A:J,7,FALSE)</f>
        <v>A - Mumbai</v>
      </c>
      <c r="M1139" s="2" t="str">
        <f>VLOOKUP(B1139,'PO with created By ASR'!A:K,8,FALSE)</f>
        <v>Purchase Order-Mum</v>
      </c>
      <c r="N1139" t="s">
        <v>36</v>
      </c>
      <c r="P1139" s="2">
        <v>6</v>
      </c>
    </row>
    <row r="1140" s="2" customFormat="1" spans="1:16">
      <c r="A1140" s="8"/>
      <c r="B1140" s="9" t="s">
        <v>2096</v>
      </c>
      <c r="C1140" s="10" t="s">
        <v>61</v>
      </c>
      <c r="D1140" s="11">
        <v>1</v>
      </c>
      <c r="E1140" s="12">
        <v>68550</v>
      </c>
      <c r="F1140" s="13">
        <v>68550</v>
      </c>
      <c r="G1140" s="2">
        <f>VLOOKUP(B1140,'PO with created By ASR'!A:C,3,FALSE)</f>
        <v>45686</v>
      </c>
      <c r="J1140" s="2" t="str">
        <f>VLOOKUP(B1140,'PO with created By ASR'!A:G,4,FALSE)</f>
        <v>Four Points by Sheraton (Duet India Hotels Pune Pvt Ltd)-Mum</v>
      </c>
      <c r="K1140" s="2" t="str">
        <f>VLOOKUP(B1140,'PO with created By ASR'!A:I,6,FALSE)</f>
        <v>10290  Four Points by Sheraton (Duet India Hotels Pune Pvt Ltd)</v>
      </c>
      <c r="L1140" s="2" t="str">
        <f>VLOOKUP(B1140,'PO with created By ASR'!A:J,7,FALSE)</f>
        <v>A - Mumbai</v>
      </c>
      <c r="M1140" s="2" t="str">
        <f>VLOOKUP(B1140,'PO with created By ASR'!A:K,8,FALSE)</f>
        <v>Purchase Order-Mum</v>
      </c>
      <c r="N1140" t="s">
        <v>36</v>
      </c>
      <c r="P1140" s="2">
        <v>6</v>
      </c>
    </row>
    <row r="1141" s="2" customFormat="1" spans="1:16">
      <c r="A1141" s="8"/>
      <c r="B1141" s="9" t="s">
        <v>2096</v>
      </c>
      <c r="C1141" s="10" t="s">
        <v>61</v>
      </c>
      <c r="D1141" s="11">
        <v>1</v>
      </c>
      <c r="E1141" s="12">
        <v>14200</v>
      </c>
      <c r="F1141" s="13">
        <v>14200</v>
      </c>
      <c r="G1141" s="2">
        <f>VLOOKUP(B1141,'PO with created By ASR'!A:C,3,FALSE)</f>
        <v>45686</v>
      </c>
      <c r="J1141" s="2" t="str">
        <f>VLOOKUP(B1141,'PO with created By ASR'!A:G,4,FALSE)</f>
        <v>Four Points by Sheraton (Duet India Hotels Pune Pvt Ltd)-Mum</v>
      </c>
      <c r="K1141" s="2" t="str">
        <f>VLOOKUP(B1141,'PO with created By ASR'!A:I,6,FALSE)</f>
        <v>10290  Four Points by Sheraton (Duet India Hotels Pune Pvt Ltd)</v>
      </c>
      <c r="L1141" s="2" t="str">
        <f>VLOOKUP(B1141,'PO with created By ASR'!A:J,7,FALSE)</f>
        <v>A - Mumbai</v>
      </c>
      <c r="M1141" s="2" t="str">
        <f>VLOOKUP(B1141,'PO with created By ASR'!A:K,8,FALSE)</f>
        <v>Purchase Order-Mum</v>
      </c>
      <c r="N1141" t="s">
        <v>36</v>
      </c>
      <c r="P1141" s="2">
        <v>6</v>
      </c>
    </row>
    <row r="1142" s="2" customFormat="1" spans="1:16">
      <c r="A1142" s="8"/>
      <c r="B1142" s="9" t="s">
        <v>2099</v>
      </c>
      <c r="C1142" s="10" t="s">
        <v>140</v>
      </c>
      <c r="D1142" s="11">
        <v>1</v>
      </c>
      <c r="E1142" s="12">
        <v>75000</v>
      </c>
      <c r="F1142" s="13">
        <v>75000</v>
      </c>
      <c r="G1142" s="2">
        <f>VLOOKUP(B1142,'PO with created By ASR'!A:C,3,FALSE)</f>
        <v>45687</v>
      </c>
      <c r="J1142" s="2" t="str">
        <f>VLOOKUP(B1142,'PO with created By ASR'!A:G,4,FALSE)</f>
        <v>Time Marketing-Blr</v>
      </c>
      <c r="K1142" s="2" t="str">
        <f>VLOOKUP(B1142,'PO with created By ASR'!A:I,6,FALSE)</f>
        <v>12541 Time Marketing</v>
      </c>
      <c r="L1142" s="2" t="str">
        <f>VLOOKUP(B1142,'PO with created By ASR'!A:J,7,FALSE)</f>
        <v>B - Bangalore</v>
      </c>
      <c r="M1142" s="2" t="str">
        <f>VLOOKUP(B1142,'PO with created By ASR'!A:K,8,FALSE)</f>
        <v>Purchase Order-Blr</v>
      </c>
      <c r="N1142" t="s">
        <v>36</v>
      </c>
      <c r="P1142" s="2">
        <v>6</v>
      </c>
    </row>
    <row r="1143" s="2" customFormat="1" spans="1:16">
      <c r="A1143" s="8"/>
      <c r="B1143" s="9" t="s">
        <v>2100</v>
      </c>
      <c r="C1143" s="10" t="s">
        <v>317</v>
      </c>
      <c r="D1143" s="11">
        <v>1</v>
      </c>
      <c r="E1143" s="12">
        <v>330000</v>
      </c>
      <c r="F1143" s="13">
        <v>330000</v>
      </c>
      <c r="G1143" s="2">
        <f>VLOOKUP(B1143,'PO with created By ASR'!A:C,3,FALSE)</f>
        <v>45687</v>
      </c>
      <c r="J1143" s="2" t="str">
        <f>VLOOKUP(B1143,'PO with created By ASR'!A:G,4,FALSE)</f>
        <v>Aishwarya Anil Kumar-Che</v>
      </c>
      <c r="K1143" s="2" t="str">
        <f>VLOOKUP(B1143,'PO with created By ASR'!A:I,6,FALSE)</f>
        <v>12895 Aishwarya Anil Kumar</v>
      </c>
      <c r="L1143" s="2" t="str">
        <f>VLOOKUP(B1143,'PO with created By ASR'!A:J,7,FALSE)</f>
        <v>C - Chennai</v>
      </c>
      <c r="M1143" s="2" t="str">
        <f>VLOOKUP(B1143,'PO with created By ASR'!A:K,8,FALSE)</f>
        <v>Purchase Order-Che</v>
      </c>
      <c r="N1143" t="s">
        <v>36</v>
      </c>
      <c r="P1143" s="2">
        <v>6</v>
      </c>
    </row>
    <row r="1144" s="2" customFormat="1" spans="1:16">
      <c r="A1144" s="8"/>
      <c r="B1144" s="9" t="s">
        <v>2101</v>
      </c>
      <c r="C1144" s="10" t="s">
        <v>276</v>
      </c>
      <c r="D1144" s="11">
        <v>1</v>
      </c>
      <c r="E1144" s="12">
        <v>2755700</v>
      </c>
      <c r="F1144" s="13">
        <v>2755700</v>
      </c>
      <c r="G1144" s="2">
        <f>VLOOKUP(B1144,'PO with created By ASR'!A:C,3,FALSE)</f>
        <v>45687</v>
      </c>
      <c r="J1144" s="2" t="str">
        <f>VLOOKUP(B1144,'PO with created By ASR'!A:G,4,FALSE)</f>
        <v>Fairmont Mumbai (Shrem Airport Hotels Pvt Ltd)-Mum</v>
      </c>
      <c r="K1144" s="2" t="str">
        <f>VLOOKUP(B1144,'PO with created By ASR'!A:I,6,FALSE)</f>
        <v>12914  Fairmont Mumbai (Shrem Airport Hotels Pvt Ltd)</v>
      </c>
      <c r="L1144" s="2" t="str">
        <f>VLOOKUP(B1144,'PO with created By ASR'!A:J,7,FALSE)</f>
        <v>A - Mumbai</v>
      </c>
      <c r="M1144" s="2" t="str">
        <f>VLOOKUP(B1144,'PO with created By ASR'!A:K,8,FALSE)</f>
        <v>Purchase Order-Mum</v>
      </c>
      <c r="N1144" t="s">
        <v>36</v>
      </c>
      <c r="P1144" s="2">
        <v>6</v>
      </c>
    </row>
    <row r="1145" s="2" customFormat="1" spans="1:16">
      <c r="A1145" s="8"/>
      <c r="B1145" s="9" t="s">
        <v>2101</v>
      </c>
      <c r="C1145" s="10" t="s">
        <v>276</v>
      </c>
      <c r="D1145" s="11">
        <v>1</v>
      </c>
      <c r="E1145" s="12">
        <v>704412</v>
      </c>
      <c r="F1145" s="13">
        <v>704412</v>
      </c>
      <c r="G1145" s="2">
        <f>VLOOKUP(B1145,'PO with created By ASR'!A:C,3,FALSE)</f>
        <v>45687</v>
      </c>
      <c r="J1145" s="2" t="str">
        <f>VLOOKUP(B1145,'PO with created By ASR'!A:G,4,FALSE)</f>
        <v>Fairmont Mumbai (Shrem Airport Hotels Pvt Ltd)-Mum</v>
      </c>
      <c r="K1145" s="2" t="str">
        <f>VLOOKUP(B1145,'PO with created By ASR'!A:I,6,FALSE)</f>
        <v>12914  Fairmont Mumbai (Shrem Airport Hotels Pvt Ltd)</v>
      </c>
      <c r="L1145" s="2" t="str">
        <f>VLOOKUP(B1145,'PO with created By ASR'!A:J,7,FALSE)</f>
        <v>A - Mumbai</v>
      </c>
      <c r="M1145" s="2" t="str">
        <f>VLOOKUP(B1145,'PO with created By ASR'!A:K,8,FALSE)</f>
        <v>Purchase Order-Mum</v>
      </c>
      <c r="N1145" t="s">
        <v>36</v>
      </c>
      <c r="P1145" s="2">
        <v>6</v>
      </c>
    </row>
    <row r="1146" s="2" customFormat="1" spans="1:16">
      <c r="A1146" s="8"/>
      <c r="B1146" s="9" t="s">
        <v>2101</v>
      </c>
      <c r="C1146" s="10" t="s">
        <v>61</v>
      </c>
      <c r="D1146" s="11">
        <v>1</v>
      </c>
      <c r="E1146" s="12">
        <v>241637.5</v>
      </c>
      <c r="F1146" s="13">
        <v>241637.5</v>
      </c>
      <c r="G1146" s="2">
        <f>VLOOKUP(B1146,'PO with created By ASR'!A:C,3,FALSE)</f>
        <v>45687</v>
      </c>
      <c r="J1146" s="2" t="str">
        <f>VLOOKUP(B1146,'PO with created By ASR'!A:G,4,FALSE)</f>
        <v>Fairmont Mumbai (Shrem Airport Hotels Pvt Ltd)-Mum</v>
      </c>
      <c r="K1146" s="2" t="str">
        <f>VLOOKUP(B1146,'PO with created By ASR'!A:I,6,FALSE)</f>
        <v>12914  Fairmont Mumbai (Shrem Airport Hotels Pvt Ltd)</v>
      </c>
      <c r="L1146" s="2" t="str">
        <f>VLOOKUP(B1146,'PO with created By ASR'!A:J,7,FALSE)</f>
        <v>A - Mumbai</v>
      </c>
      <c r="M1146" s="2" t="str">
        <f>VLOOKUP(B1146,'PO with created By ASR'!A:K,8,FALSE)</f>
        <v>Purchase Order-Mum</v>
      </c>
      <c r="N1146" t="s">
        <v>36</v>
      </c>
      <c r="P1146" s="2">
        <v>6</v>
      </c>
    </row>
    <row r="1147" s="2" customFormat="1" spans="1:16">
      <c r="A1147" s="8"/>
      <c r="B1147" s="9" t="s">
        <v>2102</v>
      </c>
      <c r="C1147" s="10" t="s">
        <v>276</v>
      </c>
      <c r="D1147" s="11">
        <v>1</v>
      </c>
      <c r="E1147" s="12">
        <v>313500</v>
      </c>
      <c r="F1147" s="13">
        <v>313500</v>
      </c>
      <c r="G1147" s="2">
        <f>VLOOKUP(B1147,'PO with created By ASR'!A:C,3,FALSE)</f>
        <v>45688</v>
      </c>
      <c r="J1147" s="2" t="str">
        <f>VLOOKUP(B1147,'PO with created By ASR'!A:G,4,FALSE)</f>
        <v>Aloft Aerocity,U/o Central Park Infrastructure Development Pvt Ltd-Del</v>
      </c>
      <c r="K1147" s="2" t="e">
        <f>VLOOKUP(B1147,'PO with created By ASR'!A:I,6,FALSE)</f>
        <v>#N/A</v>
      </c>
      <c r="L1147" s="2" t="str">
        <f>VLOOKUP(B1147,'PO with created By ASR'!A:J,7,FALSE)</f>
        <v>D - Delhi</v>
      </c>
      <c r="M1147" s="2" t="str">
        <f>VLOOKUP(B1147,'PO with created By ASR'!A:K,8,FALSE)</f>
        <v>Purchase Order-Del</v>
      </c>
      <c r="N1147" t="s">
        <v>36</v>
      </c>
      <c r="P1147" s="2">
        <v>6</v>
      </c>
    </row>
    <row r="1148" s="2" customFormat="1" spans="1:16">
      <c r="A1148" s="8"/>
      <c r="B1148" s="9" t="s">
        <v>2102</v>
      </c>
      <c r="C1148" s="10" t="s">
        <v>276</v>
      </c>
      <c r="D1148" s="11">
        <v>1</v>
      </c>
      <c r="E1148" s="12">
        <v>82265</v>
      </c>
      <c r="F1148" s="13">
        <v>82265</v>
      </c>
      <c r="G1148" s="2">
        <f>VLOOKUP(B1148,'PO with created By ASR'!A:C,3,FALSE)</f>
        <v>45688</v>
      </c>
      <c r="J1148" s="2" t="str">
        <f>VLOOKUP(B1148,'PO with created By ASR'!A:G,4,FALSE)</f>
        <v>Aloft Aerocity,U/o Central Park Infrastructure Development Pvt Ltd-Del</v>
      </c>
      <c r="K1148" s="2" t="e">
        <f>VLOOKUP(B1148,'PO with created By ASR'!A:I,6,FALSE)</f>
        <v>#N/A</v>
      </c>
      <c r="L1148" s="2" t="str">
        <f>VLOOKUP(B1148,'PO with created By ASR'!A:J,7,FALSE)</f>
        <v>D - Delhi</v>
      </c>
      <c r="M1148" s="2" t="str">
        <f>VLOOKUP(B1148,'PO with created By ASR'!A:K,8,FALSE)</f>
        <v>Purchase Order-Del</v>
      </c>
      <c r="N1148" t="s">
        <v>36</v>
      </c>
      <c r="P1148" s="2">
        <v>6</v>
      </c>
    </row>
    <row r="1149" s="2" customFormat="1" spans="1:16">
      <c r="A1149" s="8"/>
      <c r="B1149" s="9" t="s">
        <v>2102</v>
      </c>
      <c r="C1149" s="10" t="s">
        <v>1239</v>
      </c>
      <c r="D1149" s="11">
        <v>1</v>
      </c>
      <c r="E1149" s="12">
        <v>226688</v>
      </c>
      <c r="F1149" s="13">
        <v>226688</v>
      </c>
      <c r="G1149" s="2">
        <f>VLOOKUP(B1149,'PO with created By ASR'!A:C,3,FALSE)</f>
        <v>45688</v>
      </c>
      <c r="J1149" s="2" t="str">
        <f>VLOOKUP(B1149,'PO with created By ASR'!A:G,4,FALSE)</f>
        <v>Aloft Aerocity,U/o Central Park Infrastructure Development Pvt Ltd-Del</v>
      </c>
      <c r="K1149" s="2" t="e">
        <f>VLOOKUP(B1149,'PO with created By ASR'!A:I,6,FALSE)</f>
        <v>#N/A</v>
      </c>
      <c r="L1149" s="2" t="str">
        <f>VLOOKUP(B1149,'PO with created By ASR'!A:J,7,FALSE)</f>
        <v>D - Delhi</v>
      </c>
      <c r="M1149" s="2" t="str">
        <f>VLOOKUP(B1149,'PO with created By ASR'!A:K,8,FALSE)</f>
        <v>Purchase Order-Del</v>
      </c>
      <c r="N1149" t="s">
        <v>36</v>
      </c>
      <c r="P1149" s="2">
        <v>6</v>
      </c>
    </row>
    <row r="1150" s="2" customFormat="1" spans="1:16">
      <c r="A1150" s="8"/>
      <c r="B1150" s="9" t="s">
        <v>2104</v>
      </c>
      <c r="C1150" s="10" t="s">
        <v>196</v>
      </c>
      <c r="D1150" s="11">
        <v>1</v>
      </c>
      <c r="E1150" s="12">
        <v>1524</v>
      </c>
      <c r="F1150" s="13">
        <v>1524</v>
      </c>
      <c r="G1150" s="2">
        <f>VLOOKUP(B1150,'PO with created By ASR'!A:C,3,FALSE)</f>
        <v>45688</v>
      </c>
      <c r="J1150" s="2" t="str">
        <f>VLOOKUP(B1150,'PO with created By ASR'!A:G,4,FALSE)</f>
        <v>Pandey Print Services-Del</v>
      </c>
      <c r="K1150" s="2" t="str">
        <f>VLOOKUP(B1150,'PO with created By ASR'!A:I,6,FALSE)</f>
        <v>12236 Pandey Print Services</v>
      </c>
      <c r="L1150" s="2" t="str">
        <f>VLOOKUP(B1150,'PO with created By ASR'!A:J,7,FALSE)</f>
        <v>D - Delhi</v>
      </c>
      <c r="M1150" s="2" t="str">
        <f>VLOOKUP(B1150,'PO with created By ASR'!A:K,8,FALSE)</f>
        <v>Purchase Order-Del</v>
      </c>
      <c r="N1150" t="s">
        <v>36</v>
      </c>
      <c r="P1150" s="2">
        <v>6</v>
      </c>
    </row>
    <row r="1151" s="2" customFormat="1" spans="1:16">
      <c r="A1151" s="8"/>
      <c r="B1151" s="9" t="s">
        <v>2105</v>
      </c>
      <c r="C1151" s="10" t="s">
        <v>61</v>
      </c>
      <c r="D1151" s="11">
        <v>1</v>
      </c>
      <c r="E1151" s="12">
        <v>14000</v>
      </c>
      <c r="F1151" s="13">
        <v>14000</v>
      </c>
      <c r="G1151" s="2">
        <f>VLOOKUP(B1151,'PO with created By ASR'!A:C,3,FALSE)</f>
        <v>45688</v>
      </c>
      <c r="J1151" s="2" t="str">
        <f>VLOOKUP(B1151,'PO with created By ASR'!A:G,4,FALSE)</f>
        <v>Holiday Inn New Delhi (Eros Grand Resorts And Hotels Pvt Ltd)-Del</v>
      </c>
      <c r="K1151" s="2" t="str">
        <f>VLOOKUP(B1151,'PO with created By ASR'!A:I,6,FALSE)</f>
        <v>12915  Holiday Inn New Delhi (Eros Grand Resorts And Hotels Pvt Ltd)</v>
      </c>
      <c r="L1151" s="2" t="str">
        <f>VLOOKUP(B1151,'PO with created By ASR'!A:J,7,FALSE)</f>
        <v>D - Delhi</v>
      </c>
      <c r="M1151" s="2" t="str">
        <f>VLOOKUP(B1151,'PO with created By ASR'!A:K,8,FALSE)</f>
        <v>Purchase Order-Del</v>
      </c>
      <c r="N1151" t="s">
        <v>36</v>
      </c>
      <c r="P1151" s="2">
        <v>6</v>
      </c>
    </row>
    <row r="1152" s="2" customFormat="1" spans="1:16">
      <c r="A1152" s="8"/>
      <c r="B1152" s="9" t="s">
        <v>2105</v>
      </c>
      <c r="C1152" s="10" t="s">
        <v>276</v>
      </c>
      <c r="D1152" s="11">
        <v>1</v>
      </c>
      <c r="E1152" s="12">
        <v>63900</v>
      </c>
      <c r="F1152" s="13">
        <v>63900</v>
      </c>
      <c r="G1152" s="2">
        <f>VLOOKUP(B1152,'PO with created By ASR'!A:C,3,FALSE)</f>
        <v>45688</v>
      </c>
      <c r="J1152" s="2" t="str">
        <f>VLOOKUP(B1152,'PO with created By ASR'!A:G,4,FALSE)</f>
        <v>Holiday Inn New Delhi (Eros Grand Resorts And Hotels Pvt Ltd)-Del</v>
      </c>
      <c r="K1152" s="2" t="str">
        <f>VLOOKUP(B1152,'PO with created By ASR'!A:I,6,FALSE)</f>
        <v>12915  Holiday Inn New Delhi (Eros Grand Resorts And Hotels Pvt Ltd)</v>
      </c>
      <c r="L1152" s="2" t="str">
        <f>VLOOKUP(B1152,'PO with created By ASR'!A:J,7,FALSE)</f>
        <v>D - Delhi</v>
      </c>
      <c r="M1152" s="2" t="str">
        <f>VLOOKUP(B1152,'PO with created By ASR'!A:K,8,FALSE)</f>
        <v>Purchase Order-Del</v>
      </c>
      <c r="N1152" t="s">
        <v>36</v>
      </c>
      <c r="P1152" s="2">
        <v>6</v>
      </c>
    </row>
    <row r="1153" s="2" customFormat="1" spans="1:16">
      <c r="A1153" s="8"/>
      <c r="B1153" s="9" t="s">
        <v>2105</v>
      </c>
      <c r="C1153" s="10" t="s">
        <v>276</v>
      </c>
      <c r="D1153" s="11">
        <v>1</v>
      </c>
      <c r="E1153" s="12">
        <v>350188</v>
      </c>
      <c r="F1153" s="13">
        <v>350188</v>
      </c>
      <c r="G1153" s="2">
        <f>VLOOKUP(B1153,'PO with created By ASR'!A:C,3,FALSE)</f>
        <v>45688</v>
      </c>
      <c r="J1153" s="2" t="str">
        <f>VLOOKUP(B1153,'PO with created By ASR'!A:G,4,FALSE)</f>
        <v>Holiday Inn New Delhi (Eros Grand Resorts And Hotels Pvt Ltd)-Del</v>
      </c>
      <c r="K1153" s="2" t="str">
        <f>VLOOKUP(B1153,'PO with created By ASR'!A:I,6,FALSE)</f>
        <v>12915  Holiday Inn New Delhi (Eros Grand Resorts And Hotels Pvt Ltd)</v>
      </c>
      <c r="L1153" s="2" t="str">
        <f>VLOOKUP(B1153,'PO with created By ASR'!A:J,7,FALSE)</f>
        <v>D - Delhi</v>
      </c>
      <c r="M1153" s="2" t="str">
        <f>VLOOKUP(B1153,'PO with created By ASR'!A:K,8,FALSE)</f>
        <v>Purchase Order-Del</v>
      </c>
      <c r="N1153" t="s">
        <v>36</v>
      </c>
      <c r="P1153" s="2">
        <v>6</v>
      </c>
    </row>
    <row r="1154" s="2" customFormat="1" spans="1:16">
      <c r="A1154" s="8"/>
      <c r="B1154" s="9" t="s">
        <v>2108</v>
      </c>
      <c r="C1154" s="10" t="s">
        <v>61</v>
      </c>
      <c r="D1154" s="11">
        <v>1</v>
      </c>
      <c r="E1154" s="12">
        <v>45220</v>
      </c>
      <c r="F1154" s="13">
        <v>45220</v>
      </c>
      <c r="G1154" s="2">
        <f>VLOOKUP(B1154,'PO with created By ASR'!A:C,3,FALSE)</f>
        <v>45688</v>
      </c>
      <c r="J1154" s="2" t="str">
        <f>VLOOKUP(B1154,'PO with created By ASR'!A:G,4,FALSE)</f>
        <v>Fairfield By Marriott Mumbai (Associated Hospitality Pvt Ltd)-Mum</v>
      </c>
      <c r="K1154" s="2" t="str">
        <f>VLOOKUP(B1154,'PO with created By ASR'!A:I,6,FALSE)</f>
        <v>11911  Fairfield By Marriott Mumbai (Associated Hospitality Pvt Ltd)</v>
      </c>
      <c r="L1154" s="2" t="str">
        <f>VLOOKUP(B1154,'PO with created By ASR'!A:J,7,FALSE)</f>
        <v>A - Mumbai</v>
      </c>
      <c r="M1154" s="2" t="str">
        <f>VLOOKUP(B1154,'PO with created By ASR'!A:K,8,FALSE)</f>
        <v>Purchase Order-Mum</v>
      </c>
      <c r="N1154" t="s">
        <v>36</v>
      </c>
      <c r="P1154" s="2">
        <v>6</v>
      </c>
    </row>
    <row r="1155" s="2" customFormat="1" spans="1:16">
      <c r="A1155" s="8"/>
      <c r="B1155" s="9" t="s">
        <v>2109</v>
      </c>
      <c r="C1155" s="10" t="s">
        <v>140</v>
      </c>
      <c r="D1155" s="11">
        <v>1</v>
      </c>
      <c r="E1155" s="12">
        <v>61000</v>
      </c>
      <c r="F1155" s="13">
        <v>61000</v>
      </c>
      <c r="G1155" s="2">
        <f>VLOOKUP(B1155,'PO with created By ASR'!A:C,3,FALSE)</f>
        <v>45689</v>
      </c>
      <c r="J1155" s="2" t="str">
        <f>VLOOKUP(B1155,'PO with created By ASR'!A:G,4,FALSE)</f>
        <v>Megascule-Blr</v>
      </c>
      <c r="K1155" s="2" t="e">
        <f>VLOOKUP(B1155,'PO with created By ASR'!A:I,6,FALSE)</f>
        <v>#N/A</v>
      </c>
      <c r="L1155" s="2" t="str">
        <f>VLOOKUP(B1155,'PO with created By ASR'!A:J,7,FALSE)</f>
        <v>B - Bangalore</v>
      </c>
      <c r="M1155" s="2" t="str">
        <f>VLOOKUP(B1155,'PO with created By ASR'!A:K,8,FALSE)</f>
        <v>Purchase Order-Blr</v>
      </c>
      <c r="N1155" t="s">
        <v>36</v>
      </c>
      <c r="P1155" s="2">
        <v>6</v>
      </c>
    </row>
    <row r="1156" s="2" customFormat="1" spans="1:16">
      <c r="A1156" s="8"/>
      <c r="B1156" s="9" t="s">
        <v>2109</v>
      </c>
      <c r="C1156" s="10" t="s">
        <v>205</v>
      </c>
      <c r="D1156" s="11">
        <v>1</v>
      </c>
      <c r="E1156" s="12">
        <v>2000</v>
      </c>
      <c r="F1156" s="13">
        <v>2000</v>
      </c>
      <c r="G1156" s="2">
        <f>VLOOKUP(B1156,'PO with created By ASR'!A:C,3,FALSE)</f>
        <v>45689</v>
      </c>
      <c r="J1156" s="2" t="str">
        <f>VLOOKUP(B1156,'PO with created By ASR'!A:G,4,FALSE)</f>
        <v>Megascule-Blr</v>
      </c>
      <c r="K1156" s="2" t="e">
        <f>VLOOKUP(B1156,'PO with created By ASR'!A:I,6,FALSE)</f>
        <v>#N/A</v>
      </c>
      <c r="L1156" s="2" t="str">
        <f>VLOOKUP(B1156,'PO with created By ASR'!A:J,7,FALSE)</f>
        <v>B - Bangalore</v>
      </c>
      <c r="M1156" s="2" t="str">
        <f>VLOOKUP(B1156,'PO with created By ASR'!A:K,8,FALSE)</f>
        <v>Purchase Order-Blr</v>
      </c>
      <c r="N1156" t="s">
        <v>36</v>
      </c>
      <c r="P1156" s="2">
        <v>6</v>
      </c>
    </row>
    <row r="1157" s="2" customFormat="1" spans="1:16">
      <c r="A1157" s="8"/>
      <c r="B1157" s="9" t="s">
        <v>2110</v>
      </c>
      <c r="C1157" s="10" t="s">
        <v>371</v>
      </c>
      <c r="D1157" s="11">
        <v>1</v>
      </c>
      <c r="E1157" s="12">
        <v>350000</v>
      </c>
      <c r="F1157" s="13">
        <v>350000</v>
      </c>
      <c r="G1157" s="2">
        <f>VLOOKUP(B1157,'PO with created By ASR'!A:C,3,FALSE)</f>
        <v>45689</v>
      </c>
      <c r="J1157" s="2" t="str">
        <f>VLOOKUP(B1157,'PO with created By ASR'!A:G,4,FALSE)</f>
        <v>Event Life-Blr</v>
      </c>
      <c r="K1157" s="2" t="str">
        <f>VLOOKUP(B1157,'PO with created By ASR'!A:I,6,FALSE)</f>
        <v>11892 Event Life</v>
      </c>
      <c r="L1157" s="2" t="str">
        <f>VLOOKUP(B1157,'PO with created By ASR'!A:J,7,FALSE)</f>
        <v>B - Bangalore</v>
      </c>
      <c r="M1157" s="2" t="str">
        <f>VLOOKUP(B1157,'PO with created By ASR'!A:K,8,FALSE)</f>
        <v>Purchase Order-Blr</v>
      </c>
      <c r="N1157" t="s">
        <v>36</v>
      </c>
      <c r="P1157" s="2">
        <v>6</v>
      </c>
    </row>
    <row r="1158" s="2" customFormat="1" spans="1:16">
      <c r="A1158" s="8"/>
      <c r="B1158" s="9" t="s">
        <v>2113</v>
      </c>
      <c r="C1158" s="10" t="s">
        <v>80</v>
      </c>
      <c r="D1158" s="11">
        <v>1</v>
      </c>
      <c r="E1158" s="12">
        <v>27500</v>
      </c>
      <c r="F1158" s="13">
        <v>27500</v>
      </c>
      <c r="G1158" s="2">
        <f>VLOOKUP(B1158,'PO with created By ASR'!A:C,3,FALSE)</f>
        <v>45689</v>
      </c>
      <c r="J1158" s="2" t="str">
        <f>VLOOKUP(B1158,'PO with created By ASR'!A:G,4,FALSE)</f>
        <v>K Vishwanath Gouda Rent-Blr</v>
      </c>
      <c r="K1158" s="2" t="str">
        <f>VLOOKUP(B1158,'PO with created By ASR'!A:I,6,FALSE)</f>
        <v>11016 K Vishwanath Gouda Rent</v>
      </c>
      <c r="L1158" s="2" t="str">
        <f>VLOOKUP(B1158,'PO with created By ASR'!A:J,7,FALSE)</f>
        <v>B - Bangalore</v>
      </c>
      <c r="M1158" s="2" t="str">
        <f>VLOOKUP(B1158,'PO with created By ASR'!A:K,8,FALSE)</f>
        <v>Purchase Order-Blr</v>
      </c>
      <c r="N1158" t="s">
        <v>36</v>
      </c>
      <c r="P1158" s="2">
        <v>6</v>
      </c>
    </row>
    <row r="1159" s="2" customFormat="1" spans="1:16">
      <c r="A1159" s="8"/>
      <c r="B1159" s="9" t="s">
        <v>2114</v>
      </c>
      <c r="C1159" s="10" t="s">
        <v>70</v>
      </c>
      <c r="D1159" s="11">
        <v>1</v>
      </c>
      <c r="E1159" s="12">
        <v>48991</v>
      </c>
      <c r="F1159" s="13">
        <v>48991</v>
      </c>
      <c r="G1159" s="2">
        <f>VLOOKUP(B1159,'PO with created By ASR'!A:C,3,FALSE)</f>
        <v>45689</v>
      </c>
      <c r="J1159" s="2" t="str">
        <f>VLOOKUP(B1159,'PO with created By ASR'!A:G,4,FALSE)</f>
        <v>Lynx Security &amp; Detectives Services (P) Ltd-Blr</v>
      </c>
      <c r="K1159" s="2" t="str">
        <f>VLOOKUP(B1159,'PO with created By ASR'!A:I,6,FALSE)</f>
        <v>11520  Lynx Security &amp; Detectives Services (P) Ltd</v>
      </c>
      <c r="L1159" s="2" t="str">
        <f>VLOOKUP(B1159,'PO with created By ASR'!A:J,7,FALSE)</f>
        <v>B - Bangalore</v>
      </c>
      <c r="M1159" s="2" t="str">
        <f>VLOOKUP(B1159,'PO with created By ASR'!A:K,8,FALSE)</f>
        <v>Purchase Order-Blr</v>
      </c>
      <c r="N1159" t="s">
        <v>36</v>
      </c>
      <c r="P1159" s="2">
        <v>6</v>
      </c>
    </row>
    <row r="1160" s="2" customFormat="1" spans="1:16">
      <c r="A1160" s="8"/>
      <c r="B1160" s="9" t="s">
        <v>2114</v>
      </c>
      <c r="C1160" s="10" t="s">
        <v>107</v>
      </c>
      <c r="D1160" s="11">
        <v>1</v>
      </c>
      <c r="E1160" s="12">
        <v>23151</v>
      </c>
      <c r="F1160" s="13">
        <v>23151</v>
      </c>
      <c r="G1160" s="2">
        <f>VLOOKUP(B1160,'PO with created By ASR'!A:C,3,FALSE)</f>
        <v>45689</v>
      </c>
      <c r="J1160" s="2" t="str">
        <f>VLOOKUP(B1160,'PO with created By ASR'!A:G,4,FALSE)</f>
        <v>Lynx Security &amp; Detectives Services (P) Ltd-Blr</v>
      </c>
      <c r="K1160" s="2" t="str">
        <f>VLOOKUP(B1160,'PO with created By ASR'!A:I,6,FALSE)</f>
        <v>11520  Lynx Security &amp; Detectives Services (P) Ltd</v>
      </c>
      <c r="L1160" s="2" t="str">
        <f>VLOOKUP(B1160,'PO with created By ASR'!A:J,7,FALSE)</f>
        <v>B - Bangalore</v>
      </c>
      <c r="M1160" s="2" t="str">
        <f>VLOOKUP(B1160,'PO with created By ASR'!A:K,8,FALSE)</f>
        <v>Purchase Order-Blr</v>
      </c>
      <c r="N1160" t="s">
        <v>36</v>
      </c>
      <c r="P1160" s="2">
        <v>6</v>
      </c>
    </row>
    <row r="1161" s="2" customFormat="1" spans="1:16">
      <c r="A1161" s="8"/>
      <c r="B1161" s="9" t="s">
        <v>2115</v>
      </c>
      <c r="C1161" s="10" t="s">
        <v>76</v>
      </c>
      <c r="D1161" s="11">
        <v>1</v>
      </c>
      <c r="E1161" s="12">
        <v>70</v>
      </c>
      <c r="F1161" s="13">
        <v>70</v>
      </c>
      <c r="G1161" s="2">
        <f>VLOOKUP(B1161,'PO with created By ASR'!A:C,3,FALSE)</f>
        <v>45689</v>
      </c>
      <c r="J1161" s="2" t="str">
        <f>VLOOKUP(B1161,'PO with created By ASR'!A:G,4,FALSE)</f>
        <v>Mayur Enterprises-Blr</v>
      </c>
      <c r="K1161" s="2" t="str">
        <f>VLOOKUP(B1161,'PO with created By ASR'!A:I,6,FALSE)</f>
        <v>11521 Mayur Enterprises</v>
      </c>
      <c r="L1161" s="2" t="str">
        <f>VLOOKUP(B1161,'PO with created By ASR'!A:J,7,FALSE)</f>
        <v>B - Bangalore</v>
      </c>
      <c r="M1161" s="2" t="str">
        <f>VLOOKUP(B1161,'PO with created By ASR'!A:K,8,FALSE)</f>
        <v>Purchase Order-Blr</v>
      </c>
      <c r="N1161" t="s">
        <v>36</v>
      </c>
      <c r="P1161" s="2">
        <v>6</v>
      </c>
    </row>
    <row r="1162" s="2" customFormat="1" spans="1:16">
      <c r="A1162" s="8"/>
      <c r="B1162" s="9" t="s">
        <v>2115</v>
      </c>
      <c r="C1162" s="10" t="s">
        <v>4363</v>
      </c>
      <c r="D1162" s="11">
        <v>1</v>
      </c>
      <c r="E1162" s="12">
        <v>70</v>
      </c>
      <c r="F1162" s="13">
        <v>70</v>
      </c>
      <c r="G1162" s="2">
        <f>VLOOKUP(B1162,'PO with created By ASR'!A:C,3,FALSE)</f>
        <v>45689</v>
      </c>
      <c r="J1162" s="2" t="str">
        <f>VLOOKUP(B1162,'PO with created By ASR'!A:G,4,FALSE)</f>
        <v>Mayur Enterprises-Blr</v>
      </c>
      <c r="K1162" s="2" t="str">
        <f>VLOOKUP(B1162,'PO with created By ASR'!A:I,6,FALSE)</f>
        <v>11521 Mayur Enterprises</v>
      </c>
      <c r="L1162" s="2" t="str">
        <f>VLOOKUP(B1162,'PO with created By ASR'!A:J,7,FALSE)</f>
        <v>B - Bangalore</v>
      </c>
      <c r="M1162" s="2" t="str">
        <f>VLOOKUP(B1162,'PO with created By ASR'!A:K,8,FALSE)</f>
        <v>Purchase Order-Blr</v>
      </c>
      <c r="N1162" t="s">
        <v>36</v>
      </c>
      <c r="P1162" s="2">
        <v>6</v>
      </c>
    </row>
    <row r="1163" s="2" customFormat="1" spans="1:16">
      <c r="A1163" s="8"/>
      <c r="B1163" s="9" t="s">
        <v>2116</v>
      </c>
      <c r="C1163" s="10" t="s">
        <v>84</v>
      </c>
      <c r="D1163" s="11">
        <v>1</v>
      </c>
      <c r="E1163" s="12">
        <v>3500</v>
      </c>
      <c r="F1163" s="13">
        <v>3500</v>
      </c>
      <c r="G1163" s="2">
        <f>VLOOKUP(B1163,'PO with created By ASR'!A:C,3,FALSE)</f>
        <v>45689</v>
      </c>
      <c r="J1163" s="2" t="str">
        <f>VLOOKUP(B1163,'PO with created By ASR'!A:G,4,FALSE)</f>
        <v>K-Corp-Blr</v>
      </c>
      <c r="K1163" s="2" t="e">
        <f>VLOOKUP(B1163,'PO with created By ASR'!A:I,6,FALSE)</f>
        <v>#N/A</v>
      </c>
      <c r="L1163" s="2" t="str">
        <f>VLOOKUP(B1163,'PO with created By ASR'!A:J,7,FALSE)</f>
        <v>B - Bangalore</v>
      </c>
      <c r="M1163" s="2" t="str">
        <f>VLOOKUP(B1163,'PO with created By ASR'!A:K,8,FALSE)</f>
        <v>Purchase Order-Blr</v>
      </c>
      <c r="N1163" t="s">
        <v>36</v>
      </c>
      <c r="P1163" s="2">
        <v>6</v>
      </c>
    </row>
    <row r="1164" s="2" customFormat="1" spans="1:16">
      <c r="A1164" s="8"/>
      <c r="B1164" s="9" t="s">
        <v>2117</v>
      </c>
      <c r="C1164" s="10" t="s">
        <v>50</v>
      </c>
      <c r="D1164" s="11">
        <v>1</v>
      </c>
      <c r="E1164" s="12">
        <v>4000</v>
      </c>
      <c r="F1164" s="13">
        <v>4000</v>
      </c>
      <c r="G1164" s="2">
        <f>VLOOKUP(B1164,'PO with created By ASR'!A:C,3,FALSE)</f>
        <v>45689</v>
      </c>
      <c r="J1164" s="2" t="str">
        <f>VLOOKUP(B1164,'PO with created By ASR'!A:G,4,FALSE)</f>
        <v>H P Ramareddy Utility-Blr</v>
      </c>
      <c r="K1164" s="2" t="str">
        <f>VLOOKUP(B1164,'PO with created By ASR'!A:I,6,FALSE)</f>
        <v>11015 H P Ramareddy Utility</v>
      </c>
      <c r="L1164" s="2" t="str">
        <f>VLOOKUP(B1164,'PO with created By ASR'!A:J,7,FALSE)</f>
        <v>B - Bangalore</v>
      </c>
      <c r="M1164" s="2" t="str">
        <f>VLOOKUP(B1164,'PO with created By ASR'!A:K,8,FALSE)</f>
        <v>Purchase Order-Blr</v>
      </c>
      <c r="N1164" t="s">
        <v>36</v>
      </c>
      <c r="P1164" s="2">
        <v>6</v>
      </c>
    </row>
    <row r="1165" s="2" customFormat="1" spans="1:16">
      <c r="A1165" s="8"/>
      <c r="B1165" s="9" t="s">
        <v>2118</v>
      </c>
      <c r="C1165" s="10" t="s">
        <v>66</v>
      </c>
      <c r="D1165" s="11">
        <v>1</v>
      </c>
      <c r="E1165" s="12">
        <v>17901</v>
      </c>
      <c r="F1165" s="13">
        <v>17901</v>
      </c>
      <c r="G1165" s="2">
        <f>VLOOKUP(B1165,'PO with created By ASR'!A:C,3,FALSE)</f>
        <v>45689</v>
      </c>
      <c r="J1165" s="2" t="str">
        <f>VLOOKUP(B1165,'PO with created By ASR'!A:G,4,FALSE)</f>
        <v>H P Ramareddy Utility-Blr</v>
      </c>
      <c r="K1165" s="2" t="str">
        <f>VLOOKUP(B1165,'PO with created By ASR'!A:I,6,FALSE)</f>
        <v>11015 H P Ramareddy Utility</v>
      </c>
      <c r="L1165" s="2" t="str">
        <f>VLOOKUP(B1165,'PO with created By ASR'!A:J,7,FALSE)</f>
        <v>B - Bangalore</v>
      </c>
      <c r="M1165" s="2" t="str">
        <f>VLOOKUP(B1165,'PO with created By ASR'!A:K,8,FALSE)</f>
        <v>Purchase Order-Blr</v>
      </c>
      <c r="N1165" t="s">
        <v>36</v>
      </c>
      <c r="P1165" s="2">
        <v>6</v>
      </c>
    </row>
    <row r="1166" s="2" customFormat="1" spans="1:16">
      <c r="A1166" s="8"/>
      <c r="B1166" s="9" t="s">
        <v>2119</v>
      </c>
      <c r="C1166" s="10" t="s">
        <v>205</v>
      </c>
      <c r="D1166" s="11">
        <v>1</v>
      </c>
      <c r="E1166" s="12">
        <v>10000</v>
      </c>
      <c r="F1166" s="13">
        <v>10000</v>
      </c>
      <c r="G1166" s="2">
        <f>VLOOKUP(B1166,'PO with created By ASR'!A:C,3,FALSE)</f>
        <v>45689</v>
      </c>
      <c r="J1166" s="2" t="str">
        <f>VLOOKUP(B1166,'PO with created By ASR'!A:G,4,FALSE)</f>
        <v>Gpm Xpress Logistics Pvt Ltd-Blr</v>
      </c>
      <c r="K1166" s="2" t="str">
        <f>VLOOKUP(B1166,'PO with created By ASR'!A:I,6,FALSE)</f>
        <v>11966  Gpm Xpress Logistics Pvt Ltd</v>
      </c>
      <c r="L1166" s="2" t="str">
        <f>VLOOKUP(B1166,'PO with created By ASR'!A:J,7,FALSE)</f>
        <v>B - Bangalore</v>
      </c>
      <c r="M1166" s="2" t="str">
        <f>VLOOKUP(B1166,'PO with created By ASR'!A:K,8,FALSE)</f>
        <v>Purchase Order-Blr</v>
      </c>
      <c r="N1166" t="s">
        <v>36</v>
      </c>
      <c r="P1166" s="2">
        <v>6</v>
      </c>
    </row>
    <row r="1167" s="2" customFormat="1" spans="1:16">
      <c r="A1167" s="8"/>
      <c r="B1167" s="9" t="s">
        <v>2120</v>
      </c>
      <c r="C1167" s="10" t="s">
        <v>119</v>
      </c>
      <c r="D1167" s="11">
        <v>1</v>
      </c>
      <c r="E1167" s="12">
        <v>2000</v>
      </c>
      <c r="F1167" s="13">
        <v>2000</v>
      </c>
      <c r="G1167" s="2">
        <f>VLOOKUP(B1167,'PO with created By ASR'!A:C,3,FALSE)</f>
        <v>45689</v>
      </c>
      <c r="J1167" s="2" t="str">
        <f>VLOOKUP(B1167,'PO with created By ASR'!A:G,4,FALSE)</f>
        <v>Siva Sankar Cabs-Blr</v>
      </c>
      <c r="K1167" s="2" t="str">
        <f>VLOOKUP(B1167,'PO with created By ASR'!A:I,6,FALSE)</f>
        <v>10089 Siva Sankar Cabs</v>
      </c>
      <c r="L1167" s="2" t="str">
        <f>VLOOKUP(B1167,'PO with created By ASR'!A:J,7,FALSE)</f>
        <v>B - Bangalore</v>
      </c>
      <c r="M1167" s="2" t="str">
        <f>VLOOKUP(B1167,'PO with created By ASR'!A:K,8,FALSE)</f>
        <v>Purchase Order-Blr</v>
      </c>
      <c r="N1167" t="s">
        <v>36</v>
      </c>
      <c r="P1167" s="2">
        <v>6</v>
      </c>
    </row>
    <row r="1168" s="2" customFormat="1" spans="1:16">
      <c r="A1168" s="8"/>
      <c r="B1168" s="9" t="s">
        <v>2121</v>
      </c>
      <c r="C1168" s="10" t="s">
        <v>196</v>
      </c>
      <c r="D1168" s="11">
        <v>1</v>
      </c>
      <c r="E1168" s="12">
        <v>45000</v>
      </c>
      <c r="F1168" s="13">
        <v>45000</v>
      </c>
      <c r="G1168" s="2">
        <f>VLOOKUP(B1168,'PO with created By ASR'!A:C,3,FALSE)</f>
        <v>45689</v>
      </c>
      <c r="J1168" s="2" t="str">
        <f>VLOOKUP(B1168,'PO with created By ASR'!A:G,4,FALSE)</f>
        <v>New Print House-Blr</v>
      </c>
      <c r="K1168" s="2" t="str">
        <f>VLOOKUP(B1168,'PO with created By ASR'!A:I,6,FALSE)</f>
        <v>12196 New Print House</v>
      </c>
      <c r="L1168" s="2" t="str">
        <f>VLOOKUP(B1168,'PO with created By ASR'!A:J,7,FALSE)</f>
        <v>B - Bangalore</v>
      </c>
      <c r="M1168" s="2" t="str">
        <f>VLOOKUP(B1168,'PO with created By ASR'!A:K,8,FALSE)</f>
        <v>Purchase Order-Blr</v>
      </c>
      <c r="N1168" t="s">
        <v>36</v>
      </c>
      <c r="P1168" s="2">
        <v>6</v>
      </c>
    </row>
    <row r="1169" s="2" customFormat="1" spans="1:16">
      <c r="A1169" s="8"/>
      <c r="B1169" s="9" t="s">
        <v>2123</v>
      </c>
      <c r="C1169" s="10" t="s">
        <v>196</v>
      </c>
      <c r="D1169" s="11">
        <v>1</v>
      </c>
      <c r="E1169" s="12">
        <v>270000</v>
      </c>
      <c r="F1169" s="13">
        <v>270000</v>
      </c>
      <c r="G1169" s="2">
        <f>VLOOKUP(B1169,'PO with created By ASR'!A:C,3,FALSE)</f>
        <v>45689</v>
      </c>
      <c r="J1169" s="2" t="str">
        <f>VLOOKUP(B1169,'PO with created By ASR'!A:G,4,FALSE)</f>
        <v>Print With Me Pvt Ltd-Blr</v>
      </c>
      <c r="K1169" s="2" t="str">
        <f>VLOOKUP(B1169,'PO with created By ASR'!A:I,6,FALSE)</f>
        <v>12286  Print With Me Pvt Ltd</v>
      </c>
      <c r="L1169" s="2" t="str">
        <f>VLOOKUP(B1169,'PO with created By ASR'!A:J,7,FALSE)</f>
        <v>B - Bangalore</v>
      </c>
      <c r="M1169" s="2" t="str">
        <f>VLOOKUP(B1169,'PO with created By ASR'!A:K,8,FALSE)</f>
        <v>Purchase Order-Blr</v>
      </c>
      <c r="N1169" t="s">
        <v>36</v>
      </c>
      <c r="P1169" s="2">
        <v>6</v>
      </c>
    </row>
    <row r="1170" s="2" customFormat="1" spans="1:16">
      <c r="A1170" s="8"/>
      <c r="B1170" s="9" t="s">
        <v>2126</v>
      </c>
      <c r="C1170" s="10" t="s">
        <v>292</v>
      </c>
      <c r="D1170" s="11">
        <v>1</v>
      </c>
      <c r="E1170" s="12">
        <v>50000</v>
      </c>
      <c r="F1170" s="13">
        <v>50000</v>
      </c>
      <c r="G1170" s="2">
        <f>VLOOKUP(B1170,'PO with created By ASR'!A:C,3,FALSE)</f>
        <v>45689</v>
      </c>
      <c r="J1170" s="2" t="str">
        <f>VLOOKUP(B1170,'PO with created By ASR'!A:G,4,FALSE)</f>
        <v>Blue Gem Entertainment and Events-Blr</v>
      </c>
      <c r="K1170" s="2" t="str">
        <f>VLOOKUP(B1170,'PO with created By ASR'!A:I,6,FALSE)</f>
        <v>11737 Blue Gem Entertainment and Events</v>
      </c>
      <c r="L1170" s="2" t="str">
        <f>VLOOKUP(B1170,'PO with created By ASR'!A:J,7,FALSE)</f>
        <v>B - Bangalore</v>
      </c>
      <c r="M1170" s="2" t="str">
        <f>VLOOKUP(B1170,'PO with created By ASR'!A:K,8,FALSE)</f>
        <v>Purchase Order-Blr</v>
      </c>
      <c r="N1170" t="s">
        <v>36</v>
      </c>
      <c r="P1170" s="2">
        <v>6</v>
      </c>
    </row>
    <row r="1171" s="2" customFormat="1" spans="1:16">
      <c r="A1171" s="8"/>
      <c r="B1171" s="9" t="s">
        <v>2127</v>
      </c>
      <c r="C1171" s="10" t="s">
        <v>94</v>
      </c>
      <c r="D1171" s="11">
        <v>1</v>
      </c>
      <c r="E1171" s="12">
        <v>93750</v>
      </c>
      <c r="F1171" s="13">
        <v>93750</v>
      </c>
      <c r="G1171" s="2">
        <f>VLOOKUP(B1171,'PO with created By ASR'!A:C,3,FALSE)</f>
        <v>45689</v>
      </c>
      <c r="J1171" s="2" t="str">
        <f>VLOOKUP(B1171,'PO with created By ASR'!A:G,4,FALSE)</f>
        <v>Tata Teleservices Ltd-Blr</v>
      </c>
      <c r="K1171" s="2" t="str">
        <f>VLOOKUP(B1171,'PO with created By ASR'!A:I,6,FALSE)</f>
        <v>10964  Tata Teleservices Ltd</v>
      </c>
      <c r="L1171" s="2" t="str">
        <f>VLOOKUP(B1171,'PO with created By ASR'!A:J,7,FALSE)</f>
        <v>B - Bangalore</v>
      </c>
      <c r="M1171" s="2" t="str">
        <f>VLOOKUP(B1171,'PO with created By ASR'!A:K,8,FALSE)</f>
        <v>Purchase Order-Blr</v>
      </c>
      <c r="N1171" t="s">
        <v>36</v>
      </c>
      <c r="P1171" s="2">
        <v>6</v>
      </c>
    </row>
    <row r="1172" s="2" customFormat="1" spans="1:16">
      <c r="A1172" s="8"/>
      <c r="B1172" s="9" t="s">
        <v>2128</v>
      </c>
      <c r="C1172" s="10" t="s">
        <v>196</v>
      </c>
      <c r="D1172" s="11">
        <v>1</v>
      </c>
      <c r="E1172" s="12">
        <v>12974</v>
      </c>
      <c r="F1172" s="13">
        <v>12974</v>
      </c>
      <c r="G1172" s="2">
        <f>VLOOKUP(B1172,'PO with created By ASR'!A:C,3,FALSE)</f>
        <v>45689</v>
      </c>
      <c r="J1172" s="2" t="str">
        <f>VLOOKUP(B1172,'PO with created By ASR'!A:G,4,FALSE)</f>
        <v>Eco Prints-Che</v>
      </c>
      <c r="K1172" s="2" t="str">
        <f>VLOOKUP(B1172,'PO with created By ASR'!A:I,6,FALSE)</f>
        <v>11857 Eco Prints</v>
      </c>
      <c r="L1172" s="2" t="str">
        <f>VLOOKUP(B1172,'PO with created By ASR'!A:J,7,FALSE)</f>
        <v>C - Chennai</v>
      </c>
      <c r="M1172" s="2" t="str">
        <f>VLOOKUP(B1172,'PO with created By ASR'!A:K,8,FALSE)</f>
        <v>Purchase Order-Che</v>
      </c>
      <c r="N1172" t="s">
        <v>36</v>
      </c>
      <c r="P1172" s="2">
        <v>6</v>
      </c>
    </row>
    <row r="1173" s="2" customFormat="1" spans="1:16">
      <c r="A1173" s="8"/>
      <c r="B1173" s="9" t="s">
        <v>2129</v>
      </c>
      <c r="C1173" s="10" t="s">
        <v>371</v>
      </c>
      <c r="D1173" s="11">
        <v>1</v>
      </c>
      <c r="E1173" s="12">
        <v>90000</v>
      </c>
      <c r="F1173" s="13">
        <v>90000</v>
      </c>
      <c r="G1173" s="2">
        <f>VLOOKUP(B1173,'PO with created By ASR'!A:C,3,FALSE)</f>
        <v>45689</v>
      </c>
      <c r="J1173" s="2" t="str">
        <f>VLOOKUP(B1173,'PO with created By ASR'!A:G,4,FALSE)</f>
        <v>Live Productions-Che</v>
      </c>
      <c r="K1173" s="2" t="str">
        <f>VLOOKUP(B1173,'PO with created By ASR'!A:I,6,FALSE)</f>
        <v>11114 Live Productions</v>
      </c>
      <c r="L1173" s="2" t="str">
        <f>VLOOKUP(B1173,'PO with created By ASR'!A:J,7,FALSE)</f>
        <v>C - Chennai</v>
      </c>
      <c r="M1173" s="2" t="str">
        <f>VLOOKUP(B1173,'PO with created By ASR'!A:K,8,FALSE)</f>
        <v>Purchase Order-Che</v>
      </c>
      <c r="N1173" t="s">
        <v>36</v>
      </c>
      <c r="P1173" s="2">
        <v>6</v>
      </c>
    </row>
    <row r="1174" s="2" customFormat="1" spans="1:16">
      <c r="A1174" s="8"/>
      <c r="B1174" s="9" t="s">
        <v>2132</v>
      </c>
      <c r="C1174" s="10" t="s">
        <v>70</v>
      </c>
      <c r="D1174" s="11">
        <v>1</v>
      </c>
      <c r="E1174" s="12">
        <v>22800.81</v>
      </c>
      <c r="F1174" s="13">
        <v>22800.81</v>
      </c>
      <c r="G1174" s="2">
        <f>VLOOKUP(B1174,'PO with created By ASR'!A:C,3,FALSE)</f>
        <v>45689</v>
      </c>
      <c r="J1174" s="2" t="str">
        <f>VLOOKUP(B1174,'PO with created By ASR'!A:G,4,FALSE)</f>
        <v>Unicare Hospitality Services Pvt Ltd-Che</v>
      </c>
      <c r="K1174" s="2" t="str">
        <f>VLOOKUP(B1174,'PO with created By ASR'!A:I,6,FALSE)</f>
        <v>12571  Unicare Hospitality Services Pvt Ltd</v>
      </c>
      <c r="L1174" s="2" t="str">
        <f>VLOOKUP(B1174,'PO with created By ASR'!A:J,7,FALSE)</f>
        <v>C - Chennai</v>
      </c>
      <c r="M1174" s="2" t="str">
        <f>VLOOKUP(B1174,'PO with created By ASR'!A:K,8,FALSE)</f>
        <v>Purchase Order-Che</v>
      </c>
      <c r="N1174" t="s">
        <v>36</v>
      </c>
      <c r="P1174" s="2">
        <v>6</v>
      </c>
    </row>
    <row r="1175" s="2" customFormat="1" spans="1:16">
      <c r="A1175" s="8"/>
      <c r="B1175" s="9" t="s">
        <v>2132</v>
      </c>
      <c r="C1175" s="10" t="s">
        <v>107</v>
      </c>
      <c r="D1175" s="11">
        <v>1</v>
      </c>
      <c r="E1175" s="12">
        <v>20124</v>
      </c>
      <c r="F1175" s="13">
        <v>20124</v>
      </c>
      <c r="G1175" s="2">
        <f>VLOOKUP(B1175,'PO with created By ASR'!A:C,3,FALSE)</f>
        <v>45689</v>
      </c>
      <c r="J1175" s="2" t="str">
        <f>VLOOKUP(B1175,'PO with created By ASR'!A:G,4,FALSE)</f>
        <v>Unicare Hospitality Services Pvt Ltd-Che</v>
      </c>
      <c r="K1175" s="2" t="str">
        <f>VLOOKUP(B1175,'PO with created By ASR'!A:I,6,FALSE)</f>
        <v>12571  Unicare Hospitality Services Pvt Ltd</v>
      </c>
      <c r="L1175" s="2" t="str">
        <f>VLOOKUP(B1175,'PO with created By ASR'!A:J,7,FALSE)</f>
        <v>C - Chennai</v>
      </c>
      <c r="M1175" s="2" t="str">
        <f>VLOOKUP(B1175,'PO with created By ASR'!A:K,8,FALSE)</f>
        <v>Purchase Order-Che</v>
      </c>
      <c r="N1175" t="s">
        <v>36</v>
      </c>
      <c r="P1175" s="2">
        <v>6</v>
      </c>
    </row>
    <row r="1176" s="2" customFormat="1" spans="1:16">
      <c r="A1176" s="8"/>
      <c r="B1176" s="9" t="s">
        <v>2133</v>
      </c>
      <c r="C1176" s="10" t="s">
        <v>41</v>
      </c>
      <c r="D1176" s="11">
        <v>1</v>
      </c>
      <c r="E1176" s="12">
        <v>73500</v>
      </c>
      <c r="F1176" s="13">
        <v>73500</v>
      </c>
      <c r="G1176" s="2">
        <f>VLOOKUP(B1176,'PO with created By ASR'!A:C,3,FALSE)</f>
        <v>45689</v>
      </c>
      <c r="J1176" s="2" t="str">
        <f>VLOOKUP(B1176,'PO with created By ASR'!A:G,4,FALSE)</f>
        <v>Elsie Mathew-Che</v>
      </c>
      <c r="K1176" s="2" t="str">
        <f>VLOOKUP(B1176,'PO with created By ASR'!A:I,6,FALSE)</f>
        <v>11012 Elsie Mathew</v>
      </c>
      <c r="L1176" s="2" t="str">
        <f>VLOOKUP(B1176,'PO with created By ASR'!A:J,7,FALSE)</f>
        <v>C - Chennai</v>
      </c>
      <c r="M1176" s="2" t="str">
        <f>VLOOKUP(B1176,'PO with created By ASR'!A:K,8,FALSE)</f>
        <v>Purchase Order-Che</v>
      </c>
      <c r="N1176" t="s">
        <v>36</v>
      </c>
      <c r="P1176" s="2">
        <v>6</v>
      </c>
    </row>
    <row r="1177" s="2" customFormat="1" spans="1:16">
      <c r="A1177" s="8"/>
      <c r="B1177" s="9" t="s">
        <v>2134</v>
      </c>
      <c r="C1177" s="10" t="s">
        <v>107</v>
      </c>
      <c r="D1177" s="11">
        <v>1</v>
      </c>
      <c r="E1177" s="12">
        <v>4000</v>
      </c>
      <c r="F1177" s="13">
        <v>4000</v>
      </c>
      <c r="G1177" s="2">
        <f>VLOOKUP(B1177,'PO with created By ASR'!A:C,3,FALSE)</f>
        <v>45689</v>
      </c>
      <c r="J1177" s="2" t="str">
        <f>VLOOKUP(B1177,'PO with created By ASR'!A:G,4,FALSE)</f>
        <v>Race View Tower Association-Che</v>
      </c>
      <c r="K1177" s="2" t="str">
        <f>VLOOKUP(B1177,'PO with created By ASR'!A:I,6,FALSE)</f>
        <v>11525 Race View Tower Association</v>
      </c>
      <c r="L1177" s="2" t="str">
        <f>VLOOKUP(B1177,'PO with created By ASR'!A:J,7,FALSE)</f>
        <v>C - Chennai</v>
      </c>
      <c r="M1177" s="2" t="str">
        <f>VLOOKUP(B1177,'PO with created By ASR'!A:K,8,FALSE)</f>
        <v>Purchase Order-Che</v>
      </c>
      <c r="N1177" t="s">
        <v>36</v>
      </c>
      <c r="P1177" s="2">
        <v>6</v>
      </c>
    </row>
    <row r="1178" s="2" customFormat="1" spans="1:16">
      <c r="A1178" s="8"/>
      <c r="B1178" s="9" t="s">
        <v>2135</v>
      </c>
      <c r="C1178" s="10" t="s">
        <v>1055</v>
      </c>
      <c r="D1178" s="11">
        <v>1</v>
      </c>
      <c r="E1178" s="12">
        <v>17600</v>
      </c>
      <c r="F1178" s="13">
        <v>17600</v>
      </c>
      <c r="G1178" s="2">
        <f>VLOOKUP(B1178,'PO with created By ASR'!A:C,3,FALSE)</f>
        <v>45689</v>
      </c>
      <c r="J1178" s="2" t="str">
        <f>VLOOKUP(B1178,'PO with created By ASR'!A:G,4,FALSE)</f>
        <v>Pankaj Kumar Mishra  -CR</v>
      </c>
      <c r="K1178" s="2" t="e">
        <f>VLOOKUP(B1178,'PO with created By ASR'!A:I,6,FALSE)</f>
        <v>#N/A</v>
      </c>
      <c r="L1178" s="2" t="str">
        <f>VLOOKUP(B1178,'PO with created By ASR'!A:J,7,FALSE)</f>
        <v>D - Delhi</v>
      </c>
      <c r="M1178" s="2" t="str">
        <f>VLOOKUP(B1178,'PO with created By ASR'!A:K,8,FALSE)</f>
        <v>Purchase Order-Del</v>
      </c>
      <c r="N1178" t="s">
        <v>36</v>
      </c>
      <c r="P1178" s="2">
        <v>6</v>
      </c>
    </row>
    <row r="1179" s="2" customFormat="1" spans="1:16">
      <c r="A1179" s="8"/>
      <c r="B1179" s="9" t="s">
        <v>2136</v>
      </c>
      <c r="C1179" s="10" t="s">
        <v>1055</v>
      </c>
      <c r="D1179" s="11">
        <v>1</v>
      </c>
      <c r="E1179" s="12">
        <v>16200</v>
      </c>
      <c r="F1179" s="13">
        <v>16200</v>
      </c>
      <c r="G1179" s="2">
        <f>VLOOKUP(B1179,'PO with created By ASR'!A:C,3,FALSE)</f>
        <v>45689</v>
      </c>
      <c r="J1179" s="2" t="str">
        <f>VLOOKUP(B1179,'PO with created By ASR'!A:G,4,FALSE)</f>
        <v>Pankaj Kumar Mishra  -CR</v>
      </c>
      <c r="K1179" s="2" t="e">
        <f>VLOOKUP(B1179,'PO with created By ASR'!A:I,6,FALSE)</f>
        <v>#N/A</v>
      </c>
      <c r="L1179" s="2" t="str">
        <f>VLOOKUP(B1179,'PO with created By ASR'!A:J,7,FALSE)</f>
        <v>D - Delhi</v>
      </c>
      <c r="M1179" s="2" t="str">
        <f>VLOOKUP(B1179,'PO with created By ASR'!A:K,8,FALSE)</f>
        <v>Purchase Order-Del</v>
      </c>
      <c r="N1179" t="s">
        <v>36</v>
      </c>
      <c r="P1179" s="2">
        <v>6</v>
      </c>
    </row>
    <row r="1180" s="2" customFormat="1" spans="1:16">
      <c r="A1180" s="8"/>
      <c r="B1180" s="9" t="s">
        <v>2137</v>
      </c>
      <c r="C1180" s="10" t="s">
        <v>1055</v>
      </c>
      <c r="D1180" s="11">
        <v>1</v>
      </c>
      <c r="E1180" s="12">
        <v>4500</v>
      </c>
      <c r="F1180" s="13">
        <v>4500</v>
      </c>
      <c r="G1180" s="2">
        <f>VLOOKUP(B1180,'PO with created By ASR'!A:C,3,FALSE)</f>
        <v>45689</v>
      </c>
      <c r="J1180" s="2" t="str">
        <f>VLOOKUP(B1180,'PO with created By ASR'!A:G,4,FALSE)</f>
        <v>Pankaj Kumar Mishra  -CR</v>
      </c>
      <c r="K1180" s="2" t="e">
        <f>VLOOKUP(B1180,'PO with created By ASR'!A:I,6,FALSE)</f>
        <v>#N/A</v>
      </c>
      <c r="L1180" s="2" t="str">
        <f>VLOOKUP(B1180,'PO with created By ASR'!A:J,7,FALSE)</f>
        <v>D - Delhi</v>
      </c>
      <c r="M1180" s="2" t="str">
        <f>VLOOKUP(B1180,'PO with created By ASR'!A:K,8,FALSE)</f>
        <v>Purchase Order-Del</v>
      </c>
      <c r="N1180" t="s">
        <v>36</v>
      </c>
      <c r="P1180" s="2">
        <v>6</v>
      </c>
    </row>
    <row r="1181" s="2" customFormat="1" spans="1:16">
      <c r="A1181" s="8"/>
      <c r="B1181" s="9" t="s">
        <v>2138</v>
      </c>
      <c r="C1181" s="10" t="s">
        <v>1055</v>
      </c>
      <c r="D1181" s="11">
        <v>1</v>
      </c>
      <c r="E1181" s="12">
        <v>3400</v>
      </c>
      <c r="F1181" s="13">
        <v>3400</v>
      </c>
      <c r="G1181" s="2">
        <f>VLOOKUP(B1181,'PO with created By ASR'!A:C,3,FALSE)</f>
        <v>45689</v>
      </c>
      <c r="J1181" s="2" t="str">
        <f>VLOOKUP(B1181,'PO with created By ASR'!A:G,4,FALSE)</f>
        <v>Pankaj Kumar Mishra  -CR</v>
      </c>
      <c r="K1181" s="2" t="e">
        <f>VLOOKUP(B1181,'PO with created By ASR'!A:I,6,FALSE)</f>
        <v>#N/A</v>
      </c>
      <c r="L1181" s="2" t="str">
        <f>VLOOKUP(B1181,'PO with created By ASR'!A:J,7,FALSE)</f>
        <v>D - Delhi</v>
      </c>
      <c r="M1181" s="2" t="str">
        <f>VLOOKUP(B1181,'PO with created By ASR'!A:K,8,FALSE)</f>
        <v>Purchase Order-Del</v>
      </c>
      <c r="N1181" t="s">
        <v>36</v>
      </c>
      <c r="P1181" s="2">
        <v>6</v>
      </c>
    </row>
    <row r="1182" s="2" customFormat="1" spans="1:16">
      <c r="A1182" s="8"/>
      <c r="B1182" s="9" t="s">
        <v>2139</v>
      </c>
      <c r="C1182" s="10" t="s">
        <v>126</v>
      </c>
      <c r="D1182" s="11">
        <v>1</v>
      </c>
      <c r="E1182" s="12">
        <v>1200</v>
      </c>
      <c r="F1182" s="13">
        <v>1200</v>
      </c>
      <c r="G1182" s="2">
        <f>VLOOKUP(B1182,'PO with created By ASR'!A:C,3,FALSE)</f>
        <v>45689</v>
      </c>
      <c r="J1182" s="2" t="str">
        <f>VLOOKUP(B1182,'PO with created By ASR'!A:G,4,FALSE)</f>
        <v>Mohd.Waris.....-CR</v>
      </c>
      <c r="K1182" s="2" t="e">
        <f>VLOOKUP(B1182,'PO with created By ASR'!A:I,6,FALSE)</f>
        <v>#N/A</v>
      </c>
      <c r="L1182" s="2" t="str">
        <f>VLOOKUP(B1182,'PO with created By ASR'!A:J,7,FALSE)</f>
        <v>D - Delhi</v>
      </c>
      <c r="M1182" s="2" t="str">
        <f>VLOOKUP(B1182,'PO with created By ASR'!A:K,8,FALSE)</f>
        <v>Purchase Order-Del</v>
      </c>
      <c r="N1182" t="s">
        <v>36</v>
      </c>
      <c r="P1182" s="2">
        <v>6</v>
      </c>
    </row>
    <row r="1183" s="2" customFormat="1" spans="1:16">
      <c r="A1183" s="8"/>
      <c r="B1183" s="9" t="s">
        <v>2141</v>
      </c>
      <c r="C1183" s="10" t="s">
        <v>151</v>
      </c>
      <c r="D1183" s="11">
        <v>1</v>
      </c>
      <c r="E1183" s="12">
        <v>2400000</v>
      </c>
      <c r="F1183" s="13">
        <v>2400000</v>
      </c>
      <c r="G1183" s="2">
        <f>VLOOKUP(B1183,'PO with created By ASR'!A:C,3,FALSE)</f>
        <v>45689</v>
      </c>
      <c r="J1183" s="2" t="str">
        <f>VLOOKUP(B1183,'PO with created By ASR'!A:G,4,FALSE)</f>
        <v>Dream Factory Pvt. Ltd.-Del</v>
      </c>
      <c r="K1183" s="2" t="e">
        <f>VLOOKUP(B1183,'PO with created By ASR'!A:I,6,FALSE)</f>
        <v>#N/A</v>
      </c>
      <c r="L1183" s="2" t="str">
        <f>VLOOKUP(B1183,'PO with created By ASR'!A:J,7,FALSE)</f>
        <v>D - Delhi</v>
      </c>
      <c r="M1183" s="2" t="str">
        <f>VLOOKUP(B1183,'PO with created By ASR'!A:K,8,FALSE)</f>
        <v>Purchase Order-Del</v>
      </c>
      <c r="N1183" t="s">
        <v>36</v>
      </c>
      <c r="P1183" s="2">
        <v>6</v>
      </c>
    </row>
    <row r="1184" s="2" customFormat="1" spans="1:16">
      <c r="A1184" s="8"/>
      <c r="B1184" s="9" t="s">
        <v>2142</v>
      </c>
      <c r="C1184" s="10" t="s">
        <v>412</v>
      </c>
      <c r="D1184" s="11">
        <v>1</v>
      </c>
      <c r="E1184" s="12">
        <v>2364</v>
      </c>
      <c r="F1184" s="13">
        <v>2364</v>
      </c>
      <c r="G1184" s="2">
        <f>VLOOKUP(B1184,'PO with created By ASR'!A:C,3,FALSE)</f>
        <v>45689</v>
      </c>
      <c r="J1184" s="2" t="str">
        <f>VLOOKUP(B1184,'PO with created By ASR'!A:G,4,FALSE)</f>
        <v>Pankaj Kumar Mishra  -CR</v>
      </c>
      <c r="K1184" s="2" t="e">
        <f>VLOOKUP(B1184,'PO with created By ASR'!A:I,6,FALSE)</f>
        <v>#N/A</v>
      </c>
      <c r="L1184" s="2" t="str">
        <f>VLOOKUP(B1184,'PO with created By ASR'!A:J,7,FALSE)</f>
        <v>D - Delhi</v>
      </c>
      <c r="M1184" s="2" t="str">
        <f>VLOOKUP(B1184,'PO with created By ASR'!A:K,8,FALSE)</f>
        <v>Purchase Order-Del</v>
      </c>
      <c r="N1184" t="s">
        <v>36</v>
      </c>
      <c r="P1184" s="2">
        <v>6</v>
      </c>
    </row>
    <row r="1185" s="2" customFormat="1" spans="1:16">
      <c r="A1185" s="8"/>
      <c r="B1185" s="9" t="s">
        <v>2142</v>
      </c>
      <c r="C1185" s="10" t="s">
        <v>107</v>
      </c>
      <c r="D1185" s="11">
        <v>1</v>
      </c>
      <c r="E1185" s="12">
        <v>3532</v>
      </c>
      <c r="F1185" s="13">
        <v>3532</v>
      </c>
      <c r="G1185" s="2">
        <f>VLOOKUP(B1185,'PO with created By ASR'!A:C,3,FALSE)</f>
        <v>45689</v>
      </c>
      <c r="J1185" s="2" t="str">
        <f>VLOOKUP(B1185,'PO with created By ASR'!A:G,4,FALSE)</f>
        <v>Pankaj Kumar Mishra  -CR</v>
      </c>
      <c r="K1185" s="2" t="e">
        <f>VLOOKUP(B1185,'PO with created By ASR'!A:I,6,FALSE)</f>
        <v>#N/A</v>
      </c>
      <c r="L1185" s="2" t="str">
        <f>VLOOKUP(B1185,'PO with created By ASR'!A:J,7,FALSE)</f>
        <v>D - Delhi</v>
      </c>
      <c r="M1185" s="2" t="str">
        <f>VLOOKUP(B1185,'PO with created By ASR'!A:K,8,FALSE)</f>
        <v>Purchase Order-Del</v>
      </c>
      <c r="N1185" t="s">
        <v>36</v>
      </c>
      <c r="P1185" s="2">
        <v>6</v>
      </c>
    </row>
    <row r="1186" s="2" customFormat="1" spans="1:16">
      <c r="A1186" s="8"/>
      <c r="B1186" s="9" t="s">
        <v>2143</v>
      </c>
      <c r="C1186" s="10" t="s">
        <v>371</v>
      </c>
      <c r="D1186" s="11">
        <v>1</v>
      </c>
      <c r="E1186" s="12">
        <v>275000</v>
      </c>
      <c r="F1186" s="13">
        <v>275000</v>
      </c>
      <c r="G1186" s="2">
        <f>VLOOKUP(B1186,'PO with created By ASR'!A:C,3,FALSE)</f>
        <v>45689</v>
      </c>
      <c r="J1186" s="2" t="str">
        <f>VLOOKUP(B1186,'PO with created By ASR'!A:G,4,FALSE)</f>
        <v>Lokjat Slv Solutions-Del</v>
      </c>
      <c r="K1186" s="2" t="str">
        <f>VLOOKUP(B1186,'PO with created By ASR'!A:I,6,FALSE)</f>
        <v>12107 Lokjat Slv Solutions</v>
      </c>
      <c r="L1186" s="2" t="str">
        <f>VLOOKUP(B1186,'PO with created By ASR'!A:J,7,FALSE)</f>
        <v>D - Delhi</v>
      </c>
      <c r="M1186" s="2" t="str">
        <f>VLOOKUP(B1186,'PO with created By ASR'!A:K,8,FALSE)</f>
        <v>Purchase Order-Del</v>
      </c>
      <c r="N1186" t="s">
        <v>36</v>
      </c>
      <c r="P1186" s="2">
        <v>6</v>
      </c>
    </row>
    <row r="1187" s="2" customFormat="1" spans="1:16">
      <c r="A1187" s="8"/>
      <c r="B1187" s="9" t="s">
        <v>2147</v>
      </c>
      <c r="C1187" s="10" t="s">
        <v>401</v>
      </c>
      <c r="D1187" s="11">
        <v>1</v>
      </c>
      <c r="E1187" s="12">
        <v>163000</v>
      </c>
      <c r="F1187" s="13">
        <v>163000</v>
      </c>
      <c r="G1187" s="2">
        <f>VLOOKUP(B1187,'PO with created By ASR'!A:C,3,FALSE)</f>
        <v>45689</v>
      </c>
      <c r="J1187" s="2" t="str">
        <f>VLOOKUP(B1187,'PO with created By ASR'!A:G,4,FALSE)</f>
        <v>The Adityaraj Production-Del</v>
      </c>
      <c r="K1187" s="2" t="str">
        <f>VLOOKUP(B1187,'PO with created By ASR'!A:I,6,FALSE)</f>
        <v>12503 The Adityaraj Production</v>
      </c>
      <c r="L1187" s="2" t="str">
        <f>VLOOKUP(B1187,'PO with created By ASR'!A:J,7,FALSE)</f>
        <v>D - Delhi</v>
      </c>
      <c r="M1187" s="2" t="str">
        <f>VLOOKUP(B1187,'PO with created By ASR'!A:K,8,FALSE)</f>
        <v>Purchase Order-Del</v>
      </c>
      <c r="N1187" t="s">
        <v>36</v>
      </c>
      <c r="P1187" s="2">
        <v>6</v>
      </c>
    </row>
    <row r="1188" s="2" customFormat="1" spans="1:16">
      <c r="A1188" s="8"/>
      <c r="B1188" s="9" t="s">
        <v>2151</v>
      </c>
      <c r="C1188" s="10" t="s">
        <v>317</v>
      </c>
      <c r="D1188" s="11">
        <v>1</v>
      </c>
      <c r="E1188" s="12">
        <v>2121.64</v>
      </c>
      <c r="F1188" s="13">
        <v>2121.64</v>
      </c>
      <c r="G1188" s="2">
        <f>VLOOKUP(B1188,'PO with created By ASR'!A:C,3,FALSE)</f>
        <v>45689</v>
      </c>
      <c r="J1188" s="2" t="str">
        <f>VLOOKUP(B1188,'PO with created By ASR'!A:G,4,FALSE)</f>
        <v>Harsh Mudliyar  -CR</v>
      </c>
      <c r="K1188" s="2" t="e">
        <f>VLOOKUP(B1188,'PO with created By ASR'!A:I,6,FALSE)</f>
        <v>#N/A</v>
      </c>
      <c r="L1188" s="2" t="str">
        <f>VLOOKUP(B1188,'PO with created By ASR'!A:J,7,FALSE)</f>
        <v>A - Mumbai</v>
      </c>
      <c r="M1188" s="2" t="str">
        <f>VLOOKUP(B1188,'PO with created By ASR'!A:K,8,FALSE)</f>
        <v>Purchase Order-Mum</v>
      </c>
      <c r="N1188" t="s">
        <v>36</v>
      </c>
      <c r="P1188" s="2">
        <v>6</v>
      </c>
    </row>
    <row r="1189" s="2" customFormat="1" spans="1:16">
      <c r="A1189" s="8"/>
      <c r="B1189" s="9" t="s">
        <v>2151</v>
      </c>
      <c r="C1189" s="10" t="s">
        <v>61</v>
      </c>
      <c r="D1189" s="11">
        <v>1</v>
      </c>
      <c r="E1189" s="12">
        <v>3643</v>
      </c>
      <c r="F1189" s="13">
        <v>3643</v>
      </c>
      <c r="G1189" s="2">
        <f>VLOOKUP(B1189,'PO with created By ASR'!A:C,3,FALSE)</f>
        <v>45689</v>
      </c>
      <c r="J1189" s="2" t="str">
        <f>VLOOKUP(B1189,'PO with created By ASR'!A:G,4,FALSE)</f>
        <v>Harsh Mudliyar  -CR</v>
      </c>
      <c r="K1189" s="2" t="e">
        <f>VLOOKUP(B1189,'PO with created By ASR'!A:I,6,FALSE)</f>
        <v>#N/A</v>
      </c>
      <c r="L1189" s="2" t="str">
        <f>VLOOKUP(B1189,'PO with created By ASR'!A:J,7,FALSE)</f>
        <v>A - Mumbai</v>
      </c>
      <c r="M1189" s="2" t="str">
        <f>VLOOKUP(B1189,'PO with created By ASR'!A:K,8,FALSE)</f>
        <v>Purchase Order-Mum</v>
      </c>
      <c r="N1189" t="s">
        <v>36</v>
      </c>
      <c r="P1189" s="2">
        <v>6</v>
      </c>
    </row>
    <row r="1190" s="2" customFormat="1" spans="1:16">
      <c r="A1190" s="8"/>
      <c r="B1190" s="9" t="s">
        <v>2151</v>
      </c>
      <c r="C1190" s="10" t="s">
        <v>1055</v>
      </c>
      <c r="D1190" s="11">
        <v>1</v>
      </c>
      <c r="E1190" s="12">
        <v>5000</v>
      </c>
      <c r="F1190" s="13">
        <v>5000</v>
      </c>
      <c r="G1190" s="2">
        <f>VLOOKUP(B1190,'PO with created By ASR'!A:C,3,FALSE)</f>
        <v>45689</v>
      </c>
      <c r="J1190" s="2" t="str">
        <f>VLOOKUP(B1190,'PO with created By ASR'!A:G,4,FALSE)</f>
        <v>Harsh Mudliyar  -CR</v>
      </c>
      <c r="K1190" s="2" t="e">
        <f>VLOOKUP(B1190,'PO with created By ASR'!A:I,6,FALSE)</f>
        <v>#N/A</v>
      </c>
      <c r="L1190" s="2" t="str">
        <f>VLOOKUP(B1190,'PO with created By ASR'!A:J,7,FALSE)</f>
        <v>A - Mumbai</v>
      </c>
      <c r="M1190" s="2" t="str">
        <f>VLOOKUP(B1190,'PO with created By ASR'!A:K,8,FALSE)</f>
        <v>Purchase Order-Mum</v>
      </c>
      <c r="N1190" t="s">
        <v>36</v>
      </c>
      <c r="P1190" s="2">
        <v>6</v>
      </c>
    </row>
    <row r="1191" s="2" customFormat="1" spans="1:16">
      <c r="A1191" s="8"/>
      <c r="B1191" s="9" t="s">
        <v>2151</v>
      </c>
      <c r="C1191" s="10" t="s">
        <v>126</v>
      </c>
      <c r="D1191" s="11">
        <v>1</v>
      </c>
      <c r="E1191" s="12">
        <v>5247.68</v>
      </c>
      <c r="F1191" s="13">
        <v>5247.68</v>
      </c>
      <c r="G1191" s="2">
        <f>VLOOKUP(B1191,'PO with created By ASR'!A:C,3,FALSE)</f>
        <v>45689</v>
      </c>
      <c r="J1191" s="2" t="str">
        <f>VLOOKUP(B1191,'PO with created By ASR'!A:G,4,FALSE)</f>
        <v>Harsh Mudliyar  -CR</v>
      </c>
      <c r="K1191" s="2" t="e">
        <f>VLOOKUP(B1191,'PO with created By ASR'!A:I,6,FALSE)</f>
        <v>#N/A</v>
      </c>
      <c r="L1191" s="2" t="str">
        <f>VLOOKUP(B1191,'PO with created By ASR'!A:J,7,FALSE)</f>
        <v>A - Mumbai</v>
      </c>
      <c r="M1191" s="2" t="str">
        <f>VLOOKUP(B1191,'PO with created By ASR'!A:K,8,FALSE)</f>
        <v>Purchase Order-Mum</v>
      </c>
      <c r="N1191" t="s">
        <v>36</v>
      </c>
      <c r="P1191" s="2">
        <v>6</v>
      </c>
    </row>
    <row r="1192" s="2" customFormat="1" spans="1:16">
      <c r="A1192" s="8"/>
      <c r="B1192" s="9" t="s">
        <v>2151</v>
      </c>
      <c r="C1192" s="10" t="s">
        <v>412</v>
      </c>
      <c r="D1192" s="11">
        <v>1</v>
      </c>
      <c r="E1192" s="12">
        <v>10903</v>
      </c>
      <c r="F1192" s="13">
        <v>10903</v>
      </c>
      <c r="G1192" s="2">
        <f>VLOOKUP(B1192,'PO with created By ASR'!A:C,3,FALSE)</f>
        <v>45689</v>
      </c>
      <c r="J1192" s="2" t="str">
        <f>VLOOKUP(B1192,'PO with created By ASR'!A:G,4,FALSE)</f>
        <v>Harsh Mudliyar  -CR</v>
      </c>
      <c r="K1192" s="2" t="e">
        <f>VLOOKUP(B1192,'PO with created By ASR'!A:I,6,FALSE)</f>
        <v>#N/A</v>
      </c>
      <c r="L1192" s="2" t="str">
        <f>VLOOKUP(B1192,'PO with created By ASR'!A:J,7,FALSE)</f>
        <v>A - Mumbai</v>
      </c>
      <c r="M1192" s="2" t="str">
        <f>VLOOKUP(B1192,'PO with created By ASR'!A:K,8,FALSE)</f>
        <v>Purchase Order-Mum</v>
      </c>
      <c r="N1192" t="s">
        <v>36</v>
      </c>
      <c r="P1192" s="2">
        <v>6</v>
      </c>
    </row>
    <row r="1193" s="2" customFormat="1" spans="1:16">
      <c r="A1193" s="8"/>
      <c r="B1193" s="9" t="s">
        <v>2153</v>
      </c>
      <c r="C1193" s="10" t="s">
        <v>61</v>
      </c>
      <c r="D1193" s="11">
        <v>1</v>
      </c>
      <c r="E1193" s="12">
        <v>5824</v>
      </c>
      <c r="F1193" s="13">
        <v>5824</v>
      </c>
      <c r="G1193" s="2">
        <f>VLOOKUP(B1193,'PO with created By ASR'!A:C,3,FALSE)</f>
        <v>45689</v>
      </c>
      <c r="J1193" s="2" t="str">
        <f>VLOOKUP(B1193,'PO with created By ASR'!A:G,4,FALSE)</f>
        <v>Asif Khan  -CR</v>
      </c>
      <c r="K1193" s="2" t="e">
        <f>VLOOKUP(B1193,'PO with created By ASR'!A:I,6,FALSE)</f>
        <v>#N/A</v>
      </c>
      <c r="L1193" s="2" t="str">
        <f>VLOOKUP(B1193,'PO with created By ASR'!A:J,7,FALSE)</f>
        <v>A - Mumbai</v>
      </c>
      <c r="M1193" s="2" t="str">
        <f>VLOOKUP(B1193,'PO with created By ASR'!A:K,8,FALSE)</f>
        <v>Purchase Order-Mum</v>
      </c>
      <c r="N1193" t="s">
        <v>36</v>
      </c>
      <c r="P1193" s="2">
        <v>6</v>
      </c>
    </row>
    <row r="1194" s="2" customFormat="1" spans="1:16">
      <c r="A1194" s="8"/>
      <c r="B1194" s="9" t="s">
        <v>2153</v>
      </c>
      <c r="C1194" s="10" t="s">
        <v>126</v>
      </c>
      <c r="D1194" s="11">
        <v>1</v>
      </c>
      <c r="E1194" s="12">
        <v>4682</v>
      </c>
      <c r="F1194" s="13">
        <v>4682</v>
      </c>
      <c r="G1194" s="2">
        <f>VLOOKUP(B1194,'PO with created By ASR'!A:C,3,FALSE)</f>
        <v>45689</v>
      </c>
      <c r="J1194" s="2" t="str">
        <f>VLOOKUP(B1194,'PO with created By ASR'!A:G,4,FALSE)</f>
        <v>Asif Khan  -CR</v>
      </c>
      <c r="K1194" s="2" t="e">
        <f>VLOOKUP(B1194,'PO with created By ASR'!A:I,6,FALSE)</f>
        <v>#N/A</v>
      </c>
      <c r="L1194" s="2" t="str">
        <f>VLOOKUP(B1194,'PO with created By ASR'!A:J,7,FALSE)</f>
        <v>A - Mumbai</v>
      </c>
      <c r="M1194" s="2" t="str">
        <f>VLOOKUP(B1194,'PO with created By ASR'!A:K,8,FALSE)</f>
        <v>Purchase Order-Mum</v>
      </c>
      <c r="N1194" t="s">
        <v>36</v>
      </c>
      <c r="P1194" s="2">
        <v>6</v>
      </c>
    </row>
    <row r="1195" s="2" customFormat="1" spans="1:16">
      <c r="A1195" s="8"/>
      <c r="B1195" s="9" t="s">
        <v>2153</v>
      </c>
      <c r="C1195" s="10" t="s">
        <v>412</v>
      </c>
      <c r="D1195" s="11">
        <v>1</v>
      </c>
      <c r="E1195" s="12">
        <v>2162</v>
      </c>
      <c r="F1195" s="13">
        <v>2162</v>
      </c>
      <c r="G1195" s="2">
        <f>VLOOKUP(B1195,'PO with created By ASR'!A:C,3,FALSE)</f>
        <v>45689</v>
      </c>
      <c r="J1195" s="2" t="str">
        <f>VLOOKUP(B1195,'PO with created By ASR'!A:G,4,FALSE)</f>
        <v>Asif Khan  -CR</v>
      </c>
      <c r="K1195" s="2" t="e">
        <f>VLOOKUP(B1195,'PO with created By ASR'!A:I,6,FALSE)</f>
        <v>#N/A</v>
      </c>
      <c r="L1195" s="2" t="str">
        <f>VLOOKUP(B1195,'PO with created By ASR'!A:J,7,FALSE)</f>
        <v>A - Mumbai</v>
      </c>
      <c r="M1195" s="2" t="str">
        <f>VLOOKUP(B1195,'PO with created By ASR'!A:K,8,FALSE)</f>
        <v>Purchase Order-Mum</v>
      </c>
      <c r="N1195" t="s">
        <v>36</v>
      </c>
      <c r="P1195" s="2">
        <v>6</v>
      </c>
    </row>
    <row r="1196" s="2" customFormat="1" spans="1:16">
      <c r="A1196" s="8"/>
      <c r="B1196" s="9" t="s">
        <v>2155</v>
      </c>
      <c r="C1196" s="10" t="s">
        <v>126</v>
      </c>
      <c r="D1196" s="11">
        <v>1</v>
      </c>
      <c r="E1196" s="12">
        <v>11203.91</v>
      </c>
      <c r="F1196" s="13">
        <v>11203.91</v>
      </c>
      <c r="G1196" s="2">
        <f>VLOOKUP(B1196,'PO with created By ASR'!A:C,3,FALSE)</f>
        <v>45689</v>
      </c>
      <c r="J1196" s="2" t="str">
        <f>VLOOKUP(B1196,'PO with created By ASR'!A:G,4,FALSE)</f>
        <v>Sunil Sawant -CR</v>
      </c>
      <c r="K1196" s="2" t="e">
        <f>VLOOKUP(B1196,'PO with created By ASR'!A:I,6,FALSE)</f>
        <v>#N/A</v>
      </c>
      <c r="L1196" s="2" t="str">
        <f>VLOOKUP(B1196,'PO with created By ASR'!A:J,7,FALSE)</f>
        <v>A - Mumbai</v>
      </c>
      <c r="M1196" s="2" t="str">
        <f>VLOOKUP(B1196,'PO with created By ASR'!A:K,8,FALSE)</f>
        <v>Purchase Order-Mum</v>
      </c>
      <c r="N1196" t="s">
        <v>36</v>
      </c>
      <c r="P1196" s="2">
        <v>6</v>
      </c>
    </row>
    <row r="1197" s="2" customFormat="1" spans="1:16">
      <c r="A1197" s="8"/>
      <c r="B1197" s="9" t="s">
        <v>2155</v>
      </c>
      <c r="C1197" s="10" t="s">
        <v>412</v>
      </c>
      <c r="D1197" s="11">
        <v>1</v>
      </c>
      <c r="E1197" s="12">
        <v>12784.99</v>
      </c>
      <c r="F1197" s="13">
        <v>12784.99</v>
      </c>
      <c r="G1197" s="2">
        <f>VLOOKUP(B1197,'PO with created By ASR'!A:C,3,FALSE)</f>
        <v>45689</v>
      </c>
      <c r="J1197" s="2" t="str">
        <f>VLOOKUP(B1197,'PO with created By ASR'!A:G,4,FALSE)</f>
        <v>Sunil Sawant -CR</v>
      </c>
      <c r="K1197" s="2" t="e">
        <f>VLOOKUP(B1197,'PO with created By ASR'!A:I,6,FALSE)</f>
        <v>#N/A</v>
      </c>
      <c r="L1197" s="2" t="str">
        <f>VLOOKUP(B1197,'PO with created By ASR'!A:J,7,FALSE)</f>
        <v>A - Mumbai</v>
      </c>
      <c r="M1197" s="2" t="str">
        <f>VLOOKUP(B1197,'PO with created By ASR'!A:K,8,FALSE)</f>
        <v>Purchase Order-Mum</v>
      </c>
      <c r="N1197" t="s">
        <v>36</v>
      </c>
      <c r="P1197" s="2">
        <v>6</v>
      </c>
    </row>
    <row r="1198" s="2" customFormat="1" spans="1:16">
      <c r="A1198" s="8"/>
      <c r="B1198" s="9" t="s">
        <v>2157</v>
      </c>
      <c r="C1198" s="10" t="s">
        <v>276</v>
      </c>
      <c r="D1198" s="11">
        <v>1</v>
      </c>
      <c r="E1198" s="12">
        <v>82400</v>
      </c>
      <c r="F1198" s="13">
        <v>82400</v>
      </c>
      <c r="G1198" s="2">
        <f>VLOOKUP(B1198,'PO with created By ASR'!A:C,3,FALSE)</f>
        <v>45689</v>
      </c>
      <c r="J1198" s="2" t="str">
        <f>VLOOKUP(B1198,'PO with created By ASR'!A:G,4,FALSE)</f>
        <v>Fabworth Promoters Pvt Ltd-Mum</v>
      </c>
      <c r="K1198" s="2" t="str">
        <f>VLOOKUP(B1198,'PO with created By ASR'!A:I,6,FALSE)</f>
        <v>10282  Fabworth Promoters Pvt Ltd</v>
      </c>
      <c r="L1198" s="2" t="str">
        <f>VLOOKUP(B1198,'PO with created By ASR'!A:J,7,FALSE)</f>
        <v>A - Mumbai</v>
      </c>
      <c r="M1198" s="2" t="str">
        <f>VLOOKUP(B1198,'PO with created By ASR'!A:K,8,FALSE)</f>
        <v>Purchase Order-Mum</v>
      </c>
      <c r="N1198" t="s">
        <v>36</v>
      </c>
      <c r="P1198" s="2">
        <v>6</v>
      </c>
    </row>
    <row r="1199" s="2" customFormat="1" spans="1:16">
      <c r="A1199" s="8"/>
      <c r="B1199" s="9" t="s">
        <v>2157</v>
      </c>
      <c r="C1199" s="10" t="s">
        <v>764</v>
      </c>
      <c r="D1199" s="11">
        <v>1</v>
      </c>
      <c r="E1199" s="12">
        <v>14832</v>
      </c>
      <c r="F1199" s="13">
        <v>14832</v>
      </c>
      <c r="G1199" s="2">
        <f>VLOOKUP(B1199,'PO with created By ASR'!A:C,3,FALSE)</f>
        <v>45689</v>
      </c>
      <c r="J1199" s="2" t="str">
        <f>VLOOKUP(B1199,'PO with created By ASR'!A:G,4,FALSE)</f>
        <v>Fabworth Promoters Pvt Ltd-Mum</v>
      </c>
      <c r="K1199" s="2" t="str">
        <f>VLOOKUP(B1199,'PO with created By ASR'!A:I,6,FALSE)</f>
        <v>10282  Fabworth Promoters Pvt Ltd</v>
      </c>
      <c r="L1199" s="2" t="str">
        <f>VLOOKUP(B1199,'PO with created By ASR'!A:J,7,FALSE)</f>
        <v>A - Mumbai</v>
      </c>
      <c r="M1199" s="2" t="str">
        <f>VLOOKUP(B1199,'PO with created By ASR'!A:K,8,FALSE)</f>
        <v>Purchase Order-Mum</v>
      </c>
      <c r="N1199" t="s">
        <v>36</v>
      </c>
      <c r="P1199" s="2">
        <v>6</v>
      </c>
    </row>
    <row r="1200" s="2" customFormat="1" spans="1:16">
      <c r="A1200" s="8"/>
      <c r="B1200" s="9" t="s">
        <v>2162</v>
      </c>
      <c r="C1200" s="10" t="s">
        <v>317</v>
      </c>
      <c r="D1200" s="11">
        <v>1</v>
      </c>
      <c r="E1200" s="12">
        <v>18000</v>
      </c>
      <c r="F1200" s="13">
        <v>18000</v>
      </c>
      <c r="G1200" s="2">
        <f>VLOOKUP(B1200,'PO with created By ASR'!A:C,3,FALSE)</f>
        <v>45689</v>
      </c>
      <c r="J1200" s="2" t="str">
        <f>VLOOKUP(B1200,'PO with created By ASR'!A:G,4,FALSE)</f>
        <v>360 Bright Media-Mum</v>
      </c>
      <c r="K1200" s="2" t="str">
        <f>VLOOKUP(B1200,'PO with created By ASR'!A:I,6,FALSE)</f>
        <v>10105 360 Bright Media</v>
      </c>
      <c r="L1200" s="2" t="str">
        <f>VLOOKUP(B1200,'PO with created By ASR'!A:J,7,FALSE)</f>
        <v>A - Mumbai</v>
      </c>
      <c r="M1200" s="2" t="str">
        <f>VLOOKUP(B1200,'PO with created By ASR'!A:K,8,FALSE)</f>
        <v>Purchase Order-Mum</v>
      </c>
      <c r="N1200" t="s">
        <v>36</v>
      </c>
      <c r="P1200" s="2">
        <v>6</v>
      </c>
    </row>
    <row r="1201" s="2" customFormat="1" spans="1:16">
      <c r="A1201" s="8"/>
      <c r="B1201" s="9" t="s">
        <v>2165</v>
      </c>
      <c r="C1201" s="10" t="s">
        <v>196</v>
      </c>
      <c r="D1201" s="11">
        <v>1</v>
      </c>
      <c r="E1201" s="12">
        <v>27400</v>
      </c>
      <c r="F1201" s="13">
        <v>27400</v>
      </c>
      <c r="G1201" s="2">
        <f>VLOOKUP(B1201,'PO with created By ASR'!A:C,3,FALSE)</f>
        <v>45689</v>
      </c>
      <c r="J1201" s="2" t="str">
        <f>VLOOKUP(B1201,'PO with created By ASR'!A:G,4,FALSE)</f>
        <v>Prince Graphics Pvt Ltd-Mum</v>
      </c>
      <c r="K1201" s="2" t="str">
        <f>VLOOKUP(B1201,'PO with created By ASR'!A:I,6,FALSE)</f>
        <v>12284  Prince Graphics Pvt Ltd</v>
      </c>
      <c r="L1201" s="2" t="str">
        <f>VLOOKUP(B1201,'PO with created By ASR'!A:J,7,FALSE)</f>
        <v>A - Mumbai</v>
      </c>
      <c r="M1201" s="2" t="str">
        <f>VLOOKUP(B1201,'PO with created By ASR'!A:K,8,FALSE)</f>
        <v>Purchase Order-Mum</v>
      </c>
      <c r="N1201" t="s">
        <v>36</v>
      </c>
      <c r="P1201" s="2">
        <v>6</v>
      </c>
    </row>
    <row r="1202" s="2" customFormat="1" spans="1:16">
      <c r="A1202" s="8"/>
      <c r="B1202" s="9" t="s">
        <v>2170</v>
      </c>
      <c r="C1202" s="10" t="s">
        <v>126</v>
      </c>
      <c r="D1202" s="11">
        <v>1</v>
      </c>
      <c r="E1202" s="12">
        <v>497</v>
      </c>
      <c r="F1202" s="13">
        <v>497</v>
      </c>
      <c r="G1202" s="2">
        <f>VLOOKUP(B1202,'PO with created By ASR'!A:C,3,FALSE)</f>
        <v>45689</v>
      </c>
      <c r="J1202" s="2" t="str">
        <f>VLOOKUP(B1202,'PO with created By ASR'!A:G,4,FALSE)</f>
        <v>Nikhita Vora  -CR</v>
      </c>
      <c r="K1202" s="2" t="e">
        <f>VLOOKUP(B1202,'PO with created By ASR'!A:I,6,FALSE)</f>
        <v>#N/A</v>
      </c>
      <c r="L1202" s="2" t="str">
        <f>VLOOKUP(B1202,'PO with created By ASR'!A:J,7,FALSE)</f>
        <v>A - Mumbai</v>
      </c>
      <c r="M1202" s="2" t="str">
        <f>VLOOKUP(B1202,'PO with created By ASR'!A:K,8,FALSE)</f>
        <v>Purchase Order-Mum</v>
      </c>
      <c r="N1202" t="s">
        <v>36</v>
      </c>
      <c r="P1202" s="2">
        <v>6</v>
      </c>
    </row>
    <row r="1203" s="2" customFormat="1" spans="1:16">
      <c r="A1203" s="8"/>
      <c r="B1203" s="9" t="s">
        <v>2170</v>
      </c>
      <c r="C1203" s="10" t="s">
        <v>412</v>
      </c>
      <c r="D1203" s="11">
        <v>1</v>
      </c>
      <c r="E1203" s="12">
        <v>259</v>
      </c>
      <c r="F1203" s="13">
        <v>259</v>
      </c>
      <c r="G1203" s="2">
        <f>VLOOKUP(B1203,'PO with created By ASR'!A:C,3,FALSE)</f>
        <v>45689</v>
      </c>
      <c r="J1203" s="2" t="str">
        <f>VLOOKUP(B1203,'PO with created By ASR'!A:G,4,FALSE)</f>
        <v>Nikhita Vora  -CR</v>
      </c>
      <c r="K1203" s="2" t="e">
        <f>VLOOKUP(B1203,'PO with created By ASR'!A:I,6,FALSE)</f>
        <v>#N/A</v>
      </c>
      <c r="L1203" s="2" t="str">
        <f>VLOOKUP(B1203,'PO with created By ASR'!A:J,7,FALSE)</f>
        <v>A - Mumbai</v>
      </c>
      <c r="M1203" s="2" t="str">
        <f>VLOOKUP(B1203,'PO with created By ASR'!A:K,8,FALSE)</f>
        <v>Purchase Order-Mum</v>
      </c>
      <c r="N1203" t="s">
        <v>36</v>
      </c>
      <c r="P1203" s="2">
        <v>6</v>
      </c>
    </row>
    <row r="1204" s="2" customFormat="1" spans="1:16">
      <c r="A1204" s="8"/>
      <c r="B1204" s="9" t="s">
        <v>2172</v>
      </c>
      <c r="C1204" s="10" t="s">
        <v>990</v>
      </c>
      <c r="D1204" s="11">
        <v>1</v>
      </c>
      <c r="E1204" s="12">
        <v>30000</v>
      </c>
      <c r="F1204" s="13">
        <v>30000</v>
      </c>
      <c r="G1204" s="2">
        <f>VLOOKUP(B1204,'PO with created By ASR'!A:C,3,FALSE)</f>
        <v>45689</v>
      </c>
      <c r="J1204" s="2" t="str">
        <f>VLOOKUP(B1204,'PO with created By ASR'!A:G,4,FALSE)</f>
        <v>Aaa Rental Llp-Mum</v>
      </c>
      <c r="K1204" s="2" t="str">
        <f>VLOOKUP(B1204,'PO with created By ASR'!A:I,6,FALSE)</f>
        <v>11626 Aaa Rental Llp</v>
      </c>
      <c r="L1204" s="2" t="str">
        <f>VLOOKUP(B1204,'PO with created By ASR'!A:J,7,FALSE)</f>
        <v>A - Mumbai</v>
      </c>
      <c r="M1204" s="2" t="str">
        <f>VLOOKUP(B1204,'PO with created By ASR'!A:K,8,FALSE)</f>
        <v>Purchase Order-Mum</v>
      </c>
      <c r="N1204" t="s">
        <v>36</v>
      </c>
      <c r="P1204" s="2">
        <v>6</v>
      </c>
    </row>
    <row r="1205" s="2" customFormat="1" spans="1:16">
      <c r="A1205" s="8"/>
      <c r="B1205" s="9" t="s">
        <v>2173</v>
      </c>
      <c r="C1205" s="10" t="s">
        <v>250</v>
      </c>
      <c r="D1205" s="11">
        <v>1</v>
      </c>
      <c r="E1205" s="12">
        <v>17000</v>
      </c>
      <c r="F1205" s="13">
        <v>17000</v>
      </c>
      <c r="G1205" s="2">
        <f>VLOOKUP(B1205,'PO with created By ASR'!A:C,3,FALSE)</f>
        <v>45689</v>
      </c>
      <c r="J1205" s="2" t="str">
        <f>VLOOKUP(B1205,'PO with created By ASR'!A:G,4,FALSE)</f>
        <v>Mumbai Shree Garjana (Ajay Adsule)-Mum</v>
      </c>
      <c r="K1205" s="2" t="str">
        <f>VLOOKUP(B1205,'PO with created By ASR'!A:I,6,FALSE)</f>
        <v>10760 Mumbai Shree Garjana (Ajay Adsule)</v>
      </c>
      <c r="L1205" s="2" t="str">
        <f>VLOOKUP(B1205,'PO with created By ASR'!A:J,7,FALSE)</f>
        <v>A - Mumbai</v>
      </c>
      <c r="M1205" s="2" t="str">
        <f>VLOOKUP(B1205,'PO with created By ASR'!A:K,8,FALSE)</f>
        <v>Purchase Order-Mum</v>
      </c>
      <c r="N1205" t="s">
        <v>36</v>
      </c>
      <c r="P1205" s="2">
        <v>6</v>
      </c>
    </row>
    <row r="1206" s="2" customFormat="1" spans="1:16">
      <c r="A1206" s="8"/>
      <c r="B1206" s="9" t="s">
        <v>2176</v>
      </c>
      <c r="C1206" s="10" t="s">
        <v>292</v>
      </c>
      <c r="D1206" s="11">
        <v>1</v>
      </c>
      <c r="E1206" s="12">
        <v>27300</v>
      </c>
      <c r="F1206" s="13">
        <v>27300</v>
      </c>
      <c r="G1206" s="2">
        <f>VLOOKUP(B1206,'PO with created By ASR'!A:C,3,FALSE)</f>
        <v>45689</v>
      </c>
      <c r="J1206" s="2" t="str">
        <f>VLOOKUP(B1206,'PO with created By ASR'!A:G,4,FALSE)</f>
        <v>Emblaze Events (Sunita Harihar Sharma)-Mum</v>
      </c>
      <c r="K1206" s="2" t="str">
        <f>VLOOKUP(B1206,'PO with created By ASR'!A:I,6,FALSE)</f>
        <v>11869 Emblaze Events (Sunita Harihar Sharma)</v>
      </c>
      <c r="L1206" s="2" t="str">
        <f>VLOOKUP(B1206,'PO with created By ASR'!A:J,7,FALSE)</f>
        <v>A - Mumbai</v>
      </c>
      <c r="M1206" s="2" t="str">
        <f>VLOOKUP(B1206,'PO with created By ASR'!A:K,8,FALSE)</f>
        <v>Purchase Order-Mum</v>
      </c>
      <c r="N1206" t="s">
        <v>36</v>
      </c>
      <c r="P1206" s="2">
        <v>6</v>
      </c>
    </row>
    <row r="1207" s="2" customFormat="1" spans="1:16">
      <c r="A1207" s="8"/>
      <c r="B1207" s="9" t="s">
        <v>2177</v>
      </c>
      <c r="C1207" s="10" t="s">
        <v>140</v>
      </c>
      <c r="D1207" s="11">
        <v>1</v>
      </c>
      <c r="E1207" s="12">
        <v>1400</v>
      </c>
      <c r="F1207" s="13">
        <v>1400</v>
      </c>
      <c r="G1207" s="2">
        <f>VLOOKUP(B1207,'PO with created By ASR'!A:C,3,FALSE)</f>
        <v>45689</v>
      </c>
      <c r="J1207" s="2" t="str">
        <f>VLOOKUP(B1207,'PO with created By ASR'!A:G,4,FALSE)</f>
        <v>Sagar Traders-Mum</v>
      </c>
      <c r="K1207" s="2" t="str">
        <f>VLOOKUP(B1207,'PO with created By ASR'!A:I,6,FALSE)</f>
        <v>11387 Sagar Traders</v>
      </c>
      <c r="L1207" s="2" t="str">
        <f>VLOOKUP(B1207,'PO with created By ASR'!A:J,7,FALSE)</f>
        <v>A - Mumbai</v>
      </c>
      <c r="M1207" s="2" t="str">
        <f>VLOOKUP(B1207,'PO with created By ASR'!A:K,8,FALSE)</f>
        <v>Purchase Order-Mum</v>
      </c>
      <c r="N1207" t="s">
        <v>36</v>
      </c>
      <c r="P1207" s="2">
        <v>6</v>
      </c>
    </row>
    <row r="1208" s="2" customFormat="1" spans="1:16">
      <c r="A1208" s="8"/>
      <c r="B1208" s="9" t="s">
        <v>2180</v>
      </c>
      <c r="C1208" s="10" t="s">
        <v>140</v>
      </c>
      <c r="D1208" s="11">
        <v>1</v>
      </c>
      <c r="E1208" s="12">
        <v>12600</v>
      </c>
      <c r="F1208" s="13">
        <v>12600</v>
      </c>
      <c r="G1208" s="2">
        <f>VLOOKUP(B1208,'PO with created By ASR'!A:C,3,FALSE)</f>
        <v>45689</v>
      </c>
      <c r="J1208" s="2" t="str">
        <f>VLOOKUP(B1208,'PO with created By ASR'!A:G,4,FALSE)</f>
        <v>Shakti Digital-Mum</v>
      </c>
      <c r="K1208" s="2" t="str">
        <f>VLOOKUP(B1208,'PO with created By ASR'!A:I,6,FALSE)</f>
        <v>12379 Shakti Digital</v>
      </c>
      <c r="L1208" s="2" t="str">
        <f>VLOOKUP(B1208,'PO with created By ASR'!A:J,7,FALSE)</f>
        <v>A - Mumbai</v>
      </c>
      <c r="M1208" s="2" t="str">
        <f>VLOOKUP(B1208,'PO with created By ASR'!A:K,8,FALSE)</f>
        <v>Purchase Order-Mum</v>
      </c>
      <c r="N1208" t="s">
        <v>36</v>
      </c>
      <c r="P1208" s="2">
        <v>6</v>
      </c>
    </row>
    <row r="1209" s="2" customFormat="1" spans="1:16">
      <c r="A1209" s="8"/>
      <c r="B1209" s="9" t="s">
        <v>2183</v>
      </c>
      <c r="C1209" s="10" t="s">
        <v>196</v>
      </c>
      <c r="D1209" s="11">
        <v>1</v>
      </c>
      <c r="E1209" s="12">
        <v>19224</v>
      </c>
      <c r="F1209" s="13">
        <v>19224</v>
      </c>
      <c r="G1209" s="2">
        <f>VLOOKUP(B1209,'PO with created By ASR'!A:C,3,FALSE)</f>
        <v>45689</v>
      </c>
      <c r="J1209" s="2" t="str">
        <f>VLOOKUP(B1209,'PO with created By ASR'!A:G,4,FALSE)</f>
        <v>Ambika Print Solutions-Mum</v>
      </c>
      <c r="K1209" s="2" t="str">
        <f>VLOOKUP(B1209,'PO with created By ASR'!A:I,6,FALSE)</f>
        <v>11155 Ambika Print Solutions</v>
      </c>
      <c r="L1209" s="2" t="str">
        <f>VLOOKUP(B1209,'PO with created By ASR'!A:J,7,FALSE)</f>
        <v>A - Mumbai</v>
      </c>
      <c r="M1209" s="2" t="str">
        <f>VLOOKUP(B1209,'PO with created By ASR'!A:K,8,FALSE)</f>
        <v>Purchase Order-Mum</v>
      </c>
      <c r="N1209" t="s">
        <v>36</v>
      </c>
      <c r="P1209" s="2">
        <v>6</v>
      </c>
    </row>
    <row r="1210" s="2" customFormat="1" spans="1:16">
      <c r="A1210" s="8"/>
      <c r="B1210" s="9" t="s">
        <v>2186</v>
      </c>
      <c r="C1210" s="10" t="s">
        <v>140</v>
      </c>
      <c r="D1210" s="11">
        <v>1</v>
      </c>
      <c r="E1210" s="12">
        <v>3600</v>
      </c>
      <c r="F1210" s="13">
        <v>3600</v>
      </c>
      <c r="G1210" s="2">
        <f>VLOOKUP(B1210,'PO with created By ASR'!A:C,3,FALSE)</f>
        <v>45689</v>
      </c>
      <c r="J1210" s="2" t="str">
        <f>VLOOKUP(B1210,'PO with created By ASR'!A:G,4,FALSE)</f>
        <v>Shakti Digital-Mum</v>
      </c>
      <c r="K1210" s="2" t="str">
        <f>VLOOKUP(B1210,'PO with created By ASR'!A:I,6,FALSE)</f>
        <v>12379 Shakti Digital</v>
      </c>
      <c r="L1210" s="2" t="str">
        <f>VLOOKUP(B1210,'PO with created By ASR'!A:J,7,FALSE)</f>
        <v>A - Mumbai</v>
      </c>
      <c r="M1210" s="2" t="str">
        <f>VLOOKUP(B1210,'PO with created By ASR'!A:K,8,FALSE)</f>
        <v>Purchase Order-Mum</v>
      </c>
      <c r="N1210" t="s">
        <v>36</v>
      </c>
      <c r="P1210" s="2">
        <v>6</v>
      </c>
    </row>
    <row r="1211" s="2" customFormat="1" spans="1:16">
      <c r="A1211" s="8"/>
      <c r="B1211" s="9" t="s">
        <v>2187</v>
      </c>
      <c r="C1211" s="10" t="s">
        <v>205</v>
      </c>
      <c r="D1211" s="11">
        <v>1</v>
      </c>
      <c r="E1211" s="12">
        <v>6740</v>
      </c>
      <c r="F1211" s="13">
        <v>6740</v>
      </c>
      <c r="G1211" s="2">
        <f>VLOOKUP(B1211,'PO with created By ASR'!A:C,3,FALSE)</f>
        <v>45689</v>
      </c>
      <c r="J1211" s="2" t="str">
        <f>VLOOKUP(B1211,'PO with created By ASR'!A:G,4,FALSE)</f>
        <v>Shivam Logistics-Mum</v>
      </c>
      <c r="K1211" s="2" t="str">
        <f>VLOOKUP(B1211,'PO with created By ASR'!A:I,6,FALSE)</f>
        <v>12391 Shivam Logistics</v>
      </c>
      <c r="L1211" s="2" t="str">
        <f>VLOOKUP(B1211,'PO with created By ASR'!A:J,7,FALSE)</f>
        <v>A - Mumbai</v>
      </c>
      <c r="M1211" s="2" t="str">
        <f>VLOOKUP(B1211,'PO with created By ASR'!A:K,8,FALSE)</f>
        <v>Purchase Order-Mum</v>
      </c>
      <c r="N1211" t="s">
        <v>36</v>
      </c>
      <c r="P1211" s="2">
        <v>6</v>
      </c>
    </row>
    <row r="1212" s="2" customFormat="1" spans="1:16">
      <c r="A1212" s="8"/>
      <c r="B1212" s="9" t="s">
        <v>2188</v>
      </c>
      <c r="C1212" s="10" t="s">
        <v>371</v>
      </c>
      <c r="D1212" s="11">
        <v>1</v>
      </c>
      <c r="E1212" s="12">
        <v>60000</v>
      </c>
      <c r="F1212" s="13">
        <v>60000</v>
      </c>
      <c r="G1212" s="2">
        <f>VLOOKUP(B1212,'PO with created By ASR'!A:C,3,FALSE)</f>
        <v>45689</v>
      </c>
      <c r="J1212" s="2" t="str">
        <f>VLOOKUP(B1212,'PO with created By ASR'!A:G,4,FALSE)</f>
        <v>Videowaves-Mum</v>
      </c>
      <c r="K1212" s="2" t="e">
        <f>VLOOKUP(B1212,'PO with created By ASR'!A:I,6,FALSE)</f>
        <v>#N/A</v>
      </c>
      <c r="L1212" s="2" t="str">
        <f>VLOOKUP(B1212,'PO with created By ASR'!A:J,7,FALSE)</f>
        <v>A - Mumbai</v>
      </c>
      <c r="M1212" s="2" t="str">
        <f>VLOOKUP(B1212,'PO with created By ASR'!A:K,8,FALSE)</f>
        <v>Purchase Order-Mum</v>
      </c>
      <c r="N1212" t="s">
        <v>36</v>
      </c>
      <c r="P1212" s="2">
        <v>6</v>
      </c>
    </row>
    <row r="1213" s="2" customFormat="1" spans="1:16">
      <c r="A1213" s="8"/>
      <c r="B1213" s="9" t="s">
        <v>2189</v>
      </c>
      <c r="C1213" s="10" t="s">
        <v>151</v>
      </c>
      <c r="D1213" s="11">
        <v>1</v>
      </c>
      <c r="E1213" s="12">
        <v>13000</v>
      </c>
      <c r="F1213" s="13">
        <v>13000</v>
      </c>
      <c r="G1213" s="2">
        <f>VLOOKUP(B1213,'PO with created By ASR'!A:C,3,FALSE)</f>
        <v>45689</v>
      </c>
      <c r="J1213" s="2" t="str">
        <f>VLOOKUP(B1213,'PO with created By ASR'!A:G,4,FALSE)</f>
        <v>Om Screen Art Events-Mum</v>
      </c>
      <c r="K1213" s="2" t="str">
        <f>VLOOKUP(B1213,'PO with created By ASR'!A:I,6,FALSE)</f>
        <v>12222 Om Screen Art Events</v>
      </c>
      <c r="L1213" s="2" t="str">
        <f>VLOOKUP(B1213,'PO with created By ASR'!A:J,7,FALSE)</f>
        <v>A - Mumbai</v>
      </c>
      <c r="M1213" s="2" t="str">
        <f>VLOOKUP(B1213,'PO with created By ASR'!A:K,8,FALSE)</f>
        <v>Purchase Order-Mum</v>
      </c>
      <c r="N1213" t="s">
        <v>36</v>
      </c>
      <c r="P1213" s="2">
        <v>6</v>
      </c>
    </row>
    <row r="1214" s="2" customFormat="1" spans="1:16">
      <c r="A1214" s="8"/>
      <c r="B1214" s="9" t="s">
        <v>2190</v>
      </c>
      <c r="C1214" s="10" t="s">
        <v>151</v>
      </c>
      <c r="D1214" s="11">
        <v>1</v>
      </c>
      <c r="E1214" s="12">
        <v>200000</v>
      </c>
      <c r="F1214" s="13">
        <v>200000</v>
      </c>
      <c r="G1214" s="2">
        <f>VLOOKUP(B1214,'PO with created By ASR'!A:C,3,FALSE)</f>
        <v>45691</v>
      </c>
      <c r="J1214" s="2" t="str">
        <f>VLOOKUP(B1214,'PO with created By ASR'!A:G,4,FALSE)</f>
        <v>Lalit Arts India-Del</v>
      </c>
      <c r="K1214" s="2" t="str">
        <f>VLOOKUP(B1214,'PO with created By ASR'!A:I,6,FALSE)</f>
        <v>12092 Lalit Arts India</v>
      </c>
      <c r="L1214" s="2" t="str">
        <f>VLOOKUP(B1214,'PO with created By ASR'!A:J,7,FALSE)</f>
        <v>B - Bangalore</v>
      </c>
      <c r="M1214" s="2" t="str">
        <f>VLOOKUP(B1214,'PO with created By ASR'!A:K,8,FALSE)</f>
        <v>Purchase Order-Blr</v>
      </c>
      <c r="N1214" t="s">
        <v>36</v>
      </c>
      <c r="P1214" s="2">
        <v>6</v>
      </c>
    </row>
    <row r="1215" s="2" customFormat="1" spans="1:16">
      <c r="A1215" s="8"/>
      <c r="B1215" s="9" t="s">
        <v>2194</v>
      </c>
      <c r="C1215" s="10" t="s">
        <v>401</v>
      </c>
      <c r="D1215" s="11">
        <v>1</v>
      </c>
      <c r="E1215" s="12">
        <v>12500</v>
      </c>
      <c r="F1215" s="13">
        <v>12500</v>
      </c>
      <c r="G1215" s="2">
        <f>VLOOKUP(B1215,'PO with created By ASR'!A:C,3,FALSE)</f>
        <v>45691</v>
      </c>
      <c r="J1215" s="2" t="str">
        <f>VLOOKUP(B1215,'PO with created By ASR'!A:G,4,FALSE)</f>
        <v>Thinking Brahma-Blr</v>
      </c>
      <c r="K1215" s="2" t="str">
        <f>VLOOKUP(B1215,'PO with created By ASR'!A:I,6,FALSE)</f>
        <v>12537 Thinking Brahma</v>
      </c>
      <c r="L1215" s="2" t="str">
        <f>VLOOKUP(B1215,'PO with created By ASR'!A:J,7,FALSE)</f>
        <v>B - Bangalore</v>
      </c>
      <c r="M1215" s="2" t="str">
        <f>VLOOKUP(B1215,'PO with created By ASR'!A:K,8,FALSE)</f>
        <v>Purchase Order-Blr</v>
      </c>
      <c r="N1215" t="s">
        <v>36</v>
      </c>
      <c r="P1215" s="2">
        <v>6</v>
      </c>
    </row>
    <row r="1216" s="2" customFormat="1" spans="1:16">
      <c r="A1216" s="8"/>
      <c r="B1216" s="9" t="s">
        <v>2195</v>
      </c>
      <c r="C1216" s="10" t="s">
        <v>990</v>
      </c>
      <c r="D1216" s="11">
        <v>1</v>
      </c>
      <c r="E1216" s="12">
        <v>11000</v>
      </c>
      <c r="F1216" s="13">
        <v>11000</v>
      </c>
      <c r="G1216" s="2">
        <f>VLOOKUP(B1216,'PO with created By ASR'!A:C,3,FALSE)</f>
        <v>45691</v>
      </c>
      <c r="J1216" s="2" t="str">
        <f>VLOOKUP(B1216,'PO with created By ASR'!A:G,4,FALSE)</f>
        <v>Infutech Solutions-Blr</v>
      </c>
      <c r="K1216" s="2" t="str">
        <f>VLOOKUP(B1216,'PO with created By ASR'!A:I,6,FALSE)</f>
        <v>12027 Infutech Solutions</v>
      </c>
      <c r="L1216" s="2" t="str">
        <f>VLOOKUP(B1216,'PO with created By ASR'!A:J,7,FALSE)</f>
        <v>B - Bangalore</v>
      </c>
      <c r="M1216" s="2" t="str">
        <f>VLOOKUP(B1216,'PO with created By ASR'!A:K,8,FALSE)</f>
        <v>Purchase Order-Blr</v>
      </c>
      <c r="N1216" t="s">
        <v>36</v>
      </c>
      <c r="P1216" s="2">
        <v>6</v>
      </c>
    </row>
    <row r="1217" s="2" customFormat="1" spans="1:16">
      <c r="A1217" s="8"/>
      <c r="B1217" s="9" t="s">
        <v>2196</v>
      </c>
      <c r="C1217" s="10" t="s">
        <v>196</v>
      </c>
      <c r="D1217" s="11">
        <v>1</v>
      </c>
      <c r="E1217" s="12">
        <v>1390</v>
      </c>
      <c r="F1217" s="13">
        <v>1390</v>
      </c>
      <c r="G1217" s="2">
        <f>VLOOKUP(B1217,'PO with created By ASR'!A:C,3,FALSE)</f>
        <v>45691</v>
      </c>
      <c r="J1217" s="2" t="str">
        <f>VLOOKUP(B1217,'PO with created By ASR'!A:G,4,FALSE)</f>
        <v>Kolorkode-Blr</v>
      </c>
      <c r="K1217" s="2" t="e">
        <f>VLOOKUP(B1217,'PO with created By ASR'!A:I,6,FALSE)</f>
        <v>#N/A</v>
      </c>
      <c r="L1217" s="2" t="str">
        <f>VLOOKUP(B1217,'PO with created By ASR'!A:J,7,FALSE)</f>
        <v>B - Bangalore</v>
      </c>
      <c r="M1217" s="2" t="str">
        <f>VLOOKUP(B1217,'PO with created By ASR'!A:K,8,FALSE)</f>
        <v>Purchase Order-Blr</v>
      </c>
      <c r="N1217" t="s">
        <v>36</v>
      </c>
      <c r="P1217" s="2">
        <v>6</v>
      </c>
    </row>
    <row r="1218" s="2" customFormat="1" spans="1:16">
      <c r="A1218" s="8"/>
      <c r="B1218" s="9" t="s">
        <v>2197</v>
      </c>
      <c r="C1218" s="10" t="s">
        <v>196</v>
      </c>
      <c r="D1218" s="11">
        <v>1</v>
      </c>
      <c r="E1218" s="12">
        <v>4900</v>
      </c>
      <c r="F1218" s="13">
        <v>4900</v>
      </c>
      <c r="G1218" s="2">
        <f>VLOOKUP(B1218,'PO with created By ASR'!A:C,3,FALSE)</f>
        <v>45691</v>
      </c>
      <c r="J1218" s="2" t="str">
        <f>VLOOKUP(B1218,'PO with created By ASR'!A:G,4,FALSE)</f>
        <v>Akshar Trading Company-Blr</v>
      </c>
      <c r="K1218" s="2" t="str">
        <f>VLOOKUP(B1218,'PO with created By ASR'!A:I,6,FALSE)</f>
        <v>11651 Akshar Trading Company</v>
      </c>
      <c r="L1218" s="2" t="str">
        <f>VLOOKUP(B1218,'PO with created By ASR'!A:J,7,FALSE)</f>
        <v>B - Bangalore</v>
      </c>
      <c r="M1218" s="2" t="str">
        <f>VLOOKUP(B1218,'PO with created By ASR'!A:K,8,FALSE)</f>
        <v>Purchase Order-Blr</v>
      </c>
      <c r="N1218" t="s">
        <v>36</v>
      </c>
      <c r="P1218" s="2">
        <v>6</v>
      </c>
    </row>
    <row r="1219" s="2" customFormat="1" spans="1:16">
      <c r="A1219" s="8"/>
      <c r="B1219" s="9" t="s">
        <v>2201</v>
      </c>
      <c r="C1219" s="10" t="s">
        <v>787</v>
      </c>
      <c r="D1219" s="11">
        <v>1</v>
      </c>
      <c r="E1219" s="12">
        <v>266675</v>
      </c>
      <c r="F1219" s="13">
        <v>266675</v>
      </c>
      <c r="G1219" s="2">
        <f>VLOOKUP(B1219,'PO with created By ASR'!A:C,3,FALSE)</f>
        <v>45691</v>
      </c>
      <c r="J1219" s="2" t="str">
        <f>VLOOKUP(B1219,'PO with created By ASR'!A:G,4,FALSE)</f>
        <v>Global Info Solution-Blr</v>
      </c>
      <c r="K1219" s="2" t="str">
        <f>VLOOKUP(B1219,'PO with created By ASR'!A:I,6,FALSE)</f>
        <v>10653 Global Info Solution</v>
      </c>
      <c r="L1219" s="2" t="str">
        <f>VLOOKUP(B1219,'PO with created By ASR'!A:J,7,FALSE)</f>
        <v>B - Bangalore</v>
      </c>
      <c r="M1219" s="2" t="str">
        <f>VLOOKUP(B1219,'PO with created By ASR'!A:K,8,FALSE)</f>
        <v>Purchase Order-Blr</v>
      </c>
      <c r="N1219" t="s">
        <v>36</v>
      </c>
      <c r="P1219" s="2">
        <v>6</v>
      </c>
    </row>
    <row r="1220" s="2" customFormat="1" spans="1:16">
      <c r="A1220" s="8"/>
      <c r="B1220" s="9" t="s">
        <v>2205</v>
      </c>
      <c r="C1220" s="10" t="s">
        <v>140</v>
      </c>
      <c r="D1220" s="11">
        <v>1</v>
      </c>
      <c r="E1220" s="12">
        <v>5082.2</v>
      </c>
      <c r="F1220" s="13">
        <v>5082.2</v>
      </c>
      <c r="G1220" s="2">
        <f>VLOOKUP(B1220,'PO with created By ASR'!A:C,3,FALSE)</f>
        <v>45691</v>
      </c>
      <c r="J1220" s="2" t="str">
        <f>VLOOKUP(B1220,'PO with created By ASR'!A:G,4,FALSE)</f>
        <v>Comfort Grid Technologies Pvt Ltd (OTV)-Blr</v>
      </c>
      <c r="K1220" s="2" t="e">
        <f>VLOOKUP(B1220,'PO with created By ASR'!A:I,6,FALSE)</f>
        <v>#N/A</v>
      </c>
      <c r="L1220" s="2" t="str">
        <f>VLOOKUP(B1220,'PO with created By ASR'!A:J,7,FALSE)</f>
        <v>B - Bangalore</v>
      </c>
      <c r="M1220" s="2" t="str">
        <f>VLOOKUP(B1220,'PO with created By ASR'!A:K,8,FALSE)</f>
        <v>Purchase Order-Blr</v>
      </c>
      <c r="N1220" t="s">
        <v>36</v>
      </c>
      <c r="P1220" s="2">
        <v>6</v>
      </c>
    </row>
    <row r="1221" s="2" customFormat="1" spans="1:16">
      <c r="A1221" s="8"/>
      <c r="B1221" s="9" t="s">
        <v>2210</v>
      </c>
      <c r="C1221" s="10" t="s">
        <v>119</v>
      </c>
      <c r="D1221" s="11">
        <v>1</v>
      </c>
      <c r="E1221" s="12">
        <v>6200</v>
      </c>
      <c r="F1221" s="13">
        <v>6200</v>
      </c>
      <c r="G1221" s="2">
        <f>VLOOKUP(B1221,'PO with created By ASR'!A:C,3,FALSE)</f>
        <v>45691</v>
      </c>
      <c r="J1221" s="2" t="str">
        <f>VLOOKUP(B1221,'PO with created By ASR'!A:G,4,FALSE)</f>
        <v>Siva Sankar Cabs-Blr</v>
      </c>
      <c r="K1221" s="2" t="str">
        <f>VLOOKUP(B1221,'PO with created By ASR'!A:I,6,FALSE)</f>
        <v>10089 Siva Sankar Cabs</v>
      </c>
      <c r="L1221" s="2" t="str">
        <f>VLOOKUP(B1221,'PO with created By ASR'!A:J,7,FALSE)</f>
        <v>B - Bangalore</v>
      </c>
      <c r="M1221" s="2" t="str">
        <f>VLOOKUP(B1221,'PO with created By ASR'!A:K,8,FALSE)</f>
        <v>Purchase Order-Blr</v>
      </c>
      <c r="N1221" t="s">
        <v>36</v>
      </c>
      <c r="P1221" s="2">
        <v>6</v>
      </c>
    </row>
    <row r="1222" s="2" customFormat="1" spans="1:16">
      <c r="A1222" s="8"/>
      <c r="B1222" s="9" t="s">
        <v>2211</v>
      </c>
      <c r="C1222" s="10" t="s">
        <v>196</v>
      </c>
      <c r="D1222" s="11">
        <v>1</v>
      </c>
      <c r="E1222" s="12">
        <v>6600</v>
      </c>
      <c r="F1222" s="13">
        <v>6600</v>
      </c>
      <c r="G1222" s="2">
        <f>VLOOKUP(B1222,'PO with created By ASR'!A:C,3,FALSE)</f>
        <v>45691</v>
      </c>
      <c r="J1222" s="2" t="str">
        <f>VLOOKUP(B1222,'PO with created By ASR'!A:G,4,FALSE)</f>
        <v>New Print House-Blr</v>
      </c>
      <c r="K1222" s="2" t="str">
        <f>VLOOKUP(B1222,'PO with created By ASR'!A:I,6,FALSE)</f>
        <v>12196 New Print House</v>
      </c>
      <c r="L1222" s="2" t="str">
        <f>VLOOKUP(B1222,'PO with created By ASR'!A:J,7,FALSE)</f>
        <v>B - Bangalore</v>
      </c>
      <c r="M1222" s="2" t="str">
        <f>VLOOKUP(B1222,'PO with created By ASR'!A:K,8,FALSE)</f>
        <v>Purchase Order-Blr</v>
      </c>
      <c r="N1222" t="s">
        <v>36</v>
      </c>
      <c r="P1222" s="2">
        <v>6</v>
      </c>
    </row>
    <row r="1223" s="2" customFormat="1" spans="1:16">
      <c r="A1223" s="8"/>
      <c r="B1223" s="9" t="s">
        <v>2212</v>
      </c>
      <c r="C1223" s="10" t="s">
        <v>196</v>
      </c>
      <c r="D1223" s="11">
        <v>1</v>
      </c>
      <c r="E1223" s="12">
        <v>2600</v>
      </c>
      <c r="F1223" s="13">
        <v>2600</v>
      </c>
      <c r="G1223" s="2">
        <f>VLOOKUP(B1223,'PO with created By ASR'!A:C,3,FALSE)</f>
        <v>45691</v>
      </c>
      <c r="J1223" s="2" t="str">
        <f>VLOOKUP(B1223,'PO with created By ASR'!A:G,4,FALSE)</f>
        <v>New Print House-Blr</v>
      </c>
      <c r="K1223" s="2" t="str">
        <f>VLOOKUP(B1223,'PO with created By ASR'!A:I,6,FALSE)</f>
        <v>12196 New Print House</v>
      </c>
      <c r="L1223" s="2" t="str">
        <f>VLOOKUP(B1223,'PO with created By ASR'!A:J,7,FALSE)</f>
        <v>B - Bangalore</v>
      </c>
      <c r="M1223" s="2" t="str">
        <f>VLOOKUP(B1223,'PO with created By ASR'!A:K,8,FALSE)</f>
        <v>Purchase Order-Blr</v>
      </c>
      <c r="N1223" t="s">
        <v>36</v>
      </c>
      <c r="P1223" s="2">
        <v>6</v>
      </c>
    </row>
    <row r="1224" s="2" customFormat="1" spans="1:16">
      <c r="A1224" s="8"/>
      <c r="B1224" s="9" t="s">
        <v>2212</v>
      </c>
      <c r="C1224" s="10" t="s">
        <v>196</v>
      </c>
      <c r="D1224" s="11">
        <v>1</v>
      </c>
      <c r="E1224" s="12">
        <v>16625</v>
      </c>
      <c r="F1224" s="13">
        <v>16625</v>
      </c>
      <c r="G1224" s="2">
        <f>VLOOKUP(B1224,'PO with created By ASR'!A:C,3,FALSE)</f>
        <v>45691</v>
      </c>
      <c r="J1224" s="2" t="str">
        <f>VLOOKUP(B1224,'PO with created By ASR'!A:G,4,FALSE)</f>
        <v>New Print House-Blr</v>
      </c>
      <c r="K1224" s="2" t="str">
        <f>VLOOKUP(B1224,'PO with created By ASR'!A:I,6,FALSE)</f>
        <v>12196 New Print House</v>
      </c>
      <c r="L1224" s="2" t="str">
        <f>VLOOKUP(B1224,'PO with created By ASR'!A:J,7,FALSE)</f>
        <v>B - Bangalore</v>
      </c>
      <c r="M1224" s="2" t="str">
        <f>VLOOKUP(B1224,'PO with created By ASR'!A:K,8,FALSE)</f>
        <v>Purchase Order-Blr</v>
      </c>
      <c r="N1224" t="s">
        <v>36</v>
      </c>
      <c r="P1224" s="2">
        <v>6</v>
      </c>
    </row>
    <row r="1225" s="2" customFormat="1" spans="1:16">
      <c r="A1225" s="8"/>
      <c r="B1225" s="9" t="s">
        <v>2213</v>
      </c>
      <c r="C1225" s="10" t="s">
        <v>401</v>
      </c>
      <c r="D1225" s="11">
        <v>1</v>
      </c>
      <c r="E1225" s="12">
        <v>52000</v>
      </c>
      <c r="F1225" s="13">
        <v>52000</v>
      </c>
      <c r="G1225" s="2">
        <f>VLOOKUP(B1225,'PO with created By ASR'!A:C,3,FALSE)</f>
        <v>45691</v>
      </c>
      <c r="J1225" s="2" t="str">
        <f>VLOOKUP(B1225,'PO with created By ASR'!A:G,4,FALSE)</f>
        <v>Mj Digital-Che</v>
      </c>
      <c r="K1225" s="2" t="str">
        <f>VLOOKUP(B1225,'PO with created By ASR'!A:I,6,FALSE)</f>
        <v>12157 MJ Digital</v>
      </c>
      <c r="L1225" s="2" t="str">
        <f>VLOOKUP(B1225,'PO with created By ASR'!A:J,7,FALSE)</f>
        <v>C - Chennai</v>
      </c>
      <c r="M1225" s="2" t="str">
        <f>VLOOKUP(B1225,'PO with created By ASR'!A:K,8,FALSE)</f>
        <v>Purchase Order-Che</v>
      </c>
      <c r="N1225" t="s">
        <v>36</v>
      </c>
      <c r="P1225" s="2">
        <v>6</v>
      </c>
    </row>
    <row r="1226" s="2" customFormat="1" spans="1:16">
      <c r="A1226" s="8"/>
      <c r="B1226" s="9" t="s">
        <v>2216</v>
      </c>
      <c r="C1226" s="10" t="s">
        <v>292</v>
      </c>
      <c r="D1226" s="11">
        <v>1</v>
      </c>
      <c r="E1226" s="12">
        <v>35600</v>
      </c>
      <c r="F1226" s="13">
        <v>35600</v>
      </c>
      <c r="G1226" s="2">
        <f>VLOOKUP(B1226,'PO with created By ASR'!A:C,3,FALSE)</f>
        <v>45691</v>
      </c>
      <c r="J1226" s="2" t="str">
        <f>VLOOKUP(B1226,'PO with created By ASR'!A:G,4,FALSE)</f>
        <v>Shanmugam J-Che</v>
      </c>
      <c r="K1226" s="2" t="str">
        <f>VLOOKUP(B1226,'PO with created By ASR'!A:I,6,FALSE)</f>
        <v>12917 Shanmugam J</v>
      </c>
      <c r="L1226" s="2" t="str">
        <f>VLOOKUP(B1226,'PO with created By ASR'!A:J,7,FALSE)</f>
        <v>C - Chennai</v>
      </c>
      <c r="M1226" s="2" t="str">
        <f>VLOOKUP(B1226,'PO with created By ASR'!A:K,8,FALSE)</f>
        <v>Purchase Order-Che</v>
      </c>
      <c r="N1226" t="s">
        <v>36</v>
      </c>
      <c r="P1226" s="2">
        <v>6</v>
      </c>
    </row>
    <row r="1227" s="2" customFormat="1" spans="1:16">
      <c r="A1227" s="8"/>
      <c r="B1227" s="9" t="s">
        <v>2216</v>
      </c>
      <c r="C1227" s="10" t="s">
        <v>292</v>
      </c>
      <c r="D1227" s="11">
        <v>1</v>
      </c>
      <c r="E1227" s="12">
        <v>20300</v>
      </c>
      <c r="F1227" s="13">
        <v>20300</v>
      </c>
      <c r="G1227" s="2">
        <f>VLOOKUP(B1227,'PO with created By ASR'!A:C,3,FALSE)</f>
        <v>45691</v>
      </c>
      <c r="J1227" s="2" t="str">
        <f>VLOOKUP(B1227,'PO with created By ASR'!A:G,4,FALSE)</f>
        <v>Shanmugam J-Che</v>
      </c>
      <c r="K1227" s="2" t="str">
        <f>VLOOKUP(B1227,'PO with created By ASR'!A:I,6,FALSE)</f>
        <v>12917 Shanmugam J</v>
      </c>
      <c r="L1227" s="2" t="str">
        <f>VLOOKUP(B1227,'PO with created By ASR'!A:J,7,FALSE)</f>
        <v>C - Chennai</v>
      </c>
      <c r="M1227" s="2" t="str">
        <f>VLOOKUP(B1227,'PO with created By ASR'!A:K,8,FALSE)</f>
        <v>Purchase Order-Che</v>
      </c>
      <c r="N1227" t="s">
        <v>36</v>
      </c>
      <c r="P1227" s="2">
        <v>6</v>
      </c>
    </row>
    <row r="1228" s="2" customFormat="1" spans="1:16">
      <c r="A1228" s="8"/>
      <c r="B1228" s="9" t="s">
        <v>2216</v>
      </c>
      <c r="C1228" s="10" t="s">
        <v>292</v>
      </c>
      <c r="D1228" s="11">
        <v>1</v>
      </c>
      <c r="E1228" s="12">
        <v>5000</v>
      </c>
      <c r="F1228" s="13">
        <v>5000</v>
      </c>
      <c r="G1228" s="2">
        <f>VLOOKUP(B1228,'PO with created By ASR'!A:C,3,FALSE)</f>
        <v>45691</v>
      </c>
      <c r="J1228" s="2" t="str">
        <f>VLOOKUP(B1228,'PO with created By ASR'!A:G,4,FALSE)</f>
        <v>Shanmugam J-Che</v>
      </c>
      <c r="K1228" s="2" t="str">
        <f>VLOOKUP(B1228,'PO with created By ASR'!A:I,6,FALSE)</f>
        <v>12917 Shanmugam J</v>
      </c>
      <c r="L1228" s="2" t="str">
        <f>VLOOKUP(B1228,'PO with created By ASR'!A:J,7,FALSE)</f>
        <v>C - Chennai</v>
      </c>
      <c r="M1228" s="2" t="str">
        <f>VLOOKUP(B1228,'PO with created By ASR'!A:K,8,FALSE)</f>
        <v>Purchase Order-Che</v>
      </c>
      <c r="N1228" t="s">
        <v>36</v>
      </c>
      <c r="P1228" s="2">
        <v>6</v>
      </c>
    </row>
    <row r="1229" s="2" customFormat="1" spans="1:16">
      <c r="A1229" s="8"/>
      <c r="B1229" s="9" t="s">
        <v>2219</v>
      </c>
      <c r="C1229" s="10" t="s">
        <v>126</v>
      </c>
      <c r="D1229" s="11">
        <v>1</v>
      </c>
      <c r="E1229" s="12">
        <v>6269</v>
      </c>
      <c r="F1229" s="13">
        <v>6269</v>
      </c>
      <c r="G1229" s="2">
        <f>VLOOKUP(B1229,'PO with created By ASR'!A:C,3,FALSE)</f>
        <v>45691</v>
      </c>
      <c r="J1229" s="2" t="str">
        <f>VLOOKUP(B1229,'PO with created By ASR'!A:G,4,FALSE)</f>
        <v>Bhavika Vig? -CR</v>
      </c>
      <c r="K1229" s="2" t="e">
        <f>VLOOKUP(B1229,'PO with created By ASR'!A:I,6,FALSE)</f>
        <v>#N/A</v>
      </c>
      <c r="L1229" s="2" t="str">
        <f>VLOOKUP(B1229,'PO with created By ASR'!A:J,7,FALSE)</f>
        <v>D - Delhi</v>
      </c>
      <c r="M1229" s="2" t="str">
        <f>VLOOKUP(B1229,'PO with created By ASR'!A:K,8,FALSE)</f>
        <v>Purchase Order-Del</v>
      </c>
      <c r="N1229" t="s">
        <v>36</v>
      </c>
      <c r="P1229" s="2">
        <v>6</v>
      </c>
    </row>
    <row r="1230" s="2" customFormat="1" spans="1:16">
      <c r="A1230" s="8"/>
      <c r="B1230" s="9" t="s">
        <v>2219</v>
      </c>
      <c r="C1230" s="10" t="s">
        <v>412</v>
      </c>
      <c r="D1230" s="11">
        <v>1</v>
      </c>
      <c r="E1230" s="12">
        <v>2357</v>
      </c>
      <c r="F1230" s="13">
        <v>2357</v>
      </c>
      <c r="G1230" s="2">
        <f>VLOOKUP(B1230,'PO with created By ASR'!A:C,3,FALSE)</f>
        <v>45691</v>
      </c>
      <c r="J1230" s="2" t="str">
        <f>VLOOKUP(B1230,'PO with created By ASR'!A:G,4,FALSE)</f>
        <v>Bhavika Vig? -CR</v>
      </c>
      <c r="K1230" s="2" t="e">
        <f>VLOOKUP(B1230,'PO with created By ASR'!A:I,6,FALSE)</f>
        <v>#N/A</v>
      </c>
      <c r="L1230" s="2" t="str">
        <f>VLOOKUP(B1230,'PO with created By ASR'!A:J,7,FALSE)</f>
        <v>D - Delhi</v>
      </c>
      <c r="M1230" s="2" t="str">
        <f>VLOOKUP(B1230,'PO with created By ASR'!A:K,8,FALSE)</f>
        <v>Purchase Order-Del</v>
      </c>
      <c r="N1230" t="s">
        <v>36</v>
      </c>
      <c r="P1230" s="2">
        <v>6</v>
      </c>
    </row>
    <row r="1231" s="2" customFormat="1" spans="1:16">
      <c r="A1231" s="8"/>
      <c r="B1231" s="9" t="s">
        <v>2223</v>
      </c>
      <c r="C1231" s="10" t="s">
        <v>126</v>
      </c>
      <c r="D1231" s="11">
        <v>1</v>
      </c>
      <c r="E1231" s="12">
        <v>3340</v>
      </c>
      <c r="F1231" s="13">
        <v>3340</v>
      </c>
      <c r="G1231" s="2">
        <f>VLOOKUP(B1231,'PO with created By ASR'!A:C,3,FALSE)</f>
        <v>45691</v>
      </c>
      <c r="J1231" s="2" t="str">
        <f>VLOOKUP(B1231,'PO with created By ASR'!A:G,4,FALSE)</f>
        <v>Khushi Khare  -CR</v>
      </c>
      <c r="K1231" s="2" t="e">
        <f>VLOOKUP(B1231,'PO with created By ASR'!A:I,6,FALSE)</f>
        <v>#N/A</v>
      </c>
      <c r="L1231" s="2" t="str">
        <f>VLOOKUP(B1231,'PO with created By ASR'!A:J,7,FALSE)</f>
        <v>D - Delhi</v>
      </c>
      <c r="M1231" s="2" t="str">
        <f>VLOOKUP(B1231,'PO with created By ASR'!A:K,8,FALSE)</f>
        <v>Purchase Order-Del</v>
      </c>
      <c r="N1231" t="s">
        <v>36</v>
      </c>
      <c r="P1231" s="2">
        <v>6</v>
      </c>
    </row>
    <row r="1232" s="2" customFormat="1" spans="1:16">
      <c r="A1232" s="8"/>
      <c r="B1232" s="9" t="s">
        <v>2223</v>
      </c>
      <c r="C1232" s="10" t="s">
        <v>412</v>
      </c>
      <c r="D1232" s="11">
        <v>1</v>
      </c>
      <c r="E1232" s="12">
        <v>970</v>
      </c>
      <c r="F1232" s="13">
        <v>970</v>
      </c>
      <c r="G1232" s="2">
        <f>VLOOKUP(B1232,'PO with created By ASR'!A:C,3,FALSE)</f>
        <v>45691</v>
      </c>
      <c r="J1232" s="2" t="str">
        <f>VLOOKUP(B1232,'PO with created By ASR'!A:G,4,FALSE)</f>
        <v>Khushi Khare  -CR</v>
      </c>
      <c r="K1232" s="2" t="e">
        <f>VLOOKUP(B1232,'PO with created By ASR'!A:I,6,FALSE)</f>
        <v>#N/A</v>
      </c>
      <c r="L1232" s="2" t="str">
        <f>VLOOKUP(B1232,'PO with created By ASR'!A:J,7,FALSE)</f>
        <v>D - Delhi</v>
      </c>
      <c r="M1232" s="2" t="str">
        <f>VLOOKUP(B1232,'PO with created By ASR'!A:K,8,FALSE)</f>
        <v>Purchase Order-Del</v>
      </c>
      <c r="N1232" t="s">
        <v>36</v>
      </c>
      <c r="P1232" s="2">
        <v>6</v>
      </c>
    </row>
    <row r="1233" s="2" customFormat="1" spans="1:16">
      <c r="A1233" s="8"/>
      <c r="B1233" s="9" t="s">
        <v>2227</v>
      </c>
      <c r="C1233" s="10" t="s">
        <v>126</v>
      </c>
      <c r="D1233" s="11">
        <v>1</v>
      </c>
      <c r="E1233" s="12">
        <v>5500</v>
      </c>
      <c r="F1233" s="13">
        <v>5500</v>
      </c>
      <c r="G1233" s="2">
        <f>VLOOKUP(B1233,'PO with created By ASR'!A:C,3,FALSE)</f>
        <v>45691</v>
      </c>
      <c r="J1233" s="2" t="str">
        <f>VLOOKUP(B1233,'PO with created By ASR'!A:G,4,FALSE)</f>
        <v>Shruti Gupta  -CR</v>
      </c>
      <c r="K1233" s="2" t="e">
        <f>VLOOKUP(B1233,'PO with created By ASR'!A:I,6,FALSE)</f>
        <v>#N/A</v>
      </c>
      <c r="L1233" s="2" t="str">
        <f>VLOOKUP(B1233,'PO with created By ASR'!A:J,7,FALSE)</f>
        <v>D - Delhi</v>
      </c>
      <c r="M1233" s="2" t="str">
        <f>VLOOKUP(B1233,'PO with created By ASR'!A:K,8,FALSE)</f>
        <v>Purchase Order-Del</v>
      </c>
      <c r="N1233" t="s">
        <v>36</v>
      </c>
      <c r="P1233" s="2">
        <v>6</v>
      </c>
    </row>
    <row r="1234" s="2" customFormat="1" spans="1:16">
      <c r="A1234" s="8"/>
      <c r="B1234" s="9" t="s">
        <v>2227</v>
      </c>
      <c r="C1234" s="10" t="s">
        <v>412</v>
      </c>
      <c r="D1234" s="11">
        <v>1</v>
      </c>
      <c r="E1234" s="12">
        <v>1200</v>
      </c>
      <c r="F1234" s="13">
        <v>1200</v>
      </c>
      <c r="G1234" s="2">
        <f>VLOOKUP(B1234,'PO with created By ASR'!A:C,3,FALSE)</f>
        <v>45691</v>
      </c>
      <c r="J1234" s="2" t="str">
        <f>VLOOKUP(B1234,'PO with created By ASR'!A:G,4,FALSE)</f>
        <v>Shruti Gupta  -CR</v>
      </c>
      <c r="K1234" s="2" t="e">
        <f>VLOOKUP(B1234,'PO with created By ASR'!A:I,6,FALSE)</f>
        <v>#N/A</v>
      </c>
      <c r="L1234" s="2" t="str">
        <f>VLOOKUP(B1234,'PO with created By ASR'!A:J,7,FALSE)</f>
        <v>D - Delhi</v>
      </c>
      <c r="M1234" s="2" t="str">
        <f>VLOOKUP(B1234,'PO with created By ASR'!A:K,8,FALSE)</f>
        <v>Purchase Order-Del</v>
      </c>
      <c r="N1234" t="s">
        <v>36</v>
      </c>
      <c r="P1234" s="2">
        <v>6</v>
      </c>
    </row>
    <row r="1235" s="2" customFormat="1" spans="1:16">
      <c r="A1235" s="8"/>
      <c r="B1235" s="9" t="s">
        <v>2227</v>
      </c>
      <c r="C1235" s="10" t="s">
        <v>233</v>
      </c>
      <c r="D1235" s="11">
        <v>1</v>
      </c>
      <c r="E1235" s="12">
        <v>5000</v>
      </c>
      <c r="F1235" s="13">
        <v>5000</v>
      </c>
      <c r="G1235" s="2">
        <f>VLOOKUP(B1235,'PO with created By ASR'!A:C,3,FALSE)</f>
        <v>45691</v>
      </c>
      <c r="J1235" s="2" t="str">
        <f>VLOOKUP(B1235,'PO with created By ASR'!A:G,4,FALSE)</f>
        <v>Shruti Gupta  -CR</v>
      </c>
      <c r="K1235" s="2" t="e">
        <f>VLOOKUP(B1235,'PO with created By ASR'!A:I,6,FALSE)</f>
        <v>#N/A</v>
      </c>
      <c r="L1235" s="2" t="str">
        <f>VLOOKUP(B1235,'PO with created By ASR'!A:J,7,FALSE)</f>
        <v>D - Delhi</v>
      </c>
      <c r="M1235" s="2" t="str">
        <f>VLOOKUP(B1235,'PO with created By ASR'!A:K,8,FALSE)</f>
        <v>Purchase Order-Del</v>
      </c>
      <c r="N1235" t="s">
        <v>36</v>
      </c>
      <c r="P1235" s="2">
        <v>6</v>
      </c>
    </row>
    <row r="1236" s="2" customFormat="1" spans="1:16">
      <c r="A1236" s="8"/>
      <c r="B1236" s="9" t="s">
        <v>2229</v>
      </c>
      <c r="C1236" s="10" t="s">
        <v>126</v>
      </c>
      <c r="D1236" s="11">
        <v>1</v>
      </c>
      <c r="E1236" s="12">
        <v>5024</v>
      </c>
      <c r="F1236" s="13">
        <v>5024</v>
      </c>
      <c r="G1236" s="2">
        <f>VLOOKUP(B1236,'PO with created By ASR'!A:C,3,FALSE)</f>
        <v>45691</v>
      </c>
      <c r="J1236" s="2" t="str">
        <f>VLOOKUP(B1236,'PO with created By ASR'!A:G,4,FALSE)</f>
        <v>Sonia Thakur............ -CR</v>
      </c>
      <c r="K1236" s="2" t="e">
        <f>VLOOKUP(B1236,'PO with created By ASR'!A:I,6,FALSE)</f>
        <v>#N/A</v>
      </c>
      <c r="L1236" s="2" t="str">
        <f>VLOOKUP(B1236,'PO with created By ASR'!A:J,7,FALSE)</f>
        <v>D - Delhi</v>
      </c>
      <c r="M1236" s="2" t="str">
        <f>VLOOKUP(B1236,'PO with created By ASR'!A:K,8,FALSE)</f>
        <v>Purchase Order-Del</v>
      </c>
      <c r="N1236" t="s">
        <v>36</v>
      </c>
      <c r="P1236" s="2">
        <v>6</v>
      </c>
    </row>
    <row r="1237" s="2" customFormat="1" spans="1:16">
      <c r="A1237" s="8"/>
      <c r="B1237" s="9" t="s">
        <v>2229</v>
      </c>
      <c r="C1237" s="10" t="s">
        <v>412</v>
      </c>
      <c r="D1237" s="11">
        <v>1</v>
      </c>
      <c r="E1237" s="12">
        <v>1155</v>
      </c>
      <c r="F1237" s="13">
        <v>1155</v>
      </c>
      <c r="G1237" s="2">
        <f>VLOOKUP(B1237,'PO with created By ASR'!A:C,3,FALSE)</f>
        <v>45691</v>
      </c>
      <c r="J1237" s="2" t="str">
        <f>VLOOKUP(B1237,'PO with created By ASR'!A:G,4,FALSE)</f>
        <v>Sonia Thakur............ -CR</v>
      </c>
      <c r="K1237" s="2" t="e">
        <f>VLOOKUP(B1237,'PO with created By ASR'!A:I,6,FALSE)</f>
        <v>#N/A</v>
      </c>
      <c r="L1237" s="2" t="str">
        <f>VLOOKUP(B1237,'PO with created By ASR'!A:J,7,FALSE)</f>
        <v>D - Delhi</v>
      </c>
      <c r="M1237" s="2" t="str">
        <f>VLOOKUP(B1237,'PO with created By ASR'!A:K,8,FALSE)</f>
        <v>Purchase Order-Del</v>
      </c>
      <c r="N1237" t="s">
        <v>36</v>
      </c>
      <c r="P1237" s="2">
        <v>6</v>
      </c>
    </row>
    <row r="1238" s="2" customFormat="1" spans="1:16">
      <c r="A1238" s="8"/>
      <c r="B1238" s="9" t="s">
        <v>2229</v>
      </c>
      <c r="C1238" s="10" t="s">
        <v>233</v>
      </c>
      <c r="D1238" s="11">
        <v>1</v>
      </c>
      <c r="E1238" s="12">
        <v>3750</v>
      </c>
      <c r="F1238" s="13">
        <v>3750</v>
      </c>
      <c r="G1238" s="2">
        <f>VLOOKUP(B1238,'PO with created By ASR'!A:C,3,FALSE)</f>
        <v>45691</v>
      </c>
      <c r="J1238" s="2" t="str">
        <f>VLOOKUP(B1238,'PO with created By ASR'!A:G,4,FALSE)</f>
        <v>Sonia Thakur............ -CR</v>
      </c>
      <c r="K1238" s="2" t="e">
        <f>VLOOKUP(B1238,'PO with created By ASR'!A:I,6,FALSE)</f>
        <v>#N/A</v>
      </c>
      <c r="L1238" s="2" t="str">
        <f>VLOOKUP(B1238,'PO with created By ASR'!A:J,7,FALSE)</f>
        <v>D - Delhi</v>
      </c>
      <c r="M1238" s="2" t="str">
        <f>VLOOKUP(B1238,'PO with created By ASR'!A:K,8,FALSE)</f>
        <v>Purchase Order-Del</v>
      </c>
      <c r="N1238" t="s">
        <v>36</v>
      </c>
      <c r="P1238" s="2">
        <v>6</v>
      </c>
    </row>
    <row r="1239" s="2" customFormat="1" spans="1:16">
      <c r="A1239" s="8"/>
      <c r="B1239" s="9" t="s">
        <v>2231</v>
      </c>
      <c r="C1239" s="10" t="s">
        <v>126</v>
      </c>
      <c r="D1239" s="11">
        <v>1</v>
      </c>
      <c r="E1239" s="12">
        <v>500</v>
      </c>
      <c r="F1239" s="13">
        <v>500</v>
      </c>
      <c r="G1239" s="2">
        <f>VLOOKUP(B1239,'PO with created By ASR'!A:C,3,FALSE)</f>
        <v>45691</v>
      </c>
      <c r="J1239" s="2" t="str">
        <f>VLOOKUP(B1239,'PO with created By ASR'!A:G,4,FALSE)</f>
        <v>Subodh Kumar Singh  -CR</v>
      </c>
      <c r="K1239" s="2" t="e">
        <f>VLOOKUP(B1239,'PO with created By ASR'!A:I,6,FALSE)</f>
        <v>#N/A</v>
      </c>
      <c r="L1239" s="2" t="str">
        <f>VLOOKUP(B1239,'PO with created By ASR'!A:J,7,FALSE)</f>
        <v>D - Delhi</v>
      </c>
      <c r="M1239" s="2" t="str">
        <f>VLOOKUP(B1239,'PO with created By ASR'!A:K,8,FALSE)</f>
        <v>Purchase Order-Del</v>
      </c>
      <c r="N1239" t="s">
        <v>36</v>
      </c>
      <c r="P1239" s="2">
        <v>6</v>
      </c>
    </row>
    <row r="1240" s="2" customFormat="1" spans="1:16">
      <c r="A1240" s="8"/>
      <c r="B1240" s="9" t="s">
        <v>2232</v>
      </c>
      <c r="C1240" s="10" t="s">
        <v>126</v>
      </c>
      <c r="D1240" s="11">
        <v>1</v>
      </c>
      <c r="E1240" s="12">
        <v>8885</v>
      </c>
      <c r="F1240" s="13">
        <v>8885</v>
      </c>
      <c r="G1240" s="2">
        <f>VLOOKUP(B1240,'PO with created By ASR'!A:C,3,FALSE)</f>
        <v>45691</v>
      </c>
      <c r="J1240" s="2" t="str">
        <f>VLOOKUP(B1240,'PO with created By ASR'!A:G,4,FALSE)</f>
        <v>Rahul Mehta  -CR</v>
      </c>
      <c r="K1240" s="2" t="e">
        <f>VLOOKUP(B1240,'PO with created By ASR'!A:I,6,FALSE)</f>
        <v>#N/A</v>
      </c>
      <c r="L1240" s="2" t="str">
        <f>VLOOKUP(B1240,'PO with created By ASR'!A:J,7,FALSE)</f>
        <v>D - Delhi</v>
      </c>
      <c r="M1240" s="2" t="str">
        <f>VLOOKUP(B1240,'PO with created By ASR'!A:K,8,FALSE)</f>
        <v>Purchase Order-Del</v>
      </c>
      <c r="N1240" t="s">
        <v>36</v>
      </c>
      <c r="P1240" s="2">
        <v>6</v>
      </c>
    </row>
    <row r="1241" s="2" customFormat="1" spans="1:16">
      <c r="A1241" s="8"/>
      <c r="B1241" s="9" t="s">
        <v>2236</v>
      </c>
      <c r="C1241" s="10" t="s">
        <v>126</v>
      </c>
      <c r="D1241" s="11">
        <v>1</v>
      </c>
      <c r="E1241" s="12">
        <v>2601</v>
      </c>
      <c r="F1241" s="13">
        <v>2601</v>
      </c>
      <c r="G1241" s="2">
        <f>VLOOKUP(B1241,'PO with created By ASR'!A:C,3,FALSE)</f>
        <v>45691</v>
      </c>
      <c r="J1241" s="2" t="str">
        <f>VLOOKUP(B1241,'PO with created By ASR'!A:G,4,FALSE)</f>
        <v>Arunima Sharma  -CR</v>
      </c>
      <c r="K1241" s="2" t="e">
        <f>VLOOKUP(B1241,'PO with created By ASR'!A:I,6,FALSE)</f>
        <v>#N/A</v>
      </c>
      <c r="L1241" s="2" t="str">
        <f>VLOOKUP(B1241,'PO with created By ASR'!A:J,7,FALSE)</f>
        <v>D - Delhi</v>
      </c>
      <c r="M1241" s="2" t="str">
        <f>VLOOKUP(B1241,'PO with created By ASR'!A:K,8,FALSE)</f>
        <v>Purchase Order-Del</v>
      </c>
      <c r="N1241" t="s">
        <v>36</v>
      </c>
      <c r="P1241" s="2">
        <v>6</v>
      </c>
    </row>
    <row r="1242" s="2" customFormat="1" spans="1:16">
      <c r="A1242" s="8"/>
      <c r="B1242" s="9" t="s">
        <v>2240</v>
      </c>
      <c r="C1242" s="10" t="s">
        <v>126</v>
      </c>
      <c r="D1242" s="11">
        <v>1</v>
      </c>
      <c r="E1242" s="12">
        <v>1612</v>
      </c>
      <c r="F1242" s="13">
        <v>1612</v>
      </c>
      <c r="G1242" s="2">
        <f>VLOOKUP(B1242,'PO with created By ASR'!A:C,3,FALSE)</f>
        <v>45691</v>
      </c>
      <c r="J1242" s="2" t="str">
        <f>VLOOKUP(B1242,'PO with created By ASR'!A:G,4,FALSE)</f>
        <v>Aishwarya Sakshi  -CR</v>
      </c>
      <c r="K1242" s="2" t="e">
        <f>VLOOKUP(B1242,'PO with created By ASR'!A:I,6,FALSE)</f>
        <v>#N/A</v>
      </c>
      <c r="L1242" s="2" t="str">
        <f>VLOOKUP(B1242,'PO with created By ASR'!A:J,7,FALSE)</f>
        <v>D - Delhi</v>
      </c>
      <c r="M1242" s="2" t="str">
        <f>VLOOKUP(B1242,'PO with created By ASR'!A:K,8,FALSE)</f>
        <v>Purchase Order-Del</v>
      </c>
      <c r="N1242" t="s">
        <v>36</v>
      </c>
      <c r="P1242" s="2">
        <v>6</v>
      </c>
    </row>
    <row r="1243" s="2" customFormat="1" spans="1:16">
      <c r="A1243" s="8"/>
      <c r="B1243" s="9" t="s">
        <v>2244</v>
      </c>
      <c r="C1243" s="10" t="s">
        <v>250</v>
      </c>
      <c r="D1243" s="11">
        <v>1</v>
      </c>
      <c r="E1243" s="12">
        <v>125000</v>
      </c>
      <c r="F1243" s="13">
        <v>125000</v>
      </c>
      <c r="G1243" s="2">
        <f>VLOOKUP(B1243,'PO with created By ASR'!A:C,3,FALSE)</f>
        <v>45691</v>
      </c>
      <c r="J1243" s="2" t="str">
        <f>VLOOKUP(B1243,'PO with created By ASR'!A:G,4,FALSE)</f>
        <v>Skeleton Dance Crew-Del</v>
      </c>
      <c r="K1243" s="2" t="str">
        <f>VLOOKUP(B1243,'PO with created By ASR'!A:I,6,FALSE)</f>
        <v>10920 Skeleton Dance Crew</v>
      </c>
      <c r="L1243" s="2" t="str">
        <f>VLOOKUP(B1243,'PO with created By ASR'!A:J,7,FALSE)</f>
        <v>D - Delhi</v>
      </c>
      <c r="M1243" s="2" t="str">
        <f>VLOOKUP(B1243,'PO with created By ASR'!A:K,8,FALSE)</f>
        <v>Purchase Order-Del</v>
      </c>
      <c r="N1243" t="s">
        <v>36</v>
      </c>
      <c r="P1243" s="2">
        <v>6</v>
      </c>
    </row>
    <row r="1244" s="2" customFormat="1" spans="1:16">
      <c r="A1244" s="8"/>
      <c r="B1244" s="9" t="s">
        <v>2247</v>
      </c>
      <c r="C1244" s="10" t="s">
        <v>704</v>
      </c>
      <c r="D1244" s="11">
        <v>1</v>
      </c>
      <c r="E1244" s="12">
        <v>2320</v>
      </c>
      <c r="F1244" s="13">
        <v>2320</v>
      </c>
      <c r="G1244" s="2">
        <f>VLOOKUP(B1244,'PO with created By ASR'!A:C,3,FALSE)</f>
        <v>45691</v>
      </c>
      <c r="J1244" s="2" t="str">
        <f>VLOOKUP(B1244,'PO with created By ASR'!A:G,4,FALSE)</f>
        <v>Shree Ram Computers-Del</v>
      </c>
      <c r="K1244" s="2" t="str">
        <f>VLOOKUP(B1244,'PO with created By ASR'!A:I,6,FALSE)</f>
        <v>11132 Shree Ram Computers</v>
      </c>
      <c r="L1244" s="2" t="str">
        <f>VLOOKUP(B1244,'PO with created By ASR'!A:J,7,FALSE)</f>
        <v>D - Delhi</v>
      </c>
      <c r="M1244" s="2" t="str">
        <f>VLOOKUP(B1244,'PO with created By ASR'!A:K,8,FALSE)</f>
        <v>Purchase Order-Del</v>
      </c>
      <c r="N1244" t="s">
        <v>36</v>
      </c>
      <c r="P1244" s="2">
        <v>6</v>
      </c>
    </row>
    <row r="1245" s="2" customFormat="1" spans="1:16">
      <c r="A1245" s="8"/>
      <c r="B1245" s="9" t="s">
        <v>2249</v>
      </c>
      <c r="C1245" s="10" t="s">
        <v>151</v>
      </c>
      <c r="D1245" s="11">
        <v>1</v>
      </c>
      <c r="E1245" s="12">
        <v>291200</v>
      </c>
      <c r="F1245" s="13">
        <v>291200</v>
      </c>
      <c r="G1245" s="2">
        <f>VLOOKUP(B1245,'PO with created By ASR'!A:C,3,FALSE)</f>
        <v>45691</v>
      </c>
      <c r="J1245" s="2" t="str">
        <f>VLOOKUP(B1245,'PO with created By ASR'!A:G,4,FALSE)</f>
        <v>Zing Creations-Del</v>
      </c>
      <c r="K1245" s="2" t="str">
        <f>VLOOKUP(B1245,'PO with created By ASR'!A:I,6,FALSE)</f>
        <v>12641 Zing Creations</v>
      </c>
      <c r="L1245" s="2" t="str">
        <f>VLOOKUP(B1245,'PO with created By ASR'!A:J,7,FALSE)</f>
        <v>D - Delhi</v>
      </c>
      <c r="M1245" s="2" t="str">
        <f>VLOOKUP(B1245,'PO with created By ASR'!A:K,8,FALSE)</f>
        <v>Purchase Order-Del</v>
      </c>
      <c r="N1245" t="s">
        <v>36</v>
      </c>
      <c r="P1245" s="2">
        <v>6</v>
      </c>
    </row>
    <row r="1246" s="2" customFormat="1" spans="1:16">
      <c r="A1246" s="8"/>
      <c r="B1246" s="9" t="s">
        <v>2252</v>
      </c>
      <c r="C1246" s="10" t="s">
        <v>347</v>
      </c>
      <c r="D1246" s="11">
        <v>1</v>
      </c>
      <c r="E1246" s="12">
        <v>45833</v>
      </c>
      <c r="F1246" s="13">
        <v>45833</v>
      </c>
      <c r="G1246" s="2">
        <f>VLOOKUP(B1246,'PO with created By ASR'!A:C,3,FALSE)</f>
        <v>45691</v>
      </c>
      <c r="J1246" s="2" t="str">
        <f>VLOOKUP(B1246,'PO with created By ASR'!A:G,4,FALSE)</f>
        <v>Abhinava Ghosh-Del</v>
      </c>
      <c r="K1246" s="2" t="str">
        <f>VLOOKUP(B1246,'PO with created By ASR'!A:I,6,FALSE)</f>
        <v>10507 Abhinava Ghosh</v>
      </c>
      <c r="L1246" s="2" t="str">
        <f>VLOOKUP(B1246,'PO with created By ASR'!A:J,7,FALSE)</f>
        <v>D - Delhi</v>
      </c>
      <c r="M1246" s="2" t="str">
        <f>VLOOKUP(B1246,'PO with created By ASR'!A:K,8,FALSE)</f>
        <v>Purchase Order-Del</v>
      </c>
      <c r="N1246" t="s">
        <v>36</v>
      </c>
      <c r="P1246" s="2">
        <v>6</v>
      </c>
    </row>
    <row r="1247" s="2" customFormat="1" spans="1:16">
      <c r="A1247" s="8"/>
      <c r="B1247" s="9" t="s">
        <v>2256</v>
      </c>
      <c r="C1247" s="10" t="s">
        <v>347</v>
      </c>
      <c r="D1247" s="11">
        <v>1</v>
      </c>
      <c r="E1247" s="12">
        <v>45833</v>
      </c>
      <c r="F1247" s="13">
        <v>45833</v>
      </c>
      <c r="G1247" s="2">
        <f>VLOOKUP(B1247,'PO with created By ASR'!A:C,3,FALSE)</f>
        <v>45691</v>
      </c>
      <c r="J1247" s="2" t="str">
        <f>VLOOKUP(B1247,'PO with created By ASR'!A:G,4,FALSE)</f>
        <v>Shardul Singh-Del</v>
      </c>
      <c r="K1247" s="2" t="str">
        <f>VLOOKUP(B1247,'PO with created By ASR'!A:I,6,FALSE)</f>
        <v>10906 Shardul Singh</v>
      </c>
      <c r="L1247" s="2" t="str">
        <f>VLOOKUP(B1247,'PO with created By ASR'!A:J,7,FALSE)</f>
        <v>D - Delhi</v>
      </c>
      <c r="M1247" s="2" t="str">
        <f>VLOOKUP(B1247,'PO with created By ASR'!A:K,8,FALSE)</f>
        <v>Purchase Order-Del</v>
      </c>
      <c r="N1247" t="s">
        <v>36</v>
      </c>
      <c r="P1247" s="2">
        <v>6</v>
      </c>
    </row>
    <row r="1248" s="2" customFormat="1" spans="1:16">
      <c r="A1248" s="8"/>
      <c r="B1248" s="9" t="s">
        <v>2257</v>
      </c>
      <c r="C1248" s="10" t="s">
        <v>347</v>
      </c>
      <c r="D1248" s="11">
        <v>1</v>
      </c>
      <c r="E1248" s="12">
        <v>23000</v>
      </c>
      <c r="F1248" s="13">
        <v>23000</v>
      </c>
      <c r="G1248" s="2">
        <f>VLOOKUP(B1248,'PO with created By ASR'!A:C,3,FALSE)</f>
        <v>45691</v>
      </c>
      <c r="J1248" s="2" t="str">
        <f>VLOOKUP(B1248,'PO with created By ASR'!A:G,4,FALSE)</f>
        <v>Pankaj Lohini-Del</v>
      </c>
      <c r="K1248" s="2" t="str">
        <f>VLOOKUP(B1248,'PO with created By ASR'!A:I,6,FALSE)</f>
        <v>12876 Pankaj Lohini</v>
      </c>
      <c r="L1248" s="2" t="str">
        <f>VLOOKUP(B1248,'PO with created By ASR'!A:J,7,FALSE)</f>
        <v>D - Delhi</v>
      </c>
      <c r="M1248" s="2" t="str">
        <f>VLOOKUP(B1248,'PO with created By ASR'!A:K,8,FALSE)</f>
        <v>Purchase Order-Del</v>
      </c>
      <c r="N1248" t="s">
        <v>36</v>
      </c>
      <c r="P1248" s="2">
        <v>6</v>
      </c>
    </row>
    <row r="1249" s="2" customFormat="1" spans="1:16">
      <c r="A1249" s="8"/>
      <c r="B1249" s="9" t="s">
        <v>2258</v>
      </c>
      <c r="C1249" s="10" t="s">
        <v>347</v>
      </c>
      <c r="D1249" s="11">
        <v>1</v>
      </c>
      <c r="E1249" s="12">
        <v>23000</v>
      </c>
      <c r="F1249" s="13">
        <v>23000</v>
      </c>
      <c r="G1249" s="2">
        <f>VLOOKUP(B1249,'PO with created By ASR'!A:C,3,FALSE)</f>
        <v>45691</v>
      </c>
      <c r="J1249" s="2" t="str">
        <f>VLOOKUP(B1249,'PO with created By ASR'!A:G,4,FALSE)</f>
        <v>Harjinder Singh-Del</v>
      </c>
      <c r="K1249" s="2" t="str">
        <f>VLOOKUP(B1249,'PO with created By ASR'!A:I,6,FALSE)</f>
        <v>12702 Harjinder Singh</v>
      </c>
      <c r="L1249" s="2" t="str">
        <f>VLOOKUP(B1249,'PO with created By ASR'!A:J,7,FALSE)</f>
        <v>D - Delhi</v>
      </c>
      <c r="M1249" s="2" t="str">
        <f>VLOOKUP(B1249,'PO with created By ASR'!A:K,8,FALSE)</f>
        <v>Purchase Order-Del</v>
      </c>
      <c r="N1249" t="s">
        <v>36</v>
      </c>
      <c r="P1249" s="2">
        <v>6</v>
      </c>
    </row>
    <row r="1250" s="2" customFormat="1" spans="1:16">
      <c r="A1250" s="8"/>
      <c r="B1250" s="9" t="s">
        <v>2261</v>
      </c>
      <c r="C1250" s="10" t="s">
        <v>347</v>
      </c>
      <c r="D1250" s="11">
        <v>1</v>
      </c>
      <c r="E1250" s="12">
        <v>45000</v>
      </c>
      <c r="F1250" s="13">
        <v>45000</v>
      </c>
      <c r="G1250" s="2">
        <f>VLOOKUP(B1250,'PO with created By ASR'!A:C,3,FALSE)</f>
        <v>45691</v>
      </c>
      <c r="J1250" s="2" t="str">
        <f>VLOOKUP(B1250,'PO with created By ASR'!A:G,4,FALSE)</f>
        <v>Ajay Sharma-Del</v>
      </c>
      <c r="K1250" s="2" t="str">
        <f>VLOOKUP(B1250,'PO with created By ASR'!A:I,6,FALSE)</f>
        <v>12691 Ajay Sharma</v>
      </c>
      <c r="L1250" s="2" t="str">
        <f>VLOOKUP(B1250,'PO with created By ASR'!A:J,7,FALSE)</f>
        <v>D - Delhi</v>
      </c>
      <c r="M1250" s="2" t="str">
        <f>VLOOKUP(B1250,'PO with created By ASR'!A:K,8,FALSE)</f>
        <v>Purchase Order-Del</v>
      </c>
      <c r="N1250" t="s">
        <v>36</v>
      </c>
      <c r="P1250" s="2">
        <v>6</v>
      </c>
    </row>
    <row r="1251" s="2" customFormat="1" spans="1:16">
      <c r="A1251" s="8"/>
      <c r="B1251" s="9" t="s">
        <v>2265</v>
      </c>
      <c r="C1251" s="10" t="s">
        <v>347</v>
      </c>
      <c r="D1251" s="11">
        <v>1</v>
      </c>
      <c r="E1251" s="12">
        <v>30000</v>
      </c>
      <c r="F1251" s="13">
        <v>30000</v>
      </c>
      <c r="G1251" s="2">
        <f>VLOOKUP(B1251,'PO with created By ASR'!A:C,3,FALSE)</f>
        <v>45691</v>
      </c>
      <c r="J1251" s="2" t="str">
        <f>VLOOKUP(B1251,'PO with created By ASR'!A:G,4,FALSE)</f>
        <v>Arudhi Sharma-Del</v>
      </c>
      <c r="K1251" s="2" t="str">
        <f>VLOOKUP(B1251,'PO with created By ASR'!A:I,6,FALSE)</f>
        <v>10548 Arudhi Sharma</v>
      </c>
      <c r="L1251" s="2" t="str">
        <f>VLOOKUP(B1251,'PO with created By ASR'!A:J,7,FALSE)</f>
        <v>D - Delhi</v>
      </c>
      <c r="M1251" s="2" t="str">
        <f>VLOOKUP(B1251,'PO with created By ASR'!A:K,8,FALSE)</f>
        <v>Purchase Order-Del</v>
      </c>
      <c r="N1251" t="s">
        <v>36</v>
      </c>
      <c r="P1251" s="2">
        <v>6</v>
      </c>
    </row>
    <row r="1252" s="2" customFormat="1" spans="1:16">
      <c r="A1252" s="8"/>
      <c r="B1252" s="9" t="s">
        <v>2270</v>
      </c>
      <c r="C1252" s="10" t="s">
        <v>347</v>
      </c>
      <c r="D1252" s="11">
        <v>1</v>
      </c>
      <c r="E1252" s="12">
        <v>43333</v>
      </c>
      <c r="F1252" s="13">
        <v>43333</v>
      </c>
      <c r="G1252" s="2">
        <f>VLOOKUP(B1252,'PO with created By ASR'!A:C,3,FALSE)</f>
        <v>45691</v>
      </c>
      <c r="J1252" s="2" t="str">
        <f>VLOOKUP(B1252,'PO with created By ASR'!A:G,4,FALSE)</f>
        <v>Vijayant Singh-Del</v>
      </c>
      <c r="K1252" s="2" t="str">
        <f>VLOOKUP(B1252,'PO with created By ASR'!A:I,6,FALSE)</f>
        <v>10994 Vijayant Singh</v>
      </c>
      <c r="L1252" s="2" t="str">
        <f>VLOOKUP(B1252,'PO with created By ASR'!A:J,7,FALSE)</f>
        <v>D - Delhi</v>
      </c>
      <c r="M1252" s="2" t="str">
        <f>VLOOKUP(B1252,'PO with created By ASR'!A:K,8,FALSE)</f>
        <v>Purchase Order-Del</v>
      </c>
      <c r="N1252" t="s">
        <v>36</v>
      </c>
      <c r="P1252" s="2">
        <v>6</v>
      </c>
    </row>
    <row r="1253" s="2" customFormat="1" spans="1:16">
      <c r="A1253" s="8"/>
      <c r="B1253" s="9" t="s">
        <v>2271</v>
      </c>
      <c r="C1253" s="10" t="s">
        <v>347</v>
      </c>
      <c r="D1253" s="11">
        <v>1</v>
      </c>
      <c r="E1253" s="12">
        <v>22000</v>
      </c>
      <c r="F1253" s="13">
        <v>22000</v>
      </c>
      <c r="G1253" s="2">
        <f>VLOOKUP(B1253,'PO with created By ASR'!A:C,3,FALSE)</f>
        <v>45691</v>
      </c>
      <c r="J1253" s="2" t="str">
        <f>VLOOKUP(B1253,'PO with created By ASR'!A:G,4,FALSE)</f>
        <v>Kailash Chander Pant-Del</v>
      </c>
      <c r="K1253" s="2" t="str">
        <f>VLOOKUP(B1253,'PO with created By ASR'!A:I,6,FALSE)</f>
        <v>12703 Kailash Chander Pant</v>
      </c>
      <c r="L1253" s="2" t="str">
        <f>VLOOKUP(B1253,'PO with created By ASR'!A:J,7,FALSE)</f>
        <v>D - Delhi</v>
      </c>
      <c r="M1253" s="2" t="str">
        <f>VLOOKUP(B1253,'PO with created By ASR'!A:K,8,FALSE)</f>
        <v>Purchase Order-Del</v>
      </c>
      <c r="N1253" t="s">
        <v>36</v>
      </c>
      <c r="P1253" s="2">
        <v>6</v>
      </c>
    </row>
    <row r="1254" s="2" customFormat="1" spans="1:16">
      <c r="A1254" s="8"/>
      <c r="B1254" s="9" t="s">
        <v>2274</v>
      </c>
      <c r="C1254" s="10" t="s">
        <v>347</v>
      </c>
      <c r="D1254" s="11">
        <v>1</v>
      </c>
      <c r="E1254" s="12">
        <v>41250</v>
      </c>
      <c r="F1254" s="13">
        <v>41250</v>
      </c>
      <c r="G1254" s="2">
        <f>VLOOKUP(B1254,'PO with created By ASR'!A:C,3,FALSE)</f>
        <v>45691</v>
      </c>
      <c r="J1254" s="2" t="str">
        <f>VLOOKUP(B1254,'PO with created By ASR'!A:G,4,FALSE)</f>
        <v>Atharva Shinde-Mum</v>
      </c>
      <c r="K1254" s="2" t="str">
        <f>VLOOKUP(B1254,'PO with created By ASR'!A:I,6,FALSE)</f>
        <v>10555 Atharva Shinde</v>
      </c>
      <c r="L1254" s="2" t="str">
        <f>VLOOKUP(B1254,'PO with created By ASR'!A:J,7,FALSE)</f>
        <v>A - Mumbai</v>
      </c>
      <c r="M1254" s="2" t="str">
        <f>VLOOKUP(B1254,'PO with created By ASR'!A:K,8,FALSE)</f>
        <v>Purchase Order-Mum</v>
      </c>
      <c r="N1254" t="s">
        <v>36</v>
      </c>
      <c r="P1254" s="2">
        <v>6</v>
      </c>
    </row>
    <row r="1255" s="2" customFormat="1" spans="1:16">
      <c r="A1255" s="8"/>
      <c r="B1255" s="9" t="s">
        <v>2280</v>
      </c>
      <c r="C1255" s="10" t="s">
        <v>292</v>
      </c>
      <c r="D1255" s="11">
        <v>1</v>
      </c>
      <c r="E1255" s="12">
        <v>29600</v>
      </c>
      <c r="F1255" s="13">
        <v>29600</v>
      </c>
      <c r="G1255" s="2">
        <f>VLOOKUP(B1255,'PO with created By ASR'!A:C,3,FALSE)</f>
        <v>45691</v>
      </c>
      <c r="J1255" s="2" t="str">
        <f>VLOOKUP(B1255,'PO with created By ASR'!A:G,4,FALSE)</f>
        <v>Emblaze Events (Sunita Harihar Sharma)-Mum</v>
      </c>
      <c r="K1255" s="2" t="str">
        <f>VLOOKUP(B1255,'PO with created By ASR'!A:I,6,FALSE)</f>
        <v>11869 Emblaze Events (Sunita Harihar Sharma)</v>
      </c>
      <c r="L1255" s="2" t="str">
        <f>VLOOKUP(B1255,'PO with created By ASR'!A:J,7,FALSE)</f>
        <v>A - Mumbai</v>
      </c>
      <c r="M1255" s="2" t="str">
        <f>VLOOKUP(B1255,'PO with created By ASR'!A:K,8,FALSE)</f>
        <v>Purchase Order-Mum</v>
      </c>
      <c r="N1255" t="s">
        <v>36</v>
      </c>
      <c r="P1255" s="2">
        <v>6</v>
      </c>
    </row>
    <row r="1256" s="2" customFormat="1" spans="1:16">
      <c r="A1256" s="8"/>
      <c r="B1256" s="9" t="s">
        <v>2281</v>
      </c>
      <c r="C1256" s="10" t="s">
        <v>196</v>
      </c>
      <c r="D1256" s="11">
        <v>1</v>
      </c>
      <c r="E1256" s="12">
        <v>6321</v>
      </c>
      <c r="F1256" s="13">
        <v>6321</v>
      </c>
      <c r="G1256" s="2">
        <f>VLOOKUP(B1256,'PO with created By ASR'!A:C,3,FALSE)</f>
        <v>45691</v>
      </c>
      <c r="J1256" s="2" t="str">
        <f>VLOOKUP(B1256,'PO with created By ASR'!A:G,4,FALSE)</f>
        <v>Balaji Enterprises (Vinod Dalvi)-Mum</v>
      </c>
      <c r="K1256" s="2" t="str">
        <f>VLOOKUP(B1256,'PO with created By ASR'!A:I,6,FALSE)</f>
        <v>11712 Balaji Enterprises (Vinod Dalvi)</v>
      </c>
      <c r="L1256" s="2" t="str">
        <f>VLOOKUP(B1256,'PO with created By ASR'!A:J,7,FALSE)</f>
        <v>A - Mumbai</v>
      </c>
      <c r="M1256" s="2" t="str">
        <f>VLOOKUP(B1256,'PO with created By ASR'!A:K,8,FALSE)</f>
        <v>Purchase Order-Mum</v>
      </c>
      <c r="N1256" t="s">
        <v>36</v>
      </c>
      <c r="P1256" s="2">
        <v>6</v>
      </c>
    </row>
    <row r="1257" s="2" customFormat="1" spans="1:16">
      <c r="A1257" s="8"/>
      <c r="B1257" s="9" t="s">
        <v>2284</v>
      </c>
      <c r="C1257" s="10" t="s">
        <v>196</v>
      </c>
      <c r="D1257" s="11">
        <v>1</v>
      </c>
      <c r="E1257" s="12">
        <v>80020</v>
      </c>
      <c r="F1257" s="13">
        <v>80020</v>
      </c>
      <c r="G1257" s="2">
        <f>VLOOKUP(B1257,'PO with created By ASR'!A:C,3,FALSE)</f>
        <v>45691</v>
      </c>
      <c r="J1257" s="2" t="str">
        <f>VLOOKUP(B1257,'PO with created By ASR'!A:G,4,FALSE)</f>
        <v>Noaman Digital Partnership Firm-Mum</v>
      </c>
      <c r="K1257" s="2" t="e">
        <f>VLOOKUP(B1257,'PO with created By ASR'!A:I,6,FALSE)</f>
        <v>#N/A</v>
      </c>
      <c r="L1257" s="2" t="str">
        <f>VLOOKUP(B1257,'PO with created By ASR'!A:J,7,FALSE)</f>
        <v>A - Mumbai</v>
      </c>
      <c r="M1257" s="2" t="str">
        <f>VLOOKUP(B1257,'PO with created By ASR'!A:K,8,FALSE)</f>
        <v>Purchase Order-Mum</v>
      </c>
      <c r="N1257" t="s">
        <v>36</v>
      </c>
      <c r="P1257" s="2">
        <v>6</v>
      </c>
    </row>
    <row r="1258" s="2" customFormat="1" spans="1:16">
      <c r="A1258" s="8"/>
      <c r="B1258" s="9" t="s">
        <v>2285</v>
      </c>
      <c r="C1258" s="10" t="s">
        <v>151</v>
      </c>
      <c r="D1258" s="11">
        <v>1</v>
      </c>
      <c r="E1258" s="12">
        <v>260000</v>
      </c>
      <c r="F1258" s="13">
        <v>260000</v>
      </c>
      <c r="G1258" s="2">
        <f>VLOOKUP(B1258,'PO with created By ASR'!A:C,3,FALSE)</f>
        <v>45691</v>
      </c>
      <c r="J1258" s="2" t="str">
        <f>VLOOKUP(B1258,'PO with created By ASR'!A:G,4,FALSE)</f>
        <v>Pyramid Production-Mum</v>
      </c>
      <c r="K1258" s="2" t="str">
        <f>VLOOKUP(B1258,'PO with created By ASR'!A:I,6,FALSE)</f>
        <v>12299 Pyramid Production</v>
      </c>
      <c r="L1258" s="2" t="str">
        <f>VLOOKUP(B1258,'PO with created By ASR'!A:J,7,FALSE)</f>
        <v>A - Mumbai</v>
      </c>
      <c r="M1258" s="2" t="str">
        <f>VLOOKUP(B1258,'PO with created By ASR'!A:K,8,FALSE)</f>
        <v>Purchase Order-Mum</v>
      </c>
      <c r="N1258" t="s">
        <v>36</v>
      </c>
      <c r="P1258" s="2">
        <v>6</v>
      </c>
    </row>
    <row r="1259" s="2" customFormat="1" spans="1:16">
      <c r="A1259" s="8"/>
      <c r="B1259" s="9" t="s">
        <v>2287</v>
      </c>
      <c r="C1259" s="10" t="s">
        <v>371</v>
      </c>
      <c r="D1259" s="11">
        <v>1</v>
      </c>
      <c r="E1259" s="12">
        <v>55000</v>
      </c>
      <c r="F1259" s="13">
        <v>55000</v>
      </c>
      <c r="G1259" s="2">
        <f>VLOOKUP(B1259,'PO with created By ASR'!A:C,3,FALSE)</f>
        <v>45691</v>
      </c>
      <c r="J1259" s="2" t="str">
        <f>VLOOKUP(B1259,'PO with created By ASR'!A:G,4,FALSE)</f>
        <v>Sound.Com Pvt Ltd-Mum</v>
      </c>
      <c r="K1259" s="2" t="str">
        <f>VLOOKUP(B1259,'PO with created By ASR'!A:I,6,FALSE)</f>
        <v>12427  Sound.Com Pvt Ltd</v>
      </c>
      <c r="L1259" s="2" t="str">
        <f>VLOOKUP(B1259,'PO with created By ASR'!A:J,7,FALSE)</f>
        <v>A - Mumbai</v>
      </c>
      <c r="M1259" s="2" t="str">
        <f>VLOOKUP(B1259,'PO with created By ASR'!A:K,8,FALSE)</f>
        <v>Purchase Order-Mum</v>
      </c>
      <c r="N1259" t="s">
        <v>36</v>
      </c>
      <c r="P1259" s="2">
        <v>6</v>
      </c>
    </row>
    <row r="1260" s="2" customFormat="1" spans="1:16">
      <c r="A1260" s="8"/>
      <c r="B1260" s="9" t="s">
        <v>2288</v>
      </c>
      <c r="C1260" s="10" t="s">
        <v>371</v>
      </c>
      <c r="D1260" s="11">
        <v>1</v>
      </c>
      <c r="E1260" s="12">
        <v>6500</v>
      </c>
      <c r="F1260" s="13">
        <v>6500</v>
      </c>
      <c r="G1260" s="2">
        <f>VLOOKUP(B1260,'PO with created By ASR'!A:C,3,FALSE)</f>
        <v>45691</v>
      </c>
      <c r="J1260" s="2" t="str">
        <f>VLOOKUP(B1260,'PO with created By ASR'!A:G,4,FALSE)</f>
        <v>Oriana Communications-Mum</v>
      </c>
      <c r="K1260" s="2" t="str">
        <f>VLOOKUP(B1260,'PO with created By ASR'!A:I,6,FALSE)</f>
        <v>11121 Oriana Communications</v>
      </c>
      <c r="L1260" s="2" t="str">
        <f>VLOOKUP(B1260,'PO with created By ASR'!A:J,7,FALSE)</f>
        <v>A - Mumbai</v>
      </c>
      <c r="M1260" s="2" t="str">
        <f>VLOOKUP(B1260,'PO with created By ASR'!A:K,8,FALSE)</f>
        <v>Purchase Order-Mum</v>
      </c>
      <c r="N1260" t="s">
        <v>36</v>
      </c>
      <c r="P1260" s="2">
        <v>6</v>
      </c>
    </row>
    <row r="1261" s="2" customFormat="1" spans="1:16">
      <c r="A1261" s="8"/>
      <c r="B1261" s="9" t="s">
        <v>2289</v>
      </c>
      <c r="C1261" s="10" t="s">
        <v>371</v>
      </c>
      <c r="D1261" s="11">
        <v>1</v>
      </c>
      <c r="E1261" s="12">
        <v>125000</v>
      </c>
      <c r="F1261" s="13">
        <v>125000</v>
      </c>
      <c r="G1261" s="2">
        <f>VLOOKUP(B1261,'PO with created By ASR'!A:C,3,FALSE)</f>
        <v>45691</v>
      </c>
      <c r="J1261" s="2" t="str">
        <f>VLOOKUP(B1261,'PO with created By ASR'!A:G,4,FALSE)</f>
        <v>Videowaves-Mum</v>
      </c>
      <c r="K1261" s="2" t="e">
        <f>VLOOKUP(B1261,'PO with created By ASR'!A:I,6,FALSE)</f>
        <v>#N/A</v>
      </c>
      <c r="L1261" s="2" t="str">
        <f>VLOOKUP(B1261,'PO with created By ASR'!A:J,7,FALSE)</f>
        <v>A - Mumbai</v>
      </c>
      <c r="M1261" s="2" t="str">
        <f>VLOOKUP(B1261,'PO with created By ASR'!A:K,8,FALSE)</f>
        <v>Purchase Order-Mum</v>
      </c>
      <c r="N1261" t="s">
        <v>36</v>
      </c>
      <c r="P1261" s="2">
        <v>6</v>
      </c>
    </row>
    <row r="1262" s="2" customFormat="1" spans="1:16">
      <c r="A1262" s="8"/>
      <c r="B1262" s="9" t="s">
        <v>2290</v>
      </c>
      <c r="C1262" s="10" t="s">
        <v>371</v>
      </c>
      <c r="D1262" s="11">
        <v>1</v>
      </c>
      <c r="E1262" s="12">
        <v>45000</v>
      </c>
      <c r="F1262" s="13">
        <v>45000</v>
      </c>
      <c r="G1262" s="2">
        <f>VLOOKUP(B1262,'PO with created By ASR'!A:C,3,FALSE)</f>
        <v>45691</v>
      </c>
      <c r="J1262" s="2" t="str">
        <f>VLOOKUP(B1262,'PO with created By ASR'!A:G,4,FALSE)</f>
        <v>Shiv Shakti Enterprises-Mum</v>
      </c>
      <c r="K1262" s="2" t="str">
        <f>VLOOKUP(B1262,'PO with created By ASR'!A:I,6,FALSE)</f>
        <v>11130 Shiv Shakti Enterprises</v>
      </c>
      <c r="L1262" s="2" t="str">
        <f>VLOOKUP(B1262,'PO with created By ASR'!A:J,7,FALSE)</f>
        <v>A - Mumbai</v>
      </c>
      <c r="M1262" s="2" t="str">
        <f>VLOOKUP(B1262,'PO with created By ASR'!A:K,8,FALSE)</f>
        <v>Purchase Order-Mum</v>
      </c>
      <c r="N1262" t="s">
        <v>36</v>
      </c>
      <c r="P1262" s="2">
        <v>6</v>
      </c>
    </row>
    <row r="1263" s="2" customFormat="1" spans="1:16">
      <c r="A1263" s="8"/>
      <c r="B1263" s="9" t="s">
        <v>2291</v>
      </c>
      <c r="C1263" s="10" t="s">
        <v>401</v>
      </c>
      <c r="D1263" s="11">
        <v>1</v>
      </c>
      <c r="E1263" s="12">
        <v>7500</v>
      </c>
      <c r="F1263" s="13">
        <v>7500</v>
      </c>
      <c r="G1263" s="2">
        <f>VLOOKUP(B1263,'PO with created By ASR'!A:C,3,FALSE)</f>
        <v>45691</v>
      </c>
      <c r="J1263" s="2" t="str">
        <f>VLOOKUP(B1263,'PO with created By ASR'!A:G,4,FALSE)</f>
        <v>Shree Samarth Krupa Creation-Mum</v>
      </c>
      <c r="K1263" s="2" t="str">
        <f>VLOOKUP(B1263,'PO with created By ASR'!A:I,6,FALSE)</f>
        <v>10084 Shree Samarth Krupa Creation</v>
      </c>
      <c r="L1263" s="2" t="str">
        <f>VLOOKUP(B1263,'PO with created By ASR'!A:J,7,FALSE)</f>
        <v>A - Mumbai</v>
      </c>
      <c r="M1263" s="2" t="str">
        <f>VLOOKUP(B1263,'PO with created By ASR'!A:K,8,FALSE)</f>
        <v>Purchase Order-Mum</v>
      </c>
      <c r="N1263" t="s">
        <v>36</v>
      </c>
      <c r="P1263" s="2">
        <v>6</v>
      </c>
    </row>
    <row r="1264" s="2" customFormat="1" spans="1:16">
      <c r="A1264" s="8"/>
      <c r="B1264" s="9" t="s">
        <v>2292</v>
      </c>
      <c r="C1264" s="10" t="s">
        <v>371</v>
      </c>
      <c r="D1264" s="11">
        <v>1</v>
      </c>
      <c r="E1264" s="12">
        <v>7000</v>
      </c>
      <c r="F1264" s="13">
        <v>7000</v>
      </c>
      <c r="G1264" s="2">
        <f>VLOOKUP(B1264,'PO with created By ASR'!A:C,3,FALSE)</f>
        <v>45691</v>
      </c>
      <c r="J1264" s="2" t="str">
        <f>VLOOKUP(B1264,'PO with created By ASR'!A:G,4,FALSE)</f>
        <v>Bizzaro Event-Mum</v>
      </c>
      <c r="K1264" s="2" t="str">
        <f>VLOOKUP(B1264,'PO with created By ASR'!A:I,6,FALSE)</f>
        <v>11733 Bizzaro Event</v>
      </c>
      <c r="L1264" s="2" t="str">
        <f>VLOOKUP(B1264,'PO with created By ASR'!A:J,7,FALSE)</f>
        <v>A - Mumbai</v>
      </c>
      <c r="M1264" s="2" t="str">
        <f>VLOOKUP(B1264,'PO with created By ASR'!A:K,8,FALSE)</f>
        <v>Purchase Order-Mum</v>
      </c>
      <c r="N1264" t="s">
        <v>36</v>
      </c>
      <c r="P1264" s="2">
        <v>6</v>
      </c>
    </row>
    <row r="1265" s="2" customFormat="1" spans="1:16">
      <c r="A1265" s="8"/>
      <c r="B1265" s="9" t="s">
        <v>2293</v>
      </c>
      <c r="C1265" s="10" t="s">
        <v>990</v>
      </c>
      <c r="D1265" s="11">
        <v>1</v>
      </c>
      <c r="E1265" s="12">
        <v>2400</v>
      </c>
      <c r="F1265" s="13">
        <v>2400</v>
      </c>
      <c r="G1265" s="2">
        <f>VLOOKUP(B1265,'PO with created By ASR'!A:C,3,FALSE)</f>
        <v>45691</v>
      </c>
      <c r="J1265" s="2" t="str">
        <f>VLOOKUP(B1265,'PO with created By ASR'!A:G,4,FALSE)</f>
        <v>Shree Vision-Mum</v>
      </c>
      <c r="K1265" s="2" t="str">
        <f>VLOOKUP(B1265,'PO with created By ASR'!A:I,6,FALSE)</f>
        <v>12401 Shree Vision</v>
      </c>
      <c r="L1265" s="2" t="str">
        <f>VLOOKUP(B1265,'PO with created By ASR'!A:J,7,FALSE)</f>
        <v>A - Mumbai</v>
      </c>
      <c r="M1265" s="2" t="str">
        <f>VLOOKUP(B1265,'PO with created By ASR'!A:K,8,FALSE)</f>
        <v>Purchase Order-Mum</v>
      </c>
      <c r="N1265" t="s">
        <v>36</v>
      </c>
      <c r="P1265" s="2">
        <v>6</v>
      </c>
    </row>
    <row r="1266" s="2" customFormat="1" spans="1:16">
      <c r="A1266" s="8"/>
      <c r="B1266" s="9" t="s">
        <v>2294</v>
      </c>
      <c r="C1266" s="10" t="s">
        <v>292</v>
      </c>
      <c r="D1266" s="11">
        <v>1</v>
      </c>
      <c r="E1266" s="12">
        <v>22500</v>
      </c>
      <c r="F1266" s="13">
        <v>22500</v>
      </c>
      <c r="G1266" s="2">
        <f>VLOOKUP(B1266,'PO with created By ASR'!A:C,3,FALSE)</f>
        <v>45691</v>
      </c>
      <c r="J1266" s="2" t="str">
        <f>VLOOKUP(B1266,'PO with created By ASR'!A:G,4,FALSE)</f>
        <v>Emblaze Events (Sunita Harihar Sharma)-Mum</v>
      </c>
      <c r="K1266" s="2" t="str">
        <f>VLOOKUP(B1266,'PO with created By ASR'!A:I,6,FALSE)</f>
        <v>11869 Emblaze Events (Sunita Harihar Sharma)</v>
      </c>
      <c r="L1266" s="2" t="str">
        <f>VLOOKUP(B1266,'PO with created By ASR'!A:J,7,FALSE)</f>
        <v>A - Mumbai</v>
      </c>
      <c r="M1266" s="2" t="str">
        <f>VLOOKUP(B1266,'PO with created By ASR'!A:K,8,FALSE)</f>
        <v>Purchase Order-Mum</v>
      </c>
      <c r="N1266" t="s">
        <v>36</v>
      </c>
      <c r="P1266" s="2">
        <v>6</v>
      </c>
    </row>
    <row r="1267" s="2" customFormat="1" spans="1:16">
      <c r="A1267" s="8"/>
      <c r="B1267" s="9" t="s">
        <v>2297</v>
      </c>
      <c r="C1267" s="10" t="s">
        <v>151</v>
      </c>
      <c r="D1267" s="11">
        <v>1</v>
      </c>
      <c r="E1267" s="12">
        <v>525000</v>
      </c>
      <c r="F1267" s="13">
        <v>525000</v>
      </c>
      <c r="G1267" s="2">
        <f>VLOOKUP(B1267,'PO with created By ASR'!A:C,3,FALSE)</f>
        <v>45691</v>
      </c>
      <c r="J1267" s="2" t="str">
        <f>VLOOKUP(B1267,'PO with created By ASR'!A:G,4,FALSE)</f>
        <v>Right Angle Productions LLP-Mum</v>
      </c>
      <c r="K1267" s="2" t="str">
        <f>VLOOKUP(B1267,'PO with created By ASR'!A:I,6,FALSE)</f>
        <v>12810 Right Angle Productions LLP</v>
      </c>
      <c r="L1267" s="2" t="str">
        <f>VLOOKUP(B1267,'PO with created By ASR'!A:J,7,FALSE)</f>
        <v>A - Mumbai</v>
      </c>
      <c r="M1267" s="2" t="str">
        <f>VLOOKUP(B1267,'PO with created By ASR'!A:K,8,FALSE)</f>
        <v>Purchase Order-Mum</v>
      </c>
      <c r="N1267" t="s">
        <v>36</v>
      </c>
      <c r="P1267" s="2">
        <v>6</v>
      </c>
    </row>
    <row r="1268" s="2" customFormat="1" spans="1:16">
      <c r="A1268" s="8"/>
      <c r="B1268" s="9" t="s">
        <v>2300</v>
      </c>
      <c r="C1268" s="10" t="s">
        <v>151</v>
      </c>
      <c r="D1268" s="11">
        <v>1</v>
      </c>
      <c r="E1268" s="12">
        <v>32000</v>
      </c>
      <c r="F1268" s="13">
        <v>32000</v>
      </c>
      <c r="G1268" s="2">
        <f>VLOOKUP(B1268,'PO with created By ASR'!A:C,3,FALSE)</f>
        <v>45691</v>
      </c>
      <c r="J1268" s="2" t="str">
        <f>VLOOKUP(B1268,'PO with created By ASR'!A:G,4,FALSE)</f>
        <v>M K Interior-Mum</v>
      </c>
      <c r="K1268" s="2" t="str">
        <f>VLOOKUP(B1268,'PO with created By ASR'!A:I,6,FALSE)</f>
        <v>11041 M K Interior</v>
      </c>
      <c r="L1268" s="2" t="str">
        <f>VLOOKUP(B1268,'PO with created By ASR'!A:J,7,FALSE)</f>
        <v>A - Mumbai</v>
      </c>
      <c r="M1268" s="2" t="str">
        <f>VLOOKUP(B1268,'PO with created By ASR'!A:K,8,FALSE)</f>
        <v>Purchase Order-Mum</v>
      </c>
      <c r="N1268" t="s">
        <v>36</v>
      </c>
      <c r="P1268" s="2">
        <v>6</v>
      </c>
    </row>
    <row r="1269" s="2" customFormat="1" spans="1:16">
      <c r="A1269" s="8"/>
      <c r="B1269" s="9" t="s">
        <v>2303</v>
      </c>
      <c r="C1269" s="10" t="s">
        <v>151</v>
      </c>
      <c r="D1269" s="11">
        <v>1</v>
      </c>
      <c r="E1269" s="12">
        <v>25000</v>
      </c>
      <c r="F1269" s="13">
        <v>25000</v>
      </c>
      <c r="G1269" s="2">
        <f>VLOOKUP(B1269,'PO with created By ASR'!A:C,3,FALSE)</f>
        <v>45691</v>
      </c>
      <c r="J1269" s="2" t="str">
        <f>VLOOKUP(B1269,'PO with created By ASR'!A:G,4,FALSE)</f>
        <v>KVS Rostam Hires-Mum</v>
      </c>
      <c r="K1269" s="2" t="str">
        <f>VLOOKUP(B1269,'PO with created By ASR'!A:I,6,FALSE)</f>
        <v>12088 KVS Rostam Hires</v>
      </c>
      <c r="L1269" s="2" t="str">
        <f>VLOOKUP(B1269,'PO with created By ASR'!A:J,7,FALSE)</f>
        <v>A - Mumbai</v>
      </c>
      <c r="M1269" s="2" t="str">
        <f>VLOOKUP(B1269,'PO with created By ASR'!A:K,8,FALSE)</f>
        <v>Purchase Order-Mum</v>
      </c>
      <c r="N1269" t="s">
        <v>36</v>
      </c>
      <c r="P1269" s="2">
        <v>6</v>
      </c>
    </row>
    <row r="1270" s="2" customFormat="1" spans="1:16">
      <c r="A1270" s="8"/>
      <c r="B1270" s="9" t="s">
        <v>2306</v>
      </c>
      <c r="C1270" s="10" t="s">
        <v>683</v>
      </c>
      <c r="D1270" s="11">
        <v>1</v>
      </c>
      <c r="E1270" s="12">
        <v>6000</v>
      </c>
      <c r="F1270" s="13">
        <v>6000</v>
      </c>
      <c r="G1270" s="2">
        <f>VLOOKUP(B1270,'PO with created By ASR'!A:C,3,FALSE)</f>
        <v>45691</v>
      </c>
      <c r="J1270" s="2" t="str">
        <f>VLOOKUP(B1270,'PO with created By ASR'!A:G,4,FALSE)</f>
        <v>Sharad More-Mum</v>
      </c>
      <c r="K1270" s="2" t="str">
        <f>VLOOKUP(B1270,'PO with created By ASR'!A:I,6,FALSE)</f>
        <v>10209 Sharad More</v>
      </c>
      <c r="L1270" s="2" t="str">
        <f>VLOOKUP(B1270,'PO with created By ASR'!A:J,7,FALSE)</f>
        <v>A - Mumbai</v>
      </c>
      <c r="M1270" s="2" t="str">
        <f>VLOOKUP(B1270,'PO with created By ASR'!A:K,8,FALSE)</f>
        <v>Purchase Order-Mum</v>
      </c>
      <c r="N1270" t="s">
        <v>36</v>
      </c>
      <c r="P1270" s="2">
        <v>6</v>
      </c>
    </row>
    <row r="1271" s="2" customFormat="1" spans="1:16">
      <c r="A1271" s="8"/>
      <c r="B1271" s="9" t="s">
        <v>2309</v>
      </c>
      <c r="C1271" s="10" t="s">
        <v>1221</v>
      </c>
      <c r="D1271" s="11">
        <v>1</v>
      </c>
      <c r="E1271" s="12">
        <v>1386886</v>
      </c>
      <c r="F1271" s="13">
        <v>1386886</v>
      </c>
      <c r="G1271" s="2">
        <f>VLOOKUP(B1271,'PO with created By ASR'!A:C,3,FALSE)</f>
        <v>45691</v>
      </c>
      <c r="J1271" s="2" t="str">
        <f>VLOOKUP(B1271,'PO with created By ASR'!A:G,4,FALSE)</f>
        <v>PT Iplanner Bali Jaya-Mum</v>
      </c>
      <c r="K1271" s="2" t="str">
        <f>VLOOKUP(B1271,'PO with created By ASR'!A:I,6,FALSE)</f>
        <v>12764 PT Iplanner Bali Jaya</v>
      </c>
      <c r="L1271" s="2" t="str">
        <f>VLOOKUP(B1271,'PO with created By ASR'!A:J,7,FALSE)</f>
        <v>A - Mumbai</v>
      </c>
      <c r="M1271" s="2" t="str">
        <f>VLOOKUP(B1271,'PO with created By ASR'!A:K,8,FALSE)</f>
        <v>Purchase Order-Mum</v>
      </c>
      <c r="N1271" t="s">
        <v>36</v>
      </c>
      <c r="P1271" s="2">
        <v>6</v>
      </c>
    </row>
    <row r="1272" s="2" customFormat="1" spans="1:16">
      <c r="A1272" s="8"/>
      <c r="B1272" s="9" t="s">
        <v>2312</v>
      </c>
      <c r="C1272" s="10" t="s">
        <v>196</v>
      </c>
      <c r="D1272" s="11">
        <v>1</v>
      </c>
      <c r="E1272" s="12">
        <v>165476.75</v>
      </c>
      <c r="F1272" s="13">
        <v>165476.75</v>
      </c>
      <c r="G1272" s="2">
        <f>VLOOKUP(B1272,'PO with created By ASR'!A:C,3,FALSE)</f>
        <v>45691</v>
      </c>
      <c r="J1272" s="2" t="str">
        <f>VLOOKUP(B1272,'PO with created By ASR'!A:G,4,FALSE)</f>
        <v>Noaman Digital Partnership Firm-Mum</v>
      </c>
      <c r="K1272" s="2" t="e">
        <f>VLOOKUP(B1272,'PO with created By ASR'!A:I,6,FALSE)</f>
        <v>#N/A</v>
      </c>
      <c r="L1272" s="2" t="str">
        <f>VLOOKUP(B1272,'PO with created By ASR'!A:J,7,FALSE)</f>
        <v>A - Mumbai</v>
      </c>
      <c r="M1272" s="2" t="str">
        <f>VLOOKUP(B1272,'PO with created By ASR'!A:K,8,FALSE)</f>
        <v>Purchase Order-Mum</v>
      </c>
      <c r="N1272" t="s">
        <v>36</v>
      </c>
      <c r="P1272" s="2">
        <v>6</v>
      </c>
    </row>
    <row r="1273" s="2" customFormat="1" spans="1:16">
      <c r="A1273" s="8"/>
      <c r="B1273" s="9" t="s">
        <v>2313</v>
      </c>
      <c r="C1273" s="10" t="s">
        <v>317</v>
      </c>
      <c r="D1273" s="11">
        <v>1</v>
      </c>
      <c r="E1273" s="12">
        <v>1085000</v>
      </c>
      <c r="F1273" s="13">
        <v>1085000</v>
      </c>
      <c r="G1273" s="2">
        <f>VLOOKUP(B1273,'PO with created By ASR'!A:C,3,FALSE)</f>
        <v>45691</v>
      </c>
      <c r="J1273" s="2" t="str">
        <f>VLOOKUP(B1273,'PO with created By ASR'!A:G,4,FALSE)</f>
        <v>KG Movie-Mum</v>
      </c>
      <c r="K1273" s="2" t="str">
        <f>VLOOKUP(B1273,'PO with created By ASR'!A:I,6,FALSE)</f>
        <v>12076 KG Movie</v>
      </c>
      <c r="L1273" s="2" t="str">
        <f>VLOOKUP(B1273,'PO with created By ASR'!A:J,7,FALSE)</f>
        <v>A - Mumbai</v>
      </c>
      <c r="M1273" s="2" t="str">
        <f>VLOOKUP(B1273,'PO with created By ASR'!A:K,8,FALSE)</f>
        <v>Purchase Order-Mum</v>
      </c>
      <c r="N1273" t="s">
        <v>36</v>
      </c>
      <c r="P1273" s="2">
        <v>6</v>
      </c>
    </row>
    <row r="1274" s="2" customFormat="1" spans="1:16">
      <c r="A1274" s="8"/>
      <c r="B1274" s="9" t="s">
        <v>2314</v>
      </c>
      <c r="C1274" s="10" t="s">
        <v>317</v>
      </c>
      <c r="D1274" s="11">
        <v>1</v>
      </c>
      <c r="E1274" s="12">
        <v>889000</v>
      </c>
      <c r="F1274" s="13">
        <v>889000</v>
      </c>
      <c r="G1274" s="2">
        <f>VLOOKUP(B1274,'PO with created By ASR'!A:C,3,FALSE)</f>
        <v>45691</v>
      </c>
      <c r="J1274" s="2" t="str">
        <f>VLOOKUP(B1274,'PO with created By ASR'!A:G,4,FALSE)</f>
        <v>Sportocraft Enterprises-Mum</v>
      </c>
      <c r="K1274" s="2" t="str">
        <f>VLOOKUP(B1274,'PO with created By ASR'!A:I,6,FALSE)</f>
        <v>12437 Sportocraft Enterprises</v>
      </c>
      <c r="L1274" s="2" t="str">
        <f>VLOOKUP(B1274,'PO with created By ASR'!A:J,7,FALSE)</f>
        <v>A - Mumbai</v>
      </c>
      <c r="M1274" s="2" t="str">
        <f>VLOOKUP(B1274,'PO with created By ASR'!A:K,8,FALSE)</f>
        <v>Purchase Order-Mum</v>
      </c>
      <c r="N1274" t="s">
        <v>36</v>
      </c>
      <c r="P1274" s="2">
        <v>6</v>
      </c>
    </row>
    <row r="1275" s="2" customFormat="1" spans="1:16">
      <c r="A1275" s="8"/>
      <c r="B1275" s="9" t="s">
        <v>2315</v>
      </c>
      <c r="C1275" s="10" t="s">
        <v>196</v>
      </c>
      <c r="D1275" s="11">
        <v>1</v>
      </c>
      <c r="E1275" s="12">
        <v>27614.5</v>
      </c>
      <c r="F1275" s="13">
        <v>27614.5</v>
      </c>
      <c r="G1275" s="2">
        <f>VLOOKUP(B1275,'PO with created By ASR'!A:C,3,FALSE)</f>
        <v>45691</v>
      </c>
      <c r="J1275" s="2" t="str">
        <f>VLOOKUP(B1275,'PO with created By ASR'!A:G,4,FALSE)</f>
        <v>Noaman Digital Partnership Firm-Mum</v>
      </c>
      <c r="K1275" s="2" t="e">
        <f>VLOOKUP(B1275,'PO with created By ASR'!A:I,6,FALSE)</f>
        <v>#N/A</v>
      </c>
      <c r="L1275" s="2" t="str">
        <f>VLOOKUP(B1275,'PO with created By ASR'!A:J,7,FALSE)</f>
        <v>A - Mumbai</v>
      </c>
      <c r="M1275" s="2" t="str">
        <f>VLOOKUP(B1275,'PO with created By ASR'!A:K,8,FALSE)</f>
        <v>Purchase Order-Mum</v>
      </c>
      <c r="N1275" t="s">
        <v>36</v>
      </c>
      <c r="P1275" s="2">
        <v>6</v>
      </c>
    </row>
    <row r="1276" s="2" customFormat="1" spans="1:16">
      <c r="A1276" s="8"/>
      <c r="B1276" s="9" t="s">
        <v>2316</v>
      </c>
      <c r="C1276" s="10" t="s">
        <v>250</v>
      </c>
      <c r="D1276" s="11">
        <v>1</v>
      </c>
      <c r="E1276" s="12">
        <v>300000</v>
      </c>
      <c r="F1276" s="13">
        <v>300000</v>
      </c>
      <c r="G1276" s="2">
        <f>VLOOKUP(B1276,'PO with created By ASR'!A:C,3,FALSE)</f>
        <v>45691</v>
      </c>
      <c r="J1276" s="2" t="str">
        <f>VLOOKUP(B1276,'PO with created By ASR'!A:G,4,FALSE)</f>
        <v>RJ Anmol (Anmol Sood)-Mum</v>
      </c>
      <c r="K1276" s="2" t="str">
        <f>VLOOKUP(B1276,'PO with created By ASR'!A:I,6,FALSE)</f>
        <v>12934 RJ Anmol (Anmol Sood)</v>
      </c>
      <c r="L1276" s="2" t="str">
        <f>VLOOKUP(B1276,'PO with created By ASR'!A:J,7,FALSE)</f>
        <v>A - Mumbai</v>
      </c>
      <c r="M1276" s="2" t="str">
        <f>VLOOKUP(B1276,'PO with created By ASR'!A:K,8,FALSE)</f>
        <v>Purchase Order-Mum</v>
      </c>
      <c r="N1276" t="s">
        <v>36</v>
      </c>
      <c r="P1276" s="2">
        <v>6</v>
      </c>
    </row>
    <row r="1277" s="2" customFormat="1" spans="1:16">
      <c r="A1277" s="8"/>
      <c r="B1277" s="9" t="s">
        <v>2320</v>
      </c>
      <c r="C1277" s="10" t="s">
        <v>126</v>
      </c>
      <c r="D1277" s="11">
        <v>1</v>
      </c>
      <c r="E1277" s="12">
        <v>860</v>
      </c>
      <c r="F1277" s="13">
        <v>860</v>
      </c>
      <c r="G1277" s="2">
        <f>VLOOKUP(B1277,'PO with created By ASR'!A:C,3,FALSE)</f>
        <v>45691</v>
      </c>
      <c r="J1277" s="2" t="str">
        <f>VLOOKUP(B1277,'PO with created By ASR'!A:G,4,FALSE)</f>
        <v>Krisha Chheda  -CR</v>
      </c>
      <c r="K1277" s="2" t="e">
        <f>VLOOKUP(B1277,'PO with created By ASR'!A:I,6,FALSE)</f>
        <v>#N/A</v>
      </c>
      <c r="L1277" s="2" t="str">
        <f>VLOOKUP(B1277,'PO with created By ASR'!A:J,7,FALSE)</f>
        <v>A - Mumbai</v>
      </c>
      <c r="M1277" s="2" t="str">
        <f>VLOOKUP(B1277,'PO with created By ASR'!A:K,8,FALSE)</f>
        <v>Purchase Order-Mum</v>
      </c>
      <c r="N1277" t="s">
        <v>36</v>
      </c>
      <c r="P1277" s="2">
        <v>6</v>
      </c>
    </row>
    <row r="1278" s="2" customFormat="1" spans="1:16">
      <c r="A1278" s="8"/>
      <c r="B1278" s="9" t="s">
        <v>2320</v>
      </c>
      <c r="C1278" s="10" t="s">
        <v>412</v>
      </c>
      <c r="D1278" s="11">
        <v>1</v>
      </c>
      <c r="E1278" s="12">
        <v>313</v>
      </c>
      <c r="F1278" s="13">
        <v>313</v>
      </c>
      <c r="G1278" s="2">
        <f>VLOOKUP(B1278,'PO with created By ASR'!A:C,3,FALSE)</f>
        <v>45691</v>
      </c>
      <c r="J1278" s="2" t="str">
        <f>VLOOKUP(B1278,'PO with created By ASR'!A:G,4,FALSE)</f>
        <v>Krisha Chheda  -CR</v>
      </c>
      <c r="K1278" s="2" t="e">
        <f>VLOOKUP(B1278,'PO with created By ASR'!A:I,6,FALSE)</f>
        <v>#N/A</v>
      </c>
      <c r="L1278" s="2" t="str">
        <f>VLOOKUP(B1278,'PO with created By ASR'!A:J,7,FALSE)</f>
        <v>A - Mumbai</v>
      </c>
      <c r="M1278" s="2" t="str">
        <f>VLOOKUP(B1278,'PO with created By ASR'!A:K,8,FALSE)</f>
        <v>Purchase Order-Mum</v>
      </c>
      <c r="N1278" t="s">
        <v>36</v>
      </c>
      <c r="P1278" s="2">
        <v>6</v>
      </c>
    </row>
    <row r="1279" s="2" customFormat="1" spans="1:16">
      <c r="A1279" s="8"/>
      <c r="B1279" s="9" t="s">
        <v>2322</v>
      </c>
      <c r="C1279" s="10" t="s">
        <v>371</v>
      </c>
      <c r="D1279" s="11">
        <v>1</v>
      </c>
      <c r="E1279" s="12">
        <v>122300</v>
      </c>
      <c r="F1279" s="13">
        <v>122300</v>
      </c>
      <c r="G1279" s="2">
        <f>VLOOKUP(B1279,'PO with created By ASR'!A:C,3,FALSE)</f>
        <v>45691</v>
      </c>
      <c r="J1279" s="2" t="str">
        <f>VLOOKUP(B1279,'PO with created By ASR'!A:G,4,FALSE)</f>
        <v>Third Wave Services Pvt Ltd-Mum</v>
      </c>
      <c r="K1279" s="2" t="str">
        <f>VLOOKUP(B1279,'PO with created By ASR'!A:I,6,FALSE)</f>
        <v>12539  Third Wave Services Pvt Ltd</v>
      </c>
      <c r="L1279" s="2" t="str">
        <f>VLOOKUP(B1279,'PO with created By ASR'!A:J,7,FALSE)</f>
        <v>A - Mumbai</v>
      </c>
      <c r="M1279" s="2" t="str">
        <f>VLOOKUP(B1279,'PO with created By ASR'!A:K,8,FALSE)</f>
        <v>Purchase Order-Mum</v>
      </c>
      <c r="N1279" t="s">
        <v>36</v>
      </c>
      <c r="P1279" s="2">
        <v>6</v>
      </c>
    </row>
    <row r="1280" s="2" customFormat="1" spans="1:16">
      <c r="A1280" s="8"/>
      <c r="B1280" s="9" t="s">
        <v>2325</v>
      </c>
      <c r="C1280" s="10" t="s">
        <v>126</v>
      </c>
      <c r="D1280" s="11">
        <v>1</v>
      </c>
      <c r="E1280" s="12">
        <v>5456</v>
      </c>
      <c r="F1280" s="13">
        <v>5456</v>
      </c>
      <c r="G1280" s="2">
        <f>VLOOKUP(B1280,'PO with created By ASR'!A:C,3,FALSE)</f>
        <v>45691</v>
      </c>
      <c r="J1280" s="2" t="str">
        <f>VLOOKUP(B1280,'PO with created By ASR'!A:G,4,FALSE)</f>
        <v>PARESH SURVE ADV FOR EXPENCES-CR</v>
      </c>
      <c r="K1280" s="2" t="e">
        <f>VLOOKUP(B1280,'PO with created By ASR'!A:I,6,FALSE)</f>
        <v>#N/A</v>
      </c>
      <c r="L1280" s="2" t="str">
        <f>VLOOKUP(B1280,'PO with created By ASR'!A:J,7,FALSE)</f>
        <v>A - Mumbai</v>
      </c>
      <c r="M1280" s="2" t="str">
        <f>VLOOKUP(B1280,'PO with created By ASR'!A:K,8,FALSE)</f>
        <v>Purchase Order-Mum</v>
      </c>
      <c r="N1280" t="s">
        <v>36</v>
      </c>
      <c r="P1280" s="2">
        <v>6</v>
      </c>
    </row>
    <row r="1281" s="2" customFormat="1" spans="1:16">
      <c r="A1281" s="8"/>
      <c r="B1281" s="9" t="s">
        <v>2325</v>
      </c>
      <c r="C1281" s="10" t="s">
        <v>412</v>
      </c>
      <c r="D1281" s="11">
        <v>1</v>
      </c>
      <c r="E1281" s="12">
        <v>4435.16</v>
      </c>
      <c r="F1281" s="13">
        <v>4435.16</v>
      </c>
      <c r="G1281" s="2">
        <f>VLOOKUP(B1281,'PO with created By ASR'!A:C,3,FALSE)</f>
        <v>45691</v>
      </c>
      <c r="J1281" s="2" t="str">
        <f>VLOOKUP(B1281,'PO with created By ASR'!A:G,4,FALSE)</f>
        <v>PARESH SURVE ADV FOR EXPENCES-CR</v>
      </c>
      <c r="K1281" s="2" t="e">
        <f>VLOOKUP(B1281,'PO with created By ASR'!A:I,6,FALSE)</f>
        <v>#N/A</v>
      </c>
      <c r="L1281" s="2" t="str">
        <f>VLOOKUP(B1281,'PO with created By ASR'!A:J,7,FALSE)</f>
        <v>A - Mumbai</v>
      </c>
      <c r="M1281" s="2" t="str">
        <f>VLOOKUP(B1281,'PO with created By ASR'!A:K,8,FALSE)</f>
        <v>Purchase Order-Mum</v>
      </c>
      <c r="N1281" t="s">
        <v>36</v>
      </c>
      <c r="P1281" s="2">
        <v>6</v>
      </c>
    </row>
    <row r="1282" s="2" customFormat="1" spans="1:16">
      <c r="A1282" s="8"/>
      <c r="B1282" s="9" t="s">
        <v>2325</v>
      </c>
      <c r="C1282" s="10" t="s">
        <v>317</v>
      </c>
      <c r="D1282" s="11">
        <v>1</v>
      </c>
      <c r="E1282" s="12">
        <v>770</v>
      </c>
      <c r="F1282" s="13">
        <v>770</v>
      </c>
      <c r="G1282" s="2">
        <f>VLOOKUP(B1282,'PO with created By ASR'!A:C,3,FALSE)</f>
        <v>45691</v>
      </c>
      <c r="J1282" s="2" t="str">
        <f>VLOOKUP(B1282,'PO with created By ASR'!A:G,4,FALSE)</f>
        <v>PARESH SURVE ADV FOR EXPENCES-CR</v>
      </c>
      <c r="K1282" s="2" t="e">
        <f>VLOOKUP(B1282,'PO with created By ASR'!A:I,6,FALSE)</f>
        <v>#N/A</v>
      </c>
      <c r="L1282" s="2" t="str">
        <f>VLOOKUP(B1282,'PO with created By ASR'!A:J,7,FALSE)</f>
        <v>A - Mumbai</v>
      </c>
      <c r="M1282" s="2" t="str">
        <f>VLOOKUP(B1282,'PO with created By ASR'!A:K,8,FALSE)</f>
        <v>Purchase Order-Mum</v>
      </c>
      <c r="N1282" t="s">
        <v>36</v>
      </c>
      <c r="P1282" s="2">
        <v>6</v>
      </c>
    </row>
    <row r="1283" s="2" customFormat="1" spans="1:16">
      <c r="A1283" s="8"/>
      <c r="B1283" s="9" t="s">
        <v>2326</v>
      </c>
      <c r="C1283" s="10" t="s">
        <v>126</v>
      </c>
      <c r="D1283" s="11">
        <v>1</v>
      </c>
      <c r="E1283" s="12">
        <v>1110</v>
      </c>
      <c r="F1283" s="13">
        <v>1110</v>
      </c>
      <c r="G1283" s="2">
        <f>VLOOKUP(B1283,'PO with created By ASR'!A:C,3,FALSE)</f>
        <v>45691</v>
      </c>
      <c r="J1283" s="2" t="str">
        <f>VLOOKUP(B1283,'PO with created By ASR'!A:G,4,FALSE)</f>
        <v>Mohammad Danish  -CR</v>
      </c>
      <c r="K1283" s="2" t="str">
        <f>VLOOKUP(B1283,'PO with created By ASR'!A:I,6,FALSE)</f>
        <v>10757 Mohammad Danish</v>
      </c>
      <c r="L1283" s="2" t="str">
        <f>VLOOKUP(B1283,'PO with created By ASR'!A:J,7,FALSE)</f>
        <v>A - Mumbai</v>
      </c>
      <c r="M1283" s="2" t="str">
        <f>VLOOKUP(B1283,'PO with created By ASR'!A:K,8,FALSE)</f>
        <v>Purchase Order-Mum</v>
      </c>
      <c r="N1283" t="s">
        <v>36</v>
      </c>
      <c r="P1283" s="2">
        <v>6</v>
      </c>
    </row>
    <row r="1284" s="2" customFormat="1" spans="1:16">
      <c r="A1284" s="8"/>
      <c r="B1284" s="9" t="s">
        <v>2326</v>
      </c>
      <c r="C1284" s="10" t="s">
        <v>412</v>
      </c>
      <c r="D1284" s="11">
        <v>1</v>
      </c>
      <c r="E1284" s="12">
        <v>348</v>
      </c>
      <c r="F1284" s="13">
        <v>348</v>
      </c>
      <c r="G1284" s="2">
        <f>VLOOKUP(B1284,'PO with created By ASR'!A:C,3,FALSE)</f>
        <v>45691</v>
      </c>
      <c r="J1284" s="2" t="str">
        <f>VLOOKUP(B1284,'PO with created By ASR'!A:G,4,FALSE)</f>
        <v>Mohammad Danish  -CR</v>
      </c>
      <c r="K1284" s="2" t="str">
        <f>VLOOKUP(B1284,'PO with created By ASR'!A:I,6,FALSE)</f>
        <v>10757 Mohammad Danish</v>
      </c>
      <c r="L1284" s="2" t="str">
        <f>VLOOKUP(B1284,'PO with created By ASR'!A:J,7,FALSE)</f>
        <v>A - Mumbai</v>
      </c>
      <c r="M1284" s="2" t="str">
        <f>VLOOKUP(B1284,'PO with created By ASR'!A:K,8,FALSE)</f>
        <v>Purchase Order-Mum</v>
      </c>
      <c r="N1284" t="s">
        <v>36</v>
      </c>
      <c r="P1284" s="2">
        <v>6</v>
      </c>
    </row>
    <row r="1285" s="2" customFormat="1" spans="1:16">
      <c r="A1285" s="8"/>
      <c r="B1285" s="9" t="s">
        <v>2327</v>
      </c>
      <c r="C1285" s="10" t="s">
        <v>126</v>
      </c>
      <c r="D1285" s="11">
        <v>1</v>
      </c>
      <c r="E1285" s="12">
        <v>472</v>
      </c>
      <c r="F1285" s="13">
        <v>472</v>
      </c>
      <c r="G1285" s="2">
        <f>VLOOKUP(B1285,'PO with created By ASR'!A:C,3,FALSE)</f>
        <v>45691</v>
      </c>
      <c r="J1285" s="2" t="str">
        <f>VLOOKUP(B1285,'PO with created By ASR'!A:G,4,FALSE)</f>
        <v>Chetan Handa  -CR</v>
      </c>
      <c r="K1285" s="2" t="e">
        <f>VLOOKUP(B1285,'PO with created By ASR'!A:I,6,FALSE)</f>
        <v>#N/A</v>
      </c>
      <c r="L1285" s="2" t="str">
        <f>VLOOKUP(B1285,'PO with created By ASR'!A:J,7,FALSE)</f>
        <v>A - Mumbai</v>
      </c>
      <c r="M1285" s="2" t="str">
        <f>VLOOKUP(B1285,'PO with created By ASR'!A:K,8,FALSE)</f>
        <v>Purchase Order-Mum</v>
      </c>
      <c r="N1285" t="s">
        <v>36</v>
      </c>
      <c r="P1285" s="2">
        <v>6</v>
      </c>
    </row>
    <row r="1286" s="2" customFormat="1" spans="1:16">
      <c r="A1286" s="8"/>
      <c r="B1286" s="9" t="s">
        <v>2327</v>
      </c>
      <c r="C1286" s="10" t="s">
        <v>412</v>
      </c>
      <c r="D1286" s="11">
        <v>1</v>
      </c>
      <c r="E1286" s="12">
        <v>1130</v>
      </c>
      <c r="F1286" s="13">
        <v>1130</v>
      </c>
      <c r="G1286" s="2">
        <f>VLOOKUP(B1286,'PO with created By ASR'!A:C,3,FALSE)</f>
        <v>45691</v>
      </c>
      <c r="J1286" s="2" t="str">
        <f>VLOOKUP(B1286,'PO with created By ASR'!A:G,4,FALSE)</f>
        <v>Chetan Handa  -CR</v>
      </c>
      <c r="K1286" s="2" t="e">
        <f>VLOOKUP(B1286,'PO with created By ASR'!A:I,6,FALSE)</f>
        <v>#N/A</v>
      </c>
      <c r="L1286" s="2" t="str">
        <f>VLOOKUP(B1286,'PO with created By ASR'!A:J,7,FALSE)</f>
        <v>A - Mumbai</v>
      </c>
      <c r="M1286" s="2" t="str">
        <f>VLOOKUP(B1286,'PO with created By ASR'!A:K,8,FALSE)</f>
        <v>Purchase Order-Mum</v>
      </c>
      <c r="N1286" t="s">
        <v>36</v>
      </c>
      <c r="P1286" s="2">
        <v>6</v>
      </c>
    </row>
    <row r="1287" s="2" customFormat="1" spans="1:16">
      <c r="A1287" s="8"/>
      <c r="B1287" s="9" t="s">
        <v>2328</v>
      </c>
      <c r="C1287" s="10" t="s">
        <v>126</v>
      </c>
      <c r="D1287" s="11">
        <v>1</v>
      </c>
      <c r="E1287" s="12">
        <v>1593</v>
      </c>
      <c r="F1287" s="13">
        <v>1593</v>
      </c>
      <c r="G1287" s="2">
        <f>VLOOKUP(B1287,'PO with created By ASR'!A:C,3,FALSE)</f>
        <v>45691</v>
      </c>
      <c r="J1287" s="2" t="str">
        <f>VLOOKUP(B1287,'PO with created By ASR'!A:G,4,FALSE)</f>
        <v>Aalhad Bavkar  -CR</v>
      </c>
      <c r="K1287" s="2" t="e">
        <f>VLOOKUP(B1287,'PO with created By ASR'!A:I,6,FALSE)</f>
        <v>#N/A</v>
      </c>
      <c r="L1287" s="2" t="str">
        <f>VLOOKUP(B1287,'PO with created By ASR'!A:J,7,FALSE)</f>
        <v>A - Mumbai</v>
      </c>
      <c r="M1287" s="2" t="str">
        <f>VLOOKUP(B1287,'PO with created By ASR'!A:K,8,FALSE)</f>
        <v>Purchase Order-Mum</v>
      </c>
      <c r="N1287" t="s">
        <v>36</v>
      </c>
      <c r="P1287" s="2">
        <v>6</v>
      </c>
    </row>
    <row r="1288" s="2" customFormat="1" spans="1:16">
      <c r="A1288" s="8"/>
      <c r="B1288" s="9" t="s">
        <v>2328</v>
      </c>
      <c r="C1288" s="10" t="s">
        <v>412</v>
      </c>
      <c r="D1288" s="11">
        <v>1</v>
      </c>
      <c r="E1288" s="12">
        <v>1349</v>
      </c>
      <c r="F1288" s="13">
        <v>1349</v>
      </c>
      <c r="G1288" s="2">
        <f>VLOOKUP(B1288,'PO with created By ASR'!A:C,3,FALSE)</f>
        <v>45691</v>
      </c>
      <c r="J1288" s="2" t="str">
        <f>VLOOKUP(B1288,'PO with created By ASR'!A:G,4,FALSE)</f>
        <v>Aalhad Bavkar  -CR</v>
      </c>
      <c r="K1288" s="2" t="e">
        <f>VLOOKUP(B1288,'PO with created By ASR'!A:I,6,FALSE)</f>
        <v>#N/A</v>
      </c>
      <c r="L1288" s="2" t="str">
        <f>VLOOKUP(B1288,'PO with created By ASR'!A:J,7,FALSE)</f>
        <v>A - Mumbai</v>
      </c>
      <c r="M1288" s="2" t="str">
        <f>VLOOKUP(B1288,'PO with created By ASR'!A:K,8,FALSE)</f>
        <v>Purchase Order-Mum</v>
      </c>
      <c r="N1288" t="s">
        <v>36</v>
      </c>
      <c r="P1288" s="2">
        <v>6</v>
      </c>
    </row>
    <row r="1289" s="2" customFormat="1" spans="1:16">
      <c r="A1289" s="8"/>
      <c r="B1289" s="9" t="s">
        <v>2330</v>
      </c>
      <c r="C1289" s="10" t="s">
        <v>276</v>
      </c>
      <c r="D1289" s="11">
        <v>1</v>
      </c>
      <c r="E1289" s="12">
        <v>1084500</v>
      </c>
      <c r="F1289" s="13">
        <v>1084500</v>
      </c>
      <c r="G1289" s="2">
        <f>VLOOKUP(B1289,'PO with created By ASR'!A:C,3,FALSE)</f>
        <v>45691</v>
      </c>
      <c r="J1289" s="2" t="str">
        <f>VLOOKUP(B1289,'PO with created By ASR'!A:G,4,FALSE)</f>
        <v>Foodies Hospitality LLP-Mum</v>
      </c>
      <c r="K1289" s="2" t="str">
        <f>VLOOKUP(B1289,'PO with created By ASR'!A:I,6,FALSE)</f>
        <v>11927 Foodies Hospitality LLP</v>
      </c>
      <c r="L1289" s="2" t="str">
        <f>VLOOKUP(B1289,'PO with created By ASR'!A:J,7,FALSE)</f>
        <v>A - Mumbai</v>
      </c>
      <c r="M1289" s="2" t="str">
        <f>VLOOKUP(B1289,'PO with created By ASR'!A:K,8,FALSE)</f>
        <v>Purchase Order-Mum</v>
      </c>
      <c r="N1289" t="s">
        <v>36</v>
      </c>
      <c r="P1289" s="2">
        <v>6</v>
      </c>
    </row>
    <row r="1290" s="2" customFormat="1" spans="1:16">
      <c r="A1290" s="8"/>
      <c r="B1290" s="9" t="s">
        <v>2330</v>
      </c>
      <c r="C1290" s="10" t="s">
        <v>676</v>
      </c>
      <c r="D1290" s="11">
        <v>1</v>
      </c>
      <c r="E1290" s="12">
        <v>27112.5</v>
      </c>
      <c r="F1290" s="13">
        <v>27112.5</v>
      </c>
      <c r="G1290" s="2">
        <f>VLOOKUP(B1290,'PO with created By ASR'!A:C,3,FALSE)</f>
        <v>45691</v>
      </c>
      <c r="J1290" s="2" t="str">
        <f>VLOOKUP(B1290,'PO with created By ASR'!A:G,4,FALSE)</f>
        <v>Foodies Hospitality LLP-Mum</v>
      </c>
      <c r="K1290" s="2" t="str">
        <f>VLOOKUP(B1290,'PO with created By ASR'!A:I,6,FALSE)</f>
        <v>11927 Foodies Hospitality LLP</v>
      </c>
      <c r="L1290" s="2" t="str">
        <f>VLOOKUP(B1290,'PO with created By ASR'!A:J,7,FALSE)</f>
        <v>A - Mumbai</v>
      </c>
      <c r="M1290" s="2" t="str">
        <f>VLOOKUP(B1290,'PO with created By ASR'!A:K,8,FALSE)</f>
        <v>Purchase Order-Mum</v>
      </c>
      <c r="N1290" t="s">
        <v>36</v>
      </c>
      <c r="P1290" s="2">
        <v>6</v>
      </c>
    </row>
    <row r="1291" s="2" customFormat="1" spans="1:16">
      <c r="A1291" s="8"/>
      <c r="B1291" s="9" t="s">
        <v>2330</v>
      </c>
      <c r="C1291" s="10" t="s">
        <v>4365</v>
      </c>
      <c r="D1291" s="11">
        <v>1</v>
      </c>
      <c r="E1291" s="12">
        <v>27112.5</v>
      </c>
      <c r="F1291" s="13">
        <v>27112.5</v>
      </c>
      <c r="G1291" s="2">
        <f>VLOOKUP(B1291,'PO with created By ASR'!A:C,3,FALSE)</f>
        <v>45691</v>
      </c>
      <c r="J1291" s="2" t="str">
        <f>VLOOKUP(B1291,'PO with created By ASR'!A:G,4,FALSE)</f>
        <v>Foodies Hospitality LLP-Mum</v>
      </c>
      <c r="K1291" s="2" t="str">
        <f>VLOOKUP(B1291,'PO with created By ASR'!A:I,6,FALSE)</f>
        <v>11927 Foodies Hospitality LLP</v>
      </c>
      <c r="L1291" s="2" t="str">
        <f>VLOOKUP(B1291,'PO with created By ASR'!A:J,7,FALSE)</f>
        <v>A - Mumbai</v>
      </c>
      <c r="M1291" s="2" t="str">
        <f>VLOOKUP(B1291,'PO with created By ASR'!A:K,8,FALSE)</f>
        <v>Purchase Order-Mum</v>
      </c>
      <c r="N1291" t="s">
        <v>36</v>
      </c>
      <c r="P1291" s="2">
        <v>6</v>
      </c>
    </row>
    <row r="1292" s="2" customFormat="1" spans="1:16">
      <c r="A1292" s="8"/>
      <c r="B1292" s="9" t="s">
        <v>2333</v>
      </c>
      <c r="C1292" s="10" t="s">
        <v>140</v>
      </c>
      <c r="D1292" s="11">
        <v>1</v>
      </c>
      <c r="E1292" s="12">
        <v>1899.81</v>
      </c>
      <c r="F1292" s="13">
        <v>1899.81</v>
      </c>
      <c r="G1292" s="2">
        <f>VLOOKUP(B1292,'PO with created By ASR'!A:C,3,FALSE)</f>
        <v>45691</v>
      </c>
      <c r="J1292" s="2" t="str">
        <f>VLOOKUP(B1292,'PO with created By ASR'!A:G,4,FALSE)</f>
        <v>Rajhans Retail Services (Amazon)-Mum</v>
      </c>
      <c r="K1292" s="2" t="str">
        <f>VLOOKUP(B1292,'PO with created By ASR'!A:I,6,FALSE)</f>
        <v>12949 Rajhans Retail Services (Amazon)</v>
      </c>
      <c r="L1292" s="2" t="str">
        <f>VLOOKUP(B1292,'PO with created By ASR'!A:J,7,FALSE)</f>
        <v>A - Mumbai</v>
      </c>
      <c r="M1292" s="2" t="str">
        <f>VLOOKUP(B1292,'PO with created By ASR'!A:K,8,FALSE)</f>
        <v>Purchase Order-Mum</v>
      </c>
      <c r="N1292" t="s">
        <v>36</v>
      </c>
      <c r="P1292" s="2">
        <v>6</v>
      </c>
    </row>
    <row r="1293" s="2" customFormat="1" spans="1:16">
      <c r="A1293" s="8"/>
      <c r="B1293" s="9" t="s">
        <v>2337</v>
      </c>
      <c r="C1293" s="10" t="s">
        <v>317</v>
      </c>
      <c r="D1293" s="11">
        <v>1</v>
      </c>
      <c r="E1293" s="12">
        <v>150000</v>
      </c>
      <c r="F1293" s="13">
        <v>150000</v>
      </c>
      <c r="G1293" s="2">
        <f>VLOOKUP(B1293,'PO with created By ASR'!A:C,3,FALSE)</f>
        <v>45692</v>
      </c>
      <c r="J1293" s="2" t="str">
        <f>VLOOKUP(B1293,'PO with created By ASR'!A:G,4,FALSE)</f>
        <v>Blue Gem Entertainment and Events-Blr</v>
      </c>
      <c r="K1293" s="2" t="str">
        <f>VLOOKUP(B1293,'PO with created By ASR'!A:I,6,FALSE)</f>
        <v>11737 Blue Gem Entertainment and Events</v>
      </c>
      <c r="L1293" s="2" t="str">
        <f>VLOOKUP(B1293,'PO with created By ASR'!A:J,7,FALSE)</f>
        <v>B - Bangalore</v>
      </c>
      <c r="M1293" s="2" t="str">
        <f>VLOOKUP(B1293,'PO with created By ASR'!A:K,8,FALSE)</f>
        <v>Purchase Order-Blr</v>
      </c>
      <c r="N1293" t="s">
        <v>36</v>
      </c>
      <c r="P1293" s="2">
        <v>6</v>
      </c>
    </row>
    <row r="1294" s="2" customFormat="1" spans="1:16">
      <c r="A1294" s="8"/>
      <c r="B1294" s="9" t="s">
        <v>2339</v>
      </c>
      <c r="C1294" s="10" t="s">
        <v>61</v>
      </c>
      <c r="D1294" s="11">
        <v>1</v>
      </c>
      <c r="E1294" s="12">
        <v>10000</v>
      </c>
      <c r="F1294" s="13">
        <v>10000</v>
      </c>
      <c r="G1294" s="2">
        <f>VLOOKUP(B1294,'PO with created By ASR'!A:C,3,FALSE)</f>
        <v>45692</v>
      </c>
      <c r="J1294" s="2" t="str">
        <f>VLOOKUP(B1294,'PO with created By ASR'!A:G,4,FALSE)</f>
        <v>Taj Yeshwantpur,Bengaluru (The Indian Hotels Co Ltd)-Blr</v>
      </c>
      <c r="K1294" s="2" t="str">
        <f>VLOOKUP(B1294,'PO with created By ASR'!A:I,6,FALSE)</f>
        <v>12922  Taj Yeshwantpur,Bengaluru (The Indian Hotels Co Ltd)</v>
      </c>
      <c r="L1294" s="2" t="str">
        <f>VLOOKUP(B1294,'PO with created By ASR'!A:J,7,FALSE)</f>
        <v>B - Bangalore</v>
      </c>
      <c r="M1294" s="2" t="str">
        <f>VLOOKUP(B1294,'PO with created By ASR'!A:K,8,FALSE)</f>
        <v>Purchase Order-Blr</v>
      </c>
      <c r="N1294" t="s">
        <v>36</v>
      </c>
      <c r="P1294" s="2">
        <v>6</v>
      </c>
    </row>
    <row r="1295" s="2" customFormat="1" spans="1:16">
      <c r="A1295" s="8"/>
      <c r="B1295" s="9" t="s">
        <v>2344</v>
      </c>
      <c r="C1295" s="10" t="s">
        <v>151</v>
      </c>
      <c r="D1295" s="11">
        <v>1</v>
      </c>
      <c r="E1295" s="12">
        <v>253420</v>
      </c>
      <c r="F1295" s="13">
        <v>253420</v>
      </c>
      <c r="G1295" s="2">
        <f>VLOOKUP(B1295,'PO with created By ASR'!A:C,3,FALSE)</f>
        <v>45692</v>
      </c>
      <c r="J1295" s="2" t="str">
        <f>VLOOKUP(B1295,'PO with created By ASR'!A:G,4,FALSE)</f>
        <v>Square Feet Productions-Che</v>
      </c>
      <c r="K1295" s="2" t="str">
        <f>VLOOKUP(B1295,'PO with created By ASR'!A:I,6,FALSE)</f>
        <v>11054 Square Feet Productions</v>
      </c>
      <c r="L1295" s="2" t="str">
        <f>VLOOKUP(B1295,'PO with created By ASR'!A:J,7,FALSE)</f>
        <v>C - Chennai</v>
      </c>
      <c r="M1295" s="2" t="str">
        <f>VLOOKUP(B1295,'PO with created By ASR'!A:K,8,FALSE)</f>
        <v>Purchase Order-Che</v>
      </c>
      <c r="N1295" t="s">
        <v>36</v>
      </c>
      <c r="P1295" s="2">
        <v>6</v>
      </c>
    </row>
    <row r="1296" s="2" customFormat="1" spans="1:16">
      <c r="A1296" s="8"/>
      <c r="B1296" s="9" t="s">
        <v>2346</v>
      </c>
      <c r="C1296" s="10" t="s">
        <v>250</v>
      </c>
      <c r="D1296" s="11">
        <v>1</v>
      </c>
      <c r="E1296" s="12">
        <v>15000</v>
      </c>
      <c r="F1296" s="13">
        <v>15000</v>
      </c>
      <c r="G1296" s="2">
        <f>VLOOKUP(B1296,'PO with created By ASR'!A:C,3,FALSE)</f>
        <v>45692</v>
      </c>
      <c r="J1296" s="2" t="str">
        <f>VLOOKUP(B1296,'PO with created By ASR'!A:G,4,FALSE)</f>
        <v>DJ Raj (Rajkumar S)-Che</v>
      </c>
      <c r="K1296" s="2" t="str">
        <f>VLOOKUP(B1296,'PO with created By ASR'!A:I,6,FALSE)</f>
        <v>12784 DJ Raj (Rajkumar S)</v>
      </c>
      <c r="L1296" s="2" t="str">
        <f>VLOOKUP(B1296,'PO with created By ASR'!A:J,7,FALSE)</f>
        <v>C - Chennai</v>
      </c>
      <c r="M1296" s="2" t="str">
        <f>VLOOKUP(B1296,'PO with created By ASR'!A:K,8,FALSE)</f>
        <v>Purchase Order-Che</v>
      </c>
      <c r="N1296" t="s">
        <v>36</v>
      </c>
      <c r="P1296" s="2">
        <v>6</v>
      </c>
    </row>
    <row r="1297" s="2" customFormat="1" spans="1:16">
      <c r="A1297" s="8"/>
      <c r="B1297" s="9" t="s">
        <v>2349</v>
      </c>
      <c r="C1297" s="10" t="s">
        <v>151</v>
      </c>
      <c r="D1297" s="11">
        <v>1</v>
      </c>
      <c r="E1297" s="12">
        <v>4700</v>
      </c>
      <c r="F1297" s="13">
        <v>4700</v>
      </c>
      <c r="G1297" s="2">
        <f>VLOOKUP(B1297,'PO with created By ASR'!A:C,3,FALSE)</f>
        <v>45692</v>
      </c>
      <c r="J1297" s="2" t="str">
        <f>VLOOKUP(B1297,'PO with created By ASR'!A:G,4,FALSE)</f>
        <v>Expressions Enlivened-Che</v>
      </c>
      <c r="K1297" s="2" t="str">
        <f>VLOOKUP(B1297,'PO with created By ASR'!A:I,6,FALSE)</f>
        <v>11225 Expressions Enlivened</v>
      </c>
      <c r="L1297" s="2" t="str">
        <f>VLOOKUP(B1297,'PO with created By ASR'!A:J,7,FALSE)</f>
        <v>C - Chennai</v>
      </c>
      <c r="M1297" s="2" t="str">
        <f>VLOOKUP(B1297,'PO with created By ASR'!A:K,8,FALSE)</f>
        <v>Purchase Order-Che</v>
      </c>
      <c r="N1297" t="s">
        <v>36</v>
      </c>
      <c r="P1297" s="2">
        <v>6</v>
      </c>
    </row>
    <row r="1298" s="2" customFormat="1" spans="1:16">
      <c r="A1298" s="8"/>
      <c r="B1298" s="9" t="s">
        <v>2350</v>
      </c>
      <c r="C1298" s="10" t="s">
        <v>196</v>
      </c>
      <c r="D1298" s="11">
        <v>1</v>
      </c>
      <c r="E1298" s="12">
        <v>51630</v>
      </c>
      <c r="F1298" s="13">
        <v>51630</v>
      </c>
      <c r="G1298" s="2">
        <f>VLOOKUP(B1298,'PO with created By ASR'!A:C,3,FALSE)</f>
        <v>45692</v>
      </c>
      <c r="J1298" s="2" t="str">
        <f>VLOOKUP(B1298,'PO with created By ASR'!A:G,4,FALSE)</f>
        <v>Eco Prints-Che</v>
      </c>
      <c r="K1298" s="2" t="str">
        <f>VLOOKUP(B1298,'PO with created By ASR'!A:I,6,FALSE)</f>
        <v>11857 Eco Prints</v>
      </c>
      <c r="L1298" s="2" t="str">
        <f>VLOOKUP(B1298,'PO with created By ASR'!A:J,7,FALSE)</f>
        <v>C - Chennai</v>
      </c>
      <c r="M1298" s="2" t="str">
        <f>VLOOKUP(B1298,'PO with created By ASR'!A:K,8,FALSE)</f>
        <v>Purchase Order-Che</v>
      </c>
      <c r="N1298" t="s">
        <v>36</v>
      </c>
      <c r="P1298" s="2">
        <v>6</v>
      </c>
    </row>
    <row r="1299" s="2" customFormat="1" spans="1:16">
      <c r="A1299" s="8"/>
      <c r="B1299" s="9" t="s">
        <v>2351</v>
      </c>
      <c r="C1299" s="10" t="s">
        <v>196</v>
      </c>
      <c r="D1299" s="11">
        <v>1</v>
      </c>
      <c r="E1299" s="12">
        <v>10200</v>
      </c>
      <c r="F1299" s="13">
        <v>10200</v>
      </c>
      <c r="G1299" s="2">
        <f>VLOOKUP(B1299,'PO with created By ASR'!A:C,3,FALSE)</f>
        <v>45692</v>
      </c>
      <c r="J1299" s="2" t="str">
        <f>VLOOKUP(B1299,'PO with created By ASR'!A:G,4,FALSE)</f>
        <v>Joshi prints-Che</v>
      </c>
      <c r="K1299" s="2" t="str">
        <f>VLOOKUP(B1299,'PO with created By ASR'!A:I,6,FALSE)</f>
        <v>10015 Joshi Prints</v>
      </c>
      <c r="L1299" s="2" t="str">
        <f>VLOOKUP(B1299,'PO with created By ASR'!A:J,7,FALSE)</f>
        <v>C - Chennai</v>
      </c>
      <c r="M1299" s="2" t="str">
        <f>VLOOKUP(B1299,'PO with created By ASR'!A:K,8,FALSE)</f>
        <v>Purchase Order-Che</v>
      </c>
      <c r="N1299" t="s">
        <v>36</v>
      </c>
      <c r="P1299" s="2">
        <v>6</v>
      </c>
    </row>
    <row r="1300" s="2" customFormat="1" spans="1:16">
      <c r="A1300" s="8"/>
      <c r="B1300" s="9" t="s">
        <v>2352</v>
      </c>
      <c r="C1300" s="10" t="s">
        <v>317</v>
      </c>
      <c r="D1300" s="11">
        <v>1</v>
      </c>
      <c r="E1300" s="12">
        <v>175000</v>
      </c>
      <c r="F1300" s="13">
        <v>175000</v>
      </c>
      <c r="G1300" s="2">
        <f>VLOOKUP(B1300,'PO with created By ASR'!A:C,3,FALSE)</f>
        <v>45692</v>
      </c>
      <c r="J1300" s="2" t="str">
        <f>VLOOKUP(B1300,'PO with created By ASR'!A:G,4,FALSE)</f>
        <v>Aishwarya Anil Kumar-Che</v>
      </c>
      <c r="K1300" s="2" t="str">
        <f>VLOOKUP(B1300,'PO with created By ASR'!A:I,6,FALSE)</f>
        <v>12895 Aishwarya Anil Kumar</v>
      </c>
      <c r="L1300" s="2" t="str">
        <f>VLOOKUP(B1300,'PO with created By ASR'!A:J,7,FALSE)</f>
        <v>C - Chennai</v>
      </c>
      <c r="M1300" s="2" t="str">
        <f>VLOOKUP(B1300,'PO with created By ASR'!A:K,8,FALSE)</f>
        <v>Purchase Order-Che</v>
      </c>
      <c r="N1300" t="s">
        <v>36</v>
      </c>
      <c r="P1300" s="2">
        <v>6</v>
      </c>
    </row>
    <row r="1301" s="2" customFormat="1" spans="1:16">
      <c r="A1301" s="8"/>
      <c r="B1301" s="9" t="s">
        <v>2353</v>
      </c>
      <c r="C1301" s="10" t="s">
        <v>140</v>
      </c>
      <c r="D1301" s="11">
        <v>1</v>
      </c>
      <c r="E1301" s="12">
        <v>44000</v>
      </c>
      <c r="F1301" s="13">
        <v>44000</v>
      </c>
      <c r="G1301" s="2">
        <f>VLOOKUP(B1301,'PO with created By ASR'!A:C,3,FALSE)</f>
        <v>45692</v>
      </c>
      <c r="J1301" s="2" t="str">
        <f>VLOOKUP(B1301,'PO with created By ASR'!A:G,4,FALSE)</f>
        <v>Studio Merchandise Pvt Ltd-Del</v>
      </c>
      <c r="K1301" s="2" t="str">
        <f>VLOOKUP(B1301,'PO with created By ASR'!A:I,6,FALSE)</f>
        <v>12464  Studio Merchandise Pvt Ltd</v>
      </c>
      <c r="L1301" s="2" t="str">
        <f>VLOOKUP(B1301,'PO with created By ASR'!A:J,7,FALSE)</f>
        <v>D - Delhi</v>
      </c>
      <c r="M1301" s="2" t="str">
        <f>VLOOKUP(B1301,'PO with created By ASR'!A:K,8,FALSE)</f>
        <v>Purchase Order-Del</v>
      </c>
      <c r="N1301" t="s">
        <v>36</v>
      </c>
      <c r="P1301" s="2">
        <v>6</v>
      </c>
    </row>
    <row r="1302" s="2" customFormat="1" spans="1:16">
      <c r="A1302" s="8"/>
      <c r="B1302" s="9" t="s">
        <v>2355</v>
      </c>
      <c r="C1302" s="10" t="s">
        <v>347</v>
      </c>
      <c r="D1302" s="11">
        <v>1</v>
      </c>
      <c r="E1302" s="12">
        <v>45833</v>
      </c>
      <c r="F1302" s="13">
        <v>45833</v>
      </c>
      <c r="G1302" s="2">
        <f>VLOOKUP(B1302,'PO with created By ASR'!A:C,3,FALSE)</f>
        <v>45692</v>
      </c>
      <c r="J1302" s="2" t="str">
        <f>VLOOKUP(B1302,'PO with created By ASR'!A:G,4,FALSE)</f>
        <v>Yash Sharma-Del</v>
      </c>
      <c r="K1302" s="2" t="str">
        <f>VLOOKUP(B1302,'PO with created By ASR'!A:I,6,FALSE)</f>
        <v>11005 Yash Sharma</v>
      </c>
      <c r="L1302" s="2" t="str">
        <f>VLOOKUP(B1302,'PO with created By ASR'!A:J,7,FALSE)</f>
        <v>D - Delhi</v>
      </c>
      <c r="M1302" s="2" t="str">
        <f>VLOOKUP(B1302,'PO with created By ASR'!A:K,8,FALSE)</f>
        <v>Purchase Order-Del</v>
      </c>
      <c r="N1302" t="s">
        <v>36</v>
      </c>
      <c r="P1302" s="2">
        <v>6</v>
      </c>
    </row>
    <row r="1303" s="2" customFormat="1" spans="1:16">
      <c r="A1303" s="8"/>
      <c r="B1303" s="9" t="s">
        <v>2358</v>
      </c>
      <c r="C1303" s="10" t="s">
        <v>347</v>
      </c>
      <c r="D1303" s="11">
        <v>1</v>
      </c>
      <c r="E1303" s="12">
        <v>37500</v>
      </c>
      <c r="F1303" s="13">
        <v>37500</v>
      </c>
      <c r="G1303" s="2">
        <f>VLOOKUP(B1303,'PO with created By ASR'!A:C,3,FALSE)</f>
        <v>45692</v>
      </c>
      <c r="J1303" s="2" t="str">
        <f>VLOOKUP(B1303,'PO with created By ASR'!A:G,4,FALSE)</f>
        <v>Sambhav Babbar-Del</v>
      </c>
      <c r="K1303" s="2" t="str">
        <f>VLOOKUP(B1303,'PO with created By ASR'!A:I,6,FALSE)</f>
        <v>10878 Sambhav Babbar</v>
      </c>
      <c r="L1303" s="2" t="str">
        <f>VLOOKUP(B1303,'PO with created By ASR'!A:J,7,FALSE)</f>
        <v>D - Delhi</v>
      </c>
      <c r="M1303" s="2" t="str">
        <f>VLOOKUP(B1303,'PO with created By ASR'!A:K,8,FALSE)</f>
        <v>Purchase Order-Del</v>
      </c>
      <c r="N1303" t="s">
        <v>36</v>
      </c>
      <c r="P1303" s="2">
        <v>6</v>
      </c>
    </row>
    <row r="1304" s="2" customFormat="1" spans="1:16">
      <c r="A1304" s="8"/>
      <c r="B1304" s="9" t="s">
        <v>2361</v>
      </c>
      <c r="C1304" s="10" t="s">
        <v>140</v>
      </c>
      <c r="D1304" s="11">
        <v>1</v>
      </c>
      <c r="E1304" s="12">
        <v>95000</v>
      </c>
      <c r="F1304" s="13">
        <v>95000</v>
      </c>
      <c r="G1304" s="2">
        <f>VLOOKUP(B1304,'PO with created By ASR'!A:C,3,FALSE)</f>
        <v>45692</v>
      </c>
      <c r="J1304" s="2" t="str">
        <f>VLOOKUP(B1304,'PO with created By ASR'!A:G,4,FALSE)</f>
        <v>Muhavra Enterprises Pvt Ltd-Del</v>
      </c>
      <c r="K1304" s="2" t="str">
        <f>VLOOKUP(B1304,'PO with created By ASR'!A:I,6,FALSE)</f>
        <v>12173  Muhavra Enterprises Pvt Ltd</v>
      </c>
      <c r="L1304" s="2" t="str">
        <f>VLOOKUP(B1304,'PO with created By ASR'!A:J,7,FALSE)</f>
        <v>D - Delhi</v>
      </c>
      <c r="M1304" s="2" t="str">
        <f>VLOOKUP(B1304,'PO with created By ASR'!A:K,8,FALSE)</f>
        <v>Purchase Order-Del</v>
      </c>
      <c r="N1304" t="s">
        <v>36</v>
      </c>
      <c r="P1304" s="2">
        <v>6</v>
      </c>
    </row>
    <row r="1305" s="2" customFormat="1" spans="1:16">
      <c r="A1305" s="8"/>
      <c r="B1305" s="9" t="s">
        <v>2365</v>
      </c>
      <c r="C1305" s="10" t="s">
        <v>140</v>
      </c>
      <c r="D1305" s="11">
        <v>1</v>
      </c>
      <c r="E1305" s="12">
        <v>8950</v>
      </c>
      <c r="F1305" s="13">
        <v>8950</v>
      </c>
      <c r="G1305" s="2">
        <f>VLOOKUP(B1305,'PO with created By ASR'!A:C,3,FALSE)</f>
        <v>45692</v>
      </c>
      <c r="J1305" s="2" t="str">
        <f>VLOOKUP(B1305,'PO with created By ASR'!A:G,4,FALSE)</f>
        <v>2626 Creative Studio Pvt Ltd-Del</v>
      </c>
      <c r="K1305" s="2" t="str">
        <f>VLOOKUP(B1305,'PO with created By ASR'!A:I,6,FALSE)</f>
        <v>12765  2626 Creative Studio Pvt Ltd</v>
      </c>
      <c r="L1305" s="2" t="str">
        <f>VLOOKUP(B1305,'PO with created By ASR'!A:J,7,FALSE)</f>
        <v>D - Delhi</v>
      </c>
      <c r="M1305" s="2" t="str">
        <f>VLOOKUP(B1305,'PO with created By ASR'!A:K,8,FALSE)</f>
        <v>Purchase Order-Del</v>
      </c>
      <c r="N1305" t="s">
        <v>36</v>
      </c>
      <c r="P1305" s="2">
        <v>6</v>
      </c>
    </row>
    <row r="1306" s="2" customFormat="1" spans="1:16">
      <c r="A1306" s="8"/>
      <c r="B1306" s="9" t="s">
        <v>2368</v>
      </c>
      <c r="C1306" s="10" t="s">
        <v>347</v>
      </c>
      <c r="D1306" s="11">
        <v>1</v>
      </c>
      <c r="E1306" s="12">
        <v>42500</v>
      </c>
      <c r="F1306" s="13">
        <v>42500</v>
      </c>
      <c r="G1306" s="2">
        <f>VLOOKUP(B1306,'PO with created By ASR'!A:C,3,FALSE)</f>
        <v>45692</v>
      </c>
      <c r="J1306" s="2" t="str">
        <f>VLOOKUP(B1306,'PO with created By ASR'!A:G,4,FALSE)</f>
        <v>Garima Rathore-Del</v>
      </c>
      <c r="K1306" s="2" t="str">
        <f>VLOOKUP(B1306,'PO with created By ASR'!A:I,6,FALSE)</f>
        <v>10644 Garima Rathore</v>
      </c>
      <c r="L1306" s="2" t="str">
        <f>VLOOKUP(B1306,'PO with created By ASR'!A:J,7,FALSE)</f>
        <v>D - Delhi</v>
      </c>
      <c r="M1306" s="2" t="str">
        <f>VLOOKUP(B1306,'PO with created By ASR'!A:K,8,FALSE)</f>
        <v>Purchase Order-Del</v>
      </c>
      <c r="N1306" t="s">
        <v>36</v>
      </c>
      <c r="P1306" s="2">
        <v>6</v>
      </c>
    </row>
    <row r="1307" s="2" customFormat="1" spans="1:16">
      <c r="A1307" s="8"/>
      <c r="B1307" s="9" t="s">
        <v>2371</v>
      </c>
      <c r="C1307" s="10" t="s">
        <v>347</v>
      </c>
      <c r="D1307" s="11">
        <v>1</v>
      </c>
      <c r="E1307" s="12">
        <v>40000</v>
      </c>
      <c r="F1307" s="13">
        <v>40000</v>
      </c>
      <c r="G1307" s="2">
        <f>VLOOKUP(B1307,'PO with created By ASR'!A:C,3,FALSE)</f>
        <v>45692</v>
      </c>
      <c r="J1307" s="2" t="str">
        <f>VLOOKUP(B1307,'PO with created By ASR'!A:G,4,FALSE)</f>
        <v>P Arora and Associates Pvt Ltd-Del</v>
      </c>
      <c r="K1307" s="2" t="str">
        <f>VLOOKUP(B1307,'PO with created By ASR'!A:I,6,FALSE)</f>
        <v>12929  P Arora and Associates Pvt Ltd</v>
      </c>
      <c r="L1307" s="2" t="str">
        <f>VLOOKUP(B1307,'PO with created By ASR'!A:J,7,FALSE)</f>
        <v>D - Delhi</v>
      </c>
      <c r="M1307" s="2" t="str">
        <f>VLOOKUP(B1307,'PO with created By ASR'!A:K,8,FALSE)</f>
        <v>Purchase Order-Del</v>
      </c>
      <c r="N1307" t="s">
        <v>36</v>
      </c>
      <c r="P1307" s="2">
        <v>6</v>
      </c>
    </row>
    <row r="1308" s="2" customFormat="1" spans="1:16">
      <c r="A1308" s="8"/>
      <c r="B1308" s="9" t="s">
        <v>2374</v>
      </c>
      <c r="C1308" s="10" t="s">
        <v>233</v>
      </c>
      <c r="D1308" s="11">
        <v>1</v>
      </c>
      <c r="E1308" s="12">
        <v>836820</v>
      </c>
      <c r="F1308" s="13">
        <v>836820</v>
      </c>
      <c r="G1308" s="2">
        <f>VLOOKUP(B1308,'PO with created By ASR'!A:C,3,FALSE)</f>
        <v>45692</v>
      </c>
      <c r="J1308" s="2" t="str">
        <f>VLOOKUP(B1308,'PO with created By ASR'!A:G,4,FALSE)</f>
        <v>Royal Vacations Corporate Planners-Del</v>
      </c>
      <c r="K1308" s="2" t="str">
        <f>VLOOKUP(B1308,'PO with created By ASR'!A:I,6,FALSE)</f>
        <v>12812 Royal Vacations Corporate Planners</v>
      </c>
      <c r="L1308" s="2" t="str">
        <f>VLOOKUP(B1308,'PO with created By ASR'!A:J,7,FALSE)</f>
        <v>D - Delhi</v>
      </c>
      <c r="M1308" s="2" t="str">
        <f>VLOOKUP(B1308,'PO with created By ASR'!A:K,8,FALSE)</f>
        <v>Purchase Order-Del</v>
      </c>
      <c r="N1308" t="s">
        <v>36</v>
      </c>
      <c r="P1308" s="2">
        <v>6</v>
      </c>
    </row>
    <row r="1309" s="2" customFormat="1" spans="1:16">
      <c r="A1309" s="8"/>
      <c r="B1309" s="9" t="s">
        <v>2374</v>
      </c>
      <c r="C1309" s="10" t="s">
        <v>233</v>
      </c>
      <c r="D1309" s="11">
        <v>1</v>
      </c>
      <c r="E1309" s="12">
        <v>41841</v>
      </c>
      <c r="F1309" s="13">
        <v>41841</v>
      </c>
      <c r="G1309" s="2">
        <f>VLOOKUP(B1309,'PO with created By ASR'!A:C,3,FALSE)</f>
        <v>45692</v>
      </c>
      <c r="J1309" s="2" t="str">
        <f>VLOOKUP(B1309,'PO with created By ASR'!A:G,4,FALSE)</f>
        <v>Royal Vacations Corporate Planners-Del</v>
      </c>
      <c r="K1309" s="2" t="str">
        <f>VLOOKUP(B1309,'PO with created By ASR'!A:I,6,FALSE)</f>
        <v>12812 Royal Vacations Corporate Planners</v>
      </c>
      <c r="L1309" s="2" t="str">
        <f>VLOOKUP(B1309,'PO with created By ASR'!A:J,7,FALSE)</f>
        <v>D - Delhi</v>
      </c>
      <c r="M1309" s="2" t="str">
        <f>VLOOKUP(B1309,'PO with created By ASR'!A:K,8,FALSE)</f>
        <v>Purchase Order-Del</v>
      </c>
      <c r="N1309" t="s">
        <v>36</v>
      </c>
      <c r="P1309" s="2">
        <v>6</v>
      </c>
    </row>
    <row r="1310" s="2" customFormat="1" spans="1:16">
      <c r="A1310" s="8"/>
      <c r="B1310" s="9" t="s">
        <v>2378</v>
      </c>
      <c r="C1310" s="10" t="s">
        <v>233</v>
      </c>
      <c r="D1310" s="11">
        <v>1</v>
      </c>
      <c r="E1310" s="12">
        <v>7930</v>
      </c>
      <c r="F1310" s="13">
        <v>7930</v>
      </c>
      <c r="G1310" s="2">
        <f>VLOOKUP(B1310,'PO with created By ASR'!A:C,3,FALSE)</f>
        <v>45692</v>
      </c>
      <c r="J1310" s="2" t="str">
        <f>VLOOKUP(B1310,'PO with created By ASR'!A:G,4,FALSE)</f>
        <v>Pavleen Kaurr Qaumi-Del</v>
      </c>
      <c r="K1310" s="2" t="str">
        <f>VLOOKUP(B1310,'PO with created By ASR'!A:I,6,FALSE)</f>
        <v>10804 Pavleen Kaurr Qaumi</v>
      </c>
      <c r="L1310" s="2" t="str">
        <f>VLOOKUP(B1310,'PO with created By ASR'!A:J,7,FALSE)</f>
        <v>D - Delhi</v>
      </c>
      <c r="M1310" s="2" t="str">
        <f>VLOOKUP(B1310,'PO with created By ASR'!A:K,8,FALSE)</f>
        <v>Purchase Order-Del</v>
      </c>
      <c r="N1310" t="s">
        <v>36</v>
      </c>
      <c r="P1310" s="2">
        <v>6</v>
      </c>
    </row>
    <row r="1311" s="2" customFormat="1" spans="1:16">
      <c r="A1311" s="8"/>
      <c r="B1311" s="9" t="s">
        <v>2379</v>
      </c>
      <c r="C1311" s="10" t="s">
        <v>140</v>
      </c>
      <c r="D1311" s="11">
        <v>1</v>
      </c>
      <c r="E1311" s="12">
        <v>147300</v>
      </c>
      <c r="F1311" s="13">
        <v>147300</v>
      </c>
      <c r="G1311" s="2">
        <f>VLOOKUP(B1311,'PO with created By ASR'!A:C,3,FALSE)</f>
        <v>45692</v>
      </c>
      <c r="J1311" s="2" t="str">
        <f>VLOOKUP(B1311,'PO with created By ASR'!A:G,4,FALSE)</f>
        <v>Studio Merchandise Pvt Ltd-Del</v>
      </c>
      <c r="K1311" s="2" t="str">
        <f>VLOOKUP(B1311,'PO with created By ASR'!A:I,6,FALSE)</f>
        <v>12464  Studio Merchandise Pvt Ltd</v>
      </c>
      <c r="L1311" s="2" t="str">
        <f>VLOOKUP(B1311,'PO with created By ASR'!A:J,7,FALSE)</f>
        <v>D - Delhi</v>
      </c>
      <c r="M1311" s="2" t="str">
        <f>VLOOKUP(B1311,'PO with created By ASR'!A:K,8,FALSE)</f>
        <v>Purchase Order-Del</v>
      </c>
      <c r="N1311" t="s">
        <v>36</v>
      </c>
      <c r="P1311" s="2">
        <v>6</v>
      </c>
    </row>
    <row r="1312" s="2" customFormat="1" spans="1:16">
      <c r="A1312" s="8"/>
      <c r="B1312" s="9" t="s">
        <v>2380</v>
      </c>
      <c r="C1312" s="10" t="s">
        <v>317</v>
      </c>
      <c r="D1312" s="11">
        <v>1</v>
      </c>
      <c r="E1312" s="12">
        <v>180000</v>
      </c>
      <c r="F1312" s="13">
        <v>180000</v>
      </c>
      <c r="G1312" s="2">
        <f>VLOOKUP(B1312,'PO with created By ASR'!A:C,3,FALSE)</f>
        <v>45692</v>
      </c>
      <c r="J1312" s="2" t="str">
        <f>VLOOKUP(B1312,'PO with created By ASR'!A:G,4,FALSE)</f>
        <v>Lokjat Slv Solutions-Del</v>
      </c>
      <c r="K1312" s="2" t="str">
        <f>VLOOKUP(B1312,'PO with created By ASR'!A:I,6,FALSE)</f>
        <v>12107 Lokjat Slv Solutions</v>
      </c>
      <c r="L1312" s="2" t="str">
        <f>VLOOKUP(B1312,'PO with created By ASR'!A:J,7,FALSE)</f>
        <v>D - Delhi</v>
      </c>
      <c r="M1312" s="2" t="str">
        <f>VLOOKUP(B1312,'PO with created By ASR'!A:K,8,FALSE)</f>
        <v>Purchase Order-Del</v>
      </c>
      <c r="N1312" t="s">
        <v>36</v>
      </c>
      <c r="P1312" s="2">
        <v>6</v>
      </c>
    </row>
    <row r="1313" s="2" customFormat="1" spans="1:16">
      <c r="A1313" s="8"/>
      <c r="B1313" s="9" t="s">
        <v>2381</v>
      </c>
      <c r="C1313" s="10" t="s">
        <v>292</v>
      </c>
      <c r="D1313" s="11">
        <v>1</v>
      </c>
      <c r="E1313" s="12">
        <v>4500</v>
      </c>
      <c r="F1313" s="13">
        <v>4500</v>
      </c>
      <c r="G1313" s="2">
        <f>VLOOKUP(B1313,'PO with created By ASR'!A:C,3,FALSE)</f>
        <v>45692</v>
      </c>
      <c r="J1313" s="2" t="str">
        <f>VLOOKUP(B1313,'PO with created By ASR'!A:G,4,FALSE)</f>
        <v>Red Carpet Events And Entertainment-Del</v>
      </c>
      <c r="K1313" s="2" t="str">
        <f>VLOOKUP(B1313,'PO with created By ASR'!A:I,6,FALSE)</f>
        <v>12326 Red Carpet Events And Entertainment</v>
      </c>
      <c r="L1313" s="2" t="str">
        <f>VLOOKUP(B1313,'PO with created By ASR'!A:J,7,FALSE)</f>
        <v>D - Delhi</v>
      </c>
      <c r="M1313" s="2" t="str">
        <f>VLOOKUP(B1313,'PO with created By ASR'!A:K,8,FALSE)</f>
        <v>Purchase Order-Del</v>
      </c>
      <c r="N1313" t="s">
        <v>36</v>
      </c>
      <c r="P1313" s="2">
        <v>6</v>
      </c>
    </row>
    <row r="1314" s="2" customFormat="1" spans="1:16">
      <c r="A1314" s="8"/>
      <c r="B1314" s="9" t="s">
        <v>2382</v>
      </c>
      <c r="C1314" s="10" t="s">
        <v>347</v>
      </c>
      <c r="D1314" s="11">
        <v>1</v>
      </c>
      <c r="E1314" s="12">
        <v>147000</v>
      </c>
      <c r="F1314" s="13">
        <v>147000</v>
      </c>
      <c r="G1314" s="2">
        <f>VLOOKUP(B1314,'PO with created By ASR'!A:C,3,FALSE)</f>
        <v>45692</v>
      </c>
      <c r="J1314" s="2" t="str">
        <f>VLOOKUP(B1314,'PO with created By ASR'!A:G,4,FALSE)</f>
        <v>Rahul Sabar-Del</v>
      </c>
      <c r="K1314" s="2" t="str">
        <f>VLOOKUP(B1314,'PO with created By ASR'!A:I,6,FALSE)</f>
        <v>12931 Rahul Sabar</v>
      </c>
      <c r="L1314" s="2" t="str">
        <f>VLOOKUP(B1314,'PO with created By ASR'!A:J,7,FALSE)</f>
        <v>D - Delhi</v>
      </c>
      <c r="M1314" s="2" t="str">
        <f>VLOOKUP(B1314,'PO with created By ASR'!A:K,8,FALSE)</f>
        <v>Purchase Order-Del</v>
      </c>
      <c r="N1314" t="s">
        <v>36</v>
      </c>
      <c r="P1314" s="2">
        <v>6</v>
      </c>
    </row>
    <row r="1315" s="2" customFormat="1" spans="1:16">
      <c r="A1315" s="8"/>
      <c r="B1315" s="9" t="s">
        <v>2385</v>
      </c>
      <c r="C1315" s="10" t="s">
        <v>126</v>
      </c>
      <c r="D1315" s="11">
        <v>1</v>
      </c>
      <c r="E1315" s="12">
        <v>1696</v>
      </c>
      <c r="F1315" s="13">
        <v>1696</v>
      </c>
      <c r="G1315" s="2">
        <f>VLOOKUP(B1315,'PO with created By ASR'!A:C,3,FALSE)</f>
        <v>45692</v>
      </c>
      <c r="J1315" s="2" t="str">
        <f>VLOOKUP(B1315,'PO with created By ASR'!A:G,4,FALSE)</f>
        <v>Mohammad Danish  -CR</v>
      </c>
      <c r="K1315" s="2" t="str">
        <f>VLOOKUP(B1315,'PO with created By ASR'!A:I,6,FALSE)</f>
        <v>10757 Mohammad Danish</v>
      </c>
      <c r="L1315" s="2" t="str">
        <f>VLOOKUP(B1315,'PO with created By ASR'!A:J,7,FALSE)</f>
        <v>A - Mumbai</v>
      </c>
      <c r="M1315" s="2" t="str">
        <f>VLOOKUP(B1315,'PO with created By ASR'!A:K,8,FALSE)</f>
        <v>Purchase Order-Mum</v>
      </c>
      <c r="N1315" t="s">
        <v>36</v>
      </c>
      <c r="P1315" s="2">
        <v>6</v>
      </c>
    </row>
    <row r="1316" s="2" customFormat="1" spans="1:16">
      <c r="A1316" s="8"/>
      <c r="B1316" s="9" t="s">
        <v>2385</v>
      </c>
      <c r="C1316" s="10" t="s">
        <v>412</v>
      </c>
      <c r="D1316" s="11">
        <v>1</v>
      </c>
      <c r="E1316" s="12">
        <v>1020</v>
      </c>
      <c r="F1316" s="13">
        <v>1020</v>
      </c>
      <c r="G1316" s="2">
        <f>VLOOKUP(B1316,'PO with created By ASR'!A:C,3,FALSE)</f>
        <v>45692</v>
      </c>
      <c r="J1316" s="2" t="str">
        <f>VLOOKUP(B1316,'PO with created By ASR'!A:G,4,FALSE)</f>
        <v>Mohammad Danish  -CR</v>
      </c>
      <c r="K1316" s="2" t="str">
        <f>VLOOKUP(B1316,'PO with created By ASR'!A:I,6,FALSE)</f>
        <v>10757 Mohammad Danish</v>
      </c>
      <c r="L1316" s="2" t="str">
        <f>VLOOKUP(B1316,'PO with created By ASR'!A:J,7,FALSE)</f>
        <v>A - Mumbai</v>
      </c>
      <c r="M1316" s="2" t="str">
        <f>VLOOKUP(B1316,'PO with created By ASR'!A:K,8,FALSE)</f>
        <v>Purchase Order-Mum</v>
      </c>
      <c r="N1316" t="s">
        <v>36</v>
      </c>
      <c r="P1316" s="2">
        <v>6</v>
      </c>
    </row>
    <row r="1317" s="2" customFormat="1" spans="1:16">
      <c r="A1317" s="8"/>
      <c r="B1317" s="9" t="s">
        <v>2386</v>
      </c>
      <c r="C1317" s="10" t="s">
        <v>126</v>
      </c>
      <c r="D1317" s="11">
        <v>1</v>
      </c>
      <c r="E1317" s="12">
        <v>118</v>
      </c>
      <c r="F1317" s="13">
        <v>118</v>
      </c>
      <c r="G1317" s="2">
        <f>VLOOKUP(B1317,'PO with created By ASR'!A:C,3,FALSE)</f>
        <v>45692</v>
      </c>
      <c r="J1317" s="2" t="str">
        <f>VLOOKUP(B1317,'PO with created By ASR'!A:G,4,FALSE)</f>
        <v>Sudhakar Sawant   -CR</v>
      </c>
      <c r="K1317" s="2" t="e">
        <f>VLOOKUP(B1317,'PO with created By ASR'!A:I,6,FALSE)</f>
        <v>#N/A</v>
      </c>
      <c r="L1317" s="2" t="str">
        <f>VLOOKUP(B1317,'PO with created By ASR'!A:J,7,FALSE)</f>
        <v>A - Mumbai</v>
      </c>
      <c r="M1317" s="2" t="str">
        <f>VLOOKUP(B1317,'PO with created By ASR'!A:K,8,FALSE)</f>
        <v>Purchase Order-Mum</v>
      </c>
      <c r="N1317" t="s">
        <v>36</v>
      </c>
      <c r="P1317" s="2">
        <v>6</v>
      </c>
    </row>
    <row r="1318" s="2" customFormat="1" spans="1:16">
      <c r="A1318" s="8"/>
      <c r="B1318" s="9" t="s">
        <v>2386</v>
      </c>
      <c r="C1318" s="10" t="s">
        <v>412</v>
      </c>
      <c r="D1318" s="11">
        <v>1</v>
      </c>
      <c r="E1318" s="12">
        <v>100</v>
      </c>
      <c r="F1318" s="13">
        <v>100</v>
      </c>
      <c r="G1318" s="2">
        <f>VLOOKUP(B1318,'PO with created By ASR'!A:C,3,FALSE)</f>
        <v>45692</v>
      </c>
      <c r="J1318" s="2" t="str">
        <f>VLOOKUP(B1318,'PO with created By ASR'!A:G,4,FALSE)</f>
        <v>Sudhakar Sawant   -CR</v>
      </c>
      <c r="K1318" s="2" t="e">
        <f>VLOOKUP(B1318,'PO with created By ASR'!A:I,6,FALSE)</f>
        <v>#N/A</v>
      </c>
      <c r="L1318" s="2" t="str">
        <f>VLOOKUP(B1318,'PO with created By ASR'!A:J,7,FALSE)</f>
        <v>A - Mumbai</v>
      </c>
      <c r="M1318" s="2" t="str">
        <f>VLOOKUP(B1318,'PO with created By ASR'!A:K,8,FALSE)</f>
        <v>Purchase Order-Mum</v>
      </c>
      <c r="N1318" t="s">
        <v>36</v>
      </c>
      <c r="P1318" s="2">
        <v>6</v>
      </c>
    </row>
    <row r="1319" s="2" customFormat="1" spans="1:16">
      <c r="A1319" s="8"/>
      <c r="B1319" s="9" t="s">
        <v>2387</v>
      </c>
      <c r="C1319" s="10" t="s">
        <v>126</v>
      </c>
      <c r="D1319" s="11">
        <v>1</v>
      </c>
      <c r="E1319" s="12">
        <v>2473.13</v>
      </c>
      <c r="F1319" s="13">
        <v>2473.13</v>
      </c>
      <c r="G1319" s="2">
        <f>VLOOKUP(B1319,'PO with created By ASR'!A:C,3,FALSE)</f>
        <v>45692</v>
      </c>
      <c r="J1319" s="2" t="str">
        <f>VLOOKUP(B1319,'PO with created By ASR'!A:G,4,FALSE)</f>
        <v>Pinky Sharma  -CR</v>
      </c>
      <c r="K1319" s="2" t="e">
        <f>VLOOKUP(B1319,'PO with created By ASR'!A:I,6,FALSE)</f>
        <v>#N/A</v>
      </c>
      <c r="L1319" s="2" t="str">
        <f>VLOOKUP(B1319,'PO with created By ASR'!A:J,7,FALSE)</f>
        <v>A - Mumbai</v>
      </c>
      <c r="M1319" s="2" t="str">
        <f>VLOOKUP(B1319,'PO with created By ASR'!A:K,8,FALSE)</f>
        <v>Purchase Order-Mum</v>
      </c>
      <c r="N1319" t="s">
        <v>36</v>
      </c>
      <c r="P1319" s="2">
        <v>6</v>
      </c>
    </row>
    <row r="1320" s="2" customFormat="1" spans="1:16">
      <c r="A1320" s="8"/>
      <c r="B1320" s="9" t="s">
        <v>2387</v>
      </c>
      <c r="C1320" s="10" t="s">
        <v>412</v>
      </c>
      <c r="D1320" s="11">
        <v>1</v>
      </c>
      <c r="E1320" s="12">
        <v>2770.3</v>
      </c>
      <c r="F1320" s="13">
        <v>2770.3</v>
      </c>
      <c r="G1320" s="2">
        <f>VLOOKUP(B1320,'PO with created By ASR'!A:C,3,FALSE)</f>
        <v>45692</v>
      </c>
      <c r="J1320" s="2" t="str">
        <f>VLOOKUP(B1320,'PO with created By ASR'!A:G,4,FALSE)</f>
        <v>Pinky Sharma  -CR</v>
      </c>
      <c r="K1320" s="2" t="e">
        <f>VLOOKUP(B1320,'PO with created By ASR'!A:I,6,FALSE)</f>
        <v>#N/A</v>
      </c>
      <c r="L1320" s="2" t="str">
        <f>VLOOKUP(B1320,'PO with created By ASR'!A:J,7,FALSE)</f>
        <v>A - Mumbai</v>
      </c>
      <c r="M1320" s="2" t="str">
        <f>VLOOKUP(B1320,'PO with created By ASR'!A:K,8,FALSE)</f>
        <v>Purchase Order-Mum</v>
      </c>
      <c r="N1320" t="s">
        <v>36</v>
      </c>
      <c r="P1320" s="2">
        <v>6</v>
      </c>
    </row>
    <row r="1321" s="2" customFormat="1" spans="1:16">
      <c r="A1321" s="8"/>
      <c r="B1321" s="9" t="s">
        <v>2388</v>
      </c>
      <c r="C1321" s="10" t="s">
        <v>126</v>
      </c>
      <c r="D1321" s="11">
        <v>1</v>
      </c>
      <c r="E1321" s="12">
        <v>2090</v>
      </c>
      <c r="F1321" s="13">
        <v>2090</v>
      </c>
      <c r="G1321" s="2">
        <f>VLOOKUP(B1321,'PO with created By ASR'!A:C,3,FALSE)</f>
        <v>45692</v>
      </c>
      <c r="J1321" s="2" t="str">
        <f>VLOOKUP(B1321,'PO with created By ASR'!A:G,4,FALSE)</f>
        <v>Mohammad Danish  -CR</v>
      </c>
      <c r="K1321" s="2" t="str">
        <f>VLOOKUP(B1321,'PO with created By ASR'!A:I,6,FALSE)</f>
        <v>10757 Mohammad Danish</v>
      </c>
      <c r="L1321" s="2" t="str">
        <f>VLOOKUP(B1321,'PO with created By ASR'!A:J,7,FALSE)</f>
        <v>A - Mumbai</v>
      </c>
      <c r="M1321" s="2" t="str">
        <f>VLOOKUP(B1321,'PO with created By ASR'!A:K,8,FALSE)</f>
        <v>Purchase Order-Mum</v>
      </c>
      <c r="N1321" t="s">
        <v>36</v>
      </c>
      <c r="P1321" s="2">
        <v>6</v>
      </c>
    </row>
    <row r="1322" s="2" customFormat="1" spans="1:16">
      <c r="A1322" s="8"/>
      <c r="B1322" s="9" t="s">
        <v>2388</v>
      </c>
      <c r="C1322" s="10" t="s">
        <v>412</v>
      </c>
      <c r="D1322" s="11">
        <v>1</v>
      </c>
      <c r="E1322" s="12">
        <v>1175</v>
      </c>
      <c r="F1322" s="13">
        <v>1175</v>
      </c>
      <c r="G1322" s="2">
        <f>VLOOKUP(B1322,'PO with created By ASR'!A:C,3,FALSE)</f>
        <v>45692</v>
      </c>
      <c r="J1322" s="2" t="str">
        <f>VLOOKUP(B1322,'PO with created By ASR'!A:G,4,FALSE)</f>
        <v>Mohammad Danish  -CR</v>
      </c>
      <c r="K1322" s="2" t="str">
        <f>VLOOKUP(B1322,'PO with created By ASR'!A:I,6,FALSE)</f>
        <v>10757 Mohammad Danish</v>
      </c>
      <c r="L1322" s="2" t="str">
        <f>VLOOKUP(B1322,'PO with created By ASR'!A:J,7,FALSE)</f>
        <v>A - Mumbai</v>
      </c>
      <c r="M1322" s="2" t="str">
        <f>VLOOKUP(B1322,'PO with created By ASR'!A:K,8,FALSE)</f>
        <v>Purchase Order-Mum</v>
      </c>
      <c r="N1322" t="s">
        <v>36</v>
      </c>
      <c r="P1322" s="2">
        <v>6</v>
      </c>
    </row>
    <row r="1323" s="2" customFormat="1" spans="1:16">
      <c r="A1323" s="8"/>
      <c r="B1323" s="9" t="s">
        <v>2389</v>
      </c>
      <c r="C1323" s="10" t="s">
        <v>126</v>
      </c>
      <c r="D1323" s="11">
        <v>1</v>
      </c>
      <c r="E1323" s="12">
        <v>2931.91</v>
      </c>
      <c r="F1323" s="13">
        <v>2931.91</v>
      </c>
      <c r="G1323" s="2">
        <f>VLOOKUP(B1323,'PO with created By ASR'!A:C,3,FALSE)</f>
        <v>45692</v>
      </c>
      <c r="J1323" s="2" t="str">
        <f>VLOOKUP(B1323,'PO with created By ASR'!A:G,4,FALSE)</f>
        <v>Pinky Sharma  -CR</v>
      </c>
      <c r="K1323" s="2" t="e">
        <f>VLOOKUP(B1323,'PO with created By ASR'!A:I,6,FALSE)</f>
        <v>#N/A</v>
      </c>
      <c r="L1323" s="2" t="str">
        <f>VLOOKUP(B1323,'PO with created By ASR'!A:J,7,FALSE)</f>
        <v>A - Mumbai</v>
      </c>
      <c r="M1323" s="2" t="str">
        <f>VLOOKUP(B1323,'PO with created By ASR'!A:K,8,FALSE)</f>
        <v>Purchase Order-Mum</v>
      </c>
      <c r="N1323" t="s">
        <v>36</v>
      </c>
      <c r="P1323" s="2">
        <v>6</v>
      </c>
    </row>
    <row r="1324" s="2" customFormat="1" spans="1:16">
      <c r="A1324" s="8"/>
      <c r="B1324" s="9" t="s">
        <v>2389</v>
      </c>
      <c r="C1324" s="10" t="s">
        <v>412</v>
      </c>
      <c r="D1324" s="11">
        <v>1</v>
      </c>
      <c r="E1324" s="12">
        <v>6047.42</v>
      </c>
      <c r="F1324" s="13">
        <v>6047.42</v>
      </c>
      <c r="G1324" s="2">
        <f>VLOOKUP(B1324,'PO with created By ASR'!A:C,3,FALSE)</f>
        <v>45692</v>
      </c>
      <c r="J1324" s="2" t="str">
        <f>VLOOKUP(B1324,'PO with created By ASR'!A:G,4,FALSE)</f>
        <v>Pinky Sharma  -CR</v>
      </c>
      <c r="K1324" s="2" t="e">
        <f>VLOOKUP(B1324,'PO with created By ASR'!A:I,6,FALSE)</f>
        <v>#N/A</v>
      </c>
      <c r="L1324" s="2" t="str">
        <f>VLOOKUP(B1324,'PO with created By ASR'!A:J,7,FALSE)</f>
        <v>A - Mumbai</v>
      </c>
      <c r="M1324" s="2" t="str">
        <f>VLOOKUP(B1324,'PO with created By ASR'!A:K,8,FALSE)</f>
        <v>Purchase Order-Mum</v>
      </c>
      <c r="N1324" t="s">
        <v>36</v>
      </c>
      <c r="P1324" s="2">
        <v>6</v>
      </c>
    </row>
    <row r="1325" s="2" customFormat="1" spans="1:16">
      <c r="A1325" s="8"/>
      <c r="B1325" s="9" t="s">
        <v>2390</v>
      </c>
      <c r="C1325" s="10" t="s">
        <v>196</v>
      </c>
      <c r="D1325" s="11">
        <v>1</v>
      </c>
      <c r="E1325" s="12">
        <v>78176.25</v>
      </c>
      <c r="F1325" s="13">
        <v>78176.25</v>
      </c>
      <c r="G1325" s="2">
        <f>VLOOKUP(B1325,'PO with created By ASR'!A:C,3,FALSE)</f>
        <v>45692</v>
      </c>
      <c r="J1325" s="2" t="str">
        <f>VLOOKUP(B1325,'PO with created By ASR'!A:G,4,FALSE)</f>
        <v>Noaman Digital Partnership Firm-Mum</v>
      </c>
      <c r="K1325" s="2" t="e">
        <f>VLOOKUP(B1325,'PO with created By ASR'!A:I,6,FALSE)</f>
        <v>#N/A</v>
      </c>
      <c r="L1325" s="2" t="str">
        <f>VLOOKUP(B1325,'PO with created By ASR'!A:J,7,FALSE)</f>
        <v>A - Mumbai</v>
      </c>
      <c r="M1325" s="2" t="str">
        <f>VLOOKUP(B1325,'PO with created By ASR'!A:K,8,FALSE)</f>
        <v>Purchase Order-Mum</v>
      </c>
      <c r="N1325" t="s">
        <v>36</v>
      </c>
      <c r="P1325" s="2">
        <v>6</v>
      </c>
    </row>
    <row r="1326" s="2" customFormat="1" spans="1:16">
      <c r="A1326" s="8"/>
      <c r="B1326" s="9" t="s">
        <v>2391</v>
      </c>
      <c r="C1326" s="10" t="s">
        <v>250</v>
      </c>
      <c r="D1326" s="11">
        <v>1</v>
      </c>
      <c r="E1326" s="12">
        <v>375000</v>
      </c>
      <c r="F1326" s="13">
        <v>375000</v>
      </c>
      <c r="G1326" s="2">
        <f>VLOOKUP(B1326,'PO with created By ASR'!A:C,3,FALSE)</f>
        <v>45692</v>
      </c>
      <c r="J1326" s="2" t="str">
        <f>VLOOKUP(B1326,'PO with created By ASR'!A:G,4,FALSE)</f>
        <v>Elleven Media And Talent Agency Pvt Ltd-Del</v>
      </c>
      <c r="K1326" s="2" t="str">
        <f>VLOOKUP(B1326,'PO with created By ASR'!A:I,6,FALSE)</f>
        <v>10631  Elleven Media And Talent Agency Pvt Ltd</v>
      </c>
      <c r="L1326" s="2" t="str">
        <f>VLOOKUP(B1326,'PO with created By ASR'!A:J,7,FALSE)</f>
        <v>A - Mumbai</v>
      </c>
      <c r="M1326" s="2" t="str">
        <f>VLOOKUP(B1326,'PO with created By ASR'!A:K,8,FALSE)</f>
        <v>Purchase Order-Mum</v>
      </c>
      <c r="N1326" t="s">
        <v>36</v>
      </c>
      <c r="P1326" s="2">
        <v>6</v>
      </c>
    </row>
    <row r="1327" s="2" customFormat="1" spans="1:16">
      <c r="A1327" s="8"/>
      <c r="B1327" s="9" t="s">
        <v>2395</v>
      </c>
      <c r="C1327" s="10" t="s">
        <v>126</v>
      </c>
      <c r="D1327" s="11">
        <v>1</v>
      </c>
      <c r="E1327" s="12">
        <v>1411</v>
      </c>
      <c r="F1327" s="13">
        <v>1411</v>
      </c>
      <c r="G1327" s="2">
        <f>VLOOKUP(B1327,'PO with created By ASR'!A:C,3,FALSE)</f>
        <v>45692</v>
      </c>
      <c r="J1327" s="2" t="str">
        <f>VLOOKUP(B1327,'PO with created By ASR'!A:G,4,FALSE)</f>
        <v>Sanil Thombare -CR</v>
      </c>
      <c r="K1327" s="2" t="e">
        <f>VLOOKUP(B1327,'PO with created By ASR'!A:I,6,FALSE)</f>
        <v>#N/A</v>
      </c>
      <c r="L1327" s="2" t="str">
        <f>VLOOKUP(B1327,'PO with created By ASR'!A:J,7,FALSE)</f>
        <v>A - Mumbai</v>
      </c>
      <c r="M1327" s="2" t="str">
        <f>VLOOKUP(B1327,'PO with created By ASR'!A:K,8,FALSE)</f>
        <v>Purchase Order-Mum</v>
      </c>
      <c r="N1327" t="s">
        <v>36</v>
      </c>
      <c r="P1327" s="2">
        <v>6</v>
      </c>
    </row>
    <row r="1328" s="2" customFormat="1" spans="1:16">
      <c r="A1328" s="8"/>
      <c r="B1328" s="9" t="s">
        <v>2396</v>
      </c>
      <c r="C1328" s="10" t="s">
        <v>292</v>
      </c>
      <c r="D1328" s="11">
        <v>1</v>
      </c>
      <c r="E1328" s="12">
        <v>40404.4</v>
      </c>
      <c r="F1328" s="13">
        <v>40404.4</v>
      </c>
      <c r="G1328" s="2">
        <f>VLOOKUP(B1328,'PO with created By ASR'!A:C,3,FALSE)</f>
        <v>45692</v>
      </c>
      <c r="J1328" s="2" t="str">
        <f>VLOOKUP(B1328,'PO with created By ASR'!A:G,4,FALSE)</f>
        <v>Kirti Kishor Lokhande-Mum</v>
      </c>
      <c r="K1328" s="2" t="str">
        <f>VLOOKUP(B1328,'PO with created By ASR'!A:I,6,FALSE)</f>
        <v>10710 Kirti Kishor Lokhande</v>
      </c>
      <c r="L1328" s="2" t="str">
        <f>VLOOKUP(B1328,'PO with created By ASR'!A:J,7,FALSE)</f>
        <v>A - Mumbai</v>
      </c>
      <c r="M1328" s="2" t="str">
        <f>VLOOKUP(B1328,'PO with created By ASR'!A:K,8,FALSE)</f>
        <v>Purchase Order-Mum</v>
      </c>
      <c r="N1328" t="s">
        <v>36</v>
      </c>
      <c r="P1328" s="2">
        <v>6</v>
      </c>
    </row>
    <row r="1329" s="2" customFormat="1" spans="1:16">
      <c r="A1329" s="8"/>
      <c r="B1329" s="9" t="s">
        <v>2397</v>
      </c>
      <c r="C1329" s="10" t="s">
        <v>1055</v>
      </c>
      <c r="D1329" s="11">
        <v>1</v>
      </c>
      <c r="E1329" s="12">
        <v>1800</v>
      </c>
      <c r="F1329" s="13">
        <v>1800</v>
      </c>
      <c r="G1329" s="2">
        <f>VLOOKUP(B1329,'PO with created By ASR'!A:C,3,FALSE)</f>
        <v>45692</v>
      </c>
      <c r="J1329" s="2" t="str">
        <f>VLOOKUP(B1329,'PO with created By ASR'!A:G,4,FALSE)</f>
        <v>Sanjay Kathale Cash -CR</v>
      </c>
      <c r="K1329" s="2" t="e">
        <f>VLOOKUP(B1329,'PO with created By ASR'!A:I,6,FALSE)</f>
        <v>#N/A</v>
      </c>
      <c r="L1329" s="2" t="str">
        <f>VLOOKUP(B1329,'PO with created By ASR'!A:J,7,FALSE)</f>
        <v>A - Mumbai</v>
      </c>
      <c r="M1329" s="2" t="str">
        <f>VLOOKUP(B1329,'PO with created By ASR'!A:K,8,FALSE)</f>
        <v>Purchase Order-Mum</v>
      </c>
      <c r="N1329" t="s">
        <v>36</v>
      </c>
      <c r="P1329" s="2">
        <v>6</v>
      </c>
    </row>
    <row r="1330" s="2" customFormat="1" spans="1:16">
      <c r="A1330" s="8"/>
      <c r="B1330" s="9" t="s">
        <v>2397</v>
      </c>
      <c r="C1330" s="10" t="s">
        <v>126</v>
      </c>
      <c r="D1330" s="11">
        <v>1</v>
      </c>
      <c r="E1330" s="12">
        <v>480</v>
      </c>
      <c r="F1330" s="13">
        <v>480</v>
      </c>
      <c r="G1330" s="2">
        <f>VLOOKUP(B1330,'PO with created By ASR'!A:C,3,FALSE)</f>
        <v>45692</v>
      </c>
      <c r="J1330" s="2" t="str">
        <f>VLOOKUP(B1330,'PO with created By ASR'!A:G,4,FALSE)</f>
        <v>Sanjay Kathale Cash -CR</v>
      </c>
      <c r="K1330" s="2" t="e">
        <f>VLOOKUP(B1330,'PO with created By ASR'!A:I,6,FALSE)</f>
        <v>#N/A</v>
      </c>
      <c r="L1330" s="2" t="str">
        <f>VLOOKUP(B1330,'PO with created By ASR'!A:J,7,FALSE)</f>
        <v>A - Mumbai</v>
      </c>
      <c r="M1330" s="2" t="str">
        <f>VLOOKUP(B1330,'PO with created By ASR'!A:K,8,FALSE)</f>
        <v>Purchase Order-Mum</v>
      </c>
      <c r="N1330" t="s">
        <v>36</v>
      </c>
      <c r="P1330" s="2">
        <v>6</v>
      </c>
    </row>
    <row r="1331" s="2" customFormat="1" spans="1:16">
      <c r="A1331" s="8"/>
      <c r="B1331" s="9" t="s">
        <v>2398</v>
      </c>
      <c r="C1331" s="10" t="s">
        <v>126</v>
      </c>
      <c r="D1331" s="11">
        <v>1</v>
      </c>
      <c r="E1331" s="12">
        <v>1236</v>
      </c>
      <c r="F1331" s="13">
        <v>1236</v>
      </c>
      <c r="G1331" s="2">
        <f>VLOOKUP(B1331,'PO with created By ASR'!A:C,3,FALSE)</f>
        <v>45692</v>
      </c>
      <c r="J1331" s="2" t="str">
        <f>VLOOKUP(B1331,'PO with created By ASR'!A:G,4,FALSE)</f>
        <v>Samadhan Babar -CR</v>
      </c>
      <c r="K1331" s="2" t="e">
        <f>VLOOKUP(B1331,'PO with created By ASR'!A:I,6,FALSE)</f>
        <v>#N/A</v>
      </c>
      <c r="L1331" s="2" t="str">
        <f>VLOOKUP(B1331,'PO with created By ASR'!A:J,7,FALSE)</f>
        <v>A - Mumbai</v>
      </c>
      <c r="M1331" s="2" t="str">
        <f>VLOOKUP(B1331,'PO with created By ASR'!A:K,8,FALSE)</f>
        <v>Purchase Order-Mum</v>
      </c>
      <c r="N1331" t="s">
        <v>36</v>
      </c>
      <c r="P1331" s="2">
        <v>6</v>
      </c>
    </row>
    <row r="1332" s="2" customFormat="1" spans="1:16">
      <c r="A1332" s="8"/>
      <c r="B1332" s="9" t="s">
        <v>2400</v>
      </c>
      <c r="C1332" s="10" t="s">
        <v>317</v>
      </c>
      <c r="D1332" s="11">
        <v>1</v>
      </c>
      <c r="E1332" s="12">
        <v>700</v>
      </c>
      <c r="F1332" s="13">
        <v>700</v>
      </c>
      <c r="G1332" s="2">
        <f>VLOOKUP(B1332,'PO with created By ASR'!A:C,3,FALSE)</f>
        <v>45692</v>
      </c>
      <c r="J1332" s="2" t="str">
        <f>VLOOKUP(B1332,'PO with created By ASR'!A:G,4,FALSE)</f>
        <v>Rajaram Shinde Cash -CR</v>
      </c>
      <c r="K1332" s="2" t="e">
        <f>VLOOKUP(B1332,'PO with created By ASR'!A:I,6,FALSE)</f>
        <v>#N/A</v>
      </c>
      <c r="L1332" s="2" t="str">
        <f>VLOOKUP(B1332,'PO with created By ASR'!A:J,7,FALSE)</f>
        <v>A - Mumbai</v>
      </c>
      <c r="M1332" s="2" t="str">
        <f>VLOOKUP(B1332,'PO with created By ASR'!A:K,8,FALSE)</f>
        <v>Purchase Order-Mum</v>
      </c>
      <c r="N1332" t="s">
        <v>36</v>
      </c>
      <c r="P1332" s="2">
        <v>6</v>
      </c>
    </row>
    <row r="1333" s="2" customFormat="1" spans="1:16">
      <c r="A1333" s="8"/>
      <c r="B1333" s="9" t="s">
        <v>2401</v>
      </c>
      <c r="C1333" s="10" t="s">
        <v>250</v>
      </c>
      <c r="D1333" s="11">
        <v>1</v>
      </c>
      <c r="E1333" s="12">
        <v>25000</v>
      </c>
      <c r="F1333" s="13">
        <v>25000</v>
      </c>
      <c r="G1333" s="2">
        <f>VLOOKUP(B1333,'PO with created By ASR'!A:C,3,FALSE)</f>
        <v>45692</v>
      </c>
      <c r="J1333" s="2" t="str">
        <f>VLOOKUP(B1333,'PO with created By ASR'!A:G,4,FALSE)</f>
        <v>Twintech Entertainment LLP-Mum</v>
      </c>
      <c r="K1333" s="2" t="str">
        <f>VLOOKUP(B1333,'PO with created By ASR'!A:I,6,FALSE)</f>
        <v>10981 Twintech Entertainment LLP</v>
      </c>
      <c r="L1333" s="2" t="str">
        <f>VLOOKUP(B1333,'PO with created By ASR'!A:J,7,FALSE)</f>
        <v>A - Mumbai</v>
      </c>
      <c r="M1333" s="2" t="str">
        <f>VLOOKUP(B1333,'PO with created By ASR'!A:K,8,FALSE)</f>
        <v>Purchase Order-Mum</v>
      </c>
      <c r="N1333" t="s">
        <v>36</v>
      </c>
      <c r="P1333" s="2">
        <v>6</v>
      </c>
    </row>
    <row r="1334" s="2" customFormat="1" spans="1:16">
      <c r="A1334" s="8"/>
      <c r="B1334" s="9" t="s">
        <v>2402</v>
      </c>
      <c r="C1334" s="10" t="s">
        <v>250</v>
      </c>
      <c r="D1334" s="11">
        <v>1</v>
      </c>
      <c r="E1334" s="12">
        <v>150000</v>
      </c>
      <c r="F1334" s="13">
        <v>150000</v>
      </c>
      <c r="G1334" s="2">
        <f>VLOOKUP(B1334,'PO with created By ASR'!A:C,3,FALSE)</f>
        <v>45692</v>
      </c>
      <c r="J1334" s="2" t="str">
        <f>VLOOKUP(B1334,'PO with created By ASR'!A:G,4,FALSE)</f>
        <v>Blink Entertainment-Mum</v>
      </c>
      <c r="K1334" s="2" t="str">
        <f>VLOOKUP(B1334,'PO with created By ASR'!A:I,6,FALSE)</f>
        <v>11177 Blink Entertainment</v>
      </c>
      <c r="L1334" s="2" t="str">
        <f>VLOOKUP(B1334,'PO with created By ASR'!A:J,7,FALSE)</f>
        <v>A - Mumbai</v>
      </c>
      <c r="M1334" s="2" t="str">
        <f>VLOOKUP(B1334,'PO with created By ASR'!A:K,8,FALSE)</f>
        <v>Purchase Order-Mum</v>
      </c>
      <c r="N1334" t="s">
        <v>36</v>
      </c>
      <c r="P1334" s="2">
        <v>6</v>
      </c>
    </row>
    <row r="1335" s="2" customFormat="1" spans="1:16">
      <c r="A1335" s="8"/>
      <c r="B1335" s="9" t="s">
        <v>2403</v>
      </c>
      <c r="C1335" s="10" t="s">
        <v>250</v>
      </c>
      <c r="D1335" s="11">
        <v>1</v>
      </c>
      <c r="E1335" s="12">
        <v>24000</v>
      </c>
      <c r="F1335" s="13">
        <v>24000</v>
      </c>
      <c r="G1335" s="2">
        <f>VLOOKUP(B1335,'PO with created By ASR'!A:C,3,FALSE)</f>
        <v>45692</v>
      </c>
      <c r="J1335" s="2" t="str">
        <f>VLOOKUP(B1335,'PO with created By ASR'!A:G,4,FALSE)</f>
        <v>Mumbai Shree Garjana (Ajay Adsule)-Mum</v>
      </c>
      <c r="K1335" s="2" t="str">
        <f>VLOOKUP(B1335,'PO with created By ASR'!A:I,6,FALSE)</f>
        <v>10760 Mumbai Shree Garjana (Ajay Adsule)</v>
      </c>
      <c r="L1335" s="2" t="str">
        <f>VLOOKUP(B1335,'PO with created By ASR'!A:J,7,FALSE)</f>
        <v>A - Mumbai</v>
      </c>
      <c r="M1335" s="2" t="str">
        <f>VLOOKUP(B1335,'PO with created By ASR'!A:K,8,FALSE)</f>
        <v>Purchase Order-Mum</v>
      </c>
      <c r="N1335" t="s">
        <v>36</v>
      </c>
      <c r="P1335" s="2">
        <v>6</v>
      </c>
    </row>
    <row r="1336" s="2" customFormat="1" spans="1:16">
      <c r="A1336" s="8"/>
      <c r="B1336" s="9" t="s">
        <v>2404</v>
      </c>
      <c r="C1336" s="10" t="s">
        <v>250</v>
      </c>
      <c r="D1336" s="11">
        <v>1</v>
      </c>
      <c r="E1336" s="12">
        <v>300000</v>
      </c>
      <c r="F1336" s="13">
        <v>300000</v>
      </c>
      <c r="G1336" s="2">
        <f>VLOOKUP(B1336,'PO with created By ASR'!A:C,3,FALSE)</f>
        <v>45692</v>
      </c>
      <c r="J1336" s="2" t="str">
        <f>VLOOKUP(B1336,'PO with created By ASR'!A:G,4,FALSE)</f>
        <v>Drum Caf?Mum</v>
      </c>
      <c r="K1336" s="2" t="e">
        <f>VLOOKUP(B1336,'PO with created By ASR'!A:I,6,FALSE)</f>
        <v>#N/A</v>
      </c>
      <c r="L1336" s="2" t="str">
        <f>VLOOKUP(B1336,'PO with created By ASR'!A:J,7,FALSE)</f>
        <v>A - Mumbai</v>
      </c>
      <c r="M1336" s="2" t="str">
        <f>VLOOKUP(B1336,'PO with created By ASR'!A:K,8,FALSE)</f>
        <v>Purchase Order-Mum</v>
      </c>
      <c r="N1336" t="s">
        <v>36</v>
      </c>
      <c r="P1336" s="2">
        <v>6</v>
      </c>
    </row>
    <row r="1337" s="2" customFormat="1" spans="1:16">
      <c r="A1337" s="8"/>
      <c r="B1337" s="9" t="s">
        <v>2406</v>
      </c>
      <c r="C1337" s="10" t="s">
        <v>140</v>
      </c>
      <c r="D1337" s="11">
        <v>1</v>
      </c>
      <c r="E1337" s="12">
        <v>24500</v>
      </c>
      <c r="F1337" s="13">
        <v>24500</v>
      </c>
      <c r="G1337" s="2">
        <f>VLOOKUP(B1337,'PO with created By ASR'!A:C,3,FALSE)</f>
        <v>45692</v>
      </c>
      <c r="J1337" s="2" t="str">
        <f>VLOOKUP(B1337,'PO with created By ASR'!A:G,4,FALSE)</f>
        <v>A. J. Creation-Mum</v>
      </c>
      <c r="K1337" s="2" t="e">
        <f>VLOOKUP(B1337,'PO with created By ASR'!A:I,6,FALSE)</f>
        <v>#N/A</v>
      </c>
      <c r="L1337" s="2" t="str">
        <f>VLOOKUP(B1337,'PO with created By ASR'!A:J,7,FALSE)</f>
        <v>A - Mumbai</v>
      </c>
      <c r="M1337" s="2" t="str">
        <f>VLOOKUP(B1337,'PO with created By ASR'!A:K,8,FALSE)</f>
        <v>Purchase Order-Mum</v>
      </c>
      <c r="N1337" t="s">
        <v>36</v>
      </c>
      <c r="P1337" s="2">
        <v>6</v>
      </c>
    </row>
    <row r="1338" s="2" customFormat="1" spans="1:16">
      <c r="A1338" s="8"/>
      <c r="B1338" s="9" t="s">
        <v>2408</v>
      </c>
      <c r="C1338" s="10" t="s">
        <v>196</v>
      </c>
      <c r="D1338" s="11">
        <v>1</v>
      </c>
      <c r="E1338" s="12">
        <v>2800</v>
      </c>
      <c r="F1338" s="13">
        <v>2800</v>
      </c>
      <c r="G1338" s="2">
        <f>VLOOKUP(B1338,'PO with created By ASR'!A:C,3,FALSE)</f>
        <v>45692</v>
      </c>
      <c r="J1338" s="2" t="str">
        <f>VLOOKUP(B1338,'PO with created By ASR'!A:G,4,FALSE)</f>
        <v>Ambika Print Solutions-Mum</v>
      </c>
      <c r="K1338" s="2" t="str">
        <f>VLOOKUP(B1338,'PO with created By ASR'!A:I,6,FALSE)</f>
        <v>11155 Ambika Print Solutions</v>
      </c>
      <c r="L1338" s="2" t="str">
        <f>VLOOKUP(B1338,'PO with created By ASR'!A:J,7,FALSE)</f>
        <v>A - Mumbai</v>
      </c>
      <c r="M1338" s="2" t="str">
        <f>VLOOKUP(B1338,'PO with created By ASR'!A:K,8,FALSE)</f>
        <v>Purchase Order-Mum</v>
      </c>
      <c r="N1338" t="s">
        <v>36</v>
      </c>
      <c r="P1338" s="2">
        <v>6</v>
      </c>
    </row>
    <row r="1339" s="2" customFormat="1" spans="1:16">
      <c r="A1339" s="8"/>
      <c r="B1339" s="9" t="s">
        <v>2409</v>
      </c>
      <c r="C1339" s="10" t="s">
        <v>140</v>
      </c>
      <c r="D1339" s="11">
        <v>1</v>
      </c>
      <c r="E1339" s="12">
        <v>30000</v>
      </c>
      <c r="F1339" s="13">
        <v>30000</v>
      </c>
      <c r="G1339" s="2">
        <f>VLOOKUP(B1339,'PO with created By ASR'!A:C,3,FALSE)</f>
        <v>45692</v>
      </c>
      <c r="J1339" s="2" t="str">
        <f>VLOOKUP(B1339,'PO with created By ASR'!A:G,4,FALSE)</f>
        <v>Event City - An Affair To Remember-Mum</v>
      </c>
      <c r="K1339" s="2" t="e">
        <f>VLOOKUP(B1339,'PO with created By ASR'!A:I,6,FALSE)</f>
        <v>#N/A</v>
      </c>
      <c r="L1339" s="2" t="str">
        <f>VLOOKUP(B1339,'PO with created By ASR'!A:J,7,FALSE)</f>
        <v>A - Mumbai</v>
      </c>
      <c r="M1339" s="2" t="str">
        <f>VLOOKUP(B1339,'PO with created By ASR'!A:K,8,FALSE)</f>
        <v>Purchase Order-Mum</v>
      </c>
      <c r="N1339" t="s">
        <v>36</v>
      </c>
      <c r="P1339" s="2">
        <v>6</v>
      </c>
    </row>
    <row r="1340" s="2" customFormat="1" spans="1:16">
      <c r="A1340" s="8"/>
      <c r="B1340" s="9" t="s">
        <v>2411</v>
      </c>
      <c r="C1340" s="10" t="s">
        <v>250</v>
      </c>
      <c r="D1340" s="11">
        <v>1</v>
      </c>
      <c r="E1340" s="12">
        <v>20000</v>
      </c>
      <c r="F1340" s="13">
        <v>20000</v>
      </c>
      <c r="G1340" s="2">
        <f>VLOOKUP(B1340,'PO with created By ASR'!A:C,3,FALSE)</f>
        <v>45692</v>
      </c>
      <c r="J1340" s="2" t="str">
        <f>VLOOKUP(B1340,'PO with created By ASR'!A:G,4,FALSE)</f>
        <v>Twintech Entertainment LLP-Mum</v>
      </c>
      <c r="K1340" s="2" t="str">
        <f>VLOOKUP(B1340,'PO with created By ASR'!A:I,6,FALSE)</f>
        <v>10981 Twintech Entertainment LLP</v>
      </c>
      <c r="L1340" s="2" t="str">
        <f>VLOOKUP(B1340,'PO with created By ASR'!A:J,7,FALSE)</f>
        <v>A - Mumbai</v>
      </c>
      <c r="M1340" s="2" t="str">
        <f>VLOOKUP(B1340,'PO with created By ASR'!A:K,8,FALSE)</f>
        <v>Purchase Order-Mum</v>
      </c>
      <c r="N1340" t="s">
        <v>36</v>
      </c>
      <c r="P1340" s="2">
        <v>6</v>
      </c>
    </row>
    <row r="1341" s="2" customFormat="1" spans="1:16">
      <c r="A1341" s="8"/>
      <c r="B1341" s="9" t="s">
        <v>2412</v>
      </c>
      <c r="C1341" s="10" t="s">
        <v>317</v>
      </c>
      <c r="D1341" s="11">
        <v>1</v>
      </c>
      <c r="E1341" s="12">
        <v>500000</v>
      </c>
      <c r="F1341" s="13">
        <v>500000</v>
      </c>
      <c r="G1341" s="2">
        <f>VLOOKUP(B1341,'PO with created By ASR'!A:C,3,FALSE)</f>
        <v>45692</v>
      </c>
      <c r="J1341" s="2" t="str">
        <f>VLOOKUP(B1341,'PO with created By ASR'!A:G,4,FALSE)</f>
        <v>Success Promos &amp; Events Pvt Ltd-Mum</v>
      </c>
      <c r="K1341" s="2" t="str">
        <f>VLOOKUP(B1341,'PO with created By ASR'!A:I,6,FALSE)</f>
        <v>12469  Success Promos &amp; Events Pvt Ltd</v>
      </c>
      <c r="L1341" s="2" t="str">
        <f>VLOOKUP(B1341,'PO with created By ASR'!A:J,7,FALSE)</f>
        <v>A - Mumbai</v>
      </c>
      <c r="M1341" s="2" t="str">
        <f>VLOOKUP(B1341,'PO with created By ASR'!A:K,8,FALSE)</f>
        <v>Purchase Order-Mum</v>
      </c>
      <c r="N1341" t="s">
        <v>36</v>
      </c>
      <c r="P1341" s="2">
        <v>6</v>
      </c>
    </row>
    <row r="1342" s="2" customFormat="1" spans="1:16">
      <c r="A1342" s="8"/>
      <c r="B1342" s="9" t="s">
        <v>2413</v>
      </c>
      <c r="C1342" s="10" t="s">
        <v>140</v>
      </c>
      <c r="D1342" s="11">
        <v>1</v>
      </c>
      <c r="E1342" s="12">
        <v>6150</v>
      </c>
      <c r="F1342" s="13">
        <v>6150</v>
      </c>
      <c r="G1342" s="2">
        <f>VLOOKUP(B1342,'PO with created By ASR'!A:C,3,FALSE)</f>
        <v>45692</v>
      </c>
      <c r="J1342" s="2" t="str">
        <f>VLOOKUP(B1342,'PO with created By ASR'!A:G,4,FALSE)</f>
        <v>A. J. Creation-Mum</v>
      </c>
      <c r="K1342" s="2" t="e">
        <f>VLOOKUP(B1342,'PO with created By ASR'!A:I,6,FALSE)</f>
        <v>#N/A</v>
      </c>
      <c r="L1342" s="2" t="str">
        <f>VLOOKUP(B1342,'PO with created By ASR'!A:J,7,FALSE)</f>
        <v>A - Mumbai</v>
      </c>
      <c r="M1342" s="2" t="str">
        <f>VLOOKUP(B1342,'PO with created By ASR'!A:K,8,FALSE)</f>
        <v>Purchase Order-Mum</v>
      </c>
      <c r="N1342" t="s">
        <v>36</v>
      </c>
      <c r="P1342" s="2">
        <v>6</v>
      </c>
    </row>
    <row r="1343" s="2" customFormat="1" spans="1:16">
      <c r="A1343" s="8"/>
      <c r="B1343" s="9" t="s">
        <v>2414</v>
      </c>
      <c r="C1343" s="10" t="s">
        <v>347</v>
      </c>
      <c r="D1343" s="11">
        <v>1</v>
      </c>
      <c r="E1343" s="12">
        <v>198000</v>
      </c>
      <c r="F1343" s="13">
        <v>198000</v>
      </c>
      <c r="G1343" s="2">
        <f>VLOOKUP(B1343,'PO with created By ASR'!A:C,3,FALSE)</f>
        <v>45692</v>
      </c>
      <c r="J1343" s="2" t="str">
        <f>VLOOKUP(B1343,'PO with created By ASR'!A:G,4,FALSE)</f>
        <v>Maadhu Creatives Production LLP-Mum</v>
      </c>
      <c r="K1343" s="2" t="str">
        <f>VLOOKUP(B1343,'PO with created By ASR'!A:I,6,FALSE)</f>
        <v>12965 Maadhu Creatives Production LLP</v>
      </c>
      <c r="L1343" s="2" t="str">
        <f>VLOOKUP(B1343,'PO with created By ASR'!A:J,7,FALSE)</f>
        <v>A - Mumbai</v>
      </c>
      <c r="M1343" s="2" t="str">
        <f>VLOOKUP(B1343,'PO with created By ASR'!A:K,8,FALSE)</f>
        <v>Purchase Order-Mum</v>
      </c>
      <c r="N1343" t="s">
        <v>36</v>
      </c>
      <c r="P1343" s="2">
        <v>6</v>
      </c>
    </row>
    <row r="1344" s="2" customFormat="1" spans="1:16">
      <c r="A1344" s="8"/>
      <c r="B1344" s="9" t="s">
        <v>2418</v>
      </c>
      <c r="C1344" s="10" t="s">
        <v>256</v>
      </c>
      <c r="D1344" s="11">
        <v>1</v>
      </c>
      <c r="E1344" s="12">
        <v>30000</v>
      </c>
      <c r="F1344" s="13">
        <v>30000</v>
      </c>
      <c r="G1344" s="2">
        <f>VLOOKUP(B1344,'PO with created By ASR'!A:C,3,FALSE)</f>
        <v>45692</v>
      </c>
      <c r="J1344" s="2" t="str">
        <f>VLOOKUP(B1344,'PO with created By ASR'!A:G,4,FALSE)</f>
        <v>The Indian Performing Right Society Ltd.-Mum</v>
      </c>
      <c r="K1344" s="2" t="e">
        <f>VLOOKUP(B1344,'PO with created By ASR'!A:I,6,FALSE)</f>
        <v>#N/A</v>
      </c>
      <c r="L1344" s="2" t="str">
        <f>VLOOKUP(B1344,'PO with created By ASR'!A:J,7,FALSE)</f>
        <v>A - Mumbai</v>
      </c>
      <c r="M1344" s="2" t="str">
        <f>VLOOKUP(B1344,'PO with created By ASR'!A:K,8,FALSE)</f>
        <v>Purchase Order-Mum</v>
      </c>
      <c r="N1344" t="s">
        <v>36</v>
      </c>
      <c r="P1344" s="2">
        <v>6</v>
      </c>
    </row>
    <row r="1345" s="2" customFormat="1" spans="1:16">
      <c r="A1345" s="8"/>
      <c r="B1345" s="9" t="s">
        <v>2419</v>
      </c>
      <c r="C1345" s="10" t="s">
        <v>256</v>
      </c>
      <c r="D1345" s="11">
        <v>1</v>
      </c>
      <c r="E1345" s="12">
        <v>55500</v>
      </c>
      <c r="F1345" s="13">
        <v>55500</v>
      </c>
      <c r="G1345" s="2">
        <f>VLOOKUP(B1345,'PO with created By ASR'!A:C,3,FALSE)</f>
        <v>45692</v>
      </c>
      <c r="J1345" s="2" t="str">
        <f>VLOOKUP(B1345,'PO with created By ASR'!A:G,4,FALSE)</f>
        <v>Phonographic Performance Limited-Mum</v>
      </c>
      <c r="K1345" s="2" t="e">
        <f>VLOOKUP(B1345,'PO with created By ASR'!A:I,6,FALSE)</f>
        <v>#N/A</v>
      </c>
      <c r="L1345" s="2" t="str">
        <f>VLOOKUP(B1345,'PO with created By ASR'!A:J,7,FALSE)</f>
        <v>A - Mumbai</v>
      </c>
      <c r="M1345" s="2" t="str">
        <f>VLOOKUP(B1345,'PO with created By ASR'!A:K,8,FALSE)</f>
        <v>Purchase Order-Mum</v>
      </c>
      <c r="N1345" t="s">
        <v>36</v>
      </c>
      <c r="P1345" s="2">
        <v>6</v>
      </c>
    </row>
    <row r="1346" s="2" customFormat="1" spans="1:16">
      <c r="A1346" s="8"/>
      <c r="B1346" s="9" t="s">
        <v>2420</v>
      </c>
      <c r="C1346" s="10" t="s">
        <v>256</v>
      </c>
      <c r="D1346" s="11">
        <v>1</v>
      </c>
      <c r="E1346" s="12">
        <v>60000</v>
      </c>
      <c r="F1346" s="13">
        <v>60000</v>
      </c>
      <c r="G1346" s="2">
        <f>VLOOKUP(B1346,'PO with created By ASR'!A:C,3,FALSE)</f>
        <v>45692</v>
      </c>
      <c r="J1346" s="2" t="str">
        <f>VLOOKUP(B1346,'PO with created By ASR'!A:G,4,FALSE)</f>
        <v>Novex Communications Pvt. Ltd.-Mum</v>
      </c>
      <c r="K1346" s="2" t="e">
        <f>VLOOKUP(B1346,'PO with created By ASR'!A:I,6,FALSE)</f>
        <v>#N/A</v>
      </c>
      <c r="L1346" s="2" t="str">
        <f>VLOOKUP(B1346,'PO with created By ASR'!A:J,7,FALSE)</f>
        <v>A - Mumbai</v>
      </c>
      <c r="M1346" s="2" t="str">
        <f>VLOOKUP(B1346,'PO with created By ASR'!A:K,8,FALSE)</f>
        <v>Purchase Order-Mum</v>
      </c>
      <c r="N1346" t="s">
        <v>36</v>
      </c>
      <c r="P1346" s="2">
        <v>6</v>
      </c>
    </row>
    <row r="1347" s="2" customFormat="1" spans="1:16">
      <c r="A1347" s="8"/>
      <c r="B1347" s="9" t="s">
        <v>2421</v>
      </c>
      <c r="C1347" s="10" t="s">
        <v>256</v>
      </c>
      <c r="D1347" s="11">
        <v>1</v>
      </c>
      <c r="E1347" s="12">
        <v>30000</v>
      </c>
      <c r="F1347" s="13">
        <v>30000</v>
      </c>
      <c r="G1347" s="2">
        <f>VLOOKUP(B1347,'PO with created By ASR'!A:C,3,FALSE)</f>
        <v>45692</v>
      </c>
      <c r="J1347" s="2" t="str">
        <f>VLOOKUP(B1347,'PO with created By ASR'!A:G,4,FALSE)</f>
        <v>The Indian Performing Right Society Ltd.-Mum</v>
      </c>
      <c r="K1347" s="2" t="e">
        <f>VLOOKUP(B1347,'PO with created By ASR'!A:I,6,FALSE)</f>
        <v>#N/A</v>
      </c>
      <c r="L1347" s="2" t="str">
        <f>VLOOKUP(B1347,'PO with created By ASR'!A:J,7,FALSE)</f>
        <v>A - Mumbai</v>
      </c>
      <c r="M1347" s="2" t="str">
        <f>VLOOKUP(B1347,'PO with created By ASR'!A:K,8,FALSE)</f>
        <v>Purchase Order-Mum</v>
      </c>
      <c r="N1347" t="s">
        <v>36</v>
      </c>
      <c r="P1347" s="2">
        <v>6</v>
      </c>
    </row>
    <row r="1348" s="2" customFormat="1" spans="1:16">
      <c r="A1348" s="8"/>
      <c r="B1348" s="9" t="s">
        <v>2422</v>
      </c>
      <c r="C1348" s="10" t="s">
        <v>256</v>
      </c>
      <c r="D1348" s="11">
        <v>1</v>
      </c>
      <c r="E1348" s="12">
        <v>55500</v>
      </c>
      <c r="F1348" s="13">
        <v>55500</v>
      </c>
      <c r="G1348" s="2">
        <f>VLOOKUP(B1348,'PO with created By ASR'!A:C,3,FALSE)</f>
        <v>45692</v>
      </c>
      <c r="J1348" s="2" t="str">
        <f>VLOOKUP(B1348,'PO with created By ASR'!A:G,4,FALSE)</f>
        <v>Phonographic Performance Limited-Mum</v>
      </c>
      <c r="K1348" s="2" t="e">
        <f>VLOOKUP(B1348,'PO with created By ASR'!A:I,6,FALSE)</f>
        <v>#N/A</v>
      </c>
      <c r="L1348" s="2" t="str">
        <f>VLOOKUP(B1348,'PO with created By ASR'!A:J,7,FALSE)</f>
        <v>A - Mumbai</v>
      </c>
      <c r="M1348" s="2" t="str">
        <f>VLOOKUP(B1348,'PO with created By ASR'!A:K,8,FALSE)</f>
        <v>Purchase Order-Mum</v>
      </c>
      <c r="N1348" t="s">
        <v>36</v>
      </c>
      <c r="P1348" s="2">
        <v>6</v>
      </c>
    </row>
    <row r="1349" s="2" customFormat="1" spans="1:16">
      <c r="A1349" s="8"/>
      <c r="B1349" s="9" t="s">
        <v>2423</v>
      </c>
      <c r="C1349" s="10" t="s">
        <v>256</v>
      </c>
      <c r="D1349" s="11">
        <v>1</v>
      </c>
      <c r="E1349" s="12">
        <v>60000</v>
      </c>
      <c r="F1349" s="13">
        <v>60000</v>
      </c>
      <c r="G1349" s="2">
        <f>VLOOKUP(B1349,'PO with created By ASR'!A:C,3,FALSE)</f>
        <v>45692</v>
      </c>
      <c r="J1349" s="2" t="str">
        <f>VLOOKUP(B1349,'PO with created By ASR'!A:G,4,FALSE)</f>
        <v>Novex Communications Pvt. Ltd.-Mum</v>
      </c>
      <c r="K1349" s="2" t="e">
        <f>VLOOKUP(B1349,'PO with created By ASR'!A:I,6,FALSE)</f>
        <v>#N/A</v>
      </c>
      <c r="L1349" s="2" t="str">
        <f>VLOOKUP(B1349,'PO with created By ASR'!A:J,7,FALSE)</f>
        <v>A - Mumbai</v>
      </c>
      <c r="M1349" s="2" t="str">
        <f>VLOOKUP(B1349,'PO with created By ASR'!A:K,8,FALSE)</f>
        <v>Purchase Order-Mum</v>
      </c>
      <c r="N1349" t="s">
        <v>36</v>
      </c>
      <c r="P1349" s="2">
        <v>6</v>
      </c>
    </row>
    <row r="1350" s="2" customFormat="1" spans="1:16">
      <c r="A1350" s="8"/>
      <c r="B1350" s="9" t="s">
        <v>2424</v>
      </c>
      <c r="C1350" s="10" t="s">
        <v>256</v>
      </c>
      <c r="D1350" s="11">
        <v>1</v>
      </c>
      <c r="E1350" s="12">
        <v>25000</v>
      </c>
      <c r="F1350" s="13">
        <v>25000</v>
      </c>
      <c r="G1350" s="2">
        <f>VLOOKUP(B1350,'PO with created By ASR'!A:C,3,FALSE)</f>
        <v>45692</v>
      </c>
      <c r="J1350" s="2" t="str">
        <f>VLOOKUP(B1350,'PO with created By ASR'!A:G,4,FALSE)</f>
        <v>Recorded Music Performance Ltd-Mum</v>
      </c>
      <c r="K1350" s="2" t="str">
        <f>VLOOKUP(B1350,'PO with created By ASR'!A:I,6,FALSE)</f>
        <v>10856  Recorded Music Performance Ltd</v>
      </c>
      <c r="L1350" s="2" t="str">
        <f>VLOOKUP(B1350,'PO with created By ASR'!A:J,7,FALSE)</f>
        <v>A - Mumbai</v>
      </c>
      <c r="M1350" s="2" t="str">
        <f>VLOOKUP(B1350,'PO with created By ASR'!A:K,8,FALSE)</f>
        <v>Purchase Order-Mum</v>
      </c>
      <c r="N1350" t="s">
        <v>36</v>
      </c>
      <c r="P1350" s="2">
        <v>6</v>
      </c>
    </row>
    <row r="1351" s="2" customFormat="1" spans="1:16">
      <c r="A1351" s="8"/>
      <c r="B1351" s="9" t="s">
        <v>2425</v>
      </c>
      <c r="C1351" s="10" t="s">
        <v>256</v>
      </c>
      <c r="D1351" s="11">
        <v>1</v>
      </c>
      <c r="E1351" s="12">
        <v>10000</v>
      </c>
      <c r="F1351" s="13">
        <v>10000</v>
      </c>
      <c r="G1351" s="2">
        <f>VLOOKUP(B1351,'PO with created By ASR'!A:C,3,FALSE)</f>
        <v>45692</v>
      </c>
      <c r="J1351" s="2" t="str">
        <f>VLOOKUP(B1351,'PO with created By ASR'!A:G,4,FALSE)</f>
        <v>Vista Services (Sainath Govind Shirke)-Mum</v>
      </c>
      <c r="K1351" s="2" t="str">
        <f>VLOOKUP(B1351,'PO with created By ASR'!A:I,6,FALSE)</f>
        <v>10237 Vista Services (Sainath Govind Shirke)</v>
      </c>
      <c r="L1351" s="2" t="str">
        <f>VLOOKUP(B1351,'PO with created By ASR'!A:J,7,FALSE)</f>
        <v>A - Mumbai</v>
      </c>
      <c r="M1351" s="2" t="str">
        <f>VLOOKUP(B1351,'PO with created By ASR'!A:K,8,FALSE)</f>
        <v>Purchase Order-Mum</v>
      </c>
      <c r="N1351" t="s">
        <v>36</v>
      </c>
      <c r="P1351" s="2">
        <v>6</v>
      </c>
    </row>
    <row r="1352" s="2" customFormat="1" spans="1:16">
      <c r="A1352" s="8"/>
      <c r="B1352" s="9" t="s">
        <v>2426</v>
      </c>
      <c r="C1352" s="10" t="s">
        <v>140</v>
      </c>
      <c r="D1352" s="11">
        <v>1</v>
      </c>
      <c r="E1352" s="12">
        <v>10178.57</v>
      </c>
      <c r="F1352" s="13">
        <v>10178.57</v>
      </c>
      <c r="G1352" s="2">
        <f>VLOOKUP(B1352,'PO with created By ASR'!A:C,3,FALSE)</f>
        <v>45692</v>
      </c>
      <c r="J1352" s="2" t="str">
        <f>VLOOKUP(B1352,'PO with created By ASR'!A:G,4,FALSE)</f>
        <v>Bombay Swadeshi Stores Ltd-Mum</v>
      </c>
      <c r="K1352" s="2" t="str">
        <f>VLOOKUP(B1352,'PO with created By ASR'!A:I,6,FALSE)</f>
        <v>11179  Bombay Swadeshi Stores Ltd</v>
      </c>
      <c r="L1352" s="2" t="str">
        <f>VLOOKUP(B1352,'PO with created By ASR'!A:J,7,FALSE)</f>
        <v>A - Mumbai</v>
      </c>
      <c r="M1352" s="2" t="str">
        <f>VLOOKUP(B1352,'PO with created By ASR'!A:K,8,FALSE)</f>
        <v>Purchase Order-Mum</v>
      </c>
      <c r="N1352" t="s">
        <v>36</v>
      </c>
      <c r="P1352" s="2">
        <v>6</v>
      </c>
    </row>
    <row r="1353" s="2" customFormat="1" spans="1:16">
      <c r="A1353" s="8"/>
      <c r="B1353" s="9" t="s">
        <v>2430</v>
      </c>
      <c r="C1353" s="10" t="s">
        <v>401</v>
      </c>
      <c r="D1353" s="11">
        <v>1</v>
      </c>
      <c r="E1353" s="12">
        <v>260000</v>
      </c>
      <c r="F1353" s="13">
        <v>260000</v>
      </c>
      <c r="G1353" s="2">
        <f>VLOOKUP(B1353,'PO with created By ASR'!A:C,3,FALSE)</f>
        <v>45692</v>
      </c>
      <c r="J1353" s="2" t="str">
        <f>VLOOKUP(B1353,'PO with created By ASR'!A:G,4,FALSE)</f>
        <v>TML Agency LLP-Mum</v>
      </c>
      <c r="K1353" s="2" t="str">
        <f>VLOOKUP(B1353,'PO with created By ASR'!A:I,6,FALSE)</f>
        <v>12975 TML Agency LLP</v>
      </c>
      <c r="L1353" s="2" t="str">
        <f>VLOOKUP(B1353,'PO with created By ASR'!A:J,7,FALSE)</f>
        <v>A - Mumbai</v>
      </c>
      <c r="M1353" s="2" t="str">
        <f>VLOOKUP(B1353,'PO with created By ASR'!A:K,8,FALSE)</f>
        <v>Purchase Order-Mum</v>
      </c>
      <c r="N1353" t="s">
        <v>36</v>
      </c>
      <c r="P1353" s="2">
        <v>6</v>
      </c>
    </row>
    <row r="1354" s="2" customFormat="1" spans="1:16">
      <c r="A1354" s="8"/>
      <c r="B1354" s="9" t="s">
        <v>2433</v>
      </c>
      <c r="C1354" s="10" t="s">
        <v>317</v>
      </c>
      <c r="D1354" s="11">
        <v>1</v>
      </c>
      <c r="E1354" s="12">
        <v>18000</v>
      </c>
      <c r="F1354" s="13">
        <v>18000</v>
      </c>
      <c r="G1354" s="2">
        <f>VLOOKUP(B1354,'PO with created By ASR'!A:C,3,FALSE)</f>
        <v>45692</v>
      </c>
      <c r="J1354" s="2" t="str">
        <f>VLOOKUP(B1354,'PO with created By ASR'!A:G,4,FALSE)</f>
        <v>The Infinite Impressions-Mum</v>
      </c>
      <c r="K1354" s="2" t="str">
        <f>VLOOKUP(B1354,'PO with created By ASR'!A:I,6,FALSE)</f>
        <v>10098 The Infinite Impressions</v>
      </c>
      <c r="L1354" s="2" t="str">
        <f>VLOOKUP(B1354,'PO with created By ASR'!A:J,7,FALSE)</f>
        <v>A - Mumbai</v>
      </c>
      <c r="M1354" s="2" t="str">
        <f>VLOOKUP(B1354,'PO with created By ASR'!A:K,8,FALSE)</f>
        <v>Purchase Order-Mum</v>
      </c>
      <c r="N1354" t="s">
        <v>36</v>
      </c>
      <c r="P1354" s="2">
        <v>6</v>
      </c>
    </row>
    <row r="1355" s="2" customFormat="1" spans="1:16">
      <c r="A1355" s="8"/>
      <c r="B1355" s="9" t="s">
        <v>2434</v>
      </c>
      <c r="C1355" s="10" t="s">
        <v>151</v>
      </c>
      <c r="D1355" s="11">
        <v>1</v>
      </c>
      <c r="E1355" s="12">
        <v>280000</v>
      </c>
      <c r="F1355" s="13">
        <v>280000</v>
      </c>
      <c r="G1355" s="2">
        <f>VLOOKUP(B1355,'PO with created By ASR'!A:C,3,FALSE)</f>
        <v>45693</v>
      </c>
      <c r="J1355" s="2" t="str">
        <f>VLOOKUP(B1355,'PO with created By ASR'!A:G,4,FALSE)</f>
        <v>Jay Jagannath Samal Event Production-Blr</v>
      </c>
      <c r="K1355" s="2" t="str">
        <f>VLOOKUP(B1355,'PO with created By ASR'!A:I,6,FALSE)</f>
        <v>12049 Jay Jagannath Samal Event Production</v>
      </c>
      <c r="L1355" s="2" t="str">
        <f>VLOOKUP(B1355,'PO with created By ASR'!A:J,7,FALSE)</f>
        <v>B - Bangalore</v>
      </c>
      <c r="M1355" s="2" t="str">
        <f>VLOOKUP(B1355,'PO with created By ASR'!A:K,8,FALSE)</f>
        <v>Purchase Order-Blr</v>
      </c>
      <c r="N1355" t="s">
        <v>36</v>
      </c>
      <c r="P1355" s="2">
        <v>6</v>
      </c>
    </row>
    <row r="1356" s="2" customFormat="1" spans="1:16">
      <c r="A1356" s="8"/>
      <c r="B1356" s="9" t="s">
        <v>2436</v>
      </c>
      <c r="C1356" s="10" t="s">
        <v>151</v>
      </c>
      <c r="D1356" s="11">
        <v>1</v>
      </c>
      <c r="E1356" s="12">
        <v>750000</v>
      </c>
      <c r="F1356" s="13">
        <v>750000</v>
      </c>
      <c r="G1356" s="2">
        <f>VLOOKUP(B1356,'PO with created By ASR'!A:C,3,FALSE)</f>
        <v>45693</v>
      </c>
      <c r="J1356" s="2" t="str">
        <f>VLOOKUP(B1356,'PO with created By ASR'!A:G,4,FALSE)</f>
        <v>Taylored Eventz-Blr</v>
      </c>
      <c r="K1356" s="2" t="str">
        <f>VLOOKUP(B1356,'PO with created By ASR'!A:I,6,FALSE)</f>
        <v>12489 Taylored Eventz</v>
      </c>
      <c r="L1356" s="2" t="str">
        <f>VLOOKUP(B1356,'PO with created By ASR'!A:J,7,FALSE)</f>
        <v>B - Bangalore</v>
      </c>
      <c r="M1356" s="2" t="str">
        <f>VLOOKUP(B1356,'PO with created By ASR'!A:K,8,FALSE)</f>
        <v>Purchase Order-Blr</v>
      </c>
      <c r="N1356" t="s">
        <v>36</v>
      </c>
      <c r="P1356" s="2">
        <v>6</v>
      </c>
    </row>
    <row r="1357" s="2" customFormat="1" spans="1:16">
      <c r="A1357" s="8"/>
      <c r="B1357" s="9" t="s">
        <v>2439</v>
      </c>
      <c r="C1357" s="10" t="s">
        <v>401</v>
      </c>
      <c r="D1357" s="11">
        <v>1</v>
      </c>
      <c r="E1357" s="12">
        <v>45000</v>
      </c>
      <c r="F1357" s="13">
        <v>45000</v>
      </c>
      <c r="G1357" s="2">
        <f>VLOOKUP(B1357,'PO with created By ASR'!A:C,3,FALSE)</f>
        <v>45693</v>
      </c>
      <c r="J1357" s="2" t="str">
        <f>VLOOKUP(B1357,'PO with created By ASR'!A:G,4,FALSE)</f>
        <v>Rea Studio-Blr</v>
      </c>
      <c r="K1357" s="2" t="str">
        <f>VLOOKUP(B1357,'PO with created By ASR'!A:I,6,FALSE)</f>
        <v>10074 Rea Studio</v>
      </c>
      <c r="L1357" s="2" t="str">
        <f>VLOOKUP(B1357,'PO with created By ASR'!A:J,7,FALSE)</f>
        <v>B - Bangalore</v>
      </c>
      <c r="M1357" s="2" t="str">
        <f>VLOOKUP(B1357,'PO with created By ASR'!A:K,8,FALSE)</f>
        <v>Purchase Order-Blr</v>
      </c>
      <c r="N1357" t="s">
        <v>36</v>
      </c>
      <c r="P1357" s="2">
        <v>6</v>
      </c>
    </row>
    <row r="1358" s="2" customFormat="1" spans="1:16">
      <c r="A1358" s="8"/>
      <c r="B1358" s="9" t="s">
        <v>2442</v>
      </c>
      <c r="C1358" s="10" t="s">
        <v>371</v>
      </c>
      <c r="D1358" s="11">
        <v>1</v>
      </c>
      <c r="E1358" s="12">
        <v>23800</v>
      </c>
      <c r="F1358" s="13">
        <v>23800</v>
      </c>
      <c r="G1358" s="2">
        <f>VLOOKUP(B1358,'PO with created By ASR'!A:C,3,FALSE)</f>
        <v>45693</v>
      </c>
      <c r="J1358" s="2" t="str">
        <f>VLOOKUP(B1358,'PO with created By ASR'!A:G,4,FALSE)</f>
        <v>Ashik Mobile Generator-Blr</v>
      </c>
      <c r="K1358" s="2" t="str">
        <f>VLOOKUP(B1358,'PO with created By ASR'!A:I,6,FALSE)</f>
        <v>11685 Ashik Mobile Generator</v>
      </c>
      <c r="L1358" s="2" t="str">
        <f>VLOOKUP(B1358,'PO with created By ASR'!A:J,7,FALSE)</f>
        <v>B - Bangalore</v>
      </c>
      <c r="M1358" s="2" t="str">
        <f>VLOOKUP(B1358,'PO with created By ASR'!A:K,8,FALSE)</f>
        <v>Purchase Order-Blr</v>
      </c>
      <c r="N1358" t="s">
        <v>36</v>
      </c>
      <c r="P1358" s="2">
        <v>6</v>
      </c>
    </row>
    <row r="1359" s="2" customFormat="1" spans="1:16">
      <c r="A1359" s="8"/>
      <c r="B1359" s="9" t="s">
        <v>2443</v>
      </c>
      <c r="C1359" s="10" t="s">
        <v>526</v>
      </c>
      <c r="D1359" s="11">
        <v>1</v>
      </c>
      <c r="E1359" s="12">
        <v>12000</v>
      </c>
      <c r="F1359" s="13">
        <v>12000</v>
      </c>
      <c r="G1359" s="2">
        <f>VLOOKUP(B1359,'PO with created By ASR'!A:C,3,FALSE)</f>
        <v>45693</v>
      </c>
      <c r="J1359" s="2" t="str">
        <f>VLOOKUP(B1359,'PO with created By ASR'!A:G,4,FALSE)</f>
        <v>Infutech Solutions-Blr</v>
      </c>
      <c r="K1359" s="2" t="str">
        <f>VLOOKUP(B1359,'PO with created By ASR'!A:I,6,FALSE)</f>
        <v>12027 Infutech Solutions</v>
      </c>
      <c r="L1359" s="2" t="str">
        <f>VLOOKUP(B1359,'PO with created By ASR'!A:J,7,FALSE)</f>
        <v>B - Bangalore</v>
      </c>
      <c r="M1359" s="2" t="str">
        <f>VLOOKUP(B1359,'PO with created By ASR'!A:K,8,FALSE)</f>
        <v>Purchase Order-Blr</v>
      </c>
      <c r="N1359" t="s">
        <v>36</v>
      </c>
      <c r="P1359" s="2">
        <v>6</v>
      </c>
    </row>
    <row r="1360" s="2" customFormat="1" spans="1:16">
      <c r="A1360" s="8"/>
      <c r="B1360" s="9" t="s">
        <v>2444</v>
      </c>
      <c r="C1360" s="10" t="s">
        <v>107</v>
      </c>
      <c r="D1360" s="11">
        <v>1</v>
      </c>
      <c r="E1360" s="12">
        <v>6912</v>
      </c>
      <c r="F1360" s="13">
        <v>6912</v>
      </c>
      <c r="G1360" s="2">
        <f>VLOOKUP(B1360,'PO with created By ASR'!A:C,3,FALSE)</f>
        <v>45693</v>
      </c>
      <c r="J1360" s="2" t="str">
        <f>VLOOKUP(B1360,'PO with created By ASR'!A:G,4,FALSE)</f>
        <v>House Of Lords Owners Association-Blr</v>
      </c>
      <c r="K1360" s="2" t="str">
        <f>VLOOKUP(B1360,'PO with created By ASR'!A:I,6,FALSE)</f>
        <v>11013 House Of Lords Owners Association</v>
      </c>
      <c r="L1360" s="2" t="str">
        <f>VLOOKUP(B1360,'PO with created By ASR'!A:J,7,FALSE)</f>
        <v>B - Bangalore</v>
      </c>
      <c r="M1360" s="2" t="str">
        <f>VLOOKUP(B1360,'PO with created By ASR'!A:K,8,FALSE)</f>
        <v>Purchase Order-Blr</v>
      </c>
      <c r="N1360" t="s">
        <v>36</v>
      </c>
      <c r="P1360" s="2">
        <v>6</v>
      </c>
    </row>
    <row r="1361" s="2" customFormat="1" spans="1:16">
      <c r="A1361" s="8"/>
      <c r="B1361" s="9" t="s">
        <v>2447</v>
      </c>
      <c r="C1361" s="10" t="s">
        <v>347</v>
      </c>
      <c r="D1361" s="11">
        <v>1</v>
      </c>
      <c r="E1361" s="12">
        <v>37500</v>
      </c>
      <c r="F1361" s="13">
        <v>37500</v>
      </c>
      <c r="G1361" s="2">
        <f>VLOOKUP(B1361,'PO with created By ASR'!A:C,3,FALSE)</f>
        <v>45693</v>
      </c>
      <c r="J1361" s="2" t="str">
        <f>VLOOKUP(B1361,'PO with created By ASR'!A:G,4,FALSE)</f>
        <v>Prismscale Pvt Ltd-Blr</v>
      </c>
      <c r="K1361" s="2" t="str">
        <f>VLOOKUP(B1361,'PO with created By ASR'!A:I,6,FALSE)</f>
        <v>12869  Prismscale Pvt Ltd</v>
      </c>
      <c r="L1361" s="2" t="str">
        <f>VLOOKUP(B1361,'PO with created By ASR'!A:J,7,FALSE)</f>
        <v>B - Bangalore</v>
      </c>
      <c r="M1361" s="2" t="str">
        <f>VLOOKUP(B1361,'PO with created By ASR'!A:K,8,FALSE)</f>
        <v>Purchase Order-Blr</v>
      </c>
      <c r="N1361" t="s">
        <v>36</v>
      </c>
      <c r="P1361" s="2">
        <v>6</v>
      </c>
    </row>
    <row r="1362" s="2" customFormat="1" spans="1:16">
      <c r="A1362" s="8"/>
      <c r="B1362" s="9" t="s">
        <v>2450</v>
      </c>
      <c r="C1362" s="10" t="s">
        <v>508</v>
      </c>
      <c r="D1362" s="11">
        <v>1</v>
      </c>
      <c r="E1362" s="12">
        <v>3566</v>
      </c>
      <c r="F1362" s="13">
        <v>3566</v>
      </c>
      <c r="G1362" s="2">
        <f>VLOOKUP(B1362,'PO with created By ASR'!A:C,3,FALSE)</f>
        <v>45693</v>
      </c>
      <c r="J1362" s="2" t="str">
        <f>VLOOKUP(B1362,'PO with created By ASR'!A:G,4,FALSE)</f>
        <v>Raj Latotra  -CR
</v>
      </c>
      <c r="K1362" s="2" t="e">
        <f>VLOOKUP(B1362,'PO with created By ASR'!A:I,6,FALSE)</f>
        <v>#N/A</v>
      </c>
      <c r="L1362" s="2" t="str">
        <f>VLOOKUP(B1362,'PO with created By ASR'!A:J,7,FALSE)</f>
        <v>B - Bangalore</v>
      </c>
      <c r="M1362" s="2" t="str">
        <f>VLOOKUP(B1362,'PO with created By ASR'!A:K,8,FALSE)</f>
        <v>Purchase Order-Blr</v>
      </c>
      <c r="N1362" t="s">
        <v>36</v>
      </c>
      <c r="P1362" s="2">
        <v>6</v>
      </c>
    </row>
    <row r="1363" s="2" customFormat="1" spans="1:16">
      <c r="A1363" s="8"/>
      <c r="B1363" s="9" t="s">
        <v>2450</v>
      </c>
      <c r="C1363" s="10" t="s">
        <v>412</v>
      </c>
      <c r="D1363" s="11">
        <v>1</v>
      </c>
      <c r="E1363" s="12">
        <v>950</v>
      </c>
      <c r="F1363" s="13">
        <v>950</v>
      </c>
      <c r="G1363" s="2">
        <f>VLOOKUP(B1363,'PO with created By ASR'!A:C,3,FALSE)</f>
        <v>45693</v>
      </c>
      <c r="J1363" s="2" t="str">
        <f>VLOOKUP(B1363,'PO with created By ASR'!A:G,4,FALSE)</f>
        <v>Raj Latotra  -CR
</v>
      </c>
      <c r="K1363" s="2" t="e">
        <f>VLOOKUP(B1363,'PO with created By ASR'!A:I,6,FALSE)</f>
        <v>#N/A</v>
      </c>
      <c r="L1363" s="2" t="str">
        <f>VLOOKUP(B1363,'PO with created By ASR'!A:J,7,FALSE)</f>
        <v>B - Bangalore</v>
      </c>
      <c r="M1363" s="2" t="str">
        <f>VLOOKUP(B1363,'PO with created By ASR'!A:K,8,FALSE)</f>
        <v>Purchase Order-Blr</v>
      </c>
      <c r="N1363" t="s">
        <v>36</v>
      </c>
      <c r="P1363" s="2">
        <v>6</v>
      </c>
    </row>
    <row r="1364" s="2" customFormat="1" spans="1:16">
      <c r="A1364" s="8"/>
      <c r="B1364" s="9" t="s">
        <v>2450</v>
      </c>
      <c r="C1364" s="10" t="s">
        <v>61</v>
      </c>
      <c r="D1364" s="11">
        <v>1</v>
      </c>
      <c r="E1364" s="12">
        <v>5600</v>
      </c>
      <c r="F1364" s="13">
        <v>5600</v>
      </c>
      <c r="G1364" s="2">
        <f>VLOOKUP(B1364,'PO with created By ASR'!A:C,3,FALSE)</f>
        <v>45693</v>
      </c>
      <c r="J1364" s="2" t="str">
        <f>VLOOKUP(B1364,'PO with created By ASR'!A:G,4,FALSE)</f>
        <v>Raj Latotra  -CR
</v>
      </c>
      <c r="K1364" s="2" t="e">
        <f>VLOOKUP(B1364,'PO with created By ASR'!A:I,6,FALSE)</f>
        <v>#N/A</v>
      </c>
      <c r="L1364" s="2" t="str">
        <f>VLOOKUP(B1364,'PO with created By ASR'!A:J,7,FALSE)</f>
        <v>B - Bangalore</v>
      </c>
      <c r="M1364" s="2" t="str">
        <f>VLOOKUP(B1364,'PO with created By ASR'!A:K,8,FALSE)</f>
        <v>Purchase Order-Blr</v>
      </c>
      <c r="N1364" t="s">
        <v>36</v>
      </c>
      <c r="P1364" s="2">
        <v>6</v>
      </c>
    </row>
    <row r="1365" s="2" customFormat="1" spans="1:16">
      <c r="A1365" s="8"/>
      <c r="B1365" s="9" t="s">
        <v>2451</v>
      </c>
      <c r="C1365" s="10" t="s">
        <v>126</v>
      </c>
      <c r="D1365" s="11">
        <v>1</v>
      </c>
      <c r="E1365" s="12">
        <v>1724</v>
      </c>
      <c r="F1365" s="13">
        <v>1724</v>
      </c>
      <c r="G1365" s="2">
        <f>VLOOKUP(B1365,'PO with created By ASR'!A:C,3,FALSE)</f>
        <v>45693</v>
      </c>
      <c r="J1365" s="2" t="str">
        <f>VLOOKUP(B1365,'PO with created By ASR'!A:G,4,FALSE)</f>
        <v>Ashwini D  -CR</v>
      </c>
      <c r="K1365" s="2" t="e">
        <f>VLOOKUP(B1365,'PO with created By ASR'!A:I,6,FALSE)</f>
        <v>#N/A</v>
      </c>
      <c r="L1365" s="2" t="str">
        <f>VLOOKUP(B1365,'PO with created By ASR'!A:J,7,FALSE)</f>
        <v>B - Bangalore</v>
      </c>
      <c r="M1365" s="2" t="str">
        <f>VLOOKUP(B1365,'PO with created By ASR'!A:K,8,FALSE)</f>
        <v>Purchase Order-Blr</v>
      </c>
      <c r="N1365" t="s">
        <v>36</v>
      </c>
      <c r="P1365" s="2">
        <v>6</v>
      </c>
    </row>
    <row r="1366" s="2" customFormat="1" spans="1:16">
      <c r="A1366" s="8"/>
      <c r="B1366" s="9" t="s">
        <v>2451</v>
      </c>
      <c r="C1366" s="10" t="s">
        <v>412</v>
      </c>
      <c r="D1366" s="11">
        <v>1</v>
      </c>
      <c r="E1366" s="12">
        <v>590</v>
      </c>
      <c r="F1366" s="13">
        <v>590</v>
      </c>
      <c r="G1366" s="2">
        <f>VLOOKUP(B1366,'PO with created By ASR'!A:C,3,FALSE)</f>
        <v>45693</v>
      </c>
      <c r="J1366" s="2" t="str">
        <f>VLOOKUP(B1366,'PO with created By ASR'!A:G,4,FALSE)</f>
        <v>Ashwini D  -CR</v>
      </c>
      <c r="K1366" s="2" t="e">
        <f>VLOOKUP(B1366,'PO with created By ASR'!A:I,6,FALSE)</f>
        <v>#N/A</v>
      </c>
      <c r="L1366" s="2" t="str">
        <f>VLOOKUP(B1366,'PO with created By ASR'!A:J,7,FALSE)</f>
        <v>B - Bangalore</v>
      </c>
      <c r="M1366" s="2" t="str">
        <f>VLOOKUP(B1366,'PO with created By ASR'!A:K,8,FALSE)</f>
        <v>Purchase Order-Blr</v>
      </c>
      <c r="N1366" t="s">
        <v>36</v>
      </c>
      <c r="P1366" s="2">
        <v>6</v>
      </c>
    </row>
    <row r="1367" s="2" customFormat="1" spans="1:16">
      <c r="A1367" s="8"/>
      <c r="B1367" s="9" t="s">
        <v>2453</v>
      </c>
      <c r="C1367" s="10" t="s">
        <v>196</v>
      </c>
      <c r="D1367" s="11">
        <v>1</v>
      </c>
      <c r="E1367" s="12">
        <v>1975</v>
      </c>
      <c r="F1367" s="13">
        <v>1975</v>
      </c>
      <c r="G1367" s="2">
        <f>VLOOKUP(B1367,'PO with created By ASR'!A:C,3,FALSE)</f>
        <v>45693</v>
      </c>
      <c r="J1367" s="2" t="str">
        <f>VLOOKUP(B1367,'PO with created By ASR'!A:G,4,FALSE)</f>
        <v>New Print House-Blr</v>
      </c>
      <c r="K1367" s="2" t="str">
        <f>VLOOKUP(B1367,'PO with created By ASR'!A:I,6,FALSE)</f>
        <v>12196 New Print House</v>
      </c>
      <c r="L1367" s="2" t="str">
        <f>VLOOKUP(B1367,'PO with created By ASR'!A:J,7,FALSE)</f>
        <v>B - Bangalore</v>
      </c>
      <c r="M1367" s="2" t="str">
        <f>VLOOKUP(B1367,'PO with created By ASR'!A:K,8,FALSE)</f>
        <v>Purchase Order-Blr</v>
      </c>
      <c r="N1367" t="s">
        <v>36</v>
      </c>
      <c r="P1367" s="2">
        <v>6</v>
      </c>
    </row>
    <row r="1368" s="2" customFormat="1" spans="1:16">
      <c r="A1368" s="8"/>
      <c r="B1368" s="9" t="s">
        <v>2453</v>
      </c>
      <c r="C1368" s="10" t="s">
        <v>196</v>
      </c>
      <c r="D1368" s="11">
        <v>1</v>
      </c>
      <c r="E1368" s="12">
        <v>3300</v>
      </c>
      <c r="F1368" s="13">
        <v>3300</v>
      </c>
      <c r="G1368" s="2">
        <f>VLOOKUP(B1368,'PO with created By ASR'!A:C,3,FALSE)</f>
        <v>45693</v>
      </c>
      <c r="J1368" s="2" t="str">
        <f>VLOOKUP(B1368,'PO with created By ASR'!A:G,4,FALSE)</f>
        <v>New Print House-Blr</v>
      </c>
      <c r="K1368" s="2" t="str">
        <f>VLOOKUP(B1368,'PO with created By ASR'!A:I,6,FALSE)</f>
        <v>12196 New Print House</v>
      </c>
      <c r="L1368" s="2" t="str">
        <f>VLOOKUP(B1368,'PO with created By ASR'!A:J,7,FALSE)</f>
        <v>B - Bangalore</v>
      </c>
      <c r="M1368" s="2" t="str">
        <f>VLOOKUP(B1368,'PO with created By ASR'!A:K,8,FALSE)</f>
        <v>Purchase Order-Blr</v>
      </c>
      <c r="N1368" t="s">
        <v>36</v>
      </c>
      <c r="P1368" s="2">
        <v>6</v>
      </c>
    </row>
    <row r="1369" s="2" customFormat="1" spans="1:16">
      <c r="A1369" s="8"/>
      <c r="B1369" s="9" t="s">
        <v>2455</v>
      </c>
      <c r="C1369" s="10" t="s">
        <v>119</v>
      </c>
      <c r="D1369" s="11">
        <v>1</v>
      </c>
      <c r="E1369" s="12">
        <v>34000</v>
      </c>
      <c r="F1369" s="13">
        <v>34000</v>
      </c>
      <c r="G1369" s="2">
        <f>VLOOKUP(B1369,'PO with created By ASR'!A:C,3,FALSE)</f>
        <v>45693</v>
      </c>
      <c r="J1369" s="2" t="str">
        <f>VLOOKUP(B1369,'PO with created By ASR'!A:G,4,FALSE)</f>
        <v>Citi Cabs Inc-Blr</v>
      </c>
      <c r="K1369" s="2" t="str">
        <f>VLOOKUP(B1369,'PO with created By ASR'!A:I,6,FALSE)</f>
        <v>10028 Citi Cabs Inc</v>
      </c>
      <c r="L1369" s="2" t="str">
        <f>VLOOKUP(B1369,'PO with created By ASR'!A:J,7,FALSE)</f>
        <v>B - Bangalore</v>
      </c>
      <c r="M1369" s="2" t="str">
        <f>VLOOKUP(B1369,'PO with created By ASR'!A:K,8,FALSE)</f>
        <v>Purchase Order-Blr</v>
      </c>
      <c r="N1369" t="s">
        <v>36</v>
      </c>
      <c r="P1369" s="2">
        <v>6</v>
      </c>
    </row>
    <row r="1370" s="2" customFormat="1" spans="1:16">
      <c r="A1370" s="8"/>
      <c r="B1370" s="9" t="s">
        <v>2458</v>
      </c>
      <c r="C1370" s="10" t="s">
        <v>371</v>
      </c>
      <c r="D1370" s="11">
        <v>1</v>
      </c>
      <c r="E1370" s="12">
        <v>41000</v>
      </c>
      <c r="F1370" s="13">
        <v>41000</v>
      </c>
      <c r="G1370" s="2">
        <f>VLOOKUP(B1370,'PO with created By ASR'!A:C,3,FALSE)</f>
        <v>45693</v>
      </c>
      <c r="J1370" s="2" t="str">
        <f>VLOOKUP(B1370,'PO with created By ASR'!A:G,4,FALSE)</f>
        <v>Pro Audio Solutions India Pvt Ltd-Che</v>
      </c>
      <c r="K1370" s="2" t="str">
        <f>VLOOKUP(B1370,'PO with created By ASR'!A:I,6,FALSE)</f>
        <v>12288  Pro Audio Solutions India Pvt Ltd</v>
      </c>
      <c r="L1370" s="2" t="str">
        <f>VLOOKUP(B1370,'PO with created By ASR'!A:J,7,FALSE)</f>
        <v>C - Chennai</v>
      </c>
      <c r="M1370" s="2" t="str">
        <f>VLOOKUP(B1370,'PO with created By ASR'!A:K,8,FALSE)</f>
        <v>Purchase Order-Che</v>
      </c>
      <c r="N1370" t="s">
        <v>36</v>
      </c>
      <c r="P1370" s="2">
        <v>6</v>
      </c>
    </row>
    <row r="1371" s="2" customFormat="1" spans="1:16">
      <c r="A1371" s="8"/>
      <c r="B1371" s="9" t="s">
        <v>2459</v>
      </c>
      <c r="C1371" s="10" t="s">
        <v>371</v>
      </c>
      <c r="D1371" s="11">
        <v>1</v>
      </c>
      <c r="E1371" s="12">
        <v>112355</v>
      </c>
      <c r="F1371" s="13">
        <v>112355</v>
      </c>
      <c r="G1371" s="2">
        <f>VLOOKUP(B1371,'PO with created By ASR'!A:C,3,FALSE)</f>
        <v>45693</v>
      </c>
      <c r="J1371" s="2" t="str">
        <f>VLOOKUP(B1371,'PO with created By ASR'!A:G,4,FALSE)</f>
        <v>Sri Thanigaivel Electricals-Che</v>
      </c>
      <c r="K1371" s="2" t="str">
        <f>VLOOKUP(B1371,'PO with created By ASR'!A:I,6,FALSE)</f>
        <v>12446 Sri Thanigaivel Electricals</v>
      </c>
      <c r="L1371" s="2" t="str">
        <f>VLOOKUP(B1371,'PO with created By ASR'!A:J,7,FALSE)</f>
        <v>C - Chennai</v>
      </c>
      <c r="M1371" s="2" t="str">
        <f>VLOOKUP(B1371,'PO with created By ASR'!A:K,8,FALSE)</f>
        <v>Purchase Order-Che</v>
      </c>
      <c r="N1371" t="s">
        <v>36</v>
      </c>
      <c r="P1371" s="2">
        <v>6</v>
      </c>
    </row>
    <row r="1372" s="2" customFormat="1" spans="1:16">
      <c r="A1372" s="8"/>
      <c r="B1372" s="9" t="s">
        <v>2460</v>
      </c>
      <c r="C1372" s="10" t="s">
        <v>317</v>
      </c>
      <c r="D1372" s="11">
        <v>1</v>
      </c>
      <c r="E1372" s="12">
        <v>17000</v>
      </c>
      <c r="F1372" s="13">
        <v>17000</v>
      </c>
      <c r="G1372" s="2">
        <f>VLOOKUP(B1372,'PO with created By ASR'!A:C,3,FALSE)</f>
        <v>45693</v>
      </c>
      <c r="J1372" s="2" t="str">
        <f>VLOOKUP(B1372,'PO with created By ASR'!A:G,4,FALSE)</f>
        <v>Cockpitmarx -Del</v>
      </c>
      <c r="K1372" s="2" t="e">
        <f>VLOOKUP(B1372,'PO with created By ASR'!A:I,6,FALSE)</f>
        <v>#N/A</v>
      </c>
      <c r="L1372" s="2" t="str">
        <f>VLOOKUP(B1372,'PO with created By ASR'!A:J,7,FALSE)</f>
        <v>D - Delhi</v>
      </c>
      <c r="M1372" s="2" t="str">
        <f>VLOOKUP(B1372,'PO with created By ASR'!A:K,8,FALSE)</f>
        <v>Purchase Order-Del</v>
      </c>
      <c r="N1372" t="s">
        <v>36</v>
      </c>
      <c r="P1372" s="2">
        <v>6</v>
      </c>
    </row>
    <row r="1373" s="2" customFormat="1" spans="1:16">
      <c r="A1373" s="8"/>
      <c r="B1373" s="9" t="s">
        <v>2461</v>
      </c>
      <c r="C1373" s="10" t="s">
        <v>1239</v>
      </c>
      <c r="D1373" s="11">
        <v>1</v>
      </c>
      <c r="E1373" s="12">
        <v>1054664</v>
      </c>
      <c r="F1373" s="13">
        <v>1054664</v>
      </c>
      <c r="G1373" s="2">
        <f>VLOOKUP(B1373,'PO with created By ASR'!A:C,3,FALSE)</f>
        <v>45693</v>
      </c>
      <c r="J1373" s="2" t="str">
        <f>VLOOKUP(B1373,'PO with created By ASR'!A:G,4,FALSE)</f>
        <v>Eyetalk Media Communication Pvt Ltd-Del</v>
      </c>
      <c r="K1373" s="2" t="str">
        <f>VLOOKUP(B1373,'PO with created By ASR'!A:I,6,FALSE)</f>
        <v>11908  Eyetalk Media Communication Pvt Ltd</v>
      </c>
      <c r="L1373" s="2" t="str">
        <f>VLOOKUP(B1373,'PO with created By ASR'!A:J,7,FALSE)</f>
        <v>D - Delhi</v>
      </c>
      <c r="M1373" s="2" t="str">
        <f>VLOOKUP(B1373,'PO with created By ASR'!A:K,8,FALSE)</f>
        <v>Purchase Order-Del</v>
      </c>
      <c r="N1373" t="s">
        <v>36</v>
      </c>
      <c r="P1373" s="2">
        <v>6</v>
      </c>
    </row>
    <row r="1374" s="2" customFormat="1" spans="1:16">
      <c r="A1374" s="8"/>
      <c r="B1374" s="9" t="s">
        <v>2466</v>
      </c>
      <c r="C1374" s="10" t="s">
        <v>317</v>
      </c>
      <c r="D1374" s="11">
        <v>1</v>
      </c>
      <c r="E1374" s="12">
        <v>81000</v>
      </c>
      <c r="F1374" s="13">
        <v>81000</v>
      </c>
      <c r="G1374" s="2">
        <f>VLOOKUP(B1374,'PO with created By ASR'!A:C,3,FALSE)</f>
        <v>45693</v>
      </c>
      <c r="J1374" s="2" t="str">
        <f>VLOOKUP(B1374,'PO with created By ASR'!A:G,4,FALSE)</f>
        <v>Perfect M &amp; C Services-Del</v>
      </c>
      <c r="K1374" s="2" t="str">
        <f>VLOOKUP(B1374,'PO with created By ASR'!A:I,6,FALSE)</f>
        <v>12247 Perfect M &amp; C Services</v>
      </c>
      <c r="L1374" s="2" t="str">
        <f>VLOOKUP(B1374,'PO with created By ASR'!A:J,7,FALSE)</f>
        <v>D - Delhi</v>
      </c>
      <c r="M1374" s="2" t="str">
        <f>VLOOKUP(B1374,'PO with created By ASR'!A:K,8,FALSE)</f>
        <v>Purchase Order-Del</v>
      </c>
      <c r="N1374" t="s">
        <v>36</v>
      </c>
      <c r="P1374" s="2">
        <v>6</v>
      </c>
    </row>
    <row r="1375" s="2" customFormat="1" spans="1:16">
      <c r="A1375" s="8"/>
      <c r="B1375" s="9" t="s">
        <v>2468</v>
      </c>
      <c r="C1375" s="10" t="s">
        <v>140</v>
      </c>
      <c r="D1375" s="11">
        <v>1</v>
      </c>
      <c r="E1375" s="12">
        <v>118000</v>
      </c>
      <c r="F1375" s="13">
        <v>118000</v>
      </c>
      <c r="G1375" s="2">
        <f>VLOOKUP(B1375,'PO with created By ASR'!A:C,3,FALSE)</f>
        <v>45693</v>
      </c>
      <c r="J1375" s="2" t="str">
        <f>VLOOKUP(B1375,'PO with created By ASR'!A:G,4,FALSE)</f>
        <v>Zehra A Currimbhoy-Mum</v>
      </c>
      <c r="K1375" s="2" t="str">
        <f>VLOOKUP(B1375,'PO with created By ASR'!A:I,6,FALSE)</f>
        <v>11499 Zehra A Currimbhoy</v>
      </c>
      <c r="L1375" s="2" t="str">
        <f>VLOOKUP(B1375,'PO with created By ASR'!A:J,7,FALSE)</f>
        <v>A - Mumbai</v>
      </c>
      <c r="M1375" s="2" t="str">
        <f>VLOOKUP(B1375,'PO with created By ASR'!A:K,8,FALSE)</f>
        <v>Purchase Order-Mum</v>
      </c>
      <c r="N1375" t="s">
        <v>36</v>
      </c>
      <c r="P1375" s="2">
        <v>6</v>
      </c>
    </row>
    <row r="1376" s="2" customFormat="1" spans="1:16">
      <c r="A1376" s="8"/>
      <c r="B1376" s="9" t="s">
        <v>2471</v>
      </c>
      <c r="C1376" s="10" t="s">
        <v>126</v>
      </c>
      <c r="D1376" s="11">
        <v>1</v>
      </c>
      <c r="E1376" s="12">
        <v>182</v>
      </c>
      <c r="F1376" s="13">
        <v>182</v>
      </c>
      <c r="G1376" s="2">
        <f>VLOOKUP(B1376,'PO with created By ASR'!A:C,3,FALSE)</f>
        <v>45693</v>
      </c>
      <c r="J1376" s="2" t="str">
        <f>VLOOKUP(B1376,'PO with created By ASR'!A:G,4,FALSE)</f>
        <v>Aalhad Bavkar  -CR</v>
      </c>
      <c r="K1376" s="2" t="e">
        <f>VLOOKUP(B1376,'PO with created By ASR'!A:I,6,FALSE)</f>
        <v>#N/A</v>
      </c>
      <c r="L1376" s="2" t="str">
        <f>VLOOKUP(B1376,'PO with created By ASR'!A:J,7,FALSE)</f>
        <v>A - Mumbai</v>
      </c>
      <c r="M1376" s="2" t="str">
        <f>VLOOKUP(B1376,'PO with created By ASR'!A:K,8,FALSE)</f>
        <v>Purchase Order-Mum</v>
      </c>
      <c r="N1376" t="s">
        <v>36</v>
      </c>
      <c r="P1376" s="2">
        <v>6</v>
      </c>
    </row>
    <row r="1377" s="2" customFormat="1" spans="1:16">
      <c r="A1377" s="8"/>
      <c r="B1377" s="9" t="s">
        <v>2471</v>
      </c>
      <c r="C1377" s="10" t="s">
        <v>412</v>
      </c>
      <c r="D1377" s="11">
        <v>1</v>
      </c>
      <c r="E1377" s="12">
        <v>520.28</v>
      </c>
      <c r="F1377" s="13">
        <v>520.28</v>
      </c>
      <c r="G1377" s="2">
        <f>VLOOKUP(B1377,'PO with created By ASR'!A:C,3,FALSE)</f>
        <v>45693</v>
      </c>
      <c r="J1377" s="2" t="str">
        <f>VLOOKUP(B1377,'PO with created By ASR'!A:G,4,FALSE)</f>
        <v>Aalhad Bavkar  -CR</v>
      </c>
      <c r="K1377" s="2" t="e">
        <f>VLOOKUP(B1377,'PO with created By ASR'!A:I,6,FALSE)</f>
        <v>#N/A</v>
      </c>
      <c r="L1377" s="2" t="str">
        <f>VLOOKUP(B1377,'PO with created By ASR'!A:J,7,FALSE)</f>
        <v>A - Mumbai</v>
      </c>
      <c r="M1377" s="2" t="str">
        <f>VLOOKUP(B1377,'PO with created By ASR'!A:K,8,FALSE)</f>
        <v>Purchase Order-Mum</v>
      </c>
      <c r="N1377" t="s">
        <v>36</v>
      </c>
      <c r="P1377" s="2">
        <v>6</v>
      </c>
    </row>
    <row r="1378" s="2" customFormat="1" spans="1:16">
      <c r="A1378" s="8"/>
      <c r="B1378" s="9" t="s">
        <v>2472</v>
      </c>
      <c r="C1378" s="10" t="s">
        <v>126</v>
      </c>
      <c r="D1378" s="11">
        <v>1</v>
      </c>
      <c r="E1378" s="12">
        <v>350</v>
      </c>
      <c r="F1378" s="13">
        <v>350</v>
      </c>
      <c r="G1378" s="2">
        <f>VLOOKUP(B1378,'PO with created By ASR'!A:C,3,FALSE)</f>
        <v>45693</v>
      </c>
      <c r="J1378" s="2" t="str">
        <f>VLOOKUP(B1378,'PO with created By ASR'!A:G,4,FALSE)</f>
        <v>Sarfaraz Memon -CR</v>
      </c>
      <c r="K1378" s="2" t="e">
        <f>VLOOKUP(B1378,'PO with created By ASR'!A:I,6,FALSE)</f>
        <v>#N/A</v>
      </c>
      <c r="L1378" s="2" t="str">
        <f>VLOOKUP(B1378,'PO with created By ASR'!A:J,7,FALSE)</f>
        <v>A - Mumbai</v>
      </c>
      <c r="M1378" s="2" t="str">
        <f>VLOOKUP(B1378,'PO with created By ASR'!A:K,8,FALSE)</f>
        <v>Purchase Order-Mum</v>
      </c>
      <c r="N1378" t="s">
        <v>36</v>
      </c>
      <c r="P1378" s="2">
        <v>6</v>
      </c>
    </row>
    <row r="1379" s="2" customFormat="1" spans="1:16">
      <c r="A1379" s="8"/>
      <c r="B1379" s="9" t="s">
        <v>2474</v>
      </c>
      <c r="C1379" s="10" t="s">
        <v>126</v>
      </c>
      <c r="D1379" s="11">
        <v>1</v>
      </c>
      <c r="E1379" s="12">
        <v>880</v>
      </c>
      <c r="F1379" s="13">
        <v>880</v>
      </c>
      <c r="G1379" s="2">
        <f>VLOOKUP(B1379,'PO with created By ASR'!A:C,3,FALSE)</f>
        <v>45693</v>
      </c>
      <c r="J1379" s="2" t="str">
        <f>VLOOKUP(B1379,'PO with created By ASR'!A:G,4,FALSE)</f>
        <v>Arun More  -CR</v>
      </c>
      <c r="K1379" s="2" t="e">
        <f>VLOOKUP(B1379,'PO with created By ASR'!A:I,6,FALSE)</f>
        <v>#N/A</v>
      </c>
      <c r="L1379" s="2" t="str">
        <f>VLOOKUP(B1379,'PO with created By ASR'!A:J,7,FALSE)</f>
        <v>A - Mumbai</v>
      </c>
      <c r="M1379" s="2" t="str">
        <f>VLOOKUP(B1379,'PO with created By ASR'!A:K,8,FALSE)</f>
        <v>Purchase Order-Mum</v>
      </c>
      <c r="N1379" t="s">
        <v>36</v>
      </c>
      <c r="P1379" s="2">
        <v>6</v>
      </c>
    </row>
    <row r="1380" s="2" customFormat="1" spans="1:16">
      <c r="A1380" s="8"/>
      <c r="B1380" s="9" t="s">
        <v>2476</v>
      </c>
      <c r="C1380" s="10" t="s">
        <v>126</v>
      </c>
      <c r="D1380" s="11">
        <v>1</v>
      </c>
      <c r="E1380" s="12">
        <v>888</v>
      </c>
      <c r="F1380" s="13">
        <v>888</v>
      </c>
      <c r="G1380" s="2">
        <f>VLOOKUP(B1380,'PO with created By ASR'!A:C,3,FALSE)</f>
        <v>45693</v>
      </c>
      <c r="J1380" s="2" t="str">
        <f>VLOOKUP(B1380,'PO with created By ASR'!A:G,4,FALSE)</f>
        <v>Santosh Bhogal Cash  -CR</v>
      </c>
      <c r="K1380" s="2" t="e">
        <f>VLOOKUP(B1380,'PO with created By ASR'!A:I,6,FALSE)</f>
        <v>#N/A</v>
      </c>
      <c r="L1380" s="2" t="str">
        <f>VLOOKUP(B1380,'PO with created By ASR'!A:J,7,FALSE)</f>
        <v>A - Mumbai</v>
      </c>
      <c r="M1380" s="2" t="str">
        <f>VLOOKUP(B1380,'PO with created By ASR'!A:K,8,FALSE)</f>
        <v>Purchase Order-Mum</v>
      </c>
      <c r="N1380" t="s">
        <v>36</v>
      </c>
      <c r="P1380" s="2">
        <v>6</v>
      </c>
    </row>
    <row r="1381" s="2" customFormat="1" spans="1:16">
      <c r="A1381" s="8"/>
      <c r="B1381" s="9" t="s">
        <v>2476</v>
      </c>
      <c r="C1381" s="10" t="s">
        <v>412</v>
      </c>
      <c r="D1381" s="11">
        <v>1</v>
      </c>
      <c r="E1381" s="12">
        <v>300</v>
      </c>
      <c r="F1381" s="13">
        <v>300</v>
      </c>
      <c r="G1381" s="2">
        <f>VLOOKUP(B1381,'PO with created By ASR'!A:C,3,FALSE)</f>
        <v>45693</v>
      </c>
      <c r="J1381" s="2" t="str">
        <f>VLOOKUP(B1381,'PO with created By ASR'!A:G,4,FALSE)</f>
        <v>Santosh Bhogal Cash  -CR</v>
      </c>
      <c r="K1381" s="2" t="e">
        <f>VLOOKUP(B1381,'PO with created By ASR'!A:I,6,FALSE)</f>
        <v>#N/A</v>
      </c>
      <c r="L1381" s="2" t="str">
        <f>VLOOKUP(B1381,'PO with created By ASR'!A:J,7,FALSE)</f>
        <v>A - Mumbai</v>
      </c>
      <c r="M1381" s="2" t="str">
        <f>VLOOKUP(B1381,'PO with created By ASR'!A:K,8,FALSE)</f>
        <v>Purchase Order-Mum</v>
      </c>
      <c r="N1381" t="s">
        <v>36</v>
      </c>
      <c r="P1381" s="2">
        <v>6</v>
      </c>
    </row>
    <row r="1382" s="2" customFormat="1" spans="1:16">
      <c r="A1382" s="8"/>
      <c r="B1382" s="9" t="s">
        <v>2477</v>
      </c>
      <c r="C1382" s="10" t="s">
        <v>317</v>
      </c>
      <c r="D1382" s="11">
        <v>1</v>
      </c>
      <c r="E1382" s="12">
        <v>4000</v>
      </c>
      <c r="F1382" s="13">
        <v>4000</v>
      </c>
      <c r="G1382" s="2">
        <f>VLOOKUP(B1382,'PO with created By ASR'!A:C,3,FALSE)</f>
        <v>45693</v>
      </c>
      <c r="J1382" s="2" t="str">
        <f>VLOOKUP(B1382,'PO with created By ASR'!A:G,4,FALSE)</f>
        <v>Rajaram Shinde Cash -CR</v>
      </c>
      <c r="K1382" s="2" t="e">
        <f>VLOOKUP(B1382,'PO with created By ASR'!A:I,6,FALSE)</f>
        <v>#N/A</v>
      </c>
      <c r="L1382" s="2" t="str">
        <f>VLOOKUP(B1382,'PO with created By ASR'!A:J,7,FALSE)</f>
        <v>A - Mumbai</v>
      </c>
      <c r="M1382" s="2" t="str">
        <f>VLOOKUP(B1382,'PO with created By ASR'!A:K,8,FALSE)</f>
        <v>Purchase Order-Mum</v>
      </c>
      <c r="N1382" t="s">
        <v>36</v>
      </c>
      <c r="P1382" s="2">
        <v>6</v>
      </c>
    </row>
    <row r="1383" s="2" customFormat="1" spans="1:16">
      <c r="A1383" s="8"/>
      <c r="B1383" s="9" t="s">
        <v>2477</v>
      </c>
      <c r="C1383" s="10" t="s">
        <v>1055</v>
      </c>
      <c r="D1383" s="11">
        <v>1</v>
      </c>
      <c r="E1383" s="12">
        <v>9000</v>
      </c>
      <c r="F1383" s="13">
        <v>9000</v>
      </c>
      <c r="G1383" s="2">
        <f>VLOOKUP(B1383,'PO with created By ASR'!A:C,3,FALSE)</f>
        <v>45693</v>
      </c>
      <c r="J1383" s="2" t="str">
        <f>VLOOKUP(B1383,'PO with created By ASR'!A:G,4,FALSE)</f>
        <v>Rajaram Shinde Cash -CR</v>
      </c>
      <c r="K1383" s="2" t="e">
        <f>VLOOKUP(B1383,'PO with created By ASR'!A:I,6,FALSE)</f>
        <v>#N/A</v>
      </c>
      <c r="L1383" s="2" t="str">
        <f>VLOOKUP(B1383,'PO with created By ASR'!A:J,7,FALSE)</f>
        <v>A - Mumbai</v>
      </c>
      <c r="M1383" s="2" t="str">
        <f>VLOOKUP(B1383,'PO with created By ASR'!A:K,8,FALSE)</f>
        <v>Purchase Order-Mum</v>
      </c>
      <c r="N1383" t="s">
        <v>36</v>
      </c>
      <c r="P1383" s="2">
        <v>6</v>
      </c>
    </row>
    <row r="1384" s="2" customFormat="1" spans="1:16">
      <c r="A1384" s="8"/>
      <c r="B1384" s="9" t="s">
        <v>2478</v>
      </c>
      <c r="C1384" s="10" t="s">
        <v>126</v>
      </c>
      <c r="D1384" s="11">
        <v>1</v>
      </c>
      <c r="E1384" s="12">
        <v>369</v>
      </c>
      <c r="F1384" s="13">
        <v>369</v>
      </c>
      <c r="G1384" s="2">
        <f>VLOOKUP(B1384,'PO with created By ASR'!A:C,3,FALSE)</f>
        <v>45693</v>
      </c>
      <c r="J1384" s="2" t="str">
        <f>VLOOKUP(B1384,'PO with created By ASR'!A:G,4,FALSE)</f>
        <v>Sanil Thombare -CR</v>
      </c>
      <c r="K1384" s="2" t="e">
        <f>VLOOKUP(B1384,'PO with created By ASR'!A:I,6,FALSE)</f>
        <v>#N/A</v>
      </c>
      <c r="L1384" s="2" t="str">
        <f>VLOOKUP(B1384,'PO with created By ASR'!A:J,7,FALSE)</f>
        <v>A - Mumbai</v>
      </c>
      <c r="M1384" s="2" t="str">
        <f>VLOOKUP(B1384,'PO with created By ASR'!A:K,8,FALSE)</f>
        <v>Purchase Order-Mum</v>
      </c>
      <c r="N1384" t="s">
        <v>36</v>
      </c>
      <c r="P1384" s="2">
        <v>6</v>
      </c>
    </row>
    <row r="1385" s="2" customFormat="1" spans="1:16">
      <c r="A1385" s="8"/>
      <c r="B1385" s="9" t="s">
        <v>2479</v>
      </c>
      <c r="C1385" s="10" t="s">
        <v>126</v>
      </c>
      <c r="D1385" s="11">
        <v>1</v>
      </c>
      <c r="E1385" s="12">
        <v>578</v>
      </c>
      <c r="F1385" s="13">
        <v>578</v>
      </c>
      <c r="G1385" s="2">
        <f>VLOOKUP(B1385,'PO with created By ASR'!A:C,3,FALSE)</f>
        <v>45693</v>
      </c>
      <c r="J1385" s="2" t="str">
        <f>VLOOKUP(B1385,'PO with created By ASR'!A:G,4,FALSE)</f>
        <v>Ashwin Mishra  -CR</v>
      </c>
      <c r="K1385" s="2" t="e">
        <f>VLOOKUP(B1385,'PO with created By ASR'!A:I,6,FALSE)</f>
        <v>#N/A</v>
      </c>
      <c r="L1385" s="2" t="str">
        <f>VLOOKUP(B1385,'PO with created By ASR'!A:J,7,FALSE)</f>
        <v>A - Mumbai</v>
      </c>
      <c r="M1385" s="2" t="str">
        <f>VLOOKUP(B1385,'PO with created By ASR'!A:K,8,FALSE)</f>
        <v>Purchase Order-Mum</v>
      </c>
      <c r="N1385" t="s">
        <v>36</v>
      </c>
      <c r="P1385" s="2">
        <v>6</v>
      </c>
    </row>
    <row r="1386" s="2" customFormat="1" spans="1:16">
      <c r="A1386" s="8"/>
      <c r="B1386" s="9" t="s">
        <v>2479</v>
      </c>
      <c r="C1386" s="10" t="s">
        <v>412</v>
      </c>
      <c r="D1386" s="11">
        <v>1</v>
      </c>
      <c r="E1386" s="12">
        <v>921</v>
      </c>
      <c r="F1386" s="13">
        <v>921</v>
      </c>
      <c r="G1386" s="2">
        <f>VLOOKUP(B1386,'PO with created By ASR'!A:C,3,FALSE)</f>
        <v>45693</v>
      </c>
      <c r="J1386" s="2" t="str">
        <f>VLOOKUP(B1386,'PO with created By ASR'!A:G,4,FALSE)</f>
        <v>Ashwin Mishra  -CR</v>
      </c>
      <c r="K1386" s="2" t="e">
        <f>VLOOKUP(B1386,'PO with created By ASR'!A:I,6,FALSE)</f>
        <v>#N/A</v>
      </c>
      <c r="L1386" s="2" t="str">
        <f>VLOOKUP(B1386,'PO with created By ASR'!A:J,7,FALSE)</f>
        <v>A - Mumbai</v>
      </c>
      <c r="M1386" s="2" t="str">
        <f>VLOOKUP(B1386,'PO with created By ASR'!A:K,8,FALSE)</f>
        <v>Purchase Order-Mum</v>
      </c>
      <c r="N1386" t="s">
        <v>36</v>
      </c>
      <c r="P1386" s="2">
        <v>6</v>
      </c>
    </row>
    <row r="1387" s="2" customFormat="1" spans="1:16">
      <c r="A1387" s="8"/>
      <c r="B1387" s="9" t="s">
        <v>2480</v>
      </c>
      <c r="C1387" s="10" t="s">
        <v>317</v>
      </c>
      <c r="D1387" s="11">
        <v>1</v>
      </c>
      <c r="E1387" s="12">
        <v>6200</v>
      </c>
      <c r="F1387" s="13">
        <v>6200</v>
      </c>
      <c r="G1387" s="2">
        <f>VLOOKUP(B1387,'PO with created By ASR'!A:C,3,FALSE)</f>
        <v>45693</v>
      </c>
      <c r="J1387" s="2" t="str">
        <f>VLOOKUP(B1387,'PO with created By ASR'!A:G,4,FALSE)</f>
        <v>Rak Lead Events-Mum</v>
      </c>
      <c r="K1387" s="2" t="str">
        <f>VLOOKUP(B1387,'PO with created By ASR'!A:I,6,FALSE)</f>
        <v>12317 Rak Lead Events</v>
      </c>
      <c r="L1387" s="2" t="str">
        <f>VLOOKUP(B1387,'PO with created By ASR'!A:J,7,FALSE)</f>
        <v>A - Mumbai</v>
      </c>
      <c r="M1387" s="2" t="str">
        <f>VLOOKUP(B1387,'PO with created By ASR'!A:K,8,FALSE)</f>
        <v>Purchase Order-Mum</v>
      </c>
      <c r="N1387" t="s">
        <v>36</v>
      </c>
      <c r="P1387" s="2">
        <v>6</v>
      </c>
    </row>
    <row r="1388" s="2" customFormat="1" spans="1:16">
      <c r="A1388" s="8"/>
      <c r="B1388" s="9" t="s">
        <v>2481</v>
      </c>
      <c r="C1388" s="10" t="s">
        <v>787</v>
      </c>
      <c r="D1388" s="11">
        <v>1</v>
      </c>
      <c r="E1388" s="12">
        <v>238568</v>
      </c>
      <c r="F1388" s="13">
        <v>238568</v>
      </c>
      <c r="G1388" s="2">
        <f>VLOOKUP(B1388,'PO with created By ASR'!A:C,3,FALSE)</f>
        <v>45693</v>
      </c>
      <c r="J1388" s="2" t="str">
        <f>VLOOKUP(B1388,'PO with created By ASR'!A:G,4,FALSE)</f>
        <v>Ushta Te Consultancy Services LLP-Mum</v>
      </c>
      <c r="K1388" s="2" t="str">
        <f>VLOOKUP(B1388,'PO with created By ASR'!A:I,6,FALSE)</f>
        <v>12575 Ushta Te Consultancy Services LLP</v>
      </c>
      <c r="L1388" s="2" t="str">
        <f>VLOOKUP(B1388,'PO with created By ASR'!A:J,7,FALSE)</f>
        <v>A - Mumbai</v>
      </c>
      <c r="M1388" s="2" t="str">
        <f>VLOOKUP(B1388,'PO with created By ASR'!A:K,8,FALSE)</f>
        <v>Purchase Order-Mum</v>
      </c>
      <c r="N1388" t="s">
        <v>36</v>
      </c>
      <c r="P1388" s="2">
        <v>6</v>
      </c>
    </row>
    <row r="1389" s="2" customFormat="1" spans="1:16">
      <c r="A1389" s="8"/>
      <c r="B1389" s="9" t="s">
        <v>2482</v>
      </c>
      <c r="C1389" s="10" t="s">
        <v>61</v>
      </c>
      <c r="D1389" s="11">
        <v>1</v>
      </c>
      <c r="E1389" s="12">
        <v>22085</v>
      </c>
      <c r="F1389" s="13">
        <v>22085</v>
      </c>
      <c r="G1389" s="2">
        <f>VLOOKUP(B1389,'PO with created By ASR'!A:C,3,FALSE)</f>
        <v>45694</v>
      </c>
      <c r="J1389" s="2" t="str">
        <f>VLOOKUP(B1389,'PO with created By ASR'!A:G,4,FALSE)</f>
        <v>Thirtha Patil  -CR
</v>
      </c>
      <c r="K1389" s="2" t="e">
        <f>VLOOKUP(B1389,'PO with created By ASR'!A:I,6,FALSE)</f>
        <v>#N/A</v>
      </c>
      <c r="L1389" s="2" t="str">
        <f>VLOOKUP(B1389,'PO with created By ASR'!A:J,7,FALSE)</f>
        <v>B - Bangalore</v>
      </c>
      <c r="M1389" s="2" t="str">
        <f>VLOOKUP(B1389,'PO with created By ASR'!A:K,8,FALSE)</f>
        <v>Purchase Order-Blr</v>
      </c>
      <c r="N1389" t="s">
        <v>36</v>
      </c>
      <c r="P1389" s="2">
        <v>6</v>
      </c>
    </row>
    <row r="1390" s="2" customFormat="1" spans="1:16">
      <c r="A1390" s="8"/>
      <c r="B1390" s="9" t="s">
        <v>2482</v>
      </c>
      <c r="C1390" s="10" t="s">
        <v>412</v>
      </c>
      <c r="D1390" s="11">
        <v>1</v>
      </c>
      <c r="E1390" s="12">
        <v>4408.4</v>
      </c>
      <c r="F1390" s="13">
        <v>4408.4</v>
      </c>
      <c r="G1390" s="2">
        <f>VLOOKUP(B1390,'PO with created By ASR'!A:C,3,FALSE)</f>
        <v>45694</v>
      </c>
      <c r="J1390" s="2" t="str">
        <f>VLOOKUP(B1390,'PO with created By ASR'!A:G,4,FALSE)</f>
        <v>Thirtha Patil  -CR
</v>
      </c>
      <c r="K1390" s="2" t="e">
        <f>VLOOKUP(B1390,'PO with created By ASR'!A:I,6,FALSE)</f>
        <v>#N/A</v>
      </c>
      <c r="L1390" s="2" t="str">
        <f>VLOOKUP(B1390,'PO with created By ASR'!A:J,7,FALSE)</f>
        <v>B - Bangalore</v>
      </c>
      <c r="M1390" s="2" t="str">
        <f>VLOOKUP(B1390,'PO with created By ASR'!A:K,8,FALSE)</f>
        <v>Purchase Order-Blr</v>
      </c>
      <c r="N1390" t="s">
        <v>36</v>
      </c>
      <c r="P1390" s="2">
        <v>6</v>
      </c>
    </row>
    <row r="1391" s="2" customFormat="1" spans="1:16">
      <c r="A1391" s="8"/>
      <c r="B1391" s="9" t="s">
        <v>2482</v>
      </c>
      <c r="C1391" s="10" t="s">
        <v>508</v>
      </c>
      <c r="D1391" s="11">
        <v>1</v>
      </c>
      <c r="E1391" s="12">
        <v>1859.5</v>
      </c>
      <c r="F1391" s="13">
        <v>1859.5</v>
      </c>
      <c r="G1391" s="2">
        <f>VLOOKUP(B1391,'PO with created By ASR'!A:C,3,FALSE)</f>
        <v>45694</v>
      </c>
      <c r="J1391" s="2" t="str">
        <f>VLOOKUP(B1391,'PO with created By ASR'!A:G,4,FALSE)</f>
        <v>Thirtha Patil  -CR
</v>
      </c>
      <c r="K1391" s="2" t="e">
        <f>VLOOKUP(B1391,'PO with created By ASR'!A:I,6,FALSE)</f>
        <v>#N/A</v>
      </c>
      <c r="L1391" s="2" t="str">
        <f>VLOOKUP(B1391,'PO with created By ASR'!A:J,7,FALSE)</f>
        <v>B - Bangalore</v>
      </c>
      <c r="M1391" s="2" t="str">
        <f>VLOOKUP(B1391,'PO with created By ASR'!A:K,8,FALSE)</f>
        <v>Purchase Order-Blr</v>
      </c>
      <c r="N1391" t="s">
        <v>36</v>
      </c>
      <c r="P1391" s="2">
        <v>6</v>
      </c>
    </row>
    <row r="1392" s="2" customFormat="1" spans="1:16">
      <c r="A1392" s="8"/>
      <c r="B1392" s="9" t="s">
        <v>2482</v>
      </c>
      <c r="C1392" s="10" t="s">
        <v>256</v>
      </c>
      <c r="D1392" s="11">
        <v>1</v>
      </c>
      <c r="E1392" s="12">
        <v>15000</v>
      </c>
      <c r="F1392" s="13">
        <v>15000</v>
      </c>
      <c r="G1392" s="2">
        <f>VLOOKUP(B1392,'PO with created By ASR'!A:C,3,FALSE)</f>
        <v>45694</v>
      </c>
      <c r="J1392" s="2" t="str">
        <f>VLOOKUP(B1392,'PO with created By ASR'!A:G,4,FALSE)</f>
        <v>Thirtha Patil  -CR
</v>
      </c>
      <c r="K1392" s="2" t="e">
        <f>VLOOKUP(B1392,'PO with created By ASR'!A:I,6,FALSE)</f>
        <v>#N/A</v>
      </c>
      <c r="L1392" s="2" t="str">
        <f>VLOOKUP(B1392,'PO with created By ASR'!A:J,7,FALSE)</f>
        <v>B - Bangalore</v>
      </c>
      <c r="M1392" s="2" t="str">
        <f>VLOOKUP(B1392,'PO with created By ASR'!A:K,8,FALSE)</f>
        <v>Purchase Order-Blr</v>
      </c>
      <c r="N1392" t="s">
        <v>36</v>
      </c>
      <c r="P1392" s="2">
        <v>6</v>
      </c>
    </row>
    <row r="1393" s="2" customFormat="1" spans="1:16">
      <c r="A1393" s="8"/>
      <c r="B1393" s="9" t="s">
        <v>2483</v>
      </c>
      <c r="C1393" s="10" t="s">
        <v>119</v>
      </c>
      <c r="D1393" s="11">
        <v>1</v>
      </c>
      <c r="E1393" s="12">
        <v>11000</v>
      </c>
      <c r="F1393" s="13">
        <v>11000</v>
      </c>
      <c r="G1393" s="2">
        <f>VLOOKUP(B1393,'PO with created By ASR'!A:C,3,FALSE)</f>
        <v>45694</v>
      </c>
      <c r="J1393" s="2" t="str">
        <f>VLOOKUP(B1393,'PO with created By ASR'!A:G,4,FALSE)</f>
        <v>Thirtha Patil  -CR
</v>
      </c>
      <c r="K1393" s="2" t="e">
        <f>VLOOKUP(B1393,'PO with created By ASR'!A:I,6,FALSE)</f>
        <v>#N/A</v>
      </c>
      <c r="L1393" s="2" t="str">
        <f>VLOOKUP(B1393,'PO with created By ASR'!A:J,7,FALSE)</f>
        <v>B - Bangalore</v>
      </c>
      <c r="M1393" s="2" t="str">
        <f>VLOOKUP(B1393,'PO with created By ASR'!A:K,8,FALSE)</f>
        <v>Purchase Order-Blr</v>
      </c>
      <c r="N1393" t="s">
        <v>36</v>
      </c>
      <c r="P1393" s="2">
        <v>6</v>
      </c>
    </row>
    <row r="1394" s="2" customFormat="1" spans="1:16">
      <c r="A1394" s="8"/>
      <c r="B1394" s="9" t="s">
        <v>2483</v>
      </c>
      <c r="C1394" s="10" t="s">
        <v>126</v>
      </c>
      <c r="D1394" s="11">
        <v>1</v>
      </c>
      <c r="E1394" s="12">
        <v>2429</v>
      </c>
      <c r="F1394" s="13">
        <v>2429</v>
      </c>
      <c r="G1394" s="2">
        <f>VLOOKUP(B1394,'PO with created By ASR'!A:C,3,FALSE)</f>
        <v>45694</v>
      </c>
      <c r="J1394" s="2" t="str">
        <f>VLOOKUP(B1394,'PO with created By ASR'!A:G,4,FALSE)</f>
        <v>Thirtha Patil  -CR
</v>
      </c>
      <c r="K1394" s="2" t="e">
        <f>VLOOKUP(B1394,'PO with created By ASR'!A:I,6,FALSE)</f>
        <v>#N/A</v>
      </c>
      <c r="L1394" s="2" t="str">
        <f>VLOOKUP(B1394,'PO with created By ASR'!A:J,7,FALSE)</f>
        <v>B - Bangalore</v>
      </c>
      <c r="M1394" s="2" t="str">
        <f>VLOOKUP(B1394,'PO with created By ASR'!A:K,8,FALSE)</f>
        <v>Purchase Order-Blr</v>
      </c>
      <c r="N1394" t="s">
        <v>36</v>
      </c>
      <c r="P1394" s="2">
        <v>6</v>
      </c>
    </row>
    <row r="1395" s="2" customFormat="1" spans="1:16">
      <c r="A1395" s="8"/>
      <c r="B1395" s="9" t="s">
        <v>2483</v>
      </c>
      <c r="C1395" s="10" t="s">
        <v>61</v>
      </c>
      <c r="D1395" s="11">
        <v>1</v>
      </c>
      <c r="E1395" s="12">
        <v>20558</v>
      </c>
      <c r="F1395" s="13">
        <v>20558</v>
      </c>
      <c r="G1395" s="2">
        <f>VLOOKUP(B1395,'PO with created By ASR'!A:C,3,FALSE)</f>
        <v>45694</v>
      </c>
      <c r="J1395" s="2" t="str">
        <f>VLOOKUP(B1395,'PO with created By ASR'!A:G,4,FALSE)</f>
        <v>Thirtha Patil  -CR
</v>
      </c>
      <c r="K1395" s="2" t="e">
        <f>VLOOKUP(B1395,'PO with created By ASR'!A:I,6,FALSE)</f>
        <v>#N/A</v>
      </c>
      <c r="L1395" s="2" t="str">
        <f>VLOOKUP(B1395,'PO with created By ASR'!A:J,7,FALSE)</f>
        <v>B - Bangalore</v>
      </c>
      <c r="M1395" s="2" t="str">
        <f>VLOOKUP(B1395,'PO with created By ASR'!A:K,8,FALSE)</f>
        <v>Purchase Order-Blr</v>
      </c>
      <c r="N1395" t="s">
        <v>36</v>
      </c>
      <c r="P1395" s="2">
        <v>6</v>
      </c>
    </row>
    <row r="1396" s="2" customFormat="1" spans="1:16">
      <c r="A1396" s="8"/>
      <c r="B1396" s="9" t="s">
        <v>2483</v>
      </c>
      <c r="C1396" s="10" t="s">
        <v>412</v>
      </c>
      <c r="D1396" s="11">
        <v>1</v>
      </c>
      <c r="E1396" s="12">
        <v>5057</v>
      </c>
      <c r="F1396" s="13">
        <v>5057</v>
      </c>
      <c r="G1396" s="2">
        <f>VLOOKUP(B1396,'PO with created By ASR'!A:C,3,FALSE)</f>
        <v>45694</v>
      </c>
      <c r="J1396" s="2" t="str">
        <f>VLOOKUP(B1396,'PO with created By ASR'!A:G,4,FALSE)</f>
        <v>Thirtha Patil  -CR
</v>
      </c>
      <c r="K1396" s="2" t="e">
        <f>VLOOKUP(B1396,'PO with created By ASR'!A:I,6,FALSE)</f>
        <v>#N/A</v>
      </c>
      <c r="L1396" s="2" t="str">
        <f>VLOOKUP(B1396,'PO with created By ASR'!A:J,7,FALSE)</f>
        <v>B - Bangalore</v>
      </c>
      <c r="M1396" s="2" t="str">
        <f>VLOOKUP(B1396,'PO with created By ASR'!A:K,8,FALSE)</f>
        <v>Purchase Order-Blr</v>
      </c>
      <c r="N1396" t="s">
        <v>36</v>
      </c>
      <c r="P1396" s="2">
        <v>6</v>
      </c>
    </row>
    <row r="1397" s="2" customFormat="1" spans="1:16">
      <c r="A1397" s="8"/>
      <c r="B1397" s="9" t="s">
        <v>2484</v>
      </c>
      <c r="C1397" s="10" t="s">
        <v>119</v>
      </c>
      <c r="D1397" s="11">
        <v>1</v>
      </c>
      <c r="E1397" s="12">
        <v>10250</v>
      </c>
      <c r="F1397" s="13">
        <v>10250</v>
      </c>
      <c r="G1397" s="2">
        <f>VLOOKUP(B1397,'PO with created By ASR'!A:C,3,FALSE)</f>
        <v>45694</v>
      </c>
      <c r="J1397" s="2" t="str">
        <f>VLOOKUP(B1397,'PO with created By ASR'!A:G,4,FALSE)</f>
        <v>Thirtha Patil  -CR
</v>
      </c>
      <c r="K1397" s="2" t="e">
        <f>VLOOKUP(B1397,'PO with created By ASR'!A:I,6,FALSE)</f>
        <v>#N/A</v>
      </c>
      <c r="L1397" s="2" t="str">
        <f>VLOOKUP(B1397,'PO with created By ASR'!A:J,7,FALSE)</f>
        <v>B - Bangalore</v>
      </c>
      <c r="M1397" s="2" t="str">
        <f>VLOOKUP(B1397,'PO with created By ASR'!A:K,8,FALSE)</f>
        <v>Purchase Order-Blr</v>
      </c>
      <c r="N1397" t="s">
        <v>36</v>
      </c>
      <c r="P1397" s="2">
        <v>6</v>
      </c>
    </row>
    <row r="1398" s="2" customFormat="1" spans="1:16">
      <c r="A1398" s="8"/>
      <c r="B1398" s="9" t="s">
        <v>2484</v>
      </c>
      <c r="C1398" s="10" t="s">
        <v>412</v>
      </c>
      <c r="D1398" s="11">
        <v>1</v>
      </c>
      <c r="E1398" s="12">
        <v>19476</v>
      </c>
      <c r="F1398" s="13">
        <v>19476</v>
      </c>
      <c r="G1398" s="2">
        <f>VLOOKUP(B1398,'PO with created By ASR'!A:C,3,FALSE)</f>
        <v>45694</v>
      </c>
      <c r="J1398" s="2" t="str">
        <f>VLOOKUP(B1398,'PO with created By ASR'!A:G,4,FALSE)</f>
        <v>Thirtha Patil  -CR
</v>
      </c>
      <c r="K1398" s="2" t="e">
        <f>VLOOKUP(B1398,'PO with created By ASR'!A:I,6,FALSE)</f>
        <v>#N/A</v>
      </c>
      <c r="L1398" s="2" t="str">
        <f>VLOOKUP(B1398,'PO with created By ASR'!A:J,7,FALSE)</f>
        <v>B - Bangalore</v>
      </c>
      <c r="M1398" s="2" t="str">
        <f>VLOOKUP(B1398,'PO with created By ASR'!A:K,8,FALSE)</f>
        <v>Purchase Order-Blr</v>
      </c>
      <c r="N1398" t="s">
        <v>36</v>
      </c>
      <c r="P1398" s="2">
        <v>6</v>
      </c>
    </row>
    <row r="1399" s="2" customFormat="1" spans="1:16">
      <c r="A1399" s="8"/>
      <c r="B1399" s="9" t="s">
        <v>2484</v>
      </c>
      <c r="C1399" s="10" t="s">
        <v>61</v>
      </c>
      <c r="D1399" s="11">
        <v>1</v>
      </c>
      <c r="E1399" s="12">
        <v>15466</v>
      </c>
      <c r="F1399" s="13">
        <v>15466</v>
      </c>
      <c r="G1399" s="2">
        <f>VLOOKUP(B1399,'PO with created By ASR'!A:C,3,FALSE)</f>
        <v>45694</v>
      </c>
      <c r="J1399" s="2" t="str">
        <f>VLOOKUP(B1399,'PO with created By ASR'!A:G,4,FALSE)</f>
        <v>Thirtha Patil  -CR
</v>
      </c>
      <c r="K1399" s="2" t="e">
        <f>VLOOKUP(B1399,'PO with created By ASR'!A:I,6,FALSE)</f>
        <v>#N/A</v>
      </c>
      <c r="L1399" s="2" t="str">
        <f>VLOOKUP(B1399,'PO with created By ASR'!A:J,7,FALSE)</f>
        <v>B - Bangalore</v>
      </c>
      <c r="M1399" s="2" t="str">
        <f>VLOOKUP(B1399,'PO with created By ASR'!A:K,8,FALSE)</f>
        <v>Purchase Order-Blr</v>
      </c>
      <c r="N1399" t="s">
        <v>36</v>
      </c>
      <c r="P1399" s="2">
        <v>6</v>
      </c>
    </row>
    <row r="1400" s="2" customFormat="1" spans="1:16">
      <c r="A1400" s="8"/>
      <c r="B1400" s="9" t="s">
        <v>2484</v>
      </c>
      <c r="C1400" s="10" t="s">
        <v>3829</v>
      </c>
      <c r="D1400" s="11">
        <v>1</v>
      </c>
      <c r="E1400" s="12">
        <v>2048</v>
      </c>
      <c r="F1400" s="13">
        <v>2048</v>
      </c>
      <c r="G1400" s="2">
        <f>VLOOKUP(B1400,'PO with created By ASR'!A:C,3,FALSE)</f>
        <v>45694</v>
      </c>
      <c r="J1400" s="2" t="str">
        <f>VLOOKUP(B1400,'PO with created By ASR'!A:G,4,FALSE)</f>
        <v>Thirtha Patil  -CR
</v>
      </c>
      <c r="K1400" s="2" t="e">
        <f>VLOOKUP(B1400,'PO with created By ASR'!A:I,6,FALSE)</f>
        <v>#N/A</v>
      </c>
      <c r="L1400" s="2" t="str">
        <f>VLOOKUP(B1400,'PO with created By ASR'!A:J,7,FALSE)</f>
        <v>B - Bangalore</v>
      </c>
      <c r="M1400" s="2" t="str">
        <f>VLOOKUP(B1400,'PO with created By ASR'!A:K,8,FALSE)</f>
        <v>Purchase Order-Blr</v>
      </c>
      <c r="N1400" t="s">
        <v>36</v>
      </c>
      <c r="P1400" s="2">
        <v>6</v>
      </c>
    </row>
    <row r="1401" s="2" customFormat="1" spans="1:16">
      <c r="A1401" s="8"/>
      <c r="B1401" s="9" t="s">
        <v>2485</v>
      </c>
      <c r="C1401" s="10" t="s">
        <v>134</v>
      </c>
      <c r="D1401" s="11">
        <v>1</v>
      </c>
      <c r="E1401" s="12">
        <v>1233.6</v>
      </c>
      <c r="F1401" s="13">
        <v>1233.6</v>
      </c>
      <c r="G1401" s="2">
        <f>VLOOKUP(B1401,'PO with created By ASR'!A:C,3,FALSE)</f>
        <v>45694</v>
      </c>
      <c r="J1401" s="2" t="str">
        <f>VLOOKUP(B1401,'PO with created By ASR'!A:G,4,FALSE)</f>
        <v>Anurama V  -CR</v>
      </c>
      <c r="K1401" s="2" t="e">
        <f>VLOOKUP(B1401,'PO with created By ASR'!A:I,6,FALSE)</f>
        <v>#N/A</v>
      </c>
      <c r="L1401" s="2" t="str">
        <f>VLOOKUP(B1401,'PO with created By ASR'!A:J,7,FALSE)</f>
        <v>B - Bangalore</v>
      </c>
      <c r="M1401" s="2" t="str">
        <f>VLOOKUP(B1401,'PO with created By ASR'!A:K,8,FALSE)</f>
        <v>Purchase Order-Blr</v>
      </c>
      <c r="N1401" t="s">
        <v>36</v>
      </c>
      <c r="P1401" s="2">
        <v>6</v>
      </c>
    </row>
    <row r="1402" s="2" customFormat="1" spans="1:16">
      <c r="A1402" s="8"/>
      <c r="B1402" s="9" t="s">
        <v>2486</v>
      </c>
      <c r="C1402" s="10" t="s">
        <v>119</v>
      </c>
      <c r="D1402" s="11">
        <v>1</v>
      </c>
      <c r="E1402" s="12">
        <v>3600</v>
      </c>
      <c r="F1402" s="13">
        <v>3600</v>
      </c>
      <c r="G1402" s="2">
        <f>VLOOKUP(B1402,'PO with created By ASR'!A:C,3,FALSE)</f>
        <v>45694</v>
      </c>
      <c r="J1402" s="2" t="str">
        <f>VLOOKUP(B1402,'PO with created By ASR'!A:G,4,FALSE)</f>
        <v>Srinivasa Dasari  -CR</v>
      </c>
      <c r="K1402" s="2" t="e">
        <f>VLOOKUP(B1402,'PO with created By ASR'!A:I,6,FALSE)</f>
        <v>#N/A</v>
      </c>
      <c r="L1402" s="2" t="str">
        <f>VLOOKUP(B1402,'PO with created By ASR'!A:J,7,FALSE)</f>
        <v>B - Bangalore</v>
      </c>
      <c r="M1402" s="2" t="str">
        <f>VLOOKUP(B1402,'PO with created By ASR'!A:K,8,FALSE)</f>
        <v>Purchase Order-Blr</v>
      </c>
      <c r="N1402" t="s">
        <v>36</v>
      </c>
      <c r="P1402" s="2">
        <v>6</v>
      </c>
    </row>
    <row r="1403" s="2" customFormat="1" spans="1:16">
      <c r="A1403" s="8"/>
      <c r="B1403" s="9" t="s">
        <v>2486</v>
      </c>
      <c r="C1403" s="10" t="s">
        <v>126</v>
      </c>
      <c r="D1403" s="11">
        <v>1</v>
      </c>
      <c r="E1403" s="12">
        <v>1855</v>
      </c>
      <c r="F1403" s="13">
        <v>1855</v>
      </c>
      <c r="G1403" s="2">
        <f>VLOOKUP(B1403,'PO with created By ASR'!A:C,3,FALSE)</f>
        <v>45694</v>
      </c>
      <c r="J1403" s="2" t="str">
        <f>VLOOKUP(B1403,'PO with created By ASR'!A:G,4,FALSE)</f>
        <v>Srinivasa Dasari  -CR</v>
      </c>
      <c r="K1403" s="2" t="e">
        <f>VLOOKUP(B1403,'PO with created By ASR'!A:I,6,FALSE)</f>
        <v>#N/A</v>
      </c>
      <c r="L1403" s="2" t="str">
        <f>VLOOKUP(B1403,'PO with created By ASR'!A:J,7,FALSE)</f>
        <v>B - Bangalore</v>
      </c>
      <c r="M1403" s="2" t="str">
        <f>VLOOKUP(B1403,'PO with created By ASR'!A:K,8,FALSE)</f>
        <v>Purchase Order-Blr</v>
      </c>
      <c r="N1403" t="s">
        <v>36</v>
      </c>
      <c r="P1403" s="2">
        <v>6</v>
      </c>
    </row>
    <row r="1404" s="2" customFormat="1" spans="1:16">
      <c r="A1404" s="8"/>
      <c r="B1404" s="9" t="s">
        <v>2486</v>
      </c>
      <c r="C1404" s="10" t="s">
        <v>412</v>
      </c>
      <c r="D1404" s="11">
        <v>1</v>
      </c>
      <c r="E1404" s="12">
        <v>1244</v>
      </c>
      <c r="F1404" s="13">
        <v>1244</v>
      </c>
      <c r="G1404" s="2">
        <f>VLOOKUP(B1404,'PO with created By ASR'!A:C,3,FALSE)</f>
        <v>45694</v>
      </c>
      <c r="J1404" s="2" t="str">
        <f>VLOOKUP(B1404,'PO with created By ASR'!A:G,4,FALSE)</f>
        <v>Srinivasa Dasari  -CR</v>
      </c>
      <c r="K1404" s="2" t="e">
        <f>VLOOKUP(B1404,'PO with created By ASR'!A:I,6,FALSE)</f>
        <v>#N/A</v>
      </c>
      <c r="L1404" s="2" t="str">
        <f>VLOOKUP(B1404,'PO with created By ASR'!A:J,7,FALSE)</f>
        <v>B - Bangalore</v>
      </c>
      <c r="M1404" s="2" t="str">
        <f>VLOOKUP(B1404,'PO with created By ASR'!A:K,8,FALSE)</f>
        <v>Purchase Order-Blr</v>
      </c>
      <c r="N1404" t="s">
        <v>36</v>
      </c>
      <c r="P1404" s="2">
        <v>6</v>
      </c>
    </row>
    <row r="1405" s="2" customFormat="1" spans="1:16">
      <c r="A1405" s="8"/>
      <c r="B1405" s="9" t="s">
        <v>2488</v>
      </c>
      <c r="C1405" s="10" t="s">
        <v>61</v>
      </c>
      <c r="D1405" s="11">
        <v>1</v>
      </c>
      <c r="E1405" s="12">
        <v>16800</v>
      </c>
      <c r="F1405" s="13">
        <v>16800</v>
      </c>
      <c r="G1405" s="2">
        <f>VLOOKUP(B1405,'PO with created By ASR'!A:C,3,FALSE)</f>
        <v>45694</v>
      </c>
      <c r="J1405" s="2" t="str">
        <f>VLOOKUP(B1405,'PO with created By ASR'!A:G,4,FALSE)</f>
        <v>Farhan Shariff  -CR</v>
      </c>
      <c r="K1405" s="2" t="e">
        <f>VLOOKUP(B1405,'PO with created By ASR'!A:I,6,FALSE)</f>
        <v>#N/A</v>
      </c>
      <c r="L1405" s="2" t="str">
        <f>VLOOKUP(B1405,'PO with created By ASR'!A:J,7,FALSE)</f>
        <v>B - Bangalore</v>
      </c>
      <c r="M1405" s="2" t="str">
        <f>VLOOKUP(B1405,'PO with created By ASR'!A:K,8,FALSE)</f>
        <v>Purchase Order-Blr</v>
      </c>
      <c r="N1405" t="s">
        <v>36</v>
      </c>
      <c r="P1405" s="2">
        <v>6</v>
      </c>
    </row>
    <row r="1406" s="2" customFormat="1" spans="1:16">
      <c r="A1406" s="8"/>
      <c r="B1406" s="9" t="s">
        <v>2488</v>
      </c>
      <c r="C1406" s="10" t="s">
        <v>126</v>
      </c>
      <c r="D1406" s="11">
        <v>1</v>
      </c>
      <c r="E1406" s="12">
        <v>4905</v>
      </c>
      <c r="F1406" s="13">
        <v>4905</v>
      </c>
      <c r="G1406" s="2">
        <f>VLOOKUP(B1406,'PO with created By ASR'!A:C,3,FALSE)</f>
        <v>45694</v>
      </c>
      <c r="J1406" s="2" t="str">
        <f>VLOOKUP(B1406,'PO with created By ASR'!A:G,4,FALSE)</f>
        <v>Farhan Shariff  -CR</v>
      </c>
      <c r="K1406" s="2" t="e">
        <f>VLOOKUP(B1406,'PO with created By ASR'!A:I,6,FALSE)</f>
        <v>#N/A</v>
      </c>
      <c r="L1406" s="2" t="str">
        <f>VLOOKUP(B1406,'PO with created By ASR'!A:J,7,FALSE)</f>
        <v>B - Bangalore</v>
      </c>
      <c r="M1406" s="2" t="str">
        <f>VLOOKUP(B1406,'PO with created By ASR'!A:K,8,FALSE)</f>
        <v>Purchase Order-Blr</v>
      </c>
      <c r="N1406" t="s">
        <v>36</v>
      </c>
      <c r="P1406" s="2">
        <v>6</v>
      </c>
    </row>
    <row r="1407" s="2" customFormat="1" spans="1:16">
      <c r="A1407" s="8"/>
      <c r="B1407" s="9" t="s">
        <v>2488</v>
      </c>
      <c r="C1407" s="10" t="s">
        <v>412</v>
      </c>
      <c r="D1407" s="11">
        <v>1</v>
      </c>
      <c r="E1407" s="12">
        <v>4762</v>
      </c>
      <c r="F1407" s="13">
        <v>4762</v>
      </c>
      <c r="G1407" s="2">
        <f>VLOOKUP(B1407,'PO with created By ASR'!A:C,3,FALSE)</f>
        <v>45694</v>
      </c>
      <c r="J1407" s="2" t="str">
        <f>VLOOKUP(B1407,'PO with created By ASR'!A:G,4,FALSE)</f>
        <v>Farhan Shariff  -CR</v>
      </c>
      <c r="K1407" s="2" t="e">
        <f>VLOOKUP(B1407,'PO with created By ASR'!A:I,6,FALSE)</f>
        <v>#N/A</v>
      </c>
      <c r="L1407" s="2" t="str">
        <f>VLOOKUP(B1407,'PO with created By ASR'!A:J,7,FALSE)</f>
        <v>B - Bangalore</v>
      </c>
      <c r="M1407" s="2" t="str">
        <f>VLOOKUP(B1407,'PO with created By ASR'!A:K,8,FALSE)</f>
        <v>Purchase Order-Blr</v>
      </c>
      <c r="N1407" t="s">
        <v>36</v>
      </c>
      <c r="P1407" s="2">
        <v>6</v>
      </c>
    </row>
    <row r="1408" s="2" customFormat="1" spans="1:16">
      <c r="A1408" s="8"/>
      <c r="B1408" s="9" t="s">
        <v>2490</v>
      </c>
      <c r="C1408" s="10" t="s">
        <v>127</v>
      </c>
      <c r="D1408" s="11">
        <v>1</v>
      </c>
      <c r="E1408" s="12">
        <v>1636</v>
      </c>
      <c r="F1408" s="13">
        <v>1636</v>
      </c>
      <c r="G1408" s="2">
        <f>VLOOKUP(B1408,'PO with created By ASR'!A:C,3,FALSE)</f>
        <v>45694</v>
      </c>
      <c r="J1408" s="2" t="str">
        <f>VLOOKUP(B1408,'PO with created By ASR'!A:G,4,FALSE)</f>
        <v>Tijo Joseph -CR</v>
      </c>
      <c r="K1408" s="2" t="e">
        <f>VLOOKUP(B1408,'PO with created By ASR'!A:I,6,FALSE)</f>
        <v>#N/A</v>
      </c>
      <c r="L1408" s="2" t="str">
        <f>VLOOKUP(B1408,'PO with created By ASR'!A:J,7,FALSE)</f>
        <v>B - Bangalore</v>
      </c>
      <c r="M1408" s="2" t="str">
        <f>VLOOKUP(B1408,'PO with created By ASR'!A:K,8,FALSE)</f>
        <v>Purchase Order-Blr</v>
      </c>
      <c r="N1408" t="s">
        <v>36</v>
      </c>
      <c r="P1408" s="2">
        <v>6</v>
      </c>
    </row>
    <row r="1409" s="2" customFormat="1" spans="1:16">
      <c r="A1409" s="8"/>
      <c r="B1409" s="9" t="s">
        <v>2490</v>
      </c>
      <c r="C1409" s="10" t="s">
        <v>134</v>
      </c>
      <c r="D1409" s="11">
        <v>1</v>
      </c>
      <c r="E1409" s="12">
        <v>2765</v>
      </c>
      <c r="F1409" s="13">
        <v>2765</v>
      </c>
      <c r="G1409" s="2">
        <f>VLOOKUP(B1409,'PO with created By ASR'!A:C,3,FALSE)</f>
        <v>45694</v>
      </c>
      <c r="J1409" s="2" t="str">
        <f>VLOOKUP(B1409,'PO with created By ASR'!A:G,4,FALSE)</f>
        <v>Tijo Joseph -CR</v>
      </c>
      <c r="K1409" s="2" t="e">
        <f>VLOOKUP(B1409,'PO with created By ASR'!A:I,6,FALSE)</f>
        <v>#N/A</v>
      </c>
      <c r="L1409" s="2" t="str">
        <f>VLOOKUP(B1409,'PO with created By ASR'!A:J,7,FALSE)</f>
        <v>B - Bangalore</v>
      </c>
      <c r="M1409" s="2" t="str">
        <f>VLOOKUP(B1409,'PO with created By ASR'!A:K,8,FALSE)</f>
        <v>Purchase Order-Blr</v>
      </c>
      <c r="N1409" t="s">
        <v>36</v>
      </c>
      <c r="P1409" s="2">
        <v>6</v>
      </c>
    </row>
    <row r="1410" s="2" customFormat="1" spans="1:16">
      <c r="A1410" s="8"/>
      <c r="B1410" s="9" t="s">
        <v>2491</v>
      </c>
      <c r="C1410" s="10" t="s">
        <v>233</v>
      </c>
      <c r="D1410" s="11">
        <v>1</v>
      </c>
      <c r="E1410" s="12">
        <v>12200</v>
      </c>
      <c r="F1410" s="13">
        <v>12200</v>
      </c>
      <c r="G1410" s="2">
        <f>VLOOKUP(B1410,'PO with created By ASR'!A:C,3,FALSE)</f>
        <v>45694</v>
      </c>
      <c r="J1410" s="2" t="str">
        <f>VLOOKUP(B1410,'PO with created By ASR'!A:G,4,FALSE)</f>
        <v>Farhan Shariff  -CR</v>
      </c>
      <c r="K1410" s="2" t="e">
        <f>VLOOKUP(B1410,'PO with created By ASR'!A:I,6,FALSE)</f>
        <v>#N/A</v>
      </c>
      <c r="L1410" s="2" t="str">
        <f>VLOOKUP(B1410,'PO with created By ASR'!A:J,7,FALSE)</f>
        <v>B - Bangalore</v>
      </c>
      <c r="M1410" s="2" t="str">
        <f>VLOOKUP(B1410,'PO with created By ASR'!A:K,8,FALSE)</f>
        <v>Purchase Order-Blr</v>
      </c>
      <c r="N1410" t="s">
        <v>36</v>
      </c>
      <c r="P1410" s="2">
        <v>6</v>
      </c>
    </row>
    <row r="1411" s="2" customFormat="1" spans="1:16">
      <c r="A1411" s="8"/>
      <c r="B1411" s="9" t="s">
        <v>2493</v>
      </c>
      <c r="C1411" s="10" t="s">
        <v>1055</v>
      </c>
      <c r="D1411" s="11">
        <v>1</v>
      </c>
      <c r="E1411" s="12">
        <v>7500</v>
      </c>
      <c r="F1411" s="13">
        <v>7500</v>
      </c>
      <c r="G1411" s="2">
        <f>VLOOKUP(B1411,'PO with created By ASR'!A:C,3,FALSE)</f>
        <v>45694</v>
      </c>
      <c r="J1411" s="2" t="str">
        <f>VLOOKUP(B1411,'PO with created By ASR'!A:G,4,FALSE)</f>
        <v>Anurama V  -CR</v>
      </c>
      <c r="K1411" s="2" t="e">
        <f>VLOOKUP(B1411,'PO with created By ASR'!A:I,6,FALSE)</f>
        <v>#N/A</v>
      </c>
      <c r="L1411" s="2" t="str">
        <f>VLOOKUP(B1411,'PO with created By ASR'!A:J,7,FALSE)</f>
        <v>B - Bangalore</v>
      </c>
      <c r="M1411" s="2" t="str">
        <f>VLOOKUP(B1411,'PO with created By ASR'!A:K,8,FALSE)</f>
        <v>Purchase Order-Blr</v>
      </c>
      <c r="N1411" t="s">
        <v>36</v>
      </c>
      <c r="P1411" s="2">
        <v>6</v>
      </c>
    </row>
    <row r="1412" s="2" customFormat="1" spans="1:16">
      <c r="A1412" s="8"/>
      <c r="B1412" s="9" t="s">
        <v>2494</v>
      </c>
      <c r="C1412" s="10" t="s">
        <v>1239</v>
      </c>
      <c r="D1412" s="11">
        <v>1</v>
      </c>
      <c r="E1412" s="12">
        <v>1578130</v>
      </c>
      <c r="F1412" s="13">
        <v>1578130</v>
      </c>
      <c r="G1412" s="2">
        <f>VLOOKUP(B1412,'PO with created By ASR'!A:C,3,FALSE)</f>
        <v>45694</v>
      </c>
      <c r="J1412" s="2" t="str">
        <f>VLOOKUP(B1412,'PO with created By ASR'!A:G,4,FALSE)</f>
        <v>Tamilnadu Trade Promotion Organisation-Che</v>
      </c>
      <c r="K1412" s="2" t="str">
        <f>VLOOKUP(B1412,'PO with created By ASR'!A:I,6,FALSE)</f>
        <v>12951  Tamilnadu Trade Promotion Organisation</v>
      </c>
      <c r="L1412" s="2" t="str">
        <f>VLOOKUP(B1412,'PO with created By ASR'!A:J,7,FALSE)</f>
        <v>C - Chennai</v>
      </c>
      <c r="M1412" s="2" t="str">
        <f>VLOOKUP(B1412,'PO with created By ASR'!A:K,8,FALSE)</f>
        <v>Purchase Order-Che</v>
      </c>
      <c r="N1412" t="s">
        <v>36</v>
      </c>
      <c r="P1412" s="2">
        <v>6</v>
      </c>
    </row>
    <row r="1413" s="2" customFormat="1" spans="1:16">
      <c r="A1413" s="8"/>
      <c r="B1413" s="9" t="s">
        <v>2494</v>
      </c>
      <c r="C1413" s="10" t="s">
        <v>1239</v>
      </c>
      <c r="D1413" s="11">
        <v>1</v>
      </c>
      <c r="E1413" s="12">
        <v>485950</v>
      </c>
      <c r="F1413" s="13">
        <v>485950</v>
      </c>
      <c r="G1413" s="2">
        <f>VLOOKUP(B1413,'PO with created By ASR'!A:C,3,FALSE)</f>
        <v>45694</v>
      </c>
      <c r="J1413" s="2" t="str">
        <f>VLOOKUP(B1413,'PO with created By ASR'!A:G,4,FALSE)</f>
        <v>Tamilnadu Trade Promotion Organisation-Che</v>
      </c>
      <c r="K1413" s="2" t="str">
        <f>VLOOKUP(B1413,'PO with created By ASR'!A:I,6,FALSE)</f>
        <v>12951  Tamilnadu Trade Promotion Organisation</v>
      </c>
      <c r="L1413" s="2" t="str">
        <f>VLOOKUP(B1413,'PO with created By ASR'!A:J,7,FALSE)</f>
        <v>C - Chennai</v>
      </c>
      <c r="M1413" s="2" t="str">
        <f>VLOOKUP(B1413,'PO with created By ASR'!A:K,8,FALSE)</f>
        <v>Purchase Order-Che</v>
      </c>
      <c r="N1413" t="s">
        <v>36</v>
      </c>
      <c r="P1413" s="2">
        <v>6</v>
      </c>
    </row>
    <row r="1414" s="2" customFormat="1" spans="1:16">
      <c r="A1414" s="8"/>
      <c r="B1414" s="9" t="s">
        <v>2500</v>
      </c>
      <c r="C1414" s="10" t="s">
        <v>317</v>
      </c>
      <c r="D1414" s="11">
        <v>1</v>
      </c>
      <c r="E1414" s="12">
        <v>55000</v>
      </c>
      <c r="F1414" s="13">
        <v>55000</v>
      </c>
      <c r="G1414" s="2">
        <f>VLOOKUP(B1414,'PO with created By ASR'!A:C,3,FALSE)</f>
        <v>45694</v>
      </c>
      <c r="J1414" s="2" t="str">
        <f>VLOOKUP(B1414,'PO with created By ASR'!A:G,4,FALSE)</f>
        <v>Showmedia Solution Private Limited-Che</v>
      </c>
      <c r="K1414" s="2" t="e">
        <f>VLOOKUP(B1414,'PO with created By ASR'!A:I,6,FALSE)</f>
        <v>#N/A</v>
      </c>
      <c r="L1414" s="2" t="str">
        <f>VLOOKUP(B1414,'PO with created By ASR'!A:J,7,FALSE)</f>
        <v>C - Chennai</v>
      </c>
      <c r="M1414" s="2" t="str">
        <f>VLOOKUP(B1414,'PO with created By ASR'!A:K,8,FALSE)</f>
        <v>Purchase Order-Che</v>
      </c>
      <c r="N1414" t="s">
        <v>36</v>
      </c>
      <c r="P1414" s="2">
        <v>6</v>
      </c>
    </row>
    <row r="1415" s="2" customFormat="1" spans="1:16">
      <c r="A1415" s="8"/>
      <c r="B1415" s="9" t="s">
        <v>2502</v>
      </c>
      <c r="C1415" s="10" t="s">
        <v>140</v>
      </c>
      <c r="D1415" s="11">
        <v>1</v>
      </c>
      <c r="E1415" s="12">
        <v>102300</v>
      </c>
      <c r="F1415" s="13">
        <v>102300</v>
      </c>
      <c r="G1415" s="2">
        <f>VLOOKUP(B1415,'PO with created By ASR'!A:C,3,FALSE)</f>
        <v>45694</v>
      </c>
      <c r="J1415" s="2" t="str">
        <f>VLOOKUP(B1415,'PO with created By ASR'!A:G,4,FALSE)</f>
        <v>Studio Merchandise Pvt Ltd-Del</v>
      </c>
      <c r="K1415" s="2" t="str">
        <f>VLOOKUP(B1415,'PO with created By ASR'!A:I,6,FALSE)</f>
        <v>12464  Studio Merchandise Pvt Ltd</v>
      </c>
      <c r="L1415" s="2" t="str">
        <f>VLOOKUP(B1415,'PO with created By ASR'!A:J,7,FALSE)</f>
        <v>D - Delhi</v>
      </c>
      <c r="M1415" s="2" t="str">
        <f>VLOOKUP(B1415,'PO with created By ASR'!A:K,8,FALSE)</f>
        <v>Purchase Order-Del</v>
      </c>
      <c r="N1415" t="s">
        <v>36</v>
      </c>
      <c r="P1415" s="2">
        <v>6</v>
      </c>
    </row>
    <row r="1416" s="2" customFormat="1" spans="1:16">
      <c r="A1416" s="8"/>
      <c r="B1416" s="9" t="s">
        <v>2504</v>
      </c>
      <c r="C1416" s="10" t="s">
        <v>140</v>
      </c>
      <c r="D1416" s="11">
        <v>1</v>
      </c>
      <c r="E1416" s="12">
        <v>1296000</v>
      </c>
      <c r="F1416" s="13">
        <v>1296000</v>
      </c>
      <c r="G1416" s="2">
        <f>VLOOKUP(B1416,'PO with created By ASR'!A:C,3,FALSE)</f>
        <v>45694</v>
      </c>
      <c r="J1416" s="2" t="str">
        <f>VLOOKUP(B1416,'PO with created By ASR'!A:G,4,FALSE)</f>
        <v>Studio Merchandise Pvt Ltd-Del</v>
      </c>
      <c r="K1416" s="2" t="str">
        <f>VLOOKUP(B1416,'PO with created By ASR'!A:I,6,FALSE)</f>
        <v>12464  Studio Merchandise Pvt Ltd</v>
      </c>
      <c r="L1416" s="2" t="str">
        <f>VLOOKUP(B1416,'PO with created By ASR'!A:J,7,FALSE)</f>
        <v>D - Delhi</v>
      </c>
      <c r="M1416" s="2" t="str">
        <f>VLOOKUP(B1416,'PO with created By ASR'!A:K,8,FALSE)</f>
        <v>Purchase Order-Del</v>
      </c>
      <c r="N1416" t="s">
        <v>36</v>
      </c>
      <c r="P1416" s="2">
        <v>6</v>
      </c>
    </row>
    <row r="1417" s="2" customFormat="1" spans="1:16">
      <c r="A1417" s="8"/>
      <c r="B1417" s="9" t="s">
        <v>2504</v>
      </c>
      <c r="C1417" s="10" t="s">
        <v>140</v>
      </c>
      <c r="D1417" s="11">
        <v>1</v>
      </c>
      <c r="E1417" s="12">
        <v>60000</v>
      </c>
      <c r="F1417" s="13">
        <v>60000</v>
      </c>
      <c r="G1417" s="2">
        <f>VLOOKUP(B1417,'PO with created By ASR'!A:C,3,FALSE)</f>
        <v>45694</v>
      </c>
      <c r="J1417" s="2" t="str">
        <f>VLOOKUP(B1417,'PO with created By ASR'!A:G,4,FALSE)</f>
        <v>Studio Merchandise Pvt Ltd-Del</v>
      </c>
      <c r="K1417" s="2" t="str">
        <f>VLOOKUP(B1417,'PO with created By ASR'!A:I,6,FALSE)</f>
        <v>12464  Studio Merchandise Pvt Ltd</v>
      </c>
      <c r="L1417" s="2" t="str">
        <f>VLOOKUP(B1417,'PO with created By ASR'!A:J,7,FALSE)</f>
        <v>D - Delhi</v>
      </c>
      <c r="M1417" s="2" t="str">
        <f>VLOOKUP(B1417,'PO with created By ASR'!A:K,8,FALSE)</f>
        <v>Purchase Order-Del</v>
      </c>
      <c r="N1417" t="s">
        <v>36</v>
      </c>
      <c r="P1417" s="2">
        <v>6</v>
      </c>
    </row>
    <row r="1418" s="2" customFormat="1" spans="1:16">
      <c r="A1418" s="8"/>
      <c r="B1418" s="9" t="s">
        <v>2504</v>
      </c>
      <c r="C1418" s="10" t="s">
        <v>140</v>
      </c>
      <c r="D1418" s="11">
        <v>1</v>
      </c>
      <c r="E1418" s="12">
        <v>3600</v>
      </c>
      <c r="F1418" s="13">
        <v>3600</v>
      </c>
      <c r="G1418" s="2">
        <f>VLOOKUP(B1418,'PO with created By ASR'!A:C,3,FALSE)</f>
        <v>45694</v>
      </c>
      <c r="J1418" s="2" t="str">
        <f>VLOOKUP(B1418,'PO with created By ASR'!A:G,4,FALSE)</f>
        <v>Studio Merchandise Pvt Ltd-Del</v>
      </c>
      <c r="K1418" s="2" t="str">
        <f>VLOOKUP(B1418,'PO with created By ASR'!A:I,6,FALSE)</f>
        <v>12464  Studio Merchandise Pvt Ltd</v>
      </c>
      <c r="L1418" s="2" t="str">
        <f>VLOOKUP(B1418,'PO with created By ASR'!A:J,7,FALSE)</f>
        <v>D - Delhi</v>
      </c>
      <c r="M1418" s="2" t="str">
        <f>VLOOKUP(B1418,'PO with created By ASR'!A:K,8,FALSE)</f>
        <v>Purchase Order-Del</v>
      </c>
      <c r="N1418" t="s">
        <v>36</v>
      </c>
      <c r="P1418" s="2">
        <v>6</v>
      </c>
    </row>
    <row r="1419" s="2" customFormat="1" spans="1:16">
      <c r="A1419" s="8"/>
      <c r="B1419" s="9" t="s">
        <v>2505</v>
      </c>
      <c r="C1419" s="10" t="s">
        <v>704</v>
      </c>
      <c r="D1419" s="11">
        <v>1</v>
      </c>
      <c r="E1419" s="12">
        <v>27966</v>
      </c>
      <c r="F1419" s="13">
        <v>27966</v>
      </c>
      <c r="G1419" s="2">
        <f>VLOOKUP(B1419,'PO with created By ASR'!A:C,3,FALSE)</f>
        <v>45694</v>
      </c>
      <c r="J1419" s="2" t="str">
        <f>VLOOKUP(B1419,'PO with created By ASR'!A:G,4,FALSE)</f>
        <v>Shree Ram Computers-Del</v>
      </c>
      <c r="K1419" s="2" t="str">
        <f>VLOOKUP(B1419,'PO with created By ASR'!A:I,6,FALSE)</f>
        <v>11132 Shree Ram Computers</v>
      </c>
      <c r="L1419" s="2" t="str">
        <f>VLOOKUP(B1419,'PO with created By ASR'!A:J,7,FALSE)</f>
        <v>D - Delhi</v>
      </c>
      <c r="M1419" s="2" t="str">
        <f>VLOOKUP(B1419,'PO with created By ASR'!A:K,8,FALSE)</f>
        <v>Purchase Order-Del</v>
      </c>
      <c r="N1419" t="s">
        <v>36</v>
      </c>
      <c r="P1419" s="2">
        <v>6</v>
      </c>
    </row>
    <row r="1420" s="2" customFormat="1" spans="1:16">
      <c r="A1420" s="8"/>
      <c r="B1420" s="9" t="s">
        <v>2506</v>
      </c>
      <c r="C1420" s="10" t="s">
        <v>704</v>
      </c>
      <c r="D1420" s="11">
        <v>1</v>
      </c>
      <c r="E1420" s="12">
        <v>2033.89</v>
      </c>
      <c r="F1420" s="13">
        <v>2033.89</v>
      </c>
      <c r="G1420" s="2">
        <f>VLOOKUP(B1420,'PO with created By ASR'!A:C,3,FALSE)</f>
        <v>45694</v>
      </c>
      <c r="J1420" s="2" t="str">
        <f>VLOOKUP(B1420,'PO with created By ASR'!A:G,4,FALSE)</f>
        <v>Shree Ram Computers-Del</v>
      </c>
      <c r="K1420" s="2" t="str">
        <f>VLOOKUP(B1420,'PO with created By ASR'!A:I,6,FALSE)</f>
        <v>11132 Shree Ram Computers</v>
      </c>
      <c r="L1420" s="2" t="str">
        <f>VLOOKUP(B1420,'PO with created By ASR'!A:J,7,FALSE)</f>
        <v>D - Delhi</v>
      </c>
      <c r="M1420" s="2" t="str">
        <f>VLOOKUP(B1420,'PO with created By ASR'!A:K,8,FALSE)</f>
        <v>Purchase Order-Del</v>
      </c>
      <c r="N1420" t="s">
        <v>36</v>
      </c>
      <c r="P1420" s="2">
        <v>6</v>
      </c>
    </row>
    <row r="1421" s="2" customFormat="1" spans="1:16">
      <c r="A1421" s="8"/>
      <c r="B1421" s="9" t="s">
        <v>2507</v>
      </c>
      <c r="C1421" s="10" t="s">
        <v>704</v>
      </c>
      <c r="D1421" s="11">
        <v>1</v>
      </c>
      <c r="E1421" s="12">
        <v>6610</v>
      </c>
      <c r="F1421" s="13">
        <v>6610</v>
      </c>
      <c r="G1421" s="2">
        <f>VLOOKUP(B1421,'PO with created By ASR'!A:C,3,FALSE)</f>
        <v>45694</v>
      </c>
      <c r="J1421" s="2" t="str">
        <f>VLOOKUP(B1421,'PO with created By ASR'!A:G,4,FALSE)</f>
        <v>Shree Ram Computers-Del</v>
      </c>
      <c r="K1421" s="2" t="str">
        <f>VLOOKUP(B1421,'PO with created By ASR'!A:I,6,FALSE)</f>
        <v>11132 Shree Ram Computers</v>
      </c>
      <c r="L1421" s="2" t="str">
        <f>VLOOKUP(B1421,'PO with created By ASR'!A:J,7,FALSE)</f>
        <v>D - Delhi</v>
      </c>
      <c r="M1421" s="2" t="str">
        <f>VLOOKUP(B1421,'PO with created By ASR'!A:K,8,FALSE)</f>
        <v>Purchase Order-Del</v>
      </c>
      <c r="N1421" t="s">
        <v>36</v>
      </c>
      <c r="P1421" s="2">
        <v>6</v>
      </c>
    </row>
    <row r="1422" s="2" customFormat="1" spans="1:16">
      <c r="A1422" s="8"/>
      <c r="B1422" s="9" t="s">
        <v>2508</v>
      </c>
      <c r="C1422" s="10" t="s">
        <v>704</v>
      </c>
      <c r="D1422" s="11">
        <v>1</v>
      </c>
      <c r="E1422" s="12">
        <v>5593</v>
      </c>
      <c r="F1422" s="13">
        <v>5593</v>
      </c>
      <c r="G1422" s="2">
        <f>VLOOKUP(B1422,'PO with created By ASR'!A:C,3,FALSE)</f>
        <v>45694</v>
      </c>
      <c r="J1422" s="2" t="str">
        <f>VLOOKUP(B1422,'PO with created By ASR'!A:G,4,FALSE)</f>
        <v>Shree Ram Computers-Del</v>
      </c>
      <c r="K1422" s="2" t="str">
        <f>VLOOKUP(B1422,'PO with created By ASR'!A:I,6,FALSE)</f>
        <v>11132 Shree Ram Computers</v>
      </c>
      <c r="L1422" s="2" t="str">
        <f>VLOOKUP(B1422,'PO with created By ASR'!A:J,7,FALSE)</f>
        <v>D - Delhi</v>
      </c>
      <c r="M1422" s="2" t="str">
        <f>VLOOKUP(B1422,'PO with created By ASR'!A:K,8,FALSE)</f>
        <v>Purchase Order-Del</v>
      </c>
      <c r="N1422" t="s">
        <v>36</v>
      </c>
      <c r="P1422" s="2">
        <v>6</v>
      </c>
    </row>
    <row r="1423" s="2" customFormat="1" spans="1:16">
      <c r="A1423" s="8"/>
      <c r="B1423" s="9" t="s">
        <v>2509</v>
      </c>
      <c r="C1423" s="10" t="s">
        <v>250</v>
      </c>
      <c r="D1423" s="11">
        <v>1</v>
      </c>
      <c r="E1423" s="12">
        <v>200000</v>
      </c>
      <c r="F1423" s="13">
        <v>200000</v>
      </c>
      <c r="G1423" s="2">
        <f>VLOOKUP(B1423,'PO with created By ASR'!A:C,3,FALSE)</f>
        <v>45694</v>
      </c>
      <c r="J1423" s="2" t="str">
        <f>VLOOKUP(B1423,'PO with created By ASR'!A:G,4,FALSE)</f>
        <v>Pavleen Chandhok-Del</v>
      </c>
      <c r="K1423" s="2" t="str">
        <f>VLOOKUP(B1423,'PO with created By ASR'!A:I,6,FALSE)</f>
        <v>10803 Pavleen Chandhok</v>
      </c>
      <c r="L1423" s="2" t="str">
        <f>VLOOKUP(B1423,'PO with created By ASR'!A:J,7,FALSE)</f>
        <v>D - Delhi</v>
      </c>
      <c r="M1423" s="2" t="str">
        <f>VLOOKUP(B1423,'PO with created By ASR'!A:K,8,FALSE)</f>
        <v>Purchase Order-Del</v>
      </c>
      <c r="N1423" t="s">
        <v>36</v>
      </c>
      <c r="P1423" s="2">
        <v>6</v>
      </c>
    </row>
    <row r="1424" s="2" customFormat="1" spans="1:16">
      <c r="A1424" s="8"/>
      <c r="B1424" s="9" t="s">
        <v>2512</v>
      </c>
      <c r="C1424" s="10" t="s">
        <v>151</v>
      </c>
      <c r="D1424" s="11">
        <v>1</v>
      </c>
      <c r="E1424" s="12">
        <v>425000</v>
      </c>
      <c r="F1424" s="13">
        <v>425000</v>
      </c>
      <c r="G1424" s="2">
        <f>VLOOKUP(B1424,'PO with created By ASR'!A:C,3,FALSE)</f>
        <v>45694</v>
      </c>
      <c r="J1424" s="2" t="str">
        <f>VLOOKUP(B1424,'PO with created By ASR'!A:G,4,FALSE)</f>
        <v>Black Pearl Production Pvt Ltd-Del</v>
      </c>
      <c r="K1424" s="2" t="str">
        <f>VLOOKUP(B1424,'PO with created By ASR'!A:I,6,FALSE)</f>
        <v>11734  Black Pearl Production Pvt Ltd</v>
      </c>
      <c r="L1424" s="2" t="str">
        <f>VLOOKUP(B1424,'PO with created By ASR'!A:J,7,FALSE)</f>
        <v>D - Delhi</v>
      </c>
      <c r="M1424" s="2" t="str">
        <f>VLOOKUP(B1424,'PO with created By ASR'!A:K,8,FALSE)</f>
        <v>Purchase Order-Del</v>
      </c>
      <c r="N1424" t="s">
        <v>36</v>
      </c>
      <c r="P1424" s="2">
        <v>6</v>
      </c>
    </row>
    <row r="1425" s="2" customFormat="1" spans="1:16">
      <c r="A1425" s="8"/>
      <c r="B1425" s="9" t="s">
        <v>2513</v>
      </c>
      <c r="C1425" s="10" t="s">
        <v>704</v>
      </c>
      <c r="D1425" s="11">
        <v>1</v>
      </c>
      <c r="E1425" s="12">
        <v>7627</v>
      </c>
      <c r="F1425" s="13">
        <v>7627</v>
      </c>
      <c r="G1425" s="2">
        <f>VLOOKUP(B1425,'PO with created By ASR'!A:C,3,FALSE)</f>
        <v>45694</v>
      </c>
      <c r="J1425" s="2" t="str">
        <f>VLOOKUP(B1425,'PO with created By ASR'!A:G,4,FALSE)</f>
        <v>Shree Ram Computers-Del</v>
      </c>
      <c r="K1425" s="2" t="str">
        <f>VLOOKUP(B1425,'PO with created By ASR'!A:I,6,FALSE)</f>
        <v>11132 Shree Ram Computers</v>
      </c>
      <c r="L1425" s="2" t="str">
        <f>VLOOKUP(B1425,'PO with created By ASR'!A:J,7,FALSE)</f>
        <v>D - Delhi</v>
      </c>
      <c r="M1425" s="2" t="str">
        <f>VLOOKUP(B1425,'PO with created By ASR'!A:K,8,FALSE)</f>
        <v>Purchase Order-Del</v>
      </c>
      <c r="N1425" t="s">
        <v>36</v>
      </c>
      <c r="P1425" s="2">
        <v>6</v>
      </c>
    </row>
    <row r="1426" s="2" customFormat="1" spans="1:16">
      <c r="A1426" s="8"/>
      <c r="B1426" s="9" t="s">
        <v>2515</v>
      </c>
      <c r="C1426" s="10" t="s">
        <v>126</v>
      </c>
      <c r="D1426" s="11">
        <v>1</v>
      </c>
      <c r="E1426" s="12">
        <v>6999</v>
      </c>
      <c r="F1426" s="13">
        <v>6999</v>
      </c>
      <c r="G1426" s="2">
        <f>VLOOKUP(B1426,'PO with created By ASR'!A:C,3,FALSE)</f>
        <v>45694</v>
      </c>
      <c r="J1426" s="2" t="str">
        <f>VLOOKUP(B1426,'PO with created By ASR'!A:G,4,FALSE)</f>
        <v>Vijayant Singh-Del</v>
      </c>
      <c r="K1426" s="2" t="str">
        <f>VLOOKUP(B1426,'PO with created By ASR'!A:I,6,FALSE)</f>
        <v>10994 Vijayant Singh</v>
      </c>
      <c r="L1426" s="2" t="str">
        <f>VLOOKUP(B1426,'PO with created By ASR'!A:J,7,FALSE)</f>
        <v>D - Delhi</v>
      </c>
      <c r="M1426" s="2" t="str">
        <f>VLOOKUP(B1426,'PO with created By ASR'!A:K,8,FALSE)</f>
        <v>Purchase Order-Del</v>
      </c>
      <c r="N1426" t="s">
        <v>36</v>
      </c>
      <c r="P1426" s="2">
        <v>6</v>
      </c>
    </row>
    <row r="1427" s="2" customFormat="1" spans="1:16">
      <c r="A1427" s="8"/>
      <c r="B1427" s="9" t="s">
        <v>2515</v>
      </c>
      <c r="C1427" s="10" t="s">
        <v>412</v>
      </c>
      <c r="D1427" s="11">
        <v>1</v>
      </c>
      <c r="E1427" s="12">
        <v>1077</v>
      </c>
      <c r="F1427" s="13">
        <v>1077</v>
      </c>
      <c r="G1427" s="2">
        <f>VLOOKUP(B1427,'PO with created By ASR'!A:C,3,FALSE)</f>
        <v>45694</v>
      </c>
      <c r="J1427" s="2" t="str">
        <f>VLOOKUP(B1427,'PO with created By ASR'!A:G,4,FALSE)</f>
        <v>Vijayant Singh-Del</v>
      </c>
      <c r="K1427" s="2" t="str">
        <f>VLOOKUP(B1427,'PO with created By ASR'!A:I,6,FALSE)</f>
        <v>10994 Vijayant Singh</v>
      </c>
      <c r="L1427" s="2" t="str">
        <f>VLOOKUP(B1427,'PO with created By ASR'!A:J,7,FALSE)</f>
        <v>D - Delhi</v>
      </c>
      <c r="M1427" s="2" t="str">
        <f>VLOOKUP(B1427,'PO with created By ASR'!A:K,8,FALSE)</f>
        <v>Purchase Order-Del</v>
      </c>
      <c r="N1427" t="s">
        <v>36</v>
      </c>
      <c r="P1427" s="2">
        <v>6</v>
      </c>
    </row>
    <row r="1428" s="2" customFormat="1" spans="1:16">
      <c r="A1428" s="8"/>
      <c r="B1428" s="9" t="s">
        <v>2515</v>
      </c>
      <c r="C1428" s="10" t="s">
        <v>233</v>
      </c>
      <c r="D1428" s="11">
        <v>1</v>
      </c>
      <c r="E1428" s="12">
        <v>1789</v>
      </c>
      <c r="F1428" s="13">
        <v>1789</v>
      </c>
      <c r="G1428" s="2">
        <f>VLOOKUP(B1428,'PO with created By ASR'!A:C,3,FALSE)</f>
        <v>45694</v>
      </c>
      <c r="J1428" s="2" t="str">
        <f>VLOOKUP(B1428,'PO with created By ASR'!A:G,4,FALSE)</f>
        <v>Vijayant Singh-Del</v>
      </c>
      <c r="K1428" s="2" t="str">
        <f>VLOOKUP(B1428,'PO with created By ASR'!A:I,6,FALSE)</f>
        <v>10994 Vijayant Singh</v>
      </c>
      <c r="L1428" s="2" t="str">
        <f>VLOOKUP(B1428,'PO with created By ASR'!A:J,7,FALSE)</f>
        <v>D - Delhi</v>
      </c>
      <c r="M1428" s="2" t="str">
        <f>VLOOKUP(B1428,'PO with created By ASR'!A:K,8,FALSE)</f>
        <v>Purchase Order-Del</v>
      </c>
      <c r="N1428" t="s">
        <v>36</v>
      </c>
      <c r="P1428" s="2">
        <v>6</v>
      </c>
    </row>
    <row r="1429" s="2" customFormat="1" spans="1:16">
      <c r="A1429" s="8"/>
      <c r="B1429" s="9" t="s">
        <v>2516</v>
      </c>
      <c r="C1429" s="10" t="s">
        <v>126</v>
      </c>
      <c r="D1429" s="11">
        <v>1</v>
      </c>
      <c r="E1429" s="12">
        <v>1884</v>
      </c>
      <c r="F1429" s="13">
        <v>1884</v>
      </c>
      <c r="G1429" s="2">
        <f>VLOOKUP(B1429,'PO with created By ASR'!A:C,3,FALSE)</f>
        <v>45694</v>
      </c>
      <c r="J1429" s="2" t="str">
        <f>VLOOKUP(B1429,'PO with created By ASR'!A:G,4,FALSE)</f>
        <v>Amarpreet Singh........... -CR</v>
      </c>
      <c r="K1429" s="2" t="e">
        <f>VLOOKUP(B1429,'PO with created By ASR'!A:I,6,FALSE)</f>
        <v>#N/A</v>
      </c>
      <c r="L1429" s="2" t="str">
        <f>VLOOKUP(B1429,'PO with created By ASR'!A:J,7,FALSE)</f>
        <v>D - Delhi</v>
      </c>
      <c r="M1429" s="2" t="str">
        <f>VLOOKUP(B1429,'PO with created By ASR'!A:K,8,FALSE)</f>
        <v>Purchase Order-Del</v>
      </c>
      <c r="N1429" t="s">
        <v>36</v>
      </c>
      <c r="P1429" s="2">
        <v>6</v>
      </c>
    </row>
    <row r="1430" s="2" customFormat="1" spans="1:16">
      <c r="A1430" s="8"/>
      <c r="B1430" s="9" t="s">
        <v>2516</v>
      </c>
      <c r="C1430" s="10" t="s">
        <v>140</v>
      </c>
      <c r="D1430" s="11">
        <v>1</v>
      </c>
      <c r="E1430" s="12">
        <v>81275</v>
      </c>
      <c r="F1430" s="13">
        <v>81275</v>
      </c>
      <c r="G1430" s="2">
        <f>VLOOKUP(B1430,'PO with created By ASR'!A:C,3,FALSE)</f>
        <v>45694</v>
      </c>
      <c r="J1430" s="2" t="str">
        <f>VLOOKUP(B1430,'PO with created By ASR'!A:G,4,FALSE)</f>
        <v>Amarpreet Singh........... -CR</v>
      </c>
      <c r="K1430" s="2" t="e">
        <f>VLOOKUP(B1430,'PO with created By ASR'!A:I,6,FALSE)</f>
        <v>#N/A</v>
      </c>
      <c r="L1430" s="2" t="str">
        <f>VLOOKUP(B1430,'PO with created By ASR'!A:J,7,FALSE)</f>
        <v>D - Delhi</v>
      </c>
      <c r="M1430" s="2" t="str">
        <f>VLOOKUP(B1430,'PO with created By ASR'!A:K,8,FALSE)</f>
        <v>Purchase Order-Del</v>
      </c>
      <c r="N1430" t="s">
        <v>36</v>
      </c>
      <c r="P1430" s="2">
        <v>6</v>
      </c>
    </row>
    <row r="1431" s="2" customFormat="1" spans="1:16">
      <c r="A1431" s="8"/>
      <c r="B1431" s="9" t="s">
        <v>2519</v>
      </c>
      <c r="C1431" s="10" t="s">
        <v>233</v>
      </c>
      <c r="D1431" s="11">
        <v>1</v>
      </c>
      <c r="E1431" s="12">
        <v>3468</v>
      </c>
      <c r="F1431" s="13">
        <v>3468</v>
      </c>
      <c r="G1431" s="2">
        <f>VLOOKUP(B1431,'PO with created By ASR'!A:C,3,FALSE)</f>
        <v>45694</v>
      </c>
      <c r="J1431" s="2" t="str">
        <f>VLOOKUP(B1431,'PO with created By ASR'!A:G,4,FALSE)</f>
        <v>Amit Kumar Giri  -CR</v>
      </c>
      <c r="K1431" s="2" t="e">
        <f>VLOOKUP(B1431,'PO with created By ASR'!A:I,6,FALSE)</f>
        <v>#N/A</v>
      </c>
      <c r="L1431" s="2" t="str">
        <f>VLOOKUP(B1431,'PO with created By ASR'!A:J,7,FALSE)</f>
        <v>D - Delhi</v>
      </c>
      <c r="M1431" s="2" t="str">
        <f>VLOOKUP(B1431,'PO with created By ASR'!A:K,8,FALSE)</f>
        <v>Purchase Order-Del</v>
      </c>
      <c r="N1431" t="s">
        <v>36</v>
      </c>
      <c r="P1431" s="2">
        <v>6</v>
      </c>
    </row>
    <row r="1432" s="2" customFormat="1" spans="1:16">
      <c r="A1432" s="8"/>
      <c r="B1432" s="9" t="s">
        <v>2519</v>
      </c>
      <c r="C1432" s="10" t="s">
        <v>126</v>
      </c>
      <c r="D1432" s="11">
        <v>1</v>
      </c>
      <c r="E1432" s="12">
        <v>4860</v>
      </c>
      <c r="F1432" s="13">
        <v>4860</v>
      </c>
      <c r="G1432" s="2">
        <f>VLOOKUP(B1432,'PO with created By ASR'!A:C,3,FALSE)</f>
        <v>45694</v>
      </c>
      <c r="J1432" s="2" t="str">
        <f>VLOOKUP(B1432,'PO with created By ASR'!A:G,4,FALSE)</f>
        <v>Amit Kumar Giri  -CR</v>
      </c>
      <c r="K1432" s="2" t="e">
        <f>VLOOKUP(B1432,'PO with created By ASR'!A:I,6,FALSE)</f>
        <v>#N/A</v>
      </c>
      <c r="L1432" s="2" t="str">
        <f>VLOOKUP(B1432,'PO with created By ASR'!A:J,7,FALSE)</f>
        <v>D - Delhi</v>
      </c>
      <c r="M1432" s="2" t="str">
        <f>VLOOKUP(B1432,'PO with created By ASR'!A:K,8,FALSE)</f>
        <v>Purchase Order-Del</v>
      </c>
      <c r="N1432" t="s">
        <v>36</v>
      </c>
      <c r="P1432" s="2">
        <v>6</v>
      </c>
    </row>
    <row r="1433" s="2" customFormat="1" spans="1:16">
      <c r="A1433" s="8"/>
      <c r="B1433" s="9" t="s">
        <v>2519</v>
      </c>
      <c r="C1433" s="10" t="s">
        <v>61</v>
      </c>
      <c r="D1433" s="11">
        <v>1</v>
      </c>
      <c r="E1433" s="12">
        <v>8400</v>
      </c>
      <c r="F1433" s="13">
        <v>8400</v>
      </c>
      <c r="G1433" s="2">
        <f>VLOOKUP(B1433,'PO with created By ASR'!A:C,3,FALSE)</f>
        <v>45694</v>
      </c>
      <c r="J1433" s="2" t="str">
        <f>VLOOKUP(B1433,'PO with created By ASR'!A:G,4,FALSE)</f>
        <v>Amit Kumar Giri  -CR</v>
      </c>
      <c r="K1433" s="2" t="e">
        <f>VLOOKUP(B1433,'PO with created By ASR'!A:I,6,FALSE)</f>
        <v>#N/A</v>
      </c>
      <c r="L1433" s="2" t="str">
        <f>VLOOKUP(B1433,'PO with created By ASR'!A:J,7,FALSE)</f>
        <v>D - Delhi</v>
      </c>
      <c r="M1433" s="2" t="str">
        <f>VLOOKUP(B1433,'PO with created By ASR'!A:K,8,FALSE)</f>
        <v>Purchase Order-Del</v>
      </c>
      <c r="N1433" t="s">
        <v>36</v>
      </c>
      <c r="P1433" s="2">
        <v>6</v>
      </c>
    </row>
    <row r="1434" s="2" customFormat="1" spans="1:16">
      <c r="A1434" s="8"/>
      <c r="B1434" s="9" t="s">
        <v>2521</v>
      </c>
      <c r="C1434" s="10" t="s">
        <v>126</v>
      </c>
      <c r="D1434" s="11">
        <v>1</v>
      </c>
      <c r="E1434" s="12">
        <v>4660</v>
      </c>
      <c r="F1434" s="13">
        <v>4660</v>
      </c>
      <c r="G1434" s="2">
        <f>VLOOKUP(B1434,'PO with created By ASR'!A:C,3,FALSE)</f>
        <v>45694</v>
      </c>
      <c r="J1434" s="2" t="str">
        <f>VLOOKUP(B1434,'PO with created By ASR'!A:G,4,FALSE)</f>
        <v>Anil Kumar Singh..........-CR</v>
      </c>
      <c r="K1434" s="2" t="e">
        <f>VLOOKUP(B1434,'PO with created By ASR'!A:I,6,FALSE)</f>
        <v>#N/A</v>
      </c>
      <c r="L1434" s="2" t="str">
        <f>VLOOKUP(B1434,'PO with created By ASR'!A:J,7,FALSE)</f>
        <v>D - Delhi</v>
      </c>
      <c r="M1434" s="2" t="str">
        <f>VLOOKUP(B1434,'PO with created By ASR'!A:K,8,FALSE)</f>
        <v>Purchase Order-Del</v>
      </c>
      <c r="N1434" t="s">
        <v>36</v>
      </c>
      <c r="P1434" s="2">
        <v>6</v>
      </c>
    </row>
    <row r="1435" s="2" customFormat="1" spans="1:16">
      <c r="A1435" s="8"/>
      <c r="B1435" s="9" t="s">
        <v>2521</v>
      </c>
      <c r="C1435" s="10" t="s">
        <v>412</v>
      </c>
      <c r="D1435" s="11">
        <v>1</v>
      </c>
      <c r="E1435" s="12">
        <v>315</v>
      </c>
      <c r="F1435" s="13">
        <v>315</v>
      </c>
      <c r="G1435" s="2">
        <f>VLOOKUP(B1435,'PO with created By ASR'!A:C,3,FALSE)</f>
        <v>45694</v>
      </c>
      <c r="J1435" s="2" t="str">
        <f>VLOOKUP(B1435,'PO with created By ASR'!A:G,4,FALSE)</f>
        <v>Anil Kumar Singh..........-CR</v>
      </c>
      <c r="K1435" s="2" t="e">
        <f>VLOOKUP(B1435,'PO with created By ASR'!A:I,6,FALSE)</f>
        <v>#N/A</v>
      </c>
      <c r="L1435" s="2" t="str">
        <f>VLOOKUP(B1435,'PO with created By ASR'!A:J,7,FALSE)</f>
        <v>D - Delhi</v>
      </c>
      <c r="M1435" s="2" t="str">
        <f>VLOOKUP(B1435,'PO with created By ASR'!A:K,8,FALSE)</f>
        <v>Purchase Order-Del</v>
      </c>
      <c r="N1435" t="s">
        <v>36</v>
      </c>
      <c r="P1435" s="2">
        <v>6</v>
      </c>
    </row>
    <row r="1436" s="2" customFormat="1" spans="1:16">
      <c r="A1436" s="8"/>
      <c r="B1436" s="9" t="s">
        <v>2521</v>
      </c>
      <c r="C1436" s="10" t="s">
        <v>233</v>
      </c>
      <c r="D1436" s="11">
        <v>1</v>
      </c>
      <c r="E1436" s="12">
        <v>22990</v>
      </c>
      <c r="F1436" s="13">
        <v>22990</v>
      </c>
      <c r="G1436" s="2">
        <f>VLOOKUP(B1436,'PO with created By ASR'!A:C,3,FALSE)</f>
        <v>45694</v>
      </c>
      <c r="J1436" s="2" t="str">
        <f>VLOOKUP(B1436,'PO with created By ASR'!A:G,4,FALSE)</f>
        <v>Anil Kumar Singh..........-CR</v>
      </c>
      <c r="K1436" s="2" t="e">
        <f>VLOOKUP(B1436,'PO with created By ASR'!A:I,6,FALSE)</f>
        <v>#N/A</v>
      </c>
      <c r="L1436" s="2" t="str">
        <f>VLOOKUP(B1436,'PO with created By ASR'!A:J,7,FALSE)</f>
        <v>D - Delhi</v>
      </c>
      <c r="M1436" s="2" t="str">
        <f>VLOOKUP(B1436,'PO with created By ASR'!A:K,8,FALSE)</f>
        <v>Purchase Order-Del</v>
      </c>
      <c r="N1436" t="s">
        <v>36</v>
      </c>
      <c r="P1436" s="2">
        <v>6</v>
      </c>
    </row>
    <row r="1437" s="2" customFormat="1" spans="1:16">
      <c r="A1437" s="8"/>
      <c r="B1437" s="9" t="s">
        <v>2523</v>
      </c>
      <c r="C1437" s="10" t="s">
        <v>126</v>
      </c>
      <c r="D1437" s="11">
        <v>1</v>
      </c>
      <c r="E1437" s="12">
        <v>3256</v>
      </c>
      <c r="F1437" s="13">
        <v>3256</v>
      </c>
      <c r="G1437" s="2">
        <f>VLOOKUP(B1437,'PO with created By ASR'!A:C,3,FALSE)</f>
        <v>45694</v>
      </c>
      <c r="J1437" s="2" t="str">
        <f>VLOOKUP(B1437,'PO with created By ASR'!A:G,4,FALSE)</f>
        <v>Harshit Jain...............  -CR</v>
      </c>
      <c r="K1437" s="2" t="e">
        <f>VLOOKUP(B1437,'PO with created By ASR'!A:I,6,FALSE)</f>
        <v>#N/A</v>
      </c>
      <c r="L1437" s="2" t="str">
        <f>VLOOKUP(B1437,'PO with created By ASR'!A:J,7,FALSE)</f>
        <v>D - Delhi</v>
      </c>
      <c r="M1437" s="2" t="str">
        <f>VLOOKUP(B1437,'PO with created By ASR'!A:K,8,FALSE)</f>
        <v>Purchase Order-Del</v>
      </c>
      <c r="N1437" t="s">
        <v>36</v>
      </c>
      <c r="P1437" s="2">
        <v>6</v>
      </c>
    </row>
    <row r="1438" s="2" customFormat="1" spans="1:16">
      <c r="A1438" s="8"/>
      <c r="B1438" s="9" t="s">
        <v>2523</v>
      </c>
      <c r="C1438" s="10" t="s">
        <v>412</v>
      </c>
      <c r="D1438" s="11">
        <v>1</v>
      </c>
      <c r="E1438" s="12">
        <v>3854</v>
      </c>
      <c r="F1438" s="13">
        <v>3854</v>
      </c>
      <c r="G1438" s="2">
        <f>VLOOKUP(B1438,'PO with created By ASR'!A:C,3,FALSE)</f>
        <v>45694</v>
      </c>
      <c r="J1438" s="2" t="str">
        <f>VLOOKUP(B1438,'PO with created By ASR'!A:G,4,FALSE)</f>
        <v>Harshit Jain...............  -CR</v>
      </c>
      <c r="K1438" s="2" t="e">
        <f>VLOOKUP(B1438,'PO with created By ASR'!A:I,6,FALSE)</f>
        <v>#N/A</v>
      </c>
      <c r="L1438" s="2" t="str">
        <f>VLOOKUP(B1438,'PO with created By ASR'!A:J,7,FALSE)</f>
        <v>D - Delhi</v>
      </c>
      <c r="M1438" s="2" t="str">
        <f>VLOOKUP(B1438,'PO with created By ASR'!A:K,8,FALSE)</f>
        <v>Purchase Order-Del</v>
      </c>
      <c r="N1438" t="s">
        <v>36</v>
      </c>
      <c r="P1438" s="2">
        <v>6</v>
      </c>
    </row>
    <row r="1439" s="2" customFormat="1" spans="1:16">
      <c r="A1439" s="8"/>
      <c r="B1439" s="9" t="s">
        <v>2524</v>
      </c>
      <c r="C1439" s="10" t="s">
        <v>126</v>
      </c>
      <c r="D1439" s="11">
        <v>1</v>
      </c>
      <c r="E1439" s="12">
        <v>9219</v>
      </c>
      <c r="F1439" s="13">
        <v>9219</v>
      </c>
      <c r="G1439" s="2">
        <f>VLOOKUP(B1439,'PO with created By ASR'!A:C,3,FALSE)</f>
        <v>45694</v>
      </c>
      <c r="J1439" s="2" t="str">
        <f>VLOOKUP(B1439,'PO with created By ASR'!A:G,4,FALSE)</f>
        <v>Naveen Mandal  -CR</v>
      </c>
      <c r="K1439" s="2" t="str">
        <f>VLOOKUP(B1439,'PO with created By ASR'!A:I,6,FALSE)</f>
        <v>10765 Naveen Mandal</v>
      </c>
      <c r="L1439" s="2" t="str">
        <f>VLOOKUP(B1439,'PO with created By ASR'!A:J,7,FALSE)</f>
        <v>D - Delhi</v>
      </c>
      <c r="M1439" s="2" t="str">
        <f>VLOOKUP(B1439,'PO with created By ASR'!A:K,8,FALSE)</f>
        <v>Purchase Order-Del</v>
      </c>
      <c r="N1439" t="s">
        <v>36</v>
      </c>
      <c r="P1439" s="2">
        <v>6</v>
      </c>
    </row>
    <row r="1440" s="2" customFormat="1" spans="1:16">
      <c r="A1440" s="8"/>
      <c r="B1440" s="9" t="s">
        <v>2524</v>
      </c>
      <c r="C1440" s="10" t="s">
        <v>412</v>
      </c>
      <c r="D1440" s="11">
        <v>1</v>
      </c>
      <c r="E1440" s="12">
        <v>17905</v>
      </c>
      <c r="F1440" s="13">
        <v>17905</v>
      </c>
      <c r="G1440" s="2">
        <f>VLOOKUP(B1440,'PO with created By ASR'!A:C,3,FALSE)</f>
        <v>45694</v>
      </c>
      <c r="J1440" s="2" t="str">
        <f>VLOOKUP(B1440,'PO with created By ASR'!A:G,4,FALSE)</f>
        <v>Naveen Mandal  -CR</v>
      </c>
      <c r="K1440" s="2" t="str">
        <f>VLOOKUP(B1440,'PO with created By ASR'!A:I,6,FALSE)</f>
        <v>10765 Naveen Mandal</v>
      </c>
      <c r="L1440" s="2" t="str">
        <f>VLOOKUP(B1440,'PO with created By ASR'!A:J,7,FALSE)</f>
        <v>D - Delhi</v>
      </c>
      <c r="M1440" s="2" t="str">
        <f>VLOOKUP(B1440,'PO with created By ASR'!A:K,8,FALSE)</f>
        <v>Purchase Order-Del</v>
      </c>
      <c r="N1440" t="s">
        <v>36</v>
      </c>
      <c r="P1440" s="2">
        <v>6</v>
      </c>
    </row>
    <row r="1441" s="2" customFormat="1" spans="1:16">
      <c r="A1441" s="8"/>
      <c r="B1441" s="9" t="s">
        <v>2524</v>
      </c>
      <c r="C1441" s="10" t="s">
        <v>61</v>
      </c>
      <c r="D1441" s="11">
        <v>1</v>
      </c>
      <c r="E1441" s="12">
        <v>2520</v>
      </c>
      <c r="F1441" s="13">
        <v>2520</v>
      </c>
      <c r="G1441" s="2">
        <f>VLOOKUP(B1441,'PO with created By ASR'!A:C,3,FALSE)</f>
        <v>45694</v>
      </c>
      <c r="J1441" s="2" t="str">
        <f>VLOOKUP(B1441,'PO with created By ASR'!A:G,4,FALSE)</f>
        <v>Naveen Mandal  -CR</v>
      </c>
      <c r="K1441" s="2" t="str">
        <f>VLOOKUP(B1441,'PO with created By ASR'!A:I,6,FALSE)</f>
        <v>10765 Naveen Mandal</v>
      </c>
      <c r="L1441" s="2" t="str">
        <f>VLOOKUP(B1441,'PO with created By ASR'!A:J,7,FALSE)</f>
        <v>D - Delhi</v>
      </c>
      <c r="M1441" s="2" t="str">
        <f>VLOOKUP(B1441,'PO with created By ASR'!A:K,8,FALSE)</f>
        <v>Purchase Order-Del</v>
      </c>
      <c r="N1441" t="s">
        <v>36</v>
      </c>
      <c r="P1441" s="2">
        <v>6</v>
      </c>
    </row>
    <row r="1442" s="2" customFormat="1" spans="1:16">
      <c r="A1442" s="8"/>
      <c r="B1442" s="9" t="s">
        <v>2524</v>
      </c>
      <c r="C1442" s="10" t="s">
        <v>233</v>
      </c>
      <c r="D1442" s="11">
        <v>1</v>
      </c>
      <c r="E1442" s="12">
        <v>3000</v>
      </c>
      <c r="F1442" s="13">
        <v>3000</v>
      </c>
      <c r="G1442" s="2">
        <f>VLOOKUP(B1442,'PO with created By ASR'!A:C,3,FALSE)</f>
        <v>45694</v>
      </c>
      <c r="J1442" s="2" t="str">
        <f>VLOOKUP(B1442,'PO with created By ASR'!A:G,4,FALSE)</f>
        <v>Naveen Mandal  -CR</v>
      </c>
      <c r="K1442" s="2" t="str">
        <f>VLOOKUP(B1442,'PO with created By ASR'!A:I,6,FALSE)</f>
        <v>10765 Naveen Mandal</v>
      </c>
      <c r="L1442" s="2" t="str">
        <f>VLOOKUP(B1442,'PO with created By ASR'!A:J,7,FALSE)</f>
        <v>D - Delhi</v>
      </c>
      <c r="M1442" s="2" t="str">
        <f>VLOOKUP(B1442,'PO with created By ASR'!A:K,8,FALSE)</f>
        <v>Purchase Order-Del</v>
      </c>
      <c r="N1442" t="s">
        <v>36</v>
      </c>
      <c r="P1442" s="2">
        <v>6</v>
      </c>
    </row>
    <row r="1443" s="2" customFormat="1" spans="1:16">
      <c r="A1443" s="8"/>
      <c r="B1443" s="9" t="s">
        <v>2527</v>
      </c>
      <c r="C1443" s="10" t="s">
        <v>126</v>
      </c>
      <c r="D1443" s="11">
        <v>1</v>
      </c>
      <c r="E1443" s="12">
        <v>2601</v>
      </c>
      <c r="F1443" s="13">
        <v>2601</v>
      </c>
      <c r="G1443" s="2">
        <f>VLOOKUP(B1443,'PO with created By ASR'!A:C,3,FALSE)</f>
        <v>45694</v>
      </c>
      <c r="J1443" s="2" t="str">
        <f>VLOOKUP(B1443,'PO with created By ASR'!A:G,4,FALSE)</f>
        <v>Sushil Nain  -CR</v>
      </c>
      <c r="K1443" s="2" t="e">
        <f>VLOOKUP(B1443,'PO with created By ASR'!A:I,6,FALSE)</f>
        <v>#N/A</v>
      </c>
      <c r="L1443" s="2" t="str">
        <f>VLOOKUP(B1443,'PO with created By ASR'!A:J,7,FALSE)</f>
        <v>D - Delhi</v>
      </c>
      <c r="M1443" s="2" t="str">
        <f>VLOOKUP(B1443,'PO with created By ASR'!A:K,8,FALSE)</f>
        <v>Purchase Order-Del</v>
      </c>
      <c r="N1443" t="s">
        <v>36</v>
      </c>
      <c r="P1443" s="2">
        <v>6</v>
      </c>
    </row>
    <row r="1444" s="2" customFormat="1" spans="1:16">
      <c r="A1444" s="8"/>
      <c r="B1444" s="9" t="s">
        <v>2530</v>
      </c>
      <c r="C1444" s="10" t="s">
        <v>126</v>
      </c>
      <c r="D1444" s="11">
        <v>1</v>
      </c>
      <c r="E1444" s="12">
        <v>4287</v>
      </c>
      <c r="F1444" s="13">
        <v>4287</v>
      </c>
      <c r="G1444" s="2">
        <f>VLOOKUP(B1444,'PO with created By ASR'!A:C,3,FALSE)</f>
        <v>45694</v>
      </c>
      <c r="J1444" s="2" t="str">
        <f>VLOOKUP(B1444,'PO with created By ASR'!A:G,4,FALSE)</f>
        <v>Ajeet Singh  -CR</v>
      </c>
      <c r="K1444" s="2" t="str">
        <f>VLOOKUP(B1444,'PO with created By ASR'!A:I,6,FALSE)</f>
        <v>10519 Ajeet Singh</v>
      </c>
      <c r="L1444" s="2" t="str">
        <f>VLOOKUP(B1444,'PO with created By ASR'!A:J,7,FALSE)</f>
        <v>D - Delhi</v>
      </c>
      <c r="M1444" s="2" t="str">
        <f>VLOOKUP(B1444,'PO with created By ASR'!A:K,8,FALSE)</f>
        <v>Purchase Order-Del</v>
      </c>
      <c r="N1444" t="s">
        <v>36</v>
      </c>
      <c r="P1444" s="2">
        <v>6</v>
      </c>
    </row>
    <row r="1445" s="2" customFormat="1" spans="1:16">
      <c r="A1445" s="8"/>
      <c r="B1445" s="9" t="s">
        <v>2531</v>
      </c>
      <c r="C1445" s="10" t="s">
        <v>233</v>
      </c>
      <c r="D1445" s="11">
        <v>1</v>
      </c>
      <c r="E1445" s="12">
        <v>28250</v>
      </c>
      <c r="F1445" s="13">
        <v>28250</v>
      </c>
      <c r="G1445" s="2">
        <f>VLOOKUP(B1445,'PO with created By ASR'!A:C,3,FALSE)</f>
        <v>45694</v>
      </c>
      <c r="J1445" s="2" t="str">
        <f>VLOOKUP(B1445,'PO with created By ASR'!A:G,4,FALSE)</f>
        <v>Amarpreet Singh........... -CR</v>
      </c>
      <c r="K1445" s="2" t="e">
        <f>VLOOKUP(B1445,'PO with created By ASR'!A:I,6,FALSE)</f>
        <v>#N/A</v>
      </c>
      <c r="L1445" s="2" t="str">
        <f>VLOOKUP(B1445,'PO with created By ASR'!A:J,7,FALSE)</f>
        <v>D - Delhi</v>
      </c>
      <c r="M1445" s="2" t="str">
        <f>VLOOKUP(B1445,'PO with created By ASR'!A:K,8,FALSE)</f>
        <v>Purchase Order-Del</v>
      </c>
      <c r="N1445" t="s">
        <v>36</v>
      </c>
      <c r="P1445" s="2">
        <v>6</v>
      </c>
    </row>
    <row r="1446" s="2" customFormat="1" spans="1:16">
      <c r="A1446" s="8"/>
      <c r="B1446" s="9" t="s">
        <v>2532</v>
      </c>
      <c r="C1446" s="10" t="s">
        <v>412</v>
      </c>
      <c r="D1446" s="11">
        <v>1</v>
      </c>
      <c r="E1446" s="12">
        <v>829</v>
      </c>
      <c r="F1446" s="13">
        <v>829</v>
      </c>
      <c r="G1446" s="2">
        <f>VLOOKUP(B1446,'PO with created By ASR'!A:C,3,FALSE)</f>
        <v>45694</v>
      </c>
      <c r="J1446" s="2" t="str">
        <f>VLOOKUP(B1446,'PO with created By ASR'!A:G,4,FALSE)</f>
        <v>Amarpreet Singh........... -CR</v>
      </c>
      <c r="K1446" s="2" t="e">
        <f>VLOOKUP(B1446,'PO with created By ASR'!A:I,6,FALSE)</f>
        <v>#N/A</v>
      </c>
      <c r="L1446" s="2" t="str">
        <f>VLOOKUP(B1446,'PO with created By ASR'!A:J,7,FALSE)</f>
        <v>D - Delhi</v>
      </c>
      <c r="M1446" s="2" t="str">
        <f>VLOOKUP(B1446,'PO with created By ASR'!A:K,8,FALSE)</f>
        <v>Purchase Order-Del</v>
      </c>
      <c r="N1446" t="s">
        <v>36</v>
      </c>
      <c r="P1446" s="2">
        <v>6</v>
      </c>
    </row>
    <row r="1447" s="2" customFormat="1" spans="1:16">
      <c r="A1447" s="8"/>
      <c r="B1447" s="9" t="s">
        <v>2532</v>
      </c>
      <c r="C1447" s="10" t="s">
        <v>126</v>
      </c>
      <c r="D1447" s="11">
        <v>1</v>
      </c>
      <c r="E1447" s="12">
        <v>3480</v>
      </c>
      <c r="F1447" s="13">
        <v>3480</v>
      </c>
      <c r="G1447" s="2">
        <f>VLOOKUP(B1447,'PO with created By ASR'!A:C,3,FALSE)</f>
        <v>45694</v>
      </c>
      <c r="J1447" s="2" t="str">
        <f>VLOOKUP(B1447,'PO with created By ASR'!A:G,4,FALSE)</f>
        <v>Amarpreet Singh........... -CR</v>
      </c>
      <c r="K1447" s="2" t="e">
        <f>VLOOKUP(B1447,'PO with created By ASR'!A:I,6,FALSE)</f>
        <v>#N/A</v>
      </c>
      <c r="L1447" s="2" t="str">
        <f>VLOOKUP(B1447,'PO with created By ASR'!A:J,7,FALSE)</f>
        <v>D - Delhi</v>
      </c>
      <c r="M1447" s="2" t="str">
        <f>VLOOKUP(B1447,'PO with created By ASR'!A:K,8,FALSE)</f>
        <v>Purchase Order-Del</v>
      </c>
      <c r="N1447" t="s">
        <v>36</v>
      </c>
      <c r="P1447" s="2">
        <v>6</v>
      </c>
    </row>
    <row r="1448" s="2" customFormat="1" spans="1:16">
      <c r="A1448" s="8"/>
      <c r="B1448" s="9" t="s">
        <v>2532</v>
      </c>
      <c r="C1448" s="10" t="s">
        <v>233</v>
      </c>
      <c r="D1448" s="11">
        <v>1</v>
      </c>
      <c r="E1448" s="12">
        <v>12000</v>
      </c>
      <c r="F1448" s="13">
        <v>12000</v>
      </c>
      <c r="G1448" s="2">
        <f>VLOOKUP(B1448,'PO with created By ASR'!A:C,3,FALSE)</f>
        <v>45694</v>
      </c>
      <c r="J1448" s="2" t="str">
        <f>VLOOKUP(B1448,'PO with created By ASR'!A:G,4,FALSE)</f>
        <v>Amarpreet Singh........... -CR</v>
      </c>
      <c r="K1448" s="2" t="e">
        <f>VLOOKUP(B1448,'PO with created By ASR'!A:I,6,FALSE)</f>
        <v>#N/A</v>
      </c>
      <c r="L1448" s="2" t="str">
        <f>VLOOKUP(B1448,'PO with created By ASR'!A:J,7,FALSE)</f>
        <v>D - Delhi</v>
      </c>
      <c r="M1448" s="2" t="str">
        <f>VLOOKUP(B1448,'PO with created By ASR'!A:K,8,FALSE)</f>
        <v>Purchase Order-Del</v>
      </c>
      <c r="N1448" t="s">
        <v>36</v>
      </c>
      <c r="P1448" s="2">
        <v>6</v>
      </c>
    </row>
    <row r="1449" s="2" customFormat="1" spans="1:16">
      <c r="A1449" s="8"/>
      <c r="B1449" s="9" t="s">
        <v>2533</v>
      </c>
      <c r="C1449" s="10" t="s">
        <v>233</v>
      </c>
      <c r="D1449" s="11">
        <v>1</v>
      </c>
      <c r="E1449" s="12">
        <v>18960</v>
      </c>
      <c r="F1449" s="13">
        <v>18960</v>
      </c>
      <c r="G1449" s="2">
        <f>VLOOKUP(B1449,'PO with created By ASR'!A:C,3,FALSE)</f>
        <v>45694</v>
      </c>
      <c r="J1449" s="2" t="str">
        <f>VLOOKUP(B1449,'PO with created By ASR'!A:G,4,FALSE)</f>
        <v>Amarpreet Singh........... -CR</v>
      </c>
      <c r="K1449" s="2" t="e">
        <f>VLOOKUP(B1449,'PO with created By ASR'!A:I,6,FALSE)</f>
        <v>#N/A</v>
      </c>
      <c r="L1449" s="2" t="str">
        <f>VLOOKUP(B1449,'PO with created By ASR'!A:J,7,FALSE)</f>
        <v>D - Delhi</v>
      </c>
      <c r="M1449" s="2" t="str">
        <f>VLOOKUP(B1449,'PO with created By ASR'!A:K,8,FALSE)</f>
        <v>Purchase Order-Del</v>
      </c>
      <c r="N1449" t="s">
        <v>36</v>
      </c>
      <c r="P1449" s="2">
        <v>6</v>
      </c>
    </row>
    <row r="1450" s="2" customFormat="1" spans="1:16">
      <c r="A1450" s="8"/>
      <c r="B1450" s="9" t="s">
        <v>2534</v>
      </c>
      <c r="C1450" s="10" t="s">
        <v>2535</v>
      </c>
      <c r="D1450" s="11">
        <v>1</v>
      </c>
      <c r="E1450" s="12">
        <v>13060</v>
      </c>
      <c r="F1450" s="13">
        <v>13060</v>
      </c>
      <c r="G1450" s="2">
        <f>VLOOKUP(B1450,'PO with created By ASR'!A:C,3,FALSE)</f>
        <v>45694</v>
      </c>
      <c r="J1450" s="2" t="str">
        <f>VLOOKUP(B1450,'PO with created By ASR'!A:G,4,FALSE)</f>
        <v>Amit Kumar Giri  -CR</v>
      </c>
      <c r="K1450" s="2" t="e">
        <f>VLOOKUP(B1450,'PO with created By ASR'!A:I,6,FALSE)</f>
        <v>#N/A</v>
      </c>
      <c r="L1450" s="2" t="str">
        <f>VLOOKUP(B1450,'PO with created By ASR'!A:J,7,FALSE)</f>
        <v>D - Delhi</v>
      </c>
      <c r="M1450" s="2" t="str">
        <f>VLOOKUP(B1450,'PO with created By ASR'!A:K,8,FALSE)</f>
        <v>Purchase Order-Del</v>
      </c>
      <c r="N1450" t="s">
        <v>36</v>
      </c>
      <c r="P1450" s="2">
        <v>6</v>
      </c>
    </row>
    <row r="1451" s="2" customFormat="1" spans="1:16">
      <c r="A1451" s="8"/>
      <c r="B1451" s="9" t="s">
        <v>2538</v>
      </c>
      <c r="C1451" s="10" t="s">
        <v>126</v>
      </c>
      <c r="D1451" s="11">
        <v>1</v>
      </c>
      <c r="E1451" s="12">
        <v>665</v>
      </c>
      <c r="F1451" s="13">
        <v>665</v>
      </c>
      <c r="G1451" s="2">
        <f>VLOOKUP(B1451,'PO with created By ASR'!A:C,3,FALSE)</f>
        <v>45694</v>
      </c>
      <c r="J1451" s="2" t="str">
        <f>VLOOKUP(B1451,'PO with created By ASR'!A:G,4,FALSE)</f>
        <v>Anurag Jadli  -CR</v>
      </c>
      <c r="K1451" s="2" t="e">
        <f>VLOOKUP(B1451,'PO with created By ASR'!A:I,6,FALSE)</f>
        <v>#N/A</v>
      </c>
      <c r="L1451" s="2" t="str">
        <f>VLOOKUP(B1451,'PO with created By ASR'!A:J,7,FALSE)</f>
        <v>D - Delhi</v>
      </c>
      <c r="M1451" s="2" t="str">
        <f>VLOOKUP(B1451,'PO with created By ASR'!A:K,8,FALSE)</f>
        <v>Purchase Order-Del</v>
      </c>
      <c r="N1451" t="s">
        <v>36</v>
      </c>
      <c r="P1451" s="2">
        <v>6</v>
      </c>
    </row>
    <row r="1452" s="2" customFormat="1" spans="1:16">
      <c r="A1452" s="8"/>
      <c r="B1452" s="9" t="s">
        <v>2538</v>
      </c>
      <c r="C1452" s="10" t="s">
        <v>412</v>
      </c>
      <c r="D1452" s="11">
        <v>1</v>
      </c>
      <c r="E1452" s="12">
        <v>5157</v>
      </c>
      <c r="F1452" s="13">
        <v>5157</v>
      </c>
      <c r="G1452" s="2">
        <f>VLOOKUP(B1452,'PO with created By ASR'!A:C,3,FALSE)</f>
        <v>45694</v>
      </c>
      <c r="J1452" s="2" t="str">
        <f>VLOOKUP(B1452,'PO with created By ASR'!A:G,4,FALSE)</f>
        <v>Anurag Jadli  -CR</v>
      </c>
      <c r="K1452" s="2" t="e">
        <f>VLOOKUP(B1452,'PO with created By ASR'!A:I,6,FALSE)</f>
        <v>#N/A</v>
      </c>
      <c r="L1452" s="2" t="str">
        <f>VLOOKUP(B1452,'PO with created By ASR'!A:J,7,FALSE)</f>
        <v>D - Delhi</v>
      </c>
      <c r="M1452" s="2" t="str">
        <f>VLOOKUP(B1452,'PO with created By ASR'!A:K,8,FALSE)</f>
        <v>Purchase Order-Del</v>
      </c>
      <c r="N1452" t="s">
        <v>36</v>
      </c>
      <c r="P1452" s="2">
        <v>6</v>
      </c>
    </row>
    <row r="1453" s="2" customFormat="1" spans="1:16">
      <c r="A1453" s="8"/>
      <c r="B1453" s="9" t="s">
        <v>2539</v>
      </c>
      <c r="C1453" s="10" t="s">
        <v>126</v>
      </c>
      <c r="D1453" s="11">
        <v>1</v>
      </c>
      <c r="E1453" s="12">
        <v>12881</v>
      </c>
      <c r="F1453" s="13">
        <v>12881</v>
      </c>
      <c r="G1453" s="2">
        <f>VLOOKUP(B1453,'PO with created By ASR'!A:C,3,FALSE)</f>
        <v>45694</v>
      </c>
      <c r="J1453" s="2" t="str">
        <f>VLOOKUP(B1453,'PO with created By ASR'!A:G,4,FALSE)</f>
        <v>Bitu Kumar  -CR</v>
      </c>
      <c r="K1453" s="2" t="e">
        <f>VLOOKUP(B1453,'PO with created By ASR'!A:I,6,FALSE)</f>
        <v>#N/A</v>
      </c>
      <c r="L1453" s="2" t="str">
        <f>VLOOKUP(B1453,'PO with created By ASR'!A:J,7,FALSE)</f>
        <v>D - Delhi</v>
      </c>
      <c r="M1453" s="2" t="str">
        <f>VLOOKUP(B1453,'PO with created By ASR'!A:K,8,FALSE)</f>
        <v>Purchase Order-Del</v>
      </c>
      <c r="N1453" t="s">
        <v>36</v>
      </c>
      <c r="P1453" s="2">
        <v>6</v>
      </c>
    </row>
    <row r="1454" s="2" customFormat="1" spans="1:16">
      <c r="A1454" s="8"/>
      <c r="B1454" s="9" t="s">
        <v>2539</v>
      </c>
      <c r="C1454" s="10" t="s">
        <v>412</v>
      </c>
      <c r="D1454" s="11">
        <v>1</v>
      </c>
      <c r="E1454" s="12">
        <v>28600</v>
      </c>
      <c r="F1454" s="13">
        <v>28600</v>
      </c>
      <c r="G1454" s="2">
        <f>VLOOKUP(B1454,'PO with created By ASR'!A:C,3,FALSE)</f>
        <v>45694</v>
      </c>
      <c r="J1454" s="2" t="str">
        <f>VLOOKUP(B1454,'PO with created By ASR'!A:G,4,FALSE)</f>
        <v>Bitu Kumar  -CR</v>
      </c>
      <c r="K1454" s="2" t="e">
        <f>VLOOKUP(B1454,'PO with created By ASR'!A:I,6,FALSE)</f>
        <v>#N/A</v>
      </c>
      <c r="L1454" s="2" t="str">
        <f>VLOOKUP(B1454,'PO with created By ASR'!A:J,7,FALSE)</f>
        <v>D - Delhi</v>
      </c>
      <c r="M1454" s="2" t="str">
        <f>VLOOKUP(B1454,'PO with created By ASR'!A:K,8,FALSE)</f>
        <v>Purchase Order-Del</v>
      </c>
      <c r="N1454" t="s">
        <v>36</v>
      </c>
      <c r="P1454" s="2">
        <v>6</v>
      </c>
    </row>
    <row r="1455" s="2" customFormat="1" spans="1:16">
      <c r="A1455" s="8"/>
      <c r="B1455" s="9" t="s">
        <v>2539</v>
      </c>
      <c r="C1455" s="10" t="s">
        <v>233</v>
      </c>
      <c r="D1455" s="11">
        <v>1</v>
      </c>
      <c r="E1455" s="12">
        <v>3118</v>
      </c>
      <c r="F1455" s="13">
        <v>3118</v>
      </c>
      <c r="G1455" s="2">
        <f>VLOOKUP(B1455,'PO with created By ASR'!A:C,3,FALSE)</f>
        <v>45694</v>
      </c>
      <c r="J1455" s="2" t="str">
        <f>VLOOKUP(B1455,'PO with created By ASR'!A:G,4,FALSE)</f>
        <v>Bitu Kumar  -CR</v>
      </c>
      <c r="K1455" s="2" t="e">
        <f>VLOOKUP(B1455,'PO with created By ASR'!A:I,6,FALSE)</f>
        <v>#N/A</v>
      </c>
      <c r="L1455" s="2" t="str">
        <f>VLOOKUP(B1455,'PO with created By ASR'!A:J,7,FALSE)</f>
        <v>D - Delhi</v>
      </c>
      <c r="M1455" s="2" t="str">
        <f>VLOOKUP(B1455,'PO with created By ASR'!A:K,8,FALSE)</f>
        <v>Purchase Order-Del</v>
      </c>
      <c r="N1455" t="s">
        <v>36</v>
      </c>
      <c r="P1455" s="2">
        <v>6</v>
      </c>
    </row>
    <row r="1456" s="2" customFormat="1" spans="1:16">
      <c r="A1456" s="8"/>
      <c r="B1456" s="9" t="s">
        <v>2542</v>
      </c>
      <c r="C1456" s="10" t="s">
        <v>107</v>
      </c>
      <c r="D1456" s="11">
        <v>1</v>
      </c>
      <c r="E1456" s="12">
        <v>8800</v>
      </c>
      <c r="F1456" s="13">
        <v>8800</v>
      </c>
      <c r="G1456" s="2">
        <f>VLOOKUP(B1456,'PO with created By ASR'!A:C,3,FALSE)</f>
        <v>45694</v>
      </c>
      <c r="J1456" s="2" t="str">
        <f>VLOOKUP(B1456,'PO with created By ASR'!A:G,4,FALSE)</f>
        <v>Gurpreet Singh Khani...........  -CR</v>
      </c>
      <c r="K1456" s="2" t="e">
        <f>VLOOKUP(B1456,'PO with created By ASR'!A:I,6,FALSE)</f>
        <v>#N/A</v>
      </c>
      <c r="L1456" s="2" t="str">
        <f>VLOOKUP(B1456,'PO with created By ASR'!A:J,7,FALSE)</f>
        <v>D - Delhi</v>
      </c>
      <c r="M1456" s="2" t="str">
        <f>VLOOKUP(B1456,'PO with created By ASR'!A:K,8,FALSE)</f>
        <v>Purchase Order-Del</v>
      </c>
      <c r="N1456" t="s">
        <v>36</v>
      </c>
      <c r="P1456" s="2">
        <v>6</v>
      </c>
    </row>
    <row r="1457" s="2" customFormat="1" spans="1:16">
      <c r="A1457" s="8"/>
      <c r="B1457" s="9" t="s">
        <v>2544</v>
      </c>
      <c r="C1457" s="10" t="s">
        <v>1239</v>
      </c>
      <c r="D1457" s="11">
        <v>1</v>
      </c>
      <c r="E1457" s="12">
        <v>610000</v>
      </c>
      <c r="F1457" s="13">
        <v>610000</v>
      </c>
      <c r="G1457" s="2">
        <f>VLOOKUP(B1457,'PO with created By ASR'!A:C,3,FALSE)</f>
        <v>45694</v>
      </c>
      <c r="J1457" s="2" t="str">
        <f>VLOOKUP(B1457,'PO with created By ASR'!A:G,4,FALSE)</f>
        <v>Sports Authority of India-Del</v>
      </c>
      <c r="K1457" s="2" t="str">
        <f>VLOOKUP(B1457,'PO with created By ASR'!A:I,6,FALSE)</f>
        <v>11427 Sports Authority of India</v>
      </c>
      <c r="L1457" s="2" t="str">
        <f>VLOOKUP(B1457,'PO with created By ASR'!A:J,7,FALSE)</f>
        <v>D - Delhi</v>
      </c>
      <c r="M1457" s="2" t="str">
        <f>VLOOKUP(B1457,'PO with created By ASR'!A:K,8,FALSE)</f>
        <v>Purchase Order-Del</v>
      </c>
      <c r="N1457" t="s">
        <v>36</v>
      </c>
      <c r="P1457" s="2">
        <v>6</v>
      </c>
    </row>
    <row r="1458" s="2" customFormat="1" spans="1:16">
      <c r="A1458" s="8"/>
      <c r="B1458" s="9" t="s">
        <v>2544</v>
      </c>
      <c r="C1458" s="10" t="s">
        <v>1239</v>
      </c>
      <c r="D1458" s="11">
        <v>1</v>
      </c>
      <c r="E1458" s="12">
        <v>469440</v>
      </c>
      <c r="F1458" s="13">
        <v>469440</v>
      </c>
      <c r="G1458" s="2">
        <f>VLOOKUP(B1458,'PO with created By ASR'!A:C,3,FALSE)</f>
        <v>45694</v>
      </c>
      <c r="J1458" s="2" t="str">
        <f>VLOOKUP(B1458,'PO with created By ASR'!A:G,4,FALSE)</f>
        <v>Sports Authority of India-Del</v>
      </c>
      <c r="K1458" s="2" t="str">
        <f>VLOOKUP(B1458,'PO with created By ASR'!A:I,6,FALSE)</f>
        <v>11427 Sports Authority of India</v>
      </c>
      <c r="L1458" s="2" t="str">
        <f>VLOOKUP(B1458,'PO with created By ASR'!A:J,7,FALSE)</f>
        <v>D - Delhi</v>
      </c>
      <c r="M1458" s="2" t="str">
        <f>VLOOKUP(B1458,'PO with created By ASR'!A:K,8,FALSE)</f>
        <v>Purchase Order-Del</v>
      </c>
      <c r="N1458" t="s">
        <v>36</v>
      </c>
      <c r="P1458" s="2">
        <v>6</v>
      </c>
    </row>
    <row r="1459" s="2" customFormat="1" spans="1:16">
      <c r="A1459" s="8"/>
      <c r="B1459" s="9" t="s">
        <v>2547</v>
      </c>
      <c r="C1459" s="10" t="s">
        <v>126</v>
      </c>
      <c r="D1459" s="11">
        <v>1</v>
      </c>
      <c r="E1459" s="12">
        <v>306</v>
      </c>
      <c r="F1459" s="13">
        <v>306</v>
      </c>
      <c r="G1459" s="2">
        <f>VLOOKUP(B1459,'PO with created By ASR'!A:C,3,FALSE)</f>
        <v>45694</v>
      </c>
      <c r="J1459" s="2" t="str">
        <f>VLOOKUP(B1459,'PO with created By ASR'!A:G,4,FALSE)</f>
        <v>Karan Nischal......  -CR</v>
      </c>
      <c r="K1459" s="2" t="e">
        <f>VLOOKUP(B1459,'PO with created By ASR'!A:I,6,FALSE)</f>
        <v>#N/A</v>
      </c>
      <c r="L1459" s="2" t="str">
        <f>VLOOKUP(B1459,'PO with created By ASR'!A:J,7,FALSE)</f>
        <v>D - Delhi</v>
      </c>
      <c r="M1459" s="2" t="str">
        <f>VLOOKUP(B1459,'PO with created By ASR'!A:K,8,FALSE)</f>
        <v>Purchase Order-Del</v>
      </c>
      <c r="N1459" t="s">
        <v>36</v>
      </c>
      <c r="P1459" s="2">
        <v>6</v>
      </c>
    </row>
    <row r="1460" s="2" customFormat="1" spans="1:16">
      <c r="A1460" s="8"/>
      <c r="B1460" s="9" t="s">
        <v>2547</v>
      </c>
      <c r="C1460" s="10" t="s">
        <v>126</v>
      </c>
      <c r="D1460" s="11">
        <v>1</v>
      </c>
      <c r="E1460" s="12">
        <v>17797</v>
      </c>
      <c r="F1460" s="13">
        <v>17797</v>
      </c>
      <c r="G1460" s="2">
        <f>VLOOKUP(B1460,'PO with created By ASR'!A:C,3,FALSE)</f>
        <v>45694</v>
      </c>
      <c r="J1460" s="2" t="str">
        <f>VLOOKUP(B1460,'PO with created By ASR'!A:G,4,FALSE)</f>
        <v>Karan Nischal......  -CR</v>
      </c>
      <c r="K1460" s="2" t="e">
        <f>VLOOKUP(B1460,'PO with created By ASR'!A:I,6,FALSE)</f>
        <v>#N/A</v>
      </c>
      <c r="L1460" s="2" t="str">
        <f>VLOOKUP(B1460,'PO with created By ASR'!A:J,7,FALSE)</f>
        <v>D - Delhi</v>
      </c>
      <c r="M1460" s="2" t="str">
        <f>VLOOKUP(B1460,'PO with created By ASR'!A:K,8,FALSE)</f>
        <v>Purchase Order-Del</v>
      </c>
      <c r="N1460" t="s">
        <v>36</v>
      </c>
      <c r="P1460" s="2">
        <v>6</v>
      </c>
    </row>
    <row r="1461" s="2" customFormat="1" spans="1:16">
      <c r="A1461" s="8"/>
      <c r="B1461" s="9" t="s">
        <v>2547</v>
      </c>
      <c r="C1461" s="10" t="s">
        <v>412</v>
      </c>
      <c r="D1461" s="11">
        <v>1</v>
      </c>
      <c r="E1461" s="12">
        <v>2419</v>
      </c>
      <c r="F1461" s="13">
        <v>2419</v>
      </c>
      <c r="G1461" s="2">
        <f>VLOOKUP(B1461,'PO with created By ASR'!A:C,3,FALSE)</f>
        <v>45694</v>
      </c>
      <c r="J1461" s="2" t="str">
        <f>VLOOKUP(B1461,'PO with created By ASR'!A:G,4,FALSE)</f>
        <v>Karan Nischal......  -CR</v>
      </c>
      <c r="K1461" s="2" t="e">
        <f>VLOOKUP(B1461,'PO with created By ASR'!A:I,6,FALSE)</f>
        <v>#N/A</v>
      </c>
      <c r="L1461" s="2" t="str">
        <f>VLOOKUP(B1461,'PO with created By ASR'!A:J,7,FALSE)</f>
        <v>D - Delhi</v>
      </c>
      <c r="M1461" s="2" t="str">
        <f>VLOOKUP(B1461,'PO with created By ASR'!A:K,8,FALSE)</f>
        <v>Purchase Order-Del</v>
      </c>
      <c r="N1461" t="s">
        <v>36</v>
      </c>
      <c r="P1461" s="2">
        <v>6</v>
      </c>
    </row>
    <row r="1462" s="2" customFormat="1" spans="1:16">
      <c r="A1462" s="8"/>
      <c r="B1462" s="9" t="s">
        <v>2551</v>
      </c>
      <c r="C1462" s="10" t="s">
        <v>233</v>
      </c>
      <c r="D1462" s="11">
        <v>1</v>
      </c>
      <c r="E1462" s="12">
        <v>240</v>
      </c>
      <c r="F1462" s="13">
        <v>240</v>
      </c>
      <c r="G1462" s="2">
        <f>VLOOKUP(B1462,'PO with created By ASR'!A:C,3,FALSE)</f>
        <v>45694</v>
      </c>
      <c r="J1462" s="2" t="str">
        <f>VLOOKUP(B1462,'PO with created By ASR'!A:G,4,FALSE)</f>
        <v>Puneet Kumar ........... -CR</v>
      </c>
      <c r="K1462" s="2" t="e">
        <f>VLOOKUP(B1462,'PO with created By ASR'!A:I,6,FALSE)</f>
        <v>#N/A</v>
      </c>
      <c r="L1462" s="2" t="str">
        <f>VLOOKUP(B1462,'PO with created By ASR'!A:J,7,FALSE)</f>
        <v>D - Delhi</v>
      </c>
      <c r="M1462" s="2" t="str">
        <f>VLOOKUP(B1462,'PO with created By ASR'!A:K,8,FALSE)</f>
        <v>Purchase Order-Del</v>
      </c>
      <c r="N1462" t="s">
        <v>36</v>
      </c>
      <c r="P1462" s="2">
        <v>6</v>
      </c>
    </row>
    <row r="1463" s="2" customFormat="1" spans="1:16">
      <c r="A1463" s="8"/>
      <c r="B1463" s="9" t="s">
        <v>2551</v>
      </c>
      <c r="C1463" s="10" t="s">
        <v>233</v>
      </c>
      <c r="D1463" s="11">
        <v>1</v>
      </c>
      <c r="E1463" s="12">
        <v>88947</v>
      </c>
      <c r="F1463" s="13">
        <v>88947</v>
      </c>
      <c r="G1463" s="2">
        <f>VLOOKUP(B1463,'PO with created By ASR'!A:C,3,FALSE)</f>
        <v>45694</v>
      </c>
      <c r="J1463" s="2" t="str">
        <f>VLOOKUP(B1463,'PO with created By ASR'!A:G,4,FALSE)</f>
        <v>Puneet Kumar ........... -CR</v>
      </c>
      <c r="K1463" s="2" t="e">
        <f>VLOOKUP(B1463,'PO with created By ASR'!A:I,6,FALSE)</f>
        <v>#N/A</v>
      </c>
      <c r="L1463" s="2" t="str">
        <f>VLOOKUP(B1463,'PO with created By ASR'!A:J,7,FALSE)</f>
        <v>D - Delhi</v>
      </c>
      <c r="M1463" s="2" t="str">
        <f>VLOOKUP(B1463,'PO with created By ASR'!A:K,8,FALSE)</f>
        <v>Purchase Order-Del</v>
      </c>
      <c r="N1463" t="s">
        <v>36</v>
      </c>
      <c r="P1463" s="2">
        <v>6</v>
      </c>
    </row>
    <row r="1464" s="2" customFormat="1" spans="1:16">
      <c r="A1464" s="8"/>
      <c r="B1464" s="9" t="s">
        <v>2551</v>
      </c>
      <c r="C1464" s="10" t="s">
        <v>126</v>
      </c>
      <c r="D1464" s="11">
        <v>1</v>
      </c>
      <c r="E1464" s="12">
        <v>11235</v>
      </c>
      <c r="F1464" s="13">
        <v>11235</v>
      </c>
      <c r="G1464" s="2">
        <f>VLOOKUP(B1464,'PO with created By ASR'!A:C,3,FALSE)</f>
        <v>45694</v>
      </c>
      <c r="J1464" s="2" t="str">
        <f>VLOOKUP(B1464,'PO with created By ASR'!A:G,4,FALSE)</f>
        <v>Puneet Kumar ........... -CR</v>
      </c>
      <c r="K1464" s="2" t="e">
        <f>VLOOKUP(B1464,'PO with created By ASR'!A:I,6,FALSE)</f>
        <v>#N/A</v>
      </c>
      <c r="L1464" s="2" t="str">
        <f>VLOOKUP(B1464,'PO with created By ASR'!A:J,7,FALSE)</f>
        <v>D - Delhi</v>
      </c>
      <c r="M1464" s="2" t="str">
        <f>VLOOKUP(B1464,'PO with created By ASR'!A:K,8,FALSE)</f>
        <v>Purchase Order-Del</v>
      </c>
      <c r="N1464" t="s">
        <v>36</v>
      </c>
      <c r="P1464" s="2">
        <v>6</v>
      </c>
    </row>
    <row r="1465" s="2" customFormat="1" spans="1:16">
      <c r="A1465" s="8"/>
      <c r="B1465" s="9" t="s">
        <v>2551</v>
      </c>
      <c r="C1465" s="10" t="s">
        <v>412</v>
      </c>
      <c r="D1465" s="11">
        <v>1</v>
      </c>
      <c r="E1465" s="12">
        <v>50940</v>
      </c>
      <c r="F1465" s="13">
        <v>50940</v>
      </c>
      <c r="G1465" s="2">
        <f>VLOOKUP(B1465,'PO with created By ASR'!A:C,3,FALSE)</f>
        <v>45694</v>
      </c>
      <c r="J1465" s="2" t="str">
        <f>VLOOKUP(B1465,'PO with created By ASR'!A:G,4,FALSE)</f>
        <v>Puneet Kumar ........... -CR</v>
      </c>
      <c r="K1465" s="2" t="e">
        <f>VLOOKUP(B1465,'PO with created By ASR'!A:I,6,FALSE)</f>
        <v>#N/A</v>
      </c>
      <c r="L1465" s="2" t="str">
        <f>VLOOKUP(B1465,'PO with created By ASR'!A:J,7,FALSE)</f>
        <v>D - Delhi</v>
      </c>
      <c r="M1465" s="2" t="str">
        <f>VLOOKUP(B1465,'PO with created By ASR'!A:K,8,FALSE)</f>
        <v>Purchase Order-Del</v>
      </c>
      <c r="N1465" t="s">
        <v>36</v>
      </c>
      <c r="P1465" s="2">
        <v>6</v>
      </c>
    </row>
    <row r="1466" s="2" customFormat="1" spans="1:16">
      <c r="A1466" s="8"/>
      <c r="B1466" s="9" t="s">
        <v>2552</v>
      </c>
      <c r="C1466" s="10" t="s">
        <v>126</v>
      </c>
      <c r="D1466" s="11">
        <v>1</v>
      </c>
      <c r="E1466" s="12">
        <v>5449</v>
      </c>
      <c r="F1466" s="13">
        <v>5449</v>
      </c>
      <c r="G1466" s="2">
        <f>VLOOKUP(B1466,'PO with created By ASR'!A:C,3,FALSE)</f>
        <v>45694</v>
      </c>
      <c r="J1466" s="2" t="str">
        <f>VLOOKUP(B1466,'PO with created By ASR'!A:G,4,FALSE)</f>
        <v>Parvesh Mahalwal............... -CR</v>
      </c>
      <c r="K1466" s="2" t="e">
        <f>VLOOKUP(B1466,'PO with created By ASR'!A:I,6,FALSE)</f>
        <v>#N/A</v>
      </c>
      <c r="L1466" s="2" t="str">
        <f>VLOOKUP(B1466,'PO with created By ASR'!A:J,7,FALSE)</f>
        <v>D - Delhi</v>
      </c>
      <c r="M1466" s="2" t="str">
        <f>VLOOKUP(B1466,'PO with created By ASR'!A:K,8,FALSE)</f>
        <v>Purchase Order-Del</v>
      </c>
      <c r="N1466" t="s">
        <v>36</v>
      </c>
      <c r="P1466" s="2">
        <v>6</v>
      </c>
    </row>
    <row r="1467" s="2" customFormat="1" spans="1:16">
      <c r="A1467" s="8"/>
      <c r="B1467" s="9" t="s">
        <v>2552</v>
      </c>
      <c r="C1467" s="10" t="s">
        <v>412</v>
      </c>
      <c r="D1467" s="11">
        <v>1</v>
      </c>
      <c r="E1467" s="12">
        <v>7758</v>
      </c>
      <c r="F1467" s="13">
        <v>7758</v>
      </c>
      <c r="G1467" s="2">
        <f>VLOOKUP(B1467,'PO with created By ASR'!A:C,3,FALSE)</f>
        <v>45694</v>
      </c>
      <c r="J1467" s="2" t="str">
        <f>VLOOKUP(B1467,'PO with created By ASR'!A:G,4,FALSE)</f>
        <v>Parvesh Mahalwal............... -CR</v>
      </c>
      <c r="K1467" s="2" t="e">
        <f>VLOOKUP(B1467,'PO with created By ASR'!A:I,6,FALSE)</f>
        <v>#N/A</v>
      </c>
      <c r="L1467" s="2" t="str">
        <f>VLOOKUP(B1467,'PO with created By ASR'!A:J,7,FALSE)</f>
        <v>D - Delhi</v>
      </c>
      <c r="M1467" s="2" t="str">
        <f>VLOOKUP(B1467,'PO with created By ASR'!A:K,8,FALSE)</f>
        <v>Purchase Order-Del</v>
      </c>
      <c r="N1467" t="s">
        <v>36</v>
      </c>
      <c r="P1467" s="2">
        <v>6</v>
      </c>
    </row>
    <row r="1468" s="2" customFormat="1" spans="1:16">
      <c r="A1468" s="8"/>
      <c r="B1468" s="9" t="s">
        <v>2553</v>
      </c>
      <c r="C1468" s="10" t="s">
        <v>126</v>
      </c>
      <c r="D1468" s="11">
        <v>1</v>
      </c>
      <c r="E1468" s="12">
        <v>3638</v>
      </c>
      <c r="F1468" s="13">
        <v>3638</v>
      </c>
      <c r="G1468" s="2">
        <f>VLOOKUP(B1468,'PO with created By ASR'!A:C,3,FALSE)</f>
        <v>45694</v>
      </c>
      <c r="J1468" s="2" t="str">
        <f>VLOOKUP(B1468,'PO with created By ASR'!A:G,4,FALSE)</f>
        <v>Varun Sondhi  -CR</v>
      </c>
      <c r="K1468" s="2" t="e">
        <f>VLOOKUP(B1468,'PO with created By ASR'!A:I,6,FALSE)</f>
        <v>#N/A</v>
      </c>
      <c r="L1468" s="2" t="str">
        <f>VLOOKUP(B1468,'PO with created By ASR'!A:J,7,FALSE)</f>
        <v>D - Delhi</v>
      </c>
      <c r="M1468" s="2" t="str">
        <f>VLOOKUP(B1468,'PO with created By ASR'!A:K,8,FALSE)</f>
        <v>Purchase Order-Del</v>
      </c>
      <c r="N1468" t="s">
        <v>36</v>
      </c>
      <c r="P1468" s="2">
        <v>6</v>
      </c>
    </row>
    <row r="1469" s="2" customFormat="1" spans="1:16">
      <c r="A1469" s="8"/>
      <c r="B1469" s="9" t="s">
        <v>2553</v>
      </c>
      <c r="C1469" s="10" t="s">
        <v>412</v>
      </c>
      <c r="D1469" s="11">
        <v>1</v>
      </c>
      <c r="E1469" s="12">
        <v>534</v>
      </c>
      <c r="F1469" s="13">
        <v>534</v>
      </c>
      <c r="G1469" s="2">
        <f>VLOOKUP(B1469,'PO with created By ASR'!A:C,3,FALSE)</f>
        <v>45694</v>
      </c>
      <c r="J1469" s="2" t="str">
        <f>VLOOKUP(B1469,'PO with created By ASR'!A:G,4,FALSE)</f>
        <v>Varun Sondhi  -CR</v>
      </c>
      <c r="K1469" s="2" t="e">
        <f>VLOOKUP(B1469,'PO with created By ASR'!A:I,6,FALSE)</f>
        <v>#N/A</v>
      </c>
      <c r="L1469" s="2" t="str">
        <f>VLOOKUP(B1469,'PO with created By ASR'!A:J,7,FALSE)</f>
        <v>D - Delhi</v>
      </c>
      <c r="M1469" s="2" t="str">
        <f>VLOOKUP(B1469,'PO with created By ASR'!A:K,8,FALSE)</f>
        <v>Purchase Order-Del</v>
      </c>
      <c r="N1469" t="s">
        <v>36</v>
      </c>
      <c r="P1469" s="2">
        <v>6</v>
      </c>
    </row>
    <row r="1470" s="2" customFormat="1" spans="1:16">
      <c r="A1470" s="8"/>
      <c r="B1470" s="9" t="s">
        <v>2554</v>
      </c>
      <c r="C1470" s="10" t="s">
        <v>126</v>
      </c>
      <c r="D1470" s="11">
        <v>1</v>
      </c>
      <c r="E1470" s="12">
        <v>480</v>
      </c>
      <c r="F1470" s="13">
        <v>480</v>
      </c>
      <c r="G1470" s="2">
        <f>VLOOKUP(B1470,'PO with created By ASR'!A:C,3,FALSE)</f>
        <v>45694</v>
      </c>
      <c r="J1470" s="2" t="str">
        <f>VLOOKUP(B1470,'PO with created By ASR'!A:G,4,FALSE)</f>
        <v>Kunwar Singh Chauhan  -CR</v>
      </c>
      <c r="K1470" s="2" t="e">
        <f>VLOOKUP(B1470,'PO with created By ASR'!A:I,6,FALSE)</f>
        <v>#N/A</v>
      </c>
      <c r="L1470" s="2" t="str">
        <f>VLOOKUP(B1470,'PO with created By ASR'!A:J,7,FALSE)</f>
        <v>D - Delhi</v>
      </c>
      <c r="M1470" s="2" t="str">
        <f>VLOOKUP(B1470,'PO with created By ASR'!A:K,8,FALSE)</f>
        <v>Purchase Order-Del</v>
      </c>
      <c r="N1470" t="s">
        <v>36</v>
      </c>
      <c r="P1470" s="2">
        <v>6</v>
      </c>
    </row>
    <row r="1471" s="2" customFormat="1" spans="1:16">
      <c r="A1471" s="8"/>
      <c r="B1471" s="9" t="s">
        <v>2554</v>
      </c>
      <c r="C1471" s="10" t="s">
        <v>126</v>
      </c>
      <c r="D1471" s="11">
        <v>1</v>
      </c>
      <c r="E1471" s="12">
        <v>1064</v>
      </c>
      <c r="F1471" s="13">
        <v>1064</v>
      </c>
      <c r="G1471" s="2">
        <f>VLOOKUP(B1471,'PO with created By ASR'!A:C,3,FALSE)</f>
        <v>45694</v>
      </c>
      <c r="J1471" s="2" t="str">
        <f>VLOOKUP(B1471,'PO with created By ASR'!A:G,4,FALSE)</f>
        <v>Kunwar Singh Chauhan  -CR</v>
      </c>
      <c r="K1471" s="2" t="e">
        <f>VLOOKUP(B1471,'PO with created By ASR'!A:I,6,FALSE)</f>
        <v>#N/A</v>
      </c>
      <c r="L1471" s="2" t="str">
        <f>VLOOKUP(B1471,'PO with created By ASR'!A:J,7,FALSE)</f>
        <v>D - Delhi</v>
      </c>
      <c r="M1471" s="2" t="str">
        <f>VLOOKUP(B1471,'PO with created By ASR'!A:K,8,FALSE)</f>
        <v>Purchase Order-Del</v>
      </c>
      <c r="N1471" t="s">
        <v>36</v>
      </c>
      <c r="P1471" s="2">
        <v>6</v>
      </c>
    </row>
    <row r="1472" s="2" customFormat="1" spans="1:16">
      <c r="A1472" s="8"/>
      <c r="B1472" s="9" t="s">
        <v>2554</v>
      </c>
      <c r="C1472" s="10" t="s">
        <v>412</v>
      </c>
      <c r="D1472" s="11">
        <v>1</v>
      </c>
      <c r="E1472" s="12">
        <v>1695</v>
      </c>
      <c r="F1472" s="13">
        <v>1695</v>
      </c>
      <c r="G1472" s="2">
        <f>VLOOKUP(B1472,'PO with created By ASR'!A:C,3,FALSE)</f>
        <v>45694</v>
      </c>
      <c r="J1472" s="2" t="str">
        <f>VLOOKUP(B1472,'PO with created By ASR'!A:G,4,FALSE)</f>
        <v>Kunwar Singh Chauhan  -CR</v>
      </c>
      <c r="K1472" s="2" t="e">
        <f>VLOOKUP(B1472,'PO with created By ASR'!A:I,6,FALSE)</f>
        <v>#N/A</v>
      </c>
      <c r="L1472" s="2" t="str">
        <f>VLOOKUP(B1472,'PO with created By ASR'!A:J,7,FALSE)</f>
        <v>D - Delhi</v>
      </c>
      <c r="M1472" s="2" t="str">
        <f>VLOOKUP(B1472,'PO with created By ASR'!A:K,8,FALSE)</f>
        <v>Purchase Order-Del</v>
      </c>
      <c r="N1472" t="s">
        <v>36</v>
      </c>
      <c r="P1472" s="2">
        <v>6</v>
      </c>
    </row>
    <row r="1473" s="2" customFormat="1" spans="1:16">
      <c r="A1473" s="8"/>
      <c r="B1473" s="9" t="s">
        <v>2555</v>
      </c>
      <c r="C1473" s="10" t="s">
        <v>126</v>
      </c>
      <c r="D1473" s="11">
        <v>1</v>
      </c>
      <c r="E1473" s="12">
        <v>21126</v>
      </c>
      <c r="F1473" s="13">
        <v>21126</v>
      </c>
      <c r="G1473" s="2">
        <f>VLOOKUP(B1473,'PO with created By ASR'!A:C,3,FALSE)</f>
        <v>45694</v>
      </c>
      <c r="J1473" s="2" t="str">
        <f>VLOOKUP(B1473,'PO with created By ASR'!A:G,4,FALSE)</f>
        <v>Kunwar Singh Chauhan  -CR</v>
      </c>
      <c r="K1473" s="2" t="e">
        <f>VLOOKUP(B1473,'PO with created By ASR'!A:I,6,FALSE)</f>
        <v>#N/A</v>
      </c>
      <c r="L1473" s="2" t="str">
        <f>VLOOKUP(B1473,'PO with created By ASR'!A:J,7,FALSE)</f>
        <v>D - Delhi</v>
      </c>
      <c r="M1473" s="2" t="str">
        <f>VLOOKUP(B1473,'PO with created By ASR'!A:K,8,FALSE)</f>
        <v>Purchase Order-Del</v>
      </c>
      <c r="N1473" t="s">
        <v>36</v>
      </c>
      <c r="P1473" s="2">
        <v>6</v>
      </c>
    </row>
    <row r="1474" s="2" customFormat="1" spans="1:16">
      <c r="A1474" s="8"/>
      <c r="B1474" s="9" t="s">
        <v>2555</v>
      </c>
      <c r="C1474" s="10" t="s">
        <v>412</v>
      </c>
      <c r="D1474" s="11">
        <v>1</v>
      </c>
      <c r="E1474" s="12">
        <v>23688</v>
      </c>
      <c r="F1474" s="13">
        <v>23688</v>
      </c>
      <c r="G1474" s="2">
        <f>VLOOKUP(B1474,'PO with created By ASR'!A:C,3,FALSE)</f>
        <v>45694</v>
      </c>
      <c r="J1474" s="2" t="str">
        <f>VLOOKUP(B1474,'PO with created By ASR'!A:G,4,FALSE)</f>
        <v>Kunwar Singh Chauhan  -CR</v>
      </c>
      <c r="K1474" s="2" t="e">
        <f>VLOOKUP(B1474,'PO with created By ASR'!A:I,6,FALSE)</f>
        <v>#N/A</v>
      </c>
      <c r="L1474" s="2" t="str">
        <f>VLOOKUP(B1474,'PO with created By ASR'!A:J,7,FALSE)</f>
        <v>D - Delhi</v>
      </c>
      <c r="M1474" s="2" t="str">
        <f>VLOOKUP(B1474,'PO with created By ASR'!A:K,8,FALSE)</f>
        <v>Purchase Order-Del</v>
      </c>
      <c r="N1474" t="s">
        <v>36</v>
      </c>
      <c r="P1474" s="2">
        <v>6</v>
      </c>
    </row>
    <row r="1475" s="2" customFormat="1" spans="1:16">
      <c r="A1475" s="8"/>
      <c r="B1475" s="9" t="s">
        <v>2555</v>
      </c>
      <c r="C1475" s="10" t="s">
        <v>61</v>
      </c>
      <c r="D1475" s="11">
        <v>1</v>
      </c>
      <c r="E1475" s="12">
        <v>4034</v>
      </c>
      <c r="F1475" s="13">
        <v>4034</v>
      </c>
      <c r="G1475" s="2">
        <f>VLOOKUP(B1475,'PO with created By ASR'!A:C,3,FALSE)</f>
        <v>45694</v>
      </c>
      <c r="J1475" s="2" t="str">
        <f>VLOOKUP(B1475,'PO with created By ASR'!A:G,4,FALSE)</f>
        <v>Kunwar Singh Chauhan  -CR</v>
      </c>
      <c r="K1475" s="2" t="e">
        <f>VLOOKUP(B1475,'PO with created By ASR'!A:I,6,FALSE)</f>
        <v>#N/A</v>
      </c>
      <c r="L1475" s="2" t="str">
        <f>VLOOKUP(B1475,'PO with created By ASR'!A:J,7,FALSE)</f>
        <v>D - Delhi</v>
      </c>
      <c r="M1475" s="2" t="str">
        <f>VLOOKUP(B1475,'PO with created By ASR'!A:K,8,FALSE)</f>
        <v>Purchase Order-Del</v>
      </c>
      <c r="N1475" t="s">
        <v>36</v>
      </c>
      <c r="P1475" s="2">
        <v>6</v>
      </c>
    </row>
    <row r="1476" s="2" customFormat="1" spans="1:16">
      <c r="A1476" s="8"/>
      <c r="B1476" s="9" t="s">
        <v>2555</v>
      </c>
      <c r="C1476" s="10" t="s">
        <v>233</v>
      </c>
      <c r="D1476" s="11">
        <v>1</v>
      </c>
      <c r="E1476" s="12">
        <v>16197</v>
      </c>
      <c r="F1476" s="13">
        <v>16197</v>
      </c>
      <c r="G1476" s="2">
        <f>VLOOKUP(B1476,'PO with created By ASR'!A:C,3,FALSE)</f>
        <v>45694</v>
      </c>
      <c r="J1476" s="2" t="str">
        <f>VLOOKUP(B1476,'PO with created By ASR'!A:G,4,FALSE)</f>
        <v>Kunwar Singh Chauhan  -CR</v>
      </c>
      <c r="K1476" s="2" t="e">
        <f>VLOOKUP(B1476,'PO with created By ASR'!A:I,6,FALSE)</f>
        <v>#N/A</v>
      </c>
      <c r="L1476" s="2" t="str">
        <f>VLOOKUP(B1476,'PO with created By ASR'!A:J,7,FALSE)</f>
        <v>D - Delhi</v>
      </c>
      <c r="M1476" s="2" t="str">
        <f>VLOOKUP(B1476,'PO with created By ASR'!A:K,8,FALSE)</f>
        <v>Purchase Order-Del</v>
      </c>
      <c r="N1476" t="s">
        <v>36</v>
      </c>
      <c r="P1476" s="2">
        <v>6</v>
      </c>
    </row>
    <row r="1477" s="2" customFormat="1" spans="1:16">
      <c r="A1477" s="8"/>
      <c r="B1477" s="9" t="s">
        <v>2556</v>
      </c>
      <c r="C1477" s="10" t="s">
        <v>126</v>
      </c>
      <c r="D1477" s="11">
        <v>1</v>
      </c>
      <c r="E1477" s="12">
        <v>30839</v>
      </c>
      <c r="F1477" s="13">
        <v>30839</v>
      </c>
      <c r="G1477" s="2">
        <f>VLOOKUP(B1477,'PO with created By ASR'!A:C,3,FALSE)</f>
        <v>45694</v>
      </c>
      <c r="J1477" s="2" t="str">
        <f>VLOOKUP(B1477,'PO with created By ASR'!A:G,4,FALSE)</f>
        <v>Sanjay Dutt Dobriyal  -CR</v>
      </c>
      <c r="K1477" s="2" t="e">
        <f>VLOOKUP(B1477,'PO with created By ASR'!A:I,6,FALSE)</f>
        <v>#N/A</v>
      </c>
      <c r="L1477" s="2" t="str">
        <f>VLOOKUP(B1477,'PO with created By ASR'!A:J,7,FALSE)</f>
        <v>D - Delhi</v>
      </c>
      <c r="M1477" s="2" t="str">
        <f>VLOOKUP(B1477,'PO with created By ASR'!A:K,8,FALSE)</f>
        <v>Purchase Order-Del</v>
      </c>
      <c r="N1477" t="s">
        <v>36</v>
      </c>
      <c r="P1477" s="2">
        <v>6</v>
      </c>
    </row>
    <row r="1478" s="2" customFormat="1" spans="1:16">
      <c r="A1478" s="8"/>
      <c r="B1478" s="9" t="s">
        <v>2556</v>
      </c>
      <c r="C1478" s="10" t="s">
        <v>412</v>
      </c>
      <c r="D1478" s="11">
        <v>1</v>
      </c>
      <c r="E1478" s="12">
        <v>18162</v>
      </c>
      <c r="F1478" s="13">
        <v>18162</v>
      </c>
      <c r="G1478" s="2">
        <f>VLOOKUP(B1478,'PO with created By ASR'!A:C,3,FALSE)</f>
        <v>45694</v>
      </c>
      <c r="J1478" s="2" t="str">
        <f>VLOOKUP(B1478,'PO with created By ASR'!A:G,4,FALSE)</f>
        <v>Sanjay Dutt Dobriyal  -CR</v>
      </c>
      <c r="K1478" s="2" t="e">
        <f>VLOOKUP(B1478,'PO with created By ASR'!A:I,6,FALSE)</f>
        <v>#N/A</v>
      </c>
      <c r="L1478" s="2" t="str">
        <f>VLOOKUP(B1478,'PO with created By ASR'!A:J,7,FALSE)</f>
        <v>D - Delhi</v>
      </c>
      <c r="M1478" s="2" t="str">
        <f>VLOOKUP(B1478,'PO with created By ASR'!A:K,8,FALSE)</f>
        <v>Purchase Order-Del</v>
      </c>
      <c r="N1478" t="s">
        <v>36</v>
      </c>
      <c r="P1478" s="2">
        <v>6</v>
      </c>
    </row>
    <row r="1479" s="2" customFormat="1" spans="1:16">
      <c r="A1479" s="8"/>
      <c r="B1479" s="9" t="s">
        <v>2556</v>
      </c>
      <c r="C1479" s="10" t="s">
        <v>61</v>
      </c>
      <c r="D1479" s="11">
        <v>1</v>
      </c>
      <c r="E1479" s="12">
        <v>6400</v>
      </c>
      <c r="F1479" s="13">
        <v>6400</v>
      </c>
      <c r="G1479" s="2">
        <f>VLOOKUP(B1479,'PO with created By ASR'!A:C,3,FALSE)</f>
        <v>45694</v>
      </c>
      <c r="J1479" s="2" t="str">
        <f>VLOOKUP(B1479,'PO with created By ASR'!A:G,4,FALSE)</f>
        <v>Sanjay Dutt Dobriyal  -CR</v>
      </c>
      <c r="K1479" s="2" t="e">
        <f>VLOOKUP(B1479,'PO with created By ASR'!A:I,6,FALSE)</f>
        <v>#N/A</v>
      </c>
      <c r="L1479" s="2" t="str">
        <f>VLOOKUP(B1479,'PO with created By ASR'!A:J,7,FALSE)</f>
        <v>D - Delhi</v>
      </c>
      <c r="M1479" s="2" t="str">
        <f>VLOOKUP(B1479,'PO with created By ASR'!A:K,8,FALSE)</f>
        <v>Purchase Order-Del</v>
      </c>
      <c r="N1479" t="s">
        <v>36</v>
      </c>
      <c r="P1479" s="2">
        <v>6</v>
      </c>
    </row>
    <row r="1480" s="2" customFormat="1" spans="1:16">
      <c r="A1480" s="8"/>
      <c r="B1480" s="9" t="s">
        <v>2556</v>
      </c>
      <c r="C1480" s="10" t="s">
        <v>233</v>
      </c>
      <c r="D1480" s="11">
        <v>1</v>
      </c>
      <c r="E1480" s="12">
        <v>7566</v>
      </c>
      <c r="F1480" s="13">
        <v>7566</v>
      </c>
      <c r="G1480" s="2">
        <f>VLOOKUP(B1480,'PO with created By ASR'!A:C,3,FALSE)</f>
        <v>45694</v>
      </c>
      <c r="J1480" s="2" t="str">
        <f>VLOOKUP(B1480,'PO with created By ASR'!A:G,4,FALSE)</f>
        <v>Sanjay Dutt Dobriyal  -CR</v>
      </c>
      <c r="K1480" s="2" t="e">
        <f>VLOOKUP(B1480,'PO with created By ASR'!A:I,6,FALSE)</f>
        <v>#N/A</v>
      </c>
      <c r="L1480" s="2" t="str">
        <f>VLOOKUP(B1480,'PO with created By ASR'!A:J,7,FALSE)</f>
        <v>D - Delhi</v>
      </c>
      <c r="M1480" s="2" t="str">
        <f>VLOOKUP(B1480,'PO with created By ASR'!A:K,8,FALSE)</f>
        <v>Purchase Order-Del</v>
      </c>
      <c r="N1480" t="s">
        <v>36</v>
      </c>
      <c r="P1480" s="2">
        <v>6</v>
      </c>
    </row>
    <row r="1481" s="2" customFormat="1" spans="1:16">
      <c r="A1481" s="8"/>
      <c r="B1481" s="9" t="s">
        <v>2557</v>
      </c>
      <c r="C1481" s="10" t="s">
        <v>126</v>
      </c>
      <c r="D1481" s="11">
        <v>1</v>
      </c>
      <c r="E1481" s="12">
        <v>6600</v>
      </c>
      <c r="F1481" s="13">
        <v>6600</v>
      </c>
      <c r="G1481" s="2">
        <f>VLOOKUP(B1481,'PO with created By ASR'!A:C,3,FALSE)</f>
        <v>45694</v>
      </c>
      <c r="J1481" s="2" t="str">
        <f>VLOOKUP(B1481,'PO with created By ASR'!A:G,4,FALSE)</f>
        <v>Ravi Kiroula -CR</v>
      </c>
      <c r="K1481" s="2" t="e">
        <f>VLOOKUP(B1481,'PO with created By ASR'!A:I,6,FALSE)</f>
        <v>#N/A</v>
      </c>
      <c r="L1481" s="2" t="str">
        <f>VLOOKUP(B1481,'PO with created By ASR'!A:J,7,FALSE)</f>
        <v>D - Delhi</v>
      </c>
      <c r="M1481" s="2" t="str">
        <f>VLOOKUP(B1481,'PO with created By ASR'!A:K,8,FALSE)</f>
        <v>Purchase Order-Del</v>
      </c>
      <c r="N1481" t="s">
        <v>36</v>
      </c>
      <c r="P1481" s="2">
        <v>6</v>
      </c>
    </row>
    <row r="1482" s="2" customFormat="1" spans="1:16">
      <c r="A1482" s="8"/>
      <c r="B1482" s="9" t="s">
        <v>2559</v>
      </c>
      <c r="C1482" s="10" t="s">
        <v>126</v>
      </c>
      <c r="D1482" s="11">
        <v>1</v>
      </c>
      <c r="E1482" s="12">
        <v>2920</v>
      </c>
      <c r="F1482" s="13">
        <v>2920</v>
      </c>
      <c r="G1482" s="2">
        <f>VLOOKUP(B1482,'PO with created By ASR'!A:C,3,FALSE)</f>
        <v>45694</v>
      </c>
      <c r="J1482" s="2" t="str">
        <f>VLOOKUP(B1482,'PO with created By ASR'!A:G,4,FALSE)</f>
        <v>Naveen Mandal  -CR</v>
      </c>
      <c r="K1482" s="2" t="str">
        <f>VLOOKUP(B1482,'PO with created By ASR'!A:I,6,FALSE)</f>
        <v>10765 Naveen Mandal</v>
      </c>
      <c r="L1482" s="2" t="str">
        <f>VLOOKUP(B1482,'PO with created By ASR'!A:J,7,FALSE)</f>
        <v>D - Delhi</v>
      </c>
      <c r="M1482" s="2" t="str">
        <f>VLOOKUP(B1482,'PO with created By ASR'!A:K,8,FALSE)</f>
        <v>Purchase Order-Del</v>
      </c>
      <c r="N1482" t="s">
        <v>36</v>
      </c>
      <c r="P1482" s="2">
        <v>6</v>
      </c>
    </row>
    <row r="1483" s="2" customFormat="1" spans="1:16">
      <c r="A1483" s="8"/>
      <c r="B1483" s="9" t="s">
        <v>2559</v>
      </c>
      <c r="C1483" s="10" t="s">
        <v>412</v>
      </c>
      <c r="D1483" s="11">
        <v>1</v>
      </c>
      <c r="E1483" s="12">
        <v>810</v>
      </c>
      <c r="F1483" s="13">
        <v>810</v>
      </c>
      <c r="G1483" s="2">
        <f>VLOOKUP(B1483,'PO with created By ASR'!A:C,3,FALSE)</f>
        <v>45694</v>
      </c>
      <c r="J1483" s="2" t="str">
        <f>VLOOKUP(B1483,'PO with created By ASR'!A:G,4,FALSE)</f>
        <v>Naveen Mandal  -CR</v>
      </c>
      <c r="K1483" s="2" t="str">
        <f>VLOOKUP(B1483,'PO with created By ASR'!A:I,6,FALSE)</f>
        <v>10765 Naveen Mandal</v>
      </c>
      <c r="L1483" s="2" t="str">
        <f>VLOOKUP(B1483,'PO with created By ASR'!A:J,7,FALSE)</f>
        <v>D - Delhi</v>
      </c>
      <c r="M1483" s="2" t="str">
        <f>VLOOKUP(B1483,'PO with created By ASR'!A:K,8,FALSE)</f>
        <v>Purchase Order-Del</v>
      </c>
      <c r="N1483" t="s">
        <v>36</v>
      </c>
      <c r="P1483" s="2">
        <v>6</v>
      </c>
    </row>
    <row r="1484" s="2" customFormat="1" spans="1:16">
      <c r="A1484" s="8"/>
      <c r="B1484" s="9" t="s">
        <v>2559</v>
      </c>
      <c r="C1484" s="10" t="s">
        <v>233</v>
      </c>
      <c r="D1484" s="11">
        <v>1</v>
      </c>
      <c r="E1484" s="12">
        <v>912</v>
      </c>
      <c r="F1484" s="13">
        <v>912</v>
      </c>
      <c r="G1484" s="2">
        <f>VLOOKUP(B1484,'PO with created By ASR'!A:C,3,FALSE)</f>
        <v>45694</v>
      </c>
      <c r="J1484" s="2" t="str">
        <f>VLOOKUP(B1484,'PO with created By ASR'!A:G,4,FALSE)</f>
        <v>Naveen Mandal  -CR</v>
      </c>
      <c r="K1484" s="2" t="str">
        <f>VLOOKUP(B1484,'PO with created By ASR'!A:I,6,FALSE)</f>
        <v>10765 Naveen Mandal</v>
      </c>
      <c r="L1484" s="2" t="str">
        <f>VLOOKUP(B1484,'PO with created By ASR'!A:J,7,FALSE)</f>
        <v>D - Delhi</v>
      </c>
      <c r="M1484" s="2" t="str">
        <f>VLOOKUP(B1484,'PO with created By ASR'!A:K,8,FALSE)</f>
        <v>Purchase Order-Del</v>
      </c>
      <c r="N1484" t="s">
        <v>36</v>
      </c>
      <c r="P1484" s="2">
        <v>6</v>
      </c>
    </row>
    <row r="1485" s="2" customFormat="1" spans="1:16">
      <c r="A1485" s="8"/>
      <c r="B1485" s="9" t="s">
        <v>2561</v>
      </c>
      <c r="C1485" s="10" t="s">
        <v>126</v>
      </c>
      <c r="D1485" s="11">
        <v>1</v>
      </c>
      <c r="E1485" s="12">
        <v>3062</v>
      </c>
      <c r="F1485" s="13">
        <v>3062</v>
      </c>
      <c r="G1485" s="2">
        <f>VLOOKUP(B1485,'PO with created By ASR'!A:C,3,FALSE)</f>
        <v>45694</v>
      </c>
      <c r="J1485" s="2" t="str">
        <f>VLOOKUP(B1485,'PO with created By ASR'!A:G,4,FALSE)</f>
        <v>Sushil Nain  -CR</v>
      </c>
      <c r="K1485" s="2" t="e">
        <f>VLOOKUP(B1485,'PO with created By ASR'!A:I,6,FALSE)</f>
        <v>#N/A</v>
      </c>
      <c r="L1485" s="2" t="str">
        <f>VLOOKUP(B1485,'PO with created By ASR'!A:J,7,FALSE)</f>
        <v>D - Delhi</v>
      </c>
      <c r="M1485" s="2" t="str">
        <f>VLOOKUP(B1485,'PO with created By ASR'!A:K,8,FALSE)</f>
        <v>Purchase Order-Del</v>
      </c>
      <c r="N1485" t="s">
        <v>36</v>
      </c>
      <c r="P1485" s="2">
        <v>6</v>
      </c>
    </row>
    <row r="1486" s="2" customFormat="1" spans="1:16">
      <c r="A1486" s="8"/>
      <c r="B1486" s="9" t="s">
        <v>2562</v>
      </c>
      <c r="C1486" s="10" t="s">
        <v>126</v>
      </c>
      <c r="D1486" s="11">
        <v>1</v>
      </c>
      <c r="E1486" s="12">
        <v>8357</v>
      </c>
      <c r="F1486" s="13">
        <v>8357</v>
      </c>
      <c r="G1486" s="2">
        <f>VLOOKUP(B1486,'PO with created By ASR'!A:C,3,FALSE)</f>
        <v>45694</v>
      </c>
      <c r="J1486" s="2" t="str">
        <f>VLOOKUP(B1486,'PO with created By ASR'!A:G,4,FALSE)</f>
        <v>Vijender  -CR</v>
      </c>
      <c r="K1486" s="2" t="e">
        <f>VLOOKUP(B1486,'PO with created By ASR'!A:I,6,FALSE)</f>
        <v>#N/A</v>
      </c>
      <c r="L1486" s="2" t="str">
        <f>VLOOKUP(B1486,'PO with created By ASR'!A:J,7,FALSE)</f>
        <v>D - Delhi</v>
      </c>
      <c r="M1486" s="2" t="str">
        <f>VLOOKUP(B1486,'PO with created By ASR'!A:K,8,FALSE)</f>
        <v>Purchase Order-Del</v>
      </c>
      <c r="N1486" t="s">
        <v>36</v>
      </c>
      <c r="P1486" s="2">
        <v>6</v>
      </c>
    </row>
    <row r="1487" s="2" customFormat="1" spans="1:16">
      <c r="A1487" s="8"/>
      <c r="B1487" s="9" t="s">
        <v>2562</v>
      </c>
      <c r="C1487" s="10" t="s">
        <v>412</v>
      </c>
      <c r="D1487" s="11">
        <v>1</v>
      </c>
      <c r="E1487" s="12">
        <v>7513</v>
      </c>
      <c r="F1487" s="13">
        <v>7513</v>
      </c>
      <c r="G1487" s="2">
        <f>VLOOKUP(B1487,'PO with created By ASR'!A:C,3,FALSE)</f>
        <v>45694</v>
      </c>
      <c r="J1487" s="2" t="str">
        <f>VLOOKUP(B1487,'PO with created By ASR'!A:G,4,FALSE)</f>
        <v>Vijender  -CR</v>
      </c>
      <c r="K1487" s="2" t="e">
        <f>VLOOKUP(B1487,'PO with created By ASR'!A:I,6,FALSE)</f>
        <v>#N/A</v>
      </c>
      <c r="L1487" s="2" t="str">
        <f>VLOOKUP(B1487,'PO with created By ASR'!A:J,7,FALSE)</f>
        <v>D - Delhi</v>
      </c>
      <c r="M1487" s="2" t="str">
        <f>VLOOKUP(B1487,'PO with created By ASR'!A:K,8,FALSE)</f>
        <v>Purchase Order-Del</v>
      </c>
      <c r="N1487" t="s">
        <v>36</v>
      </c>
      <c r="P1487" s="2">
        <v>6</v>
      </c>
    </row>
    <row r="1488" s="2" customFormat="1" spans="1:16">
      <c r="A1488" s="8"/>
      <c r="B1488" s="9" t="s">
        <v>2562</v>
      </c>
      <c r="C1488" s="10" t="s">
        <v>61</v>
      </c>
      <c r="D1488" s="11">
        <v>1</v>
      </c>
      <c r="E1488" s="12">
        <v>1564</v>
      </c>
      <c r="F1488" s="13">
        <v>1564</v>
      </c>
      <c r="G1488" s="2">
        <f>VLOOKUP(B1488,'PO with created By ASR'!A:C,3,FALSE)</f>
        <v>45694</v>
      </c>
      <c r="J1488" s="2" t="str">
        <f>VLOOKUP(B1488,'PO with created By ASR'!A:G,4,FALSE)</f>
        <v>Vijender  -CR</v>
      </c>
      <c r="K1488" s="2" t="e">
        <f>VLOOKUP(B1488,'PO with created By ASR'!A:I,6,FALSE)</f>
        <v>#N/A</v>
      </c>
      <c r="L1488" s="2" t="str">
        <f>VLOOKUP(B1488,'PO with created By ASR'!A:J,7,FALSE)</f>
        <v>D - Delhi</v>
      </c>
      <c r="M1488" s="2" t="str">
        <f>VLOOKUP(B1488,'PO with created By ASR'!A:K,8,FALSE)</f>
        <v>Purchase Order-Del</v>
      </c>
      <c r="N1488" t="s">
        <v>36</v>
      </c>
      <c r="P1488" s="2">
        <v>6</v>
      </c>
    </row>
    <row r="1489" s="2" customFormat="1" spans="1:16">
      <c r="A1489" s="8"/>
      <c r="B1489" s="9" t="s">
        <v>2562</v>
      </c>
      <c r="C1489" s="10" t="s">
        <v>233</v>
      </c>
      <c r="D1489" s="11">
        <v>1</v>
      </c>
      <c r="E1489" s="12">
        <v>1156</v>
      </c>
      <c r="F1489" s="13">
        <v>1156</v>
      </c>
      <c r="G1489" s="2">
        <f>VLOOKUP(B1489,'PO with created By ASR'!A:C,3,FALSE)</f>
        <v>45694</v>
      </c>
      <c r="J1489" s="2" t="str">
        <f>VLOOKUP(B1489,'PO with created By ASR'!A:G,4,FALSE)</f>
        <v>Vijender  -CR</v>
      </c>
      <c r="K1489" s="2" t="e">
        <f>VLOOKUP(B1489,'PO with created By ASR'!A:I,6,FALSE)</f>
        <v>#N/A</v>
      </c>
      <c r="L1489" s="2" t="str">
        <f>VLOOKUP(B1489,'PO with created By ASR'!A:J,7,FALSE)</f>
        <v>D - Delhi</v>
      </c>
      <c r="M1489" s="2" t="str">
        <f>VLOOKUP(B1489,'PO with created By ASR'!A:K,8,FALSE)</f>
        <v>Purchase Order-Del</v>
      </c>
      <c r="N1489" t="s">
        <v>36</v>
      </c>
      <c r="P1489" s="2">
        <v>6</v>
      </c>
    </row>
    <row r="1490" s="2" customFormat="1" spans="1:16">
      <c r="A1490" s="8"/>
      <c r="B1490" s="9" t="s">
        <v>2564</v>
      </c>
      <c r="C1490" s="10" t="s">
        <v>126</v>
      </c>
      <c r="D1490" s="11">
        <v>1</v>
      </c>
      <c r="E1490" s="12">
        <v>13500</v>
      </c>
      <c r="F1490" s="13">
        <v>13500</v>
      </c>
      <c r="G1490" s="2">
        <f>VLOOKUP(B1490,'PO with created By ASR'!A:C,3,FALSE)</f>
        <v>45694</v>
      </c>
      <c r="J1490" s="2" t="str">
        <f>VLOOKUP(B1490,'PO with created By ASR'!A:G,4,FALSE)</f>
        <v>Jagdish Kumar Singh........-CR</v>
      </c>
      <c r="K1490" s="2" t="e">
        <f>VLOOKUP(B1490,'PO with created By ASR'!A:I,6,FALSE)</f>
        <v>#N/A</v>
      </c>
      <c r="L1490" s="2" t="str">
        <f>VLOOKUP(B1490,'PO with created By ASR'!A:J,7,FALSE)</f>
        <v>D - Delhi</v>
      </c>
      <c r="M1490" s="2" t="str">
        <f>VLOOKUP(B1490,'PO with created By ASR'!A:K,8,FALSE)</f>
        <v>Purchase Order-Del</v>
      </c>
      <c r="N1490" t="s">
        <v>36</v>
      </c>
      <c r="P1490" s="2">
        <v>6</v>
      </c>
    </row>
    <row r="1491" s="2" customFormat="1" spans="1:16">
      <c r="A1491" s="8"/>
      <c r="B1491" s="9" t="s">
        <v>2564</v>
      </c>
      <c r="C1491" s="10" t="s">
        <v>412</v>
      </c>
      <c r="D1491" s="11">
        <v>1</v>
      </c>
      <c r="E1491" s="12">
        <v>4012</v>
      </c>
      <c r="F1491" s="13">
        <v>4012</v>
      </c>
      <c r="G1491" s="2">
        <f>VLOOKUP(B1491,'PO with created By ASR'!A:C,3,FALSE)</f>
        <v>45694</v>
      </c>
      <c r="J1491" s="2" t="str">
        <f>VLOOKUP(B1491,'PO with created By ASR'!A:G,4,FALSE)</f>
        <v>Jagdish Kumar Singh........-CR</v>
      </c>
      <c r="K1491" s="2" t="e">
        <f>VLOOKUP(B1491,'PO with created By ASR'!A:I,6,FALSE)</f>
        <v>#N/A</v>
      </c>
      <c r="L1491" s="2" t="str">
        <f>VLOOKUP(B1491,'PO with created By ASR'!A:J,7,FALSE)</f>
        <v>D - Delhi</v>
      </c>
      <c r="M1491" s="2" t="str">
        <f>VLOOKUP(B1491,'PO with created By ASR'!A:K,8,FALSE)</f>
        <v>Purchase Order-Del</v>
      </c>
      <c r="N1491" t="s">
        <v>36</v>
      </c>
      <c r="P1491" s="2">
        <v>6</v>
      </c>
    </row>
    <row r="1492" s="2" customFormat="1" spans="1:16">
      <c r="A1492" s="8"/>
      <c r="B1492" s="9" t="s">
        <v>2568</v>
      </c>
      <c r="C1492" s="10" t="s">
        <v>126</v>
      </c>
      <c r="D1492" s="11">
        <v>1</v>
      </c>
      <c r="E1492" s="12">
        <v>12408</v>
      </c>
      <c r="F1492" s="13">
        <v>12408</v>
      </c>
      <c r="G1492" s="2">
        <f>VLOOKUP(B1492,'PO with created By ASR'!A:C,3,FALSE)</f>
        <v>45694</v>
      </c>
      <c r="J1492" s="2" t="str">
        <f>VLOOKUP(B1492,'PO with created By ASR'!A:G,4,FALSE)</f>
        <v>Ravi.........-CR</v>
      </c>
      <c r="K1492" s="2" t="e">
        <f>VLOOKUP(B1492,'PO with created By ASR'!A:I,6,FALSE)</f>
        <v>#N/A</v>
      </c>
      <c r="L1492" s="2" t="str">
        <f>VLOOKUP(B1492,'PO with created By ASR'!A:J,7,FALSE)</f>
        <v>D - Delhi</v>
      </c>
      <c r="M1492" s="2" t="str">
        <f>VLOOKUP(B1492,'PO with created By ASR'!A:K,8,FALSE)</f>
        <v>Purchase Order-Del</v>
      </c>
      <c r="N1492" t="s">
        <v>36</v>
      </c>
      <c r="P1492" s="2">
        <v>6</v>
      </c>
    </row>
    <row r="1493" s="2" customFormat="1" spans="1:16">
      <c r="A1493" s="8"/>
      <c r="B1493" s="9" t="s">
        <v>2568</v>
      </c>
      <c r="C1493" s="10" t="s">
        <v>412</v>
      </c>
      <c r="D1493" s="11">
        <v>1</v>
      </c>
      <c r="E1493" s="12">
        <v>31233</v>
      </c>
      <c r="F1493" s="13">
        <v>31233</v>
      </c>
      <c r="G1493" s="2">
        <f>VLOOKUP(B1493,'PO with created By ASR'!A:C,3,FALSE)</f>
        <v>45694</v>
      </c>
      <c r="J1493" s="2" t="str">
        <f>VLOOKUP(B1493,'PO with created By ASR'!A:G,4,FALSE)</f>
        <v>Ravi.........-CR</v>
      </c>
      <c r="K1493" s="2" t="e">
        <f>VLOOKUP(B1493,'PO with created By ASR'!A:I,6,FALSE)</f>
        <v>#N/A</v>
      </c>
      <c r="L1493" s="2" t="str">
        <f>VLOOKUP(B1493,'PO with created By ASR'!A:J,7,FALSE)</f>
        <v>D - Delhi</v>
      </c>
      <c r="M1493" s="2" t="str">
        <f>VLOOKUP(B1493,'PO with created By ASR'!A:K,8,FALSE)</f>
        <v>Purchase Order-Del</v>
      </c>
      <c r="N1493" t="s">
        <v>36</v>
      </c>
      <c r="P1493" s="2">
        <v>6</v>
      </c>
    </row>
    <row r="1494" s="2" customFormat="1" spans="1:16">
      <c r="A1494" s="8"/>
      <c r="B1494" s="9" t="s">
        <v>2568</v>
      </c>
      <c r="C1494" s="10" t="s">
        <v>233</v>
      </c>
      <c r="D1494" s="11">
        <v>1</v>
      </c>
      <c r="E1494" s="12">
        <v>88499</v>
      </c>
      <c r="F1494" s="13">
        <v>88499</v>
      </c>
      <c r="G1494" s="2">
        <f>VLOOKUP(B1494,'PO with created By ASR'!A:C,3,FALSE)</f>
        <v>45694</v>
      </c>
      <c r="J1494" s="2" t="str">
        <f>VLOOKUP(B1494,'PO with created By ASR'!A:G,4,FALSE)</f>
        <v>Ravi.........-CR</v>
      </c>
      <c r="K1494" s="2" t="e">
        <f>VLOOKUP(B1494,'PO with created By ASR'!A:I,6,FALSE)</f>
        <v>#N/A</v>
      </c>
      <c r="L1494" s="2" t="str">
        <f>VLOOKUP(B1494,'PO with created By ASR'!A:J,7,FALSE)</f>
        <v>D - Delhi</v>
      </c>
      <c r="M1494" s="2" t="str">
        <f>VLOOKUP(B1494,'PO with created By ASR'!A:K,8,FALSE)</f>
        <v>Purchase Order-Del</v>
      </c>
      <c r="N1494" t="s">
        <v>36</v>
      </c>
      <c r="P1494" s="2">
        <v>6</v>
      </c>
    </row>
    <row r="1495" s="2" customFormat="1" spans="1:16">
      <c r="A1495" s="8"/>
      <c r="B1495" s="9" t="s">
        <v>2569</v>
      </c>
      <c r="C1495" s="10" t="s">
        <v>126</v>
      </c>
      <c r="D1495" s="11">
        <v>1</v>
      </c>
      <c r="E1495" s="12">
        <v>278</v>
      </c>
      <c r="F1495" s="13">
        <v>278</v>
      </c>
      <c r="G1495" s="2">
        <f>VLOOKUP(B1495,'PO with created By ASR'!A:C,3,FALSE)</f>
        <v>45694</v>
      </c>
      <c r="J1495" s="2" t="str">
        <f>VLOOKUP(B1495,'PO with created By ASR'!A:G,4,FALSE)</f>
        <v>Harshit Jain...............  -CR</v>
      </c>
      <c r="K1495" s="2" t="e">
        <f>VLOOKUP(B1495,'PO with created By ASR'!A:I,6,FALSE)</f>
        <v>#N/A</v>
      </c>
      <c r="L1495" s="2" t="str">
        <f>VLOOKUP(B1495,'PO with created By ASR'!A:J,7,FALSE)</f>
        <v>D - Delhi</v>
      </c>
      <c r="M1495" s="2" t="str">
        <f>VLOOKUP(B1495,'PO with created By ASR'!A:K,8,FALSE)</f>
        <v>Purchase Order-Del</v>
      </c>
      <c r="N1495" t="s">
        <v>36</v>
      </c>
      <c r="P1495" s="2">
        <v>6</v>
      </c>
    </row>
    <row r="1496" s="2" customFormat="1" spans="1:16">
      <c r="A1496" s="8"/>
      <c r="B1496" s="9" t="s">
        <v>2569</v>
      </c>
      <c r="C1496" s="10" t="s">
        <v>233</v>
      </c>
      <c r="D1496" s="11">
        <v>1</v>
      </c>
      <c r="E1496" s="12">
        <v>800</v>
      </c>
      <c r="F1496" s="13">
        <v>800</v>
      </c>
      <c r="G1496" s="2">
        <f>VLOOKUP(B1496,'PO with created By ASR'!A:C,3,FALSE)</f>
        <v>45694</v>
      </c>
      <c r="J1496" s="2" t="str">
        <f>VLOOKUP(B1496,'PO with created By ASR'!A:G,4,FALSE)</f>
        <v>Harshit Jain...............  -CR</v>
      </c>
      <c r="K1496" s="2" t="e">
        <f>VLOOKUP(B1496,'PO with created By ASR'!A:I,6,FALSE)</f>
        <v>#N/A</v>
      </c>
      <c r="L1496" s="2" t="str">
        <f>VLOOKUP(B1496,'PO with created By ASR'!A:J,7,FALSE)</f>
        <v>D - Delhi</v>
      </c>
      <c r="M1496" s="2" t="str">
        <f>VLOOKUP(B1496,'PO with created By ASR'!A:K,8,FALSE)</f>
        <v>Purchase Order-Del</v>
      </c>
      <c r="N1496" t="s">
        <v>36</v>
      </c>
      <c r="P1496" s="2">
        <v>6</v>
      </c>
    </row>
    <row r="1497" s="2" customFormat="1" spans="1:16">
      <c r="A1497" s="8"/>
      <c r="B1497" s="9" t="s">
        <v>2570</v>
      </c>
      <c r="C1497" s="10" t="s">
        <v>126</v>
      </c>
      <c r="D1497" s="11">
        <v>1</v>
      </c>
      <c r="E1497" s="12">
        <v>480</v>
      </c>
      <c r="F1497" s="13">
        <v>480</v>
      </c>
      <c r="G1497" s="2">
        <f>VLOOKUP(B1497,'PO with created By ASR'!A:C,3,FALSE)</f>
        <v>45694</v>
      </c>
      <c r="J1497" s="2" t="str">
        <f>VLOOKUP(B1497,'PO with created By ASR'!A:G,4,FALSE)</f>
        <v>Samarth Kapoor  -CR</v>
      </c>
      <c r="K1497" s="2" t="e">
        <f>VLOOKUP(B1497,'PO with created By ASR'!A:I,6,FALSE)</f>
        <v>#N/A</v>
      </c>
      <c r="L1497" s="2" t="str">
        <f>VLOOKUP(B1497,'PO with created By ASR'!A:J,7,FALSE)</f>
        <v>D - Delhi</v>
      </c>
      <c r="M1497" s="2" t="str">
        <f>VLOOKUP(B1497,'PO with created By ASR'!A:K,8,FALSE)</f>
        <v>Purchase Order-Del</v>
      </c>
      <c r="N1497" t="s">
        <v>36</v>
      </c>
      <c r="P1497" s="2">
        <v>6</v>
      </c>
    </row>
    <row r="1498" s="2" customFormat="1" spans="1:16">
      <c r="A1498" s="8"/>
      <c r="B1498" s="9" t="s">
        <v>2570</v>
      </c>
      <c r="C1498" s="10" t="s">
        <v>233</v>
      </c>
      <c r="D1498" s="11">
        <v>1</v>
      </c>
      <c r="E1498" s="12">
        <v>536</v>
      </c>
      <c r="F1498" s="13">
        <v>536</v>
      </c>
      <c r="G1498" s="2">
        <f>VLOOKUP(B1498,'PO with created By ASR'!A:C,3,FALSE)</f>
        <v>45694</v>
      </c>
      <c r="J1498" s="2" t="str">
        <f>VLOOKUP(B1498,'PO with created By ASR'!A:G,4,FALSE)</f>
        <v>Samarth Kapoor  -CR</v>
      </c>
      <c r="K1498" s="2" t="e">
        <f>VLOOKUP(B1498,'PO with created By ASR'!A:I,6,FALSE)</f>
        <v>#N/A</v>
      </c>
      <c r="L1498" s="2" t="str">
        <f>VLOOKUP(B1498,'PO with created By ASR'!A:J,7,FALSE)</f>
        <v>D - Delhi</v>
      </c>
      <c r="M1498" s="2" t="str">
        <f>VLOOKUP(B1498,'PO with created By ASR'!A:K,8,FALSE)</f>
        <v>Purchase Order-Del</v>
      </c>
      <c r="N1498" t="s">
        <v>36</v>
      </c>
      <c r="P1498" s="2">
        <v>6</v>
      </c>
    </row>
    <row r="1499" s="2" customFormat="1" spans="1:16">
      <c r="A1499" s="8"/>
      <c r="B1499" s="9" t="s">
        <v>2571</v>
      </c>
      <c r="C1499" s="10" t="s">
        <v>126</v>
      </c>
      <c r="D1499" s="11">
        <v>1</v>
      </c>
      <c r="E1499" s="12">
        <v>1169</v>
      </c>
      <c r="F1499" s="13">
        <v>1169</v>
      </c>
      <c r="G1499" s="2">
        <f>VLOOKUP(B1499,'PO with created By ASR'!A:C,3,FALSE)</f>
        <v>45694</v>
      </c>
      <c r="J1499" s="2" t="str">
        <f>VLOOKUP(B1499,'PO with created By ASR'!A:G,4,FALSE)</f>
        <v>Sushil Nain  -CR</v>
      </c>
      <c r="K1499" s="2" t="e">
        <f>VLOOKUP(B1499,'PO with created By ASR'!A:I,6,FALSE)</f>
        <v>#N/A</v>
      </c>
      <c r="L1499" s="2" t="str">
        <f>VLOOKUP(B1499,'PO with created By ASR'!A:J,7,FALSE)</f>
        <v>D - Delhi</v>
      </c>
      <c r="M1499" s="2" t="str">
        <f>VLOOKUP(B1499,'PO with created By ASR'!A:K,8,FALSE)</f>
        <v>Purchase Order-Del</v>
      </c>
      <c r="N1499" t="s">
        <v>36</v>
      </c>
      <c r="P1499" s="2">
        <v>6</v>
      </c>
    </row>
    <row r="1500" s="2" customFormat="1" spans="1:16">
      <c r="A1500" s="8"/>
      <c r="B1500" s="9" t="s">
        <v>2571</v>
      </c>
      <c r="C1500" s="10" t="s">
        <v>412</v>
      </c>
      <c r="D1500" s="11">
        <v>1</v>
      </c>
      <c r="E1500" s="12">
        <v>504</v>
      </c>
      <c r="F1500" s="13">
        <v>504</v>
      </c>
      <c r="G1500" s="2">
        <f>VLOOKUP(B1500,'PO with created By ASR'!A:C,3,FALSE)</f>
        <v>45694</v>
      </c>
      <c r="J1500" s="2" t="str">
        <f>VLOOKUP(B1500,'PO with created By ASR'!A:G,4,FALSE)</f>
        <v>Sushil Nain  -CR</v>
      </c>
      <c r="K1500" s="2" t="e">
        <f>VLOOKUP(B1500,'PO with created By ASR'!A:I,6,FALSE)</f>
        <v>#N/A</v>
      </c>
      <c r="L1500" s="2" t="str">
        <f>VLOOKUP(B1500,'PO with created By ASR'!A:J,7,FALSE)</f>
        <v>D - Delhi</v>
      </c>
      <c r="M1500" s="2" t="str">
        <f>VLOOKUP(B1500,'PO with created By ASR'!A:K,8,FALSE)</f>
        <v>Purchase Order-Del</v>
      </c>
      <c r="N1500" t="s">
        <v>36</v>
      </c>
      <c r="P1500" s="2">
        <v>6</v>
      </c>
    </row>
    <row r="1501" s="2" customFormat="1" spans="1:16">
      <c r="A1501" s="8"/>
      <c r="B1501" s="9" t="s">
        <v>2571</v>
      </c>
      <c r="C1501" s="10" t="s">
        <v>233</v>
      </c>
      <c r="D1501" s="11">
        <v>1</v>
      </c>
      <c r="E1501" s="12">
        <v>899</v>
      </c>
      <c r="F1501" s="13">
        <v>899</v>
      </c>
      <c r="G1501" s="2">
        <f>VLOOKUP(B1501,'PO with created By ASR'!A:C,3,FALSE)</f>
        <v>45694</v>
      </c>
      <c r="J1501" s="2" t="str">
        <f>VLOOKUP(B1501,'PO with created By ASR'!A:G,4,FALSE)</f>
        <v>Sushil Nain  -CR</v>
      </c>
      <c r="K1501" s="2" t="e">
        <f>VLOOKUP(B1501,'PO with created By ASR'!A:I,6,FALSE)</f>
        <v>#N/A</v>
      </c>
      <c r="L1501" s="2" t="str">
        <f>VLOOKUP(B1501,'PO with created By ASR'!A:J,7,FALSE)</f>
        <v>D - Delhi</v>
      </c>
      <c r="M1501" s="2" t="str">
        <f>VLOOKUP(B1501,'PO with created By ASR'!A:K,8,FALSE)</f>
        <v>Purchase Order-Del</v>
      </c>
      <c r="N1501" t="s">
        <v>36</v>
      </c>
      <c r="P1501" s="2">
        <v>6</v>
      </c>
    </row>
    <row r="1502" s="2" customFormat="1" spans="1:16">
      <c r="A1502" s="8"/>
      <c r="B1502" s="9" t="s">
        <v>2572</v>
      </c>
      <c r="C1502" s="10" t="s">
        <v>126</v>
      </c>
      <c r="D1502" s="11">
        <v>1</v>
      </c>
      <c r="E1502" s="12">
        <v>4032</v>
      </c>
      <c r="F1502" s="13">
        <v>4032</v>
      </c>
      <c r="G1502" s="2">
        <f>VLOOKUP(B1502,'PO with created By ASR'!A:C,3,FALSE)</f>
        <v>45694</v>
      </c>
      <c r="J1502" s="2" t="str">
        <f>VLOOKUP(B1502,'PO with created By ASR'!A:G,4,FALSE)</f>
        <v>Gurpreet Singh Khani...........  -CR</v>
      </c>
      <c r="K1502" s="2" t="e">
        <f>VLOOKUP(B1502,'PO with created By ASR'!A:I,6,FALSE)</f>
        <v>#N/A</v>
      </c>
      <c r="L1502" s="2" t="str">
        <f>VLOOKUP(B1502,'PO with created By ASR'!A:J,7,FALSE)</f>
        <v>D - Delhi</v>
      </c>
      <c r="M1502" s="2" t="str">
        <f>VLOOKUP(B1502,'PO with created By ASR'!A:K,8,FALSE)</f>
        <v>Purchase Order-Del</v>
      </c>
      <c r="N1502" t="s">
        <v>36</v>
      </c>
      <c r="P1502" s="2">
        <v>6</v>
      </c>
    </row>
    <row r="1503" s="2" customFormat="1" spans="1:16">
      <c r="A1503" s="8"/>
      <c r="B1503" s="9" t="s">
        <v>2573</v>
      </c>
      <c r="C1503" s="10" t="s">
        <v>1033</v>
      </c>
      <c r="D1503" s="11">
        <v>1</v>
      </c>
      <c r="E1503" s="12">
        <v>34500</v>
      </c>
      <c r="F1503" s="13">
        <v>34500</v>
      </c>
      <c r="G1503" s="2">
        <f>VLOOKUP(B1503,'PO with created By ASR'!A:C,3,FALSE)</f>
        <v>45694</v>
      </c>
      <c r="J1503" s="2" t="str">
        <f>VLOOKUP(B1503,'PO with created By ASR'!A:G,4,FALSE)</f>
        <v>Genesis Infoserve Pvt Ltd-Mum</v>
      </c>
      <c r="K1503" s="2" t="str">
        <f>VLOOKUP(B1503,'PO with created By ASR'!A:I,6,FALSE)</f>
        <v>11944  Genesis Infoserve Pvt Ltd</v>
      </c>
      <c r="L1503" s="2" t="str">
        <f>VLOOKUP(B1503,'PO with created By ASR'!A:J,7,FALSE)</f>
        <v>A - Mumbai</v>
      </c>
      <c r="M1503" s="2" t="str">
        <f>VLOOKUP(B1503,'PO with created By ASR'!A:K,8,FALSE)</f>
        <v>Purchase Order(Gen)-Mum</v>
      </c>
      <c r="N1503" t="s">
        <v>36</v>
      </c>
      <c r="P1503" s="2">
        <v>6</v>
      </c>
    </row>
    <row r="1504" s="2" customFormat="1" spans="1:16">
      <c r="A1504" s="8"/>
      <c r="B1504" s="9" t="s">
        <v>2574</v>
      </c>
      <c r="C1504" s="10" t="s">
        <v>126</v>
      </c>
      <c r="D1504" s="11">
        <v>1</v>
      </c>
      <c r="E1504" s="12">
        <v>897</v>
      </c>
      <c r="F1504" s="13">
        <v>897</v>
      </c>
      <c r="G1504" s="2">
        <f>VLOOKUP(B1504,'PO with created By ASR'!A:C,3,FALSE)</f>
        <v>45694</v>
      </c>
      <c r="J1504" s="2" t="str">
        <f>VLOOKUP(B1504,'PO with created By ASR'!A:G,4,FALSE)</f>
        <v>Suresh Pardhle  -CR</v>
      </c>
      <c r="K1504" s="2" t="e">
        <f>VLOOKUP(B1504,'PO with created By ASR'!A:I,6,FALSE)</f>
        <v>#N/A</v>
      </c>
      <c r="L1504" s="2" t="str">
        <f>VLOOKUP(B1504,'PO with created By ASR'!A:J,7,FALSE)</f>
        <v>A - Mumbai</v>
      </c>
      <c r="M1504" s="2" t="str">
        <f>VLOOKUP(B1504,'PO with created By ASR'!A:K,8,FALSE)</f>
        <v>Purchase Order-Mum</v>
      </c>
      <c r="N1504" t="s">
        <v>36</v>
      </c>
      <c r="P1504" s="2">
        <v>6</v>
      </c>
    </row>
    <row r="1505" s="2" customFormat="1" spans="1:16">
      <c r="A1505" s="8"/>
      <c r="B1505" s="9" t="s">
        <v>2574</v>
      </c>
      <c r="C1505" s="10" t="s">
        <v>412</v>
      </c>
      <c r="D1505" s="11">
        <v>1</v>
      </c>
      <c r="E1505" s="12">
        <v>150</v>
      </c>
      <c r="F1505" s="13">
        <v>150</v>
      </c>
      <c r="G1505" s="2">
        <f>VLOOKUP(B1505,'PO with created By ASR'!A:C,3,FALSE)</f>
        <v>45694</v>
      </c>
      <c r="J1505" s="2" t="str">
        <f>VLOOKUP(B1505,'PO with created By ASR'!A:G,4,FALSE)</f>
        <v>Suresh Pardhle  -CR</v>
      </c>
      <c r="K1505" s="2" t="e">
        <f>VLOOKUP(B1505,'PO with created By ASR'!A:I,6,FALSE)</f>
        <v>#N/A</v>
      </c>
      <c r="L1505" s="2" t="str">
        <f>VLOOKUP(B1505,'PO with created By ASR'!A:J,7,FALSE)</f>
        <v>A - Mumbai</v>
      </c>
      <c r="M1505" s="2" t="str">
        <f>VLOOKUP(B1505,'PO with created By ASR'!A:K,8,FALSE)</f>
        <v>Purchase Order-Mum</v>
      </c>
      <c r="N1505" t="s">
        <v>36</v>
      </c>
      <c r="P1505" s="2">
        <v>6</v>
      </c>
    </row>
    <row r="1506" s="2" customFormat="1" spans="1:16">
      <c r="A1506" s="8"/>
      <c r="B1506" s="9" t="s">
        <v>2575</v>
      </c>
      <c r="C1506" s="10" t="s">
        <v>126</v>
      </c>
      <c r="D1506" s="11">
        <v>1</v>
      </c>
      <c r="E1506" s="12">
        <v>4182</v>
      </c>
      <c r="F1506" s="13">
        <v>4182</v>
      </c>
      <c r="G1506" s="2">
        <f>VLOOKUP(B1506,'PO with created By ASR'!A:C,3,FALSE)</f>
        <v>45694</v>
      </c>
      <c r="J1506" s="2" t="str">
        <f>VLOOKUP(B1506,'PO with created By ASR'!A:G,4,FALSE)</f>
        <v>Asif Khan  -CR</v>
      </c>
      <c r="K1506" s="2" t="e">
        <f>VLOOKUP(B1506,'PO with created By ASR'!A:I,6,FALSE)</f>
        <v>#N/A</v>
      </c>
      <c r="L1506" s="2" t="str">
        <f>VLOOKUP(B1506,'PO with created By ASR'!A:J,7,FALSE)</f>
        <v>A - Mumbai</v>
      </c>
      <c r="M1506" s="2" t="str">
        <f>VLOOKUP(B1506,'PO with created By ASR'!A:K,8,FALSE)</f>
        <v>Purchase Order-Mum</v>
      </c>
      <c r="N1506" t="s">
        <v>36</v>
      </c>
      <c r="P1506" s="2">
        <v>6</v>
      </c>
    </row>
    <row r="1507" s="2" customFormat="1" spans="1:16">
      <c r="A1507" s="8"/>
      <c r="B1507" s="9" t="s">
        <v>2575</v>
      </c>
      <c r="C1507" s="10" t="s">
        <v>412</v>
      </c>
      <c r="D1507" s="11">
        <v>1</v>
      </c>
      <c r="E1507" s="12">
        <v>520</v>
      </c>
      <c r="F1507" s="13">
        <v>520</v>
      </c>
      <c r="G1507" s="2">
        <f>VLOOKUP(B1507,'PO with created By ASR'!A:C,3,FALSE)</f>
        <v>45694</v>
      </c>
      <c r="J1507" s="2" t="str">
        <f>VLOOKUP(B1507,'PO with created By ASR'!A:G,4,FALSE)</f>
        <v>Asif Khan  -CR</v>
      </c>
      <c r="K1507" s="2" t="e">
        <f>VLOOKUP(B1507,'PO with created By ASR'!A:I,6,FALSE)</f>
        <v>#N/A</v>
      </c>
      <c r="L1507" s="2" t="str">
        <f>VLOOKUP(B1507,'PO with created By ASR'!A:J,7,FALSE)</f>
        <v>A - Mumbai</v>
      </c>
      <c r="M1507" s="2" t="str">
        <f>VLOOKUP(B1507,'PO with created By ASR'!A:K,8,FALSE)</f>
        <v>Purchase Order-Mum</v>
      </c>
      <c r="N1507" t="s">
        <v>36</v>
      </c>
      <c r="P1507" s="2">
        <v>6</v>
      </c>
    </row>
    <row r="1508" s="2" customFormat="1" spans="1:16">
      <c r="A1508" s="8"/>
      <c r="B1508" s="9" t="s">
        <v>2576</v>
      </c>
      <c r="C1508" s="10" t="s">
        <v>126</v>
      </c>
      <c r="D1508" s="11">
        <v>1</v>
      </c>
      <c r="E1508" s="12">
        <v>846</v>
      </c>
      <c r="F1508" s="13">
        <v>846</v>
      </c>
      <c r="G1508" s="2">
        <f>VLOOKUP(B1508,'PO with created By ASR'!A:C,3,FALSE)</f>
        <v>45694</v>
      </c>
      <c r="J1508" s="2" t="str">
        <f>VLOOKUP(B1508,'PO with created By ASR'!A:G,4,FALSE)</f>
        <v>Sachin Jadhav -CR</v>
      </c>
      <c r="K1508" s="2" t="e">
        <f>VLOOKUP(B1508,'PO with created By ASR'!A:I,6,FALSE)</f>
        <v>#N/A</v>
      </c>
      <c r="L1508" s="2" t="str">
        <f>VLOOKUP(B1508,'PO with created By ASR'!A:J,7,FALSE)</f>
        <v>A - Mumbai</v>
      </c>
      <c r="M1508" s="2" t="str">
        <f>VLOOKUP(B1508,'PO with created By ASR'!A:K,8,FALSE)</f>
        <v>Purchase Order-Mum</v>
      </c>
      <c r="N1508" t="s">
        <v>36</v>
      </c>
      <c r="P1508" s="2">
        <v>6</v>
      </c>
    </row>
    <row r="1509" s="2" customFormat="1" spans="1:16">
      <c r="A1509" s="8"/>
      <c r="B1509" s="9" t="s">
        <v>2576</v>
      </c>
      <c r="C1509" s="10" t="s">
        <v>412</v>
      </c>
      <c r="D1509" s="11">
        <v>1</v>
      </c>
      <c r="E1509" s="12">
        <v>1014</v>
      </c>
      <c r="F1509" s="13">
        <v>1014</v>
      </c>
      <c r="G1509" s="2">
        <f>VLOOKUP(B1509,'PO with created By ASR'!A:C,3,FALSE)</f>
        <v>45694</v>
      </c>
      <c r="J1509" s="2" t="str">
        <f>VLOOKUP(B1509,'PO with created By ASR'!A:G,4,FALSE)</f>
        <v>Sachin Jadhav -CR</v>
      </c>
      <c r="K1509" s="2" t="e">
        <f>VLOOKUP(B1509,'PO with created By ASR'!A:I,6,FALSE)</f>
        <v>#N/A</v>
      </c>
      <c r="L1509" s="2" t="str">
        <f>VLOOKUP(B1509,'PO with created By ASR'!A:J,7,FALSE)</f>
        <v>A - Mumbai</v>
      </c>
      <c r="M1509" s="2" t="str">
        <f>VLOOKUP(B1509,'PO with created By ASR'!A:K,8,FALSE)</f>
        <v>Purchase Order-Mum</v>
      </c>
      <c r="N1509" t="s">
        <v>36</v>
      </c>
      <c r="P1509" s="2">
        <v>6</v>
      </c>
    </row>
    <row r="1510" s="2" customFormat="1" spans="1:16">
      <c r="A1510" s="8"/>
      <c r="B1510" s="9" t="s">
        <v>2577</v>
      </c>
      <c r="C1510" s="10" t="s">
        <v>317</v>
      </c>
      <c r="D1510" s="11">
        <v>1</v>
      </c>
      <c r="E1510" s="12">
        <v>423</v>
      </c>
      <c r="F1510" s="13">
        <v>423</v>
      </c>
      <c r="G1510" s="2">
        <f>VLOOKUP(B1510,'PO with created By ASR'!A:C,3,FALSE)</f>
        <v>45694</v>
      </c>
      <c r="J1510" s="2" t="str">
        <f>VLOOKUP(B1510,'PO with created By ASR'!A:G,4,FALSE)</f>
        <v>Pranil Buva  -CR</v>
      </c>
      <c r="K1510" s="2" t="e">
        <f>VLOOKUP(B1510,'PO with created By ASR'!A:I,6,FALSE)</f>
        <v>#N/A</v>
      </c>
      <c r="L1510" s="2" t="str">
        <f>VLOOKUP(B1510,'PO with created By ASR'!A:J,7,FALSE)</f>
        <v>A - Mumbai</v>
      </c>
      <c r="M1510" s="2" t="str">
        <f>VLOOKUP(B1510,'PO with created By ASR'!A:K,8,FALSE)</f>
        <v>Purchase Order-Mum</v>
      </c>
      <c r="N1510" t="s">
        <v>36</v>
      </c>
      <c r="P1510" s="2">
        <v>6</v>
      </c>
    </row>
    <row r="1511" s="2" customFormat="1" spans="1:16">
      <c r="A1511" s="8"/>
      <c r="B1511" s="9" t="s">
        <v>2577</v>
      </c>
      <c r="C1511" s="10" t="s">
        <v>126</v>
      </c>
      <c r="D1511" s="11">
        <v>1</v>
      </c>
      <c r="E1511" s="12">
        <v>986</v>
      </c>
      <c r="F1511" s="13">
        <v>986</v>
      </c>
      <c r="G1511" s="2">
        <f>VLOOKUP(B1511,'PO with created By ASR'!A:C,3,FALSE)</f>
        <v>45694</v>
      </c>
      <c r="J1511" s="2" t="str">
        <f>VLOOKUP(B1511,'PO with created By ASR'!A:G,4,FALSE)</f>
        <v>Pranil Buva  -CR</v>
      </c>
      <c r="K1511" s="2" t="e">
        <f>VLOOKUP(B1511,'PO with created By ASR'!A:I,6,FALSE)</f>
        <v>#N/A</v>
      </c>
      <c r="L1511" s="2" t="str">
        <f>VLOOKUP(B1511,'PO with created By ASR'!A:J,7,FALSE)</f>
        <v>A - Mumbai</v>
      </c>
      <c r="M1511" s="2" t="str">
        <f>VLOOKUP(B1511,'PO with created By ASR'!A:K,8,FALSE)</f>
        <v>Purchase Order-Mum</v>
      </c>
      <c r="N1511" t="s">
        <v>36</v>
      </c>
      <c r="P1511" s="2">
        <v>6</v>
      </c>
    </row>
    <row r="1512" s="2" customFormat="1" spans="1:16">
      <c r="A1512" s="8"/>
      <c r="B1512" s="9" t="s">
        <v>2577</v>
      </c>
      <c r="C1512" s="10" t="s">
        <v>412</v>
      </c>
      <c r="D1512" s="11">
        <v>1</v>
      </c>
      <c r="E1512" s="12">
        <v>8941.39</v>
      </c>
      <c r="F1512" s="13">
        <v>8941.39</v>
      </c>
      <c r="G1512" s="2">
        <f>VLOOKUP(B1512,'PO with created By ASR'!A:C,3,FALSE)</f>
        <v>45694</v>
      </c>
      <c r="J1512" s="2" t="str">
        <f>VLOOKUP(B1512,'PO with created By ASR'!A:G,4,FALSE)</f>
        <v>Pranil Buva  -CR</v>
      </c>
      <c r="K1512" s="2" t="e">
        <f>VLOOKUP(B1512,'PO with created By ASR'!A:I,6,FALSE)</f>
        <v>#N/A</v>
      </c>
      <c r="L1512" s="2" t="str">
        <f>VLOOKUP(B1512,'PO with created By ASR'!A:J,7,FALSE)</f>
        <v>A - Mumbai</v>
      </c>
      <c r="M1512" s="2" t="str">
        <f>VLOOKUP(B1512,'PO with created By ASR'!A:K,8,FALSE)</f>
        <v>Purchase Order-Mum</v>
      </c>
      <c r="N1512" t="s">
        <v>36</v>
      </c>
      <c r="P1512" s="2">
        <v>6</v>
      </c>
    </row>
    <row r="1513" s="2" customFormat="1" spans="1:16">
      <c r="A1513" s="8"/>
      <c r="B1513" s="9" t="s">
        <v>2579</v>
      </c>
      <c r="C1513" s="10" t="s">
        <v>126</v>
      </c>
      <c r="D1513" s="11">
        <v>1</v>
      </c>
      <c r="E1513" s="12">
        <v>1881</v>
      </c>
      <c r="F1513" s="13">
        <v>1881</v>
      </c>
      <c r="G1513" s="2">
        <f>VLOOKUP(B1513,'PO with created By ASR'!A:C,3,FALSE)</f>
        <v>45694</v>
      </c>
      <c r="J1513" s="2" t="str">
        <f>VLOOKUP(B1513,'PO with created By ASR'!A:G,4,FALSE)</f>
        <v>Ghanshyam Asolkar -CR</v>
      </c>
      <c r="K1513" s="2" t="e">
        <f>VLOOKUP(B1513,'PO with created By ASR'!A:I,6,FALSE)</f>
        <v>#N/A</v>
      </c>
      <c r="L1513" s="2" t="str">
        <f>VLOOKUP(B1513,'PO with created By ASR'!A:J,7,FALSE)</f>
        <v>A - Mumbai</v>
      </c>
      <c r="M1513" s="2" t="str">
        <f>VLOOKUP(B1513,'PO with created By ASR'!A:K,8,FALSE)</f>
        <v>Purchase Order-Mum</v>
      </c>
      <c r="N1513" t="s">
        <v>36</v>
      </c>
      <c r="P1513" s="2">
        <v>6</v>
      </c>
    </row>
    <row r="1514" s="2" customFormat="1" spans="1:16">
      <c r="A1514" s="8"/>
      <c r="B1514" s="9" t="s">
        <v>2579</v>
      </c>
      <c r="C1514" s="10" t="s">
        <v>412</v>
      </c>
      <c r="D1514" s="11">
        <v>1</v>
      </c>
      <c r="E1514" s="12">
        <v>8314.22</v>
      </c>
      <c r="F1514" s="13">
        <v>8314.22</v>
      </c>
      <c r="G1514" s="2">
        <f>VLOOKUP(B1514,'PO with created By ASR'!A:C,3,FALSE)</f>
        <v>45694</v>
      </c>
      <c r="J1514" s="2" t="str">
        <f>VLOOKUP(B1514,'PO with created By ASR'!A:G,4,FALSE)</f>
        <v>Ghanshyam Asolkar -CR</v>
      </c>
      <c r="K1514" s="2" t="e">
        <f>VLOOKUP(B1514,'PO with created By ASR'!A:I,6,FALSE)</f>
        <v>#N/A</v>
      </c>
      <c r="L1514" s="2" t="str">
        <f>VLOOKUP(B1514,'PO with created By ASR'!A:J,7,FALSE)</f>
        <v>A - Mumbai</v>
      </c>
      <c r="M1514" s="2" t="str">
        <f>VLOOKUP(B1514,'PO with created By ASR'!A:K,8,FALSE)</f>
        <v>Purchase Order-Mum</v>
      </c>
      <c r="N1514" t="s">
        <v>36</v>
      </c>
      <c r="P1514" s="2">
        <v>6</v>
      </c>
    </row>
    <row r="1515" s="2" customFormat="1" spans="1:16">
      <c r="A1515" s="8"/>
      <c r="B1515" s="9" t="s">
        <v>2580</v>
      </c>
      <c r="C1515" s="10" t="s">
        <v>317</v>
      </c>
      <c r="D1515" s="11">
        <v>1</v>
      </c>
      <c r="E1515" s="12">
        <v>2599</v>
      </c>
      <c r="F1515" s="13">
        <v>2599</v>
      </c>
      <c r="G1515" s="2">
        <f>VLOOKUP(B1515,'PO with created By ASR'!A:C,3,FALSE)</f>
        <v>45694</v>
      </c>
      <c r="J1515" s="2" t="str">
        <f>VLOOKUP(B1515,'PO with created By ASR'!A:G,4,FALSE)</f>
        <v>Keval Rajyaguru  -CR</v>
      </c>
      <c r="K1515" s="2" t="e">
        <f>VLOOKUP(B1515,'PO with created By ASR'!A:I,6,FALSE)</f>
        <v>#N/A</v>
      </c>
      <c r="L1515" s="2" t="str">
        <f>VLOOKUP(B1515,'PO with created By ASR'!A:J,7,FALSE)</f>
        <v>A - Mumbai</v>
      </c>
      <c r="M1515" s="2" t="str">
        <f>VLOOKUP(B1515,'PO with created By ASR'!A:K,8,FALSE)</f>
        <v>Purchase Order-Mum</v>
      </c>
      <c r="N1515" t="s">
        <v>36</v>
      </c>
      <c r="P1515" s="2">
        <v>6</v>
      </c>
    </row>
    <row r="1516" s="2" customFormat="1" spans="1:16">
      <c r="A1516" s="8"/>
      <c r="B1516" s="9" t="s">
        <v>2580</v>
      </c>
      <c r="C1516" s="10" t="s">
        <v>126</v>
      </c>
      <c r="D1516" s="11">
        <v>1</v>
      </c>
      <c r="E1516" s="12">
        <v>1204</v>
      </c>
      <c r="F1516" s="13">
        <v>1204</v>
      </c>
      <c r="G1516" s="2">
        <f>VLOOKUP(B1516,'PO with created By ASR'!A:C,3,FALSE)</f>
        <v>45694</v>
      </c>
      <c r="J1516" s="2" t="str">
        <f>VLOOKUP(B1516,'PO with created By ASR'!A:G,4,FALSE)</f>
        <v>Keval Rajyaguru  -CR</v>
      </c>
      <c r="K1516" s="2" t="e">
        <f>VLOOKUP(B1516,'PO with created By ASR'!A:I,6,FALSE)</f>
        <v>#N/A</v>
      </c>
      <c r="L1516" s="2" t="str">
        <f>VLOOKUP(B1516,'PO with created By ASR'!A:J,7,FALSE)</f>
        <v>A - Mumbai</v>
      </c>
      <c r="M1516" s="2" t="str">
        <f>VLOOKUP(B1516,'PO with created By ASR'!A:K,8,FALSE)</f>
        <v>Purchase Order-Mum</v>
      </c>
      <c r="N1516" t="s">
        <v>36</v>
      </c>
      <c r="P1516" s="2">
        <v>6</v>
      </c>
    </row>
    <row r="1517" s="2" customFormat="1" spans="1:16">
      <c r="A1517" s="8"/>
      <c r="B1517" s="9" t="s">
        <v>2581</v>
      </c>
      <c r="C1517" s="10" t="s">
        <v>126</v>
      </c>
      <c r="D1517" s="11">
        <v>1</v>
      </c>
      <c r="E1517" s="12">
        <v>400</v>
      </c>
      <c r="F1517" s="13">
        <v>400</v>
      </c>
      <c r="G1517" s="2">
        <f>VLOOKUP(B1517,'PO with created By ASR'!A:C,3,FALSE)</f>
        <v>45694</v>
      </c>
      <c r="J1517" s="2" t="str">
        <f>VLOOKUP(B1517,'PO with created By ASR'!A:G,4,FALSE)</f>
        <v>Asif Khan  -CR</v>
      </c>
      <c r="K1517" s="2" t="e">
        <f>VLOOKUP(B1517,'PO with created By ASR'!A:I,6,FALSE)</f>
        <v>#N/A</v>
      </c>
      <c r="L1517" s="2" t="str">
        <f>VLOOKUP(B1517,'PO with created By ASR'!A:J,7,FALSE)</f>
        <v>A - Mumbai</v>
      </c>
      <c r="M1517" s="2" t="str">
        <f>VLOOKUP(B1517,'PO with created By ASR'!A:K,8,FALSE)</f>
        <v>Purchase Order-Mum</v>
      </c>
      <c r="N1517" t="s">
        <v>36</v>
      </c>
      <c r="P1517" s="2">
        <v>6</v>
      </c>
    </row>
    <row r="1518" s="2" customFormat="1" spans="1:16">
      <c r="A1518" s="8"/>
      <c r="B1518" s="9" t="s">
        <v>2581</v>
      </c>
      <c r="C1518" s="10" t="s">
        <v>412</v>
      </c>
      <c r="D1518" s="11">
        <v>1</v>
      </c>
      <c r="E1518" s="12">
        <v>300</v>
      </c>
      <c r="F1518" s="13">
        <v>300</v>
      </c>
      <c r="G1518" s="2">
        <f>VLOOKUP(B1518,'PO with created By ASR'!A:C,3,FALSE)</f>
        <v>45694</v>
      </c>
      <c r="J1518" s="2" t="str">
        <f>VLOOKUP(B1518,'PO with created By ASR'!A:G,4,FALSE)</f>
        <v>Asif Khan  -CR</v>
      </c>
      <c r="K1518" s="2" t="e">
        <f>VLOOKUP(B1518,'PO with created By ASR'!A:I,6,FALSE)</f>
        <v>#N/A</v>
      </c>
      <c r="L1518" s="2" t="str">
        <f>VLOOKUP(B1518,'PO with created By ASR'!A:J,7,FALSE)</f>
        <v>A - Mumbai</v>
      </c>
      <c r="M1518" s="2" t="str">
        <f>VLOOKUP(B1518,'PO with created By ASR'!A:K,8,FALSE)</f>
        <v>Purchase Order-Mum</v>
      </c>
      <c r="N1518" t="s">
        <v>36</v>
      </c>
      <c r="P1518" s="2">
        <v>6</v>
      </c>
    </row>
    <row r="1519" s="2" customFormat="1" spans="1:16">
      <c r="A1519" s="8"/>
      <c r="B1519" s="9" t="s">
        <v>2582</v>
      </c>
      <c r="C1519" s="10" t="s">
        <v>126</v>
      </c>
      <c r="D1519" s="11">
        <v>1</v>
      </c>
      <c r="E1519" s="12">
        <v>2966</v>
      </c>
      <c r="F1519" s="13">
        <v>2966</v>
      </c>
      <c r="G1519" s="2">
        <f>VLOOKUP(B1519,'PO with created By ASR'!A:C,3,FALSE)</f>
        <v>45694</v>
      </c>
      <c r="J1519" s="2" t="str">
        <f>VLOOKUP(B1519,'PO with created By ASR'!A:G,4,FALSE)</f>
        <v>Asif Khan  -CR</v>
      </c>
      <c r="K1519" s="2" t="e">
        <f>VLOOKUP(B1519,'PO with created By ASR'!A:I,6,FALSE)</f>
        <v>#N/A</v>
      </c>
      <c r="L1519" s="2" t="str">
        <f>VLOOKUP(B1519,'PO with created By ASR'!A:J,7,FALSE)</f>
        <v>A - Mumbai</v>
      </c>
      <c r="M1519" s="2" t="str">
        <f>VLOOKUP(B1519,'PO with created By ASR'!A:K,8,FALSE)</f>
        <v>Purchase Order-Mum</v>
      </c>
      <c r="N1519" t="s">
        <v>36</v>
      </c>
      <c r="P1519" s="2">
        <v>6</v>
      </c>
    </row>
    <row r="1520" s="2" customFormat="1" spans="1:16">
      <c r="A1520" s="8"/>
      <c r="B1520" s="9" t="s">
        <v>2582</v>
      </c>
      <c r="C1520" s="10" t="s">
        <v>412</v>
      </c>
      <c r="D1520" s="11">
        <v>1</v>
      </c>
      <c r="E1520" s="12">
        <v>410</v>
      </c>
      <c r="F1520" s="13">
        <v>410</v>
      </c>
      <c r="G1520" s="2">
        <f>VLOOKUP(B1520,'PO with created By ASR'!A:C,3,FALSE)</f>
        <v>45694</v>
      </c>
      <c r="J1520" s="2" t="str">
        <f>VLOOKUP(B1520,'PO with created By ASR'!A:G,4,FALSE)</f>
        <v>Asif Khan  -CR</v>
      </c>
      <c r="K1520" s="2" t="e">
        <f>VLOOKUP(B1520,'PO with created By ASR'!A:I,6,FALSE)</f>
        <v>#N/A</v>
      </c>
      <c r="L1520" s="2" t="str">
        <f>VLOOKUP(B1520,'PO with created By ASR'!A:J,7,FALSE)</f>
        <v>A - Mumbai</v>
      </c>
      <c r="M1520" s="2" t="str">
        <f>VLOOKUP(B1520,'PO with created By ASR'!A:K,8,FALSE)</f>
        <v>Purchase Order-Mum</v>
      </c>
      <c r="N1520" t="s">
        <v>36</v>
      </c>
      <c r="P1520" s="2">
        <v>6</v>
      </c>
    </row>
    <row r="1521" s="2" customFormat="1" spans="1:16">
      <c r="A1521" s="8"/>
      <c r="B1521" s="9" t="s">
        <v>2583</v>
      </c>
      <c r="C1521" s="10" t="s">
        <v>233</v>
      </c>
      <c r="D1521" s="11">
        <v>1</v>
      </c>
      <c r="E1521" s="12">
        <v>18642.86</v>
      </c>
      <c r="F1521" s="13">
        <v>18642.86</v>
      </c>
      <c r="G1521" s="2">
        <f>VLOOKUP(B1521,'PO with created By ASR'!A:C,3,FALSE)</f>
        <v>45694</v>
      </c>
      <c r="J1521" s="2" t="str">
        <f>VLOOKUP(B1521,'PO with created By ASR'!A:G,4,FALSE)</f>
        <v>Bisleri International Pvt Ltd-Mum</v>
      </c>
      <c r="K1521" s="2" t="str">
        <f>VLOOKUP(B1521,'PO with created By ASR'!A:I,6,FALSE)</f>
        <v>11508  Bisleri International Pvt Ltd</v>
      </c>
      <c r="L1521" s="2" t="str">
        <f>VLOOKUP(B1521,'PO with created By ASR'!A:J,7,FALSE)</f>
        <v>A - Mumbai</v>
      </c>
      <c r="M1521" s="2" t="str">
        <f>VLOOKUP(B1521,'PO with created By ASR'!A:K,8,FALSE)</f>
        <v>Purchase Order-Mum</v>
      </c>
      <c r="N1521" t="s">
        <v>36</v>
      </c>
      <c r="P1521" s="2">
        <v>6</v>
      </c>
    </row>
    <row r="1522" s="2" customFormat="1" spans="1:16">
      <c r="A1522" s="8"/>
      <c r="B1522" s="9" t="s">
        <v>2583</v>
      </c>
      <c r="C1522" s="10" t="s">
        <v>233</v>
      </c>
      <c r="D1522" s="11">
        <v>1</v>
      </c>
      <c r="E1522" s="12">
        <v>2886.44</v>
      </c>
      <c r="F1522" s="13">
        <v>2886.44</v>
      </c>
      <c r="G1522" s="2">
        <f>VLOOKUP(B1522,'PO with created By ASR'!A:C,3,FALSE)</f>
        <v>45694</v>
      </c>
      <c r="J1522" s="2" t="str">
        <f>VLOOKUP(B1522,'PO with created By ASR'!A:G,4,FALSE)</f>
        <v>Bisleri International Pvt Ltd-Mum</v>
      </c>
      <c r="K1522" s="2" t="str">
        <f>VLOOKUP(B1522,'PO with created By ASR'!A:I,6,FALSE)</f>
        <v>11508  Bisleri International Pvt Ltd</v>
      </c>
      <c r="L1522" s="2" t="str">
        <f>VLOOKUP(B1522,'PO with created By ASR'!A:J,7,FALSE)</f>
        <v>A - Mumbai</v>
      </c>
      <c r="M1522" s="2" t="str">
        <f>VLOOKUP(B1522,'PO with created By ASR'!A:K,8,FALSE)</f>
        <v>Purchase Order-Mum</v>
      </c>
      <c r="N1522" t="s">
        <v>36</v>
      </c>
      <c r="P1522" s="2">
        <v>6</v>
      </c>
    </row>
    <row r="1523" s="2" customFormat="1" spans="1:16">
      <c r="A1523" s="8"/>
      <c r="B1523" s="9" t="s">
        <v>2586</v>
      </c>
      <c r="C1523" s="10" t="s">
        <v>734</v>
      </c>
      <c r="D1523" s="11">
        <v>1</v>
      </c>
      <c r="E1523" s="12">
        <v>1125018</v>
      </c>
      <c r="F1523" s="13">
        <v>1125018</v>
      </c>
      <c r="G1523" s="2">
        <f>VLOOKUP(B1523,'PO with created By ASR'!A:C,3,FALSE)</f>
        <v>45694</v>
      </c>
      <c r="J1523" s="2" t="str">
        <f>VLOOKUP(B1523,'PO with created By ASR'!A:G,4,FALSE)</f>
        <v>Musafir.Com India Pvt Ltd-Mum</v>
      </c>
      <c r="K1523" s="2" t="str">
        <f>VLOOKUP(B1523,'PO with created By ASR'!A:I,6,FALSE)</f>
        <v>10060  Musafir.Com India Pvt Ltd</v>
      </c>
      <c r="L1523" s="2" t="str">
        <f>VLOOKUP(B1523,'PO with created By ASR'!A:J,7,FALSE)</f>
        <v>A - Mumbai</v>
      </c>
      <c r="M1523" s="2" t="str">
        <f>VLOOKUP(B1523,'PO with created By ASR'!A:K,8,FALSE)</f>
        <v>Purchase Order-Mum</v>
      </c>
      <c r="N1523" t="s">
        <v>36</v>
      </c>
      <c r="P1523" s="2">
        <v>6</v>
      </c>
    </row>
    <row r="1524" s="2" customFormat="1" spans="1:16">
      <c r="A1524" s="8"/>
      <c r="B1524" s="9" t="s">
        <v>2586</v>
      </c>
      <c r="C1524" s="10" t="s">
        <v>1808</v>
      </c>
      <c r="D1524" s="11">
        <v>1</v>
      </c>
      <c r="E1524" s="12">
        <v>58085</v>
      </c>
      <c r="F1524" s="13">
        <v>58085</v>
      </c>
      <c r="G1524" s="2">
        <f>VLOOKUP(B1524,'PO with created By ASR'!A:C,3,FALSE)</f>
        <v>45694</v>
      </c>
      <c r="J1524" s="2" t="str">
        <f>VLOOKUP(B1524,'PO with created By ASR'!A:G,4,FALSE)</f>
        <v>Musafir.Com India Pvt Ltd-Mum</v>
      </c>
      <c r="K1524" s="2" t="str">
        <f>VLOOKUP(B1524,'PO with created By ASR'!A:I,6,FALSE)</f>
        <v>10060  Musafir.Com India Pvt Ltd</v>
      </c>
      <c r="L1524" s="2" t="str">
        <f>VLOOKUP(B1524,'PO with created By ASR'!A:J,7,FALSE)</f>
        <v>A - Mumbai</v>
      </c>
      <c r="M1524" s="2" t="str">
        <f>VLOOKUP(B1524,'PO with created By ASR'!A:K,8,FALSE)</f>
        <v>Purchase Order-Mum</v>
      </c>
      <c r="N1524" t="s">
        <v>36</v>
      </c>
      <c r="P1524" s="2">
        <v>6</v>
      </c>
    </row>
    <row r="1525" s="2" customFormat="1" spans="1:16">
      <c r="A1525" s="8"/>
      <c r="B1525" s="9" t="s">
        <v>2587</v>
      </c>
      <c r="C1525" s="10" t="s">
        <v>683</v>
      </c>
      <c r="D1525" s="11">
        <v>1</v>
      </c>
      <c r="E1525" s="12">
        <v>50000</v>
      </c>
      <c r="F1525" s="13">
        <v>50000</v>
      </c>
      <c r="G1525" s="2">
        <f>VLOOKUP(B1525,'PO with created By ASR'!A:C,3,FALSE)</f>
        <v>45694</v>
      </c>
      <c r="J1525" s="2" t="str">
        <f>VLOOKUP(B1525,'PO with created By ASR'!A:G,4,FALSE)</f>
        <v>Vansh Agrawal-Mum</v>
      </c>
      <c r="K1525" s="2" t="str">
        <f>VLOOKUP(B1525,'PO with created By ASR'!A:I,6,FALSE)</f>
        <v>10987 Vansh Agrawal</v>
      </c>
      <c r="L1525" s="2" t="str">
        <f>VLOOKUP(B1525,'PO with created By ASR'!A:J,7,FALSE)</f>
        <v>A - Mumbai</v>
      </c>
      <c r="M1525" s="2" t="str">
        <f>VLOOKUP(B1525,'PO with created By ASR'!A:K,8,FALSE)</f>
        <v>Purchase Order-Mum</v>
      </c>
      <c r="N1525" t="s">
        <v>36</v>
      </c>
      <c r="P1525" s="2">
        <v>6</v>
      </c>
    </row>
    <row r="1526" s="2" customFormat="1" spans="1:16">
      <c r="A1526" s="8"/>
      <c r="B1526" s="9" t="s">
        <v>2588</v>
      </c>
      <c r="C1526" s="10" t="s">
        <v>233</v>
      </c>
      <c r="D1526" s="11">
        <v>1</v>
      </c>
      <c r="E1526" s="12">
        <v>5900</v>
      </c>
      <c r="F1526" s="13">
        <v>5900</v>
      </c>
      <c r="G1526" s="2">
        <f>VLOOKUP(B1526,'PO with created By ASR'!A:C,3,FALSE)</f>
        <v>45694</v>
      </c>
      <c r="J1526" s="2" t="str">
        <f>VLOOKUP(B1526,'PO with created By ASR'!A:G,4,FALSE)</f>
        <v>Sam Infosystems Pvt Ltd-Mum</v>
      </c>
      <c r="K1526" s="2" t="str">
        <f>VLOOKUP(B1526,'PO with created By ASR'!A:I,6,FALSE)</f>
        <v>10206  Sam Infosystems Pvt Ltd</v>
      </c>
      <c r="L1526" s="2" t="str">
        <f>VLOOKUP(B1526,'PO with created By ASR'!A:J,7,FALSE)</f>
        <v>A - Mumbai</v>
      </c>
      <c r="M1526" s="2" t="str">
        <f>VLOOKUP(B1526,'PO with created By ASR'!A:K,8,FALSE)</f>
        <v>Purchase Order-Mum</v>
      </c>
      <c r="N1526" t="s">
        <v>36</v>
      </c>
      <c r="P1526" s="2">
        <v>6</v>
      </c>
    </row>
    <row r="1527" s="2" customFormat="1" spans="1:16">
      <c r="A1527" s="8"/>
      <c r="B1527" s="9" t="s">
        <v>2592</v>
      </c>
      <c r="C1527" s="10" t="s">
        <v>151</v>
      </c>
      <c r="D1527" s="11">
        <v>1</v>
      </c>
      <c r="E1527" s="12">
        <v>450000</v>
      </c>
      <c r="F1527" s="13">
        <v>450000</v>
      </c>
      <c r="G1527" s="2">
        <f>VLOOKUP(B1527,'PO with created By ASR'!A:C,3,FALSE)</f>
        <v>45694</v>
      </c>
      <c r="J1527" s="2" t="str">
        <f>VLOOKUP(B1527,'PO with created By ASR'!A:G,4,FALSE)</f>
        <v>Fabrile Productions-Mum</v>
      </c>
      <c r="K1527" s="2" t="str">
        <f>VLOOKUP(B1527,'PO with created By ASR'!A:I,6,FALSE)</f>
        <v>11909 Fabrile Productions</v>
      </c>
      <c r="L1527" s="2" t="str">
        <f>VLOOKUP(B1527,'PO with created By ASR'!A:J,7,FALSE)</f>
        <v>A - Mumbai</v>
      </c>
      <c r="M1527" s="2" t="str">
        <f>VLOOKUP(B1527,'PO with created By ASR'!A:K,8,FALSE)</f>
        <v>Purchase Order-Mum</v>
      </c>
      <c r="N1527" t="s">
        <v>36</v>
      </c>
      <c r="P1527" s="2">
        <v>6</v>
      </c>
    </row>
    <row r="1528" s="2" customFormat="1" spans="1:16">
      <c r="A1528" s="8"/>
      <c r="B1528" s="9" t="s">
        <v>2593</v>
      </c>
      <c r="C1528" s="10" t="s">
        <v>371</v>
      </c>
      <c r="D1528" s="11">
        <v>1</v>
      </c>
      <c r="E1528" s="12">
        <v>50000</v>
      </c>
      <c r="F1528" s="13">
        <v>50000</v>
      </c>
      <c r="G1528" s="2">
        <f>VLOOKUP(B1528,'PO with created By ASR'!A:C,3,FALSE)</f>
        <v>45694</v>
      </c>
      <c r="J1528" s="2" t="str">
        <f>VLOOKUP(B1528,'PO with created By ASR'!A:G,4,FALSE)</f>
        <v>Sound Decisions.Com-Mum</v>
      </c>
      <c r="K1528" s="2" t="str">
        <f>VLOOKUP(B1528,'PO with created By ASR'!A:I,6,FALSE)</f>
        <v>11133 Sound Decisions.Com</v>
      </c>
      <c r="L1528" s="2" t="str">
        <f>VLOOKUP(B1528,'PO with created By ASR'!A:J,7,FALSE)</f>
        <v>A - Mumbai</v>
      </c>
      <c r="M1528" s="2" t="str">
        <f>VLOOKUP(B1528,'PO with created By ASR'!A:K,8,FALSE)</f>
        <v>Purchase Order-Mum</v>
      </c>
      <c r="N1528" t="s">
        <v>36</v>
      </c>
      <c r="P1528" s="2">
        <v>6</v>
      </c>
    </row>
    <row r="1529" s="2" customFormat="1" spans="1:16">
      <c r="A1529" s="8"/>
      <c r="B1529" s="9" t="s">
        <v>2596</v>
      </c>
      <c r="C1529" s="10" t="s">
        <v>371</v>
      </c>
      <c r="D1529" s="11">
        <v>1</v>
      </c>
      <c r="E1529" s="12">
        <v>110000</v>
      </c>
      <c r="F1529" s="13">
        <v>110000</v>
      </c>
      <c r="G1529" s="2">
        <f>VLOOKUP(B1529,'PO with created By ASR'!A:C,3,FALSE)</f>
        <v>45694</v>
      </c>
      <c r="J1529" s="2" t="str">
        <f>VLOOKUP(B1529,'PO with created By ASR'!A:G,4,FALSE)</f>
        <v>Shiv Shakti Enterprises-Mum</v>
      </c>
      <c r="K1529" s="2" t="str">
        <f>VLOOKUP(B1529,'PO with created By ASR'!A:I,6,FALSE)</f>
        <v>11130 Shiv Shakti Enterprises</v>
      </c>
      <c r="L1529" s="2" t="str">
        <f>VLOOKUP(B1529,'PO with created By ASR'!A:J,7,FALSE)</f>
        <v>A - Mumbai</v>
      </c>
      <c r="M1529" s="2" t="str">
        <f>VLOOKUP(B1529,'PO with created By ASR'!A:K,8,FALSE)</f>
        <v>Purchase Order-Mum</v>
      </c>
      <c r="N1529" t="s">
        <v>36</v>
      </c>
      <c r="P1529" s="2">
        <v>6</v>
      </c>
    </row>
    <row r="1530" s="2" customFormat="1" spans="1:16">
      <c r="A1530" s="8"/>
      <c r="B1530" s="9" t="s">
        <v>2597</v>
      </c>
      <c r="C1530" s="10" t="s">
        <v>371</v>
      </c>
      <c r="D1530" s="11">
        <v>1</v>
      </c>
      <c r="E1530" s="12">
        <v>190000</v>
      </c>
      <c r="F1530" s="13">
        <v>190000</v>
      </c>
      <c r="G1530" s="2">
        <f>VLOOKUP(B1530,'PO with created By ASR'!A:C,3,FALSE)</f>
        <v>45694</v>
      </c>
      <c r="J1530" s="2" t="str">
        <f>VLOOKUP(B1530,'PO with created By ASR'!A:G,4,FALSE)</f>
        <v>Videowaves-Mum</v>
      </c>
      <c r="K1530" s="2" t="e">
        <f>VLOOKUP(B1530,'PO with created By ASR'!A:I,6,FALSE)</f>
        <v>#N/A</v>
      </c>
      <c r="L1530" s="2" t="str">
        <f>VLOOKUP(B1530,'PO with created By ASR'!A:J,7,FALSE)</f>
        <v>A - Mumbai</v>
      </c>
      <c r="M1530" s="2" t="str">
        <f>VLOOKUP(B1530,'PO with created By ASR'!A:K,8,FALSE)</f>
        <v>Purchase Order-Mum</v>
      </c>
      <c r="N1530" t="s">
        <v>36</v>
      </c>
      <c r="P1530" s="2">
        <v>6</v>
      </c>
    </row>
    <row r="1531" s="2" customFormat="1" spans="1:16">
      <c r="A1531" s="8"/>
      <c r="B1531" s="9" t="s">
        <v>2598</v>
      </c>
      <c r="C1531" s="10" t="s">
        <v>371</v>
      </c>
      <c r="D1531" s="11">
        <v>1</v>
      </c>
      <c r="E1531" s="12">
        <v>6800</v>
      </c>
      <c r="F1531" s="13">
        <v>6800</v>
      </c>
      <c r="G1531" s="2">
        <f>VLOOKUP(B1531,'PO with created By ASR'!A:C,3,FALSE)</f>
        <v>45694</v>
      </c>
      <c r="J1531" s="2" t="str">
        <f>VLOOKUP(B1531,'PO with created By ASR'!A:G,4,FALSE)</f>
        <v>Oriana Communications-Mum</v>
      </c>
      <c r="K1531" s="2" t="str">
        <f>VLOOKUP(B1531,'PO with created By ASR'!A:I,6,FALSE)</f>
        <v>11121 Oriana Communications</v>
      </c>
      <c r="L1531" s="2" t="str">
        <f>VLOOKUP(B1531,'PO with created By ASR'!A:J,7,FALSE)</f>
        <v>A - Mumbai</v>
      </c>
      <c r="M1531" s="2" t="str">
        <f>VLOOKUP(B1531,'PO with created By ASR'!A:K,8,FALSE)</f>
        <v>Purchase Order-Mum</v>
      </c>
      <c r="N1531" t="s">
        <v>36</v>
      </c>
      <c r="P1531" s="2">
        <v>6</v>
      </c>
    </row>
    <row r="1532" s="2" customFormat="1" spans="1:16">
      <c r="A1532" s="8"/>
      <c r="B1532" s="9" t="s">
        <v>2599</v>
      </c>
      <c r="C1532" s="10" t="s">
        <v>401</v>
      </c>
      <c r="D1532" s="11">
        <v>1</v>
      </c>
      <c r="E1532" s="12">
        <v>32000</v>
      </c>
      <c r="F1532" s="13">
        <v>32000</v>
      </c>
      <c r="G1532" s="2">
        <f>VLOOKUP(B1532,'PO with created By ASR'!A:C,3,FALSE)</f>
        <v>45694</v>
      </c>
      <c r="J1532" s="2" t="str">
        <f>VLOOKUP(B1532,'PO with created By ASR'!A:G,4,FALSE)</f>
        <v>Vinit Video Vision-Mum</v>
      </c>
      <c r="K1532" s="2" t="str">
        <f>VLOOKUP(B1532,'PO with created By ASR'!A:I,6,FALSE)</f>
        <v>10235 Vinit Video Vision</v>
      </c>
      <c r="L1532" s="2" t="str">
        <f>VLOOKUP(B1532,'PO with created By ASR'!A:J,7,FALSE)</f>
        <v>A - Mumbai</v>
      </c>
      <c r="M1532" s="2" t="str">
        <f>VLOOKUP(B1532,'PO with created By ASR'!A:K,8,FALSE)</f>
        <v>Purchase Order-Mum</v>
      </c>
      <c r="N1532" t="s">
        <v>36</v>
      </c>
      <c r="P1532" s="2">
        <v>6</v>
      </c>
    </row>
    <row r="1533" s="2" customFormat="1" spans="1:16">
      <c r="A1533" s="8"/>
      <c r="B1533" s="9" t="s">
        <v>2600</v>
      </c>
      <c r="C1533" s="10" t="s">
        <v>126</v>
      </c>
      <c r="D1533" s="11">
        <v>1</v>
      </c>
      <c r="E1533" s="12">
        <v>1144</v>
      </c>
      <c r="F1533" s="13">
        <v>1144</v>
      </c>
      <c r="G1533" s="2">
        <f>VLOOKUP(B1533,'PO with created By ASR'!A:C,3,FALSE)</f>
        <v>45694</v>
      </c>
      <c r="J1533" s="2" t="str">
        <f>VLOOKUP(B1533,'PO with created By ASR'!A:G,4,FALSE)</f>
        <v>Chetan Handa  -CR</v>
      </c>
      <c r="K1533" s="2" t="e">
        <f>VLOOKUP(B1533,'PO with created By ASR'!A:I,6,FALSE)</f>
        <v>#N/A</v>
      </c>
      <c r="L1533" s="2" t="str">
        <f>VLOOKUP(B1533,'PO with created By ASR'!A:J,7,FALSE)</f>
        <v>A - Mumbai</v>
      </c>
      <c r="M1533" s="2" t="str">
        <f>VLOOKUP(B1533,'PO with created By ASR'!A:K,8,FALSE)</f>
        <v>Purchase Order-Mum</v>
      </c>
      <c r="N1533" t="s">
        <v>36</v>
      </c>
      <c r="P1533" s="2">
        <v>6</v>
      </c>
    </row>
    <row r="1534" s="2" customFormat="1" spans="1:16">
      <c r="A1534" s="8"/>
      <c r="B1534" s="9" t="s">
        <v>2601</v>
      </c>
      <c r="C1534" s="10" t="s">
        <v>990</v>
      </c>
      <c r="D1534" s="11">
        <v>1</v>
      </c>
      <c r="E1534" s="12">
        <v>3400</v>
      </c>
      <c r="F1534" s="13">
        <v>3400</v>
      </c>
      <c r="G1534" s="2">
        <f>VLOOKUP(B1534,'PO with created By ASR'!A:C,3,FALSE)</f>
        <v>45694</v>
      </c>
      <c r="J1534" s="2" t="str">
        <f>VLOOKUP(B1534,'PO with created By ASR'!A:G,4,FALSE)</f>
        <v>Shree Vision-Mum</v>
      </c>
      <c r="K1534" s="2" t="str">
        <f>VLOOKUP(B1534,'PO with created By ASR'!A:I,6,FALSE)</f>
        <v>12401 Shree Vision</v>
      </c>
      <c r="L1534" s="2" t="str">
        <f>VLOOKUP(B1534,'PO with created By ASR'!A:J,7,FALSE)</f>
        <v>A - Mumbai</v>
      </c>
      <c r="M1534" s="2" t="str">
        <f>VLOOKUP(B1534,'PO with created By ASR'!A:K,8,FALSE)</f>
        <v>Purchase Order-Mum</v>
      </c>
      <c r="N1534" t="s">
        <v>36</v>
      </c>
      <c r="P1534" s="2">
        <v>6</v>
      </c>
    </row>
    <row r="1535" s="2" customFormat="1" spans="1:16">
      <c r="A1535" s="8"/>
      <c r="B1535" s="9" t="s">
        <v>2602</v>
      </c>
      <c r="C1535" s="10" t="s">
        <v>371</v>
      </c>
      <c r="D1535" s="11">
        <v>1</v>
      </c>
      <c r="E1535" s="12">
        <v>72625</v>
      </c>
      <c r="F1535" s="13">
        <v>72625</v>
      </c>
      <c r="G1535" s="2">
        <f>VLOOKUP(B1535,'PO with created By ASR'!A:C,3,FALSE)</f>
        <v>45694</v>
      </c>
      <c r="J1535" s="2" t="str">
        <f>VLOOKUP(B1535,'PO with created By ASR'!A:G,4,FALSE)</f>
        <v>Events Power-Mum</v>
      </c>
      <c r="K1535" s="2" t="str">
        <f>VLOOKUP(B1535,'PO with created By ASR'!A:I,6,FALSE)</f>
        <v>11895 Events Power</v>
      </c>
      <c r="L1535" s="2" t="str">
        <f>VLOOKUP(B1535,'PO with created By ASR'!A:J,7,FALSE)</f>
        <v>A - Mumbai</v>
      </c>
      <c r="M1535" s="2" t="str">
        <f>VLOOKUP(B1535,'PO with created By ASR'!A:K,8,FALSE)</f>
        <v>Purchase Order-Mum</v>
      </c>
      <c r="N1535" t="s">
        <v>36</v>
      </c>
      <c r="P1535" s="2">
        <v>6</v>
      </c>
    </row>
    <row r="1536" s="2" customFormat="1" spans="1:16">
      <c r="A1536" s="8"/>
      <c r="B1536" s="9" t="s">
        <v>2603</v>
      </c>
      <c r="C1536" s="10" t="s">
        <v>151</v>
      </c>
      <c r="D1536" s="11">
        <v>1</v>
      </c>
      <c r="E1536" s="12">
        <v>100000</v>
      </c>
      <c r="F1536" s="13">
        <v>100000</v>
      </c>
      <c r="G1536" s="2">
        <f>VLOOKUP(B1536,'PO with created By ASR'!A:C,3,FALSE)</f>
        <v>45694</v>
      </c>
      <c r="J1536" s="2" t="str">
        <f>VLOOKUP(B1536,'PO with created By ASR'!A:G,4,FALSE)</f>
        <v>Pyramid Production-Mum</v>
      </c>
      <c r="K1536" s="2" t="str">
        <f>VLOOKUP(B1536,'PO with created By ASR'!A:I,6,FALSE)</f>
        <v>12299 Pyramid Production</v>
      </c>
      <c r="L1536" s="2" t="str">
        <f>VLOOKUP(B1536,'PO with created By ASR'!A:J,7,FALSE)</f>
        <v>A - Mumbai</v>
      </c>
      <c r="M1536" s="2" t="str">
        <f>VLOOKUP(B1536,'PO with created By ASR'!A:K,8,FALSE)</f>
        <v>Purchase Order-Mum</v>
      </c>
      <c r="N1536" t="s">
        <v>36</v>
      </c>
      <c r="P1536" s="2">
        <v>6</v>
      </c>
    </row>
    <row r="1537" s="2" customFormat="1" spans="1:16">
      <c r="A1537" s="8"/>
      <c r="B1537" s="9" t="s">
        <v>2604</v>
      </c>
      <c r="C1537" s="10" t="s">
        <v>233</v>
      </c>
      <c r="D1537" s="11">
        <v>1</v>
      </c>
      <c r="E1537" s="12">
        <v>5000</v>
      </c>
      <c r="F1537" s="13">
        <v>5000</v>
      </c>
      <c r="G1537" s="2">
        <f>VLOOKUP(B1537,'PO with created By ASR'!A:C,3,FALSE)</f>
        <v>45694</v>
      </c>
      <c r="J1537" s="2" t="str">
        <f>VLOOKUP(B1537,'PO with created By ASR'!A:G,4,FALSE)</f>
        <v>Airtel Ltd(Bill Booking)-Mum</v>
      </c>
      <c r="K1537" s="2" t="str">
        <f>VLOOKUP(B1537,'PO with created By ASR'!A:I,6,FALSE)</f>
        <v>10112  Airtel Ltd(Bill Booking)</v>
      </c>
      <c r="L1537" s="2" t="str">
        <f>VLOOKUP(B1537,'PO with created By ASR'!A:J,7,FALSE)</f>
        <v>A - Mumbai</v>
      </c>
      <c r="M1537" s="2" t="str">
        <f>VLOOKUP(B1537,'PO with created By ASR'!A:K,8,FALSE)</f>
        <v>Purchase Order-Mum</v>
      </c>
      <c r="N1537" t="s">
        <v>36</v>
      </c>
      <c r="P1537" s="2">
        <v>6</v>
      </c>
    </row>
    <row r="1538" s="2" customFormat="1" spans="1:16">
      <c r="A1538" s="8"/>
      <c r="B1538" s="9" t="s">
        <v>2605</v>
      </c>
      <c r="C1538" s="10" t="s">
        <v>140</v>
      </c>
      <c r="D1538" s="11">
        <v>1</v>
      </c>
      <c r="E1538" s="12">
        <v>31450</v>
      </c>
      <c r="F1538" s="13">
        <v>31450</v>
      </c>
      <c r="G1538" s="2">
        <f>VLOOKUP(B1538,'PO with created By ASR'!A:C,3,FALSE)</f>
        <v>45694</v>
      </c>
      <c r="J1538" s="2" t="str">
        <f>VLOOKUP(B1538,'PO with created By ASR'!A:G,4,FALSE)</f>
        <v>Bappa Creation-Mum</v>
      </c>
      <c r="K1538" s="2" t="str">
        <f>VLOOKUP(B1538,'PO with created By ASR'!A:I,6,FALSE)</f>
        <v>12645 Bappa Creation</v>
      </c>
      <c r="L1538" s="2" t="str">
        <f>VLOOKUP(B1538,'PO with created By ASR'!A:J,7,FALSE)</f>
        <v>A - Mumbai</v>
      </c>
      <c r="M1538" s="2" t="str">
        <f>VLOOKUP(B1538,'PO with created By ASR'!A:K,8,FALSE)</f>
        <v>Purchase Order-Mum</v>
      </c>
      <c r="N1538" t="s">
        <v>36</v>
      </c>
      <c r="P1538" s="2">
        <v>6</v>
      </c>
    </row>
    <row r="1539" s="2" customFormat="1" spans="1:16">
      <c r="A1539" s="8"/>
      <c r="B1539" s="9" t="s">
        <v>2606</v>
      </c>
      <c r="C1539" s="10" t="s">
        <v>205</v>
      </c>
      <c r="D1539" s="11">
        <v>1</v>
      </c>
      <c r="E1539" s="12">
        <v>6555</v>
      </c>
      <c r="F1539" s="13">
        <v>6555</v>
      </c>
      <c r="G1539" s="2">
        <f>VLOOKUP(B1539,'PO with created By ASR'!A:C,3,FALSE)</f>
        <v>45694</v>
      </c>
      <c r="J1539" s="2" t="str">
        <f>VLOOKUP(B1539,'PO with created By ASR'!A:G,4,FALSE)</f>
        <v>Hanja Express-Mum</v>
      </c>
      <c r="K1539" s="2" t="str">
        <f>VLOOKUP(B1539,'PO with created By ASR'!A:I,6,FALSE)</f>
        <v>10046 Hanja Express</v>
      </c>
      <c r="L1539" s="2" t="str">
        <f>VLOOKUP(B1539,'PO with created By ASR'!A:J,7,FALSE)</f>
        <v>A - Mumbai</v>
      </c>
      <c r="M1539" s="2" t="str">
        <f>VLOOKUP(B1539,'PO with created By ASR'!A:K,8,FALSE)</f>
        <v>Purchase Order-Mum</v>
      </c>
      <c r="N1539" t="s">
        <v>36</v>
      </c>
      <c r="P1539" s="2">
        <v>6</v>
      </c>
    </row>
    <row r="1540" s="2" customFormat="1" spans="1:16">
      <c r="A1540" s="8"/>
      <c r="B1540" s="9" t="s">
        <v>2607</v>
      </c>
      <c r="C1540" s="10" t="s">
        <v>233</v>
      </c>
      <c r="D1540" s="11">
        <v>1</v>
      </c>
      <c r="E1540" s="12">
        <v>500000</v>
      </c>
      <c r="F1540" s="13">
        <v>500000</v>
      </c>
      <c r="G1540" s="2">
        <f>VLOOKUP(B1540,'PO with created By ASR'!A:C,3,FALSE)</f>
        <v>45695</v>
      </c>
      <c r="J1540" s="2" t="str">
        <f>VLOOKUP(B1540,'PO with created By ASR'!A:G,4,FALSE)</f>
        <v>CFT360 Design Studio Pvt Ltd-Blr</v>
      </c>
      <c r="K1540" s="2" t="str">
        <f>VLOOKUP(B1540,'PO with created By ASR'!A:I,6,FALSE)</f>
        <v>11759  CFT360 Design Studio Pvt Ltd</v>
      </c>
      <c r="L1540" s="2" t="str">
        <f>VLOOKUP(B1540,'PO with created By ASR'!A:J,7,FALSE)</f>
        <v>B - Bangalore</v>
      </c>
      <c r="M1540" s="2" t="str">
        <f>VLOOKUP(B1540,'PO with created By ASR'!A:K,8,FALSE)</f>
        <v>Purchase Order-Blr</v>
      </c>
      <c r="N1540" t="s">
        <v>36</v>
      </c>
      <c r="P1540" s="2">
        <v>6</v>
      </c>
    </row>
    <row r="1541" s="2" customFormat="1" spans="1:16">
      <c r="A1541" s="8"/>
      <c r="B1541" s="9" t="s">
        <v>2610</v>
      </c>
      <c r="C1541" s="10" t="s">
        <v>1176</v>
      </c>
      <c r="D1541" s="11">
        <v>1</v>
      </c>
      <c r="E1541" s="12">
        <v>40000</v>
      </c>
      <c r="F1541" s="13">
        <v>40000</v>
      </c>
      <c r="G1541" s="2">
        <f>VLOOKUP(B1541,'PO with created By ASR'!A:C,3,FALSE)</f>
        <v>45695</v>
      </c>
      <c r="J1541" s="2" t="str">
        <f>VLOOKUP(B1541,'PO with created By ASR'!A:G,4,FALSE)</f>
        <v>Safina Ventures Pvt Ltd-Blr</v>
      </c>
      <c r="K1541" s="2" t="str">
        <f>VLOOKUP(B1541,'PO with created By ASR'!A:I,6,FALSE)</f>
        <v>12970  Safina Ventures Pvt Ltd</v>
      </c>
      <c r="L1541" s="2" t="str">
        <f>VLOOKUP(B1541,'PO with created By ASR'!A:J,7,FALSE)</f>
        <v>B - Bangalore</v>
      </c>
      <c r="M1541" s="2" t="str">
        <f>VLOOKUP(B1541,'PO with created By ASR'!A:K,8,FALSE)</f>
        <v>Purchase Order-Blr</v>
      </c>
      <c r="N1541" t="s">
        <v>36</v>
      </c>
      <c r="P1541" s="2">
        <v>6</v>
      </c>
    </row>
    <row r="1542" s="2" customFormat="1" spans="1:16">
      <c r="A1542" s="8"/>
      <c r="B1542" s="9" t="s">
        <v>2614</v>
      </c>
      <c r="C1542" s="10" t="s">
        <v>107</v>
      </c>
      <c r="D1542" s="11">
        <v>1</v>
      </c>
      <c r="E1542" s="12">
        <v>11583</v>
      </c>
      <c r="F1542" s="13">
        <v>11583</v>
      </c>
      <c r="G1542" s="2">
        <f>VLOOKUP(B1542,'PO with created By ASR'!A:C,3,FALSE)</f>
        <v>45695</v>
      </c>
      <c r="J1542" s="2" t="str">
        <f>VLOOKUP(B1542,'PO with created By ASR'!A:G,4,FALSE)</f>
        <v>Anurama V  -CR</v>
      </c>
      <c r="K1542" s="2" t="e">
        <f>VLOOKUP(B1542,'PO with created By ASR'!A:I,6,FALSE)</f>
        <v>#N/A</v>
      </c>
      <c r="L1542" s="2" t="str">
        <f>VLOOKUP(B1542,'PO with created By ASR'!A:J,7,FALSE)</f>
        <v>B - Bangalore</v>
      </c>
      <c r="M1542" s="2" t="str">
        <f>VLOOKUP(B1542,'PO with created By ASR'!A:K,8,FALSE)</f>
        <v>Purchase Order-Blr</v>
      </c>
      <c r="N1542" t="s">
        <v>36</v>
      </c>
      <c r="P1542" s="2">
        <v>6</v>
      </c>
    </row>
    <row r="1543" s="2" customFormat="1" spans="1:16">
      <c r="A1543" s="8"/>
      <c r="B1543" s="9" t="s">
        <v>2614</v>
      </c>
      <c r="C1543" s="10" t="s">
        <v>134</v>
      </c>
      <c r="D1543" s="11">
        <v>1</v>
      </c>
      <c r="E1543" s="12">
        <v>840</v>
      </c>
      <c r="F1543" s="13">
        <v>840</v>
      </c>
      <c r="G1543" s="2">
        <f>VLOOKUP(B1543,'PO with created By ASR'!A:C,3,FALSE)</f>
        <v>45695</v>
      </c>
      <c r="J1543" s="2" t="str">
        <f>VLOOKUP(B1543,'PO with created By ASR'!A:G,4,FALSE)</f>
        <v>Anurama V  -CR</v>
      </c>
      <c r="K1543" s="2" t="e">
        <f>VLOOKUP(B1543,'PO with created By ASR'!A:I,6,FALSE)</f>
        <v>#N/A</v>
      </c>
      <c r="L1543" s="2" t="str">
        <f>VLOOKUP(B1543,'PO with created By ASR'!A:J,7,FALSE)</f>
        <v>B - Bangalore</v>
      </c>
      <c r="M1543" s="2" t="str">
        <f>VLOOKUP(B1543,'PO with created By ASR'!A:K,8,FALSE)</f>
        <v>Purchase Order-Blr</v>
      </c>
      <c r="N1543" t="s">
        <v>36</v>
      </c>
      <c r="P1543" s="2">
        <v>6</v>
      </c>
    </row>
    <row r="1544" s="2" customFormat="1" spans="1:16">
      <c r="A1544" s="8"/>
      <c r="B1544" s="9" t="s">
        <v>2614</v>
      </c>
      <c r="C1544" s="10" t="s">
        <v>837</v>
      </c>
      <c r="D1544" s="11">
        <v>1</v>
      </c>
      <c r="E1544" s="12">
        <v>54</v>
      </c>
      <c r="F1544" s="13">
        <v>54</v>
      </c>
      <c r="G1544" s="2">
        <f>VLOOKUP(B1544,'PO with created By ASR'!A:C,3,FALSE)</f>
        <v>45695</v>
      </c>
      <c r="J1544" s="2" t="str">
        <f>VLOOKUP(B1544,'PO with created By ASR'!A:G,4,FALSE)</f>
        <v>Anurama V  -CR</v>
      </c>
      <c r="K1544" s="2" t="e">
        <f>VLOOKUP(B1544,'PO with created By ASR'!A:I,6,FALSE)</f>
        <v>#N/A</v>
      </c>
      <c r="L1544" s="2" t="str">
        <f>VLOOKUP(B1544,'PO with created By ASR'!A:J,7,FALSE)</f>
        <v>B - Bangalore</v>
      </c>
      <c r="M1544" s="2" t="str">
        <f>VLOOKUP(B1544,'PO with created By ASR'!A:K,8,FALSE)</f>
        <v>Purchase Order-Blr</v>
      </c>
      <c r="N1544" t="s">
        <v>36</v>
      </c>
      <c r="P1544" s="2">
        <v>6</v>
      </c>
    </row>
    <row r="1545" s="2" customFormat="1" spans="1:16">
      <c r="A1545" s="8"/>
      <c r="B1545" s="9" t="s">
        <v>2615</v>
      </c>
      <c r="C1545" s="10" t="s">
        <v>126</v>
      </c>
      <c r="D1545" s="11">
        <v>1</v>
      </c>
      <c r="E1545" s="12">
        <v>3767</v>
      </c>
      <c r="F1545" s="13">
        <v>3767</v>
      </c>
      <c r="G1545" s="2">
        <f>VLOOKUP(B1545,'PO with created By ASR'!A:C,3,FALSE)</f>
        <v>45695</v>
      </c>
      <c r="J1545" s="2" t="str">
        <f>VLOOKUP(B1545,'PO with created By ASR'!A:G,4,FALSE)</f>
        <v>R Anandan  -CR</v>
      </c>
      <c r="K1545" s="2" t="e">
        <f>VLOOKUP(B1545,'PO with created By ASR'!A:I,6,FALSE)</f>
        <v>#N/A</v>
      </c>
      <c r="L1545" s="2" t="str">
        <f>VLOOKUP(B1545,'PO with created By ASR'!A:J,7,FALSE)</f>
        <v>C - Chennai</v>
      </c>
      <c r="M1545" s="2" t="str">
        <f>VLOOKUP(B1545,'PO with created By ASR'!A:K,8,FALSE)</f>
        <v>Purchase Order-Che</v>
      </c>
      <c r="N1545" t="s">
        <v>36</v>
      </c>
      <c r="P1545" s="2">
        <v>6</v>
      </c>
    </row>
    <row r="1546" s="2" customFormat="1" spans="1:16">
      <c r="A1546" s="8"/>
      <c r="B1546" s="9" t="s">
        <v>2615</v>
      </c>
      <c r="C1546" s="10" t="s">
        <v>412</v>
      </c>
      <c r="D1546" s="11">
        <v>1</v>
      </c>
      <c r="E1546" s="12">
        <v>2920</v>
      </c>
      <c r="F1546" s="13">
        <v>2920</v>
      </c>
      <c r="G1546" s="2">
        <f>VLOOKUP(B1546,'PO with created By ASR'!A:C,3,FALSE)</f>
        <v>45695</v>
      </c>
      <c r="J1546" s="2" t="str">
        <f>VLOOKUP(B1546,'PO with created By ASR'!A:G,4,FALSE)</f>
        <v>R Anandan  -CR</v>
      </c>
      <c r="K1546" s="2" t="e">
        <f>VLOOKUP(B1546,'PO with created By ASR'!A:I,6,FALSE)</f>
        <v>#N/A</v>
      </c>
      <c r="L1546" s="2" t="str">
        <f>VLOOKUP(B1546,'PO with created By ASR'!A:J,7,FALSE)</f>
        <v>C - Chennai</v>
      </c>
      <c r="M1546" s="2" t="str">
        <f>VLOOKUP(B1546,'PO with created By ASR'!A:K,8,FALSE)</f>
        <v>Purchase Order-Che</v>
      </c>
      <c r="N1546" t="s">
        <v>36</v>
      </c>
      <c r="P1546" s="2">
        <v>6</v>
      </c>
    </row>
    <row r="1547" s="2" customFormat="1" spans="1:16">
      <c r="A1547" s="8"/>
      <c r="B1547" s="9" t="s">
        <v>2616</v>
      </c>
      <c r="C1547" s="10" t="s">
        <v>126</v>
      </c>
      <c r="D1547" s="11">
        <v>1</v>
      </c>
      <c r="E1547" s="12">
        <v>2118</v>
      </c>
      <c r="F1547" s="13">
        <v>2118</v>
      </c>
      <c r="G1547" s="2">
        <f>VLOOKUP(B1547,'PO with created By ASR'!A:C,3,FALSE)</f>
        <v>45695</v>
      </c>
      <c r="J1547" s="2" t="str">
        <f>VLOOKUP(B1547,'PO with created By ASR'!A:G,4,FALSE)</f>
        <v>R Anandan  -CR</v>
      </c>
      <c r="K1547" s="2" t="e">
        <f>VLOOKUP(B1547,'PO with created By ASR'!A:I,6,FALSE)</f>
        <v>#N/A</v>
      </c>
      <c r="L1547" s="2" t="str">
        <f>VLOOKUP(B1547,'PO with created By ASR'!A:J,7,FALSE)</f>
        <v>C - Chennai</v>
      </c>
      <c r="M1547" s="2" t="str">
        <f>VLOOKUP(B1547,'PO with created By ASR'!A:K,8,FALSE)</f>
        <v>Purchase Order-Che</v>
      </c>
      <c r="N1547" t="s">
        <v>36</v>
      </c>
      <c r="P1547" s="2">
        <v>6</v>
      </c>
    </row>
    <row r="1548" s="2" customFormat="1" spans="1:16">
      <c r="A1548" s="8"/>
      <c r="B1548" s="9" t="s">
        <v>2616</v>
      </c>
      <c r="C1548" s="10" t="s">
        <v>412</v>
      </c>
      <c r="D1548" s="11">
        <v>1</v>
      </c>
      <c r="E1548" s="12">
        <v>1590</v>
      </c>
      <c r="F1548" s="13">
        <v>1590</v>
      </c>
      <c r="G1548" s="2">
        <f>VLOOKUP(B1548,'PO with created By ASR'!A:C,3,FALSE)</f>
        <v>45695</v>
      </c>
      <c r="J1548" s="2" t="str">
        <f>VLOOKUP(B1548,'PO with created By ASR'!A:G,4,FALSE)</f>
        <v>R Anandan  -CR</v>
      </c>
      <c r="K1548" s="2" t="e">
        <f>VLOOKUP(B1548,'PO with created By ASR'!A:I,6,FALSE)</f>
        <v>#N/A</v>
      </c>
      <c r="L1548" s="2" t="str">
        <f>VLOOKUP(B1548,'PO with created By ASR'!A:J,7,FALSE)</f>
        <v>C - Chennai</v>
      </c>
      <c r="M1548" s="2" t="str">
        <f>VLOOKUP(B1548,'PO with created By ASR'!A:K,8,FALSE)</f>
        <v>Purchase Order-Che</v>
      </c>
      <c r="N1548" t="s">
        <v>36</v>
      </c>
      <c r="P1548" s="2">
        <v>6</v>
      </c>
    </row>
    <row r="1549" s="2" customFormat="1" spans="1:16">
      <c r="A1549" s="8"/>
      <c r="B1549" s="9" t="s">
        <v>2617</v>
      </c>
      <c r="C1549" s="10" t="s">
        <v>126</v>
      </c>
      <c r="D1549" s="11">
        <v>1</v>
      </c>
      <c r="E1549" s="12">
        <v>2796</v>
      </c>
      <c r="F1549" s="13">
        <v>2796</v>
      </c>
      <c r="G1549" s="2">
        <f>VLOOKUP(B1549,'PO with created By ASR'!A:C,3,FALSE)</f>
        <v>45695</v>
      </c>
      <c r="J1549" s="2" t="str">
        <f>VLOOKUP(B1549,'PO with created By ASR'!A:G,4,FALSE)</f>
        <v>R Anandan  -CR</v>
      </c>
      <c r="K1549" s="2" t="e">
        <f>VLOOKUP(B1549,'PO with created By ASR'!A:I,6,FALSE)</f>
        <v>#N/A</v>
      </c>
      <c r="L1549" s="2" t="str">
        <f>VLOOKUP(B1549,'PO with created By ASR'!A:J,7,FALSE)</f>
        <v>C - Chennai</v>
      </c>
      <c r="M1549" s="2" t="str">
        <f>VLOOKUP(B1549,'PO with created By ASR'!A:K,8,FALSE)</f>
        <v>Purchase Order-Che</v>
      </c>
      <c r="N1549" t="s">
        <v>36</v>
      </c>
      <c r="P1549" s="2">
        <v>6</v>
      </c>
    </row>
    <row r="1550" s="2" customFormat="1" spans="1:16">
      <c r="A1550" s="8"/>
      <c r="B1550" s="9" t="s">
        <v>2617</v>
      </c>
      <c r="C1550" s="10" t="s">
        <v>412</v>
      </c>
      <c r="D1550" s="11">
        <v>1</v>
      </c>
      <c r="E1550" s="12">
        <v>4208</v>
      </c>
      <c r="F1550" s="13">
        <v>4208</v>
      </c>
      <c r="G1550" s="2">
        <f>VLOOKUP(B1550,'PO with created By ASR'!A:C,3,FALSE)</f>
        <v>45695</v>
      </c>
      <c r="J1550" s="2" t="str">
        <f>VLOOKUP(B1550,'PO with created By ASR'!A:G,4,FALSE)</f>
        <v>R Anandan  -CR</v>
      </c>
      <c r="K1550" s="2" t="e">
        <f>VLOOKUP(B1550,'PO with created By ASR'!A:I,6,FALSE)</f>
        <v>#N/A</v>
      </c>
      <c r="L1550" s="2" t="str">
        <f>VLOOKUP(B1550,'PO with created By ASR'!A:J,7,FALSE)</f>
        <v>C - Chennai</v>
      </c>
      <c r="M1550" s="2" t="str">
        <f>VLOOKUP(B1550,'PO with created By ASR'!A:K,8,FALSE)</f>
        <v>Purchase Order-Che</v>
      </c>
      <c r="N1550" t="s">
        <v>36</v>
      </c>
      <c r="P1550" s="2">
        <v>6</v>
      </c>
    </row>
    <row r="1551" s="2" customFormat="1" spans="1:16">
      <c r="A1551" s="8"/>
      <c r="B1551" s="9" t="s">
        <v>2617</v>
      </c>
      <c r="C1551" s="10" t="s">
        <v>61</v>
      </c>
      <c r="D1551" s="11">
        <v>1</v>
      </c>
      <c r="E1551" s="12">
        <v>7200</v>
      </c>
      <c r="F1551" s="13">
        <v>7200</v>
      </c>
      <c r="G1551" s="2">
        <f>VLOOKUP(B1551,'PO with created By ASR'!A:C,3,FALSE)</f>
        <v>45695</v>
      </c>
      <c r="J1551" s="2" t="str">
        <f>VLOOKUP(B1551,'PO with created By ASR'!A:G,4,FALSE)</f>
        <v>R Anandan  -CR</v>
      </c>
      <c r="K1551" s="2" t="e">
        <f>VLOOKUP(B1551,'PO with created By ASR'!A:I,6,FALSE)</f>
        <v>#N/A</v>
      </c>
      <c r="L1551" s="2" t="str">
        <f>VLOOKUP(B1551,'PO with created By ASR'!A:J,7,FALSE)</f>
        <v>C - Chennai</v>
      </c>
      <c r="M1551" s="2" t="str">
        <f>VLOOKUP(B1551,'PO with created By ASR'!A:K,8,FALSE)</f>
        <v>Purchase Order-Che</v>
      </c>
      <c r="N1551" t="s">
        <v>36</v>
      </c>
      <c r="P1551" s="2">
        <v>6</v>
      </c>
    </row>
    <row r="1552" s="2" customFormat="1" spans="1:16">
      <c r="A1552" s="8"/>
      <c r="B1552" s="9" t="s">
        <v>2618</v>
      </c>
      <c r="C1552" s="10" t="s">
        <v>126</v>
      </c>
      <c r="D1552" s="11">
        <v>1</v>
      </c>
      <c r="E1552" s="12">
        <v>3331</v>
      </c>
      <c r="F1552" s="13">
        <v>3331</v>
      </c>
      <c r="G1552" s="2">
        <f>VLOOKUP(B1552,'PO with created By ASR'!A:C,3,FALSE)</f>
        <v>45695</v>
      </c>
      <c r="J1552" s="2" t="str">
        <f>VLOOKUP(B1552,'PO with created By ASR'!A:G,4,FALSE)</f>
        <v>R Anandan  -CR</v>
      </c>
      <c r="K1552" s="2" t="e">
        <f>VLOOKUP(B1552,'PO with created By ASR'!A:I,6,FALSE)</f>
        <v>#N/A</v>
      </c>
      <c r="L1552" s="2" t="str">
        <f>VLOOKUP(B1552,'PO with created By ASR'!A:J,7,FALSE)</f>
        <v>C - Chennai</v>
      </c>
      <c r="M1552" s="2" t="str">
        <f>VLOOKUP(B1552,'PO with created By ASR'!A:K,8,FALSE)</f>
        <v>Purchase Order-Che</v>
      </c>
      <c r="N1552" t="s">
        <v>36</v>
      </c>
      <c r="P1552" s="2">
        <v>6</v>
      </c>
    </row>
    <row r="1553" s="2" customFormat="1" spans="1:16">
      <c r="A1553" s="8"/>
      <c r="B1553" s="9" t="s">
        <v>2618</v>
      </c>
      <c r="C1553" s="10" t="s">
        <v>412</v>
      </c>
      <c r="D1553" s="11">
        <v>1</v>
      </c>
      <c r="E1553" s="12">
        <v>2160</v>
      </c>
      <c r="F1553" s="13">
        <v>2160</v>
      </c>
      <c r="G1553" s="2">
        <f>VLOOKUP(B1553,'PO with created By ASR'!A:C,3,FALSE)</f>
        <v>45695</v>
      </c>
      <c r="J1553" s="2" t="str">
        <f>VLOOKUP(B1553,'PO with created By ASR'!A:G,4,FALSE)</f>
        <v>R Anandan  -CR</v>
      </c>
      <c r="K1553" s="2" t="e">
        <f>VLOOKUP(B1553,'PO with created By ASR'!A:I,6,FALSE)</f>
        <v>#N/A</v>
      </c>
      <c r="L1553" s="2" t="str">
        <f>VLOOKUP(B1553,'PO with created By ASR'!A:J,7,FALSE)</f>
        <v>C - Chennai</v>
      </c>
      <c r="M1553" s="2" t="str">
        <f>VLOOKUP(B1553,'PO with created By ASR'!A:K,8,FALSE)</f>
        <v>Purchase Order-Che</v>
      </c>
      <c r="N1553" t="s">
        <v>36</v>
      </c>
      <c r="P1553" s="2">
        <v>6</v>
      </c>
    </row>
    <row r="1554" s="2" customFormat="1" spans="1:16">
      <c r="A1554" s="8"/>
      <c r="B1554" s="9" t="s">
        <v>2619</v>
      </c>
      <c r="C1554" s="10" t="s">
        <v>126</v>
      </c>
      <c r="D1554" s="11">
        <v>1</v>
      </c>
      <c r="E1554" s="12">
        <v>2222</v>
      </c>
      <c r="F1554" s="13">
        <v>2222</v>
      </c>
      <c r="G1554" s="2">
        <f>VLOOKUP(B1554,'PO with created By ASR'!A:C,3,FALSE)</f>
        <v>45695</v>
      </c>
      <c r="J1554" s="2" t="str">
        <f>VLOOKUP(B1554,'PO with created By ASR'!A:G,4,FALSE)</f>
        <v>R Anandan  -CR</v>
      </c>
      <c r="K1554" s="2" t="e">
        <f>VLOOKUP(B1554,'PO with created By ASR'!A:I,6,FALSE)</f>
        <v>#N/A</v>
      </c>
      <c r="L1554" s="2" t="str">
        <f>VLOOKUP(B1554,'PO with created By ASR'!A:J,7,FALSE)</f>
        <v>C - Chennai</v>
      </c>
      <c r="M1554" s="2" t="str">
        <f>VLOOKUP(B1554,'PO with created By ASR'!A:K,8,FALSE)</f>
        <v>Purchase Order-Che</v>
      </c>
      <c r="N1554" t="s">
        <v>36</v>
      </c>
      <c r="P1554" s="2">
        <v>6</v>
      </c>
    </row>
    <row r="1555" s="2" customFormat="1" spans="1:16">
      <c r="A1555" s="8"/>
      <c r="B1555" s="9" t="s">
        <v>2619</v>
      </c>
      <c r="C1555" s="10" t="s">
        <v>412</v>
      </c>
      <c r="D1555" s="11">
        <v>1</v>
      </c>
      <c r="E1555" s="12">
        <v>1764</v>
      </c>
      <c r="F1555" s="13">
        <v>1764</v>
      </c>
      <c r="G1555" s="2">
        <f>VLOOKUP(B1555,'PO with created By ASR'!A:C,3,FALSE)</f>
        <v>45695</v>
      </c>
      <c r="J1555" s="2" t="str">
        <f>VLOOKUP(B1555,'PO with created By ASR'!A:G,4,FALSE)</f>
        <v>R Anandan  -CR</v>
      </c>
      <c r="K1555" s="2" t="e">
        <f>VLOOKUP(B1555,'PO with created By ASR'!A:I,6,FALSE)</f>
        <v>#N/A</v>
      </c>
      <c r="L1555" s="2" t="str">
        <f>VLOOKUP(B1555,'PO with created By ASR'!A:J,7,FALSE)</f>
        <v>C - Chennai</v>
      </c>
      <c r="M1555" s="2" t="str">
        <f>VLOOKUP(B1555,'PO with created By ASR'!A:K,8,FALSE)</f>
        <v>Purchase Order-Che</v>
      </c>
      <c r="N1555" t="s">
        <v>36</v>
      </c>
      <c r="P1555" s="2">
        <v>6</v>
      </c>
    </row>
    <row r="1556" s="2" customFormat="1" spans="1:16">
      <c r="A1556" s="8"/>
      <c r="B1556" s="9" t="s">
        <v>2619</v>
      </c>
      <c r="C1556" s="10" t="s">
        <v>1055</v>
      </c>
      <c r="D1556" s="11">
        <v>1</v>
      </c>
      <c r="E1556" s="12">
        <v>1535</v>
      </c>
      <c r="F1556" s="13">
        <v>1535</v>
      </c>
      <c r="G1556" s="2">
        <f>VLOOKUP(B1556,'PO with created By ASR'!A:C,3,FALSE)</f>
        <v>45695</v>
      </c>
      <c r="J1556" s="2" t="str">
        <f>VLOOKUP(B1556,'PO with created By ASR'!A:G,4,FALSE)</f>
        <v>R Anandan  -CR</v>
      </c>
      <c r="K1556" s="2" t="e">
        <f>VLOOKUP(B1556,'PO with created By ASR'!A:I,6,FALSE)</f>
        <v>#N/A</v>
      </c>
      <c r="L1556" s="2" t="str">
        <f>VLOOKUP(B1556,'PO with created By ASR'!A:J,7,FALSE)</f>
        <v>C - Chennai</v>
      </c>
      <c r="M1556" s="2" t="str">
        <f>VLOOKUP(B1556,'PO with created By ASR'!A:K,8,FALSE)</f>
        <v>Purchase Order-Che</v>
      </c>
      <c r="N1556" t="s">
        <v>36</v>
      </c>
      <c r="P1556" s="2">
        <v>6</v>
      </c>
    </row>
    <row r="1557" s="2" customFormat="1" spans="1:16">
      <c r="A1557" s="8"/>
      <c r="B1557" s="9" t="s">
        <v>2620</v>
      </c>
      <c r="C1557" s="10" t="s">
        <v>126</v>
      </c>
      <c r="D1557" s="11">
        <v>1</v>
      </c>
      <c r="E1557" s="12">
        <v>872</v>
      </c>
      <c r="F1557" s="13">
        <v>872</v>
      </c>
      <c r="G1557" s="2">
        <f>VLOOKUP(B1557,'PO with created By ASR'!A:C,3,FALSE)</f>
        <v>45695</v>
      </c>
      <c r="J1557" s="2" t="str">
        <f>VLOOKUP(B1557,'PO with created By ASR'!A:G,4,FALSE)</f>
        <v>R Anandan  -CR</v>
      </c>
      <c r="K1557" s="2" t="e">
        <f>VLOOKUP(B1557,'PO with created By ASR'!A:I,6,FALSE)</f>
        <v>#N/A</v>
      </c>
      <c r="L1557" s="2" t="str">
        <f>VLOOKUP(B1557,'PO with created By ASR'!A:J,7,FALSE)</f>
        <v>C - Chennai</v>
      </c>
      <c r="M1557" s="2" t="str">
        <f>VLOOKUP(B1557,'PO with created By ASR'!A:K,8,FALSE)</f>
        <v>Purchase Order-Che</v>
      </c>
      <c r="N1557" t="s">
        <v>36</v>
      </c>
      <c r="P1557" s="2">
        <v>6</v>
      </c>
    </row>
    <row r="1558" s="2" customFormat="1" spans="1:16">
      <c r="A1558" s="8"/>
      <c r="B1558" s="9" t="s">
        <v>2620</v>
      </c>
      <c r="C1558" s="10" t="s">
        <v>412</v>
      </c>
      <c r="D1558" s="11">
        <v>1</v>
      </c>
      <c r="E1558" s="12">
        <v>600</v>
      </c>
      <c r="F1558" s="13">
        <v>600</v>
      </c>
      <c r="G1558" s="2">
        <f>VLOOKUP(B1558,'PO with created By ASR'!A:C,3,FALSE)</f>
        <v>45695</v>
      </c>
      <c r="J1558" s="2" t="str">
        <f>VLOOKUP(B1558,'PO with created By ASR'!A:G,4,FALSE)</f>
        <v>R Anandan  -CR</v>
      </c>
      <c r="K1558" s="2" t="e">
        <f>VLOOKUP(B1558,'PO with created By ASR'!A:I,6,FALSE)</f>
        <v>#N/A</v>
      </c>
      <c r="L1558" s="2" t="str">
        <f>VLOOKUP(B1558,'PO with created By ASR'!A:J,7,FALSE)</f>
        <v>C - Chennai</v>
      </c>
      <c r="M1558" s="2" t="str">
        <f>VLOOKUP(B1558,'PO with created By ASR'!A:K,8,FALSE)</f>
        <v>Purchase Order-Che</v>
      </c>
      <c r="N1558" t="s">
        <v>36</v>
      </c>
      <c r="P1558" s="2">
        <v>6</v>
      </c>
    </row>
    <row r="1559" s="2" customFormat="1" spans="1:16">
      <c r="A1559" s="8"/>
      <c r="B1559" s="9" t="s">
        <v>2621</v>
      </c>
      <c r="C1559" s="10" t="s">
        <v>126</v>
      </c>
      <c r="D1559" s="11">
        <v>1</v>
      </c>
      <c r="E1559" s="12">
        <v>3575</v>
      </c>
      <c r="F1559" s="13">
        <v>3575</v>
      </c>
      <c r="G1559" s="2">
        <f>VLOOKUP(B1559,'PO with created By ASR'!A:C,3,FALSE)</f>
        <v>45695</v>
      </c>
      <c r="J1559" s="2" t="str">
        <f>VLOOKUP(B1559,'PO with created By ASR'!A:G,4,FALSE)</f>
        <v>Ashwath TV  for Expense-CR</v>
      </c>
      <c r="K1559" s="2" t="e">
        <f>VLOOKUP(B1559,'PO with created By ASR'!A:I,6,FALSE)</f>
        <v>#N/A</v>
      </c>
      <c r="L1559" s="2" t="str">
        <f>VLOOKUP(B1559,'PO with created By ASR'!A:J,7,FALSE)</f>
        <v>C - Chennai</v>
      </c>
      <c r="M1559" s="2" t="str">
        <f>VLOOKUP(B1559,'PO with created By ASR'!A:K,8,FALSE)</f>
        <v>Purchase Order-Che</v>
      </c>
      <c r="N1559" t="s">
        <v>36</v>
      </c>
      <c r="P1559" s="2">
        <v>6</v>
      </c>
    </row>
    <row r="1560" s="2" customFormat="1" spans="1:16">
      <c r="A1560" s="8"/>
      <c r="B1560" s="9" t="s">
        <v>2621</v>
      </c>
      <c r="C1560" s="10" t="s">
        <v>412</v>
      </c>
      <c r="D1560" s="11">
        <v>1</v>
      </c>
      <c r="E1560" s="12">
        <v>2626.9</v>
      </c>
      <c r="F1560" s="13">
        <v>2626.9</v>
      </c>
      <c r="G1560" s="2">
        <f>VLOOKUP(B1560,'PO with created By ASR'!A:C,3,FALSE)</f>
        <v>45695</v>
      </c>
      <c r="J1560" s="2" t="str">
        <f>VLOOKUP(B1560,'PO with created By ASR'!A:G,4,FALSE)</f>
        <v>Ashwath TV  for Expense-CR</v>
      </c>
      <c r="K1560" s="2" t="e">
        <f>VLOOKUP(B1560,'PO with created By ASR'!A:I,6,FALSE)</f>
        <v>#N/A</v>
      </c>
      <c r="L1560" s="2" t="str">
        <f>VLOOKUP(B1560,'PO with created By ASR'!A:J,7,FALSE)</f>
        <v>C - Chennai</v>
      </c>
      <c r="M1560" s="2" t="str">
        <f>VLOOKUP(B1560,'PO with created By ASR'!A:K,8,FALSE)</f>
        <v>Purchase Order-Che</v>
      </c>
      <c r="N1560" t="s">
        <v>36</v>
      </c>
      <c r="P1560" s="2">
        <v>6</v>
      </c>
    </row>
    <row r="1561" s="2" customFormat="1" spans="1:16">
      <c r="A1561" s="8"/>
      <c r="B1561" s="9" t="s">
        <v>2621</v>
      </c>
      <c r="C1561" s="10" t="s">
        <v>61</v>
      </c>
      <c r="D1561" s="11">
        <v>1</v>
      </c>
      <c r="E1561" s="12">
        <v>9188.44</v>
      </c>
      <c r="F1561" s="13">
        <v>9188.44</v>
      </c>
      <c r="G1561" s="2">
        <f>VLOOKUP(B1561,'PO with created By ASR'!A:C,3,FALSE)</f>
        <v>45695</v>
      </c>
      <c r="J1561" s="2" t="str">
        <f>VLOOKUP(B1561,'PO with created By ASR'!A:G,4,FALSE)</f>
        <v>Ashwath TV  for Expense-CR</v>
      </c>
      <c r="K1561" s="2" t="e">
        <f>VLOOKUP(B1561,'PO with created By ASR'!A:I,6,FALSE)</f>
        <v>#N/A</v>
      </c>
      <c r="L1561" s="2" t="str">
        <f>VLOOKUP(B1561,'PO with created By ASR'!A:J,7,FALSE)</f>
        <v>C - Chennai</v>
      </c>
      <c r="M1561" s="2" t="str">
        <f>VLOOKUP(B1561,'PO with created By ASR'!A:K,8,FALSE)</f>
        <v>Purchase Order-Che</v>
      </c>
      <c r="N1561" t="s">
        <v>36</v>
      </c>
      <c r="P1561" s="2">
        <v>6</v>
      </c>
    </row>
    <row r="1562" s="2" customFormat="1" spans="1:16">
      <c r="A1562" s="8"/>
      <c r="B1562" s="9" t="s">
        <v>2621</v>
      </c>
      <c r="C1562" s="10" t="s">
        <v>508</v>
      </c>
      <c r="D1562" s="11">
        <v>1</v>
      </c>
      <c r="E1562" s="12">
        <v>1363.95</v>
      </c>
      <c r="F1562" s="13">
        <v>1363.95</v>
      </c>
      <c r="G1562" s="2">
        <f>VLOOKUP(B1562,'PO with created By ASR'!A:C,3,FALSE)</f>
        <v>45695</v>
      </c>
      <c r="J1562" s="2" t="str">
        <f>VLOOKUP(B1562,'PO with created By ASR'!A:G,4,FALSE)</f>
        <v>Ashwath TV  for Expense-CR</v>
      </c>
      <c r="K1562" s="2" t="e">
        <f>VLOOKUP(B1562,'PO with created By ASR'!A:I,6,FALSE)</f>
        <v>#N/A</v>
      </c>
      <c r="L1562" s="2" t="str">
        <f>VLOOKUP(B1562,'PO with created By ASR'!A:J,7,FALSE)</f>
        <v>C - Chennai</v>
      </c>
      <c r="M1562" s="2" t="str">
        <f>VLOOKUP(B1562,'PO with created By ASR'!A:K,8,FALSE)</f>
        <v>Purchase Order-Che</v>
      </c>
      <c r="N1562" t="s">
        <v>36</v>
      </c>
      <c r="P1562" s="2">
        <v>6</v>
      </c>
    </row>
    <row r="1563" s="2" customFormat="1" spans="1:16">
      <c r="A1563" s="8"/>
      <c r="B1563" s="9" t="s">
        <v>2622</v>
      </c>
      <c r="C1563" s="10" t="s">
        <v>508</v>
      </c>
      <c r="D1563" s="11">
        <v>1</v>
      </c>
      <c r="E1563" s="12">
        <v>5846.45</v>
      </c>
      <c r="F1563" s="13">
        <v>5846.45</v>
      </c>
      <c r="G1563" s="2">
        <f>VLOOKUP(B1563,'PO with created By ASR'!A:C,3,FALSE)</f>
        <v>45695</v>
      </c>
      <c r="J1563" s="2" t="str">
        <f>VLOOKUP(B1563,'PO with created By ASR'!A:G,4,FALSE)</f>
        <v>Praveen Raj Adv for Expenses-CR</v>
      </c>
      <c r="K1563" s="2" t="e">
        <f>VLOOKUP(B1563,'PO with created By ASR'!A:I,6,FALSE)</f>
        <v>#N/A</v>
      </c>
      <c r="L1563" s="2" t="str">
        <f>VLOOKUP(B1563,'PO with created By ASR'!A:J,7,FALSE)</f>
        <v>C - Chennai</v>
      </c>
      <c r="M1563" s="2" t="str">
        <f>VLOOKUP(B1563,'PO with created By ASR'!A:K,8,FALSE)</f>
        <v>Purchase Order-Che</v>
      </c>
      <c r="N1563" t="s">
        <v>36</v>
      </c>
      <c r="P1563" s="2">
        <v>6</v>
      </c>
    </row>
    <row r="1564" s="2" customFormat="1" spans="1:16">
      <c r="A1564" s="8"/>
      <c r="B1564" s="9" t="s">
        <v>2622</v>
      </c>
      <c r="C1564" s="10" t="s">
        <v>126</v>
      </c>
      <c r="D1564" s="11">
        <v>1</v>
      </c>
      <c r="E1564" s="12">
        <v>5050</v>
      </c>
      <c r="F1564" s="13">
        <v>5050</v>
      </c>
      <c r="G1564" s="2">
        <f>VLOOKUP(B1564,'PO with created By ASR'!A:C,3,FALSE)</f>
        <v>45695</v>
      </c>
      <c r="J1564" s="2" t="str">
        <f>VLOOKUP(B1564,'PO with created By ASR'!A:G,4,FALSE)</f>
        <v>Praveen Raj Adv for Expenses-CR</v>
      </c>
      <c r="K1564" s="2" t="e">
        <f>VLOOKUP(B1564,'PO with created By ASR'!A:I,6,FALSE)</f>
        <v>#N/A</v>
      </c>
      <c r="L1564" s="2" t="str">
        <f>VLOOKUP(B1564,'PO with created By ASR'!A:J,7,FALSE)</f>
        <v>C - Chennai</v>
      </c>
      <c r="M1564" s="2" t="str">
        <f>VLOOKUP(B1564,'PO with created By ASR'!A:K,8,FALSE)</f>
        <v>Purchase Order-Che</v>
      </c>
      <c r="N1564" t="s">
        <v>36</v>
      </c>
      <c r="P1564" s="2">
        <v>6</v>
      </c>
    </row>
    <row r="1565" s="2" customFormat="1" spans="1:16">
      <c r="A1565" s="8"/>
      <c r="B1565" s="9" t="s">
        <v>2622</v>
      </c>
      <c r="C1565" s="10" t="s">
        <v>412</v>
      </c>
      <c r="D1565" s="11">
        <v>1</v>
      </c>
      <c r="E1565" s="12">
        <v>1850</v>
      </c>
      <c r="F1565" s="13">
        <v>1850</v>
      </c>
      <c r="G1565" s="2">
        <f>VLOOKUP(B1565,'PO with created By ASR'!A:C,3,FALSE)</f>
        <v>45695</v>
      </c>
      <c r="J1565" s="2" t="str">
        <f>VLOOKUP(B1565,'PO with created By ASR'!A:G,4,FALSE)</f>
        <v>Praveen Raj Adv for Expenses-CR</v>
      </c>
      <c r="K1565" s="2" t="e">
        <f>VLOOKUP(B1565,'PO with created By ASR'!A:I,6,FALSE)</f>
        <v>#N/A</v>
      </c>
      <c r="L1565" s="2" t="str">
        <f>VLOOKUP(B1565,'PO with created By ASR'!A:J,7,FALSE)</f>
        <v>C - Chennai</v>
      </c>
      <c r="M1565" s="2" t="str">
        <f>VLOOKUP(B1565,'PO with created By ASR'!A:K,8,FALSE)</f>
        <v>Purchase Order-Che</v>
      </c>
      <c r="N1565" t="s">
        <v>36</v>
      </c>
      <c r="P1565" s="2">
        <v>6</v>
      </c>
    </row>
    <row r="1566" s="2" customFormat="1" spans="1:16">
      <c r="A1566" s="8"/>
      <c r="B1566" s="9" t="s">
        <v>2622</v>
      </c>
      <c r="C1566" s="10" t="s">
        <v>61</v>
      </c>
      <c r="D1566" s="11">
        <v>1</v>
      </c>
      <c r="E1566" s="12">
        <v>8963.72</v>
      </c>
      <c r="F1566" s="13">
        <v>8963.72</v>
      </c>
      <c r="G1566" s="2">
        <f>VLOOKUP(B1566,'PO with created By ASR'!A:C,3,FALSE)</f>
        <v>45695</v>
      </c>
      <c r="J1566" s="2" t="str">
        <f>VLOOKUP(B1566,'PO with created By ASR'!A:G,4,FALSE)</f>
        <v>Praveen Raj Adv for Expenses-CR</v>
      </c>
      <c r="K1566" s="2" t="e">
        <f>VLOOKUP(B1566,'PO with created By ASR'!A:I,6,FALSE)</f>
        <v>#N/A</v>
      </c>
      <c r="L1566" s="2" t="str">
        <f>VLOOKUP(B1566,'PO with created By ASR'!A:J,7,FALSE)</f>
        <v>C - Chennai</v>
      </c>
      <c r="M1566" s="2" t="str">
        <f>VLOOKUP(B1566,'PO with created By ASR'!A:K,8,FALSE)</f>
        <v>Purchase Order-Che</v>
      </c>
      <c r="N1566" t="s">
        <v>36</v>
      </c>
      <c r="P1566" s="2">
        <v>6</v>
      </c>
    </row>
    <row r="1567" s="2" customFormat="1" spans="1:16">
      <c r="A1567" s="8"/>
      <c r="B1567" s="9" t="s">
        <v>2623</v>
      </c>
      <c r="C1567" s="10" t="s">
        <v>151</v>
      </c>
      <c r="D1567" s="11">
        <v>1</v>
      </c>
      <c r="E1567" s="12">
        <v>75000</v>
      </c>
      <c r="F1567" s="13">
        <v>75000</v>
      </c>
      <c r="G1567" s="2">
        <f>VLOOKUP(B1567,'PO with created By ASR'!A:C,3,FALSE)</f>
        <v>45695</v>
      </c>
      <c r="J1567" s="2" t="str">
        <f>VLOOKUP(B1567,'PO with created By ASR'!A:G,4,FALSE)</f>
        <v>Black Pearl Production Pvt Ltd-Del</v>
      </c>
      <c r="K1567" s="2" t="str">
        <f>VLOOKUP(B1567,'PO with created By ASR'!A:I,6,FALSE)</f>
        <v>11734  Black Pearl Production Pvt Ltd</v>
      </c>
      <c r="L1567" s="2" t="str">
        <f>VLOOKUP(B1567,'PO with created By ASR'!A:J,7,FALSE)</f>
        <v>D - Delhi</v>
      </c>
      <c r="M1567" s="2" t="str">
        <f>VLOOKUP(B1567,'PO with created By ASR'!A:K,8,FALSE)</f>
        <v>Purchase Order-Del</v>
      </c>
      <c r="N1567" t="s">
        <v>36</v>
      </c>
      <c r="P1567" s="2">
        <v>6</v>
      </c>
    </row>
    <row r="1568" s="2" customFormat="1" spans="1:16">
      <c r="A1568" s="8"/>
      <c r="B1568" s="9" t="s">
        <v>2625</v>
      </c>
      <c r="C1568" s="10" t="s">
        <v>126</v>
      </c>
      <c r="D1568" s="11">
        <v>1</v>
      </c>
      <c r="E1568" s="12">
        <v>27631</v>
      </c>
      <c r="F1568" s="13">
        <v>27631</v>
      </c>
      <c r="G1568" s="2">
        <f>VLOOKUP(B1568,'PO with created By ASR'!A:C,3,FALSE)</f>
        <v>45695</v>
      </c>
      <c r="J1568" s="2" t="str">
        <f>VLOOKUP(B1568,'PO with created By ASR'!A:G,4,FALSE)</f>
        <v>Kailash Chander Pant-Del</v>
      </c>
      <c r="K1568" s="2" t="str">
        <f>VLOOKUP(B1568,'PO with created By ASR'!A:I,6,FALSE)</f>
        <v>12703 Kailash Chander Pant</v>
      </c>
      <c r="L1568" s="2" t="str">
        <f>VLOOKUP(B1568,'PO with created By ASR'!A:J,7,FALSE)</f>
        <v>D - Delhi</v>
      </c>
      <c r="M1568" s="2" t="str">
        <f>VLOOKUP(B1568,'PO with created By ASR'!A:K,8,FALSE)</f>
        <v>Purchase Order-Del</v>
      </c>
      <c r="N1568" t="s">
        <v>36</v>
      </c>
      <c r="P1568" s="2">
        <v>6</v>
      </c>
    </row>
    <row r="1569" s="2" customFormat="1" spans="1:16">
      <c r="A1569" s="8"/>
      <c r="B1569" s="9" t="s">
        <v>2625</v>
      </c>
      <c r="C1569" s="10" t="s">
        <v>412</v>
      </c>
      <c r="D1569" s="11">
        <v>1</v>
      </c>
      <c r="E1569" s="12">
        <v>7600</v>
      </c>
      <c r="F1569" s="13">
        <v>7600</v>
      </c>
      <c r="G1569" s="2">
        <f>VLOOKUP(B1569,'PO with created By ASR'!A:C,3,FALSE)</f>
        <v>45695</v>
      </c>
      <c r="J1569" s="2" t="str">
        <f>VLOOKUP(B1569,'PO with created By ASR'!A:G,4,FALSE)</f>
        <v>Kailash Chander Pant-Del</v>
      </c>
      <c r="K1569" s="2" t="str">
        <f>VLOOKUP(B1569,'PO with created By ASR'!A:I,6,FALSE)</f>
        <v>12703 Kailash Chander Pant</v>
      </c>
      <c r="L1569" s="2" t="str">
        <f>VLOOKUP(B1569,'PO with created By ASR'!A:J,7,FALSE)</f>
        <v>D - Delhi</v>
      </c>
      <c r="M1569" s="2" t="str">
        <f>VLOOKUP(B1569,'PO with created By ASR'!A:K,8,FALSE)</f>
        <v>Purchase Order-Del</v>
      </c>
      <c r="N1569" t="s">
        <v>36</v>
      </c>
      <c r="P1569" s="2">
        <v>6</v>
      </c>
    </row>
    <row r="1570" s="2" customFormat="1" spans="1:16">
      <c r="A1570" s="8"/>
      <c r="B1570" s="9" t="s">
        <v>2625</v>
      </c>
      <c r="C1570" s="10" t="s">
        <v>233</v>
      </c>
      <c r="D1570" s="11">
        <v>1</v>
      </c>
      <c r="E1570" s="12">
        <v>630</v>
      </c>
      <c r="F1570" s="13">
        <v>630</v>
      </c>
      <c r="G1570" s="2">
        <f>VLOOKUP(B1570,'PO with created By ASR'!A:C,3,FALSE)</f>
        <v>45695</v>
      </c>
      <c r="J1570" s="2" t="str">
        <f>VLOOKUP(B1570,'PO with created By ASR'!A:G,4,FALSE)</f>
        <v>Kailash Chander Pant-Del</v>
      </c>
      <c r="K1570" s="2" t="str">
        <f>VLOOKUP(B1570,'PO with created By ASR'!A:I,6,FALSE)</f>
        <v>12703 Kailash Chander Pant</v>
      </c>
      <c r="L1570" s="2" t="str">
        <f>VLOOKUP(B1570,'PO with created By ASR'!A:J,7,FALSE)</f>
        <v>D - Delhi</v>
      </c>
      <c r="M1570" s="2" t="str">
        <f>VLOOKUP(B1570,'PO with created By ASR'!A:K,8,FALSE)</f>
        <v>Purchase Order-Del</v>
      </c>
      <c r="N1570" t="s">
        <v>36</v>
      </c>
      <c r="P1570" s="2">
        <v>6</v>
      </c>
    </row>
    <row r="1571" s="2" customFormat="1" spans="1:16">
      <c r="A1571" s="8"/>
      <c r="B1571" s="9" t="s">
        <v>2626</v>
      </c>
      <c r="C1571" s="10" t="s">
        <v>196</v>
      </c>
      <c r="D1571" s="11">
        <v>1</v>
      </c>
      <c r="E1571" s="12">
        <v>2500</v>
      </c>
      <c r="F1571" s="13">
        <v>2500</v>
      </c>
      <c r="G1571" s="2">
        <f>VLOOKUP(B1571,'PO with created By ASR'!A:C,3,FALSE)</f>
        <v>45695</v>
      </c>
      <c r="J1571" s="2" t="str">
        <f>VLOOKUP(B1571,'PO with created By ASR'!A:G,4,FALSE)</f>
        <v>Pandey Print Services-Del</v>
      </c>
      <c r="K1571" s="2" t="str">
        <f>VLOOKUP(B1571,'PO with created By ASR'!A:I,6,FALSE)</f>
        <v>12236 Pandey Print Services</v>
      </c>
      <c r="L1571" s="2" t="str">
        <f>VLOOKUP(B1571,'PO with created By ASR'!A:J,7,FALSE)</f>
        <v>D - Delhi</v>
      </c>
      <c r="M1571" s="2" t="str">
        <f>VLOOKUP(B1571,'PO with created By ASR'!A:K,8,FALSE)</f>
        <v>Purchase Order-Del</v>
      </c>
      <c r="N1571" t="s">
        <v>36</v>
      </c>
      <c r="P1571" s="2">
        <v>6</v>
      </c>
    </row>
    <row r="1572" s="2" customFormat="1" spans="1:16">
      <c r="A1572" s="8"/>
      <c r="B1572" s="9" t="s">
        <v>2627</v>
      </c>
      <c r="C1572" s="10" t="s">
        <v>126</v>
      </c>
      <c r="D1572" s="11">
        <v>1</v>
      </c>
      <c r="E1572" s="12">
        <v>1694</v>
      </c>
      <c r="F1572" s="13">
        <v>1694</v>
      </c>
      <c r="G1572" s="2">
        <f>VLOOKUP(B1572,'PO with created By ASR'!A:C,3,FALSE)</f>
        <v>45695</v>
      </c>
      <c r="J1572" s="2" t="str">
        <f>VLOOKUP(B1572,'PO with created By ASR'!A:G,4,FALSE)</f>
        <v>Utkarsh Luthra  -CR</v>
      </c>
      <c r="K1572" s="2" t="e">
        <f>VLOOKUP(B1572,'PO with created By ASR'!A:I,6,FALSE)</f>
        <v>#N/A</v>
      </c>
      <c r="L1572" s="2" t="str">
        <f>VLOOKUP(B1572,'PO with created By ASR'!A:J,7,FALSE)</f>
        <v>D - Delhi</v>
      </c>
      <c r="M1572" s="2" t="str">
        <f>VLOOKUP(B1572,'PO with created By ASR'!A:K,8,FALSE)</f>
        <v>Purchase Order-Del</v>
      </c>
      <c r="N1572" t="s">
        <v>36</v>
      </c>
      <c r="P1572" s="2">
        <v>6</v>
      </c>
    </row>
    <row r="1573" s="2" customFormat="1" spans="1:16">
      <c r="A1573" s="8"/>
      <c r="B1573" s="9" t="s">
        <v>2627</v>
      </c>
      <c r="C1573" s="10" t="s">
        <v>412</v>
      </c>
      <c r="D1573" s="11">
        <v>1</v>
      </c>
      <c r="E1573" s="12">
        <v>2616</v>
      </c>
      <c r="F1573" s="13">
        <v>2616</v>
      </c>
      <c r="G1573" s="2">
        <f>VLOOKUP(B1573,'PO with created By ASR'!A:C,3,FALSE)</f>
        <v>45695</v>
      </c>
      <c r="J1573" s="2" t="str">
        <f>VLOOKUP(B1573,'PO with created By ASR'!A:G,4,FALSE)</f>
        <v>Utkarsh Luthra  -CR</v>
      </c>
      <c r="K1573" s="2" t="e">
        <f>VLOOKUP(B1573,'PO with created By ASR'!A:I,6,FALSE)</f>
        <v>#N/A</v>
      </c>
      <c r="L1573" s="2" t="str">
        <f>VLOOKUP(B1573,'PO with created By ASR'!A:J,7,FALSE)</f>
        <v>D - Delhi</v>
      </c>
      <c r="M1573" s="2" t="str">
        <f>VLOOKUP(B1573,'PO with created By ASR'!A:K,8,FALSE)</f>
        <v>Purchase Order-Del</v>
      </c>
      <c r="N1573" t="s">
        <v>36</v>
      </c>
      <c r="P1573" s="2">
        <v>6</v>
      </c>
    </row>
    <row r="1574" s="2" customFormat="1" spans="1:16">
      <c r="A1574" s="8"/>
      <c r="B1574" s="9" t="s">
        <v>2629</v>
      </c>
      <c r="C1574" s="10" t="s">
        <v>196</v>
      </c>
      <c r="D1574" s="11">
        <v>1</v>
      </c>
      <c r="E1574" s="12">
        <v>28480</v>
      </c>
      <c r="F1574" s="13">
        <v>28480</v>
      </c>
      <c r="G1574" s="2">
        <f>VLOOKUP(B1574,'PO with created By ASR'!A:C,3,FALSE)</f>
        <v>45695</v>
      </c>
      <c r="J1574" s="2" t="str">
        <f>VLOOKUP(B1574,'PO with created By ASR'!A:G,4,FALSE)</f>
        <v>Pandey Print Services-Del</v>
      </c>
      <c r="K1574" s="2" t="str">
        <f>VLOOKUP(B1574,'PO with created By ASR'!A:I,6,FALSE)</f>
        <v>12236 Pandey Print Services</v>
      </c>
      <c r="L1574" s="2" t="str">
        <f>VLOOKUP(B1574,'PO with created By ASR'!A:J,7,FALSE)</f>
        <v>D - Delhi</v>
      </c>
      <c r="M1574" s="2" t="str">
        <f>VLOOKUP(B1574,'PO with created By ASR'!A:K,8,FALSE)</f>
        <v>Purchase Order-Del</v>
      </c>
      <c r="N1574" t="s">
        <v>36</v>
      </c>
      <c r="P1574" s="2">
        <v>6</v>
      </c>
    </row>
    <row r="1575" s="2" customFormat="1" spans="1:16">
      <c r="A1575" s="8"/>
      <c r="B1575" s="9" t="s">
        <v>2630</v>
      </c>
      <c r="C1575" s="10" t="s">
        <v>126</v>
      </c>
      <c r="D1575" s="11">
        <v>1</v>
      </c>
      <c r="E1575" s="12">
        <v>2154</v>
      </c>
      <c r="F1575" s="13">
        <v>2154</v>
      </c>
      <c r="G1575" s="2">
        <f>VLOOKUP(B1575,'PO with created By ASR'!A:C,3,FALSE)</f>
        <v>45695</v>
      </c>
      <c r="J1575" s="2" t="str">
        <f>VLOOKUP(B1575,'PO with created By ASR'!A:G,4,FALSE)</f>
        <v>Ayush Tanwar  -CR</v>
      </c>
      <c r="K1575" s="2" t="e">
        <f>VLOOKUP(B1575,'PO with created By ASR'!A:I,6,FALSE)</f>
        <v>#N/A</v>
      </c>
      <c r="L1575" s="2" t="str">
        <f>VLOOKUP(B1575,'PO with created By ASR'!A:J,7,FALSE)</f>
        <v>D - Delhi</v>
      </c>
      <c r="M1575" s="2" t="str">
        <f>VLOOKUP(B1575,'PO with created By ASR'!A:K,8,FALSE)</f>
        <v>Purchase Order-Del</v>
      </c>
      <c r="N1575" t="s">
        <v>36</v>
      </c>
      <c r="P1575" s="2">
        <v>6</v>
      </c>
    </row>
    <row r="1576" s="2" customFormat="1" spans="1:16">
      <c r="A1576" s="8"/>
      <c r="B1576" s="9" t="s">
        <v>2634</v>
      </c>
      <c r="C1576" s="10" t="s">
        <v>126</v>
      </c>
      <c r="D1576" s="11">
        <v>1</v>
      </c>
      <c r="E1576" s="12">
        <v>1560</v>
      </c>
      <c r="F1576" s="13">
        <v>1560</v>
      </c>
      <c r="G1576" s="2">
        <f>VLOOKUP(B1576,'PO with created By ASR'!A:C,3,FALSE)</f>
        <v>45695</v>
      </c>
      <c r="J1576" s="2" t="str">
        <f>VLOOKUP(B1576,'PO with created By ASR'!A:G,4,FALSE)</f>
        <v>Shadab Khan..............-CR</v>
      </c>
      <c r="K1576" s="2" t="e">
        <f>VLOOKUP(B1576,'PO with created By ASR'!A:I,6,FALSE)</f>
        <v>#N/A</v>
      </c>
      <c r="L1576" s="2" t="str">
        <f>VLOOKUP(B1576,'PO with created By ASR'!A:J,7,FALSE)</f>
        <v>D - Delhi</v>
      </c>
      <c r="M1576" s="2" t="str">
        <f>VLOOKUP(B1576,'PO with created By ASR'!A:K,8,FALSE)</f>
        <v>Purchase Order-Del</v>
      </c>
      <c r="N1576" t="s">
        <v>36</v>
      </c>
      <c r="P1576" s="2">
        <v>6</v>
      </c>
    </row>
    <row r="1577" s="2" customFormat="1" spans="1:16">
      <c r="A1577" s="8"/>
      <c r="B1577" s="9" t="s">
        <v>2638</v>
      </c>
      <c r="C1577" s="10" t="s">
        <v>126</v>
      </c>
      <c r="D1577" s="11">
        <v>1</v>
      </c>
      <c r="E1577" s="12">
        <v>1438</v>
      </c>
      <c r="F1577" s="13">
        <v>1438</v>
      </c>
      <c r="G1577" s="2">
        <f>VLOOKUP(B1577,'PO with created By ASR'!A:C,3,FALSE)</f>
        <v>45695</v>
      </c>
      <c r="J1577" s="2" t="str">
        <f>VLOOKUP(B1577,'PO with created By ASR'!A:G,4,FALSE)</f>
        <v>Keshav Sargur  -CR</v>
      </c>
      <c r="K1577" s="2" t="e">
        <f>VLOOKUP(B1577,'PO with created By ASR'!A:I,6,FALSE)</f>
        <v>#N/A</v>
      </c>
      <c r="L1577" s="2" t="str">
        <f>VLOOKUP(B1577,'PO with created By ASR'!A:J,7,FALSE)</f>
        <v>D - Delhi</v>
      </c>
      <c r="M1577" s="2" t="str">
        <f>VLOOKUP(B1577,'PO with created By ASR'!A:K,8,FALSE)</f>
        <v>Purchase Order-Del</v>
      </c>
      <c r="N1577" t="s">
        <v>36</v>
      </c>
      <c r="P1577" s="2">
        <v>6</v>
      </c>
    </row>
    <row r="1578" s="2" customFormat="1" spans="1:16">
      <c r="A1578" s="8"/>
      <c r="B1578" s="9" t="s">
        <v>2638</v>
      </c>
      <c r="C1578" s="10" t="s">
        <v>412</v>
      </c>
      <c r="D1578" s="11">
        <v>1</v>
      </c>
      <c r="E1578" s="12">
        <v>978</v>
      </c>
      <c r="F1578" s="13">
        <v>978</v>
      </c>
      <c r="G1578" s="2">
        <f>VLOOKUP(B1578,'PO with created By ASR'!A:C,3,FALSE)</f>
        <v>45695</v>
      </c>
      <c r="J1578" s="2" t="str">
        <f>VLOOKUP(B1578,'PO with created By ASR'!A:G,4,FALSE)</f>
        <v>Keshav Sargur  -CR</v>
      </c>
      <c r="K1578" s="2" t="e">
        <f>VLOOKUP(B1578,'PO with created By ASR'!A:I,6,FALSE)</f>
        <v>#N/A</v>
      </c>
      <c r="L1578" s="2" t="str">
        <f>VLOOKUP(B1578,'PO with created By ASR'!A:J,7,FALSE)</f>
        <v>D - Delhi</v>
      </c>
      <c r="M1578" s="2" t="str">
        <f>VLOOKUP(B1578,'PO with created By ASR'!A:K,8,FALSE)</f>
        <v>Purchase Order-Del</v>
      </c>
      <c r="N1578" t="s">
        <v>36</v>
      </c>
      <c r="P1578" s="2">
        <v>6</v>
      </c>
    </row>
    <row r="1579" s="2" customFormat="1" spans="1:16">
      <c r="A1579" s="8"/>
      <c r="B1579" s="9" t="s">
        <v>2640</v>
      </c>
      <c r="C1579" s="10" t="s">
        <v>119</v>
      </c>
      <c r="D1579" s="11">
        <v>1</v>
      </c>
      <c r="E1579" s="12">
        <v>788411.75</v>
      </c>
      <c r="F1579" s="13">
        <v>788411.75</v>
      </c>
      <c r="G1579" s="2">
        <f>VLOOKUP(B1579,'PO with created By ASR'!A:C,3,FALSE)</f>
        <v>45695</v>
      </c>
      <c r="J1579" s="2" t="str">
        <f>VLOOKUP(B1579,'PO with created By ASR'!A:G,4,FALSE)</f>
        <v>Lamour Voyages Pvt Ltd-Del</v>
      </c>
      <c r="K1579" s="2" t="str">
        <f>VLOOKUP(B1579,'PO with created By ASR'!A:I,6,FALSE)</f>
        <v>10357  Lamour Voyages Pvt Ltd</v>
      </c>
      <c r="L1579" s="2" t="str">
        <f>VLOOKUP(B1579,'PO with created By ASR'!A:J,7,FALSE)</f>
        <v>D - Delhi</v>
      </c>
      <c r="M1579" s="2" t="str">
        <f>VLOOKUP(B1579,'PO with created By ASR'!A:K,8,FALSE)</f>
        <v>Purchase Order-Del</v>
      </c>
      <c r="N1579" t="s">
        <v>36</v>
      </c>
      <c r="P1579" s="2">
        <v>6</v>
      </c>
    </row>
    <row r="1580" s="2" customFormat="1" spans="1:16">
      <c r="A1580" s="8"/>
      <c r="B1580" s="9" t="s">
        <v>2640</v>
      </c>
      <c r="C1580" s="10" t="s">
        <v>764</v>
      </c>
      <c r="D1580" s="11">
        <v>1</v>
      </c>
      <c r="E1580" s="12">
        <v>39420.59</v>
      </c>
      <c r="F1580" s="13">
        <v>39420.59</v>
      </c>
      <c r="G1580" s="2">
        <f>VLOOKUP(B1580,'PO with created By ASR'!A:C,3,FALSE)</f>
        <v>45695</v>
      </c>
      <c r="J1580" s="2" t="str">
        <f>VLOOKUP(B1580,'PO with created By ASR'!A:G,4,FALSE)</f>
        <v>Lamour Voyages Pvt Ltd-Del</v>
      </c>
      <c r="K1580" s="2" t="str">
        <f>VLOOKUP(B1580,'PO with created By ASR'!A:I,6,FALSE)</f>
        <v>10357  Lamour Voyages Pvt Ltd</v>
      </c>
      <c r="L1580" s="2" t="str">
        <f>VLOOKUP(B1580,'PO with created By ASR'!A:J,7,FALSE)</f>
        <v>D - Delhi</v>
      </c>
      <c r="M1580" s="2" t="str">
        <f>VLOOKUP(B1580,'PO with created By ASR'!A:K,8,FALSE)</f>
        <v>Purchase Order-Del</v>
      </c>
      <c r="N1580" t="s">
        <v>36</v>
      </c>
      <c r="P1580" s="2">
        <v>6</v>
      </c>
    </row>
    <row r="1581" s="2" customFormat="1" spans="1:16">
      <c r="A1581" s="8"/>
      <c r="B1581" s="9" t="s">
        <v>2643</v>
      </c>
      <c r="C1581" s="10" t="s">
        <v>412</v>
      </c>
      <c r="D1581" s="11">
        <v>1</v>
      </c>
      <c r="E1581" s="12">
        <v>37972</v>
      </c>
      <c r="F1581" s="13">
        <v>37972</v>
      </c>
      <c r="G1581" s="2">
        <f>VLOOKUP(B1581,'PO with created By ASR'!A:C,3,FALSE)</f>
        <v>45695</v>
      </c>
      <c r="J1581" s="2" t="str">
        <f>VLOOKUP(B1581,'PO with created By ASR'!A:G,4,FALSE)</f>
        <v>Kalu Halder............. -CR</v>
      </c>
      <c r="K1581" s="2" t="e">
        <f>VLOOKUP(B1581,'PO with created By ASR'!A:I,6,FALSE)</f>
        <v>#N/A</v>
      </c>
      <c r="L1581" s="2" t="str">
        <f>VLOOKUP(B1581,'PO with created By ASR'!A:J,7,FALSE)</f>
        <v>D - Delhi</v>
      </c>
      <c r="M1581" s="2" t="str">
        <f>VLOOKUP(B1581,'PO with created By ASR'!A:K,8,FALSE)</f>
        <v>Purchase Order-Del</v>
      </c>
      <c r="N1581" t="s">
        <v>36</v>
      </c>
      <c r="P1581" s="2">
        <v>6</v>
      </c>
    </row>
    <row r="1582" s="2" customFormat="1" spans="1:16">
      <c r="A1582" s="8"/>
      <c r="B1582" s="9" t="s">
        <v>2644</v>
      </c>
      <c r="C1582" s="10" t="s">
        <v>134</v>
      </c>
      <c r="D1582" s="11">
        <v>1</v>
      </c>
      <c r="E1582" s="12">
        <v>2210</v>
      </c>
      <c r="F1582" s="13">
        <v>2210</v>
      </c>
      <c r="G1582" s="2">
        <f>VLOOKUP(B1582,'PO with created By ASR'!A:C,3,FALSE)</f>
        <v>45695</v>
      </c>
      <c r="J1582" s="2" t="str">
        <f>VLOOKUP(B1582,'PO with created By ASR'!A:G,4,FALSE)</f>
        <v>Kalu Halder............. -CR</v>
      </c>
      <c r="K1582" s="2" t="e">
        <f>VLOOKUP(B1582,'PO with created By ASR'!A:I,6,FALSE)</f>
        <v>#N/A</v>
      </c>
      <c r="L1582" s="2" t="str">
        <f>VLOOKUP(B1582,'PO with created By ASR'!A:J,7,FALSE)</f>
        <v>D - Delhi</v>
      </c>
      <c r="M1582" s="2" t="str">
        <f>VLOOKUP(B1582,'PO with created By ASR'!A:K,8,FALSE)</f>
        <v>Purchase Order-Del</v>
      </c>
      <c r="N1582" t="s">
        <v>36</v>
      </c>
      <c r="P1582" s="2">
        <v>6</v>
      </c>
    </row>
    <row r="1583" s="2" customFormat="1" spans="1:16">
      <c r="A1583" s="8"/>
      <c r="B1583" s="9" t="s">
        <v>2645</v>
      </c>
      <c r="C1583" s="10" t="s">
        <v>126</v>
      </c>
      <c r="D1583" s="11">
        <v>1</v>
      </c>
      <c r="E1583" s="12">
        <v>1918</v>
      </c>
      <c r="F1583" s="13">
        <v>1918</v>
      </c>
      <c r="G1583" s="2">
        <f>VLOOKUP(B1583,'PO with created By ASR'!A:C,3,FALSE)</f>
        <v>45695</v>
      </c>
      <c r="J1583" s="2" t="str">
        <f>VLOOKUP(B1583,'PO with created By ASR'!A:G,4,FALSE)</f>
        <v>Virender Singh  -CR</v>
      </c>
      <c r="K1583" s="2" t="e">
        <f>VLOOKUP(B1583,'PO with created By ASR'!A:I,6,FALSE)</f>
        <v>#N/A</v>
      </c>
      <c r="L1583" s="2" t="str">
        <f>VLOOKUP(B1583,'PO with created By ASR'!A:J,7,FALSE)</f>
        <v>D - Delhi</v>
      </c>
      <c r="M1583" s="2" t="str">
        <f>VLOOKUP(B1583,'PO with created By ASR'!A:K,8,FALSE)</f>
        <v>Purchase Order-Del</v>
      </c>
      <c r="N1583" t="s">
        <v>36</v>
      </c>
      <c r="P1583" s="2">
        <v>6</v>
      </c>
    </row>
    <row r="1584" s="2" customFormat="1" spans="1:16">
      <c r="A1584" s="8"/>
      <c r="B1584" s="9" t="s">
        <v>2646</v>
      </c>
      <c r="C1584" s="10" t="s">
        <v>126</v>
      </c>
      <c r="D1584" s="11">
        <v>1</v>
      </c>
      <c r="E1584" s="12">
        <v>3201</v>
      </c>
      <c r="F1584" s="13">
        <v>3201</v>
      </c>
      <c r="G1584" s="2">
        <f>VLOOKUP(B1584,'PO with created By ASR'!A:C,3,FALSE)</f>
        <v>45695</v>
      </c>
      <c r="J1584" s="2" t="str">
        <f>VLOOKUP(B1584,'PO with created By ASR'!A:G,4,FALSE)</f>
        <v>Om Dhawan  -CR</v>
      </c>
      <c r="K1584" s="2" t="e">
        <f>VLOOKUP(B1584,'PO with created By ASR'!A:I,6,FALSE)</f>
        <v>#N/A</v>
      </c>
      <c r="L1584" s="2" t="str">
        <f>VLOOKUP(B1584,'PO with created By ASR'!A:J,7,FALSE)</f>
        <v>D - Delhi</v>
      </c>
      <c r="M1584" s="2" t="str">
        <f>VLOOKUP(B1584,'PO with created By ASR'!A:K,8,FALSE)</f>
        <v>Purchase Order-Del</v>
      </c>
      <c r="N1584" t="s">
        <v>36</v>
      </c>
      <c r="P1584" s="2">
        <v>6</v>
      </c>
    </row>
    <row r="1585" s="2" customFormat="1" spans="1:16">
      <c r="A1585" s="8"/>
      <c r="B1585" s="9" t="s">
        <v>2650</v>
      </c>
      <c r="C1585" s="10" t="s">
        <v>196</v>
      </c>
      <c r="D1585" s="11">
        <v>1</v>
      </c>
      <c r="E1585" s="12">
        <v>18440</v>
      </c>
      <c r="F1585" s="13">
        <v>18440</v>
      </c>
      <c r="G1585" s="2">
        <f>VLOOKUP(B1585,'PO with created By ASR'!A:C,3,FALSE)</f>
        <v>45695</v>
      </c>
      <c r="J1585" s="2" t="str">
        <f>VLOOKUP(B1585,'PO with created By ASR'!A:G,4,FALSE)</f>
        <v>K Onestationers-Del</v>
      </c>
      <c r="K1585" s="2" t="str">
        <f>VLOOKUP(B1585,'PO with created By ASR'!A:I,6,FALSE)</f>
        <v>11518 K Onestationers</v>
      </c>
      <c r="L1585" s="2" t="str">
        <f>VLOOKUP(B1585,'PO with created By ASR'!A:J,7,FALSE)</f>
        <v>D - Delhi</v>
      </c>
      <c r="M1585" s="2" t="str">
        <f>VLOOKUP(B1585,'PO with created By ASR'!A:K,8,FALSE)</f>
        <v>Purchase Order-Del</v>
      </c>
      <c r="N1585" t="s">
        <v>36</v>
      </c>
      <c r="P1585" s="2">
        <v>6</v>
      </c>
    </row>
    <row r="1586" s="2" customFormat="1" spans="1:16">
      <c r="A1586" s="8"/>
      <c r="B1586" s="9" t="s">
        <v>2653</v>
      </c>
      <c r="C1586" s="10" t="s">
        <v>233</v>
      </c>
      <c r="D1586" s="11">
        <v>1</v>
      </c>
      <c r="E1586" s="12">
        <v>67797</v>
      </c>
      <c r="F1586" s="13">
        <v>67797</v>
      </c>
      <c r="G1586" s="2">
        <f>VLOOKUP(B1586,'PO with created By ASR'!A:C,3,FALSE)</f>
        <v>45695</v>
      </c>
      <c r="J1586" s="2" t="str">
        <f>VLOOKUP(B1586,'PO with created By ASR'!A:G,4,FALSE)</f>
        <v>Select Brands International Pvt Ltd-Mum</v>
      </c>
      <c r="K1586" s="2" t="str">
        <f>VLOOKUP(B1586,'PO with created By ASR'!A:I,6,FALSE)</f>
        <v>12982  Select Brands International Pvt Ltd</v>
      </c>
      <c r="L1586" s="2" t="str">
        <f>VLOOKUP(B1586,'PO with created By ASR'!A:J,7,FALSE)</f>
        <v>D - Delhi</v>
      </c>
      <c r="M1586" s="2" t="str">
        <f>VLOOKUP(B1586,'PO with created By ASR'!A:K,8,FALSE)</f>
        <v>Purchase Order-Del</v>
      </c>
      <c r="N1586" t="s">
        <v>36</v>
      </c>
      <c r="P1586" s="2">
        <v>6</v>
      </c>
    </row>
    <row r="1587" s="2" customFormat="1" spans="1:16">
      <c r="A1587" s="8"/>
      <c r="B1587" s="9" t="s">
        <v>2658</v>
      </c>
      <c r="C1587" s="10" t="s">
        <v>196</v>
      </c>
      <c r="D1587" s="11">
        <v>1</v>
      </c>
      <c r="E1587" s="12">
        <v>48740</v>
      </c>
      <c r="F1587" s="13">
        <v>48740</v>
      </c>
      <c r="G1587" s="2">
        <f>VLOOKUP(B1587,'PO with created By ASR'!A:C,3,FALSE)</f>
        <v>45695</v>
      </c>
      <c r="J1587" s="2" t="str">
        <f>VLOOKUP(B1587,'PO with created By ASR'!A:G,4,FALSE)</f>
        <v>K Onestationers-Del</v>
      </c>
      <c r="K1587" s="2" t="str">
        <f>VLOOKUP(B1587,'PO with created By ASR'!A:I,6,FALSE)</f>
        <v>11518 K Onestationers</v>
      </c>
      <c r="L1587" s="2" t="str">
        <f>VLOOKUP(B1587,'PO with created By ASR'!A:J,7,FALSE)</f>
        <v>D - Delhi</v>
      </c>
      <c r="M1587" s="2" t="str">
        <f>VLOOKUP(B1587,'PO with created By ASR'!A:K,8,FALSE)</f>
        <v>Purchase Order-Del</v>
      </c>
      <c r="N1587" t="s">
        <v>36</v>
      </c>
      <c r="P1587" s="2">
        <v>6</v>
      </c>
    </row>
    <row r="1588" s="2" customFormat="1" spans="1:16">
      <c r="A1588" s="8"/>
      <c r="B1588" s="9" t="s">
        <v>2659</v>
      </c>
      <c r="C1588" s="10" t="s">
        <v>837</v>
      </c>
      <c r="D1588" s="11">
        <v>1</v>
      </c>
      <c r="E1588" s="12">
        <v>5000</v>
      </c>
      <c r="F1588" s="13">
        <v>5000</v>
      </c>
      <c r="G1588" s="2">
        <f>VLOOKUP(B1588,'PO with created By ASR'!A:C,3,FALSE)</f>
        <v>45695</v>
      </c>
      <c r="J1588" s="2" t="str">
        <f>VLOOKUP(B1588,'PO with created By ASR'!A:G,4,FALSE)</f>
        <v>Blue Dart Express Limited-Del</v>
      </c>
      <c r="K1588" s="2" t="e">
        <f>VLOOKUP(B1588,'PO with created By ASR'!A:I,6,FALSE)</f>
        <v>#N/A</v>
      </c>
      <c r="L1588" s="2" t="str">
        <f>VLOOKUP(B1588,'PO with created By ASR'!A:J,7,FALSE)</f>
        <v>D - Delhi</v>
      </c>
      <c r="M1588" s="2" t="str">
        <f>VLOOKUP(B1588,'PO with created By ASR'!A:K,8,FALSE)</f>
        <v>Purchase Order-Del</v>
      </c>
      <c r="N1588" t="s">
        <v>36</v>
      </c>
      <c r="P1588" s="2">
        <v>6</v>
      </c>
    </row>
    <row r="1589" s="2" customFormat="1" spans="1:16">
      <c r="A1589" s="8"/>
      <c r="B1589" s="9" t="s">
        <v>2659</v>
      </c>
      <c r="C1589" s="10" t="s">
        <v>205</v>
      </c>
      <c r="D1589" s="11">
        <v>1</v>
      </c>
      <c r="E1589" s="12">
        <v>2964</v>
      </c>
      <c r="F1589" s="13">
        <v>2964</v>
      </c>
      <c r="G1589" s="2">
        <f>VLOOKUP(B1589,'PO with created By ASR'!A:C,3,FALSE)</f>
        <v>45695</v>
      </c>
      <c r="J1589" s="2" t="str">
        <f>VLOOKUP(B1589,'PO with created By ASR'!A:G,4,FALSE)</f>
        <v>Blue Dart Express Limited-Del</v>
      </c>
      <c r="K1589" s="2" t="e">
        <f>VLOOKUP(B1589,'PO with created By ASR'!A:I,6,FALSE)</f>
        <v>#N/A</v>
      </c>
      <c r="L1589" s="2" t="str">
        <f>VLOOKUP(B1589,'PO with created By ASR'!A:J,7,FALSE)</f>
        <v>D - Delhi</v>
      </c>
      <c r="M1589" s="2" t="str">
        <f>VLOOKUP(B1589,'PO with created By ASR'!A:K,8,FALSE)</f>
        <v>Purchase Order-Del</v>
      </c>
      <c r="N1589" t="s">
        <v>36</v>
      </c>
      <c r="P1589" s="2">
        <v>6</v>
      </c>
    </row>
    <row r="1590" s="2" customFormat="1" spans="1:16">
      <c r="A1590" s="8"/>
      <c r="B1590" s="9" t="s">
        <v>2660</v>
      </c>
      <c r="C1590" s="10" t="s">
        <v>1033</v>
      </c>
      <c r="D1590" s="11">
        <v>1</v>
      </c>
      <c r="E1590" s="12">
        <v>34500</v>
      </c>
      <c r="F1590" s="13">
        <v>34500</v>
      </c>
      <c r="G1590" s="2">
        <f>VLOOKUP(B1590,'PO with created By ASR'!A:C,3,FALSE)</f>
        <v>45695</v>
      </c>
      <c r="J1590" s="2" t="str">
        <f>VLOOKUP(B1590,'PO with created By ASR'!A:G,4,FALSE)</f>
        <v>Genesis Infoserve Pvt Ltd-Mum</v>
      </c>
      <c r="K1590" s="2" t="str">
        <f>VLOOKUP(B1590,'PO with created By ASR'!A:I,6,FALSE)</f>
        <v>11944  Genesis Infoserve Pvt Ltd</v>
      </c>
      <c r="L1590" s="2" t="str">
        <f>VLOOKUP(B1590,'PO with created By ASR'!A:J,7,FALSE)</f>
        <v>A - Mumbai</v>
      </c>
      <c r="M1590" s="2" t="str">
        <f>VLOOKUP(B1590,'PO with created By ASR'!A:K,8,FALSE)</f>
        <v>Purchase Order(Gen)-Mum</v>
      </c>
      <c r="N1590" t="s">
        <v>36</v>
      </c>
      <c r="P1590" s="2">
        <v>6</v>
      </c>
    </row>
    <row r="1591" s="2" customFormat="1" spans="1:16">
      <c r="A1591" s="8"/>
      <c r="B1591" s="9" t="s">
        <v>2661</v>
      </c>
      <c r="C1591" s="10" t="s">
        <v>1033</v>
      </c>
      <c r="D1591" s="11">
        <v>1</v>
      </c>
      <c r="E1591" s="12">
        <v>34500</v>
      </c>
      <c r="F1591" s="13">
        <v>34500</v>
      </c>
      <c r="G1591" s="2">
        <f>VLOOKUP(B1591,'PO with created By ASR'!A:C,3,FALSE)</f>
        <v>45695</v>
      </c>
      <c r="J1591" s="2" t="str">
        <f>VLOOKUP(B1591,'PO with created By ASR'!A:G,4,FALSE)</f>
        <v>Genesis Infoserve Pvt Ltd-Mum</v>
      </c>
      <c r="K1591" s="2" t="str">
        <f>VLOOKUP(B1591,'PO with created By ASR'!A:I,6,FALSE)</f>
        <v>11944  Genesis Infoserve Pvt Ltd</v>
      </c>
      <c r="L1591" s="2" t="str">
        <f>VLOOKUP(B1591,'PO with created By ASR'!A:J,7,FALSE)</f>
        <v>A - Mumbai</v>
      </c>
      <c r="M1591" s="2" t="str">
        <f>VLOOKUP(B1591,'PO with created By ASR'!A:K,8,FALSE)</f>
        <v>Purchase Order(Gen)-Mum</v>
      </c>
      <c r="N1591" t="s">
        <v>36</v>
      </c>
      <c r="P1591" s="2">
        <v>6</v>
      </c>
    </row>
    <row r="1592" s="2" customFormat="1" spans="1:16">
      <c r="A1592" s="8"/>
      <c r="B1592" s="9" t="s">
        <v>2662</v>
      </c>
      <c r="C1592" s="10" t="s">
        <v>1033</v>
      </c>
      <c r="D1592" s="11">
        <v>1</v>
      </c>
      <c r="E1592" s="12">
        <v>34500</v>
      </c>
      <c r="F1592" s="13">
        <v>34500</v>
      </c>
      <c r="G1592" s="2">
        <f>VLOOKUP(B1592,'PO with created By ASR'!A:C,3,FALSE)</f>
        <v>45695</v>
      </c>
      <c r="J1592" s="2" t="str">
        <f>VLOOKUP(B1592,'PO with created By ASR'!A:G,4,FALSE)</f>
        <v>Genesis Infoserve Pvt Ltd-Mum</v>
      </c>
      <c r="K1592" s="2" t="str">
        <f>VLOOKUP(B1592,'PO with created By ASR'!A:I,6,FALSE)</f>
        <v>11944  Genesis Infoserve Pvt Ltd</v>
      </c>
      <c r="L1592" s="2" t="str">
        <f>VLOOKUP(B1592,'PO with created By ASR'!A:J,7,FALSE)</f>
        <v>A - Mumbai</v>
      </c>
      <c r="M1592" s="2" t="str">
        <f>VLOOKUP(B1592,'PO with created By ASR'!A:K,8,FALSE)</f>
        <v>Purchase Order(Gen)-Mum</v>
      </c>
      <c r="N1592" t="s">
        <v>36</v>
      </c>
      <c r="P1592" s="2">
        <v>6</v>
      </c>
    </row>
    <row r="1593" s="2" customFormat="1" spans="1:16">
      <c r="A1593" s="8"/>
      <c r="B1593" s="9" t="s">
        <v>2663</v>
      </c>
      <c r="C1593" s="10" t="s">
        <v>126</v>
      </c>
      <c r="D1593" s="11">
        <v>1</v>
      </c>
      <c r="E1593" s="12">
        <v>338</v>
      </c>
      <c r="F1593" s="13">
        <v>338</v>
      </c>
      <c r="G1593" s="2">
        <f>VLOOKUP(B1593,'PO with created By ASR'!A:C,3,FALSE)</f>
        <v>45695</v>
      </c>
      <c r="J1593" s="2" t="str">
        <f>VLOOKUP(B1593,'PO with created By ASR'!A:G,4,FALSE)</f>
        <v>Mahendra Mane -CR</v>
      </c>
      <c r="K1593" s="2" t="e">
        <f>VLOOKUP(B1593,'PO with created By ASR'!A:I,6,FALSE)</f>
        <v>#N/A</v>
      </c>
      <c r="L1593" s="2" t="str">
        <f>VLOOKUP(B1593,'PO with created By ASR'!A:J,7,FALSE)</f>
        <v>A - Mumbai</v>
      </c>
      <c r="M1593" s="2" t="str">
        <f>VLOOKUP(B1593,'PO with created By ASR'!A:K,8,FALSE)</f>
        <v>Purchase Order-Mum</v>
      </c>
      <c r="N1593" t="s">
        <v>36</v>
      </c>
      <c r="P1593" s="2">
        <v>6</v>
      </c>
    </row>
    <row r="1594" s="2" customFormat="1" spans="1:16">
      <c r="A1594" s="8"/>
      <c r="B1594" s="9" t="s">
        <v>2664</v>
      </c>
      <c r="C1594" s="10" t="s">
        <v>126</v>
      </c>
      <c r="D1594" s="11">
        <v>1</v>
      </c>
      <c r="E1594" s="12">
        <v>1015</v>
      </c>
      <c r="F1594" s="13">
        <v>1015</v>
      </c>
      <c r="G1594" s="2">
        <f>VLOOKUP(B1594,'PO with created By ASR'!A:C,3,FALSE)</f>
        <v>45695</v>
      </c>
      <c r="J1594" s="2" t="str">
        <f>VLOOKUP(B1594,'PO with created By ASR'!A:G,4,FALSE)</f>
        <v>Sanjay Kathale Cash -CR</v>
      </c>
      <c r="K1594" s="2" t="e">
        <f>VLOOKUP(B1594,'PO with created By ASR'!A:I,6,FALSE)</f>
        <v>#N/A</v>
      </c>
      <c r="L1594" s="2" t="str">
        <f>VLOOKUP(B1594,'PO with created By ASR'!A:J,7,FALSE)</f>
        <v>A - Mumbai</v>
      </c>
      <c r="M1594" s="2" t="str">
        <f>VLOOKUP(B1594,'PO with created By ASR'!A:K,8,FALSE)</f>
        <v>Purchase Order-Mum</v>
      </c>
      <c r="N1594" t="s">
        <v>36</v>
      </c>
      <c r="P1594" s="2">
        <v>6</v>
      </c>
    </row>
    <row r="1595" s="2" customFormat="1" spans="1:16">
      <c r="A1595" s="8"/>
      <c r="B1595" s="9" t="s">
        <v>2664</v>
      </c>
      <c r="C1595" s="10" t="s">
        <v>412</v>
      </c>
      <c r="D1595" s="11">
        <v>1</v>
      </c>
      <c r="E1595" s="12">
        <v>150</v>
      </c>
      <c r="F1595" s="13">
        <v>150</v>
      </c>
      <c r="G1595" s="2">
        <f>VLOOKUP(B1595,'PO with created By ASR'!A:C,3,FALSE)</f>
        <v>45695</v>
      </c>
      <c r="J1595" s="2" t="str">
        <f>VLOOKUP(B1595,'PO with created By ASR'!A:G,4,FALSE)</f>
        <v>Sanjay Kathale Cash -CR</v>
      </c>
      <c r="K1595" s="2" t="e">
        <f>VLOOKUP(B1595,'PO with created By ASR'!A:I,6,FALSE)</f>
        <v>#N/A</v>
      </c>
      <c r="L1595" s="2" t="str">
        <f>VLOOKUP(B1595,'PO with created By ASR'!A:J,7,FALSE)</f>
        <v>A - Mumbai</v>
      </c>
      <c r="M1595" s="2" t="str">
        <f>VLOOKUP(B1595,'PO with created By ASR'!A:K,8,FALSE)</f>
        <v>Purchase Order-Mum</v>
      </c>
      <c r="N1595" t="s">
        <v>36</v>
      </c>
      <c r="P1595" s="2">
        <v>6</v>
      </c>
    </row>
    <row r="1596" s="2" customFormat="1" spans="1:16">
      <c r="A1596" s="8"/>
      <c r="B1596" s="9" t="s">
        <v>2664</v>
      </c>
      <c r="C1596" s="10" t="s">
        <v>317</v>
      </c>
      <c r="D1596" s="11">
        <v>1</v>
      </c>
      <c r="E1596" s="12">
        <v>12900</v>
      </c>
      <c r="F1596" s="13">
        <v>12900</v>
      </c>
      <c r="G1596" s="2">
        <f>VLOOKUP(B1596,'PO with created By ASR'!A:C,3,FALSE)</f>
        <v>45695</v>
      </c>
      <c r="J1596" s="2" t="str">
        <f>VLOOKUP(B1596,'PO with created By ASR'!A:G,4,FALSE)</f>
        <v>Sanjay Kathale Cash -CR</v>
      </c>
      <c r="K1596" s="2" t="e">
        <f>VLOOKUP(B1596,'PO with created By ASR'!A:I,6,FALSE)</f>
        <v>#N/A</v>
      </c>
      <c r="L1596" s="2" t="str">
        <f>VLOOKUP(B1596,'PO with created By ASR'!A:J,7,FALSE)</f>
        <v>A - Mumbai</v>
      </c>
      <c r="M1596" s="2" t="str">
        <f>VLOOKUP(B1596,'PO with created By ASR'!A:K,8,FALSE)</f>
        <v>Purchase Order-Mum</v>
      </c>
      <c r="N1596" t="s">
        <v>36</v>
      </c>
      <c r="P1596" s="2">
        <v>6</v>
      </c>
    </row>
    <row r="1597" s="2" customFormat="1" spans="1:16">
      <c r="A1597" s="8"/>
      <c r="B1597" s="9" t="s">
        <v>2665</v>
      </c>
      <c r="C1597" s="10" t="s">
        <v>1176</v>
      </c>
      <c r="D1597" s="11">
        <v>1</v>
      </c>
      <c r="E1597" s="12">
        <v>617500</v>
      </c>
      <c r="F1597" s="13">
        <v>617500</v>
      </c>
      <c r="G1597" s="2">
        <f>VLOOKUP(B1597,'PO with created By ASR'!A:C,3,FALSE)</f>
        <v>45695</v>
      </c>
      <c r="J1597" s="2" t="str">
        <f>VLOOKUP(B1597,'PO with created By ASR'!A:G,4,FALSE)</f>
        <v>Courtyard Marriot Hotel Mumbai (Kanika Hotels)-Mum</v>
      </c>
      <c r="K1597" s="2" t="str">
        <f>VLOOKUP(B1597,'PO with created By ASR'!A:I,6,FALSE)</f>
        <v>10270  Courtyard Marriot Hotel Mumbai (Kanika Hotels)</v>
      </c>
      <c r="L1597" s="2" t="str">
        <f>VLOOKUP(B1597,'PO with created By ASR'!A:J,7,FALSE)</f>
        <v>A - Mumbai</v>
      </c>
      <c r="M1597" s="2" t="str">
        <f>VLOOKUP(B1597,'PO with created By ASR'!A:K,8,FALSE)</f>
        <v>Purchase Order-Mum</v>
      </c>
      <c r="N1597" t="s">
        <v>36</v>
      </c>
      <c r="P1597" s="2">
        <v>6</v>
      </c>
    </row>
    <row r="1598" s="2" customFormat="1" spans="1:16">
      <c r="A1598" s="8"/>
      <c r="B1598" s="9" t="s">
        <v>2668</v>
      </c>
      <c r="C1598" s="10" t="s">
        <v>1176</v>
      </c>
      <c r="D1598" s="11">
        <v>1</v>
      </c>
      <c r="E1598" s="12">
        <v>1217500</v>
      </c>
      <c r="F1598" s="13">
        <v>1217500</v>
      </c>
      <c r="G1598" s="2">
        <f>VLOOKUP(B1598,'PO with created By ASR'!A:C,3,FALSE)</f>
        <v>45695</v>
      </c>
      <c r="J1598" s="2" t="str">
        <f>VLOOKUP(B1598,'PO with created By ASR'!A:G,4,FALSE)</f>
        <v>Courtyard Marriot Hotel Mumbai (Kanika Hotels)-Mum</v>
      </c>
      <c r="K1598" s="2" t="str">
        <f>VLOOKUP(B1598,'PO with created By ASR'!A:I,6,FALSE)</f>
        <v>10270  Courtyard Marriot Hotel Mumbai (Kanika Hotels)</v>
      </c>
      <c r="L1598" s="2" t="str">
        <f>VLOOKUP(B1598,'PO with created By ASR'!A:J,7,FALSE)</f>
        <v>A - Mumbai</v>
      </c>
      <c r="M1598" s="2" t="str">
        <f>VLOOKUP(B1598,'PO with created By ASR'!A:K,8,FALSE)</f>
        <v>Purchase Order-Mum</v>
      </c>
      <c r="N1598" t="s">
        <v>36</v>
      </c>
      <c r="P1598" s="2">
        <v>6</v>
      </c>
    </row>
    <row r="1599" s="2" customFormat="1" spans="1:16">
      <c r="A1599" s="8"/>
      <c r="B1599" s="9" t="s">
        <v>2669</v>
      </c>
      <c r="C1599" s="10" t="s">
        <v>1055</v>
      </c>
      <c r="D1599" s="11">
        <v>1</v>
      </c>
      <c r="E1599" s="12">
        <v>2350</v>
      </c>
      <c r="F1599" s="13">
        <v>2350</v>
      </c>
      <c r="G1599" s="2">
        <f>VLOOKUP(B1599,'PO with created By ASR'!A:C,3,FALSE)</f>
        <v>45695</v>
      </c>
      <c r="J1599" s="2" t="str">
        <f>VLOOKUP(B1599,'PO with created By ASR'!A:G,4,FALSE)</f>
        <v>Suresh Pardhle  -CR</v>
      </c>
      <c r="K1599" s="2" t="e">
        <f>VLOOKUP(B1599,'PO with created By ASR'!A:I,6,FALSE)</f>
        <v>#N/A</v>
      </c>
      <c r="L1599" s="2" t="str">
        <f>VLOOKUP(B1599,'PO with created By ASR'!A:J,7,FALSE)</f>
        <v>A - Mumbai</v>
      </c>
      <c r="M1599" s="2" t="str">
        <f>VLOOKUP(B1599,'PO with created By ASR'!A:K,8,FALSE)</f>
        <v>Purchase Order-Mum</v>
      </c>
      <c r="N1599" t="s">
        <v>36</v>
      </c>
      <c r="P1599" s="2">
        <v>6</v>
      </c>
    </row>
    <row r="1600" s="2" customFormat="1" spans="1:16">
      <c r="A1600" s="8"/>
      <c r="B1600" s="9" t="s">
        <v>2669</v>
      </c>
      <c r="C1600" s="10" t="s">
        <v>126</v>
      </c>
      <c r="D1600" s="11">
        <v>1</v>
      </c>
      <c r="E1600" s="12">
        <v>2753</v>
      </c>
      <c r="F1600" s="13">
        <v>2753</v>
      </c>
      <c r="G1600" s="2">
        <f>VLOOKUP(B1600,'PO with created By ASR'!A:C,3,FALSE)</f>
        <v>45695</v>
      </c>
      <c r="J1600" s="2" t="str">
        <f>VLOOKUP(B1600,'PO with created By ASR'!A:G,4,FALSE)</f>
        <v>Suresh Pardhle  -CR</v>
      </c>
      <c r="K1600" s="2" t="e">
        <f>VLOOKUP(B1600,'PO with created By ASR'!A:I,6,FALSE)</f>
        <v>#N/A</v>
      </c>
      <c r="L1600" s="2" t="str">
        <f>VLOOKUP(B1600,'PO with created By ASR'!A:J,7,FALSE)</f>
        <v>A - Mumbai</v>
      </c>
      <c r="M1600" s="2" t="str">
        <f>VLOOKUP(B1600,'PO with created By ASR'!A:K,8,FALSE)</f>
        <v>Purchase Order-Mum</v>
      </c>
      <c r="N1600" t="s">
        <v>36</v>
      </c>
      <c r="P1600" s="2">
        <v>6</v>
      </c>
    </row>
    <row r="1601" s="2" customFormat="1" spans="1:16">
      <c r="A1601" s="8"/>
      <c r="B1601" s="9" t="s">
        <v>2669</v>
      </c>
      <c r="C1601" s="10" t="s">
        <v>412</v>
      </c>
      <c r="D1601" s="11">
        <v>1</v>
      </c>
      <c r="E1601" s="12">
        <v>2232</v>
      </c>
      <c r="F1601" s="13">
        <v>2232</v>
      </c>
      <c r="G1601" s="2">
        <f>VLOOKUP(B1601,'PO with created By ASR'!A:C,3,FALSE)</f>
        <v>45695</v>
      </c>
      <c r="J1601" s="2" t="str">
        <f>VLOOKUP(B1601,'PO with created By ASR'!A:G,4,FALSE)</f>
        <v>Suresh Pardhle  -CR</v>
      </c>
      <c r="K1601" s="2" t="e">
        <f>VLOOKUP(B1601,'PO with created By ASR'!A:I,6,FALSE)</f>
        <v>#N/A</v>
      </c>
      <c r="L1601" s="2" t="str">
        <f>VLOOKUP(B1601,'PO with created By ASR'!A:J,7,FALSE)</f>
        <v>A - Mumbai</v>
      </c>
      <c r="M1601" s="2" t="str">
        <f>VLOOKUP(B1601,'PO with created By ASR'!A:K,8,FALSE)</f>
        <v>Purchase Order-Mum</v>
      </c>
      <c r="N1601" t="s">
        <v>36</v>
      </c>
      <c r="P1601" s="2">
        <v>6</v>
      </c>
    </row>
    <row r="1602" s="2" customFormat="1" spans="1:16">
      <c r="A1602" s="8"/>
      <c r="B1602" s="9" t="s">
        <v>2670</v>
      </c>
      <c r="C1602" s="10" t="s">
        <v>126</v>
      </c>
      <c r="D1602" s="11">
        <v>1</v>
      </c>
      <c r="E1602" s="12">
        <v>166</v>
      </c>
      <c r="F1602" s="13">
        <v>166</v>
      </c>
      <c r="G1602" s="2">
        <f>VLOOKUP(B1602,'PO with created By ASR'!A:C,3,FALSE)</f>
        <v>45695</v>
      </c>
      <c r="J1602" s="2" t="str">
        <f>VLOOKUP(B1602,'PO with created By ASR'!A:G,4,FALSE)</f>
        <v>Padmakar Jadhav -CR</v>
      </c>
      <c r="K1602" s="2" t="e">
        <f>VLOOKUP(B1602,'PO with created By ASR'!A:I,6,FALSE)</f>
        <v>#N/A</v>
      </c>
      <c r="L1602" s="2" t="str">
        <f>VLOOKUP(B1602,'PO with created By ASR'!A:J,7,FALSE)</f>
        <v>A - Mumbai</v>
      </c>
      <c r="M1602" s="2" t="str">
        <f>VLOOKUP(B1602,'PO with created By ASR'!A:K,8,FALSE)</f>
        <v>Purchase Order-Mum</v>
      </c>
      <c r="N1602" t="s">
        <v>36</v>
      </c>
      <c r="P1602" s="2">
        <v>6</v>
      </c>
    </row>
    <row r="1603" s="2" customFormat="1" spans="1:16">
      <c r="A1603" s="8"/>
      <c r="B1603" s="9" t="s">
        <v>2670</v>
      </c>
      <c r="C1603" s="10" t="s">
        <v>412</v>
      </c>
      <c r="D1603" s="11">
        <v>1</v>
      </c>
      <c r="E1603" s="12">
        <v>150</v>
      </c>
      <c r="F1603" s="13">
        <v>150</v>
      </c>
      <c r="G1603" s="2">
        <f>VLOOKUP(B1603,'PO with created By ASR'!A:C,3,FALSE)</f>
        <v>45695</v>
      </c>
      <c r="J1603" s="2" t="str">
        <f>VLOOKUP(B1603,'PO with created By ASR'!A:G,4,FALSE)</f>
        <v>Padmakar Jadhav -CR</v>
      </c>
      <c r="K1603" s="2" t="e">
        <f>VLOOKUP(B1603,'PO with created By ASR'!A:I,6,FALSE)</f>
        <v>#N/A</v>
      </c>
      <c r="L1603" s="2" t="str">
        <f>VLOOKUP(B1603,'PO with created By ASR'!A:J,7,FALSE)</f>
        <v>A - Mumbai</v>
      </c>
      <c r="M1603" s="2" t="str">
        <f>VLOOKUP(B1603,'PO with created By ASR'!A:K,8,FALSE)</f>
        <v>Purchase Order-Mum</v>
      </c>
      <c r="N1603" t="s">
        <v>36</v>
      </c>
      <c r="P1603" s="2">
        <v>6</v>
      </c>
    </row>
    <row r="1604" s="2" customFormat="1" spans="1:16">
      <c r="A1604" s="8"/>
      <c r="B1604" s="9" t="s">
        <v>2671</v>
      </c>
      <c r="C1604" s="10" t="s">
        <v>61</v>
      </c>
      <c r="D1604" s="11">
        <v>1</v>
      </c>
      <c r="E1604" s="12">
        <v>2800</v>
      </c>
      <c r="F1604" s="13">
        <v>2800</v>
      </c>
      <c r="G1604" s="2">
        <f>VLOOKUP(B1604,'PO with created By ASR'!A:C,3,FALSE)</f>
        <v>45695</v>
      </c>
      <c r="J1604" s="2" t="str">
        <f>VLOOKUP(B1604,'PO with created By ASR'!A:G,4,FALSE)</f>
        <v>Suresh Pardhle  -CR</v>
      </c>
      <c r="K1604" s="2" t="e">
        <f>VLOOKUP(B1604,'PO with created By ASR'!A:I,6,FALSE)</f>
        <v>#N/A</v>
      </c>
      <c r="L1604" s="2" t="str">
        <f>VLOOKUP(B1604,'PO with created By ASR'!A:J,7,FALSE)</f>
        <v>A - Mumbai</v>
      </c>
      <c r="M1604" s="2" t="str">
        <f>VLOOKUP(B1604,'PO with created By ASR'!A:K,8,FALSE)</f>
        <v>Purchase Order-Mum</v>
      </c>
      <c r="N1604" t="s">
        <v>36</v>
      </c>
      <c r="P1604" s="2">
        <v>6</v>
      </c>
    </row>
    <row r="1605" s="2" customFormat="1" spans="1:16">
      <c r="A1605" s="8"/>
      <c r="B1605" s="9" t="s">
        <v>2671</v>
      </c>
      <c r="C1605" s="10" t="s">
        <v>1055</v>
      </c>
      <c r="D1605" s="11">
        <v>1</v>
      </c>
      <c r="E1605" s="12">
        <v>1350</v>
      </c>
      <c r="F1605" s="13">
        <v>1350</v>
      </c>
      <c r="G1605" s="2">
        <f>VLOOKUP(B1605,'PO with created By ASR'!A:C,3,FALSE)</f>
        <v>45695</v>
      </c>
      <c r="J1605" s="2" t="str">
        <f>VLOOKUP(B1605,'PO with created By ASR'!A:G,4,FALSE)</f>
        <v>Suresh Pardhle  -CR</v>
      </c>
      <c r="K1605" s="2" t="e">
        <f>VLOOKUP(B1605,'PO with created By ASR'!A:I,6,FALSE)</f>
        <v>#N/A</v>
      </c>
      <c r="L1605" s="2" t="str">
        <f>VLOOKUP(B1605,'PO with created By ASR'!A:J,7,FALSE)</f>
        <v>A - Mumbai</v>
      </c>
      <c r="M1605" s="2" t="str">
        <f>VLOOKUP(B1605,'PO with created By ASR'!A:K,8,FALSE)</f>
        <v>Purchase Order-Mum</v>
      </c>
      <c r="N1605" t="s">
        <v>36</v>
      </c>
      <c r="P1605" s="2">
        <v>6</v>
      </c>
    </row>
    <row r="1606" s="2" customFormat="1" spans="1:16">
      <c r="A1606" s="8"/>
      <c r="B1606" s="9" t="s">
        <v>2671</v>
      </c>
      <c r="C1606" s="10" t="s">
        <v>126</v>
      </c>
      <c r="D1606" s="11">
        <v>1</v>
      </c>
      <c r="E1606" s="12">
        <v>1416</v>
      </c>
      <c r="F1606" s="13">
        <v>1416</v>
      </c>
      <c r="G1606" s="2">
        <f>VLOOKUP(B1606,'PO with created By ASR'!A:C,3,FALSE)</f>
        <v>45695</v>
      </c>
      <c r="J1606" s="2" t="str">
        <f>VLOOKUP(B1606,'PO with created By ASR'!A:G,4,FALSE)</f>
        <v>Suresh Pardhle  -CR</v>
      </c>
      <c r="K1606" s="2" t="e">
        <f>VLOOKUP(B1606,'PO with created By ASR'!A:I,6,FALSE)</f>
        <v>#N/A</v>
      </c>
      <c r="L1606" s="2" t="str">
        <f>VLOOKUP(B1606,'PO with created By ASR'!A:J,7,FALSE)</f>
        <v>A - Mumbai</v>
      </c>
      <c r="M1606" s="2" t="str">
        <f>VLOOKUP(B1606,'PO with created By ASR'!A:K,8,FALSE)</f>
        <v>Purchase Order-Mum</v>
      </c>
      <c r="N1606" t="s">
        <v>36</v>
      </c>
      <c r="P1606" s="2">
        <v>6</v>
      </c>
    </row>
    <row r="1607" s="2" customFormat="1" spans="1:16">
      <c r="A1607" s="8"/>
      <c r="B1607" s="9" t="s">
        <v>2671</v>
      </c>
      <c r="C1607" s="10" t="s">
        <v>412</v>
      </c>
      <c r="D1607" s="11">
        <v>1</v>
      </c>
      <c r="E1607" s="12">
        <v>990</v>
      </c>
      <c r="F1607" s="13">
        <v>990</v>
      </c>
      <c r="G1607" s="2">
        <f>VLOOKUP(B1607,'PO with created By ASR'!A:C,3,FALSE)</f>
        <v>45695</v>
      </c>
      <c r="J1607" s="2" t="str">
        <f>VLOOKUP(B1607,'PO with created By ASR'!A:G,4,FALSE)</f>
        <v>Suresh Pardhle  -CR</v>
      </c>
      <c r="K1607" s="2" t="e">
        <f>VLOOKUP(B1607,'PO with created By ASR'!A:I,6,FALSE)</f>
        <v>#N/A</v>
      </c>
      <c r="L1607" s="2" t="str">
        <f>VLOOKUP(B1607,'PO with created By ASR'!A:J,7,FALSE)</f>
        <v>A - Mumbai</v>
      </c>
      <c r="M1607" s="2" t="str">
        <f>VLOOKUP(B1607,'PO with created By ASR'!A:K,8,FALSE)</f>
        <v>Purchase Order-Mum</v>
      </c>
      <c r="N1607" t="s">
        <v>36</v>
      </c>
      <c r="P1607" s="2">
        <v>6</v>
      </c>
    </row>
    <row r="1608" s="2" customFormat="1" spans="1:16">
      <c r="A1608" s="8"/>
      <c r="B1608" s="9" t="s">
        <v>2672</v>
      </c>
      <c r="C1608" s="10" t="s">
        <v>317</v>
      </c>
      <c r="D1608" s="11">
        <v>1</v>
      </c>
      <c r="E1608" s="12">
        <v>8728.48</v>
      </c>
      <c r="F1608" s="13">
        <v>8728.48</v>
      </c>
      <c r="G1608" s="2">
        <f>VLOOKUP(B1608,'PO with created By ASR'!A:C,3,FALSE)</f>
        <v>45695</v>
      </c>
      <c r="J1608" s="2" t="str">
        <f>VLOOKUP(B1608,'PO with created By ASR'!A:G,4,FALSE)</f>
        <v>Aftab Shaikh  -CR</v>
      </c>
      <c r="K1608" s="2" t="e">
        <f>VLOOKUP(B1608,'PO with created By ASR'!A:I,6,FALSE)</f>
        <v>#N/A</v>
      </c>
      <c r="L1608" s="2" t="str">
        <f>VLOOKUP(B1608,'PO with created By ASR'!A:J,7,FALSE)</f>
        <v>A - Mumbai</v>
      </c>
      <c r="M1608" s="2" t="str">
        <f>VLOOKUP(B1608,'PO with created By ASR'!A:K,8,FALSE)</f>
        <v>Purchase Order-Mum</v>
      </c>
      <c r="N1608" t="s">
        <v>36</v>
      </c>
      <c r="P1608" s="2">
        <v>6</v>
      </c>
    </row>
    <row r="1609" s="2" customFormat="1" spans="1:16">
      <c r="A1609" s="8"/>
      <c r="B1609" s="9" t="s">
        <v>2672</v>
      </c>
      <c r="C1609" s="10" t="s">
        <v>126</v>
      </c>
      <c r="D1609" s="11">
        <v>1</v>
      </c>
      <c r="E1609" s="12">
        <v>1682.38</v>
      </c>
      <c r="F1609" s="13">
        <v>1682.38</v>
      </c>
      <c r="G1609" s="2">
        <f>VLOOKUP(B1609,'PO with created By ASR'!A:C,3,FALSE)</f>
        <v>45695</v>
      </c>
      <c r="J1609" s="2" t="str">
        <f>VLOOKUP(B1609,'PO with created By ASR'!A:G,4,FALSE)</f>
        <v>Aftab Shaikh  -CR</v>
      </c>
      <c r="K1609" s="2" t="e">
        <f>VLOOKUP(B1609,'PO with created By ASR'!A:I,6,FALSE)</f>
        <v>#N/A</v>
      </c>
      <c r="L1609" s="2" t="str">
        <f>VLOOKUP(B1609,'PO with created By ASR'!A:J,7,FALSE)</f>
        <v>A - Mumbai</v>
      </c>
      <c r="M1609" s="2" t="str">
        <f>VLOOKUP(B1609,'PO with created By ASR'!A:K,8,FALSE)</f>
        <v>Purchase Order-Mum</v>
      </c>
      <c r="N1609" t="s">
        <v>36</v>
      </c>
      <c r="P1609" s="2">
        <v>6</v>
      </c>
    </row>
    <row r="1610" s="2" customFormat="1" spans="1:16">
      <c r="A1610" s="8"/>
      <c r="B1610" s="9" t="s">
        <v>2672</v>
      </c>
      <c r="C1610" s="10" t="s">
        <v>412</v>
      </c>
      <c r="D1610" s="11">
        <v>1</v>
      </c>
      <c r="E1610" s="12">
        <v>16860.9</v>
      </c>
      <c r="F1610" s="13">
        <v>16860.9</v>
      </c>
      <c r="G1610" s="2">
        <f>VLOOKUP(B1610,'PO with created By ASR'!A:C,3,FALSE)</f>
        <v>45695</v>
      </c>
      <c r="J1610" s="2" t="str">
        <f>VLOOKUP(B1610,'PO with created By ASR'!A:G,4,FALSE)</f>
        <v>Aftab Shaikh  -CR</v>
      </c>
      <c r="K1610" s="2" t="e">
        <f>VLOOKUP(B1610,'PO with created By ASR'!A:I,6,FALSE)</f>
        <v>#N/A</v>
      </c>
      <c r="L1610" s="2" t="str">
        <f>VLOOKUP(B1610,'PO with created By ASR'!A:J,7,FALSE)</f>
        <v>A - Mumbai</v>
      </c>
      <c r="M1610" s="2" t="str">
        <f>VLOOKUP(B1610,'PO with created By ASR'!A:K,8,FALSE)</f>
        <v>Purchase Order-Mum</v>
      </c>
      <c r="N1610" t="s">
        <v>36</v>
      </c>
      <c r="P1610" s="2">
        <v>6</v>
      </c>
    </row>
    <row r="1611" s="2" customFormat="1" spans="1:16">
      <c r="A1611" s="8"/>
      <c r="B1611" s="9" t="s">
        <v>2673</v>
      </c>
      <c r="C1611" s="10" t="s">
        <v>317</v>
      </c>
      <c r="D1611" s="11">
        <v>1</v>
      </c>
      <c r="E1611" s="12">
        <v>1971</v>
      </c>
      <c r="F1611" s="13">
        <v>1971</v>
      </c>
      <c r="G1611" s="2">
        <f>VLOOKUP(B1611,'PO with created By ASR'!A:C,3,FALSE)</f>
        <v>45695</v>
      </c>
      <c r="J1611" s="2" t="str">
        <f>VLOOKUP(B1611,'PO with created By ASR'!A:G,4,FALSE)</f>
        <v>Justin Francis Vadakkan  -CR</v>
      </c>
      <c r="K1611" s="2" t="e">
        <f>VLOOKUP(B1611,'PO with created By ASR'!A:I,6,FALSE)</f>
        <v>#N/A</v>
      </c>
      <c r="L1611" s="2" t="str">
        <f>VLOOKUP(B1611,'PO with created By ASR'!A:J,7,FALSE)</f>
        <v>A - Mumbai</v>
      </c>
      <c r="M1611" s="2" t="str">
        <f>VLOOKUP(B1611,'PO with created By ASR'!A:K,8,FALSE)</f>
        <v>Purchase Order-Mum</v>
      </c>
      <c r="N1611" t="s">
        <v>36</v>
      </c>
      <c r="P1611" s="2">
        <v>6</v>
      </c>
    </row>
    <row r="1612" s="2" customFormat="1" spans="1:16">
      <c r="A1612" s="8"/>
      <c r="B1612" s="9" t="s">
        <v>2673</v>
      </c>
      <c r="C1612" s="10" t="s">
        <v>126</v>
      </c>
      <c r="D1612" s="11">
        <v>1</v>
      </c>
      <c r="E1612" s="12">
        <v>2379</v>
      </c>
      <c r="F1612" s="13">
        <v>2379</v>
      </c>
      <c r="G1612" s="2">
        <f>VLOOKUP(B1612,'PO with created By ASR'!A:C,3,FALSE)</f>
        <v>45695</v>
      </c>
      <c r="J1612" s="2" t="str">
        <f>VLOOKUP(B1612,'PO with created By ASR'!A:G,4,FALSE)</f>
        <v>Justin Francis Vadakkan  -CR</v>
      </c>
      <c r="K1612" s="2" t="e">
        <f>VLOOKUP(B1612,'PO with created By ASR'!A:I,6,FALSE)</f>
        <v>#N/A</v>
      </c>
      <c r="L1612" s="2" t="str">
        <f>VLOOKUP(B1612,'PO with created By ASR'!A:J,7,FALSE)</f>
        <v>A - Mumbai</v>
      </c>
      <c r="M1612" s="2" t="str">
        <f>VLOOKUP(B1612,'PO with created By ASR'!A:K,8,FALSE)</f>
        <v>Purchase Order-Mum</v>
      </c>
      <c r="N1612" t="s">
        <v>36</v>
      </c>
      <c r="P1612" s="2">
        <v>6</v>
      </c>
    </row>
    <row r="1613" s="2" customFormat="1" spans="1:16">
      <c r="A1613" s="8"/>
      <c r="B1613" s="9" t="s">
        <v>2673</v>
      </c>
      <c r="C1613" s="10" t="s">
        <v>412</v>
      </c>
      <c r="D1613" s="11">
        <v>1</v>
      </c>
      <c r="E1613" s="12">
        <v>1567.43</v>
      </c>
      <c r="F1613" s="13">
        <v>1567.43</v>
      </c>
      <c r="G1613" s="2">
        <f>VLOOKUP(B1613,'PO with created By ASR'!A:C,3,FALSE)</f>
        <v>45695</v>
      </c>
      <c r="J1613" s="2" t="str">
        <f>VLOOKUP(B1613,'PO with created By ASR'!A:G,4,FALSE)</f>
        <v>Justin Francis Vadakkan  -CR</v>
      </c>
      <c r="K1613" s="2" t="e">
        <f>VLOOKUP(B1613,'PO with created By ASR'!A:I,6,FALSE)</f>
        <v>#N/A</v>
      </c>
      <c r="L1613" s="2" t="str">
        <f>VLOOKUP(B1613,'PO with created By ASR'!A:J,7,FALSE)</f>
        <v>A - Mumbai</v>
      </c>
      <c r="M1613" s="2" t="str">
        <f>VLOOKUP(B1613,'PO with created By ASR'!A:K,8,FALSE)</f>
        <v>Purchase Order-Mum</v>
      </c>
      <c r="N1613" t="s">
        <v>36</v>
      </c>
      <c r="P1613" s="2">
        <v>6</v>
      </c>
    </row>
    <row r="1614" s="2" customFormat="1" spans="1:16">
      <c r="A1614" s="8"/>
      <c r="B1614" s="9" t="s">
        <v>2675</v>
      </c>
      <c r="C1614" s="10" t="s">
        <v>126</v>
      </c>
      <c r="D1614" s="11">
        <v>1</v>
      </c>
      <c r="E1614" s="12">
        <v>86</v>
      </c>
      <c r="F1614" s="13">
        <v>86</v>
      </c>
      <c r="G1614" s="2">
        <f>VLOOKUP(B1614,'PO with created By ASR'!A:C,3,FALSE)</f>
        <v>45695</v>
      </c>
      <c r="J1614" s="2" t="str">
        <f>VLOOKUP(B1614,'PO with created By ASR'!A:G,4,FALSE)</f>
        <v>Santosh Bhogal Cash  -CR</v>
      </c>
      <c r="K1614" s="2" t="e">
        <f>VLOOKUP(B1614,'PO with created By ASR'!A:I,6,FALSE)</f>
        <v>#N/A</v>
      </c>
      <c r="L1614" s="2" t="str">
        <f>VLOOKUP(B1614,'PO with created By ASR'!A:J,7,FALSE)</f>
        <v>A - Mumbai</v>
      </c>
      <c r="M1614" s="2" t="str">
        <f>VLOOKUP(B1614,'PO with created By ASR'!A:K,8,FALSE)</f>
        <v>Purchase Order-Mum</v>
      </c>
      <c r="N1614" t="s">
        <v>36</v>
      </c>
      <c r="P1614" s="2">
        <v>6</v>
      </c>
    </row>
    <row r="1615" s="2" customFormat="1" spans="1:16">
      <c r="A1615" s="8"/>
      <c r="B1615" s="9" t="s">
        <v>2675</v>
      </c>
      <c r="C1615" s="10" t="s">
        <v>412</v>
      </c>
      <c r="D1615" s="11">
        <v>1</v>
      </c>
      <c r="E1615" s="12">
        <v>150</v>
      </c>
      <c r="F1615" s="13">
        <v>150</v>
      </c>
      <c r="G1615" s="2">
        <f>VLOOKUP(B1615,'PO with created By ASR'!A:C,3,FALSE)</f>
        <v>45695</v>
      </c>
      <c r="J1615" s="2" t="str">
        <f>VLOOKUP(B1615,'PO with created By ASR'!A:G,4,FALSE)</f>
        <v>Santosh Bhogal Cash  -CR</v>
      </c>
      <c r="K1615" s="2" t="e">
        <f>VLOOKUP(B1615,'PO with created By ASR'!A:I,6,FALSE)</f>
        <v>#N/A</v>
      </c>
      <c r="L1615" s="2" t="str">
        <f>VLOOKUP(B1615,'PO with created By ASR'!A:J,7,FALSE)</f>
        <v>A - Mumbai</v>
      </c>
      <c r="M1615" s="2" t="str">
        <f>VLOOKUP(B1615,'PO with created By ASR'!A:K,8,FALSE)</f>
        <v>Purchase Order-Mum</v>
      </c>
      <c r="N1615" t="s">
        <v>36</v>
      </c>
      <c r="P1615" s="2">
        <v>6</v>
      </c>
    </row>
    <row r="1616" s="2" customFormat="1" spans="1:16">
      <c r="A1616" s="8"/>
      <c r="B1616" s="9" t="s">
        <v>2676</v>
      </c>
      <c r="C1616" s="10" t="s">
        <v>412</v>
      </c>
      <c r="D1616" s="11">
        <v>1</v>
      </c>
      <c r="E1616" s="12">
        <v>300</v>
      </c>
      <c r="F1616" s="13">
        <v>300</v>
      </c>
      <c r="G1616" s="2">
        <f>VLOOKUP(B1616,'PO with created By ASR'!A:C,3,FALSE)</f>
        <v>45695</v>
      </c>
      <c r="J1616" s="2" t="str">
        <f>VLOOKUP(B1616,'PO with created By ASR'!A:G,4,FALSE)</f>
        <v>Sanjay Kathale Cash -CR</v>
      </c>
      <c r="K1616" s="2" t="e">
        <f>VLOOKUP(B1616,'PO with created By ASR'!A:I,6,FALSE)</f>
        <v>#N/A</v>
      </c>
      <c r="L1616" s="2" t="str">
        <f>VLOOKUP(B1616,'PO with created By ASR'!A:J,7,FALSE)</f>
        <v>A - Mumbai</v>
      </c>
      <c r="M1616" s="2" t="str">
        <f>VLOOKUP(B1616,'PO with created By ASR'!A:K,8,FALSE)</f>
        <v>Purchase Order-Mum</v>
      </c>
      <c r="N1616" t="s">
        <v>36</v>
      </c>
      <c r="P1616" s="2">
        <v>6</v>
      </c>
    </row>
    <row r="1617" s="2" customFormat="1" spans="1:16">
      <c r="A1617" s="8"/>
      <c r="B1617" s="9" t="s">
        <v>2677</v>
      </c>
      <c r="C1617" s="10" t="s">
        <v>1176</v>
      </c>
      <c r="D1617" s="11">
        <v>1</v>
      </c>
      <c r="E1617" s="12">
        <v>352000</v>
      </c>
      <c r="F1617" s="13">
        <v>352000</v>
      </c>
      <c r="G1617" s="2">
        <f>VLOOKUP(B1617,'PO with created By ASR'!A:C,3,FALSE)</f>
        <v>45695</v>
      </c>
      <c r="J1617" s="2" t="str">
        <f>VLOOKUP(B1617,'PO with created By ASR'!A:G,4,FALSE)</f>
        <v>Lalit Great Eastern Kolkata Hotel Ltd-Mum</v>
      </c>
      <c r="K1617" s="2" t="str">
        <f>VLOOKUP(B1617,'PO with created By ASR'!A:I,6,FALSE)</f>
        <v>10356  Lalit Great Eastern Kolkata Hotel Ltd</v>
      </c>
      <c r="L1617" s="2" t="str">
        <f>VLOOKUP(B1617,'PO with created By ASR'!A:J,7,FALSE)</f>
        <v>A - Mumbai</v>
      </c>
      <c r="M1617" s="2" t="str">
        <f>VLOOKUP(B1617,'PO with created By ASR'!A:K,8,FALSE)</f>
        <v>Purchase Order-Mum</v>
      </c>
      <c r="N1617" t="s">
        <v>36</v>
      </c>
      <c r="P1617" s="2">
        <v>6</v>
      </c>
    </row>
    <row r="1618" s="2" customFormat="1" spans="1:16">
      <c r="A1618" s="8"/>
      <c r="B1618" s="9" t="s">
        <v>2677</v>
      </c>
      <c r="C1618" s="10" t="s">
        <v>276</v>
      </c>
      <c r="D1618" s="11">
        <v>1</v>
      </c>
      <c r="E1618" s="12">
        <v>150000</v>
      </c>
      <c r="F1618" s="13">
        <v>150000</v>
      </c>
      <c r="G1618" s="2">
        <f>VLOOKUP(B1618,'PO with created By ASR'!A:C,3,FALSE)</f>
        <v>45695</v>
      </c>
      <c r="J1618" s="2" t="str">
        <f>VLOOKUP(B1618,'PO with created By ASR'!A:G,4,FALSE)</f>
        <v>Lalit Great Eastern Kolkata Hotel Ltd-Mum</v>
      </c>
      <c r="K1618" s="2" t="str">
        <f>VLOOKUP(B1618,'PO with created By ASR'!A:I,6,FALSE)</f>
        <v>10356  Lalit Great Eastern Kolkata Hotel Ltd</v>
      </c>
      <c r="L1618" s="2" t="str">
        <f>VLOOKUP(B1618,'PO with created By ASR'!A:J,7,FALSE)</f>
        <v>A - Mumbai</v>
      </c>
      <c r="M1618" s="2" t="str">
        <f>VLOOKUP(B1618,'PO with created By ASR'!A:K,8,FALSE)</f>
        <v>Purchase Order-Mum</v>
      </c>
      <c r="N1618" t="s">
        <v>36</v>
      </c>
      <c r="P1618" s="2">
        <v>6</v>
      </c>
    </row>
    <row r="1619" s="2" customFormat="1" spans="1:16">
      <c r="A1619" s="8"/>
      <c r="B1619" s="9" t="s">
        <v>2680</v>
      </c>
      <c r="C1619" s="10" t="s">
        <v>250</v>
      </c>
      <c r="D1619" s="11">
        <v>1</v>
      </c>
      <c r="E1619" s="12">
        <v>1800000</v>
      </c>
      <c r="F1619" s="13">
        <v>1800000</v>
      </c>
      <c r="G1619" s="2">
        <f>VLOOKUP(B1619,'PO with created By ASR'!A:C,3,FALSE)</f>
        <v>45695</v>
      </c>
      <c r="J1619" s="2" t="str">
        <f>VLOOKUP(B1619,'PO with created By ASR'!A:G,4,FALSE)</f>
        <v>Abhay Deol-Mum</v>
      </c>
      <c r="K1619" s="2" t="str">
        <f>VLOOKUP(B1619,'PO with created By ASR'!A:I,6,FALSE)</f>
        <v>12926 Abhay Deol</v>
      </c>
      <c r="L1619" s="2" t="str">
        <f>VLOOKUP(B1619,'PO with created By ASR'!A:J,7,FALSE)</f>
        <v>A - Mumbai</v>
      </c>
      <c r="M1619" s="2" t="str">
        <f>VLOOKUP(B1619,'PO with created By ASR'!A:K,8,FALSE)</f>
        <v>Purchase Order-Mum</v>
      </c>
      <c r="N1619" t="s">
        <v>36</v>
      </c>
      <c r="P1619" s="2">
        <v>6</v>
      </c>
    </row>
    <row r="1620" s="2" customFormat="1" spans="1:16">
      <c r="A1620" s="8"/>
      <c r="B1620" s="9" t="s">
        <v>2686</v>
      </c>
      <c r="C1620" s="10" t="s">
        <v>803</v>
      </c>
      <c r="D1620" s="11">
        <v>1</v>
      </c>
      <c r="E1620" s="12">
        <v>94.94</v>
      </c>
      <c r="F1620" s="13">
        <v>94.94</v>
      </c>
      <c r="G1620" s="2">
        <f>VLOOKUP(B1620,'PO with created By ASR'!A:C,3,FALSE)</f>
        <v>45696</v>
      </c>
      <c r="J1620" s="2" t="str">
        <f>VLOOKUP(B1620,'PO with created By ASR'!A:G,4,FALSE)</f>
        <v>Meta Platforms Ireland Ltd-Mum</v>
      </c>
      <c r="K1620" s="2" t="str">
        <f>VLOOKUP(B1620,'PO with created By ASR'!A:I,6,FALSE)</f>
        <v>11580  Meta Platforms Ireland Ltd</v>
      </c>
      <c r="L1620" s="2" t="str">
        <f>VLOOKUP(B1620,'PO with created By ASR'!A:J,7,FALSE)</f>
        <v>A - Mumbai</v>
      </c>
      <c r="M1620" s="2" t="str">
        <f>VLOOKUP(B1620,'PO with created By ASR'!A:K,8,FALSE)</f>
        <v>Purchase Order-Mum</v>
      </c>
      <c r="N1620" t="s">
        <v>36</v>
      </c>
      <c r="P1620" s="2">
        <v>6</v>
      </c>
    </row>
    <row r="1621" s="2" customFormat="1" spans="1:16">
      <c r="A1621" s="8"/>
      <c r="B1621" s="9" t="s">
        <v>2687</v>
      </c>
      <c r="C1621" s="10" t="s">
        <v>140</v>
      </c>
      <c r="D1621" s="11">
        <v>1</v>
      </c>
      <c r="E1621" s="12">
        <v>81600</v>
      </c>
      <c r="F1621" s="13">
        <v>81600</v>
      </c>
      <c r="G1621" s="2">
        <f>VLOOKUP(B1621,'PO with created By ASR'!A:C,3,FALSE)</f>
        <v>45696</v>
      </c>
      <c r="J1621" s="2" t="str">
        <f>VLOOKUP(B1621,'PO with created By ASR'!A:G,4,FALSE)</f>
        <v>Shreeji International-Mum</v>
      </c>
      <c r="K1621" s="2" t="str">
        <f>VLOOKUP(B1621,'PO with created By ASR'!A:I,6,FALSE)</f>
        <v>11406 Shreeji International</v>
      </c>
      <c r="L1621" s="2" t="str">
        <f>VLOOKUP(B1621,'PO with created By ASR'!A:J,7,FALSE)</f>
        <v>A - Mumbai</v>
      </c>
      <c r="M1621" s="2" t="str">
        <f>VLOOKUP(B1621,'PO with created By ASR'!A:K,8,FALSE)</f>
        <v>Purchase Order-Mum</v>
      </c>
      <c r="N1621" t="s">
        <v>36</v>
      </c>
      <c r="P1621" s="2">
        <v>6</v>
      </c>
    </row>
    <row r="1622" s="2" customFormat="1" spans="1:16">
      <c r="A1622" s="8"/>
      <c r="B1622" s="9" t="s">
        <v>2691</v>
      </c>
      <c r="C1622" s="10" t="s">
        <v>61</v>
      </c>
      <c r="D1622" s="11">
        <v>1</v>
      </c>
      <c r="E1622" s="12">
        <v>325</v>
      </c>
      <c r="F1622" s="13">
        <v>325</v>
      </c>
      <c r="G1622" s="2">
        <f>VLOOKUP(B1622,'PO with created By ASR'!A:C,3,FALSE)</f>
        <v>45698</v>
      </c>
      <c r="J1622" s="2" t="str">
        <f>VLOOKUP(B1622,'PO with created By ASR'!A:G,4,FALSE)</f>
        <v>Welcom Hotel Bengaluru (ITC Hotels Ltd)-Blr</v>
      </c>
      <c r="K1622" s="2" t="str">
        <f>VLOOKUP(B1622,'PO with created By ASR'!A:I,6,FALSE)</f>
        <v>12873  Welcom Hotel Bengaluru (ITC Hotels Ltd)</v>
      </c>
      <c r="L1622" s="2" t="str">
        <f>VLOOKUP(B1622,'PO with created By ASR'!A:J,7,FALSE)</f>
        <v>B - Bangalore</v>
      </c>
      <c r="M1622" s="2" t="str">
        <f>VLOOKUP(B1622,'PO with created By ASR'!A:K,8,FALSE)</f>
        <v>Purchase Order-Blr</v>
      </c>
      <c r="N1622" t="s">
        <v>36</v>
      </c>
      <c r="P1622" s="2">
        <v>6</v>
      </c>
    </row>
    <row r="1623" s="2" customFormat="1" spans="1:16">
      <c r="A1623" s="8"/>
      <c r="B1623" s="9" t="s">
        <v>2691</v>
      </c>
      <c r="C1623" s="10" t="s">
        <v>276</v>
      </c>
      <c r="D1623" s="11">
        <v>1</v>
      </c>
      <c r="E1623" s="12">
        <v>3050</v>
      </c>
      <c r="F1623" s="13">
        <v>3050</v>
      </c>
      <c r="G1623" s="2">
        <f>VLOOKUP(B1623,'PO with created By ASR'!A:C,3,FALSE)</f>
        <v>45698</v>
      </c>
      <c r="J1623" s="2" t="str">
        <f>VLOOKUP(B1623,'PO with created By ASR'!A:G,4,FALSE)</f>
        <v>Welcom Hotel Bengaluru (ITC Hotels Ltd)-Blr</v>
      </c>
      <c r="K1623" s="2" t="str">
        <f>VLOOKUP(B1623,'PO with created By ASR'!A:I,6,FALSE)</f>
        <v>12873  Welcom Hotel Bengaluru (ITC Hotels Ltd)</v>
      </c>
      <c r="L1623" s="2" t="str">
        <f>VLOOKUP(B1623,'PO with created By ASR'!A:J,7,FALSE)</f>
        <v>B - Bangalore</v>
      </c>
      <c r="M1623" s="2" t="str">
        <f>VLOOKUP(B1623,'PO with created By ASR'!A:K,8,FALSE)</f>
        <v>Purchase Order-Blr</v>
      </c>
      <c r="N1623" t="s">
        <v>36</v>
      </c>
      <c r="P1623" s="2">
        <v>6</v>
      </c>
    </row>
    <row r="1624" s="2" customFormat="1" spans="1:16">
      <c r="A1624" s="8"/>
      <c r="B1624" s="9" t="s">
        <v>2692</v>
      </c>
      <c r="C1624" s="10" t="s">
        <v>151</v>
      </c>
      <c r="D1624" s="11">
        <v>1</v>
      </c>
      <c r="E1624" s="12">
        <v>92000</v>
      </c>
      <c r="F1624" s="13">
        <v>92000</v>
      </c>
      <c r="G1624" s="2">
        <f>VLOOKUP(B1624,'PO with created By ASR'!A:C,3,FALSE)</f>
        <v>45698</v>
      </c>
      <c r="J1624" s="2" t="str">
        <f>VLOOKUP(B1624,'PO with created By ASR'!A:G,4,FALSE)</f>
        <v>Jay Jagannath Samal Event Production-Blr</v>
      </c>
      <c r="K1624" s="2" t="str">
        <f>VLOOKUP(B1624,'PO with created By ASR'!A:I,6,FALSE)</f>
        <v>12049 Jay Jagannath Samal Event Production</v>
      </c>
      <c r="L1624" s="2" t="str">
        <f>VLOOKUP(B1624,'PO with created By ASR'!A:J,7,FALSE)</f>
        <v>B - Bangalore</v>
      </c>
      <c r="M1624" s="2" t="str">
        <f>VLOOKUP(B1624,'PO with created By ASR'!A:K,8,FALSE)</f>
        <v>Purchase Order-Blr</v>
      </c>
      <c r="N1624" t="s">
        <v>36</v>
      </c>
      <c r="P1624" s="2">
        <v>6</v>
      </c>
    </row>
    <row r="1625" s="2" customFormat="1" spans="1:16">
      <c r="A1625" s="8"/>
      <c r="B1625" s="9" t="s">
        <v>2695</v>
      </c>
      <c r="C1625" s="10" t="s">
        <v>292</v>
      </c>
      <c r="D1625" s="11">
        <v>1</v>
      </c>
      <c r="E1625" s="12">
        <v>10000</v>
      </c>
      <c r="F1625" s="13">
        <v>10000</v>
      </c>
      <c r="G1625" s="2">
        <f>VLOOKUP(B1625,'PO with created By ASR'!A:C,3,FALSE)</f>
        <v>45698</v>
      </c>
      <c r="J1625" s="2" t="str">
        <f>VLOOKUP(B1625,'PO with created By ASR'!A:G,4,FALSE)</f>
        <v>Blue Gem Entertainment and Events-Blr</v>
      </c>
      <c r="K1625" s="2" t="str">
        <f>VLOOKUP(B1625,'PO with created By ASR'!A:I,6,FALSE)</f>
        <v>11737 Blue Gem Entertainment and Events</v>
      </c>
      <c r="L1625" s="2" t="str">
        <f>VLOOKUP(B1625,'PO with created By ASR'!A:J,7,FALSE)</f>
        <v>B - Bangalore</v>
      </c>
      <c r="M1625" s="2" t="str">
        <f>VLOOKUP(B1625,'PO with created By ASR'!A:K,8,FALSE)</f>
        <v>Purchase Order-Blr</v>
      </c>
      <c r="N1625" t="s">
        <v>36</v>
      </c>
      <c r="P1625" s="2">
        <v>6</v>
      </c>
    </row>
    <row r="1626" s="2" customFormat="1" spans="1:16">
      <c r="A1626" s="8"/>
      <c r="B1626" s="9" t="s">
        <v>2696</v>
      </c>
      <c r="C1626" s="10" t="s">
        <v>347</v>
      </c>
      <c r="D1626" s="11">
        <v>1</v>
      </c>
      <c r="E1626" s="12">
        <v>9000</v>
      </c>
      <c r="F1626" s="13">
        <v>9000</v>
      </c>
      <c r="G1626" s="2">
        <f>VLOOKUP(B1626,'PO with created By ASR'!A:C,3,FALSE)</f>
        <v>45698</v>
      </c>
      <c r="J1626" s="2" t="str">
        <f>VLOOKUP(B1626,'PO with created By ASR'!A:G,4,FALSE)</f>
        <v>Prismscale Pvt Ltd-Blr</v>
      </c>
      <c r="K1626" s="2" t="str">
        <f>VLOOKUP(B1626,'PO with created By ASR'!A:I,6,FALSE)</f>
        <v>12869  Prismscale Pvt Ltd</v>
      </c>
      <c r="L1626" s="2" t="str">
        <f>VLOOKUP(B1626,'PO with created By ASR'!A:J,7,FALSE)</f>
        <v>B - Bangalore</v>
      </c>
      <c r="M1626" s="2" t="str">
        <f>VLOOKUP(B1626,'PO with created By ASR'!A:K,8,FALSE)</f>
        <v>Purchase Order-Blr</v>
      </c>
      <c r="N1626" t="s">
        <v>36</v>
      </c>
      <c r="P1626" s="2">
        <v>6</v>
      </c>
    </row>
    <row r="1627" s="2" customFormat="1" spans="1:16">
      <c r="A1627" s="8"/>
      <c r="B1627" s="9" t="s">
        <v>2697</v>
      </c>
      <c r="C1627" s="10" t="s">
        <v>126</v>
      </c>
      <c r="D1627" s="11">
        <v>1</v>
      </c>
      <c r="E1627" s="12">
        <v>2804</v>
      </c>
      <c r="F1627" s="13">
        <v>2804</v>
      </c>
      <c r="G1627" s="2">
        <f>VLOOKUP(B1627,'PO with created By ASR'!A:C,3,FALSE)</f>
        <v>45698</v>
      </c>
      <c r="J1627" s="2" t="str">
        <f>VLOOKUP(B1627,'PO with created By ASR'!A:G,4,FALSE)</f>
        <v>Srinivasa Dasari  -CR</v>
      </c>
      <c r="K1627" s="2" t="e">
        <f>VLOOKUP(B1627,'PO with created By ASR'!A:I,6,FALSE)</f>
        <v>#N/A</v>
      </c>
      <c r="L1627" s="2" t="str">
        <f>VLOOKUP(B1627,'PO with created By ASR'!A:J,7,FALSE)</f>
        <v>B - Bangalore</v>
      </c>
      <c r="M1627" s="2" t="str">
        <f>VLOOKUP(B1627,'PO with created By ASR'!A:K,8,FALSE)</f>
        <v>Purchase Order-Blr</v>
      </c>
      <c r="N1627" t="s">
        <v>36</v>
      </c>
      <c r="P1627" s="2">
        <v>6</v>
      </c>
    </row>
    <row r="1628" s="2" customFormat="1" spans="1:16">
      <c r="A1628" s="8"/>
      <c r="B1628" s="9" t="s">
        <v>2697</v>
      </c>
      <c r="C1628" s="10" t="s">
        <v>61</v>
      </c>
      <c r="D1628" s="11">
        <v>1</v>
      </c>
      <c r="E1628" s="12">
        <v>12544</v>
      </c>
      <c r="F1628" s="13">
        <v>12544</v>
      </c>
      <c r="G1628" s="2">
        <f>VLOOKUP(B1628,'PO with created By ASR'!A:C,3,FALSE)</f>
        <v>45698</v>
      </c>
      <c r="J1628" s="2" t="str">
        <f>VLOOKUP(B1628,'PO with created By ASR'!A:G,4,FALSE)</f>
        <v>Srinivasa Dasari  -CR</v>
      </c>
      <c r="K1628" s="2" t="e">
        <f>VLOOKUP(B1628,'PO with created By ASR'!A:I,6,FALSE)</f>
        <v>#N/A</v>
      </c>
      <c r="L1628" s="2" t="str">
        <f>VLOOKUP(B1628,'PO with created By ASR'!A:J,7,FALSE)</f>
        <v>B - Bangalore</v>
      </c>
      <c r="M1628" s="2" t="str">
        <f>VLOOKUP(B1628,'PO with created By ASR'!A:K,8,FALSE)</f>
        <v>Purchase Order-Blr</v>
      </c>
      <c r="N1628" t="s">
        <v>36</v>
      </c>
      <c r="P1628" s="2">
        <v>6</v>
      </c>
    </row>
    <row r="1629" s="2" customFormat="1" spans="1:16">
      <c r="A1629" s="8"/>
      <c r="B1629" s="9" t="s">
        <v>2697</v>
      </c>
      <c r="C1629" s="10" t="s">
        <v>412</v>
      </c>
      <c r="D1629" s="11">
        <v>1</v>
      </c>
      <c r="E1629" s="12">
        <v>2153</v>
      </c>
      <c r="F1629" s="13">
        <v>2153</v>
      </c>
      <c r="G1629" s="2">
        <f>VLOOKUP(B1629,'PO with created By ASR'!A:C,3,FALSE)</f>
        <v>45698</v>
      </c>
      <c r="J1629" s="2" t="str">
        <f>VLOOKUP(B1629,'PO with created By ASR'!A:G,4,FALSE)</f>
        <v>Srinivasa Dasari  -CR</v>
      </c>
      <c r="K1629" s="2" t="e">
        <f>VLOOKUP(B1629,'PO with created By ASR'!A:I,6,FALSE)</f>
        <v>#N/A</v>
      </c>
      <c r="L1629" s="2" t="str">
        <f>VLOOKUP(B1629,'PO with created By ASR'!A:J,7,FALSE)</f>
        <v>B - Bangalore</v>
      </c>
      <c r="M1629" s="2" t="str">
        <f>VLOOKUP(B1629,'PO with created By ASR'!A:K,8,FALSE)</f>
        <v>Purchase Order-Blr</v>
      </c>
      <c r="N1629" t="s">
        <v>36</v>
      </c>
      <c r="P1629" s="2">
        <v>6</v>
      </c>
    </row>
    <row r="1630" s="2" customFormat="1" spans="1:16">
      <c r="A1630" s="8"/>
      <c r="B1630" s="9" t="s">
        <v>2698</v>
      </c>
      <c r="C1630" s="10" t="s">
        <v>292</v>
      </c>
      <c r="D1630" s="11">
        <v>1</v>
      </c>
      <c r="E1630" s="12">
        <v>176000</v>
      </c>
      <c r="F1630" s="13">
        <v>176000</v>
      </c>
      <c r="G1630" s="2">
        <f>VLOOKUP(B1630,'PO with created By ASR'!A:C,3,FALSE)</f>
        <v>45698</v>
      </c>
      <c r="J1630" s="2" t="str">
        <f>VLOOKUP(B1630,'PO with created By ASR'!A:G,4,FALSE)</f>
        <v>Blue Gem Entertainment and Events-Blr</v>
      </c>
      <c r="K1630" s="2" t="str">
        <f>VLOOKUP(B1630,'PO with created By ASR'!A:I,6,FALSE)</f>
        <v>11737 Blue Gem Entertainment and Events</v>
      </c>
      <c r="L1630" s="2" t="str">
        <f>VLOOKUP(B1630,'PO with created By ASR'!A:J,7,FALSE)</f>
        <v>B - Bangalore</v>
      </c>
      <c r="M1630" s="2" t="str">
        <f>VLOOKUP(B1630,'PO with created By ASR'!A:K,8,FALSE)</f>
        <v>Purchase Order-Blr</v>
      </c>
      <c r="N1630" t="s">
        <v>36</v>
      </c>
      <c r="P1630" s="2">
        <v>6</v>
      </c>
    </row>
    <row r="1631" s="2" customFormat="1" spans="1:16">
      <c r="A1631" s="8"/>
      <c r="B1631" s="9" t="s">
        <v>2699</v>
      </c>
      <c r="C1631" s="10" t="s">
        <v>401</v>
      </c>
      <c r="D1631" s="11">
        <v>1</v>
      </c>
      <c r="E1631" s="12">
        <v>100000</v>
      </c>
      <c r="F1631" s="13">
        <v>100000</v>
      </c>
      <c r="G1631" s="2">
        <f>VLOOKUP(B1631,'PO with created By ASR'!A:C,3,FALSE)</f>
        <v>45698</v>
      </c>
      <c r="J1631" s="2" t="str">
        <f>VLOOKUP(B1631,'PO with created By ASR'!A:G,4,FALSE)</f>
        <v>Radhatech Inc-Blr</v>
      </c>
      <c r="K1631" s="2" t="str">
        <f>VLOOKUP(B1631,'PO with created By ASR'!A:I,6,FALSE)</f>
        <v>12305 Radhatech Inc</v>
      </c>
      <c r="L1631" s="2" t="str">
        <f>VLOOKUP(B1631,'PO with created By ASR'!A:J,7,FALSE)</f>
        <v>B - Bangalore</v>
      </c>
      <c r="M1631" s="2" t="str">
        <f>VLOOKUP(B1631,'PO with created By ASR'!A:K,8,FALSE)</f>
        <v>Purchase Order-Blr</v>
      </c>
      <c r="N1631" t="s">
        <v>36</v>
      </c>
      <c r="P1631" s="2">
        <v>6</v>
      </c>
    </row>
    <row r="1632" s="2" customFormat="1" spans="1:16">
      <c r="A1632" s="8"/>
      <c r="B1632" s="9" t="s">
        <v>2702</v>
      </c>
      <c r="C1632" s="10" t="s">
        <v>371</v>
      </c>
      <c r="D1632" s="11">
        <v>1</v>
      </c>
      <c r="E1632" s="12">
        <v>75000</v>
      </c>
      <c r="F1632" s="13">
        <v>75000</v>
      </c>
      <c r="G1632" s="2">
        <f>VLOOKUP(B1632,'PO with created By ASR'!A:C,3,FALSE)</f>
        <v>45698</v>
      </c>
      <c r="J1632" s="2" t="str">
        <f>VLOOKUP(B1632,'PO with created By ASR'!A:G,4,FALSE)</f>
        <v>Ashik Mobile Generator-Blr</v>
      </c>
      <c r="K1632" s="2" t="str">
        <f>VLOOKUP(B1632,'PO with created By ASR'!A:I,6,FALSE)</f>
        <v>11685 Ashik Mobile Generator</v>
      </c>
      <c r="L1632" s="2" t="str">
        <f>VLOOKUP(B1632,'PO with created By ASR'!A:J,7,FALSE)</f>
        <v>B - Bangalore</v>
      </c>
      <c r="M1632" s="2" t="str">
        <f>VLOOKUP(B1632,'PO with created By ASR'!A:K,8,FALSE)</f>
        <v>Purchase Order-Blr</v>
      </c>
      <c r="N1632" t="s">
        <v>36</v>
      </c>
      <c r="P1632" s="2">
        <v>6</v>
      </c>
    </row>
    <row r="1633" s="2" customFormat="1" spans="1:16">
      <c r="A1633" s="8"/>
      <c r="B1633" s="9" t="s">
        <v>2703</v>
      </c>
      <c r="C1633" s="10" t="s">
        <v>777</v>
      </c>
      <c r="D1633" s="11">
        <v>1</v>
      </c>
      <c r="E1633" s="12">
        <v>2993</v>
      </c>
      <c r="F1633" s="13">
        <v>2993</v>
      </c>
      <c r="G1633" s="2">
        <f>VLOOKUP(B1633,'PO with created By ASR'!A:C,3,FALSE)</f>
        <v>45698</v>
      </c>
      <c r="J1633" s="2" t="str">
        <f>VLOOKUP(B1633,'PO with created By ASR'!A:G,4,FALSE)</f>
        <v>Stepone Office Stationers-Blr</v>
      </c>
      <c r="K1633" s="2" t="str">
        <f>VLOOKUP(B1633,'PO with created By ASR'!A:I,6,FALSE)</f>
        <v>12459 Stepone Office Stationers</v>
      </c>
      <c r="L1633" s="2" t="str">
        <f>VLOOKUP(B1633,'PO with created By ASR'!A:J,7,FALSE)</f>
        <v>B - Bangalore</v>
      </c>
      <c r="M1633" s="2" t="str">
        <f>VLOOKUP(B1633,'PO with created By ASR'!A:K,8,FALSE)</f>
        <v>Purchase Order-Blr</v>
      </c>
      <c r="N1633" t="s">
        <v>36</v>
      </c>
      <c r="P1633" s="2">
        <v>6</v>
      </c>
    </row>
    <row r="1634" s="2" customFormat="1" spans="1:16">
      <c r="A1634" s="8"/>
      <c r="B1634" s="9" t="s">
        <v>2703</v>
      </c>
      <c r="C1634" s="10" t="s">
        <v>777</v>
      </c>
      <c r="D1634" s="11">
        <v>1</v>
      </c>
      <c r="E1634" s="12">
        <v>2946.5</v>
      </c>
      <c r="F1634" s="13">
        <v>2946.5</v>
      </c>
      <c r="G1634" s="2">
        <f>VLOOKUP(B1634,'PO with created By ASR'!A:C,3,FALSE)</f>
        <v>45698</v>
      </c>
      <c r="J1634" s="2" t="str">
        <f>VLOOKUP(B1634,'PO with created By ASR'!A:G,4,FALSE)</f>
        <v>Stepone Office Stationers-Blr</v>
      </c>
      <c r="K1634" s="2" t="str">
        <f>VLOOKUP(B1634,'PO with created By ASR'!A:I,6,FALSE)</f>
        <v>12459 Stepone Office Stationers</v>
      </c>
      <c r="L1634" s="2" t="str">
        <f>VLOOKUP(B1634,'PO with created By ASR'!A:J,7,FALSE)</f>
        <v>B - Bangalore</v>
      </c>
      <c r="M1634" s="2" t="str">
        <f>VLOOKUP(B1634,'PO with created By ASR'!A:K,8,FALSE)</f>
        <v>Purchase Order-Blr</v>
      </c>
      <c r="N1634" t="s">
        <v>36</v>
      </c>
      <c r="P1634" s="2">
        <v>6</v>
      </c>
    </row>
    <row r="1635" s="2" customFormat="1" spans="1:16">
      <c r="A1635" s="8"/>
      <c r="B1635" s="9" t="s">
        <v>2704</v>
      </c>
      <c r="C1635" s="10" t="s">
        <v>140</v>
      </c>
      <c r="D1635" s="11">
        <v>1</v>
      </c>
      <c r="E1635" s="12">
        <v>10500</v>
      </c>
      <c r="F1635" s="13">
        <v>10500</v>
      </c>
      <c r="G1635" s="2">
        <f>VLOOKUP(B1635,'PO with created By ASR'!A:C,3,FALSE)</f>
        <v>45698</v>
      </c>
      <c r="J1635" s="2" t="str">
        <f>VLOOKUP(B1635,'PO with created By ASR'!A:G,4,FALSE)</f>
        <v>House of Hestia (OPC) Pvt Ltd-Del</v>
      </c>
      <c r="K1635" s="2" t="str">
        <f>VLOOKUP(B1635,'PO with created By ASR'!A:I,6,FALSE)</f>
        <v>12983  House of Hestia (OPC) Pvt Ltd</v>
      </c>
      <c r="L1635" s="2" t="str">
        <f>VLOOKUP(B1635,'PO with created By ASR'!A:J,7,FALSE)</f>
        <v>D - Delhi</v>
      </c>
      <c r="M1635" s="2" t="str">
        <f>VLOOKUP(B1635,'PO with created By ASR'!A:K,8,FALSE)</f>
        <v>Purchase Order-Del</v>
      </c>
      <c r="N1635" t="s">
        <v>36</v>
      </c>
      <c r="P1635" s="2">
        <v>6</v>
      </c>
    </row>
    <row r="1636" s="2" customFormat="1" spans="1:16">
      <c r="A1636" s="8"/>
      <c r="B1636" s="9" t="s">
        <v>2704</v>
      </c>
      <c r="C1636" s="10" t="s">
        <v>140</v>
      </c>
      <c r="D1636" s="11">
        <v>1</v>
      </c>
      <c r="E1636" s="12">
        <v>2700</v>
      </c>
      <c r="F1636" s="13">
        <v>2700</v>
      </c>
      <c r="G1636" s="2">
        <f>VLOOKUP(B1636,'PO with created By ASR'!A:C,3,FALSE)</f>
        <v>45698</v>
      </c>
      <c r="J1636" s="2" t="str">
        <f>VLOOKUP(B1636,'PO with created By ASR'!A:G,4,FALSE)</f>
        <v>House of Hestia (OPC) Pvt Ltd-Del</v>
      </c>
      <c r="K1636" s="2" t="str">
        <f>VLOOKUP(B1636,'PO with created By ASR'!A:I,6,FALSE)</f>
        <v>12983  House of Hestia (OPC) Pvt Ltd</v>
      </c>
      <c r="L1636" s="2" t="str">
        <f>VLOOKUP(B1636,'PO with created By ASR'!A:J,7,FALSE)</f>
        <v>D - Delhi</v>
      </c>
      <c r="M1636" s="2" t="str">
        <f>VLOOKUP(B1636,'PO with created By ASR'!A:K,8,FALSE)</f>
        <v>Purchase Order-Del</v>
      </c>
      <c r="N1636" t="s">
        <v>36</v>
      </c>
      <c r="P1636" s="2">
        <v>6</v>
      </c>
    </row>
    <row r="1637" s="2" customFormat="1" spans="1:16">
      <c r="A1637" s="8"/>
      <c r="B1637" s="9" t="s">
        <v>2709</v>
      </c>
      <c r="C1637" s="10" t="s">
        <v>61</v>
      </c>
      <c r="D1637" s="11">
        <v>1</v>
      </c>
      <c r="E1637" s="12">
        <v>617840</v>
      </c>
      <c r="F1637" s="13">
        <v>617840</v>
      </c>
      <c r="G1637" s="2">
        <f>VLOOKUP(B1637,'PO with created By ASR'!A:C,3,FALSE)</f>
        <v>45698</v>
      </c>
      <c r="J1637" s="2" t="str">
        <f>VLOOKUP(B1637,'PO with created By ASR'!A:G,4,FALSE)</f>
        <v>Royal Vacations Corporate Planners-Del</v>
      </c>
      <c r="K1637" s="2" t="str">
        <f>VLOOKUP(B1637,'PO with created By ASR'!A:I,6,FALSE)</f>
        <v>12812 Royal Vacations Corporate Planners</v>
      </c>
      <c r="L1637" s="2" t="str">
        <f>VLOOKUP(B1637,'PO with created By ASR'!A:J,7,FALSE)</f>
        <v>D - Delhi</v>
      </c>
      <c r="M1637" s="2" t="str">
        <f>VLOOKUP(B1637,'PO with created By ASR'!A:K,8,FALSE)</f>
        <v>Purchase Order-Del</v>
      </c>
      <c r="N1637" t="s">
        <v>36</v>
      </c>
      <c r="P1637" s="2">
        <v>6</v>
      </c>
    </row>
    <row r="1638" s="2" customFormat="1" spans="1:16">
      <c r="A1638" s="8"/>
      <c r="B1638" s="9" t="s">
        <v>2709</v>
      </c>
      <c r="C1638" s="10" t="s">
        <v>676</v>
      </c>
      <c r="D1638" s="11">
        <v>1</v>
      </c>
      <c r="E1638" s="12">
        <v>15446</v>
      </c>
      <c r="F1638" s="13">
        <v>15446</v>
      </c>
      <c r="G1638" s="2">
        <f>VLOOKUP(B1638,'PO with created By ASR'!A:C,3,FALSE)</f>
        <v>45698</v>
      </c>
      <c r="J1638" s="2" t="str">
        <f>VLOOKUP(B1638,'PO with created By ASR'!A:G,4,FALSE)</f>
        <v>Royal Vacations Corporate Planners-Del</v>
      </c>
      <c r="K1638" s="2" t="str">
        <f>VLOOKUP(B1638,'PO with created By ASR'!A:I,6,FALSE)</f>
        <v>12812 Royal Vacations Corporate Planners</v>
      </c>
      <c r="L1638" s="2" t="str">
        <f>VLOOKUP(B1638,'PO with created By ASR'!A:J,7,FALSE)</f>
        <v>D - Delhi</v>
      </c>
      <c r="M1638" s="2" t="str">
        <f>VLOOKUP(B1638,'PO with created By ASR'!A:K,8,FALSE)</f>
        <v>Purchase Order-Del</v>
      </c>
      <c r="N1638" t="s">
        <v>36</v>
      </c>
      <c r="P1638" s="2">
        <v>6</v>
      </c>
    </row>
    <row r="1639" s="2" customFormat="1" spans="1:16">
      <c r="A1639" s="8"/>
      <c r="B1639" s="9" t="s">
        <v>2709</v>
      </c>
      <c r="C1639" s="10" t="s">
        <v>4365</v>
      </c>
      <c r="D1639" s="11">
        <v>1</v>
      </c>
      <c r="E1639" s="12">
        <v>15446</v>
      </c>
      <c r="F1639" s="13">
        <v>15446</v>
      </c>
      <c r="G1639" s="2">
        <f>VLOOKUP(B1639,'PO with created By ASR'!A:C,3,FALSE)</f>
        <v>45698</v>
      </c>
      <c r="J1639" s="2" t="str">
        <f>VLOOKUP(B1639,'PO with created By ASR'!A:G,4,FALSE)</f>
        <v>Royal Vacations Corporate Planners-Del</v>
      </c>
      <c r="K1639" s="2" t="str">
        <f>VLOOKUP(B1639,'PO with created By ASR'!A:I,6,FALSE)</f>
        <v>12812 Royal Vacations Corporate Planners</v>
      </c>
      <c r="L1639" s="2" t="str">
        <f>VLOOKUP(B1639,'PO with created By ASR'!A:J,7,FALSE)</f>
        <v>D - Delhi</v>
      </c>
      <c r="M1639" s="2" t="str">
        <f>VLOOKUP(B1639,'PO with created By ASR'!A:K,8,FALSE)</f>
        <v>Purchase Order-Del</v>
      </c>
      <c r="N1639" t="s">
        <v>36</v>
      </c>
      <c r="P1639" s="2">
        <v>6</v>
      </c>
    </row>
    <row r="1640" s="2" customFormat="1" spans="1:16">
      <c r="A1640" s="8"/>
      <c r="B1640" s="9" t="s">
        <v>2710</v>
      </c>
      <c r="C1640" s="10" t="s">
        <v>119</v>
      </c>
      <c r="D1640" s="11">
        <v>1</v>
      </c>
      <c r="E1640" s="12">
        <v>115573.33</v>
      </c>
      <c r="F1640" s="13">
        <v>115573.33</v>
      </c>
      <c r="G1640" s="2">
        <f>VLOOKUP(B1640,'PO with created By ASR'!A:C,3,FALSE)</f>
        <v>45698</v>
      </c>
      <c r="J1640" s="2" t="str">
        <f>VLOOKUP(B1640,'PO with created By ASR'!A:G,4,FALSE)</f>
        <v>Rastey Commuting Services Pvt Ltd-Del</v>
      </c>
      <c r="K1640" s="2" t="str">
        <f>VLOOKUP(B1640,'PO with created By ASR'!A:I,6,FALSE)</f>
        <v>12319  Rastey Commuting Services Pvt Ltd</v>
      </c>
      <c r="L1640" s="2" t="str">
        <f>VLOOKUP(B1640,'PO with created By ASR'!A:J,7,FALSE)</f>
        <v>D - Delhi</v>
      </c>
      <c r="M1640" s="2" t="str">
        <f>VLOOKUP(B1640,'PO with created By ASR'!A:K,8,FALSE)</f>
        <v>Purchase Order-Del</v>
      </c>
      <c r="N1640" t="s">
        <v>36</v>
      </c>
      <c r="P1640" s="2">
        <v>6</v>
      </c>
    </row>
    <row r="1641" s="2" customFormat="1" spans="1:16">
      <c r="A1641" s="8"/>
      <c r="B1641" s="9" t="s">
        <v>2710</v>
      </c>
      <c r="C1641" s="10" t="s">
        <v>676</v>
      </c>
      <c r="D1641" s="11">
        <v>1</v>
      </c>
      <c r="E1641" s="12">
        <v>2889.33</v>
      </c>
      <c r="F1641" s="13">
        <v>2889.33</v>
      </c>
      <c r="G1641" s="2">
        <f>VLOOKUP(B1641,'PO with created By ASR'!A:C,3,FALSE)</f>
        <v>45698</v>
      </c>
      <c r="J1641" s="2" t="str">
        <f>VLOOKUP(B1641,'PO with created By ASR'!A:G,4,FALSE)</f>
        <v>Rastey Commuting Services Pvt Ltd-Del</v>
      </c>
      <c r="K1641" s="2" t="str">
        <f>VLOOKUP(B1641,'PO with created By ASR'!A:I,6,FALSE)</f>
        <v>12319  Rastey Commuting Services Pvt Ltd</v>
      </c>
      <c r="L1641" s="2" t="str">
        <f>VLOOKUP(B1641,'PO with created By ASR'!A:J,7,FALSE)</f>
        <v>D - Delhi</v>
      </c>
      <c r="M1641" s="2" t="str">
        <f>VLOOKUP(B1641,'PO with created By ASR'!A:K,8,FALSE)</f>
        <v>Purchase Order-Del</v>
      </c>
      <c r="N1641" t="s">
        <v>36</v>
      </c>
      <c r="P1641" s="2">
        <v>6</v>
      </c>
    </row>
    <row r="1642" s="2" customFormat="1" spans="1:16">
      <c r="A1642" s="8"/>
      <c r="B1642" s="9" t="s">
        <v>2710</v>
      </c>
      <c r="C1642" s="10" t="s">
        <v>4365</v>
      </c>
      <c r="D1642" s="11">
        <v>1</v>
      </c>
      <c r="E1642" s="12">
        <v>2889.33</v>
      </c>
      <c r="F1642" s="13">
        <v>2889.33</v>
      </c>
      <c r="G1642" s="2">
        <f>VLOOKUP(B1642,'PO with created By ASR'!A:C,3,FALSE)</f>
        <v>45698</v>
      </c>
      <c r="J1642" s="2" t="str">
        <f>VLOOKUP(B1642,'PO with created By ASR'!A:G,4,FALSE)</f>
        <v>Rastey Commuting Services Pvt Ltd-Del</v>
      </c>
      <c r="K1642" s="2" t="str">
        <f>VLOOKUP(B1642,'PO with created By ASR'!A:I,6,FALSE)</f>
        <v>12319  Rastey Commuting Services Pvt Ltd</v>
      </c>
      <c r="L1642" s="2" t="str">
        <f>VLOOKUP(B1642,'PO with created By ASR'!A:J,7,FALSE)</f>
        <v>D - Delhi</v>
      </c>
      <c r="M1642" s="2" t="str">
        <f>VLOOKUP(B1642,'PO with created By ASR'!A:K,8,FALSE)</f>
        <v>Purchase Order-Del</v>
      </c>
      <c r="N1642" t="s">
        <v>36</v>
      </c>
      <c r="P1642" s="2">
        <v>6</v>
      </c>
    </row>
    <row r="1643" s="2" customFormat="1" spans="1:16">
      <c r="A1643" s="8"/>
      <c r="B1643" s="9" t="s">
        <v>2711</v>
      </c>
      <c r="C1643" s="10" t="s">
        <v>734</v>
      </c>
      <c r="D1643" s="11">
        <v>1</v>
      </c>
      <c r="E1643" s="12">
        <v>1020667</v>
      </c>
      <c r="F1643" s="13">
        <v>1020667</v>
      </c>
      <c r="G1643" s="2">
        <f>VLOOKUP(B1643,'PO with created By ASR'!A:C,3,FALSE)</f>
        <v>45698</v>
      </c>
      <c r="J1643" s="2" t="str">
        <f>VLOOKUP(B1643,'PO with created By ASR'!A:G,4,FALSE)</f>
        <v>Travelnama-Del</v>
      </c>
      <c r="K1643" s="2" t="e">
        <f>VLOOKUP(B1643,'PO with created By ASR'!A:I,6,FALSE)</f>
        <v>#N/A</v>
      </c>
      <c r="L1643" s="2" t="str">
        <f>VLOOKUP(B1643,'PO with created By ASR'!A:J,7,FALSE)</f>
        <v>D - Delhi</v>
      </c>
      <c r="M1643" s="2" t="str">
        <f>VLOOKUP(B1643,'PO with created By ASR'!A:K,8,FALSE)</f>
        <v>Purchase Order-Del</v>
      </c>
      <c r="N1643" t="s">
        <v>36</v>
      </c>
      <c r="P1643" s="2">
        <v>6</v>
      </c>
    </row>
    <row r="1644" s="2" customFormat="1" spans="1:16">
      <c r="A1644" s="8"/>
      <c r="B1644" s="9" t="s">
        <v>2711</v>
      </c>
      <c r="C1644" s="10" t="s">
        <v>734</v>
      </c>
      <c r="D1644" s="11">
        <v>1</v>
      </c>
      <c r="E1644" s="12">
        <v>9276990</v>
      </c>
      <c r="F1644" s="13">
        <v>9276990</v>
      </c>
      <c r="G1644" s="2">
        <f>VLOOKUP(B1644,'PO with created By ASR'!A:C,3,FALSE)</f>
        <v>45698</v>
      </c>
      <c r="J1644" s="2" t="str">
        <f>VLOOKUP(B1644,'PO with created By ASR'!A:G,4,FALSE)</f>
        <v>Travelnama-Del</v>
      </c>
      <c r="K1644" s="2" t="e">
        <f>VLOOKUP(B1644,'PO with created By ASR'!A:I,6,FALSE)</f>
        <v>#N/A</v>
      </c>
      <c r="L1644" s="2" t="str">
        <f>VLOOKUP(B1644,'PO with created By ASR'!A:J,7,FALSE)</f>
        <v>D - Delhi</v>
      </c>
      <c r="M1644" s="2" t="str">
        <f>VLOOKUP(B1644,'PO with created By ASR'!A:K,8,FALSE)</f>
        <v>Purchase Order-Del</v>
      </c>
      <c r="N1644" t="s">
        <v>36</v>
      </c>
      <c r="P1644" s="2">
        <v>6</v>
      </c>
    </row>
    <row r="1645" s="2" customFormat="1" spans="1:16">
      <c r="A1645" s="8"/>
      <c r="B1645" s="9" t="s">
        <v>2713</v>
      </c>
      <c r="C1645" s="10" t="s">
        <v>119</v>
      </c>
      <c r="D1645" s="11">
        <v>1</v>
      </c>
      <c r="E1645" s="12">
        <v>36083</v>
      </c>
      <c r="F1645" s="13">
        <v>36083</v>
      </c>
      <c r="G1645" s="2">
        <f>VLOOKUP(B1645,'PO with created By ASR'!A:C,3,FALSE)</f>
        <v>45698</v>
      </c>
      <c r="J1645" s="2" t="str">
        <f>VLOOKUP(B1645,'PO with created By ASR'!A:G,4,FALSE)</f>
        <v>Rastey Commuting Services Pvt Ltd-Del</v>
      </c>
      <c r="K1645" s="2" t="str">
        <f>VLOOKUP(B1645,'PO with created By ASR'!A:I,6,FALSE)</f>
        <v>12319  Rastey Commuting Services Pvt Ltd</v>
      </c>
      <c r="L1645" s="2" t="str">
        <f>VLOOKUP(B1645,'PO with created By ASR'!A:J,7,FALSE)</f>
        <v>D - Delhi</v>
      </c>
      <c r="M1645" s="2" t="str">
        <f>VLOOKUP(B1645,'PO with created By ASR'!A:K,8,FALSE)</f>
        <v>Purchase Order-Del</v>
      </c>
      <c r="N1645" t="s">
        <v>36</v>
      </c>
      <c r="P1645" s="2">
        <v>6</v>
      </c>
    </row>
    <row r="1646" s="2" customFormat="1" spans="1:16">
      <c r="A1646" s="8"/>
      <c r="B1646" s="9" t="s">
        <v>2713</v>
      </c>
      <c r="C1646" s="10" t="s">
        <v>676</v>
      </c>
      <c r="D1646" s="11">
        <v>1</v>
      </c>
      <c r="E1646" s="12">
        <v>831.73</v>
      </c>
      <c r="F1646" s="13">
        <v>831.73</v>
      </c>
      <c r="G1646" s="2">
        <f>VLOOKUP(B1646,'PO with created By ASR'!A:C,3,FALSE)</f>
        <v>45698</v>
      </c>
      <c r="J1646" s="2" t="str">
        <f>VLOOKUP(B1646,'PO with created By ASR'!A:G,4,FALSE)</f>
        <v>Rastey Commuting Services Pvt Ltd-Del</v>
      </c>
      <c r="K1646" s="2" t="str">
        <f>VLOOKUP(B1646,'PO with created By ASR'!A:I,6,FALSE)</f>
        <v>12319  Rastey Commuting Services Pvt Ltd</v>
      </c>
      <c r="L1646" s="2" t="str">
        <f>VLOOKUP(B1646,'PO with created By ASR'!A:J,7,FALSE)</f>
        <v>D - Delhi</v>
      </c>
      <c r="M1646" s="2" t="str">
        <f>VLOOKUP(B1646,'PO with created By ASR'!A:K,8,FALSE)</f>
        <v>Purchase Order-Del</v>
      </c>
      <c r="N1646" t="s">
        <v>36</v>
      </c>
      <c r="P1646" s="2">
        <v>6</v>
      </c>
    </row>
    <row r="1647" s="2" customFormat="1" spans="1:16">
      <c r="A1647" s="8"/>
      <c r="B1647" s="9" t="s">
        <v>2713</v>
      </c>
      <c r="C1647" s="10" t="s">
        <v>4365</v>
      </c>
      <c r="D1647" s="11">
        <v>1</v>
      </c>
      <c r="E1647" s="12">
        <v>831.73</v>
      </c>
      <c r="F1647" s="13">
        <v>831.73</v>
      </c>
      <c r="G1647" s="2">
        <f>VLOOKUP(B1647,'PO with created By ASR'!A:C,3,FALSE)</f>
        <v>45698</v>
      </c>
      <c r="J1647" s="2" t="str">
        <f>VLOOKUP(B1647,'PO with created By ASR'!A:G,4,FALSE)</f>
        <v>Rastey Commuting Services Pvt Ltd-Del</v>
      </c>
      <c r="K1647" s="2" t="str">
        <f>VLOOKUP(B1647,'PO with created By ASR'!A:I,6,FALSE)</f>
        <v>12319  Rastey Commuting Services Pvt Ltd</v>
      </c>
      <c r="L1647" s="2" t="str">
        <f>VLOOKUP(B1647,'PO with created By ASR'!A:J,7,FALSE)</f>
        <v>D - Delhi</v>
      </c>
      <c r="M1647" s="2" t="str">
        <f>VLOOKUP(B1647,'PO with created By ASR'!A:K,8,FALSE)</f>
        <v>Purchase Order-Del</v>
      </c>
      <c r="N1647" t="s">
        <v>36</v>
      </c>
      <c r="P1647" s="2">
        <v>6</v>
      </c>
    </row>
    <row r="1648" s="2" customFormat="1" spans="1:16">
      <c r="A1648" s="8"/>
      <c r="B1648" s="9" t="s">
        <v>2714</v>
      </c>
      <c r="C1648" s="10" t="s">
        <v>140</v>
      </c>
      <c r="D1648" s="11">
        <v>1</v>
      </c>
      <c r="E1648" s="12">
        <v>21429</v>
      </c>
      <c r="F1648" s="13">
        <v>21429</v>
      </c>
      <c r="G1648" s="2">
        <f>VLOOKUP(B1648,'PO with created By ASR'!A:C,3,FALSE)</f>
        <v>45698</v>
      </c>
      <c r="J1648" s="2" t="str">
        <f>VLOOKUP(B1648,'PO with created By ASR'!A:G,4,FALSE)</f>
        <v>Life Care Sports &amp; Surgicals (Happay)-Mum</v>
      </c>
      <c r="K1648" s="2" t="str">
        <f>VLOOKUP(B1648,'PO with created By ASR'!A:I,6,FALSE)</f>
        <v>12740 Life Care Sports &amp; Surgicals (Happay)</v>
      </c>
      <c r="L1648" s="2" t="str">
        <f>VLOOKUP(B1648,'PO with created By ASR'!A:J,7,FALSE)</f>
        <v>D - Delhi</v>
      </c>
      <c r="M1648" s="2" t="str">
        <f>VLOOKUP(B1648,'PO with created By ASR'!A:K,8,FALSE)</f>
        <v>Purchase Order-Del</v>
      </c>
      <c r="N1648" t="s">
        <v>36</v>
      </c>
      <c r="P1648" s="2">
        <v>6</v>
      </c>
    </row>
    <row r="1649" s="2" customFormat="1" spans="1:16">
      <c r="A1649" s="8"/>
      <c r="B1649" s="9" t="s">
        <v>2717</v>
      </c>
      <c r="C1649" s="10" t="s">
        <v>371</v>
      </c>
      <c r="D1649" s="11">
        <v>1</v>
      </c>
      <c r="E1649" s="12">
        <v>140000</v>
      </c>
      <c r="F1649" s="13">
        <v>140000</v>
      </c>
      <c r="G1649" s="2">
        <f>VLOOKUP(B1649,'PO with created By ASR'!A:C,3,FALSE)</f>
        <v>45698</v>
      </c>
      <c r="J1649" s="2" t="str">
        <f>VLOOKUP(B1649,'PO with created By ASR'!A:G,4,FALSE)</f>
        <v>Live Experience &amp; Design LLP-Del</v>
      </c>
      <c r="K1649" s="2" t="str">
        <f>VLOOKUP(B1649,'PO with created By ASR'!A:I,6,FALSE)</f>
        <v>12105 Live Experience &amp; Design LLP</v>
      </c>
      <c r="L1649" s="2" t="str">
        <f>VLOOKUP(B1649,'PO with created By ASR'!A:J,7,FALSE)</f>
        <v>D - Delhi</v>
      </c>
      <c r="M1649" s="2" t="str">
        <f>VLOOKUP(B1649,'PO with created By ASR'!A:K,8,FALSE)</f>
        <v>Purchase Order-Del</v>
      </c>
      <c r="N1649" t="s">
        <v>36</v>
      </c>
      <c r="P1649" s="2">
        <v>6</v>
      </c>
    </row>
    <row r="1650" s="2" customFormat="1" spans="1:16">
      <c r="A1650" s="8"/>
      <c r="B1650" s="9" t="s">
        <v>2720</v>
      </c>
      <c r="C1650" s="10" t="s">
        <v>347</v>
      </c>
      <c r="D1650" s="11">
        <v>1</v>
      </c>
      <c r="E1650" s="12">
        <v>250000</v>
      </c>
      <c r="F1650" s="13">
        <v>250000</v>
      </c>
      <c r="G1650" s="2">
        <f>VLOOKUP(B1650,'PO with created By ASR'!A:C,3,FALSE)</f>
        <v>45698</v>
      </c>
      <c r="J1650" s="2" t="str">
        <f>VLOOKUP(B1650,'PO with created By ASR'!A:G,4,FALSE)</f>
        <v>Sakshi Vaid-Del</v>
      </c>
      <c r="K1650" s="2" t="str">
        <f>VLOOKUP(B1650,'PO with created By ASR'!A:I,6,FALSE)</f>
        <v>12935 Sakshi Vaid</v>
      </c>
      <c r="L1650" s="2" t="str">
        <f>VLOOKUP(B1650,'PO with created By ASR'!A:J,7,FALSE)</f>
        <v>D - Delhi</v>
      </c>
      <c r="M1650" s="2" t="str">
        <f>VLOOKUP(B1650,'PO with created By ASR'!A:K,8,FALSE)</f>
        <v>Purchase Order-Del</v>
      </c>
      <c r="N1650" t="s">
        <v>36</v>
      </c>
      <c r="P1650" s="2">
        <v>6</v>
      </c>
    </row>
    <row r="1651" s="2" customFormat="1" spans="1:16">
      <c r="A1651" s="8"/>
      <c r="B1651" s="9" t="s">
        <v>2723</v>
      </c>
      <c r="C1651" s="10" t="s">
        <v>196</v>
      </c>
      <c r="D1651" s="11">
        <v>1</v>
      </c>
      <c r="E1651" s="12">
        <v>42220</v>
      </c>
      <c r="F1651" s="13">
        <v>42220</v>
      </c>
      <c r="G1651" s="2">
        <f>VLOOKUP(B1651,'PO with created By ASR'!A:C,3,FALSE)</f>
        <v>45698</v>
      </c>
      <c r="J1651" s="2" t="str">
        <f>VLOOKUP(B1651,'PO with created By ASR'!A:G,4,FALSE)</f>
        <v>Inked-Del</v>
      </c>
      <c r="K1651" s="2" t="e">
        <f>VLOOKUP(B1651,'PO with created By ASR'!A:I,6,FALSE)</f>
        <v>#N/A</v>
      </c>
      <c r="L1651" s="2" t="str">
        <f>VLOOKUP(B1651,'PO with created By ASR'!A:J,7,FALSE)</f>
        <v>D - Delhi</v>
      </c>
      <c r="M1651" s="2" t="str">
        <f>VLOOKUP(B1651,'PO with created By ASR'!A:K,8,FALSE)</f>
        <v>Purchase Order-Del</v>
      </c>
      <c r="N1651" t="s">
        <v>36</v>
      </c>
      <c r="P1651" s="2">
        <v>6</v>
      </c>
    </row>
    <row r="1652" s="2" customFormat="1" spans="1:16">
      <c r="A1652" s="8"/>
      <c r="B1652" s="9" t="s">
        <v>2724</v>
      </c>
      <c r="C1652" s="10" t="s">
        <v>140</v>
      </c>
      <c r="D1652" s="11">
        <v>1</v>
      </c>
      <c r="E1652" s="12">
        <v>2500</v>
      </c>
      <c r="F1652" s="13">
        <v>2500</v>
      </c>
      <c r="G1652" s="2">
        <f>VLOOKUP(B1652,'PO with created By ASR'!A:C,3,FALSE)</f>
        <v>45698</v>
      </c>
      <c r="J1652" s="2" t="str">
        <f>VLOOKUP(B1652,'PO with created By ASR'!A:G,4,FALSE)</f>
        <v>Dev Ad World-Del</v>
      </c>
      <c r="K1652" s="2" t="str">
        <f>VLOOKUP(B1652,'PO with created By ASR'!A:I,6,FALSE)</f>
        <v>11822 Dev Ad World</v>
      </c>
      <c r="L1652" s="2" t="str">
        <f>VLOOKUP(B1652,'PO with created By ASR'!A:J,7,FALSE)</f>
        <v>D - Delhi</v>
      </c>
      <c r="M1652" s="2" t="str">
        <f>VLOOKUP(B1652,'PO with created By ASR'!A:K,8,FALSE)</f>
        <v>Purchase Order-Del</v>
      </c>
      <c r="N1652" t="s">
        <v>36</v>
      </c>
      <c r="P1652" s="2">
        <v>6</v>
      </c>
    </row>
    <row r="1653" s="2" customFormat="1" spans="1:16">
      <c r="A1653" s="8"/>
      <c r="B1653" s="9" t="s">
        <v>2724</v>
      </c>
      <c r="C1653" s="10" t="s">
        <v>140</v>
      </c>
      <c r="D1653" s="11">
        <v>1</v>
      </c>
      <c r="E1653" s="12">
        <v>345250</v>
      </c>
      <c r="F1653" s="13">
        <v>345250</v>
      </c>
      <c r="G1653" s="2">
        <f>VLOOKUP(B1653,'PO with created By ASR'!A:C,3,FALSE)</f>
        <v>45698</v>
      </c>
      <c r="J1653" s="2" t="str">
        <f>VLOOKUP(B1653,'PO with created By ASR'!A:G,4,FALSE)</f>
        <v>Dev Ad World-Del</v>
      </c>
      <c r="K1653" s="2" t="str">
        <f>VLOOKUP(B1653,'PO with created By ASR'!A:I,6,FALSE)</f>
        <v>11822 Dev Ad World</v>
      </c>
      <c r="L1653" s="2" t="str">
        <f>VLOOKUP(B1653,'PO with created By ASR'!A:J,7,FALSE)</f>
        <v>D - Delhi</v>
      </c>
      <c r="M1653" s="2" t="str">
        <f>VLOOKUP(B1653,'PO with created By ASR'!A:K,8,FALSE)</f>
        <v>Purchase Order-Del</v>
      </c>
      <c r="N1653" t="s">
        <v>36</v>
      </c>
      <c r="P1653" s="2">
        <v>6</v>
      </c>
    </row>
    <row r="1654" s="2" customFormat="1" spans="1:16">
      <c r="A1654" s="8"/>
      <c r="B1654" s="9" t="s">
        <v>2725</v>
      </c>
      <c r="C1654" s="10" t="s">
        <v>371</v>
      </c>
      <c r="D1654" s="11">
        <v>1</v>
      </c>
      <c r="E1654" s="12">
        <v>200000</v>
      </c>
      <c r="F1654" s="13">
        <v>200000</v>
      </c>
      <c r="G1654" s="2">
        <f>VLOOKUP(B1654,'PO with created By ASR'!A:C,3,FALSE)</f>
        <v>45698</v>
      </c>
      <c r="J1654" s="2" t="str">
        <f>VLOOKUP(B1654,'PO with created By ASR'!A:G,4,FALSE)</f>
        <v>Headway Kreations Pvt Ltd-Del</v>
      </c>
      <c r="K1654" s="2" t="str">
        <f>VLOOKUP(B1654,'PO with created By ASR'!A:I,6,FALSE)</f>
        <v>11982  Headway Kreations Pvt Ltd</v>
      </c>
      <c r="L1654" s="2" t="str">
        <f>VLOOKUP(B1654,'PO with created By ASR'!A:J,7,FALSE)</f>
        <v>D - Delhi</v>
      </c>
      <c r="M1654" s="2" t="str">
        <f>VLOOKUP(B1654,'PO with created By ASR'!A:K,8,FALSE)</f>
        <v>Purchase Order-Del</v>
      </c>
      <c r="N1654" t="s">
        <v>36</v>
      </c>
      <c r="P1654" s="2">
        <v>6</v>
      </c>
    </row>
    <row r="1655" s="2" customFormat="1" spans="1:16">
      <c r="A1655" s="8"/>
      <c r="B1655" s="9" t="s">
        <v>2728</v>
      </c>
      <c r="C1655" s="10" t="s">
        <v>734</v>
      </c>
      <c r="D1655" s="11">
        <v>1</v>
      </c>
      <c r="E1655" s="12">
        <v>251450</v>
      </c>
      <c r="F1655" s="13">
        <v>251450</v>
      </c>
      <c r="G1655" s="2">
        <f>VLOOKUP(B1655,'PO with created By ASR'!A:C,3,FALSE)</f>
        <v>45698</v>
      </c>
      <c r="J1655" s="2" t="str">
        <f>VLOOKUP(B1655,'PO with created By ASR'!A:G,4,FALSE)</f>
        <v>Alliance International Tours &amp; Travels-Mum</v>
      </c>
      <c r="K1655" s="2" t="str">
        <f>VLOOKUP(B1655,'PO with created By ASR'!A:I,6,FALSE)</f>
        <v>11656 Alliance International Tours &amp; Travels</v>
      </c>
      <c r="L1655" s="2" t="str">
        <f>VLOOKUP(B1655,'PO with created By ASR'!A:J,7,FALSE)</f>
        <v>A - Mumbai</v>
      </c>
      <c r="M1655" s="2" t="str">
        <f>VLOOKUP(B1655,'PO with created By ASR'!A:K,8,FALSE)</f>
        <v>Purchase Order-Mum</v>
      </c>
      <c r="N1655" t="s">
        <v>36</v>
      </c>
      <c r="P1655" s="2">
        <v>6</v>
      </c>
    </row>
    <row r="1656" s="2" customFormat="1" spans="1:16">
      <c r="A1656" s="8"/>
      <c r="B1656" s="9" t="s">
        <v>2729</v>
      </c>
      <c r="C1656" s="10" t="s">
        <v>250</v>
      </c>
      <c r="D1656" s="11">
        <v>1</v>
      </c>
      <c r="E1656" s="12">
        <v>47775</v>
      </c>
      <c r="F1656" s="13">
        <v>47775</v>
      </c>
      <c r="G1656" s="2">
        <f>VLOOKUP(B1656,'PO with created By ASR'!A:C,3,FALSE)</f>
        <v>45698</v>
      </c>
      <c r="J1656" s="2" t="str">
        <f>VLOOKUP(B1656,'PO with created By ASR'!A:G,4,FALSE)</f>
        <v>Paintology (Vinisha Ankit Savla)-Mum</v>
      </c>
      <c r="K1656" s="2" t="str">
        <f>VLOOKUP(B1656,'PO with created By ASR'!A:I,6,FALSE)</f>
        <v>12928 Paintology (Vinisha Ankit Savla)</v>
      </c>
      <c r="L1656" s="2" t="str">
        <f>VLOOKUP(B1656,'PO with created By ASR'!A:J,7,FALSE)</f>
        <v>A - Mumbai</v>
      </c>
      <c r="M1656" s="2" t="str">
        <f>VLOOKUP(B1656,'PO with created By ASR'!A:K,8,FALSE)</f>
        <v>Purchase Order-Mum</v>
      </c>
      <c r="N1656" t="s">
        <v>36</v>
      </c>
      <c r="P1656" s="2">
        <v>6</v>
      </c>
    </row>
    <row r="1657" s="2" customFormat="1" spans="1:16">
      <c r="A1657" s="8"/>
      <c r="B1657" s="9" t="s">
        <v>2732</v>
      </c>
      <c r="C1657" s="10" t="s">
        <v>371</v>
      </c>
      <c r="D1657" s="11">
        <v>1</v>
      </c>
      <c r="E1657" s="12">
        <v>22000</v>
      </c>
      <c r="F1657" s="13">
        <v>22000</v>
      </c>
      <c r="G1657" s="2">
        <f>VLOOKUP(B1657,'PO with created By ASR'!A:C,3,FALSE)</f>
        <v>45698</v>
      </c>
      <c r="J1657" s="2" t="str">
        <f>VLOOKUP(B1657,'PO with created By ASR'!A:G,4,FALSE)</f>
        <v>Bizzaro Event-Mum</v>
      </c>
      <c r="K1657" s="2" t="str">
        <f>VLOOKUP(B1657,'PO with created By ASR'!A:I,6,FALSE)</f>
        <v>11733 Bizzaro Event</v>
      </c>
      <c r="L1657" s="2" t="str">
        <f>VLOOKUP(B1657,'PO with created By ASR'!A:J,7,FALSE)</f>
        <v>A - Mumbai</v>
      </c>
      <c r="M1657" s="2" t="str">
        <f>VLOOKUP(B1657,'PO with created By ASR'!A:K,8,FALSE)</f>
        <v>Purchase Order-Mum</v>
      </c>
      <c r="N1657" t="s">
        <v>36</v>
      </c>
      <c r="P1657" s="2">
        <v>6</v>
      </c>
    </row>
    <row r="1658" s="2" customFormat="1" spans="1:16">
      <c r="A1658" s="8"/>
      <c r="B1658" s="9" t="s">
        <v>2735</v>
      </c>
      <c r="C1658" s="10" t="s">
        <v>250</v>
      </c>
      <c r="D1658" s="11">
        <v>1</v>
      </c>
      <c r="E1658" s="12">
        <v>225000</v>
      </c>
      <c r="F1658" s="13">
        <v>225000</v>
      </c>
      <c r="G1658" s="2">
        <f>VLOOKUP(B1658,'PO with created By ASR'!A:C,3,FALSE)</f>
        <v>45698</v>
      </c>
      <c r="J1658" s="2" t="str">
        <f>VLOOKUP(B1658,'PO with created By ASR'!A:G,4,FALSE)</f>
        <v>Black Hat Talent Solutions &amp; Consulting Pvt Ltd-Mum</v>
      </c>
      <c r="K1658" s="2" t="str">
        <f>VLOOKUP(B1658,'PO with created By ASR'!A:I,6,FALSE)</f>
        <v>10572  Black Hat Talent Solutions &amp; Consulting Pvt Ltd</v>
      </c>
      <c r="L1658" s="2" t="str">
        <f>VLOOKUP(B1658,'PO with created By ASR'!A:J,7,FALSE)</f>
        <v>A - Mumbai</v>
      </c>
      <c r="M1658" s="2" t="str">
        <f>VLOOKUP(B1658,'PO with created By ASR'!A:K,8,FALSE)</f>
        <v>Purchase Order-Mum</v>
      </c>
      <c r="N1658" t="s">
        <v>36</v>
      </c>
      <c r="P1658" s="2">
        <v>6</v>
      </c>
    </row>
    <row r="1659" s="2" customFormat="1" spans="1:16">
      <c r="A1659" s="8"/>
      <c r="B1659" s="9" t="s">
        <v>2741</v>
      </c>
      <c r="C1659" s="10" t="s">
        <v>292</v>
      </c>
      <c r="D1659" s="11">
        <v>1</v>
      </c>
      <c r="E1659" s="12">
        <v>52000</v>
      </c>
      <c r="F1659" s="13">
        <v>52000</v>
      </c>
      <c r="G1659" s="2">
        <f>VLOOKUP(B1659,'PO with created By ASR'!A:C,3,FALSE)</f>
        <v>45698</v>
      </c>
      <c r="J1659" s="2" t="str">
        <f>VLOOKUP(B1659,'PO with created By ASR'!A:G,4,FALSE)</f>
        <v>Abdul Shahid Shaikh-Mum</v>
      </c>
      <c r="K1659" s="2" t="str">
        <f>VLOOKUP(B1659,'PO with created By ASR'!A:I,6,FALSE)</f>
        <v>10107 Abdul Shahid Shaikh</v>
      </c>
      <c r="L1659" s="2" t="str">
        <f>VLOOKUP(B1659,'PO with created By ASR'!A:J,7,FALSE)</f>
        <v>A - Mumbai</v>
      </c>
      <c r="M1659" s="2" t="str">
        <f>VLOOKUP(B1659,'PO with created By ASR'!A:K,8,FALSE)</f>
        <v>Purchase Order-Mum</v>
      </c>
      <c r="N1659" t="s">
        <v>36</v>
      </c>
      <c r="P1659" s="2">
        <v>6</v>
      </c>
    </row>
    <row r="1660" s="2" customFormat="1" spans="1:16">
      <c r="A1660" s="8"/>
      <c r="B1660" s="9" t="s">
        <v>2743</v>
      </c>
      <c r="C1660" s="10" t="s">
        <v>371</v>
      </c>
      <c r="D1660" s="11">
        <v>1</v>
      </c>
      <c r="E1660" s="12">
        <v>90000</v>
      </c>
      <c r="F1660" s="13">
        <v>90000</v>
      </c>
      <c r="G1660" s="2">
        <f>VLOOKUP(B1660,'PO with created By ASR'!A:C,3,FALSE)</f>
        <v>45698</v>
      </c>
      <c r="J1660" s="2" t="str">
        <f>VLOOKUP(B1660,'PO with created By ASR'!A:G,4,FALSE)</f>
        <v>Sound.Com Pvt Ltd-Mum</v>
      </c>
      <c r="K1660" s="2" t="str">
        <f>VLOOKUP(B1660,'PO with created By ASR'!A:I,6,FALSE)</f>
        <v>12427  Sound.Com Pvt Ltd</v>
      </c>
      <c r="L1660" s="2" t="str">
        <f>VLOOKUP(B1660,'PO with created By ASR'!A:J,7,FALSE)</f>
        <v>A - Mumbai</v>
      </c>
      <c r="M1660" s="2" t="str">
        <f>VLOOKUP(B1660,'PO with created By ASR'!A:K,8,FALSE)</f>
        <v>Purchase Order-Mum</v>
      </c>
      <c r="N1660" t="s">
        <v>36</v>
      </c>
      <c r="P1660" s="2">
        <v>6</v>
      </c>
    </row>
    <row r="1661" s="2" customFormat="1" spans="1:16">
      <c r="A1661" s="8"/>
      <c r="B1661" s="9" t="s">
        <v>2744</v>
      </c>
      <c r="C1661" s="10" t="s">
        <v>371</v>
      </c>
      <c r="D1661" s="11">
        <v>1</v>
      </c>
      <c r="E1661" s="12">
        <v>190000</v>
      </c>
      <c r="F1661" s="13">
        <v>190000</v>
      </c>
      <c r="G1661" s="2">
        <f>VLOOKUP(B1661,'PO with created By ASR'!A:C,3,FALSE)</f>
        <v>45698</v>
      </c>
      <c r="J1661" s="2" t="str">
        <f>VLOOKUP(B1661,'PO with created By ASR'!A:G,4,FALSE)</f>
        <v>Shiv Shakti Enterprises-Mum</v>
      </c>
      <c r="K1661" s="2" t="str">
        <f>VLOOKUP(B1661,'PO with created By ASR'!A:I,6,FALSE)</f>
        <v>11130 Shiv Shakti Enterprises</v>
      </c>
      <c r="L1661" s="2" t="str">
        <f>VLOOKUP(B1661,'PO with created By ASR'!A:J,7,FALSE)</f>
        <v>A - Mumbai</v>
      </c>
      <c r="M1661" s="2" t="str">
        <f>VLOOKUP(B1661,'PO with created By ASR'!A:K,8,FALSE)</f>
        <v>Purchase Order-Mum</v>
      </c>
      <c r="N1661" t="s">
        <v>36</v>
      </c>
      <c r="P1661" s="2">
        <v>6</v>
      </c>
    </row>
    <row r="1662" s="2" customFormat="1" spans="1:16">
      <c r="A1662" s="8"/>
      <c r="B1662" s="9" t="s">
        <v>2745</v>
      </c>
      <c r="C1662" s="10" t="s">
        <v>371</v>
      </c>
      <c r="D1662" s="11">
        <v>1</v>
      </c>
      <c r="E1662" s="12">
        <v>190000</v>
      </c>
      <c r="F1662" s="13">
        <v>190000</v>
      </c>
      <c r="G1662" s="2">
        <f>VLOOKUP(B1662,'PO with created By ASR'!A:C,3,FALSE)</f>
        <v>45698</v>
      </c>
      <c r="J1662" s="2" t="str">
        <f>VLOOKUP(B1662,'PO with created By ASR'!A:G,4,FALSE)</f>
        <v>Videowaves-Mum</v>
      </c>
      <c r="K1662" s="2" t="e">
        <f>VLOOKUP(B1662,'PO with created By ASR'!A:I,6,FALSE)</f>
        <v>#N/A</v>
      </c>
      <c r="L1662" s="2" t="str">
        <f>VLOOKUP(B1662,'PO with created By ASR'!A:J,7,FALSE)</f>
        <v>A - Mumbai</v>
      </c>
      <c r="M1662" s="2" t="str">
        <f>VLOOKUP(B1662,'PO with created By ASR'!A:K,8,FALSE)</f>
        <v>Purchase Order-Mum</v>
      </c>
      <c r="N1662" t="s">
        <v>36</v>
      </c>
      <c r="P1662" s="2">
        <v>6</v>
      </c>
    </row>
    <row r="1663" s="2" customFormat="1" spans="1:16">
      <c r="A1663" s="8"/>
      <c r="B1663" s="9" t="s">
        <v>2746</v>
      </c>
      <c r="C1663" s="10" t="s">
        <v>371</v>
      </c>
      <c r="D1663" s="11">
        <v>1</v>
      </c>
      <c r="E1663" s="12">
        <v>8500</v>
      </c>
      <c r="F1663" s="13">
        <v>8500</v>
      </c>
      <c r="G1663" s="2">
        <f>VLOOKUP(B1663,'PO with created By ASR'!A:C,3,FALSE)</f>
        <v>45698</v>
      </c>
      <c r="J1663" s="2" t="str">
        <f>VLOOKUP(B1663,'PO with created By ASR'!A:G,4,FALSE)</f>
        <v>Bizzaro Event-Mum</v>
      </c>
      <c r="K1663" s="2" t="str">
        <f>VLOOKUP(B1663,'PO with created By ASR'!A:I,6,FALSE)</f>
        <v>11733 Bizzaro Event</v>
      </c>
      <c r="L1663" s="2" t="str">
        <f>VLOOKUP(B1663,'PO with created By ASR'!A:J,7,FALSE)</f>
        <v>A - Mumbai</v>
      </c>
      <c r="M1663" s="2" t="str">
        <f>VLOOKUP(B1663,'PO with created By ASR'!A:K,8,FALSE)</f>
        <v>Purchase Order-Mum</v>
      </c>
      <c r="N1663" t="s">
        <v>36</v>
      </c>
      <c r="P1663" s="2">
        <v>6</v>
      </c>
    </row>
    <row r="1664" s="2" customFormat="1" spans="1:16">
      <c r="A1664" s="8"/>
      <c r="B1664" s="9" t="s">
        <v>2747</v>
      </c>
      <c r="C1664" s="10" t="s">
        <v>401</v>
      </c>
      <c r="D1664" s="11">
        <v>1</v>
      </c>
      <c r="E1664" s="12">
        <v>75000</v>
      </c>
      <c r="F1664" s="13">
        <v>75000</v>
      </c>
      <c r="G1664" s="2">
        <f>VLOOKUP(B1664,'PO with created By ASR'!A:C,3,FALSE)</f>
        <v>45698</v>
      </c>
      <c r="J1664" s="2" t="str">
        <f>VLOOKUP(B1664,'PO with created By ASR'!A:G,4,FALSE)</f>
        <v>Shree Samarth Krupa Creation-Mum</v>
      </c>
      <c r="K1664" s="2" t="str">
        <f>VLOOKUP(B1664,'PO with created By ASR'!A:I,6,FALSE)</f>
        <v>10084 Shree Samarth Krupa Creation</v>
      </c>
      <c r="L1664" s="2" t="str">
        <f>VLOOKUP(B1664,'PO with created By ASR'!A:J,7,FALSE)</f>
        <v>A - Mumbai</v>
      </c>
      <c r="M1664" s="2" t="str">
        <f>VLOOKUP(B1664,'PO with created By ASR'!A:K,8,FALSE)</f>
        <v>Purchase Order-Mum</v>
      </c>
      <c r="N1664" t="s">
        <v>36</v>
      </c>
      <c r="P1664" s="2">
        <v>6</v>
      </c>
    </row>
    <row r="1665" s="2" customFormat="1" spans="1:16">
      <c r="A1665" s="8"/>
      <c r="B1665" s="9" t="s">
        <v>2748</v>
      </c>
      <c r="C1665" s="10" t="s">
        <v>317</v>
      </c>
      <c r="D1665" s="11">
        <v>1</v>
      </c>
      <c r="E1665" s="12">
        <v>45000</v>
      </c>
      <c r="F1665" s="13">
        <v>45000</v>
      </c>
      <c r="G1665" s="2">
        <f>VLOOKUP(B1665,'PO with created By ASR'!A:C,3,FALSE)</f>
        <v>45698</v>
      </c>
      <c r="J1665" s="2" t="str">
        <f>VLOOKUP(B1665,'PO with created By ASR'!A:G,4,FALSE)</f>
        <v>Wow Experiences-Mum</v>
      </c>
      <c r="K1665" s="2" t="str">
        <f>VLOOKUP(B1665,'PO with created By ASR'!A:I,6,FALSE)</f>
        <v>11492 Wow Experiences</v>
      </c>
      <c r="L1665" s="2" t="str">
        <f>VLOOKUP(B1665,'PO with created By ASR'!A:J,7,FALSE)</f>
        <v>A - Mumbai</v>
      </c>
      <c r="M1665" s="2" t="str">
        <f>VLOOKUP(B1665,'PO with created By ASR'!A:K,8,FALSE)</f>
        <v>Purchase Order-Mum</v>
      </c>
      <c r="N1665" t="s">
        <v>36</v>
      </c>
      <c r="P1665" s="2">
        <v>6</v>
      </c>
    </row>
    <row r="1666" s="2" customFormat="1" spans="1:16">
      <c r="A1666" s="8"/>
      <c r="B1666" s="9" t="s">
        <v>2751</v>
      </c>
      <c r="C1666" s="10" t="s">
        <v>371</v>
      </c>
      <c r="D1666" s="11">
        <v>1</v>
      </c>
      <c r="E1666" s="12">
        <v>12400</v>
      </c>
      <c r="F1666" s="13">
        <v>12400</v>
      </c>
      <c r="G1666" s="2">
        <f>VLOOKUP(B1666,'PO with created By ASR'!A:C,3,FALSE)</f>
        <v>45698</v>
      </c>
      <c r="J1666" s="2" t="str">
        <f>VLOOKUP(B1666,'PO with created By ASR'!A:G,4,FALSE)</f>
        <v>Oriana Communications-Mum</v>
      </c>
      <c r="K1666" s="2" t="str">
        <f>VLOOKUP(B1666,'PO with created By ASR'!A:I,6,FALSE)</f>
        <v>11121 Oriana Communications</v>
      </c>
      <c r="L1666" s="2" t="str">
        <f>VLOOKUP(B1666,'PO with created By ASR'!A:J,7,FALSE)</f>
        <v>A - Mumbai</v>
      </c>
      <c r="M1666" s="2" t="str">
        <f>VLOOKUP(B1666,'PO with created By ASR'!A:K,8,FALSE)</f>
        <v>Purchase Order-Mum</v>
      </c>
      <c r="N1666" t="s">
        <v>36</v>
      </c>
      <c r="P1666" s="2">
        <v>6</v>
      </c>
    </row>
    <row r="1667" s="2" customFormat="1" spans="1:16">
      <c r="A1667" s="8"/>
      <c r="B1667" s="9" t="s">
        <v>2752</v>
      </c>
      <c r="C1667" s="10" t="s">
        <v>347</v>
      </c>
      <c r="D1667" s="11">
        <v>1</v>
      </c>
      <c r="E1667" s="12">
        <v>20000</v>
      </c>
      <c r="F1667" s="13">
        <v>20000</v>
      </c>
      <c r="G1667" s="2">
        <f>VLOOKUP(B1667,'PO with created By ASR'!A:C,3,FALSE)</f>
        <v>45698</v>
      </c>
      <c r="J1667" s="2" t="str">
        <f>VLOOKUP(B1667,'PO with created By ASR'!A:G,4,FALSE)</f>
        <v>Mint Studio VJ Nirav (OPC) Pvt Ltd-Mum</v>
      </c>
      <c r="K1667" s="2" t="str">
        <f>VLOOKUP(B1667,'PO with created By ASR'!A:I,6,FALSE)</f>
        <v>12153  Mint Studio VJ Nirav (OPC) Pvt Ltd</v>
      </c>
      <c r="L1667" s="2" t="str">
        <f>VLOOKUP(B1667,'PO with created By ASR'!A:J,7,FALSE)</f>
        <v>A - Mumbai</v>
      </c>
      <c r="M1667" s="2" t="str">
        <f>VLOOKUP(B1667,'PO with created By ASR'!A:K,8,FALSE)</f>
        <v>Purchase Order-Mum</v>
      </c>
      <c r="N1667" t="s">
        <v>36</v>
      </c>
      <c r="P1667" s="2">
        <v>6</v>
      </c>
    </row>
    <row r="1668" s="2" customFormat="1" spans="1:16">
      <c r="A1668" s="8"/>
      <c r="B1668" s="9" t="s">
        <v>2755</v>
      </c>
      <c r="C1668" s="10" t="s">
        <v>250</v>
      </c>
      <c r="D1668" s="11">
        <v>1</v>
      </c>
      <c r="E1668" s="12">
        <v>5300000</v>
      </c>
      <c r="F1668" s="13">
        <v>5300000</v>
      </c>
      <c r="G1668" s="2">
        <f>VLOOKUP(B1668,'PO with created By ASR'!A:C,3,FALSE)</f>
        <v>45698</v>
      </c>
      <c r="J1668" s="2" t="str">
        <f>VLOOKUP(B1668,'PO with created By ASR'!A:G,4,FALSE)</f>
        <v>Tm Ventures Pvt Ltd-Mum</v>
      </c>
      <c r="K1668" s="2" t="str">
        <f>VLOOKUP(B1668,'PO with created By ASR'!A:I,6,FALSE)</f>
        <v>12545  Tm Ventures Pvt Ltd</v>
      </c>
      <c r="L1668" s="2" t="str">
        <f>VLOOKUP(B1668,'PO with created By ASR'!A:J,7,FALSE)</f>
        <v>A - Mumbai</v>
      </c>
      <c r="M1668" s="2" t="str">
        <f>VLOOKUP(B1668,'PO with created By ASR'!A:K,8,FALSE)</f>
        <v>Purchase Order-Mum</v>
      </c>
      <c r="N1668" t="s">
        <v>36</v>
      </c>
      <c r="P1668" s="2">
        <v>6</v>
      </c>
    </row>
    <row r="1669" s="2" customFormat="1" spans="1:16">
      <c r="A1669" s="8"/>
      <c r="B1669" s="9" t="s">
        <v>2757</v>
      </c>
      <c r="C1669" s="10" t="s">
        <v>233</v>
      </c>
      <c r="D1669" s="11">
        <v>1</v>
      </c>
      <c r="E1669" s="12">
        <v>3882</v>
      </c>
      <c r="F1669" s="13">
        <v>3882</v>
      </c>
      <c r="G1669" s="2">
        <f>VLOOKUP(B1669,'PO with created By ASR'!A:C,3,FALSE)</f>
        <v>45698</v>
      </c>
      <c r="J1669" s="2" t="str">
        <f>VLOOKUP(B1669,'PO with created By ASR'!A:G,4,FALSE)</f>
        <v>Vodafone Idea Ltd-Mum</v>
      </c>
      <c r="K1669" s="2" t="str">
        <f>VLOOKUP(B1669,'PO with created By ASR'!A:I,6,FALSE)</f>
        <v>11068  Vodafone Idea Ltd</v>
      </c>
      <c r="L1669" s="2" t="str">
        <f>VLOOKUP(B1669,'PO with created By ASR'!A:J,7,FALSE)</f>
        <v>A - Mumbai</v>
      </c>
      <c r="M1669" s="2" t="str">
        <f>VLOOKUP(B1669,'PO with created By ASR'!A:K,8,FALSE)</f>
        <v>Purchase Order-Mum</v>
      </c>
      <c r="N1669" t="s">
        <v>36</v>
      </c>
      <c r="P1669" s="2">
        <v>6</v>
      </c>
    </row>
    <row r="1670" s="2" customFormat="1" spans="1:16">
      <c r="A1670" s="8"/>
      <c r="B1670" s="9" t="s">
        <v>2759</v>
      </c>
      <c r="C1670" s="10" t="s">
        <v>401</v>
      </c>
      <c r="D1670" s="11">
        <v>1</v>
      </c>
      <c r="E1670" s="12">
        <v>5000</v>
      </c>
      <c r="F1670" s="13">
        <v>5000</v>
      </c>
      <c r="G1670" s="2">
        <f>VLOOKUP(B1670,'PO with created By ASR'!A:C,3,FALSE)</f>
        <v>45699</v>
      </c>
      <c r="J1670" s="2" t="str">
        <f>VLOOKUP(B1670,'PO with created By ASR'!A:G,4,FALSE)</f>
        <v>Thinking Brahma-Blr</v>
      </c>
      <c r="K1670" s="2" t="str">
        <f>VLOOKUP(B1670,'PO with created By ASR'!A:I,6,FALSE)</f>
        <v>12537 Thinking Brahma</v>
      </c>
      <c r="L1670" s="2" t="str">
        <f>VLOOKUP(B1670,'PO with created By ASR'!A:J,7,FALSE)</f>
        <v>B - Bangalore</v>
      </c>
      <c r="M1670" s="2" t="str">
        <f>VLOOKUP(B1670,'PO with created By ASR'!A:K,8,FALSE)</f>
        <v>Purchase Order-Blr</v>
      </c>
      <c r="N1670" t="s">
        <v>36</v>
      </c>
      <c r="P1670" s="2">
        <v>6</v>
      </c>
    </row>
    <row r="1671" s="2" customFormat="1" spans="1:16">
      <c r="A1671" s="8"/>
      <c r="B1671" s="9" t="s">
        <v>2761</v>
      </c>
      <c r="C1671" s="10" t="s">
        <v>151</v>
      </c>
      <c r="D1671" s="11">
        <v>1</v>
      </c>
      <c r="E1671" s="12">
        <v>21800</v>
      </c>
      <c r="F1671" s="13">
        <v>21800</v>
      </c>
      <c r="G1671" s="2">
        <f>VLOOKUP(B1671,'PO with created By ASR'!A:C,3,FALSE)</f>
        <v>45699</v>
      </c>
      <c r="J1671" s="2" t="str">
        <f>VLOOKUP(B1671,'PO with created By ASR'!A:G,4,FALSE)</f>
        <v>RRangmanch Productions-Blr</v>
      </c>
      <c r="K1671" s="2" t="str">
        <f>VLOOKUP(B1671,'PO with created By ASR'!A:I,6,FALSE)</f>
        <v>12349 Rrangmanch Productions</v>
      </c>
      <c r="L1671" s="2" t="str">
        <f>VLOOKUP(B1671,'PO with created By ASR'!A:J,7,FALSE)</f>
        <v>B - Bangalore</v>
      </c>
      <c r="M1671" s="2" t="str">
        <f>VLOOKUP(B1671,'PO with created By ASR'!A:K,8,FALSE)</f>
        <v>Purchase Order-Blr</v>
      </c>
      <c r="N1671" t="s">
        <v>36</v>
      </c>
      <c r="P1671" s="2">
        <v>6</v>
      </c>
    </row>
    <row r="1672" s="2" customFormat="1" spans="1:16">
      <c r="A1672" s="8"/>
      <c r="B1672" s="9" t="s">
        <v>2765</v>
      </c>
      <c r="C1672" s="10" t="s">
        <v>196</v>
      </c>
      <c r="D1672" s="11">
        <v>1</v>
      </c>
      <c r="E1672" s="12">
        <v>1000</v>
      </c>
      <c r="F1672" s="13">
        <v>1000</v>
      </c>
      <c r="G1672" s="2">
        <f>VLOOKUP(B1672,'PO with created By ASR'!A:C,3,FALSE)</f>
        <v>45699</v>
      </c>
      <c r="J1672" s="2" t="str">
        <f>VLOOKUP(B1672,'PO with created By ASR'!A:G,4,FALSE)</f>
        <v>New Print House-Blr</v>
      </c>
      <c r="K1672" s="2" t="str">
        <f>VLOOKUP(B1672,'PO with created By ASR'!A:I,6,FALSE)</f>
        <v>12196 New Print House</v>
      </c>
      <c r="L1672" s="2" t="str">
        <f>VLOOKUP(B1672,'PO with created By ASR'!A:J,7,FALSE)</f>
        <v>B - Bangalore</v>
      </c>
      <c r="M1672" s="2" t="str">
        <f>VLOOKUP(B1672,'PO with created By ASR'!A:K,8,FALSE)</f>
        <v>Purchase Order-Blr</v>
      </c>
      <c r="N1672" t="s">
        <v>36</v>
      </c>
      <c r="P1672" s="2">
        <v>6</v>
      </c>
    </row>
    <row r="1673" s="2" customFormat="1" spans="1:16">
      <c r="A1673" s="8"/>
      <c r="B1673" s="9" t="s">
        <v>2766</v>
      </c>
      <c r="C1673" s="10" t="s">
        <v>196</v>
      </c>
      <c r="D1673" s="11">
        <v>1</v>
      </c>
      <c r="E1673" s="12">
        <v>2448</v>
      </c>
      <c r="F1673" s="13">
        <v>2448</v>
      </c>
      <c r="G1673" s="2">
        <f>VLOOKUP(B1673,'PO with created By ASR'!A:C,3,FALSE)</f>
        <v>45699</v>
      </c>
      <c r="J1673" s="2" t="str">
        <f>VLOOKUP(B1673,'PO with created By ASR'!A:G,4,FALSE)</f>
        <v>Print With Me Pvt Ltd-Blr</v>
      </c>
      <c r="K1673" s="2" t="str">
        <f>VLOOKUP(B1673,'PO with created By ASR'!A:I,6,FALSE)</f>
        <v>12286  Print With Me Pvt Ltd</v>
      </c>
      <c r="L1673" s="2" t="str">
        <f>VLOOKUP(B1673,'PO with created By ASR'!A:J,7,FALSE)</f>
        <v>B - Bangalore</v>
      </c>
      <c r="M1673" s="2" t="str">
        <f>VLOOKUP(B1673,'PO with created By ASR'!A:K,8,FALSE)</f>
        <v>Purchase Order-Blr</v>
      </c>
      <c r="N1673" t="s">
        <v>36</v>
      </c>
      <c r="P1673" s="2">
        <v>6</v>
      </c>
    </row>
    <row r="1674" s="2" customFormat="1" spans="1:16">
      <c r="A1674" s="8"/>
      <c r="B1674" s="9" t="s">
        <v>2767</v>
      </c>
      <c r="C1674" s="10" t="s">
        <v>371</v>
      </c>
      <c r="D1674" s="11">
        <v>1</v>
      </c>
      <c r="E1674" s="12">
        <v>11000</v>
      </c>
      <c r="F1674" s="13">
        <v>11000</v>
      </c>
      <c r="G1674" s="2">
        <f>VLOOKUP(B1674,'PO with created By ASR'!A:C,3,FALSE)</f>
        <v>45699</v>
      </c>
      <c r="J1674" s="2" t="str">
        <f>VLOOKUP(B1674,'PO with created By ASR'!A:G,4,FALSE)</f>
        <v>Reverb Sound And Light Studio-Blr</v>
      </c>
      <c r="K1674" s="2" t="str">
        <f>VLOOKUP(B1674,'PO with created By ASR'!A:I,6,FALSE)</f>
        <v>11379 Reverb Sound And Light Studio</v>
      </c>
      <c r="L1674" s="2" t="str">
        <f>VLOOKUP(B1674,'PO with created By ASR'!A:J,7,FALSE)</f>
        <v>B - Bangalore</v>
      </c>
      <c r="M1674" s="2" t="str">
        <f>VLOOKUP(B1674,'PO with created By ASR'!A:K,8,FALSE)</f>
        <v>Purchase Order-Blr</v>
      </c>
      <c r="N1674" t="s">
        <v>36</v>
      </c>
      <c r="P1674" s="2">
        <v>6</v>
      </c>
    </row>
    <row r="1675" s="2" customFormat="1" spans="1:16">
      <c r="A1675" s="8"/>
      <c r="B1675" s="9" t="s">
        <v>2768</v>
      </c>
      <c r="C1675" s="10" t="s">
        <v>140</v>
      </c>
      <c r="D1675" s="11">
        <v>1</v>
      </c>
      <c r="E1675" s="12">
        <v>2022</v>
      </c>
      <c r="F1675" s="13">
        <v>2022</v>
      </c>
      <c r="G1675" s="2">
        <f>VLOOKUP(B1675,'PO with created By ASR'!A:C,3,FALSE)</f>
        <v>45699</v>
      </c>
      <c r="J1675" s="2" t="str">
        <f>VLOOKUP(B1675,'PO with created By ASR'!A:G,4,FALSE)</f>
        <v>Stepone Office Stationers-Blr</v>
      </c>
      <c r="K1675" s="2" t="str">
        <f>VLOOKUP(B1675,'PO with created By ASR'!A:I,6,FALSE)</f>
        <v>12459 Stepone Office Stationers</v>
      </c>
      <c r="L1675" s="2" t="str">
        <f>VLOOKUP(B1675,'PO with created By ASR'!A:J,7,FALSE)</f>
        <v>B - Bangalore</v>
      </c>
      <c r="M1675" s="2" t="str">
        <f>VLOOKUP(B1675,'PO with created By ASR'!A:K,8,FALSE)</f>
        <v>Purchase Order-Blr</v>
      </c>
      <c r="N1675" t="s">
        <v>36</v>
      </c>
      <c r="P1675" s="2">
        <v>6</v>
      </c>
    </row>
    <row r="1676" s="2" customFormat="1" spans="1:16">
      <c r="A1676" s="8"/>
      <c r="B1676" s="9" t="s">
        <v>2769</v>
      </c>
      <c r="C1676" s="10" t="s">
        <v>704</v>
      </c>
      <c r="D1676" s="11">
        <v>1</v>
      </c>
      <c r="E1676" s="12">
        <v>7800</v>
      </c>
      <c r="F1676" s="13">
        <v>7800</v>
      </c>
      <c r="G1676" s="2">
        <f>VLOOKUP(B1676,'PO with created By ASR'!A:C,3,FALSE)</f>
        <v>45699</v>
      </c>
      <c r="J1676" s="2" t="str">
        <f>VLOOKUP(B1676,'PO with created By ASR'!A:G,4,FALSE)</f>
        <v>Infutech Solutions-Blr</v>
      </c>
      <c r="K1676" s="2" t="str">
        <f>VLOOKUP(B1676,'PO with created By ASR'!A:I,6,FALSE)</f>
        <v>12027 Infutech Solutions</v>
      </c>
      <c r="L1676" s="2" t="str">
        <f>VLOOKUP(B1676,'PO with created By ASR'!A:J,7,FALSE)</f>
        <v>B - Bangalore</v>
      </c>
      <c r="M1676" s="2" t="str">
        <f>VLOOKUP(B1676,'PO with created By ASR'!A:K,8,FALSE)</f>
        <v>Purchase Order-Blr</v>
      </c>
      <c r="N1676" t="s">
        <v>36</v>
      </c>
      <c r="P1676" s="2">
        <v>6</v>
      </c>
    </row>
    <row r="1677" s="2" customFormat="1" spans="1:16">
      <c r="A1677" s="8"/>
      <c r="B1677" s="9" t="s">
        <v>2770</v>
      </c>
      <c r="C1677" s="10" t="s">
        <v>126</v>
      </c>
      <c r="D1677" s="11">
        <v>1</v>
      </c>
      <c r="E1677" s="12">
        <v>13920</v>
      </c>
      <c r="F1677" s="13">
        <v>13920</v>
      </c>
      <c r="G1677" s="2">
        <f>VLOOKUP(B1677,'PO with created By ASR'!A:C,3,FALSE)</f>
        <v>45699</v>
      </c>
      <c r="J1677" s="2" t="str">
        <f>VLOOKUP(B1677,'PO with created By ASR'!A:G,4,FALSE)</f>
        <v>Abdul Rehman -CR</v>
      </c>
      <c r="K1677" s="2" t="e">
        <f>VLOOKUP(B1677,'PO with created By ASR'!A:I,6,FALSE)</f>
        <v>#N/A</v>
      </c>
      <c r="L1677" s="2" t="str">
        <f>VLOOKUP(B1677,'PO with created By ASR'!A:J,7,FALSE)</f>
        <v>B - Bangalore</v>
      </c>
      <c r="M1677" s="2" t="str">
        <f>VLOOKUP(B1677,'PO with created By ASR'!A:K,8,FALSE)</f>
        <v>Purchase Order-Blr</v>
      </c>
      <c r="N1677" t="s">
        <v>36</v>
      </c>
      <c r="P1677" s="2">
        <v>6</v>
      </c>
    </row>
    <row r="1678" s="2" customFormat="1" spans="1:16">
      <c r="A1678" s="8"/>
      <c r="B1678" s="9" t="s">
        <v>2770</v>
      </c>
      <c r="C1678" s="10" t="s">
        <v>412</v>
      </c>
      <c r="D1678" s="11">
        <v>1</v>
      </c>
      <c r="E1678" s="12">
        <v>9315</v>
      </c>
      <c r="F1678" s="13">
        <v>9315</v>
      </c>
      <c r="G1678" s="2">
        <f>VLOOKUP(B1678,'PO with created By ASR'!A:C,3,FALSE)</f>
        <v>45699</v>
      </c>
      <c r="J1678" s="2" t="str">
        <f>VLOOKUP(B1678,'PO with created By ASR'!A:G,4,FALSE)</f>
        <v>Abdul Rehman -CR</v>
      </c>
      <c r="K1678" s="2" t="e">
        <f>VLOOKUP(B1678,'PO with created By ASR'!A:I,6,FALSE)</f>
        <v>#N/A</v>
      </c>
      <c r="L1678" s="2" t="str">
        <f>VLOOKUP(B1678,'PO with created By ASR'!A:J,7,FALSE)</f>
        <v>B - Bangalore</v>
      </c>
      <c r="M1678" s="2" t="str">
        <f>VLOOKUP(B1678,'PO with created By ASR'!A:K,8,FALSE)</f>
        <v>Purchase Order-Blr</v>
      </c>
      <c r="N1678" t="s">
        <v>36</v>
      </c>
      <c r="P1678" s="2">
        <v>6</v>
      </c>
    </row>
    <row r="1679" s="2" customFormat="1" spans="1:16">
      <c r="A1679" s="8"/>
      <c r="B1679" s="9" t="s">
        <v>2770</v>
      </c>
      <c r="C1679" s="10" t="s">
        <v>292</v>
      </c>
      <c r="D1679" s="11">
        <v>1</v>
      </c>
      <c r="E1679" s="12">
        <v>2000</v>
      </c>
      <c r="F1679" s="13">
        <v>2000</v>
      </c>
      <c r="G1679" s="2">
        <f>VLOOKUP(B1679,'PO with created By ASR'!A:C,3,FALSE)</f>
        <v>45699</v>
      </c>
      <c r="J1679" s="2" t="str">
        <f>VLOOKUP(B1679,'PO with created By ASR'!A:G,4,FALSE)</f>
        <v>Abdul Rehman -CR</v>
      </c>
      <c r="K1679" s="2" t="e">
        <f>VLOOKUP(B1679,'PO with created By ASR'!A:I,6,FALSE)</f>
        <v>#N/A</v>
      </c>
      <c r="L1679" s="2" t="str">
        <f>VLOOKUP(B1679,'PO with created By ASR'!A:J,7,FALSE)</f>
        <v>B - Bangalore</v>
      </c>
      <c r="M1679" s="2" t="str">
        <f>VLOOKUP(B1679,'PO with created By ASR'!A:K,8,FALSE)</f>
        <v>Purchase Order-Blr</v>
      </c>
      <c r="N1679" t="s">
        <v>36</v>
      </c>
      <c r="P1679" s="2">
        <v>6</v>
      </c>
    </row>
    <row r="1680" s="2" customFormat="1" spans="1:16">
      <c r="A1680" s="8"/>
      <c r="B1680" s="9" t="s">
        <v>2770</v>
      </c>
      <c r="C1680" s="10" t="s">
        <v>1055</v>
      </c>
      <c r="D1680" s="11">
        <v>1</v>
      </c>
      <c r="E1680" s="12">
        <v>6000</v>
      </c>
      <c r="F1680" s="13">
        <v>6000</v>
      </c>
      <c r="G1680" s="2">
        <f>VLOOKUP(B1680,'PO with created By ASR'!A:C,3,FALSE)</f>
        <v>45699</v>
      </c>
      <c r="J1680" s="2" t="str">
        <f>VLOOKUP(B1680,'PO with created By ASR'!A:G,4,FALSE)</f>
        <v>Abdul Rehman -CR</v>
      </c>
      <c r="K1680" s="2" t="e">
        <f>VLOOKUP(B1680,'PO with created By ASR'!A:I,6,FALSE)</f>
        <v>#N/A</v>
      </c>
      <c r="L1680" s="2" t="str">
        <f>VLOOKUP(B1680,'PO with created By ASR'!A:J,7,FALSE)</f>
        <v>B - Bangalore</v>
      </c>
      <c r="M1680" s="2" t="str">
        <f>VLOOKUP(B1680,'PO with created By ASR'!A:K,8,FALSE)</f>
        <v>Purchase Order-Blr</v>
      </c>
      <c r="N1680" t="s">
        <v>36</v>
      </c>
      <c r="P1680" s="2">
        <v>6</v>
      </c>
    </row>
    <row r="1681" s="2" customFormat="1" spans="1:16">
      <c r="A1681" s="8"/>
      <c r="B1681" s="9" t="s">
        <v>2770</v>
      </c>
      <c r="C1681" s="10" t="s">
        <v>233</v>
      </c>
      <c r="D1681" s="11">
        <v>1</v>
      </c>
      <c r="E1681" s="12">
        <v>37310</v>
      </c>
      <c r="F1681" s="13">
        <v>37310</v>
      </c>
      <c r="G1681" s="2">
        <f>VLOOKUP(B1681,'PO with created By ASR'!A:C,3,FALSE)</f>
        <v>45699</v>
      </c>
      <c r="J1681" s="2" t="str">
        <f>VLOOKUP(B1681,'PO with created By ASR'!A:G,4,FALSE)</f>
        <v>Abdul Rehman -CR</v>
      </c>
      <c r="K1681" s="2" t="e">
        <f>VLOOKUP(B1681,'PO with created By ASR'!A:I,6,FALSE)</f>
        <v>#N/A</v>
      </c>
      <c r="L1681" s="2" t="str">
        <f>VLOOKUP(B1681,'PO with created By ASR'!A:J,7,FALSE)</f>
        <v>B - Bangalore</v>
      </c>
      <c r="M1681" s="2" t="str">
        <f>VLOOKUP(B1681,'PO with created By ASR'!A:K,8,FALSE)</f>
        <v>Purchase Order-Blr</v>
      </c>
      <c r="N1681" t="s">
        <v>36</v>
      </c>
      <c r="P1681" s="2">
        <v>6</v>
      </c>
    </row>
    <row r="1682" s="2" customFormat="1" spans="1:16">
      <c r="A1682" s="8"/>
      <c r="B1682" s="9" t="s">
        <v>2772</v>
      </c>
      <c r="C1682" s="10" t="s">
        <v>250</v>
      </c>
      <c r="D1682" s="11">
        <v>1</v>
      </c>
      <c r="E1682" s="12">
        <v>200000</v>
      </c>
      <c r="F1682" s="13">
        <v>200000</v>
      </c>
      <c r="G1682" s="2">
        <f>VLOOKUP(B1682,'PO with created By ASR'!A:C,3,FALSE)</f>
        <v>45699</v>
      </c>
      <c r="J1682" s="2" t="str">
        <f>VLOOKUP(B1682,'PO with created By ASR'!A:G,4,FALSE)</f>
        <v>Mitin Upadhyay-Blr</v>
      </c>
      <c r="K1682" s="2" t="str">
        <f>VLOOKUP(B1682,'PO with created By ASR'!A:I,6,FALSE)</f>
        <v>10755 Mitin Upadhyay</v>
      </c>
      <c r="L1682" s="2" t="str">
        <f>VLOOKUP(B1682,'PO with created By ASR'!A:J,7,FALSE)</f>
        <v>B - Bangalore</v>
      </c>
      <c r="M1682" s="2" t="str">
        <f>VLOOKUP(B1682,'PO with created By ASR'!A:K,8,FALSE)</f>
        <v>Purchase Order-Blr</v>
      </c>
      <c r="N1682" t="s">
        <v>36</v>
      </c>
      <c r="P1682" s="2">
        <v>6</v>
      </c>
    </row>
    <row r="1683" s="2" customFormat="1" spans="1:16">
      <c r="A1683" s="8"/>
      <c r="B1683" s="9" t="s">
        <v>2777</v>
      </c>
      <c r="C1683" s="10" t="s">
        <v>317</v>
      </c>
      <c r="D1683" s="11">
        <v>1</v>
      </c>
      <c r="E1683" s="12">
        <v>55000</v>
      </c>
      <c r="F1683" s="13">
        <v>55000</v>
      </c>
      <c r="G1683" s="2">
        <f>VLOOKUP(B1683,'PO with created By ASR'!A:C,3,FALSE)</f>
        <v>45699</v>
      </c>
      <c r="J1683" s="2" t="str">
        <f>VLOOKUP(B1683,'PO with created By ASR'!A:G,4,FALSE)</f>
        <v>Lyra Entertainment And Media-Blr</v>
      </c>
      <c r="K1683" s="2" t="e">
        <f>VLOOKUP(B1683,'PO with created By ASR'!A:I,6,FALSE)</f>
        <v>#N/A</v>
      </c>
      <c r="L1683" s="2" t="str">
        <f>VLOOKUP(B1683,'PO with created By ASR'!A:J,7,FALSE)</f>
        <v>B - Bangalore</v>
      </c>
      <c r="M1683" s="2" t="str">
        <f>VLOOKUP(B1683,'PO with created By ASR'!A:K,8,FALSE)</f>
        <v>Purchase Order-Blr</v>
      </c>
      <c r="N1683" t="s">
        <v>36</v>
      </c>
      <c r="P1683" s="2">
        <v>6</v>
      </c>
    </row>
    <row r="1684" s="2" customFormat="1" spans="1:16">
      <c r="A1684" s="8"/>
      <c r="B1684" s="9" t="s">
        <v>2778</v>
      </c>
      <c r="C1684" s="10" t="s">
        <v>250</v>
      </c>
      <c r="D1684" s="11">
        <v>1</v>
      </c>
      <c r="E1684" s="12">
        <v>75000</v>
      </c>
      <c r="F1684" s="13">
        <v>75000</v>
      </c>
      <c r="G1684" s="2">
        <f>VLOOKUP(B1684,'PO with created By ASR'!A:C,3,FALSE)</f>
        <v>45699</v>
      </c>
      <c r="J1684" s="2" t="str">
        <f>VLOOKUP(B1684,'PO with created By ASR'!A:G,4,FALSE)</f>
        <v>Uvfx-Blr</v>
      </c>
      <c r="K1684" s="2" t="e">
        <f>VLOOKUP(B1684,'PO with created By ASR'!A:I,6,FALSE)</f>
        <v>#N/A</v>
      </c>
      <c r="L1684" s="2" t="str">
        <f>VLOOKUP(B1684,'PO with created By ASR'!A:J,7,FALSE)</f>
        <v>B - Bangalore</v>
      </c>
      <c r="M1684" s="2" t="str">
        <f>VLOOKUP(B1684,'PO with created By ASR'!A:K,8,FALSE)</f>
        <v>Purchase Order-Blr</v>
      </c>
      <c r="N1684" t="s">
        <v>36</v>
      </c>
      <c r="P1684" s="2">
        <v>6</v>
      </c>
    </row>
    <row r="1685" s="2" customFormat="1" spans="1:16">
      <c r="A1685" s="8"/>
      <c r="B1685" s="9" t="s">
        <v>2779</v>
      </c>
      <c r="C1685" s="10" t="s">
        <v>61</v>
      </c>
      <c r="D1685" s="11">
        <v>1</v>
      </c>
      <c r="E1685" s="12">
        <v>216000</v>
      </c>
      <c r="F1685" s="13">
        <v>216000</v>
      </c>
      <c r="G1685" s="2">
        <f>VLOOKUP(B1685,'PO with created By ASR'!A:C,3,FALSE)</f>
        <v>45699</v>
      </c>
      <c r="J1685" s="2" t="str">
        <f>VLOOKUP(B1685,'PO with created By ASR'!A:G,4,FALSE)</f>
        <v>Radisson Blu Bengaluru (A unit of Charishma Hotels Pvt Ltd)-Blr</v>
      </c>
      <c r="K1685" s="2" t="str">
        <f>VLOOKUP(B1685,'PO with created By ASR'!A:I,6,FALSE)</f>
        <v>10390  Radisson Blu Bengaluru (A unit of Charishma Hotels Pvt Ltd)</v>
      </c>
      <c r="L1685" s="2" t="str">
        <f>VLOOKUP(B1685,'PO with created By ASR'!A:J,7,FALSE)</f>
        <v>B - Bangalore</v>
      </c>
      <c r="M1685" s="2" t="str">
        <f>VLOOKUP(B1685,'PO with created By ASR'!A:K,8,FALSE)</f>
        <v>Purchase Order-Blr</v>
      </c>
      <c r="N1685" t="s">
        <v>36</v>
      </c>
      <c r="P1685" s="2">
        <v>6</v>
      </c>
    </row>
    <row r="1686" s="2" customFormat="1" spans="1:16">
      <c r="A1686" s="8"/>
      <c r="B1686" s="9" t="s">
        <v>2782</v>
      </c>
      <c r="C1686" s="10" t="s">
        <v>2783</v>
      </c>
      <c r="D1686" s="11">
        <v>1</v>
      </c>
      <c r="E1686" s="12">
        <v>115000</v>
      </c>
      <c r="F1686" s="13">
        <v>115000</v>
      </c>
      <c r="G1686" s="2">
        <f>VLOOKUP(B1686,'PO with created By ASR'!A:C,3,FALSE)</f>
        <v>45699</v>
      </c>
      <c r="J1686" s="2" t="str">
        <f>VLOOKUP(B1686,'PO with created By ASR'!A:G,4,FALSE)</f>
        <v>Radisson Blu Bengaluru (A unit of Charishma Hotels Pvt Ltd)-Blr</v>
      </c>
      <c r="K1686" s="2" t="str">
        <f>VLOOKUP(B1686,'PO with created By ASR'!A:I,6,FALSE)</f>
        <v>10390  Radisson Blu Bengaluru (A unit of Charishma Hotels Pvt Ltd)</v>
      </c>
      <c r="L1686" s="2" t="str">
        <f>VLOOKUP(B1686,'PO with created By ASR'!A:J,7,FALSE)</f>
        <v>B - Bangalore</v>
      </c>
      <c r="M1686" s="2" t="str">
        <f>VLOOKUP(B1686,'PO with created By ASR'!A:K,8,FALSE)</f>
        <v>Purchase Order-Blr</v>
      </c>
      <c r="N1686" t="s">
        <v>36</v>
      </c>
      <c r="P1686" s="2">
        <v>6</v>
      </c>
    </row>
    <row r="1687" s="2" customFormat="1" spans="1:16">
      <c r="A1687" s="8"/>
      <c r="B1687" s="9" t="s">
        <v>2784</v>
      </c>
      <c r="C1687" s="10" t="s">
        <v>683</v>
      </c>
      <c r="D1687" s="11">
        <v>1</v>
      </c>
      <c r="E1687" s="12">
        <v>215000</v>
      </c>
      <c r="F1687" s="13">
        <v>215000</v>
      </c>
      <c r="G1687" s="2">
        <f>VLOOKUP(B1687,'PO with created By ASR'!A:C,3,FALSE)</f>
        <v>45699</v>
      </c>
      <c r="J1687" s="2" t="str">
        <f>VLOOKUP(B1687,'PO with created By ASR'!A:G,4,FALSE)</f>
        <v>Sulfikkar M-Che</v>
      </c>
      <c r="K1687" s="2" t="str">
        <f>VLOOKUP(B1687,'PO with created By ASR'!A:I,6,FALSE)</f>
        <v>12473 Sulfikkar M</v>
      </c>
      <c r="L1687" s="2" t="str">
        <f>VLOOKUP(B1687,'PO with created By ASR'!A:J,7,FALSE)</f>
        <v>C - Chennai</v>
      </c>
      <c r="M1687" s="2" t="str">
        <f>VLOOKUP(B1687,'PO with created By ASR'!A:K,8,FALSE)</f>
        <v>Purchase Order-Che</v>
      </c>
      <c r="N1687" t="s">
        <v>36</v>
      </c>
      <c r="P1687" s="2">
        <v>6</v>
      </c>
    </row>
    <row r="1688" s="2" customFormat="1" spans="1:16">
      <c r="A1688" s="8"/>
      <c r="B1688" s="9" t="s">
        <v>2787</v>
      </c>
      <c r="C1688" s="10" t="s">
        <v>119</v>
      </c>
      <c r="D1688" s="11">
        <v>1</v>
      </c>
      <c r="E1688" s="12">
        <v>43000</v>
      </c>
      <c r="F1688" s="13">
        <v>43000</v>
      </c>
      <c r="G1688" s="2">
        <f>VLOOKUP(B1688,'PO with created By ASR'!A:C,3,FALSE)</f>
        <v>45699</v>
      </c>
      <c r="J1688" s="2" t="str">
        <f>VLOOKUP(B1688,'PO with created By ASR'!A:G,4,FALSE)</f>
        <v>Relax Tours &amp; Travels-Che</v>
      </c>
      <c r="K1688" s="2" t="str">
        <f>VLOOKUP(B1688,'PO with created By ASR'!A:I,6,FALSE)</f>
        <v>12808 Relax Tours &amp; Travels</v>
      </c>
      <c r="L1688" s="2" t="str">
        <f>VLOOKUP(B1688,'PO with created By ASR'!A:J,7,FALSE)</f>
        <v>C - Chennai</v>
      </c>
      <c r="M1688" s="2" t="str">
        <f>VLOOKUP(B1688,'PO with created By ASR'!A:K,8,FALSE)</f>
        <v>Purchase Order-Che</v>
      </c>
      <c r="N1688" t="s">
        <v>36</v>
      </c>
      <c r="P1688" s="2">
        <v>6</v>
      </c>
    </row>
    <row r="1689" s="2" customFormat="1" spans="1:16">
      <c r="A1689" s="8"/>
      <c r="B1689" s="9" t="s">
        <v>2790</v>
      </c>
      <c r="C1689" s="10" t="s">
        <v>401</v>
      </c>
      <c r="D1689" s="11">
        <v>1</v>
      </c>
      <c r="E1689" s="12">
        <v>250000</v>
      </c>
      <c r="F1689" s="13">
        <v>250000</v>
      </c>
      <c r="G1689" s="2">
        <f>VLOOKUP(B1689,'PO with created By ASR'!A:C,3,FALSE)</f>
        <v>45699</v>
      </c>
      <c r="J1689" s="2" t="str">
        <f>VLOOKUP(B1689,'PO with created By ASR'!A:G,4,FALSE)</f>
        <v>Mj Digital-Che</v>
      </c>
      <c r="K1689" s="2" t="str">
        <f>VLOOKUP(B1689,'PO with created By ASR'!A:I,6,FALSE)</f>
        <v>12157 MJ Digital</v>
      </c>
      <c r="L1689" s="2" t="str">
        <f>VLOOKUP(B1689,'PO with created By ASR'!A:J,7,FALSE)</f>
        <v>C - Chennai</v>
      </c>
      <c r="M1689" s="2" t="str">
        <f>VLOOKUP(B1689,'PO with created By ASR'!A:K,8,FALSE)</f>
        <v>Purchase Order-Che</v>
      </c>
      <c r="N1689" t="s">
        <v>36</v>
      </c>
      <c r="P1689" s="2">
        <v>6</v>
      </c>
    </row>
    <row r="1690" s="2" customFormat="1" spans="1:16">
      <c r="A1690" s="8"/>
      <c r="B1690" s="9" t="s">
        <v>2791</v>
      </c>
      <c r="C1690" s="10" t="s">
        <v>317</v>
      </c>
      <c r="D1690" s="11">
        <v>1</v>
      </c>
      <c r="E1690" s="12">
        <v>70000</v>
      </c>
      <c r="F1690" s="13">
        <v>70000</v>
      </c>
      <c r="G1690" s="2">
        <f>VLOOKUP(B1690,'PO with created By ASR'!A:C,3,FALSE)</f>
        <v>45699</v>
      </c>
      <c r="J1690" s="2" t="str">
        <f>VLOOKUP(B1690,'PO with created By ASR'!A:G,4,FALSE)</f>
        <v>Aishwarya Anil Kumar-Che</v>
      </c>
      <c r="K1690" s="2" t="str">
        <f>VLOOKUP(B1690,'PO with created By ASR'!A:I,6,FALSE)</f>
        <v>12895 Aishwarya Anil Kumar</v>
      </c>
      <c r="L1690" s="2" t="str">
        <f>VLOOKUP(B1690,'PO with created By ASR'!A:J,7,FALSE)</f>
        <v>C - Chennai</v>
      </c>
      <c r="M1690" s="2" t="str">
        <f>VLOOKUP(B1690,'PO with created By ASR'!A:K,8,FALSE)</f>
        <v>Purchase Order-Che</v>
      </c>
      <c r="N1690" t="s">
        <v>36</v>
      </c>
      <c r="P1690" s="2">
        <v>6</v>
      </c>
    </row>
    <row r="1691" s="2" customFormat="1" spans="1:16">
      <c r="A1691" s="8"/>
      <c r="B1691" s="9" t="s">
        <v>2792</v>
      </c>
      <c r="C1691" s="10" t="s">
        <v>140</v>
      </c>
      <c r="D1691" s="11">
        <v>1</v>
      </c>
      <c r="E1691" s="12">
        <v>32175</v>
      </c>
      <c r="F1691" s="13">
        <v>32175</v>
      </c>
      <c r="G1691" s="2">
        <f>VLOOKUP(B1691,'PO with created By ASR'!A:C,3,FALSE)</f>
        <v>45699</v>
      </c>
      <c r="J1691" s="2" t="str">
        <f>VLOOKUP(B1691,'PO with created By ASR'!A:G,4,FALSE)</f>
        <v>Officeoye Corporate Supplies Pvt Ltd-Che</v>
      </c>
      <c r="K1691" s="2" t="str">
        <f>VLOOKUP(B1691,'PO with created By ASR'!A:I,6,FALSE)</f>
        <v>12218  Officeoye Corporate Supplies Pvt Ltd</v>
      </c>
      <c r="L1691" s="2" t="str">
        <f>VLOOKUP(B1691,'PO with created By ASR'!A:J,7,FALSE)</f>
        <v>C - Chennai</v>
      </c>
      <c r="M1691" s="2" t="str">
        <f>VLOOKUP(B1691,'PO with created By ASR'!A:K,8,FALSE)</f>
        <v>Purchase Order-Che</v>
      </c>
      <c r="N1691" t="s">
        <v>36</v>
      </c>
      <c r="P1691" s="2">
        <v>6</v>
      </c>
    </row>
    <row r="1692" s="2" customFormat="1" spans="1:16">
      <c r="A1692" s="8"/>
      <c r="B1692" s="9" t="s">
        <v>2792</v>
      </c>
      <c r="C1692" s="10" t="s">
        <v>140</v>
      </c>
      <c r="D1692" s="11">
        <v>1</v>
      </c>
      <c r="E1692" s="12">
        <v>93150</v>
      </c>
      <c r="F1692" s="13">
        <v>93150</v>
      </c>
      <c r="G1692" s="2">
        <f>VLOOKUP(B1692,'PO with created By ASR'!A:C,3,FALSE)</f>
        <v>45699</v>
      </c>
      <c r="J1692" s="2" t="str">
        <f>VLOOKUP(B1692,'PO with created By ASR'!A:G,4,FALSE)</f>
        <v>Officeoye Corporate Supplies Pvt Ltd-Che</v>
      </c>
      <c r="K1692" s="2" t="str">
        <f>VLOOKUP(B1692,'PO with created By ASR'!A:I,6,FALSE)</f>
        <v>12218  Officeoye Corporate Supplies Pvt Ltd</v>
      </c>
      <c r="L1692" s="2" t="str">
        <f>VLOOKUP(B1692,'PO with created By ASR'!A:J,7,FALSE)</f>
        <v>C - Chennai</v>
      </c>
      <c r="M1692" s="2" t="str">
        <f>VLOOKUP(B1692,'PO with created By ASR'!A:K,8,FALSE)</f>
        <v>Purchase Order-Che</v>
      </c>
      <c r="N1692" t="s">
        <v>36</v>
      </c>
      <c r="P1692" s="2">
        <v>6</v>
      </c>
    </row>
    <row r="1693" s="2" customFormat="1" spans="1:16">
      <c r="A1693" s="8"/>
      <c r="B1693" s="9" t="s">
        <v>2796</v>
      </c>
      <c r="C1693" s="10" t="s">
        <v>317</v>
      </c>
      <c r="D1693" s="11">
        <v>1</v>
      </c>
      <c r="E1693" s="12">
        <v>37930</v>
      </c>
      <c r="F1693" s="13">
        <v>37930</v>
      </c>
      <c r="G1693" s="2">
        <f>VLOOKUP(B1693,'PO with created By ASR'!A:C,3,FALSE)</f>
        <v>45699</v>
      </c>
      <c r="J1693" s="2" t="str">
        <f>VLOOKUP(B1693,'PO with created By ASR'!A:G,4,FALSE)</f>
        <v>Showmedia Solution Private Limited-Che</v>
      </c>
      <c r="K1693" s="2" t="e">
        <f>VLOOKUP(B1693,'PO with created By ASR'!A:I,6,FALSE)</f>
        <v>#N/A</v>
      </c>
      <c r="L1693" s="2" t="str">
        <f>VLOOKUP(B1693,'PO with created By ASR'!A:J,7,FALSE)</f>
        <v>C - Chennai</v>
      </c>
      <c r="M1693" s="2" t="str">
        <f>VLOOKUP(B1693,'PO with created By ASR'!A:K,8,FALSE)</f>
        <v>Purchase Order-Che</v>
      </c>
      <c r="N1693" t="s">
        <v>36</v>
      </c>
      <c r="P1693" s="2">
        <v>6</v>
      </c>
    </row>
    <row r="1694" s="2" customFormat="1" spans="1:16">
      <c r="A1694" s="8"/>
      <c r="B1694" s="9" t="s">
        <v>2797</v>
      </c>
      <c r="C1694" s="10" t="s">
        <v>317</v>
      </c>
      <c r="D1694" s="11">
        <v>1</v>
      </c>
      <c r="E1694" s="12">
        <v>50750</v>
      </c>
      <c r="F1694" s="13">
        <v>50750</v>
      </c>
      <c r="G1694" s="2">
        <f>VLOOKUP(B1694,'PO with created By ASR'!A:C,3,FALSE)</f>
        <v>45699</v>
      </c>
      <c r="J1694" s="2" t="str">
        <f>VLOOKUP(B1694,'PO with created By ASR'!A:G,4,FALSE)</f>
        <v>Crystal Event &amp; Service-Che</v>
      </c>
      <c r="K1694" s="2" t="str">
        <f>VLOOKUP(B1694,'PO with created By ASR'!A:I,6,FALSE)</f>
        <v>11809 Crystal Event &amp; Service</v>
      </c>
      <c r="L1694" s="2" t="str">
        <f>VLOOKUP(B1694,'PO with created By ASR'!A:J,7,FALSE)</f>
        <v>C - Chennai</v>
      </c>
      <c r="M1694" s="2" t="str">
        <f>VLOOKUP(B1694,'PO with created By ASR'!A:K,8,FALSE)</f>
        <v>Purchase Order-Che</v>
      </c>
      <c r="N1694" t="s">
        <v>36</v>
      </c>
      <c r="P1694" s="2">
        <v>6</v>
      </c>
    </row>
    <row r="1695" s="2" customFormat="1" spans="1:16">
      <c r="A1695" s="8"/>
      <c r="B1695" s="9" t="s">
        <v>2798</v>
      </c>
      <c r="C1695" s="10" t="s">
        <v>317</v>
      </c>
      <c r="D1695" s="11">
        <v>1</v>
      </c>
      <c r="E1695" s="12">
        <v>265000</v>
      </c>
      <c r="F1695" s="13">
        <v>265000</v>
      </c>
      <c r="G1695" s="2">
        <f>VLOOKUP(B1695,'PO with created By ASR'!A:C,3,FALSE)</f>
        <v>45699</v>
      </c>
      <c r="J1695" s="2" t="str">
        <f>VLOOKUP(B1695,'PO with created By ASR'!A:G,4,FALSE)</f>
        <v>Shanmugam J-Che</v>
      </c>
      <c r="K1695" s="2" t="str">
        <f>VLOOKUP(B1695,'PO with created By ASR'!A:I,6,FALSE)</f>
        <v>12917 Shanmugam J</v>
      </c>
      <c r="L1695" s="2" t="str">
        <f>VLOOKUP(B1695,'PO with created By ASR'!A:J,7,FALSE)</f>
        <v>C - Chennai</v>
      </c>
      <c r="M1695" s="2" t="str">
        <f>VLOOKUP(B1695,'PO with created By ASR'!A:K,8,FALSE)</f>
        <v>Purchase Order-Che</v>
      </c>
      <c r="N1695" t="s">
        <v>36</v>
      </c>
      <c r="P1695" s="2">
        <v>6</v>
      </c>
    </row>
    <row r="1696" s="2" customFormat="1" spans="1:16">
      <c r="A1696" s="8"/>
      <c r="B1696" s="9" t="s">
        <v>2799</v>
      </c>
      <c r="C1696" s="10" t="s">
        <v>756</v>
      </c>
      <c r="D1696" s="11">
        <v>1</v>
      </c>
      <c r="E1696" s="12">
        <v>1497</v>
      </c>
      <c r="F1696" s="13">
        <v>1497</v>
      </c>
      <c r="G1696" s="2">
        <f>VLOOKUP(B1696,'PO with created By ASR'!A:C,3,FALSE)</f>
        <v>45699</v>
      </c>
      <c r="J1696" s="2" t="str">
        <f>VLOOKUP(B1696,'PO with created By ASR'!A:G,4,FALSE)</f>
        <v>Airtel Ltd(Bill Booking)-Mum</v>
      </c>
      <c r="K1696" s="2" t="str">
        <f>VLOOKUP(B1696,'PO with created By ASR'!A:I,6,FALSE)</f>
        <v>10112  Airtel Ltd(Bill Booking)</v>
      </c>
      <c r="L1696" s="2" t="str">
        <f>VLOOKUP(B1696,'PO with created By ASR'!A:J,7,FALSE)</f>
        <v>C - Chennai</v>
      </c>
      <c r="M1696" s="2" t="str">
        <f>VLOOKUP(B1696,'PO with created By ASR'!A:K,8,FALSE)</f>
        <v>Purchase Order-Che</v>
      </c>
      <c r="N1696" t="s">
        <v>36</v>
      </c>
      <c r="P1696" s="2">
        <v>6</v>
      </c>
    </row>
    <row r="1697" s="2" customFormat="1" spans="1:16">
      <c r="A1697" s="8"/>
      <c r="B1697" s="9" t="s">
        <v>2800</v>
      </c>
      <c r="C1697" s="10" t="s">
        <v>61</v>
      </c>
      <c r="D1697" s="11">
        <v>1</v>
      </c>
      <c r="E1697" s="12">
        <v>12877</v>
      </c>
      <c r="F1697" s="13">
        <v>12877</v>
      </c>
      <c r="G1697" s="2">
        <f>VLOOKUP(B1697,'PO with created By ASR'!A:C,3,FALSE)</f>
        <v>45699</v>
      </c>
      <c r="J1697" s="2" t="str">
        <f>VLOOKUP(B1697,'PO with created By ASR'!A:G,4,FALSE)</f>
        <v>Clinton J  for Expense-CR</v>
      </c>
      <c r="K1697" s="2" t="e">
        <f>VLOOKUP(B1697,'PO with created By ASR'!A:I,6,FALSE)</f>
        <v>#N/A</v>
      </c>
      <c r="L1697" s="2" t="str">
        <f>VLOOKUP(B1697,'PO with created By ASR'!A:J,7,FALSE)</f>
        <v>C - Chennai</v>
      </c>
      <c r="M1697" s="2" t="str">
        <f>VLOOKUP(B1697,'PO with created By ASR'!A:K,8,FALSE)</f>
        <v>Purchase Order-Che</v>
      </c>
      <c r="N1697" t="s">
        <v>36</v>
      </c>
      <c r="P1697" s="2">
        <v>6</v>
      </c>
    </row>
    <row r="1698" s="2" customFormat="1" spans="1:16">
      <c r="A1698" s="8"/>
      <c r="B1698" s="9" t="s">
        <v>2801</v>
      </c>
      <c r="C1698" s="10" t="s">
        <v>140</v>
      </c>
      <c r="D1698" s="11">
        <v>1</v>
      </c>
      <c r="E1698" s="12">
        <v>346000</v>
      </c>
      <c r="F1698" s="13">
        <v>346000</v>
      </c>
      <c r="G1698" s="2">
        <f>VLOOKUP(B1698,'PO with created By ASR'!A:C,3,FALSE)</f>
        <v>45699</v>
      </c>
      <c r="J1698" s="2" t="str">
        <f>VLOOKUP(B1698,'PO with created By ASR'!A:G,4,FALSE)</f>
        <v>Studio Merchandise Pvt Ltd-Del</v>
      </c>
      <c r="K1698" s="2" t="str">
        <f>VLOOKUP(B1698,'PO with created By ASR'!A:I,6,FALSE)</f>
        <v>12464  Studio Merchandise Pvt Ltd</v>
      </c>
      <c r="L1698" s="2" t="str">
        <f>VLOOKUP(B1698,'PO with created By ASR'!A:J,7,FALSE)</f>
        <v>D - Delhi</v>
      </c>
      <c r="M1698" s="2" t="str">
        <f>VLOOKUP(B1698,'PO with created By ASR'!A:K,8,FALSE)</f>
        <v>Purchase Order-Del</v>
      </c>
      <c r="N1698" t="s">
        <v>36</v>
      </c>
      <c r="P1698" s="2">
        <v>6</v>
      </c>
    </row>
    <row r="1699" s="2" customFormat="1" spans="1:16">
      <c r="A1699" s="8"/>
      <c r="B1699" s="9" t="s">
        <v>2801</v>
      </c>
      <c r="C1699" s="10" t="s">
        <v>140</v>
      </c>
      <c r="D1699" s="11">
        <v>1</v>
      </c>
      <c r="E1699" s="12">
        <v>15000</v>
      </c>
      <c r="F1699" s="13">
        <v>15000</v>
      </c>
      <c r="G1699" s="2">
        <f>VLOOKUP(B1699,'PO with created By ASR'!A:C,3,FALSE)</f>
        <v>45699</v>
      </c>
      <c r="J1699" s="2" t="str">
        <f>VLOOKUP(B1699,'PO with created By ASR'!A:G,4,FALSE)</f>
        <v>Studio Merchandise Pvt Ltd-Del</v>
      </c>
      <c r="K1699" s="2" t="str">
        <f>VLOOKUP(B1699,'PO with created By ASR'!A:I,6,FALSE)</f>
        <v>12464  Studio Merchandise Pvt Ltd</v>
      </c>
      <c r="L1699" s="2" t="str">
        <f>VLOOKUP(B1699,'PO with created By ASR'!A:J,7,FALSE)</f>
        <v>D - Delhi</v>
      </c>
      <c r="M1699" s="2" t="str">
        <f>VLOOKUP(B1699,'PO with created By ASR'!A:K,8,FALSE)</f>
        <v>Purchase Order-Del</v>
      </c>
      <c r="N1699" t="s">
        <v>36</v>
      </c>
      <c r="P1699" s="2">
        <v>6</v>
      </c>
    </row>
    <row r="1700" s="2" customFormat="1" spans="1:16">
      <c r="A1700" s="8"/>
      <c r="B1700" s="9" t="s">
        <v>2802</v>
      </c>
      <c r="C1700" s="10" t="s">
        <v>140</v>
      </c>
      <c r="D1700" s="11">
        <v>1</v>
      </c>
      <c r="E1700" s="12">
        <v>3200</v>
      </c>
      <c r="F1700" s="13">
        <v>3200</v>
      </c>
      <c r="G1700" s="2">
        <f>VLOOKUP(B1700,'PO with created By ASR'!A:C,3,FALSE)</f>
        <v>45699</v>
      </c>
      <c r="J1700" s="2" t="str">
        <f>VLOOKUP(B1700,'PO with created By ASR'!A:G,4,FALSE)</f>
        <v>Innovative Gifting Solutions-Del</v>
      </c>
      <c r="K1700" s="2" t="str">
        <f>VLOOKUP(B1700,'PO with created By ASR'!A:I,6,FALSE)</f>
        <v>11264 Innovative Gifting Solutions</v>
      </c>
      <c r="L1700" s="2" t="str">
        <f>VLOOKUP(B1700,'PO with created By ASR'!A:J,7,FALSE)</f>
        <v>D - Delhi</v>
      </c>
      <c r="M1700" s="2" t="str">
        <f>VLOOKUP(B1700,'PO with created By ASR'!A:K,8,FALSE)</f>
        <v>Purchase Order-Del</v>
      </c>
      <c r="N1700" t="s">
        <v>36</v>
      </c>
      <c r="P1700" s="2">
        <v>6</v>
      </c>
    </row>
    <row r="1701" s="2" customFormat="1" spans="1:16">
      <c r="A1701" s="8"/>
      <c r="B1701" s="9" t="s">
        <v>2804</v>
      </c>
      <c r="C1701" s="10" t="s">
        <v>140</v>
      </c>
      <c r="D1701" s="11">
        <v>1</v>
      </c>
      <c r="E1701" s="12">
        <v>222280</v>
      </c>
      <c r="F1701" s="13">
        <v>222280</v>
      </c>
      <c r="G1701" s="2">
        <f>VLOOKUP(B1701,'PO with created By ASR'!A:C,3,FALSE)</f>
        <v>45699</v>
      </c>
      <c r="J1701" s="2" t="str">
        <f>VLOOKUP(B1701,'PO with created By ASR'!A:G,4,FALSE)</f>
        <v>Innovative Gifting Solutions-Del</v>
      </c>
      <c r="K1701" s="2" t="str">
        <f>VLOOKUP(B1701,'PO with created By ASR'!A:I,6,FALSE)</f>
        <v>11264 Innovative Gifting Solutions</v>
      </c>
      <c r="L1701" s="2" t="str">
        <f>VLOOKUP(B1701,'PO with created By ASR'!A:J,7,FALSE)</f>
        <v>D - Delhi</v>
      </c>
      <c r="M1701" s="2" t="str">
        <f>VLOOKUP(B1701,'PO with created By ASR'!A:K,8,FALSE)</f>
        <v>Purchase Order-Del</v>
      </c>
      <c r="N1701" t="s">
        <v>36</v>
      </c>
      <c r="P1701" s="2">
        <v>6</v>
      </c>
    </row>
    <row r="1702" s="2" customFormat="1" spans="1:16">
      <c r="A1702" s="8"/>
      <c r="B1702" s="9" t="s">
        <v>2805</v>
      </c>
      <c r="C1702" s="10" t="s">
        <v>250</v>
      </c>
      <c r="D1702" s="11">
        <v>1</v>
      </c>
      <c r="E1702" s="12">
        <v>60000</v>
      </c>
      <c r="F1702" s="13">
        <v>60000</v>
      </c>
      <c r="G1702" s="2">
        <f>VLOOKUP(B1702,'PO with created By ASR'!A:C,3,FALSE)</f>
        <v>45699</v>
      </c>
      <c r="J1702" s="2" t="str">
        <f>VLOOKUP(B1702,'PO with created By ASR'!A:G,4,FALSE)</f>
        <v>Isha Bhalla-Del</v>
      </c>
      <c r="K1702" s="2" t="str">
        <f>VLOOKUP(B1702,'PO with created By ASR'!A:I,6,FALSE)</f>
        <v>10678 Isha Bhalla</v>
      </c>
      <c r="L1702" s="2" t="str">
        <f>VLOOKUP(B1702,'PO with created By ASR'!A:J,7,FALSE)</f>
        <v>D - Delhi</v>
      </c>
      <c r="M1702" s="2" t="str">
        <f>VLOOKUP(B1702,'PO with created By ASR'!A:K,8,FALSE)</f>
        <v>Purchase Order-Del</v>
      </c>
      <c r="N1702" t="s">
        <v>36</v>
      </c>
      <c r="P1702" s="2">
        <v>6</v>
      </c>
    </row>
    <row r="1703" s="2" customFormat="1" spans="1:16">
      <c r="A1703" s="8"/>
      <c r="B1703" s="9" t="s">
        <v>2808</v>
      </c>
      <c r="C1703" s="10" t="s">
        <v>250</v>
      </c>
      <c r="D1703" s="11">
        <v>1</v>
      </c>
      <c r="E1703" s="12">
        <v>40000</v>
      </c>
      <c r="F1703" s="13">
        <v>40000</v>
      </c>
      <c r="G1703" s="2">
        <f>VLOOKUP(B1703,'PO with created By ASR'!A:C,3,FALSE)</f>
        <v>45699</v>
      </c>
      <c r="J1703" s="2" t="str">
        <f>VLOOKUP(B1703,'PO with created By ASR'!A:G,4,FALSE)</f>
        <v>Aastha Sethi-Del</v>
      </c>
      <c r="K1703" s="2" t="str">
        <f>VLOOKUP(B1703,'PO with created By ASR'!A:I,6,FALSE)</f>
        <v>10504 Aastha Sethi</v>
      </c>
      <c r="L1703" s="2" t="str">
        <f>VLOOKUP(B1703,'PO with created By ASR'!A:J,7,FALSE)</f>
        <v>D - Delhi</v>
      </c>
      <c r="M1703" s="2" t="str">
        <f>VLOOKUP(B1703,'PO with created By ASR'!A:K,8,FALSE)</f>
        <v>Purchase Order-Del</v>
      </c>
      <c r="N1703" t="s">
        <v>36</v>
      </c>
      <c r="P1703" s="2">
        <v>6</v>
      </c>
    </row>
    <row r="1704" s="2" customFormat="1" spans="1:16">
      <c r="A1704" s="8"/>
      <c r="B1704" s="9" t="s">
        <v>2811</v>
      </c>
      <c r="C1704" s="10" t="s">
        <v>140</v>
      </c>
      <c r="D1704" s="11">
        <v>1</v>
      </c>
      <c r="E1704" s="12">
        <v>420000</v>
      </c>
      <c r="F1704" s="13">
        <v>420000</v>
      </c>
      <c r="G1704" s="2">
        <f>VLOOKUP(B1704,'PO with created By ASR'!A:C,3,FALSE)</f>
        <v>45699</v>
      </c>
      <c r="J1704" s="2" t="str">
        <f>VLOOKUP(B1704,'PO with created By ASR'!A:G,4,FALSE)</f>
        <v>Innovative Gifting Solutions-Del</v>
      </c>
      <c r="K1704" s="2" t="str">
        <f>VLOOKUP(B1704,'PO with created By ASR'!A:I,6,FALSE)</f>
        <v>11264 Innovative Gifting Solutions</v>
      </c>
      <c r="L1704" s="2" t="str">
        <f>VLOOKUP(B1704,'PO with created By ASR'!A:J,7,FALSE)</f>
        <v>D - Delhi</v>
      </c>
      <c r="M1704" s="2" t="str">
        <f>VLOOKUP(B1704,'PO with created By ASR'!A:K,8,FALSE)</f>
        <v>Purchase Order-Del</v>
      </c>
      <c r="N1704" t="s">
        <v>36</v>
      </c>
      <c r="P1704" s="2">
        <v>6</v>
      </c>
    </row>
    <row r="1705" s="2" customFormat="1" spans="1:16">
      <c r="A1705" s="8"/>
      <c r="B1705" s="9" t="s">
        <v>2812</v>
      </c>
      <c r="C1705" s="10" t="s">
        <v>126</v>
      </c>
      <c r="D1705" s="11">
        <v>1</v>
      </c>
      <c r="E1705" s="12">
        <v>3600</v>
      </c>
      <c r="F1705" s="13">
        <v>3600</v>
      </c>
      <c r="G1705" s="2">
        <f>VLOOKUP(B1705,'PO with created By ASR'!A:C,3,FALSE)</f>
        <v>45699</v>
      </c>
      <c r="J1705" s="2" t="str">
        <f>VLOOKUP(B1705,'PO with created By ASR'!A:G,4,FALSE)</f>
        <v>Gaurav Singh Lakauriya  -CR</v>
      </c>
      <c r="K1705" s="2" t="e">
        <f>VLOOKUP(B1705,'PO with created By ASR'!A:I,6,FALSE)</f>
        <v>#N/A</v>
      </c>
      <c r="L1705" s="2" t="str">
        <f>VLOOKUP(B1705,'PO with created By ASR'!A:J,7,FALSE)</f>
        <v>D - Delhi</v>
      </c>
      <c r="M1705" s="2" t="str">
        <f>VLOOKUP(B1705,'PO with created By ASR'!A:K,8,FALSE)</f>
        <v>Purchase Order-Del</v>
      </c>
      <c r="N1705" t="s">
        <v>36</v>
      </c>
      <c r="P1705" s="2">
        <v>6</v>
      </c>
    </row>
    <row r="1706" s="2" customFormat="1" spans="1:16">
      <c r="A1706" s="8"/>
      <c r="B1706" s="9" t="s">
        <v>2816</v>
      </c>
      <c r="C1706" s="10" t="s">
        <v>126</v>
      </c>
      <c r="D1706" s="11">
        <v>1</v>
      </c>
      <c r="E1706" s="12">
        <v>1619</v>
      </c>
      <c r="F1706" s="13">
        <v>1619</v>
      </c>
      <c r="G1706" s="2">
        <f>VLOOKUP(B1706,'PO with created By ASR'!A:C,3,FALSE)</f>
        <v>45699</v>
      </c>
      <c r="J1706" s="2" t="str">
        <f>VLOOKUP(B1706,'PO with created By ASR'!A:G,4,FALSE)</f>
        <v>Vikram Popli  -CR</v>
      </c>
      <c r="K1706" s="2" t="e">
        <f>VLOOKUP(B1706,'PO with created By ASR'!A:I,6,FALSE)</f>
        <v>#N/A</v>
      </c>
      <c r="L1706" s="2" t="str">
        <f>VLOOKUP(B1706,'PO with created By ASR'!A:J,7,FALSE)</f>
        <v>D - Delhi</v>
      </c>
      <c r="M1706" s="2" t="str">
        <f>VLOOKUP(B1706,'PO with created By ASR'!A:K,8,FALSE)</f>
        <v>Purchase Order-Del</v>
      </c>
      <c r="N1706" t="s">
        <v>36</v>
      </c>
      <c r="P1706" s="2">
        <v>6</v>
      </c>
    </row>
    <row r="1707" s="2" customFormat="1" spans="1:16">
      <c r="A1707" s="8"/>
      <c r="B1707" s="9" t="s">
        <v>2820</v>
      </c>
      <c r="C1707" s="10" t="s">
        <v>126</v>
      </c>
      <c r="D1707" s="11">
        <v>1</v>
      </c>
      <c r="E1707" s="12">
        <v>1247</v>
      </c>
      <c r="F1707" s="13">
        <v>1247</v>
      </c>
      <c r="G1707" s="2">
        <f>VLOOKUP(B1707,'PO with created By ASR'!A:C,3,FALSE)</f>
        <v>45699</v>
      </c>
      <c r="J1707" s="2" t="str">
        <f>VLOOKUP(B1707,'PO with created By ASR'!A:G,4,FALSE)</f>
        <v>Subodh Kumar Singh  -CR</v>
      </c>
      <c r="K1707" s="2" t="e">
        <f>VLOOKUP(B1707,'PO with created By ASR'!A:I,6,FALSE)</f>
        <v>#N/A</v>
      </c>
      <c r="L1707" s="2" t="str">
        <f>VLOOKUP(B1707,'PO with created By ASR'!A:J,7,FALSE)</f>
        <v>D - Delhi</v>
      </c>
      <c r="M1707" s="2" t="str">
        <f>VLOOKUP(B1707,'PO with created By ASR'!A:K,8,FALSE)</f>
        <v>Purchase Order-Del</v>
      </c>
      <c r="N1707" t="s">
        <v>36</v>
      </c>
      <c r="P1707" s="2">
        <v>6</v>
      </c>
    </row>
    <row r="1708" s="2" customFormat="1" spans="1:16">
      <c r="A1708" s="8"/>
      <c r="B1708" s="9" t="s">
        <v>2822</v>
      </c>
      <c r="C1708" s="10" t="s">
        <v>151</v>
      </c>
      <c r="D1708" s="11">
        <v>1</v>
      </c>
      <c r="E1708" s="12">
        <v>10000</v>
      </c>
      <c r="F1708" s="13">
        <v>10000</v>
      </c>
      <c r="G1708" s="2">
        <f>VLOOKUP(B1708,'PO with created By ASR'!A:C,3,FALSE)</f>
        <v>45699</v>
      </c>
      <c r="J1708" s="2" t="str">
        <f>VLOOKUP(B1708,'PO with created By ASR'!A:G,4,FALSE)</f>
        <v>Sharper Image Floors Pvt Ltd (Happay)-Del</v>
      </c>
      <c r="K1708" s="2" t="str">
        <f>VLOOKUP(B1708,'PO with created By ASR'!A:I,6,FALSE)</f>
        <v>12950  Sharper Image Floors Pvt Ltd (Happay)</v>
      </c>
      <c r="L1708" s="2" t="str">
        <f>VLOOKUP(B1708,'PO with created By ASR'!A:J,7,FALSE)</f>
        <v>D - Delhi</v>
      </c>
      <c r="M1708" s="2" t="str">
        <f>VLOOKUP(B1708,'PO with created By ASR'!A:K,8,FALSE)</f>
        <v>Purchase Order-Del</v>
      </c>
      <c r="N1708" t="s">
        <v>36</v>
      </c>
      <c r="P1708" s="2">
        <v>6</v>
      </c>
    </row>
    <row r="1709" s="2" customFormat="1" spans="1:16">
      <c r="A1709" s="8"/>
      <c r="B1709" s="9" t="s">
        <v>2825</v>
      </c>
      <c r="C1709" s="10" t="s">
        <v>1033</v>
      </c>
      <c r="D1709" s="11">
        <v>1</v>
      </c>
      <c r="E1709" s="12">
        <v>111500</v>
      </c>
      <c r="F1709" s="13">
        <v>111500</v>
      </c>
      <c r="G1709" s="2">
        <f>VLOOKUP(B1709,'PO with created By ASR'!A:C,3,FALSE)</f>
        <v>45699</v>
      </c>
      <c r="J1709" s="2" t="str">
        <f>VLOOKUP(B1709,'PO with created By ASR'!A:G,4,FALSE)</f>
        <v>Genesis Infoserve Pvt Ltd-Mum</v>
      </c>
      <c r="K1709" s="2" t="str">
        <f>VLOOKUP(B1709,'PO with created By ASR'!A:I,6,FALSE)</f>
        <v>11944  Genesis Infoserve Pvt Ltd</v>
      </c>
      <c r="L1709" s="2" t="str">
        <f>VLOOKUP(B1709,'PO with created By ASR'!A:J,7,FALSE)</f>
        <v>A - Mumbai</v>
      </c>
      <c r="M1709" s="2" t="str">
        <f>VLOOKUP(B1709,'PO with created By ASR'!A:K,8,FALSE)</f>
        <v>Purchase Order(Gen)-Mum</v>
      </c>
      <c r="N1709" t="s">
        <v>36</v>
      </c>
      <c r="P1709" s="2">
        <v>6</v>
      </c>
    </row>
    <row r="1710" s="2" customFormat="1" spans="1:16">
      <c r="A1710" s="8"/>
      <c r="B1710" s="9" t="s">
        <v>2827</v>
      </c>
      <c r="C1710" s="10" t="s">
        <v>777</v>
      </c>
      <c r="D1710" s="11">
        <v>1</v>
      </c>
      <c r="E1710" s="12">
        <v>17764.16</v>
      </c>
      <c r="F1710" s="13">
        <v>17764.16</v>
      </c>
      <c r="G1710" s="2">
        <f>VLOOKUP(B1710,'PO with created By ASR'!A:C,3,FALSE)</f>
        <v>45699</v>
      </c>
      <c r="J1710" s="2" t="str">
        <f>VLOOKUP(B1710,'PO with created By ASR'!A:G,4,FALSE)</f>
        <v>Login Enterprises-Mum</v>
      </c>
      <c r="K1710" s="2" t="str">
        <f>VLOOKUP(B1710,'PO with created By ASR'!A:I,6,FALSE)</f>
        <v>12106 Login  Enterprises</v>
      </c>
      <c r="L1710" s="2" t="str">
        <f>VLOOKUP(B1710,'PO with created By ASR'!A:J,7,FALSE)</f>
        <v>A - Mumbai</v>
      </c>
      <c r="M1710" s="2" t="str">
        <f>VLOOKUP(B1710,'PO with created By ASR'!A:K,8,FALSE)</f>
        <v>Purchase Order(Gen)-Mum</v>
      </c>
      <c r="N1710" t="s">
        <v>36</v>
      </c>
      <c r="P1710" s="2">
        <v>6</v>
      </c>
    </row>
    <row r="1711" s="2" customFormat="1" spans="1:16">
      <c r="A1711" s="8"/>
      <c r="B1711" s="9" t="s">
        <v>2828</v>
      </c>
      <c r="C1711" s="10" t="s">
        <v>61</v>
      </c>
      <c r="D1711" s="11">
        <v>1</v>
      </c>
      <c r="E1711" s="12">
        <v>7215</v>
      </c>
      <c r="F1711" s="13">
        <v>7215</v>
      </c>
      <c r="G1711" s="2">
        <f>VLOOKUP(B1711,'PO with created By ASR'!A:C,3,FALSE)</f>
        <v>45699</v>
      </c>
      <c r="J1711" s="2" t="str">
        <f>VLOOKUP(B1711,'PO with created By ASR'!A:G,4,FALSE)</f>
        <v>Aftab Shaikh  -CR</v>
      </c>
      <c r="K1711" s="2" t="e">
        <f>VLOOKUP(B1711,'PO with created By ASR'!A:I,6,FALSE)</f>
        <v>#N/A</v>
      </c>
      <c r="L1711" s="2" t="str">
        <f>VLOOKUP(B1711,'PO with created By ASR'!A:J,7,FALSE)</f>
        <v>A - Mumbai</v>
      </c>
      <c r="M1711" s="2" t="str">
        <f>VLOOKUP(B1711,'PO with created By ASR'!A:K,8,FALSE)</f>
        <v>Purchase Order-Mum</v>
      </c>
      <c r="N1711" t="s">
        <v>36</v>
      </c>
      <c r="P1711" s="2">
        <v>6</v>
      </c>
    </row>
    <row r="1712" s="2" customFormat="1" spans="1:16">
      <c r="A1712" s="8"/>
      <c r="B1712" s="9" t="s">
        <v>2828</v>
      </c>
      <c r="C1712" s="10" t="s">
        <v>126</v>
      </c>
      <c r="D1712" s="11">
        <v>1</v>
      </c>
      <c r="E1712" s="12">
        <v>3082.94</v>
      </c>
      <c r="F1712" s="13">
        <v>3082.94</v>
      </c>
      <c r="G1712" s="2">
        <f>VLOOKUP(B1712,'PO with created By ASR'!A:C,3,FALSE)</f>
        <v>45699</v>
      </c>
      <c r="J1712" s="2" t="str">
        <f>VLOOKUP(B1712,'PO with created By ASR'!A:G,4,FALSE)</f>
        <v>Aftab Shaikh  -CR</v>
      </c>
      <c r="K1712" s="2" t="e">
        <f>VLOOKUP(B1712,'PO with created By ASR'!A:I,6,FALSE)</f>
        <v>#N/A</v>
      </c>
      <c r="L1712" s="2" t="str">
        <f>VLOOKUP(B1712,'PO with created By ASR'!A:J,7,FALSE)</f>
        <v>A - Mumbai</v>
      </c>
      <c r="M1712" s="2" t="str">
        <f>VLOOKUP(B1712,'PO with created By ASR'!A:K,8,FALSE)</f>
        <v>Purchase Order-Mum</v>
      </c>
      <c r="N1712" t="s">
        <v>36</v>
      </c>
      <c r="P1712" s="2">
        <v>6</v>
      </c>
    </row>
    <row r="1713" s="2" customFormat="1" spans="1:16">
      <c r="A1713" s="8"/>
      <c r="B1713" s="9" t="s">
        <v>2828</v>
      </c>
      <c r="C1713" s="10" t="s">
        <v>412</v>
      </c>
      <c r="D1713" s="11">
        <v>1</v>
      </c>
      <c r="E1713" s="12">
        <v>3570.55</v>
      </c>
      <c r="F1713" s="13">
        <v>3570.55</v>
      </c>
      <c r="G1713" s="2">
        <f>VLOOKUP(B1713,'PO with created By ASR'!A:C,3,FALSE)</f>
        <v>45699</v>
      </c>
      <c r="J1713" s="2" t="str">
        <f>VLOOKUP(B1713,'PO with created By ASR'!A:G,4,FALSE)</f>
        <v>Aftab Shaikh  -CR</v>
      </c>
      <c r="K1713" s="2" t="e">
        <f>VLOOKUP(B1713,'PO with created By ASR'!A:I,6,FALSE)</f>
        <v>#N/A</v>
      </c>
      <c r="L1713" s="2" t="str">
        <f>VLOOKUP(B1713,'PO with created By ASR'!A:J,7,FALSE)</f>
        <v>A - Mumbai</v>
      </c>
      <c r="M1713" s="2" t="str">
        <f>VLOOKUP(B1713,'PO with created By ASR'!A:K,8,FALSE)</f>
        <v>Purchase Order-Mum</v>
      </c>
      <c r="N1713" t="s">
        <v>36</v>
      </c>
      <c r="P1713" s="2">
        <v>6</v>
      </c>
    </row>
    <row r="1714" s="2" customFormat="1" spans="1:16">
      <c r="A1714" s="8"/>
      <c r="B1714" s="9" t="s">
        <v>2829</v>
      </c>
      <c r="C1714" s="10" t="s">
        <v>126</v>
      </c>
      <c r="D1714" s="11">
        <v>1</v>
      </c>
      <c r="E1714" s="12">
        <v>6677</v>
      </c>
      <c r="F1714" s="13">
        <v>6677</v>
      </c>
      <c r="G1714" s="2">
        <f>VLOOKUP(B1714,'PO with created By ASR'!A:C,3,FALSE)</f>
        <v>45699</v>
      </c>
      <c r="J1714" s="2" t="str">
        <f>VLOOKUP(B1714,'PO with created By ASR'!A:G,4,FALSE)</f>
        <v>Aftab Shaikh  -CR</v>
      </c>
      <c r="K1714" s="2" t="e">
        <f>VLOOKUP(B1714,'PO with created By ASR'!A:I,6,FALSE)</f>
        <v>#N/A</v>
      </c>
      <c r="L1714" s="2" t="str">
        <f>VLOOKUP(B1714,'PO with created By ASR'!A:J,7,FALSE)</f>
        <v>A - Mumbai</v>
      </c>
      <c r="M1714" s="2" t="str">
        <f>VLOOKUP(B1714,'PO with created By ASR'!A:K,8,FALSE)</f>
        <v>Purchase Order-Mum</v>
      </c>
      <c r="N1714" t="s">
        <v>36</v>
      </c>
      <c r="P1714" s="2">
        <v>6</v>
      </c>
    </row>
    <row r="1715" s="2" customFormat="1" spans="1:16">
      <c r="A1715" s="8"/>
      <c r="B1715" s="9" t="s">
        <v>2829</v>
      </c>
      <c r="C1715" s="10" t="s">
        <v>412</v>
      </c>
      <c r="D1715" s="11">
        <v>1</v>
      </c>
      <c r="E1715" s="12">
        <v>491.2</v>
      </c>
      <c r="F1715" s="13">
        <v>491.2</v>
      </c>
      <c r="G1715" s="2">
        <f>VLOOKUP(B1715,'PO with created By ASR'!A:C,3,FALSE)</f>
        <v>45699</v>
      </c>
      <c r="J1715" s="2" t="str">
        <f>VLOOKUP(B1715,'PO with created By ASR'!A:G,4,FALSE)</f>
        <v>Aftab Shaikh  -CR</v>
      </c>
      <c r="K1715" s="2" t="e">
        <f>VLOOKUP(B1715,'PO with created By ASR'!A:I,6,FALSE)</f>
        <v>#N/A</v>
      </c>
      <c r="L1715" s="2" t="str">
        <f>VLOOKUP(B1715,'PO with created By ASR'!A:J,7,FALSE)</f>
        <v>A - Mumbai</v>
      </c>
      <c r="M1715" s="2" t="str">
        <f>VLOOKUP(B1715,'PO with created By ASR'!A:K,8,FALSE)</f>
        <v>Purchase Order-Mum</v>
      </c>
      <c r="N1715" t="s">
        <v>36</v>
      </c>
      <c r="P1715" s="2">
        <v>6</v>
      </c>
    </row>
    <row r="1716" s="2" customFormat="1" spans="1:16">
      <c r="A1716" s="8"/>
      <c r="B1716" s="9" t="s">
        <v>2830</v>
      </c>
      <c r="C1716" s="10" t="s">
        <v>126</v>
      </c>
      <c r="D1716" s="11">
        <v>1</v>
      </c>
      <c r="E1716" s="12">
        <v>1366</v>
      </c>
      <c r="F1716" s="13">
        <v>1366</v>
      </c>
      <c r="G1716" s="2">
        <f>VLOOKUP(B1716,'PO with created By ASR'!A:C,3,FALSE)</f>
        <v>45699</v>
      </c>
      <c r="J1716" s="2" t="str">
        <f>VLOOKUP(B1716,'PO with created By ASR'!A:G,4,FALSE)</f>
        <v>Libreta Dmello  -CR</v>
      </c>
      <c r="K1716" s="2" t="e">
        <f>VLOOKUP(B1716,'PO with created By ASR'!A:I,6,FALSE)</f>
        <v>#N/A</v>
      </c>
      <c r="L1716" s="2" t="str">
        <f>VLOOKUP(B1716,'PO with created By ASR'!A:J,7,FALSE)</f>
        <v>A - Mumbai</v>
      </c>
      <c r="M1716" s="2" t="str">
        <f>VLOOKUP(B1716,'PO with created By ASR'!A:K,8,FALSE)</f>
        <v>Purchase Order-Mum</v>
      </c>
      <c r="N1716" t="s">
        <v>36</v>
      </c>
      <c r="P1716" s="2">
        <v>6</v>
      </c>
    </row>
    <row r="1717" s="2" customFormat="1" spans="1:16">
      <c r="A1717" s="8"/>
      <c r="B1717" s="9" t="s">
        <v>2830</v>
      </c>
      <c r="C1717" s="10" t="s">
        <v>412</v>
      </c>
      <c r="D1717" s="11">
        <v>1</v>
      </c>
      <c r="E1717" s="12">
        <v>428.76</v>
      </c>
      <c r="F1717" s="13">
        <v>428.76</v>
      </c>
      <c r="G1717" s="2">
        <f>VLOOKUP(B1717,'PO with created By ASR'!A:C,3,FALSE)</f>
        <v>45699</v>
      </c>
      <c r="J1717" s="2" t="str">
        <f>VLOOKUP(B1717,'PO with created By ASR'!A:G,4,FALSE)</f>
        <v>Libreta Dmello  -CR</v>
      </c>
      <c r="K1717" s="2" t="e">
        <f>VLOOKUP(B1717,'PO with created By ASR'!A:I,6,FALSE)</f>
        <v>#N/A</v>
      </c>
      <c r="L1717" s="2" t="str">
        <f>VLOOKUP(B1717,'PO with created By ASR'!A:J,7,FALSE)</f>
        <v>A - Mumbai</v>
      </c>
      <c r="M1717" s="2" t="str">
        <f>VLOOKUP(B1717,'PO with created By ASR'!A:K,8,FALSE)</f>
        <v>Purchase Order-Mum</v>
      </c>
      <c r="N1717" t="s">
        <v>36</v>
      </c>
      <c r="P1717" s="2">
        <v>6</v>
      </c>
    </row>
    <row r="1718" s="2" customFormat="1" spans="1:16">
      <c r="A1718" s="8"/>
      <c r="B1718" s="9" t="s">
        <v>2832</v>
      </c>
      <c r="C1718" s="10" t="s">
        <v>317</v>
      </c>
      <c r="D1718" s="11">
        <v>1</v>
      </c>
      <c r="E1718" s="12">
        <v>29760</v>
      </c>
      <c r="F1718" s="13">
        <v>29760</v>
      </c>
      <c r="G1718" s="2">
        <f>VLOOKUP(B1718,'PO with created By ASR'!A:C,3,FALSE)</f>
        <v>45699</v>
      </c>
      <c r="J1718" s="2" t="str">
        <f>VLOOKUP(B1718,'PO with created By ASR'!A:G,4,FALSE)</f>
        <v>End To End Solution-Mum</v>
      </c>
      <c r="K1718" s="2" t="e">
        <f>VLOOKUP(B1718,'PO with created By ASR'!A:I,6,FALSE)</f>
        <v>#N/A</v>
      </c>
      <c r="L1718" s="2" t="str">
        <f>VLOOKUP(B1718,'PO with created By ASR'!A:J,7,FALSE)</f>
        <v>A - Mumbai</v>
      </c>
      <c r="M1718" s="2" t="str">
        <f>VLOOKUP(B1718,'PO with created By ASR'!A:K,8,FALSE)</f>
        <v>Purchase Order-Mum</v>
      </c>
      <c r="N1718" t="s">
        <v>36</v>
      </c>
      <c r="P1718" s="2">
        <v>6</v>
      </c>
    </row>
    <row r="1719" s="2" customFormat="1" spans="1:16">
      <c r="A1719" s="8"/>
      <c r="B1719" s="9" t="s">
        <v>2835</v>
      </c>
      <c r="C1719" s="10" t="s">
        <v>126</v>
      </c>
      <c r="D1719" s="11">
        <v>1</v>
      </c>
      <c r="E1719" s="12">
        <v>4599</v>
      </c>
      <c r="F1719" s="13">
        <v>4599</v>
      </c>
      <c r="G1719" s="2">
        <f>VLOOKUP(B1719,'PO with created By ASR'!A:C,3,FALSE)</f>
        <v>45699</v>
      </c>
      <c r="J1719" s="2" t="str">
        <f>VLOOKUP(B1719,'PO with created By ASR'!A:G,4,FALSE)</f>
        <v>Pinky Sharma  -CR</v>
      </c>
      <c r="K1719" s="2" t="e">
        <f>VLOOKUP(B1719,'PO with created By ASR'!A:I,6,FALSE)</f>
        <v>#N/A</v>
      </c>
      <c r="L1719" s="2" t="str">
        <f>VLOOKUP(B1719,'PO with created By ASR'!A:J,7,FALSE)</f>
        <v>A - Mumbai</v>
      </c>
      <c r="M1719" s="2" t="str">
        <f>VLOOKUP(B1719,'PO with created By ASR'!A:K,8,FALSE)</f>
        <v>Purchase Order-Mum</v>
      </c>
      <c r="N1719" t="s">
        <v>36</v>
      </c>
      <c r="P1719" s="2">
        <v>6</v>
      </c>
    </row>
    <row r="1720" s="2" customFormat="1" spans="1:16">
      <c r="A1720" s="8"/>
      <c r="B1720" s="9" t="s">
        <v>2836</v>
      </c>
      <c r="C1720" s="10" t="s">
        <v>317</v>
      </c>
      <c r="D1720" s="11">
        <v>1</v>
      </c>
      <c r="E1720" s="12">
        <v>7450</v>
      </c>
      <c r="F1720" s="13">
        <v>7450</v>
      </c>
      <c r="G1720" s="2">
        <f>VLOOKUP(B1720,'PO with created By ASR'!A:C,3,FALSE)</f>
        <v>45699</v>
      </c>
      <c r="J1720" s="2" t="str">
        <f>VLOOKUP(B1720,'PO with created By ASR'!A:G,4,FALSE)</f>
        <v>Mahendra Mane -CR</v>
      </c>
      <c r="K1720" s="2" t="e">
        <f>VLOOKUP(B1720,'PO with created By ASR'!A:I,6,FALSE)</f>
        <v>#N/A</v>
      </c>
      <c r="L1720" s="2" t="str">
        <f>VLOOKUP(B1720,'PO with created By ASR'!A:J,7,FALSE)</f>
        <v>A - Mumbai</v>
      </c>
      <c r="M1720" s="2" t="str">
        <f>VLOOKUP(B1720,'PO with created By ASR'!A:K,8,FALSE)</f>
        <v>Purchase Order-Mum</v>
      </c>
      <c r="N1720" t="s">
        <v>36</v>
      </c>
      <c r="P1720" s="2">
        <v>6</v>
      </c>
    </row>
    <row r="1721" s="2" customFormat="1" spans="1:16">
      <c r="A1721" s="8"/>
      <c r="B1721" s="9" t="s">
        <v>2836</v>
      </c>
      <c r="C1721" s="10" t="s">
        <v>126</v>
      </c>
      <c r="D1721" s="11">
        <v>1</v>
      </c>
      <c r="E1721" s="12">
        <v>288</v>
      </c>
      <c r="F1721" s="13">
        <v>288</v>
      </c>
      <c r="G1721" s="2">
        <f>VLOOKUP(B1721,'PO with created By ASR'!A:C,3,FALSE)</f>
        <v>45699</v>
      </c>
      <c r="J1721" s="2" t="str">
        <f>VLOOKUP(B1721,'PO with created By ASR'!A:G,4,FALSE)</f>
        <v>Mahendra Mane -CR</v>
      </c>
      <c r="K1721" s="2" t="e">
        <f>VLOOKUP(B1721,'PO with created By ASR'!A:I,6,FALSE)</f>
        <v>#N/A</v>
      </c>
      <c r="L1721" s="2" t="str">
        <f>VLOOKUP(B1721,'PO with created By ASR'!A:J,7,FALSE)</f>
        <v>A - Mumbai</v>
      </c>
      <c r="M1721" s="2" t="str">
        <f>VLOOKUP(B1721,'PO with created By ASR'!A:K,8,FALSE)</f>
        <v>Purchase Order-Mum</v>
      </c>
      <c r="N1721" t="s">
        <v>36</v>
      </c>
      <c r="P1721" s="2">
        <v>6</v>
      </c>
    </row>
    <row r="1722" s="2" customFormat="1" spans="1:16">
      <c r="A1722" s="8"/>
      <c r="B1722" s="9" t="s">
        <v>2836</v>
      </c>
      <c r="C1722" s="10" t="s">
        <v>412</v>
      </c>
      <c r="D1722" s="11">
        <v>1</v>
      </c>
      <c r="E1722" s="12">
        <v>150</v>
      </c>
      <c r="F1722" s="13">
        <v>150</v>
      </c>
      <c r="G1722" s="2">
        <f>VLOOKUP(B1722,'PO with created By ASR'!A:C,3,FALSE)</f>
        <v>45699</v>
      </c>
      <c r="J1722" s="2" t="str">
        <f>VLOOKUP(B1722,'PO with created By ASR'!A:G,4,FALSE)</f>
        <v>Mahendra Mane -CR</v>
      </c>
      <c r="K1722" s="2" t="e">
        <f>VLOOKUP(B1722,'PO with created By ASR'!A:I,6,FALSE)</f>
        <v>#N/A</v>
      </c>
      <c r="L1722" s="2" t="str">
        <f>VLOOKUP(B1722,'PO with created By ASR'!A:J,7,FALSE)</f>
        <v>A - Mumbai</v>
      </c>
      <c r="M1722" s="2" t="str">
        <f>VLOOKUP(B1722,'PO with created By ASR'!A:K,8,FALSE)</f>
        <v>Purchase Order-Mum</v>
      </c>
      <c r="N1722" t="s">
        <v>36</v>
      </c>
      <c r="P1722" s="2">
        <v>6</v>
      </c>
    </row>
    <row r="1723" s="2" customFormat="1" spans="1:16">
      <c r="A1723" s="8"/>
      <c r="B1723" s="9" t="s">
        <v>2837</v>
      </c>
      <c r="C1723" s="10" t="s">
        <v>412</v>
      </c>
      <c r="D1723" s="11">
        <v>1</v>
      </c>
      <c r="E1723" s="12">
        <v>7025</v>
      </c>
      <c r="F1723" s="13">
        <v>7025</v>
      </c>
      <c r="G1723" s="2">
        <f>VLOOKUP(B1723,'PO with created By ASR'!A:C,3,FALSE)</f>
        <v>45699</v>
      </c>
      <c r="J1723" s="2" t="str">
        <f>VLOOKUP(B1723,'PO with created By ASR'!A:G,4,FALSE)</f>
        <v>Justin Francis Vadakkan  -CR</v>
      </c>
      <c r="K1723" s="2" t="e">
        <f>VLOOKUP(B1723,'PO with created By ASR'!A:I,6,FALSE)</f>
        <v>#N/A</v>
      </c>
      <c r="L1723" s="2" t="str">
        <f>VLOOKUP(B1723,'PO with created By ASR'!A:J,7,FALSE)</f>
        <v>A - Mumbai</v>
      </c>
      <c r="M1723" s="2" t="str">
        <f>VLOOKUP(B1723,'PO with created By ASR'!A:K,8,FALSE)</f>
        <v>Purchase Order-Mum</v>
      </c>
      <c r="N1723" t="s">
        <v>36</v>
      </c>
      <c r="P1723" s="2">
        <v>6</v>
      </c>
    </row>
    <row r="1724" s="2" customFormat="1" spans="1:16">
      <c r="A1724" s="8"/>
      <c r="B1724" s="9" t="s">
        <v>2838</v>
      </c>
      <c r="C1724" s="10" t="s">
        <v>317</v>
      </c>
      <c r="D1724" s="11">
        <v>1</v>
      </c>
      <c r="E1724" s="12">
        <v>155000</v>
      </c>
      <c r="F1724" s="13">
        <v>155000</v>
      </c>
      <c r="G1724" s="2">
        <f>VLOOKUP(B1724,'PO with created By ASR'!A:C,3,FALSE)</f>
        <v>45699</v>
      </c>
      <c r="J1724" s="2" t="str">
        <f>VLOOKUP(B1724,'PO with created By ASR'!A:G,4,FALSE)</f>
        <v>360 Bright Media-Mum</v>
      </c>
      <c r="K1724" s="2" t="str">
        <f>VLOOKUP(B1724,'PO with created By ASR'!A:I,6,FALSE)</f>
        <v>10105 360 Bright Media</v>
      </c>
      <c r="L1724" s="2" t="str">
        <f>VLOOKUP(B1724,'PO with created By ASR'!A:J,7,FALSE)</f>
        <v>A - Mumbai</v>
      </c>
      <c r="M1724" s="2" t="str">
        <f>VLOOKUP(B1724,'PO with created By ASR'!A:K,8,FALSE)</f>
        <v>Purchase Order-Mum</v>
      </c>
      <c r="N1724" t="s">
        <v>36</v>
      </c>
      <c r="P1724" s="2">
        <v>6</v>
      </c>
    </row>
    <row r="1725" s="2" customFormat="1" spans="1:16">
      <c r="A1725" s="8"/>
      <c r="B1725" s="9" t="s">
        <v>2839</v>
      </c>
      <c r="C1725" s="10" t="s">
        <v>371</v>
      </c>
      <c r="D1725" s="11">
        <v>1</v>
      </c>
      <c r="E1725" s="12">
        <v>91500</v>
      </c>
      <c r="F1725" s="13">
        <v>91500</v>
      </c>
      <c r="G1725" s="2">
        <f>VLOOKUP(B1725,'PO with created By ASR'!A:C,3,FALSE)</f>
        <v>45699</v>
      </c>
      <c r="J1725" s="2" t="str">
        <f>VLOOKUP(B1725,'PO with created By ASR'!A:G,4,FALSE)</f>
        <v>Sound Decisions.Com-Mum</v>
      </c>
      <c r="K1725" s="2" t="str">
        <f>VLOOKUP(B1725,'PO with created By ASR'!A:I,6,FALSE)</f>
        <v>11133 Sound Decisions.Com</v>
      </c>
      <c r="L1725" s="2" t="str">
        <f>VLOOKUP(B1725,'PO with created By ASR'!A:J,7,FALSE)</f>
        <v>A - Mumbai</v>
      </c>
      <c r="M1725" s="2" t="str">
        <f>VLOOKUP(B1725,'PO with created By ASR'!A:K,8,FALSE)</f>
        <v>Purchase Order-Mum</v>
      </c>
      <c r="N1725" t="s">
        <v>36</v>
      </c>
      <c r="P1725" s="2">
        <v>6</v>
      </c>
    </row>
    <row r="1726" s="2" customFormat="1" spans="1:16">
      <c r="A1726" s="8"/>
      <c r="B1726" s="9" t="s">
        <v>2840</v>
      </c>
      <c r="C1726" s="10" t="s">
        <v>371</v>
      </c>
      <c r="D1726" s="11">
        <v>1</v>
      </c>
      <c r="E1726" s="12">
        <v>110000</v>
      </c>
      <c r="F1726" s="13">
        <v>110000</v>
      </c>
      <c r="G1726" s="2">
        <f>VLOOKUP(B1726,'PO with created By ASR'!A:C,3,FALSE)</f>
        <v>45699</v>
      </c>
      <c r="J1726" s="2" t="str">
        <f>VLOOKUP(B1726,'PO with created By ASR'!A:G,4,FALSE)</f>
        <v>Shiv Shakti Enterprises-Mum</v>
      </c>
      <c r="K1726" s="2" t="str">
        <f>VLOOKUP(B1726,'PO with created By ASR'!A:I,6,FALSE)</f>
        <v>11130 Shiv Shakti Enterprises</v>
      </c>
      <c r="L1726" s="2" t="str">
        <f>VLOOKUP(B1726,'PO with created By ASR'!A:J,7,FALSE)</f>
        <v>A - Mumbai</v>
      </c>
      <c r="M1726" s="2" t="str">
        <f>VLOOKUP(B1726,'PO with created By ASR'!A:K,8,FALSE)</f>
        <v>Purchase Order-Mum</v>
      </c>
      <c r="N1726" t="s">
        <v>36</v>
      </c>
      <c r="P1726" s="2">
        <v>6</v>
      </c>
    </row>
    <row r="1727" s="2" customFormat="1" spans="1:16">
      <c r="A1727" s="8"/>
      <c r="B1727" s="9" t="s">
        <v>2841</v>
      </c>
      <c r="C1727" s="10" t="s">
        <v>371</v>
      </c>
      <c r="D1727" s="11">
        <v>1</v>
      </c>
      <c r="E1727" s="12">
        <v>185000</v>
      </c>
      <c r="F1727" s="13">
        <v>185000</v>
      </c>
      <c r="G1727" s="2">
        <f>VLOOKUP(B1727,'PO with created By ASR'!A:C,3,FALSE)</f>
        <v>45699</v>
      </c>
      <c r="J1727" s="2" t="str">
        <f>VLOOKUP(B1727,'PO with created By ASR'!A:G,4,FALSE)</f>
        <v>Videowaves-Mum</v>
      </c>
      <c r="K1727" s="2" t="e">
        <f>VLOOKUP(B1727,'PO with created By ASR'!A:I,6,FALSE)</f>
        <v>#N/A</v>
      </c>
      <c r="L1727" s="2" t="str">
        <f>VLOOKUP(B1727,'PO with created By ASR'!A:J,7,FALSE)</f>
        <v>A - Mumbai</v>
      </c>
      <c r="M1727" s="2" t="str">
        <f>VLOOKUP(B1727,'PO with created By ASR'!A:K,8,FALSE)</f>
        <v>Purchase Order-Mum</v>
      </c>
      <c r="N1727" t="s">
        <v>36</v>
      </c>
      <c r="P1727" s="2">
        <v>6</v>
      </c>
    </row>
    <row r="1728" s="2" customFormat="1" spans="1:16">
      <c r="A1728" s="8"/>
      <c r="B1728" s="9" t="s">
        <v>2842</v>
      </c>
      <c r="C1728" s="10" t="s">
        <v>371</v>
      </c>
      <c r="D1728" s="11">
        <v>1</v>
      </c>
      <c r="E1728" s="12">
        <v>8500</v>
      </c>
      <c r="F1728" s="13">
        <v>8500</v>
      </c>
      <c r="G1728" s="2">
        <f>VLOOKUP(B1728,'PO with created By ASR'!A:C,3,FALSE)</f>
        <v>45699</v>
      </c>
      <c r="J1728" s="2" t="str">
        <f>VLOOKUP(B1728,'PO with created By ASR'!A:G,4,FALSE)</f>
        <v>Oriana Communications-Mum</v>
      </c>
      <c r="K1728" s="2" t="str">
        <f>VLOOKUP(B1728,'PO with created By ASR'!A:I,6,FALSE)</f>
        <v>11121 Oriana Communications</v>
      </c>
      <c r="L1728" s="2" t="str">
        <f>VLOOKUP(B1728,'PO with created By ASR'!A:J,7,FALSE)</f>
        <v>A - Mumbai</v>
      </c>
      <c r="M1728" s="2" t="str">
        <f>VLOOKUP(B1728,'PO with created By ASR'!A:K,8,FALSE)</f>
        <v>Purchase Order-Mum</v>
      </c>
      <c r="N1728" t="s">
        <v>36</v>
      </c>
      <c r="P1728" s="2">
        <v>6</v>
      </c>
    </row>
    <row r="1729" s="2" customFormat="1" spans="1:16">
      <c r="A1729" s="8"/>
      <c r="B1729" s="9" t="s">
        <v>2843</v>
      </c>
      <c r="C1729" s="10" t="s">
        <v>347</v>
      </c>
      <c r="D1729" s="11">
        <v>1</v>
      </c>
      <c r="E1729" s="12">
        <v>20000</v>
      </c>
      <c r="F1729" s="13">
        <v>20000</v>
      </c>
      <c r="G1729" s="2">
        <f>VLOOKUP(B1729,'PO with created By ASR'!A:C,3,FALSE)</f>
        <v>45699</v>
      </c>
      <c r="J1729" s="2" t="str">
        <f>VLOOKUP(B1729,'PO with created By ASR'!A:G,4,FALSE)</f>
        <v>Mint Studio VJ Nirav (OPC) Pvt Ltd-Mum</v>
      </c>
      <c r="K1729" s="2" t="str">
        <f>VLOOKUP(B1729,'PO with created By ASR'!A:I,6,FALSE)</f>
        <v>12153  Mint Studio VJ Nirav (OPC) Pvt Ltd</v>
      </c>
      <c r="L1729" s="2" t="str">
        <f>VLOOKUP(B1729,'PO with created By ASR'!A:J,7,FALSE)</f>
        <v>A - Mumbai</v>
      </c>
      <c r="M1729" s="2" t="str">
        <f>VLOOKUP(B1729,'PO with created By ASR'!A:K,8,FALSE)</f>
        <v>Purchase Order-Mum</v>
      </c>
      <c r="N1729" t="s">
        <v>36</v>
      </c>
      <c r="P1729" s="2">
        <v>6</v>
      </c>
    </row>
    <row r="1730" s="2" customFormat="1" spans="1:16">
      <c r="A1730" s="8"/>
      <c r="B1730" s="9" t="s">
        <v>2844</v>
      </c>
      <c r="C1730" s="10" t="s">
        <v>371</v>
      </c>
      <c r="D1730" s="11">
        <v>1</v>
      </c>
      <c r="E1730" s="12">
        <v>35000</v>
      </c>
      <c r="F1730" s="13">
        <v>35000</v>
      </c>
      <c r="G1730" s="2">
        <f>VLOOKUP(B1730,'PO with created By ASR'!A:C,3,FALSE)</f>
        <v>45699</v>
      </c>
      <c r="J1730" s="2" t="str">
        <f>VLOOKUP(B1730,'PO with created By ASR'!A:G,4,FALSE)</f>
        <v>Sudesh Patankar-Mum</v>
      </c>
      <c r="K1730" s="2" t="str">
        <f>VLOOKUP(B1730,'PO with created By ASR'!A:I,6,FALSE)</f>
        <v>10941 Sudesh Patankar</v>
      </c>
      <c r="L1730" s="2" t="str">
        <f>VLOOKUP(B1730,'PO with created By ASR'!A:J,7,FALSE)</f>
        <v>A - Mumbai</v>
      </c>
      <c r="M1730" s="2" t="str">
        <f>VLOOKUP(B1730,'PO with created By ASR'!A:K,8,FALSE)</f>
        <v>Purchase Order-Mum</v>
      </c>
      <c r="N1730" t="s">
        <v>36</v>
      </c>
      <c r="P1730" s="2">
        <v>6</v>
      </c>
    </row>
    <row r="1731" s="2" customFormat="1" spans="1:16">
      <c r="A1731" s="8"/>
      <c r="B1731" s="9" t="s">
        <v>2847</v>
      </c>
      <c r="C1731" s="10" t="s">
        <v>371</v>
      </c>
      <c r="D1731" s="11">
        <v>1</v>
      </c>
      <c r="E1731" s="12">
        <v>75000</v>
      </c>
      <c r="F1731" s="13">
        <v>75000</v>
      </c>
      <c r="G1731" s="2">
        <f>VLOOKUP(B1731,'PO with created By ASR'!A:C,3,FALSE)</f>
        <v>45699</v>
      </c>
      <c r="J1731" s="2" t="str">
        <f>VLOOKUP(B1731,'PO with created By ASR'!A:G,4,FALSE)</f>
        <v>Jayant K Shetty-Mum</v>
      </c>
      <c r="K1731" s="2" t="str">
        <f>VLOOKUP(B1731,'PO with created By ASR'!A:I,6,FALSE)</f>
        <v>12048 Jayant K Shetty</v>
      </c>
      <c r="L1731" s="2" t="str">
        <f>VLOOKUP(B1731,'PO with created By ASR'!A:J,7,FALSE)</f>
        <v>A - Mumbai</v>
      </c>
      <c r="M1731" s="2" t="str">
        <f>VLOOKUP(B1731,'PO with created By ASR'!A:K,8,FALSE)</f>
        <v>Purchase Order-Mum</v>
      </c>
      <c r="N1731" t="s">
        <v>36</v>
      </c>
      <c r="P1731" s="2">
        <v>6</v>
      </c>
    </row>
    <row r="1732" s="2" customFormat="1" spans="1:16">
      <c r="A1732" s="8"/>
      <c r="B1732" s="9" t="s">
        <v>2848</v>
      </c>
      <c r="C1732" s="10" t="s">
        <v>371</v>
      </c>
      <c r="D1732" s="11">
        <v>1</v>
      </c>
      <c r="E1732" s="12">
        <v>78000</v>
      </c>
      <c r="F1732" s="13">
        <v>78000</v>
      </c>
      <c r="G1732" s="2">
        <f>VLOOKUP(B1732,'PO with created By ASR'!A:C,3,FALSE)</f>
        <v>45699</v>
      </c>
      <c r="J1732" s="2" t="str">
        <f>VLOOKUP(B1732,'PO with created By ASR'!A:G,4,FALSE)</f>
        <v>Esses Power System-Mum</v>
      </c>
      <c r="K1732" s="2" t="str">
        <f>VLOOKUP(B1732,'PO with created By ASR'!A:I,6,FALSE)</f>
        <v>12940 Esses Power System</v>
      </c>
      <c r="L1732" s="2" t="str">
        <f>VLOOKUP(B1732,'PO with created By ASR'!A:J,7,FALSE)</f>
        <v>A - Mumbai</v>
      </c>
      <c r="M1732" s="2" t="str">
        <f>VLOOKUP(B1732,'PO with created By ASR'!A:K,8,FALSE)</f>
        <v>Purchase Order-Mum</v>
      </c>
      <c r="N1732" t="s">
        <v>36</v>
      </c>
      <c r="P1732" s="2">
        <v>6</v>
      </c>
    </row>
    <row r="1733" s="2" customFormat="1" spans="1:16">
      <c r="A1733" s="8"/>
      <c r="B1733" s="9" t="s">
        <v>2851</v>
      </c>
      <c r="C1733" s="10" t="s">
        <v>371</v>
      </c>
      <c r="D1733" s="11">
        <v>1</v>
      </c>
      <c r="E1733" s="12">
        <v>16000</v>
      </c>
      <c r="F1733" s="13">
        <v>16000</v>
      </c>
      <c r="G1733" s="2">
        <f>VLOOKUP(B1733,'PO with created By ASR'!A:C,3,FALSE)</f>
        <v>45699</v>
      </c>
      <c r="J1733" s="2" t="str">
        <f>VLOOKUP(B1733,'PO with created By ASR'!A:G,4,FALSE)</f>
        <v>Events Power-Mum</v>
      </c>
      <c r="K1733" s="2" t="str">
        <f>VLOOKUP(B1733,'PO with created By ASR'!A:I,6,FALSE)</f>
        <v>11895 Events Power</v>
      </c>
      <c r="L1733" s="2" t="str">
        <f>VLOOKUP(B1733,'PO with created By ASR'!A:J,7,FALSE)</f>
        <v>A - Mumbai</v>
      </c>
      <c r="M1733" s="2" t="str">
        <f>VLOOKUP(B1733,'PO with created By ASR'!A:K,8,FALSE)</f>
        <v>Purchase Order-Mum</v>
      </c>
      <c r="N1733" t="s">
        <v>36</v>
      </c>
      <c r="P1733" s="2">
        <v>6</v>
      </c>
    </row>
    <row r="1734" s="2" customFormat="1" spans="1:16">
      <c r="A1734" s="8"/>
      <c r="B1734" s="9" t="s">
        <v>2852</v>
      </c>
      <c r="C1734" s="10" t="s">
        <v>126</v>
      </c>
      <c r="D1734" s="11">
        <v>1</v>
      </c>
      <c r="E1734" s="12">
        <v>429</v>
      </c>
      <c r="F1734" s="13">
        <v>429</v>
      </c>
      <c r="G1734" s="2">
        <f>VLOOKUP(B1734,'PO with created By ASR'!A:C,3,FALSE)</f>
        <v>45699</v>
      </c>
      <c r="J1734" s="2" t="str">
        <f>VLOOKUP(B1734,'PO with created By ASR'!A:G,4,FALSE)</f>
        <v>Abhishek Jadhav  -CR</v>
      </c>
      <c r="K1734" s="2" t="e">
        <f>VLOOKUP(B1734,'PO with created By ASR'!A:I,6,FALSE)</f>
        <v>#N/A</v>
      </c>
      <c r="L1734" s="2" t="str">
        <f>VLOOKUP(B1734,'PO with created By ASR'!A:J,7,FALSE)</f>
        <v>A - Mumbai</v>
      </c>
      <c r="M1734" s="2" t="str">
        <f>VLOOKUP(B1734,'PO with created By ASR'!A:K,8,FALSE)</f>
        <v>Purchase Order-Mum</v>
      </c>
      <c r="N1734" t="s">
        <v>36</v>
      </c>
      <c r="P1734" s="2">
        <v>6</v>
      </c>
    </row>
    <row r="1735" s="2" customFormat="1" spans="1:16">
      <c r="A1735" s="8"/>
      <c r="B1735" s="9" t="s">
        <v>2852</v>
      </c>
      <c r="C1735" s="10" t="s">
        <v>412</v>
      </c>
      <c r="D1735" s="11">
        <v>1</v>
      </c>
      <c r="E1735" s="12">
        <v>3721</v>
      </c>
      <c r="F1735" s="13">
        <v>3721</v>
      </c>
      <c r="G1735" s="2">
        <f>VLOOKUP(B1735,'PO with created By ASR'!A:C,3,FALSE)</f>
        <v>45699</v>
      </c>
      <c r="J1735" s="2" t="str">
        <f>VLOOKUP(B1735,'PO with created By ASR'!A:G,4,FALSE)</f>
        <v>Abhishek Jadhav  -CR</v>
      </c>
      <c r="K1735" s="2" t="e">
        <f>VLOOKUP(B1735,'PO with created By ASR'!A:I,6,FALSE)</f>
        <v>#N/A</v>
      </c>
      <c r="L1735" s="2" t="str">
        <f>VLOOKUP(B1735,'PO with created By ASR'!A:J,7,FALSE)</f>
        <v>A - Mumbai</v>
      </c>
      <c r="M1735" s="2" t="str">
        <f>VLOOKUP(B1735,'PO with created By ASR'!A:K,8,FALSE)</f>
        <v>Purchase Order-Mum</v>
      </c>
      <c r="N1735" t="s">
        <v>36</v>
      </c>
      <c r="P1735" s="2">
        <v>6</v>
      </c>
    </row>
    <row r="1736" s="2" customFormat="1" spans="1:16">
      <c r="A1736" s="8"/>
      <c r="B1736" s="9" t="s">
        <v>2855</v>
      </c>
      <c r="C1736" s="10" t="s">
        <v>990</v>
      </c>
      <c r="D1736" s="11">
        <v>1</v>
      </c>
      <c r="E1736" s="12">
        <v>3400</v>
      </c>
      <c r="F1736" s="13">
        <v>3400</v>
      </c>
      <c r="G1736" s="2">
        <f>VLOOKUP(B1736,'PO with created By ASR'!A:C,3,FALSE)</f>
        <v>45699</v>
      </c>
      <c r="J1736" s="2" t="str">
        <f>VLOOKUP(B1736,'PO with created By ASR'!A:G,4,FALSE)</f>
        <v>Shree Vision-Mum</v>
      </c>
      <c r="K1736" s="2" t="str">
        <f>VLOOKUP(B1736,'PO with created By ASR'!A:I,6,FALSE)</f>
        <v>12401 Shree Vision</v>
      </c>
      <c r="L1736" s="2" t="str">
        <f>VLOOKUP(B1736,'PO with created By ASR'!A:J,7,FALSE)</f>
        <v>A - Mumbai</v>
      </c>
      <c r="M1736" s="2" t="str">
        <f>VLOOKUP(B1736,'PO with created By ASR'!A:K,8,FALSE)</f>
        <v>Purchase Order-Mum</v>
      </c>
      <c r="N1736" t="s">
        <v>36</v>
      </c>
      <c r="P1736" s="2">
        <v>6</v>
      </c>
    </row>
    <row r="1737" s="2" customFormat="1" spans="1:16">
      <c r="A1737" s="8"/>
      <c r="B1737" s="9" t="s">
        <v>2856</v>
      </c>
      <c r="C1737" s="10" t="s">
        <v>151</v>
      </c>
      <c r="D1737" s="11">
        <v>1</v>
      </c>
      <c r="E1737" s="12">
        <v>280000</v>
      </c>
      <c r="F1737" s="13">
        <v>280000</v>
      </c>
      <c r="G1737" s="2">
        <f>VLOOKUP(B1737,'PO with created By ASR'!A:C,3,FALSE)</f>
        <v>45699</v>
      </c>
      <c r="J1737" s="2" t="str">
        <f>VLOOKUP(B1737,'PO with created By ASR'!A:G,4,FALSE)</f>
        <v>Fabrile Productions-Mum</v>
      </c>
      <c r="K1737" s="2" t="str">
        <f>VLOOKUP(B1737,'PO with created By ASR'!A:I,6,FALSE)</f>
        <v>11909 Fabrile Productions</v>
      </c>
      <c r="L1737" s="2" t="str">
        <f>VLOOKUP(B1737,'PO with created By ASR'!A:J,7,FALSE)</f>
        <v>A - Mumbai</v>
      </c>
      <c r="M1737" s="2" t="str">
        <f>VLOOKUP(B1737,'PO with created By ASR'!A:K,8,FALSE)</f>
        <v>Purchase Order-Mum</v>
      </c>
      <c r="N1737" t="s">
        <v>36</v>
      </c>
      <c r="P1737" s="2">
        <v>6</v>
      </c>
    </row>
    <row r="1738" s="2" customFormat="1" spans="1:16">
      <c r="A1738" s="8"/>
      <c r="B1738" s="9" t="s">
        <v>2858</v>
      </c>
      <c r="C1738" s="10" t="s">
        <v>140</v>
      </c>
      <c r="D1738" s="11">
        <v>1</v>
      </c>
      <c r="E1738" s="12">
        <v>23000</v>
      </c>
      <c r="F1738" s="13">
        <v>23000</v>
      </c>
      <c r="G1738" s="2">
        <f>VLOOKUP(B1738,'PO with created By ASR'!A:C,3,FALSE)</f>
        <v>45699</v>
      </c>
      <c r="J1738" s="2" t="str">
        <f>VLOOKUP(B1738,'PO with created By ASR'!A:G,4,FALSE)</f>
        <v>Tryokart (Happay)-Mum</v>
      </c>
      <c r="K1738" s="2" t="str">
        <f>VLOOKUP(B1738,'PO with created By ASR'!A:I,6,FALSE)</f>
        <v>12952 Tryokart (Happay)</v>
      </c>
      <c r="L1738" s="2" t="str">
        <f>VLOOKUP(B1738,'PO with created By ASR'!A:J,7,FALSE)</f>
        <v>A - Mumbai</v>
      </c>
      <c r="M1738" s="2" t="str">
        <f>VLOOKUP(B1738,'PO with created By ASR'!A:K,8,FALSE)</f>
        <v>Purchase Order-Mum</v>
      </c>
      <c r="N1738" t="s">
        <v>36</v>
      </c>
      <c r="P1738" s="2">
        <v>6</v>
      </c>
    </row>
    <row r="1739" s="2" customFormat="1" spans="1:16">
      <c r="A1739" s="8"/>
      <c r="B1739" s="9" t="s">
        <v>2861</v>
      </c>
      <c r="C1739" s="10" t="s">
        <v>317</v>
      </c>
      <c r="D1739" s="11">
        <v>1</v>
      </c>
      <c r="E1739" s="12">
        <v>2700900</v>
      </c>
      <c r="F1739" s="13">
        <v>2700900</v>
      </c>
      <c r="G1739" s="2">
        <f>VLOOKUP(B1739,'PO with created By ASR'!A:C,3,FALSE)</f>
        <v>45699</v>
      </c>
      <c r="J1739" s="2" t="str">
        <f>VLOOKUP(B1739,'PO with created By ASR'!A:G,4,FALSE)</f>
        <v>Razzmatazz Ventures Pvt Ltd-Mum</v>
      </c>
      <c r="K1739" s="2" t="str">
        <f>VLOOKUP(B1739,'PO with created By ASR'!A:I,6,FALSE)</f>
        <v>12324  Razzmatazz Ventures Pvt Ltd</v>
      </c>
      <c r="L1739" s="2" t="str">
        <f>VLOOKUP(B1739,'PO with created By ASR'!A:J,7,FALSE)</f>
        <v>A - Mumbai</v>
      </c>
      <c r="M1739" s="2" t="str">
        <f>VLOOKUP(B1739,'PO with created By ASR'!A:K,8,FALSE)</f>
        <v>Purchase Order-Mum</v>
      </c>
      <c r="N1739" t="s">
        <v>36</v>
      </c>
      <c r="P1739" s="2">
        <v>6</v>
      </c>
    </row>
    <row r="1740" s="2" customFormat="1" spans="1:16">
      <c r="A1740" s="8"/>
      <c r="B1740" s="9" t="s">
        <v>2862</v>
      </c>
      <c r="C1740" s="10" t="s">
        <v>317</v>
      </c>
      <c r="D1740" s="11">
        <v>1</v>
      </c>
      <c r="E1740" s="12">
        <v>50700</v>
      </c>
      <c r="F1740" s="13">
        <v>50700</v>
      </c>
      <c r="G1740" s="2">
        <f>VLOOKUP(B1740,'PO with created By ASR'!A:C,3,FALSE)</f>
        <v>45699</v>
      </c>
      <c r="J1740" s="2" t="str">
        <f>VLOOKUP(B1740,'PO with created By ASR'!A:G,4,FALSE)</f>
        <v>Rak Lead Events-Mum</v>
      </c>
      <c r="K1740" s="2" t="str">
        <f>VLOOKUP(B1740,'PO with created By ASR'!A:I,6,FALSE)</f>
        <v>12317 Rak Lead Events</v>
      </c>
      <c r="L1740" s="2" t="str">
        <f>VLOOKUP(B1740,'PO with created By ASR'!A:J,7,FALSE)</f>
        <v>A - Mumbai</v>
      </c>
      <c r="M1740" s="2" t="str">
        <f>VLOOKUP(B1740,'PO with created By ASR'!A:K,8,FALSE)</f>
        <v>Purchase Order-Mum</v>
      </c>
      <c r="N1740" t="s">
        <v>36</v>
      </c>
      <c r="P1740" s="2">
        <v>6</v>
      </c>
    </row>
    <row r="1741" s="2" customFormat="1" spans="1:16">
      <c r="A1741" s="8"/>
      <c r="B1741" s="9" t="s">
        <v>2863</v>
      </c>
      <c r="C1741" s="10" t="s">
        <v>317</v>
      </c>
      <c r="D1741" s="11">
        <v>1</v>
      </c>
      <c r="E1741" s="12">
        <v>12130</v>
      </c>
      <c r="F1741" s="13">
        <v>12130</v>
      </c>
      <c r="G1741" s="2">
        <f>VLOOKUP(B1741,'PO with created By ASR'!A:C,3,FALSE)</f>
        <v>45699</v>
      </c>
      <c r="J1741" s="2" t="str">
        <f>VLOOKUP(B1741,'PO with created By ASR'!A:G,4,FALSE)</f>
        <v>Mahendra Mane -CR</v>
      </c>
      <c r="K1741" s="2" t="e">
        <f>VLOOKUP(B1741,'PO with created By ASR'!A:I,6,FALSE)</f>
        <v>#N/A</v>
      </c>
      <c r="L1741" s="2" t="str">
        <f>VLOOKUP(B1741,'PO with created By ASR'!A:J,7,FALSE)</f>
        <v>A - Mumbai</v>
      </c>
      <c r="M1741" s="2" t="str">
        <f>VLOOKUP(B1741,'PO with created By ASR'!A:K,8,FALSE)</f>
        <v>Purchase Order-Mum</v>
      </c>
      <c r="N1741" t="s">
        <v>36</v>
      </c>
      <c r="P1741" s="2">
        <v>6</v>
      </c>
    </row>
    <row r="1742" s="2" customFormat="1" spans="1:16">
      <c r="A1742" s="8"/>
      <c r="B1742" s="9" t="s">
        <v>2863</v>
      </c>
      <c r="C1742" s="10" t="s">
        <v>126</v>
      </c>
      <c r="D1742" s="11">
        <v>1</v>
      </c>
      <c r="E1742" s="12">
        <v>426</v>
      </c>
      <c r="F1742" s="13">
        <v>426</v>
      </c>
      <c r="G1742" s="2">
        <f>VLOOKUP(B1742,'PO with created By ASR'!A:C,3,FALSE)</f>
        <v>45699</v>
      </c>
      <c r="J1742" s="2" t="str">
        <f>VLOOKUP(B1742,'PO with created By ASR'!A:G,4,FALSE)</f>
        <v>Mahendra Mane -CR</v>
      </c>
      <c r="K1742" s="2" t="e">
        <f>VLOOKUP(B1742,'PO with created By ASR'!A:I,6,FALSE)</f>
        <v>#N/A</v>
      </c>
      <c r="L1742" s="2" t="str">
        <f>VLOOKUP(B1742,'PO with created By ASR'!A:J,7,FALSE)</f>
        <v>A - Mumbai</v>
      </c>
      <c r="M1742" s="2" t="str">
        <f>VLOOKUP(B1742,'PO with created By ASR'!A:K,8,FALSE)</f>
        <v>Purchase Order-Mum</v>
      </c>
      <c r="N1742" t="s">
        <v>36</v>
      </c>
      <c r="P1742" s="2">
        <v>6</v>
      </c>
    </row>
    <row r="1743" s="2" customFormat="1" spans="1:16">
      <c r="A1743" s="8"/>
      <c r="B1743" s="9" t="s">
        <v>2863</v>
      </c>
      <c r="C1743" s="10" t="s">
        <v>412</v>
      </c>
      <c r="D1743" s="11">
        <v>1</v>
      </c>
      <c r="E1743" s="12">
        <v>150</v>
      </c>
      <c r="F1743" s="13">
        <v>150</v>
      </c>
      <c r="G1743" s="2">
        <f>VLOOKUP(B1743,'PO with created By ASR'!A:C,3,FALSE)</f>
        <v>45699</v>
      </c>
      <c r="J1743" s="2" t="str">
        <f>VLOOKUP(B1743,'PO with created By ASR'!A:G,4,FALSE)</f>
        <v>Mahendra Mane -CR</v>
      </c>
      <c r="K1743" s="2" t="e">
        <f>VLOOKUP(B1743,'PO with created By ASR'!A:I,6,FALSE)</f>
        <v>#N/A</v>
      </c>
      <c r="L1743" s="2" t="str">
        <f>VLOOKUP(B1743,'PO with created By ASR'!A:J,7,FALSE)</f>
        <v>A - Mumbai</v>
      </c>
      <c r="M1743" s="2" t="str">
        <f>VLOOKUP(B1743,'PO with created By ASR'!A:K,8,FALSE)</f>
        <v>Purchase Order-Mum</v>
      </c>
      <c r="N1743" t="s">
        <v>36</v>
      </c>
      <c r="P1743" s="2">
        <v>6</v>
      </c>
    </row>
    <row r="1744" s="2" customFormat="1" spans="1:16">
      <c r="A1744" s="8"/>
      <c r="B1744" s="9" t="s">
        <v>2864</v>
      </c>
      <c r="C1744" s="10" t="s">
        <v>317</v>
      </c>
      <c r="D1744" s="11">
        <v>1</v>
      </c>
      <c r="E1744" s="12">
        <v>51722</v>
      </c>
      <c r="F1744" s="13">
        <v>51722</v>
      </c>
      <c r="G1744" s="2">
        <f>VLOOKUP(B1744,'PO with created By ASR'!A:C,3,FALSE)</f>
        <v>45699</v>
      </c>
      <c r="J1744" s="2" t="str">
        <f>VLOOKUP(B1744,'PO with created By ASR'!A:G,4,FALSE)</f>
        <v>Mahendra Mane -CR</v>
      </c>
      <c r="K1744" s="2" t="e">
        <f>VLOOKUP(B1744,'PO with created By ASR'!A:I,6,FALSE)</f>
        <v>#N/A</v>
      </c>
      <c r="L1744" s="2" t="str">
        <f>VLOOKUP(B1744,'PO with created By ASR'!A:J,7,FALSE)</f>
        <v>A - Mumbai</v>
      </c>
      <c r="M1744" s="2" t="str">
        <f>VLOOKUP(B1744,'PO with created By ASR'!A:K,8,FALSE)</f>
        <v>Purchase Order-Mum</v>
      </c>
      <c r="N1744" t="s">
        <v>36</v>
      </c>
      <c r="P1744" s="2">
        <v>6</v>
      </c>
    </row>
    <row r="1745" s="2" customFormat="1" spans="1:16">
      <c r="A1745" s="8"/>
      <c r="B1745" s="9" t="s">
        <v>2865</v>
      </c>
      <c r="C1745" s="10" t="s">
        <v>126</v>
      </c>
      <c r="D1745" s="11">
        <v>1</v>
      </c>
      <c r="E1745" s="12">
        <v>860</v>
      </c>
      <c r="F1745" s="13">
        <v>860</v>
      </c>
      <c r="G1745" s="2">
        <f>VLOOKUP(B1745,'PO with created By ASR'!A:C,3,FALSE)</f>
        <v>45699</v>
      </c>
      <c r="J1745" s="2" t="str">
        <f>VLOOKUP(B1745,'PO with created By ASR'!A:G,4,FALSE)</f>
        <v>Mohammad Danish  -CR</v>
      </c>
      <c r="K1745" s="2" t="str">
        <f>VLOOKUP(B1745,'PO with created By ASR'!A:I,6,FALSE)</f>
        <v>10757 Mohammad Danish</v>
      </c>
      <c r="L1745" s="2" t="str">
        <f>VLOOKUP(B1745,'PO with created By ASR'!A:J,7,FALSE)</f>
        <v>A - Mumbai</v>
      </c>
      <c r="M1745" s="2" t="str">
        <f>VLOOKUP(B1745,'PO with created By ASR'!A:K,8,FALSE)</f>
        <v>Purchase Order-Mum</v>
      </c>
      <c r="N1745" t="s">
        <v>36</v>
      </c>
      <c r="P1745" s="2">
        <v>6</v>
      </c>
    </row>
    <row r="1746" s="2" customFormat="1" spans="1:16">
      <c r="A1746" s="8"/>
      <c r="B1746" s="9" t="s">
        <v>2865</v>
      </c>
      <c r="C1746" s="10" t="s">
        <v>412</v>
      </c>
      <c r="D1746" s="11">
        <v>1</v>
      </c>
      <c r="E1746" s="12">
        <v>850</v>
      </c>
      <c r="F1746" s="13">
        <v>850</v>
      </c>
      <c r="G1746" s="2">
        <f>VLOOKUP(B1746,'PO with created By ASR'!A:C,3,FALSE)</f>
        <v>45699</v>
      </c>
      <c r="J1746" s="2" t="str">
        <f>VLOOKUP(B1746,'PO with created By ASR'!A:G,4,FALSE)</f>
        <v>Mohammad Danish  -CR</v>
      </c>
      <c r="K1746" s="2" t="str">
        <f>VLOOKUP(B1746,'PO with created By ASR'!A:I,6,FALSE)</f>
        <v>10757 Mohammad Danish</v>
      </c>
      <c r="L1746" s="2" t="str">
        <f>VLOOKUP(B1746,'PO with created By ASR'!A:J,7,FALSE)</f>
        <v>A - Mumbai</v>
      </c>
      <c r="M1746" s="2" t="str">
        <f>VLOOKUP(B1746,'PO with created By ASR'!A:K,8,FALSE)</f>
        <v>Purchase Order-Mum</v>
      </c>
      <c r="N1746" t="s">
        <v>36</v>
      </c>
      <c r="P1746" s="2">
        <v>6</v>
      </c>
    </row>
    <row r="1747" s="2" customFormat="1" spans="1:16">
      <c r="A1747" s="8"/>
      <c r="B1747" s="9" t="s">
        <v>2866</v>
      </c>
      <c r="C1747" s="10" t="s">
        <v>317</v>
      </c>
      <c r="D1747" s="11">
        <v>1</v>
      </c>
      <c r="E1747" s="12">
        <v>50000</v>
      </c>
      <c r="F1747" s="13">
        <v>50000</v>
      </c>
      <c r="G1747" s="2">
        <f>VLOOKUP(B1747,'PO with created By ASR'!A:C,3,FALSE)</f>
        <v>45699</v>
      </c>
      <c r="J1747" s="2" t="str">
        <f>VLOOKUP(B1747,'PO with created By ASR'!A:G,4,FALSE)</f>
        <v>Sportocraft Enterprises-Mum</v>
      </c>
      <c r="K1747" s="2" t="str">
        <f>VLOOKUP(B1747,'PO with created By ASR'!A:I,6,FALSE)</f>
        <v>12437 Sportocraft Enterprises</v>
      </c>
      <c r="L1747" s="2" t="str">
        <f>VLOOKUP(B1747,'PO with created By ASR'!A:J,7,FALSE)</f>
        <v>A - Mumbai</v>
      </c>
      <c r="M1747" s="2" t="str">
        <f>VLOOKUP(B1747,'PO with created By ASR'!A:K,8,FALSE)</f>
        <v>Purchase Order-Mum</v>
      </c>
      <c r="N1747" t="s">
        <v>36</v>
      </c>
      <c r="P1747" s="2">
        <v>6</v>
      </c>
    </row>
    <row r="1748" s="2" customFormat="1" spans="1:16">
      <c r="A1748" s="8"/>
      <c r="B1748" s="9" t="s">
        <v>2867</v>
      </c>
      <c r="C1748" s="10" t="s">
        <v>734</v>
      </c>
      <c r="D1748" s="11">
        <v>1</v>
      </c>
      <c r="E1748" s="12">
        <v>286794</v>
      </c>
      <c r="F1748" s="13">
        <v>286794</v>
      </c>
      <c r="G1748" s="2">
        <f>VLOOKUP(B1748,'PO with created By ASR'!A:C,3,FALSE)</f>
        <v>45699</v>
      </c>
      <c r="J1748" s="2" t="str">
        <f>VLOOKUP(B1748,'PO with created By ASR'!A:G,4,FALSE)</f>
        <v>Musafir.Com India Pvt Ltd-Mum</v>
      </c>
      <c r="K1748" s="2" t="str">
        <f>VLOOKUP(B1748,'PO with created By ASR'!A:I,6,FALSE)</f>
        <v>10060  Musafir.Com India Pvt Ltd</v>
      </c>
      <c r="L1748" s="2" t="str">
        <f>VLOOKUP(B1748,'PO with created By ASR'!A:J,7,FALSE)</f>
        <v>A - Mumbai</v>
      </c>
      <c r="M1748" s="2" t="str">
        <f>VLOOKUP(B1748,'PO with created By ASR'!A:K,8,FALSE)</f>
        <v>Purchase Order-Mum</v>
      </c>
      <c r="N1748" t="s">
        <v>36</v>
      </c>
      <c r="P1748" s="2">
        <v>6</v>
      </c>
    </row>
    <row r="1749" s="2" customFormat="1" spans="1:16">
      <c r="A1749" s="8"/>
      <c r="B1749" s="9" t="s">
        <v>2867</v>
      </c>
      <c r="C1749" s="10" t="s">
        <v>1808</v>
      </c>
      <c r="D1749" s="11">
        <v>1</v>
      </c>
      <c r="E1749" s="12">
        <v>14281</v>
      </c>
      <c r="F1749" s="13">
        <v>14281</v>
      </c>
      <c r="G1749" s="2">
        <f>VLOOKUP(B1749,'PO with created By ASR'!A:C,3,FALSE)</f>
        <v>45699</v>
      </c>
      <c r="J1749" s="2" t="str">
        <f>VLOOKUP(B1749,'PO with created By ASR'!A:G,4,FALSE)</f>
        <v>Musafir.Com India Pvt Ltd-Mum</v>
      </c>
      <c r="K1749" s="2" t="str">
        <f>VLOOKUP(B1749,'PO with created By ASR'!A:I,6,FALSE)</f>
        <v>10060  Musafir.Com India Pvt Ltd</v>
      </c>
      <c r="L1749" s="2" t="str">
        <f>VLOOKUP(B1749,'PO with created By ASR'!A:J,7,FALSE)</f>
        <v>A - Mumbai</v>
      </c>
      <c r="M1749" s="2" t="str">
        <f>VLOOKUP(B1749,'PO with created By ASR'!A:K,8,FALSE)</f>
        <v>Purchase Order-Mum</v>
      </c>
      <c r="N1749" t="s">
        <v>36</v>
      </c>
      <c r="P1749" s="2">
        <v>6</v>
      </c>
    </row>
    <row r="1750" s="2" customFormat="1" spans="1:16">
      <c r="A1750" s="8"/>
      <c r="B1750" s="9" t="s">
        <v>2868</v>
      </c>
      <c r="C1750" s="10" t="s">
        <v>126</v>
      </c>
      <c r="D1750" s="11">
        <v>1</v>
      </c>
      <c r="E1750" s="12">
        <v>1307</v>
      </c>
      <c r="F1750" s="13">
        <v>1307</v>
      </c>
      <c r="G1750" s="2">
        <f>VLOOKUP(B1750,'PO with created By ASR'!A:C,3,FALSE)</f>
        <v>45699</v>
      </c>
      <c r="J1750" s="2" t="str">
        <f>VLOOKUP(B1750,'PO with created By ASR'!A:G,4,FALSE)</f>
        <v>Mohammad Danish  -CR</v>
      </c>
      <c r="K1750" s="2" t="str">
        <f>VLOOKUP(B1750,'PO with created By ASR'!A:I,6,FALSE)</f>
        <v>10757 Mohammad Danish</v>
      </c>
      <c r="L1750" s="2" t="str">
        <f>VLOOKUP(B1750,'PO with created By ASR'!A:J,7,FALSE)</f>
        <v>A - Mumbai</v>
      </c>
      <c r="M1750" s="2" t="str">
        <f>VLOOKUP(B1750,'PO with created By ASR'!A:K,8,FALSE)</f>
        <v>Purchase Order-Mum</v>
      </c>
      <c r="N1750" t="s">
        <v>36</v>
      </c>
      <c r="P1750" s="2">
        <v>6</v>
      </c>
    </row>
    <row r="1751" s="2" customFormat="1" spans="1:16">
      <c r="A1751" s="8"/>
      <c r="B1751" s="9" t="s">
        <v>2868</v>
      </c>
      <c r="C1751" s="10" t="s">
        <v>412</v>
      </c>
      <c r="D1751" s="11">
        <v>1</v>
      </c>
      <c r="E1751" s="12">
        <v>612</v>
      </c>
      <c r="F1751" s="13">
        <v>612</v>
      </c>
      <c r="G1751" s="2">
        <f>VLOOKUP(B1751,'PO with created By ASR'!A:C,3,FALSE)</f>
        <v>45699</v>
      </c>
      <c r="J1751" s="2" t="str">
        <f>VLOOKUP(B1751,'PO with created By ASR'!A:G,4,FALSE)</f>
        <v>Mohammad Danish  -CR</v>
      </c>
      <c r="K1751" s="2" t="str">
        <f>VLOOKUP(B1751,'PO with created By ASR'!A:I,6,FALSE)</f>
        <v>10757 Mohammad Danish</v>
      </c>
      <c r="L1751" s="2" t="str">
        <f>VLOOKUP(B1751,'PO with created By ASR'!A:J,7,FALSE)</f>
        <v>A - Mumbai</v>
      </c>
      <c r="M1751" s="2" t="str">
        <f>VLOOKUP(B1751,'PO with created By ASR'!A:K,8,FALSE)</f>
        <v>Purchase Order-Mum</v>
      </c>
      <c r="N1751" t="s">
        <v>36</v>
      </c>
      <c r="P1751" s="2">
        <v>6</v>
      </c>
    </row>
    <row r="1752" s="2" customFormat="1" spans="1:16">
      <c r="A1752" s="8"/>
      <c r="B1752" s="9" t="s">
        <v>2870</v>
      </c>
      <c r="C1752" s="10" t="s">
        <v>196</v>
      </c>
      <c r="D1752" s="11">
        <v>1</v>
      </c>
      <c r="E1752" s="12">
        <v>27605.01</v>
      </c>
      <c r="F1752" s="13">
        <v>27605.01</v>
      </c>
      <c r="G1752" s="2">
        <f>VLOOKUP(B1752,'PO with created By ASR'!A:C,3,FALSE)</f>
        <v>45699</v>
      </c>
      <c r="J1752" s="2" t="str">
        <f>VLOOKUP(B1752,'PO with created By ASR'!A:G,4,FALSE)</f>
        <v>Login Enterprises-Mum</v>
      </c>
      <c r="K1752" s="2" t="str">
        <f>VLOOKUP(B1752,'PO with created By ASR'!A:I,6,FALSE)</f>
        <v>12106 Login  Enterprises</v>
      </c>
      <c r="L1752" s="2" t="str">
        <f>VLOOKUP(B1752,'PO with created By ASR'!A:J,7,FALSE)</f>
        <v>A - Mumbai</v>
      </c>
      <c r="M1752" s="2" t="str">
        <f>VLOOKUP(B1752,'PO with created By ASR'!A:K,8,FALSE)</f>
        <v>Purchase Order-Mum</v>
      </c>
      <c r="N1752" t="s">
        <v>36</v>
      </c>
      <c r="P1752" s="2">
        <v>6</v>
      </c>
    </row>
    <row r="1753" s="2" customFormat="1" spans="1:16">
      <c r="A1753" s="8"/>
      <c r="B1753" s="9" t="s">
        <v>2871</v>
      </c>
      <c r="C1753" s="10" t="s">
        <v>196</v>
      </c>
      <c r="D1753" s="11">
        <v>1</v>
      </c>
      <c r="E1753" s="12">
        <v>11400</v>
      </c>
      <c r="F1753" s="13">
        <v>11400</v>
      </c>
      <c r="G1753" s="2">
        <f>VLOOKUP(B1753,'PO with created By ASR'!A:C,3,FALSE)</f>
        <v>45700</v>
      </c>
      <c r="J1753" s="2" t="str">
        <f>VLOOKUP(B1753,'PO with created By ASR'!A:G,4,FALSE)</f>
        <v>Shashank Technologies-Blr</v>
      </c>
      <c r="K1753" s="2" t="str">
        <f>VLOOKUP(B1753,'PO with created By ASR'!A:I,6,FALSE)</f>
        <v>12384 Shashank Technologies</v>
      </c>
      <c r="L1753" s="2" t="str">
        <f>VLOOKUP(B1753,'PO with created By ASR'!A:J,7,FALSE)</f>
        <v>B - Bangalore</v>
      </c>
      <c r="M1753" s="2" t="str">
        <f>VLOOKUP(B1753,'PO with created By ASR'!A:K,8,FALSE)</f>
        <v>Purchase Order-Blr</v>
      </c>
      <c r="N1753" t="s">
        <v>36</v>
      </c>
      <c r="P1753" s="2">
        <v>6</v>
      </c>
    </row>
    <row r="1754" s="2" customFormat="1" spans="1:16">
      <c r="A1754" s="8"/>
      <c r="B1754" s="9" t="s">
        <v>2875</v>
      </c>
      <c r="C1754" s="10" t="s">
        <v>196</v>
      </c>
      <c r="D1754" s="11">
        <v>1</v>
      </c>
      <c r="E1754" s="12">
        <v>2850</v>
      </c>
      <c r="F1754" s="13">
        <v>2850</v>
      </c>
      <c r="G1754" s="2">
        <f>VLOOKUP(B1754,'PO with created By ASR'!A:C,3,FALSE)</f>
        <v>45700</v>
      </c>
      <c r="J1754" s="2" t="str">
        <f>VLOOKUP(B1754,'PO with created By ASR'!A:G,4,FALSE)</f>
        <v>Shashank Technologies-Blr</v>
      </c>
      <c r="K1754" s="2" t="str">
        <f>VLOOKUP(B1754,'PO with created By ASR'!A:I,6,FALSE)</f>
        <v>12384 Shashank Technologies</v>
      </c>
      <c r="L1754" s="2" t="str">
        <f>VLOOKUP(B1754,'PO with created By ASR'!A:J,7,FALSE)</f>
        <v>B - Bangalore</v>
      </c>
      <c r="M1754" s="2" t="str">
        <f>VLOOKUP(B1754,'PO with created By ASR'!A:K,8,FALSE)</f>
        <v>Purchase Order-Blr</v>
      </c>
      <c r="N1754" t="s">
        <v>36</v>
      </c>
      <c r="P1754" s="2">
        <v>6</v>
      </c>
    </row>
    <row r="1755" s="2" customFormat="1" spans="1:16">
      <c r="A1755" s="8"/>
      <c r="B1755" s="9" t="s">
        <v>2876</v>
      </c>
      <c r="C1755" s="10" t="s">
        <v>292</v>
      </c>
      <c r="D1755" s="11">
        <v>1</v>
      </c>
      <c r="E1755" s="12">
        <v>5500</v>
      </c>
      <c r="F1755" s="13">
        <v>5500</v>
      </c>
      <c r="G1755" s="2">
        <f>VLOOKUP(B1755,'PO with created By ASR'!A:C,3,FALSE)</f>
        <v>45700</v>
      </c>
      <c r="J1755" s="2" t="str">
        <f>VLOOKUP(B1755,'PO with created By ASR'!A:G,4,FALSE)</f>
        <v>Abdul Rehman -CR</v>
      </c>
      <c r="K1755" s="2" t="e">
        <f>VLOOKUP(B1755,'PO with created By ASR'!A:I,6,FALSE)</f>
        <v>#N/A</v>
      </c>
      <c r="L1755" s="2" t="str">
        <f>VLOOKUP(B1755,'PO with created By ASR'!A:J,7,FALSE)</f>
        <v>B - Bangalore</v>
      </c>
      <c r="M1755" s="2" t="str">
        <f>VLOOKUP(B1755,'PO with created By ASR'!A:K,8,FALSE)</f>
        <v>Purchase Order-Blr</v>
      </c>
      <c r="N1755" t="s">
        <v>36</v>
      </c>
      <c r="P1755" s="2">
        <v>6</v>
      </c>
    </row>
    <row r="1756" s="2" customFormat="1" spans="1:16">
      <c r="A1756" s="8"/>
      <c r="B1756" s="9" t="s">
        <v>2876</v>
      </c>
      <c r="C1756" s="10" t="s">
        <v>1055</v>
      </c>
      <c r="D1756" s="11">
        <v>1</v>
      </c>
      <c r="E1756" s="12">
        <v>6000</v>
      </c>
      <c r="F1756" s="13">
        <v>6000</v>
      </c>
      <c r="G1756" s="2">
        <f>VLOOKUP(B1756,'PO with created By ASR'!A:C,3,FALSE)</f>
        <v>45700</v>
      </c>
      <c r="J1756" s="2" t="str">
        <f>VLOOKUP(B1756,'PO with created By ASR'!A:G,4,FALSE)</f>
        <v>Abdul Rehman -CR</v>
      </c>
      <c r="K1756" s="2" t="e">
        <f>VLOOKUP(B1756,'PO with created By ASR'!A:I,6,FALSE)</f>
        <v>#N/A</v>
      </c>
      <c r="L1756" s="2" t="str">
        <f>VLOOKUP(B1756,'PO with created By ASR'!A:J,7,FALSE)</f>
        <v>B - Bangalore</v>
      </c>
      <c r="M1756" s="2" t="str">
        <f>VLOOKUP(B1756,'PO with created By ASR'!A:K,8,FALSE)</f>
        <v>Purchase Order-Blr</v>
      </c>
      <c r="N1756" t="s">
        <v>36</v>
      </c>
      <c r="P1756" s="2">
        <v>6</v>
      </c>
    </row>
    <row r="1757" s="2" customFormat="1" spans="1:16">
      <c r="A1757" s="8"/>
      <c r="B1757" s="9" t="s">
        <v>2877</v>
      </c>
      <c r="C1757" s="10" t="s">
        <v>292</v>
      </c>
      <c r="D1757" s="11">
        <v>1</v>
      </c>
      <c r="E1757" s="12">
        <v>8500</v>
      </c>
      <c r="F1757" s="13">
        <v>8500</v>
      </c>
      <c r="G1757" s="2">
        <f>VLOOKUP(B1757,'PO with created By ASR'!A:C,3,FALSE)</f>
        <v>45700</v>
      </c>
      <c r="J1757" s="2" t="str">
        <f>VLOOKUP(B1757,'PO with created By ASR'!A:G,4,FALSE)</f>
        <v>Abdul Rehman -CR</v>
      </c>
      <c r="K1757" s="2" t="e">
        <f>VLOOKUP(B1757,'PO with created By ASR'!A:I,6,FALSE)</f>
        <v>#N/A</v>
      </c>
      <c r="L1757" s="2" t="str">
        <f>VLOOKUP(B1757,'PO with created By ASR'!A:J,7,FALSE)</f>
        <v>B - Bangalore</v>
      </c>
      <c r="M1757" s="2" t="str">
        <f>VLOOKUP(B1757,'PO with created By ASR'!A:K,8,FALSE)</f>
        <v>Purchase Order-Blr</v>
      </c>
      <c r="N1757" t="s">
        <v>36</v>
      </c>
      <c r="P1757" s="2">
        <v>6</v>
      </c>
    </row>
    <row r="1758" s="2" customFormat="1" spans="1:16">
      <c r="A1758" s="8"/>
      <c r="B1758" s="9" t="s">
        <v>2878</v>
      </c>
      <c r="C1758" s="10" t="s">
        <v>292</v>
      </c>
      <c r="D1758" s="11">
        <v>1</v>
      </c>
      <c r="E1758" s="12">
        <v>4500</v>
      </c>
      <c r="F1758" s="13">
        <v>4500</v>
      </c>
      <c r="G1758" s="2">
        <f>VLOOKUP(B1758,'PO with created By ASR'!A:C,3,FALSE)</f>
        <v>45700</v>
      </c>
      <c r="J1758" s="2" t="str">
        <f>VLOOKUP(B1758,'PO with created By ASR'!A:G,4,FALSE)</f>
        <v>Abdul Rehman -CR</v>
      </c>
      <c r="K1758" s="2" t="e">
        <f>VLOOKUP(B1758,'PO with created By ASR'!A:I,6,FALSE)</f>
        <v>#N/A</v>
      </c>
      <c r="L1758" s="2" t="str">
        <f>VLOOKUP(B1758,'PO with created By ASR'!A:J,7,FALSE)</f>
        <v>B - Bangalore</v>
      </c>
      <c r="M1758" s="2" t="str">
        <f>VLOOKUP(B1758,'PO with created By ASR'!A:K,8,FALSE)</f>
        <v>Purchase Order-Blr</v>
      </c>
      <c r="N1758" t="s">
        <v>36</v>
      </c>
      <c r="P1758" s="2">
        <v>6</v>
      </c>
    </row>
    <row r="1759" s="2" customFormat="1" spans="1:16">
      <c r="A1759" s="8"/>
      <c r="B1759" s="9" t="s">
        <v>2879</v>
      </c>
      <c r="C1759" s="10" t="s">
        <v>126</v>
      </c>
      <c r="D1759" s="11">
        <v>1</v>
      </c>
      <c r="E1759" s="12">
        <v>6300</v>
      </c>
      <c r="F1759" s="13">
        <v>6300</v>
      </c>
      <c r="G1759" s="2">
        <f>VLOOKUP(B1759,'PO with created By ASR'!A:C,3,FALSE)</f>
        <v>45700</v>
      </c>
      <c r="J1759" s="2" t="str">
        <f>VLOOKUP(B1759,'PO with created By ASR'!A:G,4,FALSE)</f>
        <v>Abdul Rehman -CR</v>
      </c>
      <c r="K1759" s="2" t="e">
        <f>VLOOKUP(B1759,'PO with created By ASR'!A:I,6,FALSE)</f>
        <v>#N/A</v>
      </c>
      <c r="L1759" s="2" t="str">
        <f>VLOOKUP(B1759,'PO with created By ASR'!A:J,7,FALSE)</f>
        <v>B - Bangalore</v>
      </c>
      <c r="M1759" s="2" t="str">
        <f>VLOOKUP(B1759,'PO with created By ASR'!A:K,8,FALSE)</f>
        <v>Purchase Order-Blr</v>
      </c>
      <c r="N1759" t="s">
        <v>36</v>
      </c>
      <c r="P1759" s="2">
        <v>6</v>
      </c>
    </row>
    <row r="1760" s="2" customFormat="1" spans="1:16">
      <c r="A1760" s="8"/>
      <c r="B1760" s="9" t="s">
        <v>2879</v>
      </c>
      <c r="C1760" s="10" t="s">
        <v>1055</v>
      </c>
      <c r="D1760" s="11">
        <v>1</v>
      </c>
      <c r="E1760" s="12">
        <v>3500</v>
      </c>
      <c r="F1760" s="13">
        <v>3500</v>
      </c>
      <c r="G1760" s="2">
        <f>VLOOKUP(B1760,'PO with created By ASR'!A:C,3,FALSE)</f>
        <v>45700</v>
      </c>
      <c r="J1760" s="2" t="str">
        <f>VLOOKUP(B1760,'PO with created By ASR'!A:G,4,FALSE)</f>
        <v>Abdul Rehman -CR</v>
      </c>
      <c r="K1760" s="2" t="e">
        <f>VLOOKUP(B1760,'PO with created By ASR'!A:I,6,FALSE)</f>
        <v>#N/A</v>
      </c>
      <c r="L1760" s="2" t="str">
        <f>VLOOKUP(B1760,'PO with created By ASR'!A:J,7,FALSE)</f>
        <v>B - Bangalore</v>
      </c>
      <c r="M1760" s="2" t="str">
        <f>VLOOKUP(B1760,'PO with created By ASR'!A:K,8,FALSE)</f>
        <v>Purchase Order-Blr</v>
      </c>
      <c r="N1760" t="s">
        <v>36</v>
      </c>
      <c r="P1760" s="2">
        <v>6</v>
      </c>
    </row>
    <row r="1761" s="2" customFormat="1" spans="1:16">
      <c r="A1761" s="8"/>
      <c r="B1761" s="9" t="s">
        <v>2879</v>
      </c>
      <c r="C1761" s="10" t="s">
        <v>292</v>
      </c>
      <c r="D1761" s="11">
        <v>1</v>
      </c>
      <c r="E1761" s="12">
        <v>3500</v>
      </c>
      <c r="F1761" s="13">
        <v>3500</v>
      </c>
      <c r="G1761" s="2">
        <f>VLOOKUP(B1761,'PO with created By ASR'!A:C,3,FALSE)</f>
        <v>45700</v>
      </c>
      <c r="J1761" s="2" t="str">
        <f>VLOOKUP(B1761,'PO with created By ASR'!A:G,4,FALSE)</f>
        <v>Abdul Rehman -CR</v>
      </c>
      <c r="K1761" s="2" t="e">
        <f>VLOOKUP(B1761,'PO with created By ASR'!A:I,6,FALSE)</f>
        <v>#N/A</v>
      </c>
      <c r="L1761" s="2" t="str">
        <f>VLOOKUP(B1761,'PO with created By ASR'!A:J,7,FALSE)</f>
        <v>B - Bangalore</v>
      </c>
      <c r="M1761" s="2" t="str">
        <f>VLOOKUP(B1761,'PO with created By ASR'!A:K,8,FALSE)</f>
        <v>Purchase Order-Blr</v>
      </c>
      <c r="N1761" t="s">
        <v>36</v>
      </c>
      <c r="P1761" s="2">
        <v>6</v>
      </c>
    </row>
    <row r="1762" s="2" customFormat="1" spans="1:16">
      <c r="A1762" s="8"/>
      <c r="B1762" s="9" t="s">
        <v>2879</v>
      </c>
      <c r="C1762" s="10" t="s">
        <v>196</v>
      </c>
      <c r="D1762" s="11">
        <v>1</v>
      </c>
      <c r="E1762" s="12">
        <v>3330</v>
      </c>
      <c r="F1762" s="13">
        <v>3330</v>
      </c>
      <c r="G1762" s="2">
        <f>VLOOKUP(B1762,'PO with created By ASR'!A:C,3,FALSE)</f>
        <v>45700</v>
      </c>
      <c r="J1762" s="2" t="str">
        <f>VLOOKUP(B1762,'PO with created By ASR'!A:G,4,FALSE)</f>
        <v>Abdul Rehman -CR</v>
      </c>
      <c r="K1762" s="2" t="e">
        <f>VLOOKUP(B1762,'PO with created By ASR'!A:I,6,FALSE)</f>
        <v>#N/A</v>
      </c>
      <c r="L1762" s="2" t="str">
        <f>VLOOKUP(B1762,'PO with created By ASR'!A:J,7,FALSE)</f>
        <v>B - Bangalore</v>
      </c>
      <c r="M1762" s="2" t="str">
        <f>VLOOKUP(B1762,'PO with created By ASR'!A:K,8,FALSE)</f>
        <v>Purchase Order-Blr</v>
      </c>
      <c r="N1762" t="s">
        <v>36</v>
      </c>
      <c r="P1762" s="2">
        <v>6</v>
      </c>
    </row>
    <row r="1763" s="2" customFormat="1" spans="1:16">
      <c r="A1763" s="8"/>
      <c r="B1763" s="9" t="s">
        <v>2879</v>
      </c>
      <c r="C1763" s="10" t="s">
        <v>233</v>
      </c>
      <c r="D1763" s="11">
        <v>1</v>
      </c>
      <c r="E1763" s="12">
        <v>10000</v>
      </c>
      <c r="F1763" s="13">
        <v>10000</v>
      </c>
      <c r="G1763" s="2">
        <f>VLOOKUP(B1763,'PO with created By ASR'!A:C,3,FALSE)</f>
        <v>45700</v>
      </c>
      <c r="J1763" s="2" t="str">
        <f>VLOOKUP(B1763,'PO with created By ASR'!A:G,4,FALSE)</f>
        <v>Abdul Rehman -CR</v>
      </c>
      <c r="K1763" s="2" t="e">
        <f>VLOOKUP(B1763,'PO with created By ASR'!A:I,6,FALSE)</f>
        <v>#N/A</v>
      </c>
      <c r="L1763" s="2" t="str">
        <f>VLOOKUP(B1763,'PO with created By ASR'!A:J,7,FALSE)</f>
        <v>B - Bangalore</v>
      </c>
      <c r="M1763" s="2" t="str">
        <f>VLOOKUP(B1763,'PO with created By ASR'!A:K,8,FALSE)</f>
        <v>Purchase Order-Blr</v>
      </c>
      <c r="N1763" t="s">
        <v>36</v>
      </c>
      <c r="P1763" s="2">
        <v>6</v>
      </c>
    </row>
    <row r="1764" s="2" customFormat="1" spans="1:16">
      <c r="A1764" s="8"/>
      <c r="B1764" s="9" t="s">
        <v>2881</v>
      </c>
      <c r="C1764" s="10" t="s">
        <v>233</v>
      </c>
      <c r="D1764" s="11">
        <v>1</v>
      </c>
      <c r="E1764" s="12">
        <v>14250</v>
      </c>
      <c r="F1764" s="13">
        <v>14250</v>
      </c>
      <c r="G1764" s="2">
        <f>VLOOKUP(B1764,'PO with created By ASR'!A:C,3,FALSE)</f>
        <v>45700</v>
      </c>
      <c r="J1764" s="2" t="str">
        <f>VLOOKUP(B1764,'PO with created By ASR'!A:G,4,FALSE)</f>
        <v>Abdul Rehman -CR</v>
      </c>
      <c r="K1764" s="2" t="e">
        <f>VLOOKUP(B1764,'PO with created By ASR'!A:I,6,FALSE)</f>
        <v>#N/A</v>
      </c>
      <c r="L1764" s="2" t="str">
        <f>VLOOKUP(B1764,'PO with created By ASR'!A:J,7,FALSE)</f>
        <v>B - Bangalore</v>
      </c>
      <c r="M1764" s="2" t="str">
        <f>VLOOKUP(B1764,'PO with created By ASR'!A:K,8,FALSE)</f>
        <v>Purchase Order-Blr</v>
      </c>
      <c r="N1764" t="s">
        <v>36</v>
      </c>
      <c r="P1764" s="2">
        <v>6</v>
      </c>
    </row>
    <row r="1765" s="2" customFormat="1" spans="1:16">
      <c r="A1765" s="8"/>
      <c r="B1765" s="9" t="s">
        <v>2881</v>
      </c>
      <c r="C1765" s="10" t="s">
        <v>292</v>
      </c>
      <c r="D1765" s="11">
        <v>1</v>
      </c>
      <c r="E1765" s="12">
        <v>4000</v>
      </c>
      <c r="F1765" s="13">
        <v>4000</v>
      </c>
      <c r="G1765" s="2">
        <f>VLOOKUP(B1765,'PO with created By ASR'!A:C,3,FALSE)</f>
        <v>45700</v>
      </c>
      <c r="J1765" s="2" t="str">
        <f>VLOOKUP(B1765,'PO with created By ASR'!A:G,4,FALSE)</f>
        <v>Abdul Rehman -CR</v>
      </c>
      <c r="K1765" s="2" t="e">
        <f>VLOOKUP(B1765,'PO with created By ASR'!A:I,6,FALSE)</f>
        <v>#N/A</v>
      </c>
      <c r="L1765" s="2" t="str">
        <f>VLOOKUP(B1765,'PO with created By ASR'!A:J,7,FALSE)</f>
        <v>B - Bangalore</v>
      </c>
      <c r="M1765" s="2" t="str">
        <f>VLOOKUP(B1765,'PO with created By ASR'!A:K,8,FALSE)</f>
        <v>Purchase Order-Blr</v>
      </c>
      <c r="N1765" t="s">
        <v>36</v>
      </c>
      <c r="P1765" s="2">
        <v>6</v>
      </c>
    </row>
    <row r="1766" s="2" customFormat="1" spans="1:16">
      <c r="A1766" s="8"/>
      <c r="B1766" s="9" t="s">
        <v>2881</v>
      </c>
      <c r="C1766" s="10" t="s">
        <v>1055</v>
      </c>
      <c r="D1766" s="11">
        <v>1</v>
      </c>
      <c r="E1766" s="12">
        <v>3000</v>
      </c>
      <c r="F1766" s="13">
        <v>3000</v>
      </c>
      <c r="G1766" s="2">
        <f>VLOOKUP(B1766,'PO with created By ASR'!A:C,3,FALSE)</f>
        <v>45700</v>
      </c>
      <c r="J1766" s="2" t="str">
        <f>VLOOKUP(B1766,'PO with created By ASR'!A:G,4,FALSE)</f>
        <v>Abdul Rehman -CR</v>
      </c>
      <c r="K1766" s="2" t="e">
        <f>VLOOKUP(B1766,'PO with created By ASR'!A:I,6,FALSE)</f>
        <v>#N/A</v>
      </c>
      <c r="L1766" s="2" t="str">
        <f>VLOOKUP(B1766,'PO with created By ASR'!A:J,7,FALSE)</f>
        <v>B - Bangalore</v>
      </c>
      <c r="M1766" s="2" t="str">
        <f>VLOOKUP(B1766,'PO with created By ASR'!A:K,8,FALSE)</f>
        <v>Purchase Order-Blr</v>
      </c>
      <c r="N1766" t="s">
        <v>36</v>
      </c>
      <c r="P1766" s="2">
        <v>6</v>
      </c>
    </row>
    <row r="1767" s="2" customFormat="1" spans="1:16">
      <c r="A1767" s="8"/>
      <c r="B1767" s="9" t="s">
        <v>2882</v>
      </c>
      <c r="C1767" s="10" t="s">
        <v>61</v>
      </c>
      <c r="D1767" s="11">
        <v>1</v>
      </c>
      <c r="E1767" s="12">
        <v>219631.5</v>
      </c>
      <c r="F1767" s="13">
        <v>219631.5</v>
      </c>
      <c r="G1767" s="2">
        <f>VLOOKUP(B1767,'PO with created By ASR'!A:C,3,FALSE)</f>
        <v>45700</v>
      </c>
      <c r="J1767" s="2" t="str">
        <f>VLOOKUP(B1767,'PO with created By ASR'!A:G,4,FALSE)</f>
        <v>Jungle Lodges and Resorts Ltd._V-Blr</v>
      </c>
      <c r="K1767" s="2" t="e">
        <f>VLOOKUP(B1767,'PO with created By ASR'!A:I,6,FALSE)</f>
        <v>#N/A</v>
      </c>
      <c r="L1767" s="2" t="str">
        <f>VLOOKUP(B1767,'PO with created By ASR'!A:J,7,FALSE)</f>
        <v>B - Bangalore</v>
      </c>
      <c r="M1767" s="2" t="str">
        <f>VLOOKUP(B1767,'PO with created By ASR'!A:K,8,FALSE)</f>
        <v>Purchase Order-Blr</v>
      </c>
      <c r="N1767" t="s">
        <v>36</v>
      </c>
      <c r="P1767" s="2">
        <v>6</v>
      </c>
    </row>
    <row r="1768" s="2" customFormat="1" spans="1:16">
      <c r="A1768" s="8"/>
      <c r="B1768" s="9" t="s">
        <v>2885</v>
      </c>
      <c r="C1768" s="10" t="s">
        <v>683</v>
      </c>
      <c r="D1768" s="11">
        <v>1</v>
      </c>
      <c r="E1768" s="12">
        <v>300000</v>
      </c>
      <c r="F1768" s="13">
        <v>300000</v>
      </c>
      <c r="G1768" s="2">
        <f>VLOOKUP(B1768,'PO with created By ASR'!A:C,3,FALSE)</f>
        <v>45700</v>
      </c>
      <c r="J1768" s="2" t="str">
        <f>VLOOKUP(B1768,'PO with created By ASR'!A:G,4,FALSE)</f>
        <v>Detriangle LLP-Del</v>
      </c>
      <c r="K1768" s="2" t="str">
        <f>VLOOKUP(B1768,'PO with created By ASR'!A:I,6,FALSE)</f>
        <v>12697 Detriangle LLP</v>
      </c>
      <c r="L1768" s="2" t="str">
        <f>VLOOKUP(B1768,'PO with created By ASR'!A:J,7,FALSE)</f>
        <v>D - Delhi</v>
      </c>
      <c r="M1768" s="2" t="str">
        <f>VLOOKUP(B1768,'PO with created By ASR'!A:K,8,FALSE)</f>
        <v>Purchase Order-Del</v>
      </c>
      <c r="N1768" t="s">
        <v>36</v>
      </c>
      <c r="P1768" s="2">
        <v>6</v>
      </c>
    </row>
    <row r="1769" s="2" customFormat="1" spans="1:16">
      <c r="A1769" s="8"/>
      <c r="B1769" s="9" t="s">
        <v>2889</v>
      </c>
      <c r="C1769" s="10" t="s">
        <v>196</v>
      </c>
      <c r="D1769" s="11">
        <v>1</v>
      </c>
      <c r="E1769" s="12">
        <v>450</v>
      </c>
      <c r="F1769" s="13">
        <v>450</v>
      </c>
      <c r="G1769" s="2">
        <f>VLOOKUP(B1769,'PO with created By ASR'!A:C,3,FALSE)</f>
        <v>45700</v>
      </c>
      <c r="J1769" s="2" t="str">
        <f>VLOOKUP(B1769,'PO with created By ASR'!A:G,4,FALSE)</f>
        <v>Pandey Print Services-Del</v>
      </c>
      <c r="K1769" s="2" t="str">
        <f>VLOOKUP(B1769,'PO with created By ASR'!A:I,6,FALSE)</f>
        <v>12236 Pandey Print Services</v>
      </c>
      <c r="L1769" s="2" t="str">
        <f>VLOOKUP(B1769,'PO with created By ASR'!A:J,7,FALSE)</f>
        <v>D - Delhi</v>
      </c>
      <c r="M1769" s="2" t="str">
        <f>VLOOKUP(B1769,'PO with created By ASR'!A:K,8,FALSE)</f>
        <v>Purchase Order-Del</v>
      </c>
      <c r="N1769" t="s">
        <v>36</v>
      </c>
      <c r="P1769" s="2">
        <v>6</v>
      </c>
    </row>
    <row r="1770" s="2" customFormat="1" spans="1:16">
      <c r="A1770" s="8"/>
      <c r="B1770" s="9" t="s">
        <v>2891</v>
      </c>
      <c r="C1770" s="10" t="s">
        <v>371</v>
      </c>
      <c r="D1770" s="11">
        <v>1</v>
      </c>
      <c r="E1770" s="12">
        <v>165000</v>
      </c>
      <c r="F1770" s="13">
        <v>165000</v>
      </c>
      <c r="G1770" s="2">
        <f>VLOOKUP(B1770,'PO with created By ASR'!A:C,3,FALSE)</f>
        <v>45700</v>
      </c>
      <c r="J1770" s="2" t="str">
        <f>VLOOKUP(B1770,'PO with created By ASR'!A:G,4,FALSE)</f>
        <v>Black Pearl Production Pvt Ltd-Del</v>
      </c>
      <c r="K1770" s="2" t="str">
        <f>VLOOKUP(B1770,'PO with created By ASR'!A:I,6,FALSE)</f>
        <v>11734  Black Pearl Production Pvt Ltd</v>
      </c>
      <c r="L1770" s="2" t="str">
        <f>VLOOKUP(B1770,'PO with created By ASR'!A:J,7,FALSE)</f>
        <v>D - Delhi</v>
      </c>
      <c r="M1770" s="2" t="str">
        <f>VLOOKUP(B1770,'PO with created By ASR'!A:K,8,FALSE)</f>
        <v>Purchase Order-Del</v>
      </c>
      <c r="N1770" t="s">
        <v>36</v>
      </c>
      <c r="P1770" s="2">
        <v>6</v>
      </c>
    </row>
    <row r="1771" s="2" customFormat="1" spans="1:16">
      <c r="A1771" s="8"/>
      <c r="B1771" s="9" t="s">
        <v>2892</v>
      </c>
      <c r="C1771" s="10" t="s">
        <v>2535</v>
      </c>
      <c r="D1771" s="11">
        <v>1</v>
      </c>
      <c r="E1771" s="12">
        <v>582183</v>
      </c>
      <c r="F1771" s="13">
        <v>582183</v>
      </c>
      <c r="G1771" s="2">
        <f>VLOOKUP(B1771,'PO with created By ASR'!A:C,3,FALSE)</f>
        <v>45700</v>
      </c>
      <c r="J1771" s="2" t="str">
        <f>VLOOKUP(B1771,'PO with created By ASR'!A:G,4,FALSE)</f>
        <v>Royal Vacations Corporate Planners-Del</v>
      </c>
      <c r="K1771" s="2" t="str">
        <f>VLOOKUP(B1771,'PO with created By ASR'!A:I,6,FALSE)</f>
        <v>12812 Royal Vacations Corporate Planners</v>
      </c>
      <c r="L1771" s="2" t="str">
        <f>VLOOKUP(B1771,'PO with created By ASR'!A:J,7,FALSE)</f>
        <v>D - Delhi</v>
      </c>
      <c r="M1771" s="2" t="str">
        <f>VLOOKUP(B1771,'PO with created By ASR'!A:K,8,FALSE)</f>
        <v>Purchase Order-Del</v>
      </c>
      <c r="N1771" t="s">
        <v>36</v>
      </c>
      <c r="P1771" s="2">
        <v>6</v>
      </c>
    </row>
    <row r="1772" s="2" customFormat="1" spans="1:16">
      <c r="A1772" s="8"/>
      <c r="B1772" s="9" t="s">
        <v>2892</v>
      </c>
      <c r="C1772" s="10" t="s">
        <v>2535</v>
      </c>
      <c r="D1772" s="11">
        <v>1</v>
      </c>
      <c r="E1772" s="12">
        <v>29110</v>
      </c>
      <c r="F1772" s="13">
        <v>29110</v>
      </c>
      <c r="G1772" s="2">
        <f>VLOOKUP(B1772,'PO with created By ASR'!A:C,3,FALSE)</f>
        <v>45700</v>
      </c>
      <c r="J1772" s="2" t="str">
        <f>VLOOKUP(B1772,'PO with created By ASR'!A:G,4,FALSE)</f>
        <v>Royal Vacations Corporate Planners-Del</v>
      </c>
      <c r="K1772" s="2" t="str">
        <f>VLOOKUP(B1772,'PO with created By ASR'!A:I,6,FALSE)</f>
        <v>12812 Royal Vacations Corporate Planners</v>
      </c>
      <c r="L1772" s="2" t="str">
        <f>VLOOKUP(B1772,'PO with created By ASR'!A:J,7,FALSE)</f>
        <v>D - Delhi</v>
      </c>
      <c r="M1772" s="2" t="str">
        <f>VLOOKUP(B1772,'PO with created By ASR'!A:K,8,FALSE)</f>
        <v>Purchase Order-Del</v>
      </c>
      <c r="N1772" t="s">
        <v>36</v>
      </c>
      <c r="P1772" s="2">
        <v>6</v>
      </c>
    </row>
    <row r="1773" s="2" customFormat="1" spans="1:16">
      <c r="A1773" s="8"/>
      <c r="B1773" s="9" t="s">
        <v>2893</v>
      </c>
      <c r="C1773" s="10" t="s">
        <v>126</v>
      </c>
      <c r="D1773" s="11">
        <v>1</v>
      </c>
      <c r="E1773" s="12">
        <v>415</v>
      </c>
      <c r="F1773" s="13">
        <v>415</v>
      </c>
      <c r="G1773" s="2">
        <f>VLOOKUP(B1773,'PO with created By ASR'!A:C,3,FALSE)</f>
        <v>45700</v>
      </c>
      <c r="J1773" s="2" t="str">
        <f>VLOOKUP(B1773,'PO with created By ASR'!A:G,4,FALSE)</f>
        <v>Jatin Arora  -CR</v>
      </c>
      <c r="K1773" s="2" t="str">
        <f>VLOOKUP(B1773,'PO with created By ASR'!A:I,6,FALSE)</f>
        <v>10683 Jatin Arora</v>
      </c>
      <c r="L1773" s="2" t="str">
        <f>VLOOKUP(B1773,'PO with created By ASR'!A:J,7,FALSE)</f>
        <v>D - Delhi</v>
      </c>
      <c r="M1773" s="2" t="str">
        <f>VLOOKUP(B1773,'PO with created By ASR'!A:K,8,FALSE)</f>
        <v>Purchase Order-Del</v>
      </c>
      <c r="N1773" t="s">
        <v>36</v>
      </c>
      <c r="P1773" s="2">
        <v>6</v>
      </c>
    </row>
    <row r="1774" s="2" customFormat="1" spans="1:16">
      <c r="A1774" s="8"/>
      <c r="B1774" s="9" t="s">
        <v>2893</v>
      </c>
      <c r="C1774" s="10" t="s">
        <v>412</v>
      </c>
      <c r="D1774" s="11">
        <v>1</v>
      </c>
      <c r="E1774" s="12">
        <v>383</v>
      </c>
      <c r="F1774" s="13">
        <v>383</v>
      </c>
      <c r="G1774" s="2">
        <f>VLOOKUP(B1774,'PO with created By ASR'!A:C,3,FALSE)</f>
        <v>45700</v>
      </c>
      <c r="J1774" s="2" t="str">
        <f>VLOOKUP(B1774,'PO with created By ASR'!A:G,4,FALSE)</f>
        <v>Jatin Arora  -CR</v>
      </c>
      <c r="K1774" s="2" t="str">
        <f>VLOOKUP(B1774,'PO with created By ASR'!A:I,6,FALSE)</f>
        <v>10683 Jatin Arora</v>
      </c>
      <c r="L1774" s="2" t="str">
        <f>VLOOKUP(B1774,'PO with created By ASR'!A:J,7,FALSE)</f>
        <v>D - Delhi</v>
      </c>
      <c r="M1774" s="2" t="str">
        <f>VLOOKUP(B1774,'PO with created By ASR'!A:K,8,FALSE)</f>
        <v>Purchase Order-Del</v>
      </c>
      <c r="N1774" t="s">
        <v>36</v>
      </c>
      <c r="P1774" s="2">
        <v>6</v>
      </c>
    </row>
    <row r="1775" s="2" customFormat="1" spans="1:16">
      <c r="A1775" s="8"/>
      <c r="B1775" s="9" t="s">
        <v>2896</v>
      </c>
      <c r="C1775" s="10" t="s">
        <v>412</v>
      </c>
      <c r="D1775" s="11">
        <v>1</v>
      </c>
      <c r="E1775" s="12">
        <v>1880</v>
      </c>
      <c r="F1775" s="13">
        <v>1880</v>
      </c>
      <c r="G1775" s="2">
        <f>VLOOKUP(B1775,'PO with created By ASR'!A:C,3,FALSE)</f>
        <v>45700</v>
      </c>
      <c r="J1775" s="2" t="str">
        <f>VLOOKUP(B1775,'PO with created By ASR'!A:G,4,FALSE)</f>
        <v>Jatin Arora  -CR</v>
      </c>
      <c r="K1775" s="2" t="str">
        <f>VLOOKUP(B1775,'PO with created By ASR'!A:I,6,FALSE)</f>
        <v>10683 Jatin Arora</v>
      </c>
      <c r="L1775" s="2" t="str">
        <f>VLOOKUP(B1775,'PO with created By ASR'!A:J,7,FALSE)</f>
        <v>D - Delhi</v>
      </c>
      <c r="M1775" s="2" t="str">
        <f>VLOOKUP(B1775,'PO with created By ASR'!A:K,8,FALSE)</f>
        <v>Purchase Order-Del</v>
      </c>
      <c r="N1775" t="s">
        <v>36</v>
      </c>
      <c r="P1775" s="2">
        <v>6</v>
      </c>
    </row>
    <row r="1776" s="2" customFormat="1" spans="1:16">
      <c r="A1776" s="8"/>
      <c r="B1776" s="9" t="s">
        <v>2897</v>
      </c>
      <c r="C1776" s="10" t="s">
        <v>233</v>
      </c>
      <c r="D1776" s="11">
        <v>1</v>
      </c>
      <c r="E1776" s="12">
        <v>3538</v>
      </c>
      <c r="F1776" s="13">
        <v>3538</v>
      </c>
      <c r="G1776" s="2">
        <f>VLOOKUP(B1776,'PO with created By ASR'!A:C,3,FALSE)</f>
        <v>45700</v>
      </c>
      <c r="J1776" s="2" t="str">
        <f>VLOOKUP(B1776,'PO with created By ASR'!A:G,4,FALSE)</f>
        <v>Ravi Kiroula -CR</v>
      </c>
      <c r="K1776" s="2" t="e">
        <f>VLOOKUP(B1776,'PO with created By ASR'!A:I,6,FALSE)</f>
        <v>#N/A</v>
      </c>
      <c r="L1776" s="2" t="str">
        <f>VLOOKUP(B1776,'PO with created By ASR'!A:J,7,FALSE)</f>
        <v>D - Delhi</v>
      </c>
      <c r="M1776" s="2" t="str">
        <f>VLOOKUP(B1776,'PO with created By ASR'!A:K,8,FALSE)</f>
        <v>Purchase Order-Del</v>
      </c>
      <c r="N1776" t="s">
        <v>36</v>
      </c>
      <c r="P1776" s="2">
        <v>6</v>
      </c>
    </row>
    <row r="1777" s="2" customFormat="1" spans="1:16">
      <c r="A1777" s="8"/>
      <c r="B1777" s="9" t="s">
        <v>2898</v>
      </c>
      <c r="C1777" s="10" t="s">
        <v>126</v>
      </c>
      <c r="D1777" s="11">
        <v>1</v>
      </c>
      <c r="E1777" s="12">
        <v>1116</v>
      </c>
      <c r="F1777" s="13">
        <v>1116</v>
      </c>
      <c r="G1777" s="2">
        <f>VLOOKUP(B1777,'PO with created By ASR'!A:C,3,FALSE)</f>
        <v>45700</v>
      </c>
      <c r="J1777" s="2" t="str">
        <f>VLOOKUP(B1777,'PO with created By ASR'!A:G,4,FALSE)</f>
        <v>Ravi Kiroula -CR</v>
      </c>
      <c r="K1777" s="2" t="e">
        <f>VLOOKUP(B1777,'PO with created By ASR'!A:I,6,FALSE)</f>
        <v>#N/A</v>
      </c>
      <c r="L1777" s="2" t="str">
        <f>VLOOKUP(B1777,'PO with created By ASR'!A:J,7,FALSE)</f>
        <v>D - Delhi</v>
      </c>
      <c r="M1777" s="2" t="str">
        <f>VLOOKUP(B1777,'PO with created By ASR'!A:K,8,FALSE)</f>
        <v>Purchase Order-Del</v>
      </c>
      <c r="N1777" t="s">
        <v>36</v>
      </c>
      <c r="P1777" s="2">
        <v>6</v>
      </c>
    </row>
    <row r="1778" s="2" customFormat="1" spans="1:16">
      <c r="A1778" s="8"/>
      <c r="B1778" s="9" t="s">
        <v>2898</v>
      </c>
      <c r="C1778" s="10" t="s">
        <v>412</v>
      </c>
      <c r="D1778" s="11">
        <v>1</v>
      </c>
      <c r="E1778" s="12">
        <v>1982</v>
      </c>
      <c r="F1778" s="13">
        <v>1982</v>
      </c>
      <c r="G1778" s="2">
        <f>VLOOKUP(B1778,'PO with created By ASR'!A:C,3,FALSE)</f>
        <v>45700</v>
      </c>
      <c r="J1778" s="2" t="str">
        <f>VLOOKUP(B1778,'PO with created By ASR'!A:G,4,FALSE)</f>
        <v>Ravi Kiroula -CR</v>
      </c>
      <c r="K1778" s="2" t="e">
        <f>VLOOKUP(B1778,'PO with created By ASR'!A:I,6,FALSE)</f>
        <v>#N/A</v>
      </c>
      <c r="L1778" s="2" t="str">
        <f>VLOOKUP(B1778,'PO with created By ASR'!A:J,7,FALSE)</f>
        <v>D - Delhi</v>
      </c>
      <c r="M1778" s="2" t="str">
        <f>VLOOKUP(B1778,'PO with created By ASR'!A:K,8,FALSE)</f>
        <v>Purchase Order-Del</v>
      </c>
      <c r="N1778" t="s">
        <v>36</v>
      </c>
      <c r="P1778" s="2">
        <v>6</v>
      </c>
    </row>
    <row r="1779" s="2" customFormat="1" spans="1:16">
      <c r="A1779" s="8"/>
      <c r="B1779" s="9" t="s">
        <v>2899</v>
      </c>
      <c r="C1779" s="10" t="s">
        <v>126</v>
      </c>
      <c r="D1779" s="11">
        <v>1</v>
      </c>
      <c r="E1779" s="12">
        <v>14448</v>
      </c>
      <c r="F1779" s="13">
        <v>14448</v>
      </c>
      <c r="G1779" s="2">
        <f>VLOOKUP(B1779,'PO with created By ASR'!A:C,3,FALSE)</f>
        <v>45700</v>
      </c>
      <c r="J1779" s="2" t="str">
        <f>VLOOKUP(B1779,'PO with created By ASR'!A:G,4,FALSE)</f>
        <v>Jatin Arora  -CR</v>
      </c>
      <c r="K1779" s="2" t="str">
        <f>VLOOKUP(B1779,'PO with created By ASR'!A:I,6,FALSE)</f>
        <v>10683 Jatin Arora</v>
      </c>
      <c r="L1779" s="2" t="str">
        <f>VLOOKUP(B1779,'PO with created By ASR'!A:J,7,FALSE)</f>
        <v>D - Delhi</v>
      </c>
      <c r="M1779" s="2" t="str">
        <f>VLOOKUP(B1779,'PO with created By ASR'!A:K,8,FALSE)</f>
        <v>Purchase Order-Del</v>
      </c>
      <c r="N1779" t="s">
        <v>36</v>
      </c>
      <c r="P1779" s="2">
        <v>6</v>
      </c>
    </row>
    <row r="1780" s="2" customFormat="1" spans="1:16">
      <c r="A1780" s="8"/>
      <c r="B1780" s="9" t="s">
        <v>2899</v>
      </c>
      <c r="C1780" s="10" t="s">
        <v>412</v>
      </c>
      <c r="D1780" s="11">
        <v>1</v>
      </c>
      <c r="E1780" s="12">
        <v>184</v>
      </c>
      <c r="F1780" s="13">
        <v>184</v>
      </c>
      <c r="G1780" s="2">
        <f>VLOOKUP(B1780,'PO with created By ASR'!A:C,3,FALSE)</f>
        <v>45700</v>
      </c>
      <c r="J1780" s="2" t="str">
        <f>VLOOKUP(B1780,'PO with created By ASR'!A:G,4,FALSE)</f>
        <v>Jatin Arora  -CR</v>
      </c>
      <c r="K1780" s="2" t="str">
        <f>VLOOKUP(B1780,'PO with created By ASR'!A:I,6,FALSE)</f>
        <v>10683 Jatin Arora</v>
      </c>
      <c r="L1780" s="2" t="str">
        <f>VLOOKUP(B1780,'PO with created By ASR'!A:J,7,FALSE)</f>
        <v>D - Delhi</v>
      </c>
      <c r="M1780" s="2" t="str">
        <f>VLOOKUP(B1780,'PO with created By ASR'!A:K,8,FALSE)</f>
        <v>Purchase Order-Del</v>
      </c>
      <c r="N1780" t="s">
        <v>36</v>
      </c>
      <c r="P1780" s="2">
        <v>6</v>
      </c>
    </row>
    <row r="1781" s="2" customFormat="1" spans="1:16">
      <c r="A1781" s="8"/>
      <c r="B1781" s="9" t="s">
        <v>2899</v>
      </c>
      <c r="C1781" s="10" t="s">
        <v>196</v>
      </c>
      <c r="D1781" s="11">
        <v>1</v>
      </c>
      <c r="E1781" s="12">
        <v>472</v>
      </c>
      <c r="F1781" s="13">
        <v>472</v>
      </c>
      <c r="G1781" s="2">
        <f>VLOOKUP(B1781,'PO with created By ASR'!A:C,3,FALSE)</f>
        <v>45700</v>
      </c>
      <c r="J1781" s="2" t="str">
        <f>VLOOKUP(B1781,'PO with created By ASR'!A:G,4,FALSE)</f>
        <v>Jatin Arora  -CR</v>
      </c>
      <c r="K1781" s="2" t="str">
        <f>VLOOKUP(B1781,'PO with created By ASR'!A:I,6,FALSE)</f>
        <v>10683 Jatin Arora</v>
      </c>
      <c r="L1781" s="2" t="str">
        <f>VLOOKUP(B1781,'PO with created By ASR'!A:J,7,FALSE)</f>
        <v>D - Delhi</v>
      </c>
      <c r="M1781" s="2" t="str">
        <f>VLOOKUP(B1781,'PO with created By ASR'!A:K,8,FALSE)</f>
        <v>Purchase Order-Del</v>
      </c>
      <c r="N1781" t="s">
        <v>36</v>
      </c>
      <c r="P1781" s="2">
        <v>6</v>
      </c>
    </row>
    <row r="1782" s="2" customFormat="1" spans="1:16">
      <c r="A1782" s="8"/>
      <c r="B1782" s="9" t="s">
        <v>2899</v>
      </c>
      <c r="C1782" s="10" t="s">
        <v>233</v>
      </c>
      <c r="D1782" s="11">
        <v>1</v>
      </c>
      <c r="E1782" s="12">
        <v>1099</v>
      </c>
      <c r="F1782" s="13">
        <v>1099</v>
      </c>
      <c r="G1782" s="2">
        <f>VLOOKUP(B1782,'PO with created By ASR'!A:C,3,FALSE)</f>
        <v>45700</v>
      </c>
      <c r="J1782" s="2" t="str">
        <f>VLOOKUP(B1782,'PO with created By ASR'!A:G,4,FALSE)</f>
        <v>Jatin Arora  -CR</v>
      </c>
      <c r="K1782" s="2" t="str">
        <f>VLOOKUP(B1782,'PO with created By ASR'!A:I,6,FALSE)</f>
        <v>10683 Jatin Arora</v>
      </c>
      <c r="L1782" s="2" t="str">
        <f>VLOOKUP(B1782,'PO with created By ASR'!A:J,7,FALSE)</f>
        <v>D - Delhi</v>
      </c>
      <c r="M1782" s="2" t="str">
        <f>VLOOKUP(B1782,'PO with created By ASR'!A:K,8,FALSE)</f>
        <v>Purchase Order-Del</v>
      </c>
      <c r="N1782" t="s">
        <v>36</v>
      </c>
      <c r="P1782" s="2">
        <v>6</v>
      </c>
    </row>
    <row r="1783" s="2" customFormat="1" spans="1:16">
      <c r="A1783" s="8"/>
      <c r="B1783" s="9" t="s">
        <v>2900</v>
      </c>
      <c r="C1783" s="10" t="s">
        <v>126</v>
      </c>
      <c r="D1783" s="11">
        <v>1</v>
      </c>
      <c r="E1783" s="12">
        <v>2065</v>
      </c>
      <c r="F1783" s="13">
        <v>2065</v>
      </c>
      <c r="G1783" s="2">
        <f>VLOOKUP(B1783,'PO with created By ASR'!A:C,3,FALSE)</f>
        <v>45700</v>
      </c>
      <c r="J1783" s="2" t="str">
        <f>VLOOKUP(B1783,'PO with created By ASR'!A:G,4,FALSE)</f>
        <v>Sanjay Dutt Dobriyal  -CR</v>
      </c>
      <c r="K1783" s="2" t="e">
        <f>VLOOKUP(B1783,'PO with created By ASR'!A:I,6,FALSE)</f>
        <v>#N/A</v>
      </c>
      <c r="L1783" s="2" t="str">
        <f>VLOOKUP(B1783,'PO with created By ASR'!A:J,7,FALSE)</f>
        <v>D - Delhi</v>
      </c>
      <c r="M1783" s="2" t="str">
        <f>VLOOKUP(B1783,'PO with created By ASR'!A:K,8,FALSE)</f>
        <v>Purchase Order-Del</v>
      </c>
      <c r="N1783" t="s">
        <v>36</v>
      </c>
      <c r="P1783" s="2">
        <v>6</v>
      </c>
    </row>
    <row r="1784" s="2" customFormat="1" spans="1:16">
      <c r="A1784" s="8"/>
      <c r="B1784" s="9" t="s">
        <v>2900</v>
      </c>
      <c r="C1784" s="10" t="s">
        <v>412</v>
      </c>
      <c r="D1784" s="11">
        <v>1</v>
      </c>
      <c r="E1784" s="12">
        <v>3067</v>
      </c>
      <c r="F1784" s="13">
        <v>3067</v>
      </c>
      <c r="G1784" s="2">
        <f>VLOOKUP(B1784,'PO with created By ASR'!A:C,3,FALSE)</f>
        <v>45700</v>
      </c>
      <c r="J1784" s="2" t="str">
        <f>VLOOKUP(B1784,'PO with created By ASR'!A:G,4,FALSE)</f>
        <v>Sanjay Dutt Dobriyal  -CR</v>
      </c>
      <c r="K1784" s="2" t="e">
        <f>VLOOKUP(B1784,'PO with created By ASR'!A:I,6,FALSE)</f>
        <v>#N/A</v>
      </c>
      <c r="L1784" s="2" t="str">
        <f>VLOOKUP(B1784,'PO with created By ASR'!A:J,7,FALSE)</f>
        <v>D - Delhi</v>
      </c>
      <c r="M1784" s="2" t="str">
        <f>VLOOKUP(B1784,'PO with created By ASR'!A:K,8,FALSE)</f>
        <v>Purchase Order-Del</v>
      </c>
      <c r="N1784" t="s">
        <v>36</v>
      </c>
      <c r="P1784" s="2">
        <v>6</v>
      </c>
    </row>
    <row r="1785" s="2" customFormat="1" spans="1:16">
      <c r="A1785" s="8"/>
      <c r="B1785" s="9" t="s">
        <v>2902</v>
      </c>
      <c r="C1785" s="10" t="s">
        <v>126</v>
      </c>
      <c r="D1785" s="11">
        <v>1</v>
      </c>
      <c r="E1785" s="12">
        <v>390</v>
      </c>
      <c r="F1785" s="13">
        <v>390</v>
      </c>
      <c r="G1785" s="2">
        <f>VLOOKUP(B1785,'PO with created By ASR'!A:C,3,FALSE)</f>
        <v>45700</v>
      </c>
      <c r="J1785" s="2" t="str">
        <f>VLOOKUP(B1785,'PO with created By ASR'!A:G,4,FALSE)</f>
        <v>Pankaj Kumar Mishra  -CR</v>
      </c>
      <c r="K1785" s="2" t="e">
        <f>VLOOKUP(B1785,'PO with created By ASR'!A:I,6,FALSE)</f>
        <v>#N/A</v>
      </c>
      <c r="L1785" s="2" t="str">
        <f>VLOOKUP(B1785,'PO with created By ASR'!A:J,7,FALSE)</f>
        <v>D - Delhi</v>
      </c>
      <c r="M1785" s="2" t="str">
        <f>VLOOKUP(B1785,'PO with created By ASR'!A:K,8,FALSE)</f>
        <v>Purchase Order-Del</v>
      </c>
      <c r="N1785" t="s">
        <v>36</v>
      </c>
      <c r="P1785" s="2">
        <v>6</v>
      </c>
    </row>
    <row r="1786" s="2" customFormat="1" spans="1:16">
      <c r="A1786" s="8"/>
      <c r="B1786" s="9" t="s">
        <v>2903</v>
      </c>
      <c r="C1786" s="10" t="s">
        <v>1055</v>
      </c>
      <c r="D1786" s="11">
        <v>1</v>
      </c>
      <c r="E1786" s="12">
        <v>2200</v>
      </c>
      <c r="F1786" s="13">
        <v>2200</v>
      </c>
      <c r="G1786" s="2">
        <f>VLOOKUP(B1786,'PO with created By ASR'!A:C,3,FALSE)</f>
        <v>45700</v>
      </c>
      <c r="J1786" s="2" t="str">
        <f>VLOOKUP(B1786,'PO with created By ASR'!A:G,4,FALSE)</f>
        <v>Pankaj Kumar Mishra  -CR</v>
      </c>
      <c r="K1786" s="2" t="e">
        <f>VLOOKUP(B1786,'PO with created By ASR'!A:I,6,FALSE)</f>
        <v>#N/A</v>
      </c>
      <c r="L1786" s="2" t="str">
        <f>VLOOKUP(B1786,'PO with created By ASR'!A:J,7,FALSE)</f>
        <v>D - Delhi</v>
      </c>
      <c r="M1786" s="2" t="str">
        <f>VLOOKUP(B1786,'PO with created By ASR'!A:K,8,FALSE)</f>
        <v>Purchase Order-Del</v>
      </c>
      <c r="N1786" t="s">
        <v>36</v>
      </c>
      <c r="P1786" s="2">
        <v>6</v>
      </c>
    </row>
    <row r="1787" s="2" customFormat="1" spans="1:16">
      <c r="A1787" s="8"/>
      <c r="B1787" s="9" t="s">
        <v>2904</v>
      </c>
      <c r="C1787" s="10" t="s">
        <v>126</v>
      </c>
      <c r="D1787" s="11">
        <v>1</v>
      </c>
      <c r="E1787" s="12">
        <v>1070</v>
      </c>
      <c r="F1787" s="13">
        <v>1070</v>
      </c>
      <c r="G1787" s="2">
        <f>VLOOKUP(B1787,'PO with created By ASR'!A:C,3,FALSE)</f>
        <v>45700</v>
      </c>
      <c r="J1787" s="2" t="str">
        <f>VLOOKUP(B1787,'PO with created By ASR'!A:G,4,FALSE)</f>
        <v>Ravi.........-CR</v>
      </c>
      <c r="K1787" s="2" t="e">
        <f>VLOOKUP(B1787,'PO with created By ASR'!A:I,6,FALSE)</f>
        <v>#N/A</v>
      </c>
      <c r="L1787" s="2" t="str">
        <f>VLOOKUP(B1787,'PO with created By ASR'!A:J,7,FALSE)</f>
        <v>D - Delhi</v>
      </c>
      <c r="M1787" s="2" t="str">
        <f>VLOOKUP(B1787,'PO with created By ASR'!A:K,8,FALSE)</f>
        <v>Purchase Order-Del</v>
      </c>
      <c r="N1787" t="s">
        <v>36</v>
      </c>
      <c r="P1787" s="2">
        <v>6</v>
      </c>
    </row>
    <row r="1788" s="2" customFormat="1" spans="1:16">
      <c r="A1788" s="8"/>
      <c r="B1788" s="9" t="s">
        <v>2905</v>
      </c>
      <c r="C1788" s="10" t="s">
        <v>126</v>
      </c>
      <c r="D1788" s="11">
        <v>1</v>
      </c>
      <c r="E1788" s="12">
        <v>999</v>
      </c>
      <c r="F1788" s="13">
        <v>999</v>
      </c>
      <c r="G1788" s="2">
        <f>VLOOKUP(B1788,'PO with created By ASR'!A:C,3,FALSE)</f>
        <v>45700</v>
      </c>
      <c r="J1788" s="2" t="str">
        <f>VLOOKUP(B1788,'PO with created By ASR'!A:G,4,FALSE)</f>
        <v>Sushil Nain  -CR</v>
      </c>
      <c r="K1788" s="2" t="e">
        <f>VLOOKUP(B1788,'PO with created By ASR'!A:I,6,FALSE)</f>
        <v>#N/A</v>
      </c>
      <c r="L1788" s="2" t="str">
        <f>VLOOKUP(B1788,'PO with created By ASR'!A:J,7,FALSE)</f>
        <v>D - Delhi</v>
      </c>
      <c r="M1788" s="2" t="str">
        <f>VLOOKUP(B1788,'PO with created By ASR'!A:K,8,FALSE)</f>
        <v>Purchase Order-Del</v>
      </c>
      <c r="N1788" t="s">
        <v>36</v>
      </c>
      <c r="P1788" s="2">
        <v>6</v>
      </c>
    </row>
    <row r="1789" s="2" customFormat="1" spans="1:16">
      <c r="A1789" s="8"/>
      <c r="B1789" s="9" t="s">
        <v>2907</v>
      </c>
      <c r="C1789" s="10" t="s">
        <v>140</v>
      </c>
      <c r="D1789" s="11">
        <v>1</v>
      </c>
      <c r="E1789" s="12">
        <v>181800</v>
      </c>
      <c r="F1789" s="13">
        <v>181800</v>
      </c>
      <c r="G1789" s="2">
        <f>VLOOKUP(B1789,'PO with created By ASR'!A:C,3,FALSE)</f>
        <v>45700</v>
      </c>
      <c r="J1789" s="2" t="str">
        <f>VLOOKUP(B1789,'PO with created By ASR'!A:G,4,FALSE)</f>
        <v>Pavni Enterprises-Del</v>
      </c>
      <c r="K1789" s="2" t="str">
        <f>VLOOKUP(B1789,'PO with created By ASR'!A:I,6,FALSE)</f>
        <v>11122 Pavni Enterprises</v>
      </c>
      <c r="L1789" s="2" t="str">
        <f>VLOOKUP(B1789,'PO with created By ASR'!A:J,7,FALSE)</f>
        <v>D - Delhi</v>
      </c>
      <c r="M1789" s="2" t="str">
        <f>VLOOKUP(B1789,'PO with created By ASR'!A:K,8,FALSE)</f>
        <v>Purchase Order-Del</v>
      </c>
      <c r="N1789" t="s">
        <v>36</v>
      </c>
      <c r="P1789" s="2">
        <v>6</v>
      </c>
    </row>
    <row r="1790" s="2" customFormat="1" spans="1:16">
      <c r="A1790" s="8"/>
      <c r="B1790" s="9" t="s">
        <v>2908</v>
      </c>
      <c r="C1790" s="10" t="s">
        <v>837</v>
      </c>
      <c r="D1790" s="11">
        <v>1</v>
      </c>
      <c r="E1790" s="12">
        <v>2508</v>
      </c>
      <c r="F1790" s="13">
        <v>2508</v>
      </c>
      <c r="G1790" s="2">
        <f>VLOOKUP(B1790,'PO with created By ASR'!A:C,3,FALSE)</f>
        <v>45700</v>
      </c>
      <c r="J1790" s="2" t="str">
        <f>VLOOKUP(B1790,'PO with created By ASR'!A:G,4,FALSE)</f>
        <v>Jmd Enterprises-Del</v>
      </c>
      <c r="K1790" s="2" t="str">
        <f>VLOOKUP(B1790,'PO with created By ASR'!A:I,6,FALSE)</f>
        <v>12058 Jmd Enterprises</v>
      </c>
      <c r="L1790" s="2" t="str">
        <f>VLOOKUP(B1790,'PO with created By ASR'!A:J,7,FALSE)</f>
        <v>D - Delhi</v>
      </c>
      <c r="M1790" s="2" t="str">
        <f>VLOOKUP(B1790,'PO with created By ASR'!A:K,8,FALSE)</f>
        <v>Purchase Order-Del</v>
      </c>
      <c r="N1790" t="s">
        <v>36</v>
      </c>
      <c r="P1790" s="2">
        <v>6</v>
      </c>
    </row>
    <row r="1791" s="2" customFormat="1" spans="1:16">
      <c r="A1791" s="8"/>
      <c r="B1791" s="9" t="s">
        <v>2908</v>
      </c>
      <c r="C1791" s="10" t="s">
        <v>205</v>
      </c>
      <c r="D1791" s="11">
        <v>1</v>
      </c>
      <c r="E1791" s="12">
        <v>530598</v>
      </c>
      <c r="F1791" s="13">
        <v>530598</v>
      </c>
      <c r="G1791" s="2">
        <f>VLOOKUP(B1791,'PO with created By ASR'!A:C,3,FALSE)</f>
        <v>45700</v>
      </c>
      <c r="J1791" s="2" t="str">
        <f>VLOOKUP(B1791,'PO with created By ASR'!A:G,4,FALSE)</f>
        <v>Jmd Enterprises-Del</v>
      </c>
      <c r="K1791" s="2" t="str">
        <f>VLOOKUP(B1791,'PO with created By ASR'!A:I,6,FALSE)</f>
        <v>12058 Jmd Enterprises</v>
      </c>
      <c r="L1791" s="2" t="str">
        <f>VLOOKUP(B1791,'PO with created By ASR'!A:J,7,FALSE)</f>
        <v>D - Delhi</v>
      </c>
      <c r="M1791" s="2" t="str">
        <f>VLOOKUP(B1791,'PO with created By ASR'!A:K,8,FALSE)</f>
        <v>Purchase Order-Del</v>
      </c>
      <c r="N1791" t="s">
        <v>36</v>
      </c>
      <c r="P1791" s="2">
        <v>6</v>
      </c>
    </row>
    <row r="1792" s="2" customFormat="1" spans="1:16">
      <c r="A1792" s="8"/>
      <c r="B1792" s="9" t="s">
        <v>2911</v>
      </c>
      <c r="C1792" s="10" t="s">
        <v>990</v>
      </c>
      <c r="D1792" s="11">
        <v>1</v>
      </c>
      <c r="E1792" s="12">
        <v>8000</v>
      </c>
      <c r="F1792" s="13">
        <v>8000</v>
      </c>
      <c r="G1792" s="2">
        <f>VLOOKUP(B1792,'PO with created By ASR'!A:C,3,FALSE)</f>
        <v>45700</v>
      </c>
      <c r="J1792" s="2" t="str">
        <f>VLOOKUP(B1792,'PO with created By ASR'!A:G,4,FALSE)</f>
        <v>Hindustan Computer &amp; Communication Services-Mum</v>
      </c>
      <c r="K1792" s="2" t="str">
        <f>VLOOKUP(B1792,'PO with created By ASR'!A:I,6,FALSE)</f>
        <v>11987 Hindustan Computer &amp; Communication Services</v>
      </c>
      <c r="L1792" s="2" t="str">
        <f>VLOOKUP(B1792,'PO with created By ASR'!A:J,7,FALSE)</f>
        <v>A - Mumbai</v>
      </c>
      <c r="M1792" s="2" t="str">
        <f>VLOOKUP(B1792,'PO with created By ASR'!A:K,8,FALSE)</f>
        <v>Purchase Order-Mum</v>
      </c>
      <c r="N1792" t="s">
        <v>36</v>
      </c>
      <c r="P1792" s="2">
        <v>6</v>
      </c>
    </row>
    <row r="1793" s="2" customFormat="1" spans="1:16">
      <c r="A1793" s="8"/>
      <c r="B1793" s="9" t="s">
        <v>2912</v>
      </c>
      <c r="C1793" s="10" t="s">
        <v>126</v>
      </c>
      <c r="D1793" s="11">
        <v>1</v>
      </c>
      <c r="E1793" s="12">
        <v>1224</v>
      </c>
      <c r="F1793" s="13">
        <v>1224</v>
      </c>
      <c r="G1793" s="2">
        <f>VLOOKUP(B1793,'PO with created By ASR'!A:C,3,FALSE)</f>
        <v>45700</v>
      </c>
      <c r="J1793" s="2" t="str">
        <f>VLOOKUP(B1793,'PO with created By ASR'!A:G,4,FALSE)</f>
        <v>Santosh Bhogal Cash  -CR</v>
      </c>
      <c r="K1793" s="2" t="e">
        <f>VLOOKUP(B1793,'PO with created By ASR'!A:I,6,FALSE)</f>
        <v>#N/A</v>
      </c>
      <c r="L1793" s="2" t="str">
        <f>VLOOKUP(B1793,'PO with created By ASR'!A:J,7,FALSE)</f>
        <v>A - Mumbai</v>
      </c>
      <c r="M1793" s="2" t="str">
        <f>VLOOKUP(B1793,'PO with created By ASR'!A:K,8,FALSE)</f>
        <v>Purchase Order-Mum</v>
      </c>
      <c r="N1793" t="s">
        <v>36</v>
      </c>
      <c r="P1793" s="2">
        <v>6</v>
      </c>
    </row>
    <row r="1794" s="2" customFormat="1" spans="1:16">
      <c r="A1794" s="8"/>
      <c r="B1794" s="9" t="s">
        <v>2914</v>
      </c>
      <c r="C1794" s="10" t="s">
        <v>126</v>
      </c>
      <c r="D1794" s="11">
        <v>1</v>
      </c>
      <c r="E1794" s="12">
        <v>461</v>
      </c>
      <c r="F1794" s="13">
        <v>461</v>
      </c>
      <c r="G1794" s="2">
        <f>VLOOKUP(B1794,'PO with created By ASR'!A:C,3,FALSE)</f>
        <v>45700</v>
      </c>
      <c r="J1794" s="2" t="str">
        <f>VLOOKUP(B1794,'PO with created By ASR'!A:G,4,FALSE)</f>
        <v>Santosh Bhogal Cash  -CR</v>
      </c>
      <c r="K1794" s="2" t="e">
        <f>VLOOKUP(B1794,'PO with created By ASR'!A:I,6,FALSE)</f>
        <v>#N/A</v>
      </c>
      <c r="L1794" s="2" t="str">
        <f>VLOOKUP(B1794,'PO with created By ASR'!A:J,7,FALSE)</f>
        <v>A - Mumbai</v>
      </c>
      <c r="M1794" s="2" t="str">
        <f>VLOOKUP(B1794,'PO with created By ASR'!A:K,8,FALSE)</f>
        <v>Purchase Order-Mum</v>
      </c>
      <c r="N1794" t="s">
        <v>36</v>
      </c>
      <c r="P1794" s="2">
        <v>6</v>
      </c>
    </row>
    <row r="1795" s="2" customFormat="1" spans="1:16">
      <c r="A1795" s="8"/>
      <c r="B1795" s="9" t="s">
        <v>2917</v>
      </c>
      <c r="C1795" s="10" t="s">
        <v>196</v>
      </c>
      <c r="D1795" s="11">
        <v>1</v>
      </c>
      <c r="E1795" s="12">
        <v>2040</v>
      </c>
      <c r="F1795" s="13">
        <v>2040</v>
      </c>
      <c r="G1795" s="2">
        <f>VLOOKUP(B1795,'PO with created By ASR'!A:C,3,FALSE)</f>
        <v>45700</v>
      </c>
      <c r="J1795" s="2" t="str">
        <f>VLOOKUP(B1795,'PO with created By ASR'!A:G,4,FALSE)</f>
        <v>Noaman Digital Partnership Firm-Mum</v>
      </c>
      <c r="K1795" s="2" t="e">
        <f>VLOOKUP(B1795,'PO with created By ASR'!A:I,6,FALSE)</f>
        <v>#N/A</v>
      </c>
      <c r="L1795" s="2" t="str">
        <f>VLOOKUP(B1795,'PO with created By ASR'!A:J,7,FALSE)</f>
        <v>A - Mumbai</v>
      </c>
      <c r="M1795" s="2" t="str">
        <f>VLOOKUP(B1795,'PO with created By ASR'!A:K,8,FALSE)</f>
        <v>Purchase Order-Mum</v>
      </c>
      <c r="N1795" t="s">
        <v>36</v>
      </c>
      <c r="P1795" s="2">
        <v>6</v>
      </c>
    </row>
    <row r="1796" s="2" customFormat="1" spans="1:16">
      <c r="A1796" s="8"/>
      <c r="B1796" s="9" t="s">
        <v>2919</v>
      </c>
      <c r="C1796" s="10" t="s">
        <v>196</v>
      </c>
      <c r="D1796" s="11">
        <v>1</v>
      </c>
      <c r="E1796" s="12">
        <v>32635</v>
      </c>
      <c r="F1796" s="13">
        <v>32635</v>
      </c>
      <c r="G1796" s="2">
        <f>VLOOKUP(B1796,'PO with created By ASR'!A:C,3,FALSE)</f>
        <v>45700</v>
      </c>
      <c r="J1796" s="2" t="str">
        <f>VLOOKUP(B1796,'PO with created By ASR'!A:G,4,FALSE)</f>
        <v>Noaman Digital Partnership Firm-Mum</v>
      </c>
      <c r="K1796" s="2" t="e">
        <f>VLOOKUP(B1796,'PO with created By ASR'!A:I,6,FALSE)</f>
        <v>#N/A</v>
      </c>
      <c r="L1796" s="2" t="str">
        <f>VLOOKUP(B1796,'PO with created By ASR'!A:J,7,FALSE)</f>
        <v>A - Mumbai</v>
      </c>
      <c r="M1796" s="2" t="str">
        <f>VLOOKUP(B1796,'PO with created By ASR'!A:K,8,FALSE)</f>
        <v>Purchase Order-Mum</v>
      </c>
      <c r="N1796" t="s">
        <v>36</v>
      </c>
      <c r="P1796" s="2">
        <v>6</v>
      </c>
    </row>
    <row r="1797" s="2" customFormat="1" spans="1:16">
      <c r="A1797" s="8"/>
      <c r="B1797" s="9" t="s">
        <v>2920</v>
      </c>
      <c r="C1797" s="10" t="s">
        <v>256</v>
      </c>
      <c r="D1797" s="11">
        <v>1</v>
      </c>
      <c r="E1797" s="12">
        <v>75000</v>
      </c>
      <c r="F1797" s="13">
        <v>75000</v>
      </c>
      <c r="G1797" s="2">
        <f>VLOOKUP(B1797,'PO with created By ASR'!A:C,3,FALSE)</f>
        <v>45700</v>
      </c>
      <c r="J1797" s="2" t="str">
        <f>VLOOKUP(B1797,'PO with created By ASR'!A:G,4,FALSE)</f>
        <v>The Indian Performing Right Society Ltd.-Mum</v>
      </c>
      <c r="K1797" s="2" t="e">
        <f>VLOOKUP(B1797,'PO with created By ASR'!A:I,6,FALSE)</f>
        <v>#N/A</v>
      </c>
      <c r="L1797" s="2" t="str">
        <f>VLOOKUP(B1797,'PO with created By ASR'!A:J,7,FALSE)</f>
        <v>A - Mumbai</v>
      </c>
      <c r="M1797" s="2" t="str">
        <f>VLOOKUP(B1797,'PO with created By ASR'!A:K,8,FALSE)</f>
        <v>Purchase Order-Mum</v>
      </c>
      <c r="N1797" t="s">
        <v>36</v>
      </c>
      <c r="P1797" s="2">
        <v>6</v>
      </c>
    </row>
    <row r="1798" s="2" customFormat="1" spans="1:16">
      <c r="A1798" s="8"/>
      <c r="B1798" s="9" t="s">
        <v>2921</v>
      </c>
      <c r="C1798" s="10" t="s">
        <v>256</v>
      </c>
      <c r="D1798" s="11">
        <v>1</v>
      </c>
      <c r="E1798" s="12">
        <v>46249.5</v>
      </c>
      <c r="F1798" s="13">
        <v>46249.5</v>
      </c>
      <c r="G1798" s="2">
        <f>VLOOKUP(B1798,'PO with created By ASR'!A:C,3,FALSE)</f>
        <v>45700</v>
      </c>
      <c r="J1798" s="2" t="str">
        <f>VLOOKUP(B1798,'PO with created By ASR'!A:G,4,FALSE)</f>
        <v>Phonographic Performance Limited-Mum</v>
      </c>
      <c r="K1798" s="2" t="e">
        <f>VLOOKUP(B1798,'PO with created By ASR'!A:I,6,FALSE)</f>
        <v>#N/A</v>
      </c>
      <c r="L1798" s="2" t="str">
        <f>VLOOKUP(B1798,'PO with created By ASR'!A:J,7,FALSE)</f>
        <v>A - Mumbai</v>
      </c>
      <c r="M1798" s="2" t="str">
        <f>VLOOKUP(B1798,'PO with created By ASR'!A:K,8,FALSE)</f>
        <v>Purchase Order-Mum</v>
      </c>
      <c r="N1798" t="s">
        <v>36</v>
      </c>
      <c r="P1798" s="2">
        <v>6</v>
      </c>
    </row>
    <row r="1799" s="2" customFormat="1" spans="1:16">
      <c r="A1799" s="8"/>
      <c r="B1799" s="9" t="s">
        <v>2922</v>
      </c>
      <c r="C1799" s="10" t="s">
        <v>256</v>
      </c>
      <c r="D1799" s="11">
        <v>1</v>
      </c>
      <c r="E1799" s="12">
        <v>57000</v>
      </c>
      <c r="F1799" s="13">
        <v>57000</v>
      </c>
      <c r="G1799" s="2">
        <f>VLOOKUP(B1799,'PO with created By ASR'!A:C,3,FALSE)</f>
        <v>45700</v>
      </c>
      <c r="J1799" s="2" t="str">
        <f>VLOOKUP(B1799,'PO with created By ASR'!A:G,4,FALSE)</f>
        <v>Novex Communications Pvt. Ltd.-Mum</v>
      </c>
      <c r="K1799" s="2" t="e">
        <f>VLOOKUP(B1799,'PO with created By ASR'!A:I,6,FALSE)</f>
        <v>#N/A</v>
      </c>
      <c r="L1799" s="2" t="str">
        <f>VLOOKUP(B1799,'PO with created By ASR'!A:J,7,FALSE)</f>
        <v>A - Mumbai</v>
      </c>
      <c r="M1799" s="2" t="str">
        <f>VLOOKUP(B1799,'PO with created By ASR'!A:K,8,FALSE)</f>
        <v>Purchase Order-Mum</v>
      </c>
      <c r="N1799" t="s">
        <v>36</v>
      </c>
      <c r="P1799" s="2">
        <v>6</v>
      </c>
    </row>
    <row r="1800" s="2" customFormat="1" spans="1:16">
      <c r="A1800" s="8"/>
      <c r="B1800" s="9" t="s">
        <v>2923</v>
      </c>
      <c r="C1800" s="10" t="s">
        <v>256</v>
      </c>
      <c r="D1800" s="11">
        <v>1</v>
      </c>
      <c r="E1800" s="12">
        <v>75000</v>
      </c>
      <c r="F1800" s="13">
        <v>75000</v>
      </c>
      <c r="G1800" s="2">
        <f>VLOOKUP(B1800,'PO with created By ASR'!A:C,3,FALSE)</f>
        <v>45700</v>
      </c>
      <c r="J1800" s="2" t="str">
        <f>VLOOKUP(B1800,'PO with created By ASR'!A:G,4,FALSE)</f>
        <v>The Indian Performing Right Society Ltd.-Mum</v>
      </c>
      <c r="K1800" s="2" t="e">
        <f>VLOOKUP(B1800,'PO with created By ASR'!A:I,6,FALSE)</f>
        <v>#N/A</v>
      </c>
      <c r="L1800" s="2" t="str">
        <f>VLOOKUP(B1800,'PO with created By ASR'!A:J,7,FALSE)</f>
        <v>A - Mumbai</v>
      </c>
      <c r="M1800" s="2" t="str">
        <f>VLOOKUP(B1800,'PO with created By ASR'!A:K,8,FALSE)</f>
        <v>Purchase Order-Mum</v>
      </c>
      <c r="N1800" t="s">
        <v>36</v>
      </c>
      <c r="P1800" s="2">
        <v>6</v>
      </c>
    </row>
    <row r="1801" s="2" customFormat="1" spans="1:16">
      <c r="A1801" s="8"/>
      <c r="B1801" s="9" t="s">
        <v>2924</v>
      </c>
      <c r="C1801" s="10" t="s">
        <v>256</v>
      </c>
      <c r="D1801" s="11">
        <v>1</v>
      </c>
      <c r="E1801" s="12">
        <v>189162.5</v>
      </c>
      <c r="F1801" s="13">
        <v>189162.5</v>
      </c>
      <c r="G1801" s="2">
        <f>VLOOKUP(B1801,'PO with created By ASR'!A:C,3,FALSE)</f>
        <v>45700</v>
      </c>
      <c r="J1801" s="2" t="str">
        <f>VLOOKUP(B1801,'PO with created By ASR'!A:G,4,FALSE)</f>
        <v>Phonographic Performance Limited-Mum</v>
      </c>
      <c r="K1801" s="2" t="e">
        <f>VLOOKUP(B1801,'PO with created By ASR'!A:I,6,FALSE)</f>
        <v>#N/A</v>
      </c>
      <c r="L1801" s="2" t="str">
        <f>VLOOKUP(B1801,'PO with created By ASR'!A:J,7,FALSE)</f>
        <v>A - Mumbai</v>
      </c>
      <c r="M1801" s="2" t="str">
        <f>VLOOKUP(B1801,'PO with created By ASR'!A:K,8,FALSE)</f>
        <v>Purchase Order-Mum</v>
      </c>
      <c r="N1801" t="s">
        <v>36</v>
      </c>
      <c r="P1801" s="2">
        <v>6</v>
      </c>
    </row>
    <row r="1802" s="2" customFormat="1" spans="1:16">
      <c r="A1802" s="8"/>
      <c r="B1802" s="9" t="s">
        <v>2925</v>
      </c>
      <c r="C1802" s="10" t="s">
        <v>256</v>
      </c>
      <c r="D1802" s="11">
        <v>1</v>
      </c>
      <c r="E1802" s="12">
        <v>215650</v>
      </c>
      <c r="F1802" s="13">
        <v>215650</v>
      </c>
      <c r="G1802" s="2">
        <f>VLOOKUP(B1802,'PO with created By ASR'!A:C,3,FALSE)</f>
        <v>45700</v>
      </c>
      <c r="J1802" s="2" t="str">
        <f>VLOOKUP(B1802,'PO with created By ASR'!A:G,4,FALSE)</f>
        <v>Novex Communications Pvt. Ltd.-Mum</v>
      </c>
      <c r="K1802" s="2" t="e">
        <f>VLOOKUP(B1802,'PO with created By ASR'!A:I,6,FALSE)</f>
        <v>#N/A</v>
      </c>
      <c r="L1802" s="2" t="str">
        <f>VLOOKUP(B1802,'PO with created By ASR'!A:J,7,FALSE)</f>
        <v>A - Mumbai</v>
      </c>
      <c r="M1802" s="2" t="str">
        <f>VLOOKUP(B1802,'PO with created By ASR'!A:K,8,FALSE)</f>
        <v>Purchase Order-Mum</v>
      </c>
      <c r="N1802" t="s">
        <v>36</v>
      </c>
      <c r="P1802" s="2">
        <v>6</v>
      </c>
    </row>
    <row r="1803" s="2" customFormat="1" spans="1:16">
      <c r="A1803" s="8"/>
      <c r="B1803" s="9" t="s">
        <v>2926</v>
      </c>
      <c r="C1803" s="10" t="s">
        <v>317</v>
      </c>
      <c r="D1803" s="11">
        <v>1</v>
      </c>
      <c r="E1803" s="12">
        <v>100000</v>
      </c>
      <c r="F1803" s="13">
        <v>100000</v>
      </c>
      <c r="G1803" s="2">
        <f>VLOOKUP(B1803,'PO with created By ASR'!A:C,3,FALSE)</f>
        <v>45700</v>
      </c>
      <c r="J1803" s="2" t="str">
        <f>VLOOKUP(B1803,'PO with created By ASR'!A:G,4,FALSE)</f>
        <v>Success Promos &amp; Events Pvt Ltd-Mum</v>
      </c>
      <c r="K1803" s="2" t="str">
        <f>VLOOKUP(B1803,'PO with created By ASR'!A:I,6,FALSE)</f>
        <v>12469  Success Promos &amp; Events Pvt Ltd</v>
      </c>
      <c r="L1803" s="2" t="str">
        <f>VLOOKUP(B1803,'PO with created By ASR'!A:J,7,FALSE)</f>
        <v>A - Mumbai</v>
      </c>
      <c r="M1803" s="2" t="str">
        <f>VLOOKUP(B1803,'PO with created By ASR'!A:K,8,FALSE)</f>
        <v>Purchase Order-Mum</v>
      </c>
      <c r="N1803" t="s">
        <v>36</v>
      </c>
      <c r="P1803" s="2">
        <v>6</v>
      </c>
    </row>
    <row r="1804" s="2" customFormat="1" spans="1:16">
      <c r="A1804" s="8"/>
      <c r="B1804" s="9" t="s">
        <v>2927</v>
      </c>
      <c r="C1804" s="10" t="s">
        <v>1221</v>
      </c>
      <c r="D1804" s="11">
        <v>1</v>
      </c>
      <c r="E1804" s="12">
        <v>4369920</v>
      </c>
      <c r="F1804" s="13">
        <v>4369920</v>
      </c>
      <c r="G1804" s="2">
        <f>VLOOKUP(B1804,'PO with created By ASR'!A:C,3,FALSE)</f>
        <v>45700</v>
      </c>
      <c r="J1804" s="2" t="str">
        <f>VLOOKUP(B1804,'PO with created By ASR'!A:G,4,FALSE)</f>
        <v>Proelectro Ltd-Mum</v>
      </c>
      <c r="K1804" s="2" t="str">
        <f>VLOOKUP(B1804,'PO with created By ASR'!A:I,6,FALSE)</f>
        <v>12903  Proelectro Ltd</v>
      </c>
      <c r="L1804" s="2" t="str">
        <f>VLOOKUP(B1804,'PO with created By ASR'!A:J,7,FALSE)</f>
        <v>A - Mumbai</v>
      </c>
      <c r="M1804" s="2" t="str">
        <f>VLOOKUP(B1804,'PO with created By ASR'!A:K,8,FALSE)</f>
        <v>Purchase Order-Mum</v>
      </c>
      <c r="N1804" t="s">
        <v>36</v>
      </c>
      <c r="P1804" s="2">
        <v>6</v>
      </c>
    </row>
    <row r="1805" s="2" customFormat="1" spans="1:16">
      <c r="A1805" s="8"/>
      <c r="B1805" s="9" t="s">
        <v>2928</v>
      </c>
      <c r="C1805" s="10" t="s">
        <v>1221</v>
      </c>
      <c r="D1805" s="11">
        <v>1</v>
      </c>
      <c r="E1805" s="12">
        <v>583566.4</v>
      </c>
      <c r="F1805" s="13">
        <v>583566.4</v>
      </c>
      <c r="G1805" s="2">
        <f>VLOOKUP(B1805,'PO with created By ASR'!A:C,3,FALSE)</f>
        <v>45700</v>
      </c>
      <c r="J1805" s="2" t="str">
        <f>VLOOKUP(B1805,'PO with created By ASR'!A:G,4,FALSE)</f>
        <v>Proelectro Ltd-Mum</v>
      </c>
      <c r="K1805" s="2" t="str">
        <f>VLOOKUP(B1805,'PO with created By ASR'!A:I,6,FALSE)</f>
        <v>12903  Proelectro Ltd</v>
      </c>
      <c r="L1805" s="2" t="str">
        <f>VLOOKUP(B1805,'PO with created By ASR'!A:J,7,FALSE)</f>
        <v>A - Mumbai</v>
      </c>
      <c r="M1805" s="2" t="str">
        <f>VLOOKUP(B1805,'PO with created By ASR'!A:K,8,FALSE)</f>
        <v>Purchase Order-Mum</v>
      </c>
      <c r="N1805" t="s">
        <v>36</v>
      </c>
      <c r="P1805" s="2">
        <v>6</v>
      </c>
    </row>
    <row r="1806" s="2" customFormat="1" spans="1:16">
      <c r="A1806" s="8"/>
      <c r="B1806" s="9" t="s">
        <v>2929</v>
      </c>
      <c r="C1806" s="10" t="s">
        <v>151</v>
      </c>
      <c r="D1806" s="11">
        <v>1</v>
      </c>
      <c r="E1806" s="12">
        <v>749500</v>
      </c>
      <c r="F1806" s="13">
        <v>749500</v>
      </c>
      <c r="G1806" s="2">
        <f>VLOOKUP(B1806,'PO with created By ASR'!A:C,3,FALSE)</f>
        <v>45700</v>
      </c>
      <c r="J1806" s="2" t="str">
        <f>VLOOKUP(B1806,'PO with created By ASR'!A:G,4,FALSE)</f>
        <v>Fabrile Productions-Mum</v>
      </c>
      <c r="K1806" s="2" t="str">
        <f>VLOOKUP(B1806,'PO with created By ASR'!A:I,6,FALSE)</f>
        <v>11909 Fabrile Productions</v>
      </c>
      <c r="L1806" s="2" t="str">
        <f>VLOOKUP(B1806,'PO with created By ASR'!A:J,7,FALSE)</f>
        <v>A - Mumbai</v>
      </c>
      <c r="M1806" s="2" t="str">
        <f>VLOOKUP(B1806,'PO with created By ASR'!A:K,8,FALSE)</f>
        <v>Purchase Order-Mum</v>
      </c>
      <c r="N1806" t="s">
        <v>36</v>
      </c>
      <c r="P1806" s="2">
        <v>6</v>
      </c>
    </row>
    <row r="1807" s="2" customFormat="1" spans="1:16">
      <c r="A1807" s="8"/>
      <c r="B1807" s="9" t="s">
        <v>2932</v>
      </c>
      <c r="C1807" s="10" t="s">
        <v>196</v>
      </c>
      <c r="D1807" s="11">
        <v>1</v>
      </c>
      <c r="E1807" s="12">
        <v>10975</v>
      </c>
      <c r="F1807" s="13">
        <v>10975</v>
      </c>
      <c r="G1807" s="2">
        <f>VLOOKUP(B1807,'PO with created By ASR'!A:C,3,FALSE)</f>
        <v>45700</v>
      </c>
      <c r="J1807" s="2" t="str">
        <f>VLOOKUP(B1807,'PO with created By ASR'!A:G,4,FALSE)</f>
        <v>Noaman Digital Partnership Firm-Mum</v>
      </c>
      <c r="K1807" s="2" t="e">
        <f>VLOOKUP(B1807,'PO with created By ASR'!A:I,6,FALSE)</f>
        <v>#N/A</v>
      </c>
      <c r="L1807" s="2" t="str">
        <f>VLOOKUP(B1807,'PO with created By ASR'!A:J,7,FALSE)</f>
        <v>A - Mumbai</v>
      </c>
      <c r="M1807" s="2" t="str">
        <f>VLOOKUP(B1807,'PO with created By ASR'!A:K,8,FALSE)</f>
        <v>Purchase Order-Mum</v>
      </c>
      <c r="N1807" t="s">
        <v>36</v>
      </c>
      <c r="P1807" s="2">
        <v>6</v>
      </c>
    </row>
    <row r="1808" s="2" customFormat="1" spans="1:16">
      <c r="A1808" s="8"/>
      <c r="B1808" s="9" t="s">
        <v>2934</v>
      </c>
      <c r="C1808" s="10" t="s">
        <v>256</v>
      </c>
      <c r="D1808" s="11">
        <v>1</v>
      </c>
      <c r="E1808" s="12">
        <v>32000</v>
      </c>
      <c r="F1808" s="13">
        <v>32000</v>
      </c>
      <c r="G1808" s="2">
        <f>VLOOKUP(B1808,'PO with created By ASR'!A:C,3,FALSE)</f>
        <v>45700</v>
      </c>
      <c r="J1808" s="2" t="str">
        <f>VLOOKUP(B1808,'PO with created By ASR'!A:G,4,FALSE)</f>
        <v>Vista Services (Sainath Govind Shirke)-Mum</v>
      </c>
      <c r="K1808" s="2" t="str">
        <f>VLOOKUP(B1808,'PO with created By ASR'!A:I,6,FALSE)</f>
        <v>10237 Vista Services (Sainath Govind Shirke)</v>
      </c>
      <c r="L1808" s="2" t="str">
        <f>VLOOKUP(B1808,'PO with created By ASR'!A:J,7,FALSE)</f>
        <v>A - Mumbai</v>
      </c>
      <c r="M1808" s="2" t="str">
        <f>VLOOKUP(B1808,'PO with created By ASR'!A:K,8,FALSE)</f>
        <v>Purchase Order-Mum</v>
      </c>
      <c r="N1808" t="s">
        <v>36</v>
      </c>
      <c r="P1808" s="2">
        <v>6</v>
      </c>
    </row>
    <row r="1809" s="2" customFormat="1" spans="1:16">
      <c r="A1809" s="8"/>
      <c r="B1809" s="9" t="s">
        <v>2935</v>
      </c>
      <c r="C1809" s="10" t="s">
        <v>151</v>
      </c>
      <c r="D1809" s="11">
        <v>1</v>
      </c>
      <c r="E1809" s="12">
        <v>7500</v>
      </c>
      <c r="F1809" s="13">
        <v>7500</v>
      </c>
      <c r="G1809" s="2">
        <f>VLOOKUP(B1809,'PO with created By ASR'!A:C,3,FALSE)</f>
        <v>45700</v>
      </c>
      <c r="J1809" s="2" t="str">
        <f>VLOOKUP(B1809,'PO with created By ASR'!A:G,4,FALSE)</f>
        <v>Gopi Decorators-Mum</v>
      </c>
      <c r="K1809" s="2" t="str">
        <f>VLOOKUP(B1809,'PO with created By ASR'!A:I,6,FALSE)</f>
        <v>11033 Gopi Decorators</v>
      </c>
      <c r="L1809" s="2" t="str">
        <f>VLOOKUP(B1809,'PO with created By ASR'!A:J,7,FALSE)</f>
        <v>A - Mumbai</v>
      </c>
      <c r="M1809" s="2" t="str">
        <f>VLOOKUP(B1809,'PO with created By ASR'!A:K,8,FALSE)</f>
        <v>Purchase Order-Mum</v>
      </c>
      <c r="N1809" t="s">
        <v>36</v>
      </c>
      <c r="P1809" s="2">
        <v>6</v>
      </c>
    </row>
    <row r="1810" s="2" customFormat="1" spans="1:16">
      <c r="A1810" s="8"/>
      <c r="B1810" s="9" t="s">
        <v>2938</v>
      </c>
      <c r="C1810" s="10" t="s">
        <v>371</v>
      </c>
      <c r="D1810" s="11">
        <v>1</v>
      </c>
      <c r="E1810" s="12">
        <v>10000</v>
      </c>
      <c r="F1810" s="13">
        <v>10000</v>
      </c>
      <c r="G1810" s="2">
        <f>VLOOKUP(B1810,'PO with created By ASR'!A:C,3,FALSE)</f>
        <v>45700</v>
      </c>
      <c r="J1810" s="2" t="str">
        <f>VLOOKUP(B1810,'PO with created By ASR'!A:G,4,FALSE)</f>
        <v>Videowaves-Mum</v>
      </c>
      <c r="K1810" s="2" t="e">
        <f>VLOOKUP(B1810,'PO with created By ASR'!A:I,6,FALSE)</f>
        <v>#N/A</v>
      </c>
      <c r="L1810" s="2" t="str">
        <f>VLOOKUP(B1810,'PO with created By ASR'!A:J,7,FALSE)</f>
        <v>A - Mumbai</v>
      </c>
      <c r="M1810" s="2" t="str">
        <f>VLOOKUP(B1810,'PO with created By ASR'!A:K,8,FALSE)</f>
        <v>Purchase Order-Mum</v>
      </c>
      <c r="N1810" t="s">
        <v>36</v>
      </c>
      <c r="P1810" s="2">
        <v>6</v>
      </c>
    </row>
    <row r="1811" s="2" customFormat="1" spans="1:16">
      <c r="A1811" s="8"/>
      <c r="B1811" s="9" t="s">
        <v>2939</v>
      </c>
      <c r="C1811" s="10" t="s">
        <v>1221</v>
      </c>
      <c r="D1811" s="11">
        <v>1</v>
      </c>
      <c r="E1811" s="12">
        <v>81049.5</v>
      </c>
      <c r="F1811" s="13">
        <v>81049.5</v>
      </c>
      <c r="G1811" s="2">
        <f>VLOOKUP(B1811,'PO with created By ASR'!A:C,3,FALSE)</f>
        <v>45700</v>
      </c>
      <c r="J1811" s="2" t="str">
        <f>VLOOKUP(B1811,'PO with created By ASR'!A:G,4,FALSE)</f>
        <v>CV Cuan Event Indonesia-Mum</v>
      </c>
      <c r="K1811" s="2" t="str">
        <f>VLOOKUP(B1811,'PO with created By ASR'!A:I,6,FALSE)</f>
        <v>12759 CV Cuan Event Indonesia</v>
      </c>
      <c r="L1811" s="2" t="str">
        <f>VLOOKUP(B1811,'PO with created By ASR'!A:J,7,FALSE)</f>
        <v>A - Mumbai</v>
      </c>
      <c r="M1811" s="2" t="str">
        <f>VLOOKUP(B1811,'PO with created By ASR'!A:K,8,FALSE)</f>
        <v>Purchase Order-Mum</v>
      </c>
      <c r="N1811" t="s">
        <v>36</v>
      </c>
      <c r="P1811" s="2">
        <v>6</v>
      </c>
    </row>
    <row r="1812" s="2" customFormat="1" spans="1:16">
      <c r="A1812" s="8"/>
      <c r="B1812" s="9" t="s">
        <v>2942</v>
      </c>
      <c r="C1812" s="10" t="s">
        <v>250</v>
      </c>
      <c r="D1812" s="11">
        <v>1</v>
      </c>
      <c r="E1812" s="12">
        <v>22000</v>
      </c>
      <c r="F1812" s="13">
        <v>22000</v>
      </c>
      <c r="G1812" s="2">
        <f>VLOOKUP(B1812,'PO with created By ASR'!A:C,3,FALSE)</f>
        <v>45700</v>
      </c>
      <c r="J1812" s="2" t="str">
        <f>VLOOKUP(B1812,'PO with created By ASR'!A:G,4,FALSE)</f>
        <v>Mumbai Shree Garjana (Ajay Adsule)-Mum</v>
      </c>
      <c r="K1812" s="2" t="str">
        <f>VLOOKUP(B1812,'PO with created By ASR'!A:I,6,FALSE)</f>
        <v>10760 Mumbai Shree Garjana (Ajay Adsule)</v>
      </c>
      <c r="L1812" s="2" t="str">
        <f>VLOOKUP(B1812,'PO with created By ASR'!A:J,7,FALSE)</f>
        <v>A - Mumbai</v>
      </c>
      <c r="M1812" s="2" t="str">
        <f>VLOOKUP(B1812,'PO with created By ASR'!A:K,8,FALSE)</f>
        <v>Purchase Order-Mum</v>
      </c>
      <c r="N1812" t="s">
        <v>36</v>
      </c>
      <c r="P1812" s="2">
        <v>6</v>
      </c>
    </row>
    <row r="1813" s="2" customFormat="1" spans="1:16">
      <c r="A1813" s="8"/>
      <c r="B1813" s="9" t="s">
        <v>2943</v>
      </c>
      <c r="C1813" s="10" t="s">
        <v>140</v>
      </c>
      <c r="D1813" s="11">
        <v>1</v>
      </c>
      <c r="E1813" s="12">
        <v>20000</v>
      </c>
      <c r="F1813" s="13">
        <v>20000</v>
      </c>
      <c r="G1813" s="2">
        <f>VLOOKUP(B1813,'PO with created By ASR'!A:C,3,FALSE)</f>
        <v>45700</v>
      </c>
      <c r="J1813" s="2" t="str">
        <f>VLOOKUP(B1813,'PO with created By ASR'!A:G,4,FALSE)</f>
        <v>Devoba Arts Frame Makers-Mum</v>
      </c>
      <c r="K1813" s="2" t="str">
        <f>VLOOKUP(B1813,'PO with created By ASR'!A:I,6,FALSE)</f>
        <v>11206 Devoba Arts Frame Makers</v>
      </c>
      <c r="L1813" s="2" t="str">
        <f>VLOOKUP(B1813,'PO with created By ASR'!A:J,7,FALSE)</f>
        <v>A - Mumbai</v>
      </c>
      <c r="M1813" s="2" t="str">
        <f>VLOOKUP(B1813,'PO with created By ASR'!A:K,8,FALSE)</f>
        <v>Purchase Order-Mum</v>
      </c>
      <c r="N1813" t="s">
        <v>36</v>
      </c>
      <c r="P1813" s="2">
        <v>6</v>
      </c>
    </row>
    <row r="1814" s="2" customFormat="1" spans="1:16">
      <c r="A1814" s="8"/>
      <c r="B1814" s="9" t="s">
        <v>2947</v>
      </c>
      <c r="C1814" s="10" t="s">
        <v>119</v>
      </c>
      <c r="D1814" s="11">
        <v>1</v>
      </c>
      <c r="E1814" s="12">
        <v>23000</v>
      </c>
      <c r="F1814" s="13">
        <v>23000</v>
      </c>
      <c r="G1814" s="2">
        <f>VLOOKUP(B1814,'PO with created By ASR'!A:C,3,FALSE)</f>
        <v>45700</v>
      </c>
      <c r="J1814" s="2" t="str">
        <f>VLOOKUP(B1814,'PO with created By ASR'!A:G,4,FALSE)</f>
        <v>Nirav Tours &amp; Travels Pvt Ltd-Mum</v>
      </c>
      <c r="K1814" s="2" t="str">
        <f>VLOOKUP(B1814,'PO with created By ASR'!A:I,6,FALSE)</f>
        <v>10061  Nirav Tours &amp; Travels Pvt Ltd</v>
      </c>
      <c r="L1814" s="2" t="str">
        <f>VLOOKUP(B1814,'PO with created By ASR'!A:J,7,FALSE)</f>
        <v>A - Mumbai</v>
      </c>
      <c r="M1814" s="2" t="str">
        <f>VLOOKUP(B1814,'PO with created By ASR'!A:K,8,FALSE)</f>
        <v>Purchase Order-Mum</v>
      </c>
      <c r="N1814" t="s">
        <v>36</v>
      </c>
      <c r="P1814" s="2">
        <v>6</v>
      </c>
    </row>
    <row r="1815" s="2" customFormat="1" spans="1:16">
      <c r="A1815" s="8"/>
      <c r="B1815" s="9" t="s">
        <v>2947</v>
      </c>
      <c r="C1815" s="10" t="s">
        <v>676</v>
      </c>
      <c r="D1815" s="11">
        <v>1</v>
      </c>
      <c r="E1815" s="12">
        <v>575</v>
      </c>
      <c r="F1815" s="13">
        <v>575</v>
      </c>
      <c r="G1815" s="2">
        <f>VLOOKUP(B1815,'PO with created By ASR'!A:C,3,FALSE)</f>
        <v>45700</v>
      </c>
      <c r="J1815" s="2" t="str">
        <f>VLOOKUP(B1815,'PO with created By ASR'!A:G,4,FALSE)</f>
        <v>Nirav Tours &amp; Travels Pvt Ltd-Mum</v>
      </c>
      <c r="K1815" s="2" t="str">
        <f>VLOOKUP(B1815,'PO with created By ASR'!A:I,6,FALSE)</f>
        <v>10061  Nirav Tours &amp; Travels Pvt Ltd</v>
      </c>
      <c r="L1815" s="2" t="str">
        <f>VLOOKUP(B1815,'PO with created By ASR'!A:J,7,FALSE)</f>
        <v>A - Mumbai</v>
      </c>
      <c r="M1815" s="2" t="str">
        <f>VLOOKUP(B1815,'PO with created By ASR'!A:K,8,FALSE)</f>
        <v>Purchase Order-Mum</v>
      </c>
      <c r="N1815" t="s">
        <v>36</v>
      </c>
      <c r="P1815" s="2">
        <v>6</v>
      </c>
    </row>
    <row r="1816" s="2" customFormat="1" spans="1:16">
      <c r="A1816" s="8"/>
      <c r="B1816" s="9" t="s">
        <v>2947</v>
      </c>
      <c r="C1816" s="10" t="s">
        <v>4365</v>
      </c>
      <c r="D1816" s="11">
        <v>1</v>
      </c>
      <c r="E1816" s="12">
        <v>575</v>
      </c>
      <c r="F1816" s="13">
        <v>575</v>
      </c>
      <c r="G1816" s="2">
        <f>VLOOKUP(B1816,'PO with created By ASR'!A:C,3,FALSE)</f>
        <v>45700</v>
      </c>
      <c r="J1816" s="2" t="str">
        <f>VLOOKUP(B1816,'PO with created By ASR'!A:G,4,FALSE)</f>
        <v>Nirav Tours &amp; Travels Pvt Ltd-Mum</v>
      </c>
      <c r="K1816" s="2" t="str">
        <f>VLOOKUP(B1816,'PO with created By ASR'!A:I,6,FALSE)</f>
        <v>10061  Nirav Tours &amp; Travels Pvt Ltd</v>
      </c>
      <c r="L1816" s="2" t="str">
        <f>VLOOKUP(B1816,'PO with created By ASR'!A:J,7,FALSE)</f>
        <v>A - Mumbai</v>
      </c>
      <c r="M1816" s="2" t="str">
        <f>VLOOKUP(B1816,'PO with created By ASR'!A:K,8,FALSE)</f>
        <v>Purchase Order-Mum</v>
      </c>
      <c r="N1816" t="s">
        <v>36</v>
      </c>
      <c r="P1816" s="2">
        <v>6</v>
      </c>
    </row>
    <row r="1817" s="2" customFormat="1" spans="1:16">
      <c r="A1817" s="8"/>
      <c r="B1817" s="9" t="s">
        <v>2950</v>
      </c>
      <c r="C1817" s="10" t="s">
        <v>292</v>
      </c>
      <c r="D1817" s="11">
        <v>1</v>
      </c>
      <c r="E1817" s="12">
        <v>70000</v>
      </c>
      <c r="F1817" s="13">
        <v>70000</v>
      </c>
      <c r="G1817" s="2">
        <f>VLOOKUP(B1817,'PO with created By ASR'!A:C,3,FALSE)</f>
        <v>45700</v>
      </c>
      <c r="J1817" s="2" t="str">
        <f>VLOOKUP(B1817,'PO with created By ASR'!A:G,4,FALSE)</f>
        <v>Emblaze Events (Sunita Harihar Sharma)-Mum</v>
      </c>
      <c r="K1817" s="2" t="str">
        <f>VLOOKUP(B1817,'PO with created By ASR'!A:I,6,FALSE)</f>
        <v>11869 Emblaze Events (Sunita Harihar Sharma)</v>
      </c>
      <c r="L1817" s="2" t="str">
        <f>VLOOKUP(B1817,'PO with created By ASR'!A:J,7,FALSE)</f>
        <v>A - Mumbai</v>
      </c>
      <c r="M1817" s="2" t="str">
        <f>VLOOKUP(B1817,'PO with created By ASR'!A:K,8,FALSE)</f>
        <v>Purchase Order-Mum</v>
      </c>
      <c r="N1817" t="s">
        <v>36</v>
      </c>
      <c r="P1817" s="2">
        <v>6</v>
      </c>
    </row>
    <row r="1818" s="2" customFormat="1" spans="1:16">
      <c r="A1818" s="8"/>
      <c r="B1818" s="9" t="s">
        <v>2952</v>
      </c>
      <c r="C1818" s="10" t="s">
        <v>256</v>
      </c>
      <c r="D1818" s="11">
        <v>1</v>
      </c>
      <c r="E1818" s="12">
        <v>148000</v>
      </c>
      <c r="F1818" s="13">
        <v>148000</v>
      </c>
      <c r="G1818" s="2">
        <f>VLOOKUP(B1818,'PO with created By ASR'!A:C,3,FALSE)</f>
        <v>45700</v>
      </c>
      <c r="J1818" s="2" t="str">
        <f>VLOOKUP(B1818,'PO with created By ASR'!A:G,4,FALSE)</f>
        <v>Vista Services (Sainath Govind Shirke)-Mum</v>
      </c>
      <c r="K1818" s="2" t="str">
        <f>VLOOKUP(B1818,'PO with created By ASR'!A:I,6,FALSE)</f>
        <v>10237 Vista Services (Sainath Govind Shirke)</v>
      </c>
      <c r="L1818" s="2" t="str">
        <f>VLOOKUP(B1818,'PO with created By ASR'!A:J,7,FALSE)</f>
        <v>A - Mumbai</v>
      </c>
      <c r="M1818" s="2" t="str">
        <f>VLOOKUP(B1818,'PO with created By ASR'!A:K,8,FALSE)</f>
        <v>Purchase Order-Mum</v>
      </c>
      <c r="N1818" t="s">
        <v>36</v>
      </c>
      <c r="P1818" s="2">
        <v>6</v>
      </c>
    </row>
    <row r="1819" s="2" customFormat="1" spans="1:16">
      <c r="A1819" s="8"/>
      <c r="B1819" s="9" t="s">
        <v>2954</v>
      </c>
      <c r="C1819" s="10" t="s">
        <v>1221</v>
      </c>
      <c r="D1819" s="11">
        <v>1</v>
      </c>
      <c r="E1819" s="12">
        <v>2083555.7</v>
      </c>
      <c r="F1819" s="13">
        <v>2083555.7</v>
      </c>
      <c r="G1819" s="2">
        <f>VLOOKUP(B1819,'PO with created By ASR'!A:C,3,FALSE)</f>
        <v>45700</v>
      </c>
      <c r="J1819" s="2" t="str">
        <f>VLOOKUP(B1819,'PO with created By ASR'!A:G,4,FALSE)</f>
        <v>Victoria SA (ASIT Travel Agency)-Mum</v>
      </c>
      <c r="K1819" s="2" t="str">
        <f>VLOOKUP(B1819,'PO with created By ASR'!A:I,6,FALSE)</f>
        <v>12889 Victoria SA (ASIT Travel Agency)</v>
      </c>
      <c r="L1819" s="2" t="str">
        <f>VLOOKUP(B1819,'PO with created By ASR'!A:J,7,FALSE)</f>
        <v>A - Mumbai</v>
      </c>
      <c r="M1819" s="2" t="str">
        <f>VLOOKUP(B1819,'PO with created By ASR'!A:K,8,FALSE)</f>
        <v>Purchase Order-Mum</v>
      </c>
      <c r="N1819" t="s">
        <v>36</v>
      </c>
      <c r="P1819" s="2">
        <v>6</v>
      </c>
    </row>
    <row r="1820" s="2" customFormat="1" spans="1:16">
      <c r="A1820" s="8"/>
      <c r="B1820" s="9" t="s">
        <v>2955</v>
      </c>
      <c r="C1820" s="10" t="s">
        <v>371</v>
      </c>
      <c r="D1820" s="11">
        <v>1</v>
      </c>
      <c r="E1820" s="12">
        <v>10000</v>
      </c>
      <c r="F1820" s="13">
        <v>10000</v>
      </c>
      <c r="G1820" s="2">
        <f>VLOOKUP(B1820,'PO with created By ASR'!A:C,3,FALSE)</f>
        <v>45701</v>
      </c>
      <c r="J1820" s="2" t="str">
        <f>VLOOKUP(B1820,'PO with created By ASR'!A:G,4,FALSE)</f>
        <v>Mass Vision-Blr</v>
      </c>
      <c r="K1820" s="2" t="str">
        <f>VLOOKUP(B1820,'PO with created By ASR'!A:I,6,FALSE)</f>
        <v>12126 Mass Vision</v>
      </c>
      <c r="L1820" s="2" t="str">
        <f>VLOOKUP(B1820,'PO with created By ASR'!A:J,7,FALSE)</f>
        <v>B - Bangalore</v>
      </c>
      <c r="M1820" s="2" t="str">
        <f>VLOOKUP(B1820,'PO with created By ASR'!A:K,8,FALSE)</f>
        <v>Purchase Order-Blr</v>
      </c>
      <c r="N1820" t="s">
        <v>36</v>
      </c>
      <c r="P1820" s="2">
        <v>6</v>
      </c>
    </row>
    <row r="1821" s="2" customFormat="1" spans="1:16">
      <c r="A1821" s="8"/>
      <c r="B1821" s="9" t="s">
        <v>2957</v>
      </c>
      <c r="C1821" s="10" t="s">
        <v>990</v>
      </c>
      <c r="D1821" s="11">
        <v>1</v>
      </c>
      <c r="E1821" s="12">
        <v>1000</v>
      </c>
      <c r="F1821" s="13">
        <v>1000</v>
      </c>
      <c r="G1821" s="2">
        <f>VLOOKUP(B1821,'PO with created By ASR'!A:C,3,FALSE)</f>
        <v>45701</v>
      </c>
      <c r="J1821" s="2" t="str">
        <f>VLOOKUP(B1821,'PO with created By ASR'!A:G,4,FALSE)</f>
        <v>Infutech Solutions-Blr</v>
      </c>
      <c r="K1821" s="2" t="str">
        <f>VLOOKUP(B1821,'PO with created By ASR'!A:I,6,FALSE)</f>
        <v>12027 Infutech Solutions</v>
      </c>
      <c r="L1821" s="2" t="str">
        <f>VLOOKUP(B1821,'PO with created By ASR'!A:J,7,FALSE)</f>
        <v>B - Bangalore</v>
      </c>
      <c r="M1821" s="2" t="str">
        <f>VLOOKUP(B1821,'PO with created By ASR'!A:K,8,FALSE)</f>
        <v>Purchase Order-Blr</v>
      </c>
      <c r="N1821" t="s">
        <v>36</v>
      </c>
      <c r="P1821" s="2">
        <v>6</v>
      </c>
    </row>
    <row r="1822" s="2" customFormat="1" spans="1:16">
      <c r="A1822" s="8"/>
      <c r="B1822" s="9" t="s">
        <v>2958</v>
      </c>
      <c r="C1822" s="10" t="s">
        <v>140</v>
      </c>
      <c r="D1822" s="11">
        <v>1</v>
      </c>
      <c r="E1822" s="12">
        <v>296610.2</v>
      </c>
      <c r="F1822" s="13">
        <v>296610.2</v>
      </c>
      <c r="G1822" s="2">
        <f>VLOOKUP(B1822,'PO with created By ASR'!A:C,3,FALSE)</f>
        <v>45701</v>
      </c>
      <c r="J1822" s="2" t="str">
        <f>VLOOKUP(B1822,'PO with created By ASR'!A:G,4,FALSE)</f>
        <v>Felicity Detailing Studio-Blr</v>
      </c>
      <c r="K1822" s="2" t="str">
        <f>VLOOKUP(B1822,'PO with created By ASR'!A:I,6,FALSE)</f>
        <v>12943 Felicity Detailing Studio</v>
      </c>
      <c r="L1822" s="2" t="str">
        <f>VLOOKUP(B1822,'PO with created By ASR'!A:J,7,FALSE)</f>
        <v>B - Bangalore</v>
      </c>
      <c r="M1822" s="2" t="str">
        <f>VLOOKUP(B1822,'PO with created By ASR'!A:K,8,FALSE)</f>
        <v>Purchase Order-Blr</v>
      </c>
      <c r="N1822" t="s">
        <v>36</v>
      </c>
      <c r="P1822" s="2">
        <v>6</v>
      </c>
    </row>
    <row r="1823" s="2" customFormat="1" spans="1:16">
      <c r="A1823" s="8"/>
      <c r="B1823" s="9" t="s">
        <v>2961</v>
      </c>
      <c r="C1823" s="10" t="s">
        <v>292</v>
      </c>
      <c r="D1823" s="11">
        <v>1</v>
      </c>
      <c r="E1823" s="12">
        <v>7500</v>
      </c>
      <c r="F1823" s="13">
        <v>7500</v>
      </c>
      <c r="G1823" s="2">
        <f>VLOOKUP(B1823,'PO with created By ASR'!A:C,3,FALSE)</f>
        <v>45701</v>
      </c>
      <c r="J1823" s="2" t="str">
        <f>VLOOKUP(B1823,'PO with created By ASR'!A:G,4,FALSE)</f>
        <v>Abdul Rehman -CR</v>
      </c>
      <c r="K1823" s="2" t="e">
        <f>VLOOKUP(B1823,'PO with created By ASR'!A:I,6,FALSE)</f>
        <v>#N/A</v>
      </c>
      <c r="L1823" s="2" t="str">
        <f>VLOOKUP(B1823,'PO with created By ASR'!A:J,7,FALSE)</f>
        <v>B - Bangalore</v>
      </c>
      <c r="M1823" s="2" t="str">
        <f>VLOOKUP(B1823,'PO with created By ASR'!A:K,8,FALSE)</f>
        <v>Purchase Order-Blr</v>
      </c>
      <c r="N1823" t="s">
        <v>36</v>
      </c>
      <c r="P1823" s="2">
        <v>6</v>
      </c>
    </row>
    <row r="1824" s="2" customFormat="1" spans="1:16">
      <c r="A1824" s="8"/>
      <c r="B1824" s="9" t="s">
        <v>2962</v>
      </c>
      <c r="C1824" s="10" t="s">
        <v>126</v>
      </c>
      <c r="D1824" s="11">
        <v>1</v>
      </c>
      <c r="E1824" s="12">
        <v>1750</v>
      </c>
      <c r="F1824" s="13">
        <v>1750</v>
      </c>
      <c r="G1824" s="2">
        <f>VLOOKUP(B1824,'PO with created By ASR'!A:C,3,FALSE)</f>
        <v>45701</v>
      </c>
      <c r="J1824" s="2" t="str">
        <f>VLOOKUP(B1824,'PO with created By ASR'!A:G,4,FALSE)</f>
        <v>Abdul Rehman -CR</v>
      </c>
      <c r="K1824" s="2" t="e">
        <f>VLOOKUP(B1824,'PO with created By ASR'!A:I,6,FALSE)</f>
        <v>#N/A</v>
      </c>
      <c r="L1824" s="2" t="str">
        <f>VLOOKUP(B1824,'PO with created By ASR'!A:J,7,FALSE)</f>
        <v>B - Bangalore</v>
      </c>
      <c r="M1824" s="2" t="str">
        <f>VLOOKUP(B1824,'PO with created By ASR'!A:K,8,FALSE)</f>
        <v>Purchase Order-Blr</v>
      </c>
      <c r="N1824" t="s">
        <v>36</v>
      </c>
      <c r="P1824" s="2">
        <v>6</v>
      </c>
    </row>
    <row r="1825" s="2" customFormat="1" spans="1:16">
      <c r="A1825" s="8"/>
      <c r="B1825" s="9" t="s">
        <v>2962</v>
      </c>
      <c r="C1825" s="10" t="s">
        <v>196</v>
      </c>
      <c r="D1825" s="11">
        <v>1</v>
      </c>
      <c r="E1825" s="12">
        <v>2500</v>
      </c>
      <c r="F1825" s="13">
        <v>2500</v>
      </c>
      <c r="G1825" s="2">
        <f>VLOOKUP(B1825,'PO with created By ASR'!A:C,3,FALSE)</f>
        <v>45701</v>
      </c>
      <c r="J1825" s="2" t="str">
        <f>VLOOKUP(B1825,'PO with created By ASR'!A:G,4,FALSE)</f>
        <v>Abdul Rehman -CR</v>
      </c>
      <c r="K1825" s="2" t="e">
        <f>VLOOKUP(B1825,'PO with created By ASR'!A:I,6,FALSE)</f>
        <v>#N/A</v>
      </c>
      <c r="L1825" s="2" t="str">
        <f>VLOOKUP(B1825,'PO with created By ASR'!A:J,7,FALSE)</f>
        <v>B - Bangalore</v>
      </c>
      <c r="M1825" s="2" t="str">
        <f>VLOOKUP(B1825,'PO with created By ASR'!A:K,8,FALSE)</f>
        <v>Purchase Order-Blr</v>
      </c>
      <c r="N1825" t="s">
        <v>36</v>
      </c>
      <c r="P1825" s="2">
        <v>6</v>
      </c>
    </row>
    <row r="1826" s="2" customFormat="1" spans="1:16">
      <c r="A1826" s="8"/>
      <c r="B1826" s="9" t="s">
        <v>2962</v>
      </c>
      <c r="C1826" s="10" t="s">
        <v>292</v>
      </c>
      <c r="D1826" s="11">
        <v>1</v>
      </c>
      <c r="E1826" s="12">
        <v>2000</v>
      </c>
      <c r="F1826" s="13">
        <v>2000</v>
      </c>
      <c r="G1826" s="2">
        <f>VLOOKUP(B1826,'PO with created By ASR'!A:C,3,FALSE)</f>
        <v>45701</v>
      </c>
      <c r="J1826" s="2" t="str">
        <f>VLOOKUP(B1826,'PO with created By ASR'!A:G,4,FALSE)</f>
        <v>Abdul Rehman -CR</v>
      </c>
      <c r="K1826" s="2" t="e">
        <f>VLOOKUP(B1826,'PO with created By ASR'!A:I,6,FALSE)</f>
        <v>#N/A</v>
      </c>
      <c r="L1826" s="2" t="str">
        <f>VLOOKUP(B1826,'PO with created By ASR'!A:J,7,FALSE)</f>
        <v>B - Bangalore</v>
      </c>
      <c r="M1826" s="2" t="str">
        <f>VLOOKUP(B1826,'PO with created By ASR'!A:K,8,FALSE)</f>
        <v>Purchase Order-Blr</v>
      </c>
      <c r="N1826" t="s">
        <v>36</v>
      </c>
      <c r="P1826" s="2">
        <v>6</v>
      </c>
    </row>
    <row r="1827" s="2" customFormat="1" spans="1:16">
      <c r="A1827" s="8"/>
      <c r="B1827" s="9" t="s">
        <v>2963</v>
      </c>
      <c r="C1827" s="10" t="s">
        <v>233</v>
      </c>
      <c r="D1827" s="11">
        <v>1</v>
      </c>
      <c r="E1827" s="12">
        <v>175000</v>
      </c>
      <c r="F1827" s="13">
        <v>175000</v>
      </c>
      <c r="G1827" s="2">
        <f>VLOOKUP(B1827,'PO with created By ASR'!A:C,3,FALSE)</f>
        <v>45701</v>
      </c>
      <c r="J1827" s="2" t="str">
        <f>VLOOKUP(B1827,'PO with created By ASR'!A:G,4,FALSE)</f>
        <v>Ben and Flow-Blr</v>
      </c>
      <c r="K1827" s="2" t="str">
        <f>VLOOKUP(B1827,'PO with created By ASR'!A:I,6,FALSE)</f>
        <v>10125 Ben and Flow</v>
      </c>
      <c r="L1827" s="2" t="str">
        <f>VLOOKUP(B1827,'PO with created By ASR'!A:J,7,FALSE)</f>
        <v>B - Bangalore</v>
      </c>
      <c r="M1827" s="2" t="str">
        <f>VLOOKUP(B1827,'PO with created By ASR'!A:K,8,FALSE)</f>
        <v>Purchase Order-Blr</v>
      </c>
      <c r="N1827" t="s">
        <v>36</v>
      </c>
      <c r="P1827" s="2">
        <v>6</v>
      </c>
    </row>
    <row r="1828" s="2" customFormat="1" spans="1:16">
      <c r="A1828" s="8"/>
      <c r="B1828" s="9" t="s">
        <v>2968</v>
      </c>
      <c r="C1828" s="10" t="s">
        <v>126</v>
      </c>
      <c r="D1828" s="11">
        <v>1</v>
      </c>
      <c r="E1828" s="12">
        <v>1298</v>
      </c>
      <c r="F1828" s="13">
        <v>1298</v>
      </c>
      <c r="G1828" s="2">
        <f>VLOOKUP(B1828,'PO with created By ASR'!A:C,3,FALSE)</f>
        <v>45701</v>
      </c>
      <c r="J1828" s="2" t="str">
        <f>VLOOKUP(B1828,'PO with created By ASR'!A:G,4,FALSE)</f>
        <v>Mahesh D  -CR</v>
      </c>
      <c r="K1828" s="2" t="e">
        <f>VLOOKUP(B1828,'PO with created By ASR'!A:I,6,FALSE)</f>
        <v>#N/A</v>
      </c>
      <c r="L1828" s="2" t="str">
        <f>VLOOKUP(B1828,'PO with created By ASR'!A:J,7,FALSE)</f>
        <v>B - Bangalore</v>
      </c>
      <c r="M1828" s="2" t="str">
        <f>VLOOKUP(B1828,'PO with created By ASR'!A:K,8,FALSE)</f>
        <v>Purchase Order-Blr</v>
      </c>
      <c r="N1828" t="s">
        <v>36</v>
      </c>
      <c r="P1828" s="2">
        <v>6</v>
      </c>
    </row>
    <row r="1829" s="2" customFormat="1" spans="1:16">
      <c r="A1829" s="8"/>
      <c r="B1829" s="9" t="s">
        <v>2968</v>
      </c>
      <c r="C1829" s="10" t="s">
        <v>412</v>
      </c>
      <c r="D1829" s="11">
        <v>1</v>
      </c>
      <c r="E1829" s="12">
        <v>877</v>
      </c>
      <c r="F1829" s="13">
        <v>877</v>
      </c>
      <c r="G1829" s="2">
        <f>VLOOKUP(B1829,'PO with created By ASR'!A:C,3,FALSE)</f>
        <v>45701</v>
      </c>
      <c r="J1829" s="2" t="str">
        <f>VLOOKUP(B1829,'PO with created By ASR'!A:G,4,FALSE)</f>
        <v>Mahesh D  -CR</v>
      </c>
      <c r="K1829" s="2" t="e">
        <f>VLOOKUP(B1829,'PO with created By ASR'!A:I,6,FALSE)</f>
        <v>#N/A</v>
      </c>
      <c r="L1829" s="2" t="str">
        <f>VLOOKUP(B1829,'PO with created By ASR'!A:J,7,FALSE)</f>
        <v>B - Bangalore</v>
      </c>
      <c r="M1829" s="2" t="str">
        <f>VLOOKUP(B1829,'PO with created By ASR'!A:K,8,FALSE)</f>
        <v>Purchase Order-Blr</v>
      </c>
      <c r="N1829" t="s">
        <v>36</v>
      </c>
      <c r="P1829" s="2">
        <v>6</v>
      </c>
    </row>
    <row r="1830" s="2" customFormat="1" spans="1:16">
      <c r="A1830" s="8"/>
      <c r="B1830" s="9" t="s">
        <v>2968</v>
      </c>
      <c r="C1830" s="10" t="s">
        <v>196</v>
      </c>
      <c r="D1830" s="11">
        <v>1</v>
      </c>
      <c r="E1830" s="12">
        <v>226</v>
      </c>
      <c r="F1830" s="13">
        <v>226</v>
      </c>
      <c r="G1830" s="2">
        <f>VLOOKUP(B1830,'PO with created By ASR'!A:C,3,FALSE)</f>
        <v>45701</v>
      </c>
      <c r="J1830" s="2" t="str">
        <f>VLOOKUP(B1830,'PO with created By ASR'!A:G,4,FALSE)</f>
        <v>Mahesh D  -CR</v>
      </c>
      <c r="K1830" s="2" t="e">
        <f>VLOOKUP(B1830,'PO with created By ASR'!A:I,6,FALSE)</f>
        <v>#N/A</v>
      </c>
      <c r="L1830" s="2" t="str">
        <f>VLOOKUP(B1830,'PO with created By ASR'!A:J,7,FALSE)</f>
        <v>B - Bangalore</v>
      </c>
      <c r="M1830" s="2" t="str">
        <f>VLOOKUP(B1830,'PO with created By ASR'!A:K,8,FALSE)</f>
        <v>Purchase Order-Blr</v>
      </c>
      <c r="N1830" t="s">
        <v>36</v>
      </c>
      <c r="P1830" s="2">
        <v>6</v>
      </c>
    </row>
    <row r="1831" s="2" customFormat="1" spans="1:16">
      <c r="A1831" s="8"/>
      <c r="B1831" s="9" t="s">
        <v>2968</v>
      </c>
      <c r="C1831" s="10" t="s">
        <v>140</v>
      </c>
      <c r="D1831" s="11">
        <v>1</v>
      </c>
      <c r="E1831" s="12">
        <v>5856</v>
      </c>
      <c r="F1831" s="13">
        <v>5856</v>
      </c>
      <c r="G1831" s="2">
        <f>VLOOKUP(B1831,'PO with created By ASR'!A:C,3,FALSE)</f>
        <v>45701</v>
      </c>
      <c r="J1831" s="2" t="str">
        <f>VLOOKUP(B1831,'PO with created By ASR'!A:G,4,FALSE)</f>
        <v>Mahesh D  -CR</v>
      </c>
      <c r="K1831" s="2" t="e">
        <f>VLOOKUP(B1831,'PO with created By ASR'!A:I,6,FALSE)</f>
        <v>#N/A</v>
      </c>
      <c r="L1831" s="2" t="str">
        <f>VLOOKUP(B1831,'PO with created By ASR'!A:J,7,FALSE)</f>
        <v>B - Bangalore</v>
      </c>
      <c r="M1831" s="2" t="str">
        <f>VLOOKUP(B1831,'PO with created By ASR'!A:K,8,FALSE)</f>
        <v>Purchase Order-Blr</v>
      </c>
      <c r="N1831" t="s">
        <v>36</v>
      </c>
      <c r="P1831" s="2">
        <v>6</v>
      </c>
    </row>
    <row r="1832" s="2" customFormat="1" spans="1:16">
      <c r="A1832" s="8"/>
      <c r="B1832" s="9" t="s">
        <v>2968</v>
      </c>
      <c r="C1832" s="10" t="s">
        <v>1055</v>
      </c>
      <c r="D1832" s="11">
        <v>1</v>
      </c>
      <c r="E1832" s="12">
        <v>1183</v>
      </c>
      <c r="F1832" s="13">
        <v>1183</v>
      </c>
      <c r="G1832" s="2">
        <f>VLOOKUP(B1832,'PO with created By ASR'!A:C,3,FALSE)</f>
        <v>45701</v>
      </c>
      <c r="J1832" s="2" t="str">
        <f>VLOOKUP(B1832,'PO with created By ASR'!A:G,4,FALSE)</f>
        <v>Mahesh D  -CR</v>
      </c>
      <c r="K1832" s="2" t="e">
        <f>VLOOKUP(B1832,'PO with created By ASR'!A:I,6,FALSE)</f>
        <v>#N/A</v>
      </c>
      <c r="L1832" s="2" t="str">
        <f>VLOOKUP(B1832,'PO with created By ASR'!A:J,7,FALSE)</f>
        <v>B - Bangalore</v>
      </c>
      <c r="M1832" s="2" t="str">
        <f>VLOOKUP(B1832,'PO with created By ASR'!A:K,8,FALSE)</f>
        <v>Purchase Order-Blr</v>
      </c>
      <c r="N1832" t="s">
        <v>36</v>
      </c>
      <c r="P1832" s="2">
        <v>6</v>
      </c>
    </row>
    <row r="1833" s="2" customFormat="1" spans="1:16">
      <c r="A1833" s="8"/>
      <c r="B1833" s="9" t="s">
        <v>2970</v>
      </c>
      <c r="C1833" s="10" t="s">
        <v>126</v>
      </c>
      <c r="D1833" s="11">
        <v>1</v>
      </c>
      <c r="E1833" s="12">
        <v>2259</v>
      </c>
      <c r="F1833" s="13">
        <v>2259</v>
      </c>
      <c r="G1833" s="2">
        <f>VLOOKUP(B1833,'PO with created By ASR'!A:C,3,FALSE)</f>
        <v>45701</v>
      </c>
      <c r="J1833" s="2" t="str">
        <f>VLOOKUP(B1833,'PO with created By ASR'!A:G,4,FALSE)</f>
        <v>Nandini Nair -CR</v>
      </c>
      <c r="K1833" s="2" t="e">
        <f>VLOOKUP(B1833,'PO with created By ASR'!A:I,6,FALSE)</f>
        <v>#N/A</v>
      </c>
      <c r="L1833" s="2" t="str">
        <f>VLOOKUP(B1833,'PO with created By ASR'!A:J,7,FALSE)</f>
        <v>B - Bangalore</v>
      </c>
      <c r="M1833" s="2" t="str">
        <f>VLOOKUP(B1833,'PO with created By ASR'!A:K,8,FALSE)</f>
        <v>Purchase Order-Blr</v>
      </c>
      <c r="N1833" t="s">
        <v>36</v>
      </c>
      <c r="P1833" s="2">
        <v>6</v>
      </c>
    </row>
    <row r="1834" s="2" customFormat="1" spans="1:16">
      <c r="A1834" s="8"/>
      <c r="B1834" s="9" t="s">
        <v>2970</v>
      </c>
      <c r="C1834" s="10" t="s">
        <v>412</v>
      </c>
      <c r="D1834" s="11">
        <v>1</v>
      </c>
      <c r="E1834" s="12">
        <v>334</v>
      </c>
      <c r="F1834" s="13">
        <v>334</v>
      </c>
      <c r="G1834" s="2">
        <f>VLOOKUP(B1834,'PO with created By ASR'!A:C,3,FALSE)</f>
        <v>45701</v>
      </c>
      <c r="J1834" s="2" t="str">
        <f>VLOOKUP(B1834,'PO with created By ASR'!A:G,4,FALSE)</f>
        <v>Nandini Nair -CR</v>
      </c>
      <c r="K1834" s="2" t="e">
        <f>VLOOKUP(B1834,'PO with created By ASR'!A:I,6,FALSE)</f>
        <v>#N/A</v>
      </c>
      <c r="L1834" s="2" t="str">
        <f>VLOOKUP(B1834,'PO with created By ASR'!A:J,7,FALSE)</f>
        <v>B - Bangalore</v>
      </c>
      <c r="M1834" s="2" t="str">
        <f>VLOOKUP(B1834,'PO with created By ASR'!A:K,8,FALSE)</f>
        <v>Purchase Order-Blr</v>
      </c>
      <c r="N1834" t="s">
        <v>36</v>
      </c>
      <c r="P1834" s="2">
        <v>6</v>
      </c>
    </row>
    <row r="1835" s="2" customFormat="1" spans="1:16">
      <c r="A1835" s="8"/>
      <c r="B1835" s="9" t="s">
        <v>2972</v>
      </c>
      <c r="C1835" s="10" t="s">
        <v>119</v>
      </c>
      <c r="D1835" s="11">
        <v>1</v>
      </c>
      <c r="E1835" s="12">
        <v>3535</v>
      </c>
      <c r="F1835" s="13">
        <v>3535</v>
      </c>
      <c r="G1835" s="2">
        <f>VLOOKUP(B1835,'PO with created By ASR'!A:C,3,FALSE)</f>
        <v>45701</v>
      </c>
      <c r="J1835" s="2" t="str">
        <f>VLOOKUP(B1835,'PO with created By ASR'!A:G,4,FALSE)</f>
        <v>Siva Sankar Cabs-Blr</v>
      </c>
      <c r="K1835" s="2" t="str">
        <f>VLOOKUP(B1835,'PO with created By ASR'!A:I,6,FALSE)</f>
        <v>10089 Siva Sankar Cabs</v>
      </c>
      <c r="L1835" s="2" t="str">
        <f>VLOOKUP(B1835,'PO with created By ASR'!A:J,7,FALSE)</f>
        <v>B - Bangalore</v>
      </c>
      <c r="M1835" s="2" t="str">
        <f>VLOOKUP(B1835,'PO with created By ASR'!A:K,8,FALSE)</f>
        <v>Purchase Order-Blr</v>
      </c>
      <c r="N1835" t="s">
        <v>36</v>
      </c>
      <c r="P1835" s="2">
        <v>6</v>
      </c>
    </row>
    <row r="1836" s="2" customFormat="1" spans="1:16">
      <c r="A1836" s="8"/>
      <c r="B1836" s="9" t="s">
        <v>2973</v>
      </c>
      <c r="C1836" s="10" t="s">
        <v>119</v>
      </c>
      <c r="D1836" s="11">
        <v>1</v>
      </c>
      <c r="E1836" s="12">
        <v>3600</v>
      </c>
      <c r="F1836" s="13">
        <v>3600</v>
      </c>
      <c r="G1836" s="2">
        <f>VLOOKUP(B1836,'PO with created By ASR'!A:C,3,FALSE)</f>
        <v>45701</v>
      </c>
      <c r="J1836" s="2" t="str">
        <f>VLOOKUP(B1836,'PO with created By ASR'!A:G,4,FALSE)</f>
        <v>Siva Sankar Cabs-Blr</v>
      </c>
      <c r="K1836" s="2" t="str">
        <f>VLOOKUP(B1836,'PO with created By ASR'!A:I,6,FALSE)</f>
        <v>10089 Siva Sankar Cabs</v>
      </c>
      <c r="L1836" s="2" t="str">
        <f>VLOOKUP(B1836,'PO with created By ASR'!A:J,7,FALSE)</f>
        <v>B - Bangalore</v>
      </c>
      <c r="M1836" s="2" t="str">
        <f>VLOOKUP(B1836,'PO with created By ASR'!A:K,8,FALSE)</f>
        <v>Purchase Order-Blr</v>
      </c>
      <c r="N1836" t="s">
        <v>36</v>
      </c>
      <c r="P1836" s="2">
        <v>6</v>
      </c>
    </row>
    <row r="1837" s="2" customFormat="1" spans="1:16">
      <c r="A1837" s="8"/>
      <c r="B1837" s="9" t="s">
        <v>2974</v>
      </c>
      <c r="C1837" s="10" t="s">
        <v>119</v>
      </c>
      <c r="D1837" s="11">
        <v>1</v>
      </c>
      <c r="E1837" s="12">
        <v>10700</v>
      </c>
      <c r="F1837" s="13">
        <v>10700</v>
      </c>
      <c r="G1837" s="2">
        <f>VLOOKUP(B1837,'PO with created By ASR'!A:C,3,FALSE)</f>
        <v>45701</v>
      </c>
      <c r="J1837" s="2" t="str">
        <f>VLOOKUP(B1837,'PO with created By ASR'!A:G,4,FALSE)</f>
        <v>Siva Sankar Cabs-Blr</v>
      </c>
      <c r="K1837" s="2" t="str">
        <f>VLOOKUP(B1837,'PO with created By ASR'!A:I,6,FALSE)</f>
        <v>10089 Siva Sankar Cabs</v>
      </c>
      <c r="L1837" s="2" t="str">
        <f>VLOOKUP(B1837,'PO with created By ASR'!A:J,7,FALSE)</f>
        <v>B - Bangalore</v>
      </c>
      <c r="M1837" s="2" t="str">
        <f>VLOOKUP(B1837,'PO with created By ASR'!A:K,8,FALSE)</f>
        <v>Purchase Order-Blr</v>
      </c>
      <c r="N1837" t="s">
        <v>36</v>
      </c>
      <c r="P1837" s="2">
        <v>6</v>
      </c>
    </row>
    <row r="1838" s="2" customFormat="1" spans="1:16">
      <c r="A1838" s="8"/>
      <c r="B1838" s="9" t="s">
        <v>2975</v>
      </c>
      <c r="C1838" s="10" t="s">
        <v>683</v>
      </c>
      <c r="D1838" s="11">
        <v>1</v>
      </c>
      <c r="E1838" s="12">
        <v>20000</v>
      </c>
      <c r="F1838" s="13">
        <v>20000</v>
      </c>
      <c r="G1838" s="2">
        <f>VLOOKUP(B1838,'PO with created By ASR'!A:C,3,FALSE)</f>
        <v>45701</v>
      </c>
      <c r="J1838" s="2" t="str">
        <f>VLOOKUP(B1838,'PO with created By ASR'!A:G,4,FALSE)</f>
        <v>Ideation Avenue LLP-Che</v>
      </c>
      <c r="K1838" s="2" t="str">
        <f>VLOOKUP(B1838,'PO with created By ASR'!A:I,6,FALSE)</f>
        <v>12007 Ideation Avenue LLP</v>
      </c>
      <c r="L1838" s="2" t="str">
        <f>VLOOKUP(B1838,'PO with created By ASR'!A:J,7,FALSE)</f>
        <v>C - Chennai</v>
      </c>
      <c r="M1838" s="2" t="str">
        <f>VLOOKUP(B1838,'PO with created By ASR'!A:K,8,FALSE)</f>
        <v>Purchase Order-Che</v>
      </c>
      <c r="N1838" t="s">
        <v>36</v>
      </c>
      <c r="P1838" s="2">
        <v>6</v>
      </c>
    </row>
    <row r="1839" s="2" customFormat="1" spans="1:16">
      <c r="A1839" s="8"/>
      <c r="B1839" s="9" t="s">
        <v>2979</v>
      </c>
      <c r="C1839" s="10" t="s">
        <v>250</v>
      </c>
      <c r="D1839" s="11">
        <v>1</v>
      </c>
      <c r="E1839" s="12">
        <v>350000</v>
      </c>
      <c r="F1839" s="13">
        <v>350000</v>
      </c>
      <c r="G1839" s="2">
        <f>VLOOKUP(B1839,'PO with created By ASR'!A:C,3,FALSE)</f>
        <v>45701</v>
      </c>
      <c r="J1839" s="2" t="str">
        <f>VLOOKUP(B1839,'PO with created By ASR'!A:G,4,FALSE)</f>
        <v>Shakthisree Gopalan-Che</v>
      </c>
      <c r="K1839" s="2" t="str">
        <f>VLOOKUP(B1839,'PO with created By ASR'!A:I,6,FALSE)</f>
        <v>12936 Shakthisree Gopalan</v>
      </c>
      <c r="L1839" s="2" t="str">
        <f>VLOOKUP(B1839,'PO with created By ASR'!A:J,7,FALSE)</f>
        <v>C - Chennai</v>
      </c>
      <c r="M1839" s="2" t="str">
        <f>VLOOKUP(B1839,'PO with created By ASR'!A:K,8,FALSE)</f>
        <v>Purchase Order-Che</v>
      </c>
      <c r="N1839" t="s">
        <v>36</v>
      </c>
      <c r="P1839" s="2">
        <v>6</v>
      </c>
    </row>
    <row r="1840" s="2" customFormat="1" spans="1:16">
      <c r="A1840" s="8"/>
      <c r="B1840" s="9" t="s">
        <v>2983</v>
      </c>
      <c r="C1840" s="10" t="s">
        <v>94</v>
      </c>
      <c r="D1840" s="11">
        <v>1</v>
      </c>
      <c r="E1840" s="12">
        <v>614</v>
      </c>
      <c r="F1840" s="13">
        <v>614</v>
      </c>
      <c r="G1840" s="2">
        <f>VLOOKUP(B1840,'PO with created By ASR'!A:C,3,FALSE)</f>
        <v>45701</v>
      </c>
      <c r="J1840" s="2" t="str">
        <f>VLOOKUP(B1840,'PO with created By ASR'!A:G,4,FALSE)</f>
        <v>Airtel Ltd(Bill Booking)-Mum</v>
      </c>
      <c r="K1840" s="2" t="str">
        <f>VLOOKUP(B1840,'PO with created By ASR'!A:I,6,FALSE)</f>
        <v>10112  Airtel Ltd(Bill Booking)</v>
      </c>
      <c r="L1840" s="2" t="str">
        <f>VLOOKUP(B1840,'PO with created By ASR'!A:J,7,FALSE)</f>
        <v>C - Chennai</v>
      </c>
      <c r="M1840" s="2" t="str">
        <f>VLOOKUP(B1840,'PO with created By ASR'!A:K,8,FALSE)</f>
        <v>Purchase Order-Che</v>
      </c>
      <c r="N1840" t="s">
        <v>36</v>
      </c>
      <c r="P1840" s="2">
        <v>6</v>
      </c>
    </row>
    <row r="1841" s="2" customFormat="1" spans="1:16">
      <c r="A1841" s="8"/>
      <c r="B1841" s="9" t="s">
        <v>2983</v>
      </c>
      <c r="C1841" s="10" t="s">
        <v>94</v>
      </c>
      <c r="D1841" s="11">
        <v>1</v>
      </c>
      <c r="E1841" s="12">
        <v>340.49</v>
      </c>
      <c r="F1841" s="13">
        <v>340.49</v>
      </c>
      <c r="G1841" s="2">
        <f>VLOOKUP(B1841,'PO with created By ASR'!A:C,3,FALSE)</f>
        <v>45701</v>
      </c>
      <c r="J1841" s="2" t="str">
        <f>VLOOKUP(B1841,'PO with created By ASR'!A:G,4,FALSE)</f>
        <v>Airtel Ltd(Bill Booking)-Mum</v>
      </c>
      <c r="K1841" s="2" t="str">
        <f>VLOOKUP(B1841,'PO with created By ASR'!A:I,6,FALSE)</f>
        <v>10112  Airtel Ltd(Bill Booking)</v>
      </c>
      <c r="L1841" s="2" t="str">
        <f>VLOOKUP(B1841,'PO with created By ASR'!A:J,7,FALSE)</f>
        <v>C - Chennai</v>
      </c>
      <c r="M1841" s="2" t="str">
        <f>VLOOKUP(B1841,'PO with created By ASR'!A:K,8,FALSE)</f>
        <v>Purchase Order-Che</v>
      </c>
      <c r="N1841" t="s">
        <v>36</v>
      </c>
      <c r="P1841" s="2">
        <v>6</v>
      </c>
    </row>
    <row r="1842" s="2" customFormat="1" spans="1:16">
      <c r="A1842" s="8"/>
      <c r="B1842" s="9" t="s">
        <v>2984</v>
      </c>
      <c r="C1842" s="10" t="s">
        <v>371</v>
      </c>
      <c r="D1842" s="11">
        <v>1</v>
      </c>
      <c r="E1842" s="12">
        <v>30000</v>
      </c>
      <c r="F1842" s="13">
        <v>30000</v>
      </c>
      <c r="G1842" s="2">
        <f>VLOOKUP(B1842,'PO with created By ASR'!A:C,3,FALSE)</f>
        <v>45701</v>
      </c>
      <c r="J1842" s="2" t="str">
        <f>VLOOKUP(B1842,'PO with created By ASR'!A:G,4,FALSE)</f>
        <v>Pro Audio Solutions India Pvt Ltd-Che</v>
      </c>
      <c r="K1842" s="2" t="str">
        <f>VLOOKUP(B1842,'PO with created By ASR'!A:I,6,FALSE)</f>
        <v>12288  Pro Audio Solutions India Pvt Ltd</v>
      </c>
      <c r="L1842" s="2" t="str">
        <f>VLOOKUP(B1842,'PO with created By ASR'!A:J,7,FALSE)</f>
        <v>C - Chennai</v>
      </c>
      <c r="M1842" s="2" t="str">
        <f>VLOOKUP(B1842,'PO with created By ASR'!A:K,8,FALSE)</f>
        <v>Purchase Order-Che</v>
      </c>
      <c r="N1842" t="s">
        <v>36</v>
      </c>
      <c r="P1842" s="2">
        <v>6</v>
      </c>
    </row>
    <row r="1843" s="2" customFormat="1" spans="1:16">
      <c r="A1843" s="8"/>
      <c r="B1843" s="9" t="s">
        <v>2986</v>
      </c>
      <c r="C1843" s="10" t="s">
        <v>151</v>
      </c>
      <c r="D1843" s="11">
        <v>1</v>
      </c>
      <c r="E1843" s="12">
        <v>24435</v>
      </c>
      <c r="F1843" s="13">
        <v>24435</v>
      </c>
      <c r="G1843" s="2">
        <f>VLOOKUP(B1843,'PO with created By ASR'!A:C,3,FALSE)</f>
        <v>45701</v>
      </c>
      <c r="J1843" s="2" t="str">
        <f>VLOOKUP(B1843,'PO with created By ASR'!A:G,4,FALSE)</f>
        <v>Expressions Enlivened-Che</v>
      </c>
      <c r="K1843" s="2" t="str">
        <f>VLOOKUP(B1843,'PO with created By ASR'!A:I,6,FALSE)</f>
        <v>11225 Expressions Enlivened</v>
      </c>
      <c r="L1843" s="2" t="str">
        <f>VLOOKUP(B1843,'PO with created By ASR'!A:J,7,FALSE)</f>
        <v>C - Chennai</v>
      </c>
      <c r="M1843" s="2" t="str">
        <f>VLOOKUP(B1843,'PO with created By ASR'!A:K,8,FALSE)</f>
        <v>Purchase Order-Che</v>
      </c>
      <c r="N1843" t="s">
        <v>36</v>
      </c>
      <c r="P1843" s="2">
        <v>6</v>
      </c>
    </row>
    <row r="1844" s="2" customFormat="1" spans="1:16">
      <c r="A1844" s="8"/>
      <c r="B1844" s="9" t="s">
        <v>2987</v>
      </c>
      <c r="C1844" s="10" t="s">
        <v>704</v>
      </c>
      <c r="D1844" s="11">
        <v>1</v>
      </c>
      <c r="E1844" s="12">
        <v>1000</v>
      </c>
      <c r="F1844" s="13">
        <v>1000</v>
      </c>
      <c r="G1844" s="2">
        <f>VLOOKUP(B1844,'PO with created By ASR'!A:C,3,FALSE)</f>
        <v>45701</v>
      </c>
      <c r="J1844" s="2" t="str">
        <f>VLOOKUP(B1844,'PO with created By ASR'!A:G,4,FALSE)</f>
        <v>Shree Ram Computers-Del</v>
      </c>
      <c r="K1844" s="2" t="str">
        <f>VLOOKUP(B1844,'PO with created By ASR'!A:I,6,FALSE)</f>
        <v>11132 Shree Ram Computers</v>
      </c>
      <c r="L1844" s="2" t="str">
        <f>VLOOKUP(B1844,'PO with created By ASR'!A:J,7,FALSE)</f>
        <v>D - Delhi</v>
      </c>
      <c r="M1844" s="2" t="str">
        <f>VLOOKUP(B1844,'PO with created By ASR'!A:K,8,FALSE)</f>
        <v>Purchase Order-Del</v>
      </c>
      <c r="N1844" t="s">
        <v>36</v>
      </c>
      <c r="P1844" s="2">
        <v>6</v>
      </c>
    </row>
    <row r="1845" s="2" customFormat="1" spans="1:16">
      <c r="A1845" s="8"/>
      <c r="B1845" s="9" t="s">
        <v>2988</v>
      </c>
      <c r="C1845" s="10" t="s">
        <v>704</v>
      </c>
      <c r="D1845" s="11">
        <v>1</v>
      </c>
      <c r="E1845" s="12">
        <v>6610</v>
      </c>
      <c r="F1845" s="13">
        <v>6610</v>
      </c>
      <c r="G1845" s="2">
        <f>VLOOKUP(B1845,'PO with created By ASR'!A:C,3,FALSE)</f>
        <v>45701</v>
      </c>
      <c r="J1845" s="2" t="str">
        <f>VLOOKUP(B1845,'PO with created By ASR'!A:G,4,FALSE)</f>
        <v>Shree Ram Computers-Del</v>
      </c>
      <c r="K1845" s="2" t="str">
        <f>VLOOKUP(B1845,'PO with created By ASR'!A:I,6,FALSE)</f>
        <v>11132 Shree Ram Computers</v>
      </c>
      <c r="L1845" s="2" t="str">
        <f>VLOOKUP(B1845,'PO with created By ASR'!A:J,7,FALSE)</f>
        <v>D - Delhi</v>
      </c>
      <c r="M1845" s="2" t="str">
        <f>VLOOKUP(B1845,'PO with created By ASR'!A:K,8,FALSE)</f>
        <v>Purchase Order-Del</v>
      </c>
      <c r="N1845" t="s">
        <v>36</v>
      </c>
      <c r="P1845" s="2">
        <v>6</v>
      </c>
    </row>
    <row r="1846" s="2" customFormat="1" spans="1:16">
      <c r="A1846" s="8"/>
      <c r="B1846" s="9" t="s">
        <v>2989</v>
      </c>
      <c r="C1846" s="10" t="s">
        <v>126</v>
      </c>
      <c r="D1846" s="11">
        <v>1</v>
      </c>
      <c r="E1846" s="12">
        <v>343</v>
      </c>
      <c r="F1846" s="13">
        <v>343</v>
      </c>
      <c r="G1846" s="2">
        <f>VLOOKUP(B1846,'PO with created By ASR'!A:C,3,FALSE)</f>
        <v>45701</v>
      </c>
      <c r="J1846" s="2" t="str">
        <f>VLOOKUP(B1846,'PO with created By ASR'!A:G,4,FALSE)</f>
        <v>Sushil Nain  -CR</v>
      </c>
      <c r="K1846" s="2" t="e">
        <f>VLOOKUP(B1846,'PO with created By ASR'!A:I,6,FALSE)</f>
        <v>#N/A</v>
      </c>
      <c r="L1846" s="2" t="str">
        <f>VLOOKUP(B1846,'PO with created By ASR'!A:J,7,FALSE)</f>
        <v>D - Delhi</v>
      </c>
      <c r="M1846" s="2" t="str">
        <f>VLOOKUP(B1846,'PO with created By ASR'!A:K,8,FALSE)</f>
        <v>Purchase Order-Del</v>
      </c>
      <c r="N1846" t="s">
        <v>36</v>
      </c>
      <c r="P1846" s="2">
        <v>6</v>
      </c>
    </row>
    <row r="1847" s="2" customFormat="1" spans="1:16">
      <c r="A1847" s="8"/>
      <c r="B1847" s="9" t="s">
        <v>2990</v>
      </c>
      <c r="C1847" s="10" t="s">
        <v>126</v>
      </c>
      <c r="D1847" s="11">
        <v>1</v>
      </c>
      <c r="E1847" s="12">
        <v>708</v>
      </c>
      <c r="F1847" s="13">
        <v>708</v>
      </c>
      <c r="G1847" s="2">
        <f>VLOOKUP(B1847,'PO with created By ASR'!A:C,3,FALSE)</f>
        <v>45701</v>
      </c>
      <c r="J1847" s="2" t="str">
        <f>VLOOKUP(B1847,'PO with created By ASR'!A:G,4,FALSE)</f>
        <v>Pankaj Kumar Mishra  -CR</v>
      </c>
      <c r="K1847" s="2" t="e">
        <f>VLOOKUP(B1847,'PO with created By ASR'!A:I,6,FALSE)</f>
        <v>#N/A</v>
      </c>
      <c r="L1847" s="2" t="str">
        <f>VLOOKUP(B1847,'PO with created By ASR'!A:J,7,FALSE)</f>
        <v>D - Delhi</v>
      </c>
      <c r="M1847" s="2" t="str">
        <f>VLOOKUP(B1847,'PO with created By ASR'!A:K,8,FALSE)</f>
        <v>Purchase Order-Del</v>
      </c>
      <c r="N1847" t="s">
        <v>36</v>
      </c>
      <c r="P1847" s="2">
        <v>6</v>
      </c>
    </row>
    <row r="1848" s="2" customFormat="1" spans="1:16">
      <c r="A1848" s="8"/>
      <c r="B1848" s="9" t="s">
        <v>2990</v>
      </c>
      <c r="C1848" s="10" t="s">
        <v>233</v>
      </c>
      <c r="D1848" s="11">
        <v>1</v>
      </c>
      <c r="E1848" s="12">
        <v>5990</v>
      </c>
      <c r="F1848" s="13">
        <v>5990</v>
      </c>
      <c r="G1848" s="2">
        <f>VLOOKUP(B1848,'PO with created By ASR'!A:C,3,FALSE)</f>
        <v>45701</v>
      </c>
      <c r="J1848" s="2" t="str">
        <f>VLOOKUP(B1848,'PO with created By ASR'!A:G,4,FALSE)</f>
        <v>Pankaj Kumar Mishra  -CR</v>
      </c>
      <c r="K1848" s="2" t="e">
        <f>VLOOKUP(B1848,'PO with created By ASR'!A:I,6,FALSE)</f>
        <v>#N/A</v>
      </c>
      <c r="L1848" s="2" t="str">
        <f>VLOOKUP(B1848,'PO with created By ASR'!A:J,7,FALSE)</f>
        <v>D - Delhi</v>
      </c>
      <c r="M1848" s="2" t="str">
        <f>VLOOKUP(B1848,'PO with created By ASR'!A:K,8,FALSE)</f>
        <v>Purchase Order-Del</v>
      </c>
      <c r="N1848" t="s">
        <v>36</v>
      </c>
      <c r="P1848" s="2">
        <v>6</v>
      </c>
    </row>
    <row r="1849" s="2" customFormat="1" spans="1:16">
      <c r="A1849" s="8"/>
      <c r="B1849" s="9" t="s">
        <v>2991</v>
      </c>
      <c r="C1849" s="10" t="s">
        <v>233</v>
      </c>
      <c r="D1849" s="11">
        <v>1</v>
      </c>
      <c r="E1849" s="12">
        <v>3598</v>
      </c>
      <c r="F1849" s="13">
        <v>3598</v>
      </c>
      <c r="G1849" s="2">
        <f>VLOOKUP(B1849,'PO with created By ASR'!A:C,3,FALSE)</f>
        <v>45701</v>
      </c>
      <c r="J1849" s="2" t="str">
        <f>VLOOKUP(B1849,'PO with created By ASR'!A:G,4,FALSE)</f>
        <v>Amarpreet Singh........... -CR</v>
      </c>
      <c r="K1849" s="2" t="e">
        <f>VLOOKUP(B1849,'PO with created By ASR'!A:I,6,FALSE)</f>
        <v>#N/A</v>
      </c>
      <c r="L1849" s="2" t="str">
        <f>VLOOKUP(B1849,'PO with created By ASR'!A:J,7,FALSE)</f>
        <v>D - Delhi</v>
      </c>
      <c r="M1849" s="2" t="str">
        <f>VLOOKUP(B1849,'PO with created By ASR'!A:K,8,FALSE)</f>
        <v>Purchase Order-Del</v>
      </c>
      <c r="N1849" t="s">
        <v>36</v>
      </c>
      <c r="P1849" s="2">
        <v>6</v>
      </c>
    </row>
    <row r="1850" s="2" customFormat="1" spans="1:16">
      <c r="A1850" s="8"/>
      <c r="B1850" s="9" t="s">
        <v>2992</v>
      </c>
      <c r="C1850" s="10" t="s">
        <v>126</v>
      </c>
      <c r="D1850" s="11">
        <v>1</v>
      </c>
      <c r="E1850" s="12">
        <v>1020</v>
      </c>
      <c r="F1850" s="13">
        <v>1020</v>
      </c>
      <c r="G1850" s="2">
        <f>VLOOKUP(B1850,'PO with created By ASR'!A:C,3,FALSE)</f>
        <v>45701</v>
      </c>
      <c r="J1850" s="2" t="str">
        <f>VLOOKUP(B1850,'PO with created By ASR'!A:G,4,FALSE)</f>
        <v>Sushil Nain  -CR</v>
      </c>
      <c r="K1850" s="2" t="e">
        <f>VLOOKUP(B1850,'PO with created By ASR'!A:I,6,FALSE)</f>
        <v>#N/A</v>
      </c>
      <c r="L1850" s="2" t="str">
        <f>VLOOKUP(B1850,'PO with created By ASR'!A:J,7,FALSE)</f>
        <v>D - Delhi</v>
      </c>
      <c r="M1850" s="2" t="str">
        <f>VLOOKUP(B1850,'PO with created By ASR'!A:K,8,FALSE)</f>
        <v>Purchase Order-Del</v>
      </c>
      <c r="N1850" t="s">
        <v>36</v>
      </c>
      <c r="P1850" s="2">
        <v>6</v>
      </c>
    </row>
    <row r="1851" s="2" customFormat="1" spans="1:16">
      <c r="A1851" s="8"/>
      <c r="B1851" s="9" t="s">
        <v>2992</v>
      </c>
      <c r="C1851" s="10" t="s">
        <v>412</v>
      </c>
      <c r="D1851" s="11">
        <v>1</v>
      </c>
      <c r="E1851" s="12">
        <v>479</v>
      </c>
      <c r="F1851" s="13">
        <v>479</v>
      </c>
      <c r="G1851" s="2">
        <f>VLOOKUP(B1851,'PO with created By ASR'!A:C,3,FALSE)</f>
        <v>45701</v>
      </c>
      <c r="J1851" s="2" t="str">
        <f>VLOOKUP(B1851,'PO with created By ASR'!A:G,4,FALSE)</f>
        <v>Sushil Nain  -CR</v>
      </c>
      <c r="K1851" s="2" t="e">
        <f>VLOOKUP(B1851,'PO with created By ASR'!A:I,6,FALSE)</f>
        <v>#N/A</v>
      </c>
      <c r="L1851" s="2" t="str">
        <f>VLOOKUP(B1851,'PO with created By ASR'!A:J,7,FALSE)</f>
        <v>D - Delhi</v>
      </c>
      <c r="M1851" s="2" t="str">
        <f>VLOOKUP(B1851,'PO with created By ASR'!A:K,8,FALSE)</f>
        <v>Purchase Order-Del</v>
      </c>
      <c r="N1851" t="s">
        <v>36</v>
      </c>
      <c r="P1851" s="2">
        <v>6</v>
      </c>
    </row>
    <row r="1852" s="2" customFormat="1" spans="1:16">
      <c r="A1852" s="8"/>
      <c r="B1852" s="9" t="s">
        <v>2992</v>
      </c>
      <c r="C1852" s="10" t="s">
        <v>233</v>
      </c>
      <c r="D1852" s="11">
        <v>1</v>
      </c>
      <c r="E1852" s="12">
        <v>899</v>
      </c>
      <c r="F1852" s="13">
        <v>899</v>
      </c>
      <c r="G1852" s="2">
        <f>VLOOKUP(B1852,'PO with created By ASR'!A:C,3,FALSE)</f>
        <v>45701</v>
      </c>
      <c r="J1852" s="2" t="str">
        <f>VLOOKUP(B1852,'PO with created By ASR'!A:G,4,FALSE)</f>
        <v>Sushil Nain  -CR</v>
      </c>
      <c r="K1852" s="2" t="e">
        <f>VLOOKUP(B1852,'PO with created By ASR'!A:I,6,FALSE)</f>
        <v>#N/A</v>
      </c>
      <c r="L1852" s="2" t="str">
        <f>VLOOKUP(B1852,'PO with created By ASR'!A:J,7,FALSE)</f>
        <v>D - Delhi</v>
      </c>
      <c r="M1852" s="2" t="str">
        <f>VLOOKUP(B1852,'PO with created By ASR'!A:K,8,FALSE)</f>
        <v>Purchase Order-Del</v>
      </c>
      <c r="N1852" t="s">
        <v>36</v>
      </c>
      <c r="P1852" s="2">
        <v>6</v>
      </c>
    </row>
    <row r="1853" s="2" customFormat="1" spans="1:16">
      <c r="A1853" s="8"/>
      <c r="B1853" s="9" t="s">
        <v>2993</v>
      </c>
      <c r="C1853" s="10" t="s">
        <v>126</v>
      </c>
      <c r="D1853" s="11">
        <v>1</v>
      </c>
      <c r="E1853" s="12">
        <v>19742</v>
      </c>
      <c r="F1853" s="13">
        <v>19742</v>
      </c>
      <c r="G1853" s="2">
        <f>VLOOKUP(B1853,'PO with created By ASR'!A:C,3,FALSE)</f>
        <v>45701</v>
      </c>
      <c r="J1853" s="2" t="str">
        <f>VLOOKUP(B1853,'PO with created By ASR'!A:G,4,FALSE)</f>
        <v>Sachin Vaid  -CR</v>
      </c>
      <c r="K1853" s="2" t="str">
        <f>VLOOKUP(B1853,'PO with created By ASR'!A:I,6,FALSE)</f>
        <v>12718 Sachin Vaid</v>
      </c>
      <c r="L1853" s="2" t="str">
        <f>VLOOKUP(B1853,'PO with created By ASR'!A:J,7,FALSE)</f>
        <v>D - Delhi</v>
      </c>
      <c r="M1853" s="2" t="str">
        <f>VLOOKUP(B1853,'PO with created By ASR'!A:K,8,FALSE)</f>
        <v>Purchase Order-Del</v>
      </c>
      <c r="N1853" t="s">
        <v>36</v>
      </c>
      <c r="P1853" s="2">
        <v>6</v>
      </c>
    </row>
    <row r="1854" s="2" customFormat="1" spans="1:16">
      <c r="A1854" s="8"/>
      <c r="B1854" s="9" t="s">
        <v>2993</v>
      </c>
      <c r="C1854" s="10" t="s">
        <v>412</v>
      </c>
      <c r="D1854" s="11">
        <v>1</v>
      </c>
      <c r="E1854" s="12">
        <v>1805</v>
      </c>
      <c r="F1854" s="13">
        <v>1805</v>
      </c>
      <c r="G1854" s="2">
        <f>VLOOKUP(B1854,'PO with created By ASR'!A:C,3,FALSE)</f>
        <v>45701</v>
      </c>
      <c r="J1854" s="2" t="str">
        <f>VLOOKUP(B1854,'PO with created By ASR'!A:G,4,FALSE)</f>
        <v>Sachin Vaid  -CR</v>
      </c>
      <c r="K1854" s="2" t="str">
        <f>VLOOKUP(B1854,'PO with created By ASR'!A:I,6,FALSE)</f>
        <v>12718 Sachin Vaid</v>
      </c>
      <c r="L1854" s="2" t="str">
        <f>VLOOKUP(B1854,'PO with created By ASR'!A:J,7,FALSE)</f>
        <v>D - Delhi</v>
      </c>
      <c r="M1854" s="2" t="str">
        <f>VLOOKUP(B1854,'PO with created By ASR'!A:K,8,FALSE)</f>
        <v>Purchase Order-Del</v>
      </c>
      <c r="N1854" t="s">
        <v>36</v>
      </c>
      <c r="P1854" s="2">
        <v>6</v>
      </c>
    </row>
    <row r="1855" s="2" customFormat="1" spans="1:16">
      <c r="A1855" s="8"/>
      <c r="B1855" s="9" t="s">
        <v>2994</v>
      </c>
      <c r="C1855" s="10" t="s">
        <v>126</v>
      </c>
      <c r="D1855" s="11">
        <v>1</v>
      </c>
      <c r="E1855" s="12">
        <v>584</v>
      </c>
      <c r="F1855" s="13">
        <v>584</v>
      </c>
      <c r="G1855" s="2">
        <f>VLOOKUP(B1855,'PO with created By ASR'!A:C,3,FALSE)</f>
        <v>45701</v>
      </c>
      <c r="J1855" s="2" t="str">
        <f>VLOOKUP(B1855,'PO with created By ASR'!A:G,4,FALSE)</f>
        <v>Kunwar Singh Chauhan  -CR</v>
      </c>
      <c r="K1855" s="2" t="e">
        <f>VLOOKUP(B1855,'PO with created By ASR'!A:I,6,FALSE)</f>
        <v>#N/A</v>
      </c>
      <c r="L1855" s="2" t="str">
        <f>VLOOKUP(B1855,'PO with created By ASR'!A:J,7,FALSE)</f>
        <v>D - Delhi</v>
      </c>
      <c r="M1855" s="2" t="str">
        <f>VLOOKUP(B1855,'PO with created By ASR'!A:K,8,FALSE)</f>
        <v>Purchase Order-Del</v>
      </c>
      <c r="N1855" t="s">
        <v>36</v>
      </c>
      <c r="P1855" s="2">
        <v>6</v>
      </c>
    </row>
    <row r="1856" s="2" customFormat="1" spans="1:16">
      <c r="A1856" s="8"/>
      <c r="B1856" s="9" t="s">
        <v>2995</v>
      </c>
      <c r="C1856" s="10" t="s">
        <v>126</v>
      </c>
      <c r="D1856" s="11">
        <v>1</v>
      </c>
      <c r="E1856" s="12">
        <v>3212</v>
      </c>
      <c r="F1856" s="13">
        <v>3212</v>
      </c>
      <c r="G1856" s="2">
        <f>VLOOKUP(B1856,'PO with created By ASR'!A:C,3,FALSE)</f>
        <v>45701</v>
      </c>
      <c r="J1856" s="2" t="str">
        <f>VLOOKUP(B1856,'PO with created By ASR'!A:G,4,FALSE)</f>
        <v>Garv Aggarwal  -CR</v>
      </c>
      <c r="K1856" s="2" t="e">
        <f>VLOOKUP(B1856,'PO with created By ASR'!A:I,6,FALSE)</f>
        <v>#N/A</v>
      </c>
      <c r="L1856" s="2" t="str">
        <f>VLOOKUP(B1856,'PO with created By ASR'!A:J,7,FALSE)</f>
        <v>D - Delhi</v>
      </c>
      <c r="M1856" s="2" t="str">
        <f>VLOOKUP(B1856,'PO with created By ASR'!A:K,8,FALSE)</f>
        <v>Purchase Order-Del</v>
      </c>
      <c r="N1856" t="s">
        <v>36</v>
      </c>
      <c r="P1856" s="2">
        <v>6</v>
      </c>
    </row>
    <row r="1857" s="2" customFormat="1" spans="1:16">
      <c r="A1857" s="8"/>
      <c r="B1857" s="9" t="s">
        <v>2995</v>
      </c>
      <c r="C1857" s="10" t="s">
        <v>412</v>
      </c>
      <c r="D1857" s="11">
        <v>1</v>
      </c>
      <c r="E1857" s="12">
        <v>7653</v>
      </c>
      <c r="F1857" s="13">
        <v>7653</v>
      </c>
      <c r="G1857" s="2">
        <f>VLOOKUP(B1857,'PO with created By ASR'!A:C,3,FALSE)</f>
        <v>45701</v>
      </c>
      <c r="J1857" s="2" t="str">
        <f>VLOOKUP(B1857,'PO with created By ASR'!A:G,4,FALSE)</f>
        <v>Garv Aggarwal  -CR</v>
      </c>
      <c r="K1857" s="2" t="e">
        <f>VLOOKUP(B1857,'PO with created By ASR'!A:I,6,FALSE)</f>
        <v>#N/A</v>
      </c>
      <c r="L1857" s="2" t="str">
        <f>VLOOKUP(B1857,'PO with created By ASR'!A:J,7,FALSE)</f>
        <v>D - Delhi</v>
      </c>
      <c r="M1857" s="2" t="str">
        <f>VLOOKUP(B1857,'PO with created By ASR'!A:K,8,FALSE)</f>
        <v>Purchase Order-Del</v>
      </c>
      <c r="N1857" t="s">
        <v>36</v>
      </c>
      <c r="P1857" s="2">
        <v>6</v>
      </c>
    </row>
    <row r="1858" s="2" customFormat="1" spans="1:16">
      <c r="A1858" s="8"/>
      <c r="B1858" s="9" t="s">
        <v>2997</v>
      </c>
      <c r="C1858" s="10" t="s">
        <v>126</v>
      </c>
      <c r="D1858" s="11">
        <v>1</v>
      </c>
      <c r="E1858" s="12">
        <v>1985</v>
      </c>
      <c r="F1858" s="13">
        <v>1985</v>
      </c>
      <c r="G1858" s="2">
        <f>VLOOKUP(B1858,'PO with created By ASR'!A:C,3,FALSE)</f>
        <v>45701</v>
      </c>
      <c r="J1858" s="2" t="str">
        <f>VLOOKUP(B1858,'PO with created By ASR'!A:G,4,FALSE)</f>
        <v>Garv Aggarwal  -CR</v>
      </c>
      <c r="K1858" s="2" t="e">
        <f>VLOOKUP(B1858,'PO with created By ASR'!A:I,6,FALSE)</f>
        <v>#N/A</v>
      </c>
      <c r="L1858" s="2" t="str">
        <f>VLOOKUP(B1858,'PO with created By ASR'!A:J,7,FALSE)</f>
        <v>D - Delhi</v>
      </c>
      <c r="M1858" s="2" t="str">
        <f>VLOOKUP(B1858,'PO with created By ASR'!A:K,8,FALSE)</f>
        <v>Purchase Order-Del</v>
      </c>
      <c r="N1858" t="s">
        <v>36</v>
      </c>
      <c r="P1858" s="2">
        <v>6</v>
      </c>
    </row>
    <row r="1859" s="2" customFormat="1" spans="1:16">
      <c r="A1859" s="8"/>
      <c r="B1859" s="9" t="s">
        <v>2997</v>
      </c>
      <c r="C1859" s="10" t="s">
        <v>412</v>
      </c>
      <c r="D1859" s="11">
        <v>1</v>
      </c>
      <c r="E1859" s="12">
        <v>2719</v>
      </c>
      <c r="F1859" s="13">
        <v>2719</v>
      </c>
      <c r="G1859" s="2">
        <f>VLOOKUP(B1859,'PO with created By ASR'!A:C,3,FALSE)</f>
        <v>45701</v>
      </c>
      <c r="J1859" s="2" t="str">
        <f>VLOOKUP(B1859,'PO with created By ASR'!A:G,4,FALSE)</f>
        <v>Garv Aggarwal  -CR</v>
      </c>
      <c r="K1859" s="2" t="e">
        <f>VLOOKUP(B1859,'PO with created By ASR'!A:I,6,FALSE)</f>
        <v>#N/A</v>
      </c>
      <c r="L1859" s="2" t="str">
        <f>VLOOKUP(B1859,'PO with created By ASR'!A:J,7,FALSE)</f>
        <v>D - Delhi</v>
      </c>
      <c r="M1859" s="2" t="str">
        <f>VLOOKUP(B1859,'PO with created By ASR'!A:K,8,FALSE)</f>
        <v>Purchase Order-Del</v>
      </c>
      <c r="N1859" t="s">
        <v>36</v>
      </c>
      <c r="P1859" s="2">
        <v>6</v>
      </c>
    </row>
    <row r="1860" s="2" customFormat="1" spans="1:16">
      <c r="A1860" s="8"/>
      <c r="B1860" s="9" t="s">
        <v>2997</v>
      </c>
      <c r="C1860" s="10" t="s">
        <v>61</v>
      </c>
      <c r="D1860" s="11">
        <v>1</v>
      </c>
      <c r="E1860" s="12">
        <v>6882</v>
      </c>
      <c r="F1860" s="13">
        <v>6882</v>
      </c>
      <c r="G1860" s="2">
        <f>VLOOKUP(B1860,'PO with created By ASR'!A:C,3,FALSE)</f>
        <v>45701</v>
      </c>
      <c r="J1860" s="2" t="str">
        <f>VLOOKUP(B1860,'PO with created By ASR'!A:G,4,FALSE)</f>
        <v>Garv Aggarwal  -CR</v>
      </c>
      <c r="K1860" s="2" t="e">
        <f>VLOOKUP(B1860,'PO with created By ASR'!A:I,6,FALSE)</f>
        <v>#N/A</v>
      </c>
      <c r="L1860" s="2" t="str">
        <f>VLOOKUP(B1860,'PO with created By ASR'!A:J,7,FALSE)</f>
        <v>D - Delhi</v>
      </c>
      <c r="M1860" s="2" t="str">
        <f>VLOOKUP(B1860,'PO with created By ASR'!A:K,8,FALSE)</f>
        <v>Purchase Order-Del</v>
      </c>
      <c r="N1860" t="s">
        <v>36</v>
      </c>
      <c r="P1860" s="2">
        <v>6</v>
      </c>
    </row>
    <row r="1861" s="2" customFormat="1" spans="1:16">
      <c r="A1861" s="8"/>
      <c r="B1861" s="9" t="s">
        <v>2997</v>
      </c>
      <c r="C1861" s="10" t="s">
        <v>233</v>
      </c>
      <c r="D1861" s="11">
        <v>1</v>
      </c>
      <c r="E1861" s="12">
        <v>5006</v>
      </c>
      <c r="F1861" s="13">
        <v>5006</v>
      </c>
      <c r="G1861" s="2">
        <f>VLOOKUP(B1861,'PO with created By ASR'!A:C,3,FALSE)</f>
        <v>45701</v>
      </c>
      <c r="J1861" s="2" t="str">
        <f>VLOOKUP(B1861,'PO with created By ASR'!A:G,4,FALSE)</f>
        <v>Garv Aggarwal  -CR</v>
      </c>
      <c r="K1861" s="2" t="e">
        <f>VLOOKUP(B1861,'PO with created By ASR'!A:I,6,FALSE)</f>
        <v>#N/A</v>
      </c>
      <c r="L1861" s="2" t="str">
        <f>VLOOKUP(B1861,'PO with created By ASR'!A:J,7,FALSE)</f>
        <v>D - Delhi</v>
      </c>
      <c r="M1861" s="2" t="str">
        <f>VLOOKUP(B1861,'PO with created By ASR'!A:K,8,FALSE)</f>
        <v>Purchase Order-Del</v>
      </c>
      <c r="N1861" t="s">
        <v>36</v>
      </c>
      <c r="P1861" s="2">
        <v>6</v>
      </c>
    </row>
    <row r="1862" s="2" customFormat="1" spans="1:16">
      <c r="A1862" s="8"/>
      <c r="B1862" s="9" t="s">
        <v>2998</v>
      </c>
      <c r="C1862" s="10" t="s">
        <v>412</v>
      </c>
      <c r="D1862" s="11">
        <v>1</v>
      </c>
      <c r="E1862" s="12">
        <v>20821</v>
      </c>
      <c r="F1862" s="13">
        <v>20821</v>
      </c>
      <c r="G1862" s="2">
        <f>VLOOKUP(B1862,'PO with created By ASR'!A:C,3,FALSE)</f>
        <v>45701</v>
      </c>
      <c r="J1862" s="2" t="str">
        <f>VLOOKUP(B1862,'PO with created By ASR'!A:G,4,FALSE)</f>
        <v>Vijender  -CR</v>
      </c>
      <c r="K1862" s="2" t="e">
        <f>VLOOKUP(B1862,'PO with created By ASR'!A:I,6,FALSE)</f>
        <v>#N/A</v>
      </c>
      <c r="L1862" s="2" t="str">
        <f>VLOOKUP(B1862,'PO with created By ASR'!A:J,7,FALSE)</f>
        <v>D - Delhi</v>
      </c>
      <c r="M1862" s="2" t="str">
        <f>VLOOKUP(B1862,'PO with created By ASR'!A:K,8,FALSE)</f>
        <v>Purchase Order-Del</v>
      </c>
      <c r="N1862" t="s">
        <v>36</v>
      </c>
      <c r="P1862" s="2">
        <v>6</v>
      </c>
    </row>
    <row r="1863" s="2" customFormat="1" spans="1:16">
      <c r="A1863" s="8"/>
      <c r="B1863" s="9" t="s">
        <v>2998</v>
      </c>
      <c r="C1863" s="10" t="s">
        <v>233</v>
      </c>
      <c r="D1863" s="11">
        <v>1</v>
      </c>
      <c r="E1863" s="12">
        <v>4884</v>
      </c>
      <c r="F1863" s="13">
        <v>4884</v>
      </c>
      <c r="G1863" s="2">
        <f>VLOOKUP(B1863,'PO with created By ASR'!A:C,3,FALSE)</f>
        <v>45701</v>
      </c>
      <c r="J1863" s="2" t="str">
        <f>VLOOKUP(B1863,'PO with created By ASR'!A:G,4,FALSE)</f>
        <v>Vijender  -CR</v>
      </c>
      <c r="K1863" s="2" t="e">
        <f>VLOOKUP(B1863,'PO with created By ASR'!A:I,6,FALSE)</f>
        <v>#N/A</v>
      </c>
      <c r="L1863" s="2" t="str">
        <f>VLOOKUP(B1863,'PO with created By ASR'!A:J,7,FALSE)</f>
        <v>D - Delhi</v>
      </c>
      <c r="M1863" s="2" t="str">
        <f>VLOOKUP(B1863,'PO with created By ASR'!A:K,8,FALSE)</f>
        <v>Purchase Order-Del</v>
      </c>
      <c r="N1863" t="s">
        <v>36</v>
      </c>
      <c r="P1863" s="2">
        <v>6</v>
      </c>
    </row>
    <row r="1864" s="2" customFormat="1" spans="1:16">
      <c r="A1864" s="8"/>
      <c r="B1864" s="9" t="s">
        <v>2999</v>
      </c>
      <c r="C1864" s="10" t="s">
        <v>140</v>
      </c>
      <c r="D1864" s="11">
        <v>1</v>
      </c>
      <c r="E1864" s="12">
        <v>1000</v>
      </c>
      <c r="F1864" s="13">
        <v>1000</v>
      </c>
      <c r="G1864" s="2">
        <f>VLOOKUP(B1864,'PO with created By ASR'!A:C,3,FALSE)</f>
        <v>45701</v>
      </c>
      <c r="J1864" s="2" t="str">
        <f>VLOOKUP(B1864,'PO with created By ASR'!A:G,4,FALSE)</f>
        <v>Kalka Confectioners-Del</v>
      </c>
      <c r="K1864" s="2" t="str">
        <f>VLOOKUP(B1864,'PO with created By ASR'!A:I,6,FALSE)</f>
        <v>11281 Kalka  Confectioners</v>
      </c>
      <c r="L1864" s="2" t="str">
        <f>VLOOKUP(B1864,'PO with created By ASR'!A:J,7,FALSE)</f>
        <v>D - Delhi</v>
      </c>
      <c r="M1864" s="2" t="str">
        <f>VLOOKUP(B1864,'PO with created By ASR'!A:K,8,FALSE)</f>
        <v>Purchase Order-Del</v>
      </c>
      <c r="N1864" t="s">
        <v>36</v>
      </c>
      <c r="P1864" s="2">
        <v>6</v>
      </c>
    </row>
    <row r="1865" s="2" customFormat="1" spans="1:16">
      <c r="A1865" s="8"/>
      <c r="B1865" s="9" t="s">
        <v>2999</v>
      </c>
      <c r="C1865" s="10" t="s">
        <v>140</v>
      </c>
      <c r="D1865" s="11">
        <v>1</v>
      </c>
      <c r="E1865" s="12">
        <v>19500</v>
      </c>
      <c r="F1865" s="13">
        <v>19500</v>
      </c>
      <c r="G1865" s="2">
        <f>VLOOKUP(B1865,'PO with created By ASR'!A:C,3,FALSE)</f>
        <v>45701</v>
      </c>
      <c r="J1865" s="2" t="str">
        <f>VLOOKUP(B1865,'PO with created By ASR'!A:G,4,FALSE)</f>
        <v>Kalka Confectioners-Del</v>
      </c>
      <c r="K1865" s="2" t="str">
        <f>VLOOKUP(B1865,'PO with created By ASR'!A:I,6,FALSE)</f>
        <v>11281 Kalka  Confectioners</v>
      </c>
      <c r="L1865" s="2" t="str">
        <f>VLOOKUP(B1865,'PO with created By ASR'!A:J,7,FALSE)</f>
        <v>D - Delhi</v>
      </c>
      <c r="M1865" s="2" t="str">
        <f>VLOOKUP(B1865,'PO with created By ASR'!A:K,8,FALSE)</f>
        <v>Purchase Order-Del</v>
      </c>
      <c r="N1865" t="s">
        <v>36</v>
      </c>
      <c r="P1865" s="2">
        <v>6</v>
      </c>
    </row>
    <row r="1866" s="2" customFormat="1" spans="1:16">
      <c r="A1866" s="8"/>
      <c r="B1866" s="9" t="s">
        <v>3003</v>
      </c>
      <c r="C1866" s="10" t="s">
        <v>126</v>
      </c>
      <c r="D1866" s="11">
        <v>1</v>
      </c>
      <c r="E1866" s="12">
        <v>1980</v>
      </c>
      <c r="F1866" s="13">
        <v>1980</v>
      </c>
      <c r="G1866" s="2">
        <f>VLOOKUP(B1866,'PO with created By ASR'!A:C,3,FALSE)</f>
        <v>45701</v>
      </c>
      <c r="J1866" s="2" t="str">
        <f>VLOOKUP(B1866,'PO with created By ASR'!A:G,4,FALSE)</f>
        <v>Amarpreet Singh........... -CR</v>
      </c>
      <c r="K1866" s="2" t="e">
        <f>VLOOKUP(B1866,'PO with created By ASR'!A:I,6,FALSE)</f>
        <v>#N/A</v>
      </c>
      <c r="L1866" s="2" t="str">
        <f>VLOOKUP(B1866,'PO with created By ASR'!A:J,7,FALSE)</f>
        <v>D - Delhi</v>
      </c>
      <c r="M1866" s="2" t="str">
        <f>VLOOKUP(B1866,'PO with created By ASR'!A:K,8,FALSE)</f>
        <v>Purchase Order-Del</v>
      </c>
      <c r="N1866" t="s">
        <v>36</v>
      </c>
      <c r="P1866" s="2">
        <v>6</v>
      </c>
    </row>
    <row r="1867" s="2" customFormat="1" spans="1:16">
      <c r="A1867" s="8"/>
      <c r="B1867" s="9" t="s">
        <v>3004</v>
      </c>
      <c r="C1867" s="10" t="s">
        <v>196</v>
      </c>
      <c r="D1867" s="11">
        <v>1</v>
      </c>
      <c r="E1867" s="12">
        <v>3450</v>
      </c>
      <c r="F1867" s="13">
        <v>3450</v>
      </c>
      <c r="G1867" s="2">
        <f>VLOOKUP(B1867,'PO with created By ASR'!A:C,3,FALSE)</f>
        <v>45701</v>
      </c>
      <c r="J1867" s="2" t="str">
        <f>VLOOKUP(B1867,'PO with created By ASR'!A:G,4,FALSE)</f>
        <v>Inked-Del</v>
      </c>
      <c r="K1867" s="2" t="e">
        <f>VLOOKUP(B1867,'PO with created By ASR'!A:I,6,FALSE)</f>
        <v>#N/A</v>
      </c>
      <c r="L1867" s="2" t="str">
        <f>VLOOKUP(B1867,'PO with created By ASR'!A:J,7,FALSE)</f>
        <v>D - Delhi</v>
      </c>
      <c r="M1867" s="2" t="str">
        <f>VLOOKUP(B1867,'PO with created By ASR'!A:K,8,FALSE)</f>
        <v>Purchase Order-Del</v>
      </c>
      <c r="N1867" t="s">
        <v>36</v>
      </c>
      <c r="P1867" s="2">
        <v>6</v>
      </c>
    </row>
    <row r="1868" s="2" customFormat="1" spans="1:16">
      <c r="A1868" s="8"/>
      <c r="B1868" s="9" t="s">
        <v>3005</v>
      </c>
      <c r="C1868" s="10" t="s">
        <v>126</v>
      </c>
      <c r="D1868" s="11">
        <v>1</v>
      </c>
      <c r="E1868" s="12">
        <v>4264</v>
      </c>
      <c r="F1868" s="13">
        <v>4264</v>
      </c>
      <c r="G1868" s="2">
        <f>VLOOKUP(B1868,'PO with created By ASR'!A:C,3,FALSE)</f>
        <v>45701</v>
      </c>
      <c r="J1868" s="2" t="str">
        <f>VLOOKUP(B1868,'PO with created By ASR'!A:G,4,FALSE)</f>
        <v>Ajeet Singh  -CR</v>
      </c>
      <c r="K1868" s="2" t="str">
        <f>VLOOKUP(B1868,'PO with created By ASR'!A:I,6,FALSE)</f>
        <v>10519 Ajeet Singh</v>
      </c>
      <c r="L1868" s="2" t="str">
        <f>VLOOKUP(B1868,'PO with created By ASR'!A:J,7,FALSE)</f>
        <v>D - Delhi</v>
      </c>
      <c r="M1868" s="2" t="str">
        <f>VLOOKUP(B1868,'PO with created By ASR'!A:K,8,FALSE)</f>
        <v>Purchase Order-Del</v>
      </c>
      <c r="N1868" t="s">
        <v>36</v>
      </c>
      <c r="P1868" s="2">
        <v>6</v>
      </c>
    </row>
    <row r="1869" s="2" customFormat="1" spans="1:16">
      <c r="A1869" s="8"/>
      <c r="B1869" s="9" t="s">
        <v>3005</v>
      </c>
      <c r="C1869" s="10" t="s">
        <v>412</v>
      </c>
      <c r="D1869" s="11">
        <v>1</v>
      </c>
      <c r="E1869" s="12">
        <v>1525</v>
      </c>
      <c r="F1869" s="13">
        <v>1525</v>
      </c>
      <c r="G1869" s="2">
        <f>VLOOKUP(B1869,'PO with created By ASR'!A:C,3,FALSE)</f>
        <v>45701</v>
      </c>
      <c r="J1869" s="2" t="str">
        <f>VLOOKUP(B1869,'PO with created By ASR'!A:G,4,FALSE)</f>
        <v>Ajeet Singh  -CR</v>
      </c>
      <c r="K1869" s="2" t="str">
        <f>VLOOKUP(B1869,'PO with created By ASR'!A:I,6,FALSE)</f>
        <v>10519 Ajeet Singh</v>
      </c>
      <c r="L1869" s="2" t="str">
        <f>VLOOKUP(B1869,'PO with created By ASR'!A:J,7,FALSE)</f>
        <v>D - Delhi</v>
      </c>
      <c r="M1869" s="2" t="str">
        <f>VLOOKUP(B1869,'PO with created By ASR'!A:K,8,FALSE)</f>
        <v>Purchase Order-Del</v>
      </c>
      <c r="N1869" t="s">
        <v>36</v>
      </c>
      <c r="P1869" s="2">
        <v>6</v>
      </c>
    </row>
    <row r="1870" s="2" customFormat="1" spans="1:16">
      <c r="A1870" s="8"/>
      <c r="B1870" s="9" t="s">
        <v>3007</v>
      </c>
      <c r="C1870" s="10" t="s">
        <v>126</v>
      </c>
      <c r="D1870" s="11">
        <v>1</v>
      </c>
      <c r="E1870" s="12">
        <v>490</v>
      </c>
      <c r="F1870" s="13">
        <v>490</v>
      </c>
      <c r="G1870" s="2">
        <f>VLOOKUP(B1870,'PO with created By ASR'!A:C,3,FALSE)</f>
        <v>45701</v>
      </c>
      <c r="J1870" s="2" t="str">
        <f>VLOOKUP(B1870,'PO with created By ASR'!A:G,4,FALSE)</f>
        <v>Pankaj Kumar Mishra  -CR</v>
      </c>
      <c r="K1870" s="2" t="e">
        <f>VLOOKUP(B1870,'PO with created By ASR'!A:I,6,FALSE)</f>
        <v>#N/A</v>
      </c>
      <c r="L1870" s="2" t="str">
        <f>VLOOKUP(B1870,'PO with created By ASR'!A:J,7,FALSE)</f>
        <v>D - Delhi</v>
      </c>
      <c r="M1870" s="2" t="str">
        <f>VLOOKUP(B1870,'PO with created By ASR'!A:K,8,FALSE)</f>
        <v>Purchase Order-Del</v>
      </c>
      <c r="N1870" t="s">
        <v>36</v>
      </c>
      <c r="P1870" s="2">
        <v>6</v>
      </c>
    </row>
    <row r="1871" s="2" customFormat="1" spans="1:16">
      <c r="A1871" s="8"/>
      <c r="B1871" s="9" t="s">
        <v>3007</v>
      </c>
      <c r="C1871" s="10" t="s">
        <v>233</v>
      </c>
      <c r="D1871" s="11">
        <v>1</v>
      </c>
      <c r="E1871" s="12">
        <v>2500</v>
      </c>
      <c r="F1871" s="13">
        <v>2500</v>
      </c>
      <c r="G1871" s="2">
        <f>VLOOKUP(B1871,'PO with created By ASR'!A:C,3,FALSE)</f>
        <v>45701</v>
      </c>
      <c r="J1871" s="2" t="str">
        <f>VLOOKUP(B1871,'PO with created By ASR'!A:G,4,FALSE)</f>
        <v>Pankaj Kumar Mishra  -CR</v>
      </c>
      <c r="K1871" s="2" t="e">
        <f>VLOOKUP(B1871,'PO with created By ASR'!A:I,6,FALSE)</f>
        <v>#N/A</v>
      </c>
      <c r="L1871" s="2" t="str">
        <f>VLOOKUP(B1871,'PO with created By ASR'!A:J,7,FALSE)</f>
        <v>D - Delhi</v>
      </c>
      <c r="M1871" s="2" t="str">
        <f>VLOOKUP(B1871,'PO with created By ASR'!A:K,8,FALSE)</f>
        <v>Purchase Order-Del</v>
      </c>
      <c r="N1871" t="s">
        <v>36</v>
      </c>
      <c r="P1871" s="2">
        <v>6</v>
      </c>
    </row>
    <row r="1872" s="2" customFormat="1" spans="1:16">
      <c r="A1872" s="8"/>
      <c r="B1872" s="9" t="s">
        <v>3008</v>
      </c>
      <c r="C1872" s="10" t="s">
        <v>196</v>
      </c>
      <c r="D1872" s="11">
        <v>1</v>
      </c>
      <c r="E1872" s="12">
        <v>2500</v>
      </c>
      <c r="F1872" s="13">
        <v>2500</v>
      </c>
      <c r="G1872" s="2">
        <f>VLOOKUP(B1872,'PO with created By ASR'!A:C,3,FALSE)</f>
        <v>45701</v>
      </c>
      <c r="J1872" s="2" t="str">
        <f>VLOOKUP(B1872,'PO with created By ASR'!A:G,4,FALSE)</f>
        <v>Inked-Del</v>
      </c>
      <c r="K1872" s="2" t="e">
        <f>VLOOKUP(B1872,'PO with created By ASR'!A:I,6,FALSE)</f>
        <v>#N/A</v>
      </c>
      <c r="L1872" s="2" t="str">
        <f>VLOOKUP(B1872,'PO with created By ASR'!A:J,7,FALSE)</f>
        <v>D - Delhi</v>
      </c>
      <c r="M1872" s="2" t="str">
        <f>VLOOKUP(B1872,'PO with created By ASR'!A:K,8,FALSE)</f>
        <v>Purchase Order-Del</v>
      </c>
      <c r="N1872" t="s">
        <v>36</v>
      </c>
      <c r="P1872" s="2">
        <v>6</v>
      </c>
    </row>
    <row r="1873" s="2" customFormat="1" spans="1:16">
      <c r="A1873" s="8"/>
      <c r="B1873" s="9" t="s">
        <v>3009</v>
      </c>
      <c r="C1873" s="10" t="s">
        <v>151</v>
      </c>
      <c r="D1873" s="11">
        <v>1</v>
      </c>
      <c r="E1873" s="12">
        <v>100000</v>
      </c>
      <c r="F1873" s="13">
        <v>100000</v>
      </c>
      <c r="G1873" s="2">
        <f>VLOOKUP(B1873,'PO with created By ASR'!A:C,3,FALSE)</f>
        <v>45701</v>
      </c>
      <c r="J1873" s="2" t="str">
        <f>VLOOKUP(B1873,'PO with created By ASR'!A:G,4,FALSE)</f>
        <v>Dream Factory Pvt. Ltd.-Del</v>
      </c>
      <c r="K1873" s="2" t="e">
        <f>VLOOKUP(B1873,'PO with created By ASR'!A:I,6,FALSE)</f>
        <v>#N/A</v>
      </c>
      <c r="L1873" s="2" t="str">
        <f>VLOOKUP(B1873,'PO with created By ASR'!A:J,7,FALSE)</f>
        <v>D - Delhi</v>
      </c>
      <c r="M1873" s="2" t="str">
        <f>VLOOKUP(B1873,'PO with created By ASR'!A:K,8,FALSE)</f>
        <v>Purchase Order-Del</v>
      </c>
      <c r="N1873" t="s">
        <v>36</v>
      </c>
      <c r="P1873" s="2">
        <v>6</v>
      </c>
    </row>
    <row r="1874" s="2" customFormat="1" spans="1:16">
      <c r="A1874" s="8"/>
      <c r="B1874" s="9" t="s">
        <v>3011</v>
      </c>
      <c r="C1874" s="10" t="s">
        <v>233</v>
      </c>
      <c r="D1874" s="11">
        <v>1</v>
      </c>
      <c r="E1874" s="12">
        <v>2121</v>
      </c>
      <c r="F1874" s="13">
        <v>2121</v>
      </c>
      <c r="G1874" s="2">
        <f>VLOOKUP(B1874,'PO with created By ASR'!A:C,3,FALSE)</f>
        <v>45701</v>
      </c>
      <c r="J1874" s="2" t="str">
        <f>VLOOKUP(B1874,'PO with created By ASR'!A:G,4,FALSE)</f>
        <v>Pankaj Kumar Mishra  -CR</v>
      </c>
      <c r="K1874" s="2" t="e">
        <f>VLOOKUP(B1874,'PO with created By ASR'!A:I,6,FALSE)</f>
        <v>#N/A</v>
      </c>
      <c r="L1874" s="2" t="str">
        <f>VLOOKUP(B1874,'PO with created By ASR'!A:J,7,FALSE)</f>
        <v>D - Delhi</v>
      </c>
      <c r="M1874" s="2" t="str">
        <f>VLOOKUP(B1874,'PO with created By ASR'!A:K,8,FALSE)</f>
        <v>Purchase Order-Del</v>
      </c>
      <c r="N1874" t="s">
        <v>36</v>
      </c>
      <c r="P1874" s="2">
        <v>6</v>
      </c>
    </row>
    <row r="1875" s="2" customFormat="1" spans="1:16">
      <c r="A1875" s="8"/>
      <c r="B1875" s="9" t="s">
        <v>3012</v>
      </c>
      <c r="C1875" s="10" t="s">
        <v>196</v>
      </c>
      <c r="D1875" s="11">
        <v>1</v>
      </c>
      <c r="E1875" s="12">
        <v>19800</v>
      </c>
      <c r="F1875" s="13">
        <v>19800</v>
      </c>
      <c r="G1875" s="2">
        <f>VLOOKUP(B1875,'PO with created By ASR'!A:C,3,FALSE)</f>
        <v>45701</v>
      </c>
      <c r="J1875" s="2" t="str">
        <f>VLOOKUP(B1875,'PO with created By ASR'!A:G,4,FALSE)</f>
        <v>Corporate Gift-Del</v>
      </c>
      <c r="K1875" s="2" t="str">
        <f>VLOOKUP(B1875,'PO with created By ASR'!A:I,6,FALSE)</f>
        <v>11790 Corporate Gift</v>
      </c>
      <c r="L1875" s="2" t="str">
        <f>VLOOKUP(B1875,'PO with created By ASR'!A:J,7,FALSE)</f>
        <v>D - Delhi</v>
      </c>
      <c r="M1875" s="2" t="str">
        <f>VLOOKUP(B1875,'PO with created By ASR'!A:K,8,FALSE)</f>
        <v>Purchase Order-Del</v>
      </c>
      <c r="N1875" t="s">
        <v>36</v>
      </c>
      <c r="P1875" s="2">
        <v>6</v>
      </c>
    </row>
    <row r="1876" s="2" customFormat="1" spans="1:16">
      <c r="A1876" s="8"/>
      <c r="B1876" s="9" t="s">
        <v>3013</v>
      </c>
      <c r="C1876" s="10" t="s">
        <v>1055</v>
      </c>
      <c r="D1876" s="11">
        <v>1</v>
      </c>
      <c r="E1876" s="12">
        <v>6800</v>
      </c>
      <c r="F1876" s="13">
        <v>6800</v>
      </c>
      <c r="G1876" s="2">
        <f>VLOOKUP(B1876,'PO with created By ASR'!A:C,3,FALSE)</f>
        <v>45701</v>
      </c>
      <c r="J1876" s="2" t="str">
        <f>VLOOKUP(B1876,'PO with created By ASR'!A:G,4,FALSE)</f>
        <v>Pankaj Kumar Mishra  -CR</v>
      </c>
      <c r="K1876" s="2" t="e">
        <f>VLOOKUP(B1876,'PO with created By ASR'!A:I,6,FALSE)</f>
        <v>#N/A</v>
      </c>
      <c r="L1876" s="2" t="str">
        <f>VLOOKUP(B1876,'PO with created By ASR'!A:J,7,FALSE)</f>
        <v>D - Delhi</v>
      </c>
      <c r="M1876" s="2" t="str">
        <f>VLOOKUP(B1876,'PO with created By ASR'!A:K,8,FALSE)</f>
        <v>Purchase Order-Del</v>
      </c>
      <c r="N1876" t="s">
        <v>36</v>
      </c>
      <c r="P1876" s="2">
        <v>6</v>
      </c>
    </row>
    <row r="1877" s="2" customFormat="1" spans="1:16">
      <c r="A1877" s="8"/>
      <c r="B1877" s="9" t="s">
        <v>3014</v>
      </c>
      <c r="C1877" s="10" t="s">
        <v>196</v>
      </c>
      <c r="D1877" s="11">
        <v>1</v>
      </c>
      <c r="E1877" s="12">
        <v>43800</v>
      </c>
      <c r="F1877" s="13">
        <v>43800</v>
      </c>
      <c r="G1877" s="2">
        <f>VLOOKUP(B1877,'PO with created By ASR'!A:C,3,FALSE)</f>
        <v>45701</v>
      </c>
      <c r="J1877" s="2" t="str">
        <f>VLOOKUP(B1877,'PO with created By ASR'!A:G,4,FALSE)</f>
        <v>Inked-Del</v>
      </c>
      <c r="K1877" s="2" t="e">
        <f>VLOOKUP(B1877,'PO with created By ASR'!A:I,6,FALSE)</f>
        <v>#N/A</v>
      </c>
      <c r="L1877" s="2" t="str">
        <f>VLOOKUP(B1877,'PO with created By ASR'!A:J,7,FALSE)</f>
        <v>D - Delhi</v>
      </c>
      <c r="M1877" s="2" t="str">
        <f>VLOOKUP(B1877,'PO with created By ASR'!A:K,8,FALSE)</f>
        <v>Purchase Order-Del</v>
      </c>
      <c r="N1877" t="s">
        <v>36</v>
      </c>
      <c r="P1877" s="2">
        <v>6</v>
      </c>
    </row>
    <row r="1878" s="2" customFormat="1" spans="1:16">
      <c r="A1878" s="8"/>
      <c r="B1878" s="9" t="s">
        <v>3015</v>
      </c>
      <c r="C1878" s="10" t="s">
        <v>126</v>
      </c>
      <c r="D1878" s="11">
        <v>1</v>
      </c>
      <c r="E1878" s="12">
        <v>1833</v>
      </c>
      <c r="F1878" s="13">
        <v>1833</v>
      </c>
      <c r="G1878" s="2">
        <f>VLOOKUP(B1878,'PO with created By ASR'!A:C,3,FALSE)</f>
        <v>45701</v>
      </c>
      <c r="J1878" s="2" t="str">
        <f>VLOOKUP(B1878,'PO with created By ASR'!A:G,4,FALSE)</f>
        <v>Parvesh Mahalwal............... -CR</v>
      </c>
      <c r="K1878" s="2" t="e">
        <f>VLOOKUP(B1878,'PO with created By ASR'!A:I,6,FALSE)</f>
        <v>#N/A</v>
      </c>
      <c r="L1878" s="2" t="str">
        <f>VLOOKUP(B1878,'PO with created By ASR'!A:J,7,FALSE)</f>
        <v>D - Delhi</v>
      </c>
      <c r="M1878" s="2" t="str">
        <f>VLOOKUP(B1878,'PO with created By ASR'!A:K,8,FALSE)</f>
        <v>Purchase Order-Del</v>
      </c>
      <c r="N1878" t="s">
        <v>36</v>
      </c>
      <c r="P1878" s="2">
        <v>6</v>
      </c>
    </row>
    <row r="1879" s="2" customFormat="1" spans="1:16">
      <c r="A1879" s="8"/>
      <c r="B1879" s="9" t="s">
        <v>3015</v>
      </c>
      <c r="C1879" s="10" t="s">
        <v>412</v>
      </c>
      <c r="D1879" s="11">
        <v>1</v>
      </c>
      <c r="E1879" s="12">
        <v>2418</v>
      </c>
      <c r="F1879" s="13">
        <v>2418</v>
      </c>
      <c r="G1879" s="2">
        <f>VLOOKUP(B1879,'PO with created By ASR'!A:C,3,FALSE)</f>
        <v>45701</v>
      </c>
      <c r="J1879" s="2" t="str">
        <f>VLOOKUP(B1879,'PO with created By ASR'!A:G,4,FALSE)</f>
        <v>Parvesh Mahalwal............... -CR</v>
      </c>
      <c r="K1879" s="2" t="e">
        <f>VLOOKUP(B1879,'PO with created By ASR'!A:I,6,FALSE)</f>
        <v>#N/A</v>
      </c>
      <c r="L1879" s="2" t="str">
        <f>VLOOKUP(B1879,'PO with created By ASR'!A:J,7,FALSE)</f>
        <v>D - Delhi</v>
      </c>
      <c r="M1879" s="2" t="str">
        <f>VLOOKUP(B1879,'PO with created By ASR'!A:K,8,FALSE)</f>
        <v>Purchase Order-Del</v>
      </c>
      <c r="N1879" t="s">
        <v>36</v>
      </c>
      <c r="P1879" s="2">
        <v>6</v>
      </c>
    </row>
    <row r="1880" s="2" customFormat="1" spans="1:16">
      <c r="A1880" s="8"/>
      <c r="B1880" s="9" t="s">
        <v>3015</v>
      </c>
      <c r="C1880" s="10" t="s">
        <v>61</v>
      </c>
      <c r="D1880" s="11">
        <v>1</v>
      </c>
      <c r="E1880" s="12">
        <v>841</v>
      </c>
      <c r="F1880" s="13">
        <v>841</v>
      </c>
      <c r="G1880" s="2">
        <f>VLOOKUP(B1880,'PO with created By ASR'!A:C,3,FALSE)</f>
        <v>45701</v>
      </c>
      <c r="J1880" s="2" t="str">
        <f>VLOOKUP(B1880,'PO with created By ASR'!A:G,4,FALSE)</f>
        <v>Parvesh Mahalwal............... -CR</v>
      </c>
      <c r="K1880" s="2" t="e">
        <f>VLOOKUP(B1880,'PO with created By ASR'!A:I,6,FALSE)</f>
        <v>#N/A</v>
      </c>
      <c r="L1880" s="2" t="str">
        <f>VLOOKUP(B1880,'PO with created By ASR'!A:J,7,FALSE)</f>
        <v>D - Delhi</v>
      </c>
      <c r="M1880" s="2" t="str">
        <f>VLOOKUP(B1880,'PO with created By ASR'!A:K,8,FALSE)</f>
        <v>Purchase Order-Del</v>
      </c>
      <c r="N1880" t="s">
        <v>36</v>
      </c>
      <c r="P1880" s="2">
        <v>6</v>
      </c>
    </row>
    <row r="1881" s="2" customFormat="1" spans="1:16">
      <c r="A1881" s="8"/>
      <c r="B1881" s="9" t="s">
        <v>3016</v>
      </c>
      <c r="C1881" s="10" t="s">
        <v>196</v>
      </c>
      <c r="D1881" s="11">
        <v>1</v>
      </c>
      <c r="E1881" s="12">
        <v>5400</v>
      </c>
      <c r="F1881" s="13">
        <v>5400</v>
      </c>
      <c r="G1881" s="2">
        <f>VLOOKUP(B1881,'PO with created By ASR'!A:C,3,FALSE)</f>
        <v>45701</v>
      </c>
      <c r="J1881" s="2" t="str">
        <f>VLOOKUP(B1881,'PO with created By ASR'!A:G,4,FALSE)</f>
        <v>Innovative Gifting Solutions-Del</v>
      </c>
      <c r="K1881" s="2" t="str">
        <f>VLOOKUP(B1881,'PO with created By ASR'!A:I,6,FALSE)</f>
        <v>11264 Innovative Gifting Solutions</v>
      </c>
      <c r="L1881" s="2" t="str">
        <f>VLOOKUP(B1881,'PO with created By ASR'!A:J,7,FALSE)</f>
        <v>D - Delhi</v>
      </c>
      <c r="M1881" s="2" t="str">
        <f>VLOOKUP(B1881,'PO with created By ASR'!A:K,8,FALSE)</f>
        <v>Purchase Order-Del</v>
      </c>
      <c r="N1881" t="s">
        <v>36</v>
      </c>
      <c r="P1881" s="2">
        <v>6</v>
      </c>
    </row>
    <row r="1882" s="2" customFormat="1" spans="1:16">
      <c r="A1882" s="8"/>
      <c r="B1882" s="9" t="s">
        <v>3017</v>
      </c>
      <c r="C1882" s="10" t="s">
        <v>196</v>
      </c>
      <c r="D1882" s="11">
        <v>1</v>
      </c>
      <c r="E1882" s="12">
        <v>24700</v>
      </c>
      <c r="F1882" s="13">
        <v>24700</v>
      </c>
      <c r="G1882" s="2">
        <f>VLOOKUP(B1882,'PO with created By ASR'!A:C,3,FALSE)</f>
        <v>45701</v>
      </c>
      <c r="J1882" s="2" t="str">
        <f>VLOOKUP(B1882,'PO with created By ASR'!A:G,4,FALSE)</f>
        <v>Innovative Gifting Solutions-Del</v>
      </c>
      <c r="K1882" s="2" t="str">
        <f>VLOOKUP(B1882,'PO with created By ASR'!A:I,6,FALSE)</f>
        <v>11264 Innovative Gifting Solutions</v>
      </c>
      <c r="L1882" s="2" t="str">
        <f>VLOOKUP(B1882,'PO with created By ASR'!A:J,7,FALSE)</f>
        <v>D - Delhi</v>
      </c>
      <c r="M1882" s="2" t="str">
        <f>VLOOKUP(B1882,'PO with created By ASR'!A:K,8,FALSE)</f>
        <v>Purchase Order-Del</v>
      </c>
      <c r="N1882" t="s">
        <v>36</v>
      </c>
      <c r="P1882" s="2">
        <v>6</v>
      </c>
    </row>
    <row r="1883" s="2" customFormat="1" spans="1:16">
      <c r="A1883" s="8"/>
      <c r="B1883" s="9" t="s">
        <v>3018</v>
      </c>
      <c r="C1883" s="10" t="s">
        <v>196</v>
      </c>
      <c r="D1883" s="11">
        <v>1</v>
      </c>
      <c r="E1883" s="12">
        <v>23330</v>
      </c>
      <c r="F1883" s="13">
        <v>23330</v>
      </c>
      <c r="G1883" s="2">
        <f>VLOOKUP(B1883,'PO with created By ASR'!A:C,3,FALSE)</f>
        <v>45701</v>
      </c>
      <c r="J1883" s="2" t="str">
        <f>VLOOKUP(B1883,'PO with created By ASR'!A:G,4,FALSE)</f>
        <v>Inked-Del</v>
      </c>
      <c r="K1883" s="2" t="e">
        <f>VLOOKUP(B1883,'PO with created By ASR'!A:I,6,FALSE)</f>
        <v>#N/A</v>
      </c>
      <c r="L1883" s="2" t="str">
        <f>VLOOKUP(B1883,'PO with created By ASR'!A:J,7,FALSE)</f>
        <v>D - Delhi</v>
      </c>
      <c r="M1883" s="2" t="str">
        <f>VLOOKUP(B1883,'PO with created By ASR'!A:K,8,FALSE)</f>
        <v>Purchase Order-Del</v>
      </c>
      <c r="N1883" t="s">
        <v>36</v>
      </c>
      <c r="P1883" s="2">
        <v>6</v>
      </c>
    </row>
    <row r="1884" s="2" customFormat="1" spans="1:16">
      <c r="A1884" s="8"/>
      <c r="B1884" s="9" t="s">
        <v>3019</v>
      </c>
      <c r="C1884" s="10" t="s">
        <v>196</v>
      </c>
      <c r="D1884" s="11">
        <v>1</v>
      </c>
      <c r="E1884" s="12">
        <v>12700</v>
      </c>
      <c r="F1884" s="13">
        <v>12700</v>
      </c>
      <c r="G1884" s="2">
        <f>VLOOKUP(B1884,'PO with created By ASR'!A:C,3,FALSE)</f>
        <v>45701</v>
      </c>
      <c r="J1884" s="2" t="str">
        <f>VLOOKUP(B1884,'PO with created By ASR'!A:G,4,FALSE)</f>
        <v>Aura Ideas Pvt Ltd-Del</v>
      </c>
      <c r="K1884" s="2" t="str">
        <f>VLOOKUP(B1884,'PO with created By ASR'!A:I,6,FALSE)</f>
        <v>11700  Aura Ideas Pvt Ltd</v>
      </c>
      <c r="L1884" s="2" t="str">
        <f>VLOOKUP(B1884,'PO with created By ASR'!A:J,7,FALSE)</f>
        <v>D - Delhi</v>
      </c>
      <c r="M1884" s="2" t="str">
        <f>VLOOKUP(B1884,'PO with created By ASR'!A:K,8,FALSE)</f>
        <v>Purchase Order-Del</v>
      </c>
      <c r="N1884" t="s">
        <v>36</v>
      </c>
      <c r="P1884" s="2">
        <v>6</v>
      </c>
    </row>
    <row r="1885" s="2" customFormat="1" spans="1:16">
      <c r="A1885" s="8"/>
      <c r="B1885" s="9" t="s">
        <v>3022</v>
      </c>
      <c r="C1885" s="10" t="s">
        <v>196</v>
      </c>
      <c r="D1885" s="11">
        <v>1</v>
      </c>
      <c r="E1885" s="12">
        <v>4200</v>
      </c>
      <c r="F1885" s="13">
        <v>4200</v>
      </c>
      <c r="G1885" s="2">
        <f>VLOOKUP(B1885,'PO with created By ASR'!A:C,3,FALSE)</f>
        <v>45701</v>
      </c>
      <c r="J1885" s="2" t="str">
        <f>VLOOKUP(B1885,'PO with created By ASR'!A:G,4,FALSE)</f>
        <v>Inked-Del</v>
      </c>
      <c r="K1885" s="2" t="e">
        <f>VLOOKUP(B1885,'PO with created By ASR'!A:I,6,FALSE)</f>
        <v>#N/A</v>
      </c>
      <c r="L1885" s="2" t="str">
        <f>VLOOKUP(B1885,'PO with created By ASR'!A:J,7,FALSE)</f>
        <v>D - Delhi</v>
      </c>
      <c r="M1885" s="2" t="str">
        <f>VLOOKUP(B1885,'PO with created By ASR'!A:K,8,FALSE)</f>
        <v>Purchase Order-Del</v>
      </c>
      <c r="N1885" t="s">
        <v>36</v>
      </c>
      <c r="P1885" s="2">
        <v>6</v>
      </c>
    </row>
    <row r="1886" s="2" customFormat="1" spans="1:16">
      <c r="A1886" s="8"/>
      <c r="B1886" s="9" t="s">
        <v>3023</v>
      </c>
      <c r="C1886" s="10" t="s">
        <v>196</v>
      </c>
      <c r="D1886" s="11">
        <v>1</v>
      </c>
      <c r="E1886" s="12">
        <v>5400</v>
      </c>
      <c r="F1886" s="13">
        <v>5400</v>
      </c>
      <c r="G1886" s="2">
        <f>VLOOKUP(B1886,'PO with created By ASR'!A:C,3,FALSE)</f>
        <v>45701</v>
      </c>
      <c r="J1886" s="2" t="str">
        <f>VLOOKUP(B1886,'PO with created By ASR'!A:G,4,FALSE)</f>
        <v>Innovative Gifting Solutions-Del</v>
      </c>
      <c r="K1886" s="2" t="str">
        <f>VLOOKUP(B1886,'PO with created By ASR'!A:I,6,FALSE)</f>
        <v>11264 Innovative Gifting Solutions</v>
      </c>
      <c r="L1886" s="2" t="str">
        <f>VLOOKUP(B1886,'PO with created By ASR'!A:J,7,FALSE)</f>
        <v>D - Delhi</v>
      </c>
      <c r="M1886" s="2" t="str">
        <f>VLOOKUP(B1886,'PO with created By ASR'!A:K,8,FALSE)</f>
        <v>Purchase Order-Del</v>
      </c>
      <c r="N1886" t="s">
        <v>36</v>
      </c>
      <c r="P1886" s="2">
        <v>6</v>
      </c>
    </row>
    <row r="1887" s="2" customFormat="1" spans="1:16">
      <c r="A1887" s="8"/>
      <c r="B1887" s="9" t="s">
        <v>3024</v>
      </c>
      <c r="C1887" s="10" t="s">
        <v>151</v>
      </c>
      <c r="D1887" s="11">
        <v>1</v>
      </c>
      <c r="E1887" s="12">
        <v>110000</v>
      </c>
      <c r="F1887" s="13">
        <v>110000</v>
      </c>
      <c r="G1887" s="2">
        <f>VLOOKUP(B1887,'PO with created By ASR'!A:C,3,FALSE)</f>
        <v>45701</v>
      </c>
      <c r="J1887" s="2" t="str">
        <f>VLOOKUP(B1887,'PO with created By ASR'!A:G,4,FALSE)</f>
        <v>Zing Creations-Del</v>
      </c>
      <c r="K1887" s="2" t="str">
        <f>VLOOKUP(B1887,'PO with created By ASR'!A:I,6,FALSE)</f>
        <v>12641 Zing Creations</v>
      </c>
      <c r="L1887" s="2" t="str">
        <f>VLOOKUP(B1887,'PO with created By ASR'!A:J,7,FALSE)</f>
        <v>D - Delhi</v>
      </c>
      <c r="M1887" s="2" t="str">
        <f>VLOOKUP(B1887,'PO with created By ASR'!A:K,8,FALSE)</f>
        <v>Purchase Order-Del</v>
      </c>
      <c r="N1887" t="s">
        <v>36</v>
      </c>
      <c r="P1887" s="2">
        <v>6</v>
      </c>
    </row>
    <row r="1888" s="2" customFormat="1" spans="1:16">
      <c r="A1888" s="8"/>
      <c r="B1888" s="9" t="s">
        <v>3025</v>
      </c>
      <c r="C1888" s="10" t="s">
        <v>371</v>
      </c>
      <c r="D1888" s="11">
        <v>1</v>
      </c>
      <c r="E1888" s="12">
        <v>141500</v>
      </c>
      <c r="F1888" s="13">
        <v>141500</v>
      </c>
      <c r="G1888" s="2">
        <f>VLOOKUP(B1888,'PO with created By ASR'!A:C,3,FALSE)</f>
        <v>45701</v>
      </c>
      <c r="J1888" s="2" t="str">
        <f>VLOOKUP(B1888,'PO with created By ASR'!A:G,4,FALSE)</f>
        <v>99 Online-Del</v>
      </c>
      <c r="K1888" s="2" t="str">
        <f>VLOOKUP(B1888,'PO with created By ASR'!A:I,6,FALSE)</f>
        <v>11623 99 Online</v>
      </c>
      <c r="L1888" s="2" t="str">
        <f>VLOOKUP(B1888,'PO with created By ASR'!A:J,7,FALSE)</f>
        <v>D - Delhi</v>
      </c>
      <c r="M1888" s="2" t="str">
        <f>VLOOKUP(B1888,'PO with created By ASR'!A:K,8,FALSE)</f>
        <v>Purchase Order-Del</v>
      </c>
      <c r="N1888" t="s">
        <v>36</v>
      </c>
      <c r="P1888" s="2">
        <v>6</v>
      </c>
    </row>
    <row r="1889" s="2" customFormat="1" spans="1:16">
      <c r="A1889" s="8"/>
      <c r="B1889" s="9" t="s">
        <v>3026</v>
      </c>
      <c r="C1889" s="10" t="s">
        <v>371</v>
      </c>
      <c r="D1889" s="11">
        <v>1</v>
      </c>
      <c r="E1889" s="12">
        <v>16350</v>
      </c>
      <c r="F1889" s="13">
        <v>16350</v>
      </c>
      <c r="G1889" s="2">
        <f>VLOOKUP(B1889,'PO with created By ASR'!A:C,3,FALSE)</f>
        <v>45701</v>
      </c>
      <c r="J1889" s="2" t="str">
        <f>VLOOKUP(B1889,'PO with created By ASR'!A:G,4,FALSE)</f>
        <v>Powerpro-Del</v>
      </c>
      <c r="K1889" s="2" t="e">
        <f>VLOOKUP(B1889,'PO with created By ASR'!A:I,6,FALSE)</f>
        <v>#N/A</v>
      </c>
      <c r="L1889" s="2" t="str">
        <f>VLOOKUP(B1889,'PO with created By ASR'!A:J,7,FALSE)</f>
        <v>D - Delhi</v>
      </c>
      <c r="M1889" s="2" t="str">
        <f>VLOOKUP(B1889,'PO with created By ASR'!A:K,8,FALSE)</f>
        <v>Purchase Order-Del</v>
      </c>
      <c r="N1889" t="s">
        <v>36</v>
      </c>
      <c r="P1889" s="2">
        <v>6</v>
      </c>
    </row>
    <row r="1890" s="2" customFormat="1" spans="1:16">
      <c r="A1890" s="8"/>
      <c r="B1890" s="9" t="s">
        <v>3027</v>
      </c>
      <c r="C1890" s="10" t="s">
        <v>292</v>
      </c>
      <c r="D1890" s="11">
        <v>1</v>
      </c>
      <c r="E1890" s="12">
        <v>10534</v>
      </c>
      <c r="F1890" s="13">
        <v>10534</v>
      </c>
      <c r="G1890" s="2">
        <f>VLOOKUP(B1890,'PO with created By ASR'!A:C,3,FALSE)</f>
        <v>45701</v>
      </c>
      <c r="J1890" s="2" t="str">
        <f>VLOOKUP(B1890,'PO with created By ASR'!A:G,4,FALSE)</f>
        <v>Red Carpet Events And Entertainment-Del</v>
      </c>
      <c r="K1890" s="2" t="str">
        <f>VLOOKUP(B1890,'PO with created By ASR'!A:I,6,FALSE)</f>
        <v>12326 Red Carpet Events And Entertainment</v>
      </c>
      <c r="L1890" s="2" t="str">
        <f>VLOOKUP(B1890,'PO with created By ASR'!A:J,7,FALSE)</f>
        <v>D - Delhi</v>
      </c>
      <c r="M1890" s="2" t="str">
        <f>VLOOKUP(B1890,'PO with created By ASR'!A:K,8,FALSE)</f>
        <v>Purchase Order-Del</v>
      </c>
      <c r="N1890" t="s">
        <v>36</v>
      </c>
      <c r="P1890" s="2">
        <v>6</v>
      </c>
    </row>
    <row r="1891" s="2" customFormat="1" spans="1:16">
      <c r="A1891" s="8"/>
      <c r="B1891" s="9" t="s">
        <v>3028</v>
      </c>
      <c r="C1891" s="10" t="s">
        <v>196</v>
      </c>
      <c r="D1891" s="11">
        <v>1</v>
      </c>
      <c r="E1891" s="12">
        <v>3040</v>
      </c>
      <c r="F1891" s="13">
        <v>3040</v>
      </c>
      <c r="G1891" s="2">
        <f>VLOOKUP(B1891,'PO with created By ASR'!A:C,3,FALSE)</f>
        <v>45701</v>
      </c>
      <c r="J1891" s="2" t="str">
        <f>VLOOKUP(B1891,'PO with created By ASR'!A:G,4,FALSE)</f>
        <v>Pandey Print Services-Del</v>
      </c>
      <c r="K1891" s="2" t="str">
        <f>VLOOKUP(B1891,'PO with created By ASR'!A:I,6,FALSE)</f>
        <v>12236 Pandey Print Services</v>
      </c>
      <c r="L1891" s="2" t="str">
        <f>VLOOKUP(B1891,'PO with created By ASR'!A:J,7,FALSE)</f>
        <v>D - Delhi</v>
      </c>
      <c r="M1891" s="2" t="str">
        <f>VLOOKUP(B1891,'PO with created By ASR'!A:K,8,FALSE)</f>
        <v>Purchase Order-Del</v>
      </c>
      <c r="N1891" t="s">
        <v>36</v>
      </c>
      <c r="P1891" s="2">
        <v>6</v>
      </c>
    </row>
    <row r="1892" s="2" customFormat="1" spans="1:16">
      <c r="A1892" s="8"/>
      <c r="B1892" s="9" t="s">
        <v>3029</v>
      </c>
      <c r="C1892" s="10" t="s">
        <v>196</v>
      </c>
      <c r="D1892" s="11">
        <v>1</v>
      </c>
      <c r="E1892" s="12">
        <v>5600</v>
      </c>
      <c r="F1892" s="13">
        <v>5600</v>
      </c>
      <c r="G1892" s="2">
        <f>VLOOKUP(B1892,'PO with created By ASR'!A:C,3,FALSE)</f>
        <v>45701</v>
      </c>
      <c r="J1892" s="2" t="str">
        <f>VLOOKUP(B1892,'PO with created By ASR'!A:G,4,FALSE)</f>
        <v>Corporate Gift-Del</v>
      </c>
      <c r="K1892" s="2" t="str">
        <f>VLOOKUP(B1892,'PO with created By ASR'!A:I,6,FALSE)</f>
        <v>11790 Corporate Gift</v>
      </c>
      <c r="L1892" s="2" t="str">
        <f>VLOOKUP(B1892,'PO with created By ASR'!A:J,7,FALSE)</f>
        <v>D - Delhi</v>
      </c>
      <c r="M1892" s="2" t="str">
        <f>VLOOKUP(B1892,'PO with created By ASR'!A:K,8,FALSE)</f>
        <v>Purchase Order-Del</v>
      </c>
      <c r="N1892" t="s">
        <v>36</v>
      </c>
      <c r="P1892" s="2">
        <v>6</v>
      </c>
    </row>
    <row r="1893" s="2" customFormat="1" spans="1:16">
      <c r="A1893" s="8"/>
      <c r="B1893" s="9" t="s">
        <v>3030</v>
      </c>
      <c r="C1893" s="10" t="s">
        <v>990</v>
      </c>
      <c r="D1893" s="11">
        <v>1</v>
      </c>
      <c r="E1893" s="12">
        <v>5500</v>
      </c>
      <c r="F1893" s="13">
        <v>5500</v>
      </c>
      <c r="G1893" s="2">
        <f>VLOOKUP(B1893,'PO with created By ASR'!A:C,3,FALSE)</f>
        <v>45701</v>
      </c>
      <c r="J1893" s="2" t="str">
        <f>VLOOKUP(B1893,'PO with created By ASR'!A:G,4,FALSE)</f>
        <v>Minter Cstech Pvt.Ltd.-Del</v>
      </c>
      <c r="K1893" s="2" t="e">
        <f>VLOOKUP(B1893,'PO with created By ASR'!A:I,6,FALSE)</f>
        <v>#N/A</v>
      </c>
      <c r="L1893" s="2" t="str">
        <f>VLOOKUP(B1893,'PO with created By ASR'!A:J,7,FALSE)</f>
        <v>D - Delhi</v>
      </c>
      <c r="M1893" s="2" t="str">
        <f>VLOOKUP(B1893,'PO with created By ASR'!A:K,8,FALSE)</f>
        <v>Purchase Order-Del</v>
      </c>
      <c r="N1893" t="s">
        <v>36</v>
      </c>
      <c r="P1893" s="2">
        <v>6</v>
      </c>
    </row>
    <row r="1894" s="2" customFormat="1" spans="1:16">
      <c r="A1894" s="8"/>
      <c r="B1894" s="9" t="s">
        <v>3031</v>
      </c>
      <c r="C1894" s="10" t="s">
        <v>151</v>
      </c>
      <c r="D1894" s="11">
        <v>1</v>
      </c>
      <c r="E1894" s="12">
        <v>457000</v>
      </c>
      <c r="F1894" s="13">
        <v>457000</v>
      </c>
      <c r="G1894" s="2">
        <f>VLOOKUP(B1894,'PO with created By ASR'!A:C,3,FALSE)</f>
        <v>45701</v>
      </c>
      <c r="J1894" s="2" t="str">
        <f>VLOOKUP(B1894,'PO with created By ASR'!A:G,4,FALSE)</f>
        <v>Dream Factory Pvt. Ltd.-Del</v>
      </c>
      <c r="K1894" s="2" t="e">
        <f>VLOOKUP(B1894,'PO with created By ASR'!A:I,6,FALSE)</f>
        <v>#N/A</v>
      </c>
      <c r="L1894" s="2" t="str">
        <f>VLOOKUP(B1894,'PO with created By ASR'!A:J,7,FALSE)</f>
        <v>D - Delhi</v>
      </c>
      <c r="M1894" s="2" t="str">
        <f>VLOOKUP(B1894,'PO with created By ASR'!A:K,8,FALSE)</f>
        <v>Purchase Order-Del</v>
      </c>
      <c r="N1894" t="s">
        <v>36</v>
      </c>
      <c r="P1894" s="2">
        <v>6</v>
      </c>
    </row>
    <row r="1895" s="2" customFormat="1" spans="1:16">
      <c r="A1895" s="8"/>
      <c r="B1895" s="9" t="s">
        <v>3033</v>
      </c>
      <c r="C1895" s="10" t="s">
        <v>140</v>
      </c>
      <c r="D1895" s="11">
        <v>1</v>
      </c>
      <c r="E1895" s="12">
        <v>682500</v>
      </c>
      <c r="F1895" s="13">
        <v>682500</v>
      </c>
      <c r="G1895" s="2">
        <f>VLOOKUP(B1895,'PO with created By ASR'!A:C,3,FALSE)</f>
        <v>45701</v>
      </c>
      <c r="J1895" s="2" t="str">
        <f>VLOOKUP(B1895,'PO with created By ASR'!A:G,4,FALSE)</f>
        <v>M &amp; G Associates-Del</v>
      </c>
      <c r="K1895" s="2" t="str">
        <f>VLOOKUP(B1895,'PO with created By ASR'!A:I,6,FALSE)</f>
        <v>12143 M &amp; G Associates</v>
      </c>
      <c r="L1895" s="2" t="str">
        <f>VLOOKUP(B1895,'PO with created By ASR'!A:J,7,FALSE)</f>
        <v>D - Delhi</v>
      </c>
      <c r="M1895" s="2" t="str">
        <f>VLOOKUP(B1895,'PO with created By ASR'!A:K,8,FALSE)</f>
        <v>Purchase Order-Del</v>
      </c>
      <c r="N1895" t="s">
        <v>36</v>
      </c>
      <c r="P1895" s="2">
        <v>6</v>
      </c>
    </row>
    <row r="1896" s="2" customFormat="1" spans="1:16">
      <c r="A1896" s="8"/>
      <c r="B1896" s="9" t="s">
        <v>3035</v>
      </c>
      <c r="C1896" s="10" t="s">
        <v>196</v>
      </c>
      <c r="D1896" s="11">
        <v>1</v>
      </c>
      <c r="E1896" s="12">
        <v>14868</v>
      </c>
      <c r="F1896" s="13">
        <v>14868</v>
      </c>
      <c r="G1896" s="2">
        <f>VLOOKUP(B1896,'PO with created By ASR'!A:C,3,FALSE)</f>
        <v>45701</v>
      </c>
      <c r="J1896" s="2" t="str">
        <f>VLOOKUP(B1896,'PO with created By ASR'!A:G,4,FALSE)</f>
        <v>Aura Ideas Pvt Ltd-Del</v>
      </c>
      <c r="K1896" s="2" t="str">
        <f>VLOOKUP(B1896,'PO with created By ASR'!A:I,6,FALSE)</f>
        <v>11700  Aura Ideas Pvt Ltd</v>
      </c>
      <c r="L1896" s="2" t="str">
        <f>VLOOKUP(B1896,'PO with created By ASR'!A:J,7,FALSE)</f>
        <v>D - Delhi</v>
      </c>
      <c r="M1896" s="2" t="str">
        <f>VLOOKUP(B1896,'PO with created By ASR'!A:K,8,FALSE)</f>
        <v>Purchase Order-Del</v>
      </c>
      <c r="N1896" t="s">
        <v>36</v>
      </c>
      <c r="P1896" s="2">
        <v>6</v>
      </c>
    </row>
    <row r="1897" s="2" customFormat="1" spans="1:16">
      <c r="A1897" s="8"/>
      <c r="B1897" s="9" t="s">
        <v>3036</v>
      </c>
      <c r="C1897" s="10" t="s">
        <v>126</v>
      </c>
      <c r="D1897" s="11">
        <v>1</v>
      </c>
      <c r="E1897" s="12">
        <v>13547</v>
      </c>
      <c r="F1897" s="13">
        <v>13547</v>
      </c>
      <c r="G1897" s="2">
        <f>VLOOKUP(B1897,'PO with created By ASR'!A:C,3,FALSE)</f>
        <v>45701</v>
      </c>
      <c r="J1897" s="2" t="str">
        <f>VLOOKUP(B1897,'PO with created By ASR'!A:G,4,FALSE)</f>
        <v>Bharat Sharma  -CR</v>
      </c>
      <c r="K1897" s="2" t="e">
        <f>VLOOKUP(B1897,'PO with created By ASR'!A:I,6,FALSE)</f>
        <v>#N/A</v>
      </c>
      <c r="L1897" s="2" t="str">
        <f>VLOOKUP(B1897,'PO with created By ASR'!A:J,7,FALSE)</f>
        <v>D - Delhi</v>
      </c>
      <c r="M1897" s="2" t="str">
        <f>VLOOKUP(B1897,'PO with created By ASR'!A:K,8,FALSE)</f>
        <v>Purchase Order-Del</v>
      </c>
      <c r="N1897" t="s">
        <v>36</v>
      </c>
      <c r="P1897" s="2">
        <v>6</v>
      </c>
    </row>
    <row r="1898" s="2" customFormat="1" spans="1:16">
      <c r="A1898" s="8"/>
      <c r="B1898" s="9" t="s">
        <v>3036</v>
      </c>
      <c r="C1898" s="10" t="s">
        <v>412</v>
      </c>
      <c r="D1898" s="11">
        <v>1</v>
      </c>
      <c r="E1898" s="12">
        <v>845</v>
      </c>
      <c r="F1898" s="13">
        <v>845</v>
      </c>
      <c r="G1898" s="2">
        <f>VLOOKUP(B1898,'PO with created By ASR'!A:C,3,FALSE)</f>
        <v>45701</v>
      </c>
      <c r="J1898" s="2" t="str">
        <f>VLOOKUP(B1898,'PO with created By ASR'!A:G,4,FALSE)</f>
        <v>Bharat Sharma  -CR</v>
      </c>
      <c r="K1898" s="2" t="e">
        <f>VLOOKUP(B1898,'PO with created By ASR'!A:I,6,FALSE)</f>
        <v>#N/A</v>
      </c>
      <c r="L1898" s="2" t="str">
        <f>VLOOKUP(B1898,'PO with created By ASR'!A:J,7,FALSE)</f>
        <v>D - Delhi</v>
      </c>
      <c r="M1898" s="2" t="str">
        <f>VLOOKUP(B1898,'PO with created By ASR'!A:K,8,FALSE)</f>
        <v>Purchase Order-Del</v>
      </c>
      <c r="N1898" t="s">
        <v>36</v>
      </c>
      <c r="P1898" s="2">
        <v>6</v>
      </c>
    </row>
    <row r="1899" s="2" customFormat="1" spans="1:16">
      <c r="A1899" s="8"/>
      <c r="B1899" s="9" t="s">
        <v>3039</v>
      </c>
      <c r="C1899" s="10" t="s">
        <v>401</v>
      </c>
      <c r="D1899" s="11">
        <v>1</v>
      </c>
      <c r="E1899" s="12">
        <v>150000</v>
      </c>
      <c r="F1899" s="13">
        <v>150000</v>
      </c>
      <c r="G1899" s="2">
        <f>VLOOKUP(B1899,'PO with created By ASR'!A:C,3,FALSE)</f>
        <v>45701</v>
      </c>
      <c r="J1899" s="2" t="str">
        <f>VLOOKUP(B1899,'PO with created By ASR'!A:G,4,FALSE)</f>
        <v>Magictap Solutions Pvt Ltd-Del</v>
      </c>
      <c r="K1899" s="2" t="str">
        <f>VLOOKUP(B1899,'PO with created By ASR'!A:I,6,FALSE)</f>
        <v>12114  Magictap Solutions Pvt Ltd</v>
      </c>
      <c r="L1899" s="2" t="str">
        <f>VLOOKUP(B1899,'PO with created By ASR'!A:J,7,FALSE)</f>
        <v>D - Delhi</v>
      </c>
      <c r="M1899" s="2" t="str">
        <f>VLOOKUP(B1899,'PO with created By ASR'!A:K,8,FALSE)</f>
        <v>Purchase Order-Del</v>
      </c>
      <c r="N1899" t="s">
        <v>36</v>
      </c>
      <c r="P1899" s="2">
        <v>6</v>
      </c>
    </row>
    <row r="1900" s="2" customFormat="1" spans="1:16">
      <c r="A1900" s="8"/>
      <c r="B1900" s="9" t="s">
        <v>3042</v>
      </c>
      <c r="C1900" s="10" t="s">
        <v>196</v>
      </c>
      <c r="D1900" s="11">
        <v>1</v>
      </c>
      <c r="E1900" s="12">
        <v>2800</v>
      </c>
      <c r="F1900" s="13">
        <v>2800</v>
      </c>
      <c r="G1900" s="2">
        <f>VLOOKUP(B1900,'PO with created By ASR'!A:C,3,FALSE)</f>
        <v>45701</v>
      </c>
      <c r="J1900" s="2" t="str">
        <f>VLOOKUP(B1900,'PO with created By ASR'!A:G,4,FALSE)</f>
        <v>Inked-Del</v>
      </c>
      <c r="K1900" s="2" t="e">
        <f>VLOOKUP(B1900,'PO with created By ASR'!A:I,6,FALSE)</f>
        <v>#N/A</v>
      </c>
      <c r="L1900" s="2" t="str">
        <f>VLOOKUP(B1900,'PO with created By ASR'!A:J,7,FALSE)</f>
        <v>D - Delhi</v>
      </c>
      <c r="M1900" s="2" t="str">
        <f>VLOOKUP(B1900,'PO with created By ASR'!A:K,8,FALSE)</f>
        <v>Purchase Order-Del</v>
      </c>
      <c r="N1900" t="s">
        <v>36</v>
      </c>
      <c r="P1900" s="2">
        <v>6</v>
      </c>
    </row>
    <row r="1901" s="2" customFormat="1" spans="1:16">
      <c r="A1901" s="8"/>
      <c r="B1901" s="9" t="s">
        <v>3043</v>
      </c>
      <c r="C1901" s="10" t="s">
        <v>233</v>
      </c>
      <c r="D1901" s="11">
        <v>1</v>
      </c>
      <c r="E1901" s="12">
        <v>5260</v>
      </c>
      <c r="F1901" s="13">
        <v>5260</v>
      </c>
      <c r="G1901" s="2">
        <f>VLOOKUP(B1901,'PO with created By ASR'!A:C,3,FALSE)</f>
        <v>45701</v>
      </c>
      <c r="J1901" s="2" t="str">
        <f>VLOOKUP(B1901,'PO with created By ASR'!A:G,4,FALSE)</f>
        <v>Chamunda Traders-Del</v>
      </c>
      <c r="K1901" s="2" t="str">
        <f>VLOOKUP(B1901,'PO with created By ASR'!A:I,6,FALSE)</f>
        <v>11760 Chamunda Traders</v>
      </c>
      <c r="L1901" s="2" t="str">
        <f>VLOOKUP(B1901,'PO with created By ASR'!A:J,7,FALSE)</f>
        <v>D - Delhi</v>
      </c>
      <c r="M1901" s="2" t="str">
        <f>VLOOKUP(B1901,'PO with created By ASR'!A:K,8,FALSE)</f>
        <v>Purchase Order-Del</v>
      </c>
      <c r="N1901" t="s">
        <v>36</v>
      </c>
      <c r="P1901" s="2">
        <v>6</v>
      </c>
    </row>
    <row r="1902" s="2" customFormat="1" spans="1:16">
      <c r="A1902" s="8"/>
      <c r="B1902" s="9" t="s">
        <v>3047</v>
      </c>
      <c r="C1902" s="10" t="s">
        <v>477</v>
      </c>
      <c r="D1902" s="14">
        <v>1</v>
      </c>
      <c r="E1902" s="15">
        <v>6000</v>
      </c>
      <c r="F1902" s="13">
        <v>6000</v>
      </c>
      <c r="G1902" s="2">
        <f>VLOOKUP(B1902,'PO with created By ASR'!A:C,3,FALSE)</f>
        <v>45701</v>
      </c>
      <c r="J1902" s="2" t="str">
        <f>VLOOKUP(B1902,'PO with created By ASR'!A:G,4,FALSE)</f>
        <v>Ventura Lifestyles Pvt Ltd-Mum</v>
      </c>
      <c r="K1902" s="2" t="str">
        <f>VLOOKUP(B1902,'PO with created By ASR'!A:I,6,FALSE)</f>
        <v>12585  Ventura Lifestyles Pvt Ltd</v>
      </c>
      <c r="L1902" s="2" t="str">
        <f>VLOOKUP(B1902,'PO with created By ASR'!A:J,7,FALSE)</f>
        <v>A - Mumbai</v>
      </c>
      <c r="M1902" s="2" t="str">
        <f>VLOOKUP(B1902,'PO with created By ASR'!A:K,8,FALSE)</f>
        <v>Purchase Order(Gen)-Mum</v>
      </c>
      <c r="N1902" t="s">
        <v>36</v>
      </c>
      <c r="P1902" s="2">
        <v>6</v>
      </c>
    </row>
    <row r="1903" s="2" customFormat="1" spans="1:16">
      <c r="A1903" s="8"/>
      <c r="B1903" s="9" t="s">
        <v>3050</v>
      </c>
      <c r="C1903" s="10" t="s">
        <v>126</v>
      </c>
      <c r="D1903" s="11">
        <v>1</v>
      </c>
      <c r="E1903" s="12">
        <v>4238.01</v>
      </c>
      <c r="F1903" s="13">
        <v>4238.01</v>
      </c>
      <c r="G1903" s="2">
        <f>VLOOKUP(B1903,'PO with created By ASR'!A:C,3,FALSE)</f>
        <v>45701</v>
      </c>
      <c r="J1903" s="2" t="str">
        <f>VLOOKUP(B1903,'PO with created By ASR'!A:G,4,FALSE)</f>
        <v>Hemanshu Sawant  -CR</v>
      </c>
      <c r="K1903" s="2" t="e">
        <f>VLOOKUP(B1903,'PO with created By ASR'!A:I,6,FALSE)</f>
        <v>#N/A</v>
      </c>
      <c r="L1903" s="2" t="str">
        <f>VLOOKUP(B1903,'PO with created By ASR'!A:J,7,FALSE)</f>
        <v>A - Mumbai</v>
      </c>
      <c r="M1903" s="2" t="str">
        <f>VLOOKUP(B1903,'PO with created By ASR'!A:K,8,FALSE)</f>
        <v>Purchase Order-Mum</v>
      </c>
      <c r="N1903" t="s">
        <v>36</v>
      </c>
      <c r="P1903" s="2">
        <v>6</v>
      </c>
    </row>
    <row r="1904" s="2" customFormat="1" spans="1:16">
      <c r="A1904" s="8"/>
      <c r="B1904" s="9" t="s">
        <v>3050</v>
      </c>
      <c r="C1904" s="10" t="s">
        <v>412</v>
      </c>
      <c r="D1904" s="11">
        <v>1</v>
      </c>
      <c r="E1904" s="12">
        <v>1311</v>
      </c>
      <c r="F1904" s="13">
        <v>1311</v>
      </c>
      <c r="G1904" s="2">
        <f>VLOOKUP(B1904,'PO with created By ASR'!A:C,3,FALSE)</f>
        <v>45701</v>
      </c>
      <c r="J1904" s="2" t="str">
        <f>VLOOKUP(B1904,'PO with created By ASR'!A:G,4,FALSE)</f>
        <v>Hemanshu Sawant  -CR</v>
      </c>
      <c r="K1904" s="2" t="e">
        <f>VLOOKUP(B1904,'PO with created By ASR'!A:I,6,FALSE)</f>
        <v>#N/A</v>
      </c>
      <c r="L1904" s="2" t="str">
        <f>VLOOKUP(B1904,'PO with created By ASR'!A:J,7,FALSE)</f>
        <v>A - Mumbai</v>
      </c>
      <c r="M1904" s="2" t="str">
        <f>VLOOKUP(B1904,'PO with created By ASR'!A:K,8,FALSE)</f>
        <v>Purchase Order-Mum</v>
      </c>
      <c r="N1904" t="s">
        <v>36</v>
      </c>
      <c r="P1904" s="2">
        <v>6</v>
      </c>
    </row>
    <row r="1905" s="2" customFormat="1" spans="1:16">
      <c r="A1905" s="8"/>
      <c r="B1905" s="9" t="s">
        <v>3051</v>
      </c>
      <c r="C1905" s="10" t="s">
        <v>126</v>
      </c>
      <c r="D1905" s="11">
        <v>1</v>
      </c>
      <c r="E1905" s="12">
        <v>523</v>
      </c>
      <c r="F1905" s="13">
        <v>523</v>
      </c>
      <c r="G1905" s="2">
        <f>VLOOKUP(B1905,'PO with created By ASR'!A:C,3,FALSE)</f>
        <v>45701</v>
      </c>
      <c r="J1905" s="2" t="str">
        <f>VLOOKUP(B1905,'PO with created By ASR'!A:G,4,FALSE)</f>
        <v>Amir Merchant  -CR</v>
      </c>
      <c r="K1905" s="2" t="e">
        <f>VLOOKUP(B1905,'PO with created By ASR'!A:I,6,FALSE)</f>
        <v>#N/A</v>
      </c>
      <c r="L1905" s="2" t="str">
        <f>VLOOKUP(B1905,'PO with created By ASR'!A:J,7,FALSE)</f>
        <v>A - Mumbai</v>
      </c>
      <c r="M1905" s="2" t="str">
        <f>VLOOKUP(B1905,'PO with created By ASR'!A:K,8,FALSE)</f>
        <v>Purchase Order-Mum</v>
      </c>
      <c r="N1905" t="s">
        <v>36</v>
      </c>
      <c r="P1905" s="2">
        <v>6</v>
      </c>
    </row>
    <row r="1906" s="2" customFormat="1" spans="1:16">
      <c r="A1906" s="8"/>
      <c r="B1906" s="9" t="s">
        <v>3053</v>
      </c>
      <c r="C1906" s="10" t="s">
        <v>61</v>
      </c>
      <c r="D1906" s="11">
        <v>1</v>
      </c>
      <c r="E1906" s="12">
        <v>5200</v>
      </c>
      <c r="F1906" s="13">
        <v>5200</v>
      </c>
      <c r="G1906" s="2">
        <f>VLOOKUP(B1906,'PO with created By ASR'!A:C,3,FALSE)</f>
        <v>45701</v>
      </c>
      <c r="J1906" s="2" t="str">
        <f>VLOOKUP(B1906,'PO with created By ASR'!A:G,4,FALSE)</f>
        <v>Mangesh Waghmare -CR</v>
      </c>
      <c r="K1906" s="2" t="e">
        <f>VLOOKUP(B1906,'PO with created By ASR'!A:I,6,FALSE)</f>
        <v>#N/A</v>
      </c>
      <c r="L1906" s="2" t="str">
        <f>VLOOKUP(B1906,'PO with created By ASR'!A:J,7,FALSE)</f>
        <v>A - Mumbai</v>
      </c>
      <c r="M1906" s="2" t="str">
        <f>VLOOKUP(B1906,'PO with created By ASR'!A:K,8,FALSE)</f>
        <v>Purchase Order-Mum</v>
      </c>
      <c r="N1906" t="s">
        <v>36</v>
      </c>
      <c r="P1906" s="2">
        <v>6</v>
      </c>
    </row>
    <row r="1907" s="2" customFormat="1" spans="1:16">
      <c r="A1907" s="8"/>
      <c r="B1907" s="9" t="s">
        <v>3053</v>
      </c>
      <c r="C1907" s="10" t="s">
        <v>126</v>
      </c>
      <c r="D1907" s="11">
        <v>1</v>
      </c>
      <c r="E1907" s="12">
        <v>690</v>
      </c>
      <c r="F1907" s="13">
        <v>690</v>
      </c>
      <c r="G1907" s="2">
        <f>VLOOKUP(B1907,'PO with created By ASR'!A:C,3,FALSE)</f>
        <v>45701</v>
      </c>
      <c r="J1907" s="2" t="str">
        <f>VLOOKUP(B1907,'PO with created By ASR'!A:G,4,FALSE)</f>
        <v>Mangesh Waghmare -CR</v>
      </c>
      <c r="K1907" s="2" t="e">
        <f>VLOOKUP(B1907,'PO with created By ASR'!A:I,6,FALSE)</f>
        <v>#N/A</v>
      </c>
      <c r="L1907" s="2" t="str">
        <f>VLOOKUP(B1907,'PO with created By ASR'!A:J,7,FALSE)</f>
        <v>A - Mumbai</v>
      </c>
      <c r="M1907" s="2" t="str">
        <f>VLOOKUP(B1907,'PO with created By ASR'!A:K,8,FALSE)</f>
        <v>Purchase Order-Mum</v>
      </c>
      <c r="N1907" t="s">
        <v>36</v>
      </c>
      <c r="P1907" s="2">
        <v>6</v>
      </c>
    </row>
    <row r="1908" s="2" customFormat="1" spans="1:16">
      <c r="A1908" s="8"/>
      <c r="B1908" s="9" t="s">
        <v>3053</v>
      </c>
      <c r="C1908" s="10" t="s">
        <v>412</v>
      </c>
      <c r="D1908" s="11">
        <v>1</v>
      </c>
      <c r="E1908" s="12">
        <v>4101.99</v>
      </c>
      <c r="F1908" s="13">
        <v>4101.99</v>
      </c>
      <c r="G1908" s="2">
        <f>VLOOKUP(B1908,'PO with created By ASR'!A:C,3,FALSE)</f>
        <v>45701</v>
      </c>
      <c r="J1908" s="2" t="str">
        <f>VLOOKUP(B1908,'PO with created By ASR'!A:G,4,FALSE)</f>
        <v>Mangesh Waghmare -CR</v>
      </c>
      <c r="K1908" s="2" t="e">
        <f>VLOOKUP(B1908,'PO with created By ASR'!A:I,6,FALSE)</f>
        <v>#N/A</v>
      </c>
      <c r="L1908" s="2" t="str">
        <f>VLOOKUP(B1908,'PO with created By ASR'!A:J,7,FALSE)</f>
        <v>A - Mumbai</v>
      </c>
      <c r="M1908" s="2" t="str">
        <f>VLOOKUP(B1908,'PO with created By ASR'!A:K,8,FALSE)</f>
        <v>Purchase Order-Mum</v>
      </c>
      <c r="N1908" t="s">
        <v>36</v>
      </c>
      <c r="P1908" s="2">
        <v>6</v>
      </c>
    </row>
    <row r="1909" s="2" customFormat="1" spans="1:16">
      <c r="A1909" s="8"/>
      <c r="B1909" s="9" t="s">
        <v>3054</v>
      </c>
      <c r="C1909" s="10" t="s">
        <v>126</v>
      </c>
      <c r="D1909" s="11">
        <v>1</v>
      </c>
      <c r="E1909" s="12">
        <v>950</v>
      </c>
      <c r="F1909" s="13">
        <v>950</v>
      </c>
      <c r="G1909" s="2">
        <f>VLOOKUP(B1909,'PO with created By ASR'!A:C,3,FALSE)</f>
        <v>45701</v>
      </c>
      <c r="J1909" s="2" t="str">
        <f>VLOOKUP(B1909,'PO with created By ASR'!A:G,4,FALSE)</f>
        <v>Justin Francis Vadakkan  -CR</v>
      </c>
      <c r="K1909" s="2" t="e">
        <f>VLOOKUP(B1909,'PO with created By ASR'!A:I,6,FALSE)</f>
        <v>#N/A</v>
      </c>
      <c r="L1909" s="2" t="str">
        <f>VLOOKUP(B1909,'PO with created By ASR'!A:J,7,FALSE)</f>
        <v>A - Mumbai</v>
      </c>
      <c r="M1909" s="2" t="str">
        <f>VLOOKUP(B1909,'PO with created By ASR'!A:K,8,FALSE)</f>
        <v>Purchase Order-Mum</v>
      </c>
      <c r="N1909" t="s">
        <v>36</v>
      </c>
      <c r="P1909" s="2">
        <v>6</v>
      </c>
    </row>
    <row r="1910" s="2" customFormat="1" spans="1:16">
      <c r="A1910" s="8"/>
      <c r="B1910" s="9" t="s">
        <v>3054</v>
      </c>
      <c r="C1910" s="10" t="s">
        <v>412</v>
      </c>
      <c r="D1910" s="11">
        <v>1</v>
      </c>
      <c r="E1910" s="12">
        <v>419</v>
      </c>
      <c r="F1910" s="13">
        <v>419</v>
      </c>
      <c r="G1910" s="2">
        <f>VLOOKUP(B1910,'PO with created By ASR'!A:C,3,FALSE)</f>
        <v>45701</v>
      </c>
      <c r="J1910" s="2" t="str">
        <f>VLOOKUP(B1910,'PO with created By ASR'!A:G,4,FALSE)</f>
        <v>Justin Francis Vadakkan  -CR</v>
      </c>
      <c r="K1910" s="2" t="e">
        <f>VLOOKUP(B1910,'PO with created By ASR'!A:I,6,FALSE)</f>
        <v>#N/A</v>
      </c>
      <c r="L1910" s="2" t="str">
        <f>VLOOKUP(B1910,'PO with created By ASR'!A:J,7,FALSE)</f>
        <v>A - Mumbai</v>
      </c>
      <c r="M1910" s="2" t="str">
        <f>VLOOKUP(B1910,'PO with created By ASR'!A:K,8,FALSE)</f>
        <v>Purchase Order-Mum</v>
      </c>
      <c r="N1910" t="s">
        <v>36</v>
      </c>
      <c r="P1910" s="2">
        <v>6</v>
      </c>
    </row>
    <row r="1911" s="2" customFormat="1" spans="1:16">
      <c r="A1911" s="8"/>
      <c r="B1911" s="9" t="s">
        <v>3055</v>
      </c>
      <c r="C1911" s="10" t="s">
        <v>126</v>
      </c>
      <c r="D1911" s="11">
        <v>1</v>
      </c>
      <c r="E1911" s="12">
        <v>358</v>
      </c>
      <c r="F1911" s="13">
        <v>358</v>
      </c>
      <c r="G1911" s="2">
        <f>VLOOKUP(B1911,'PO with created By ASR'!A:C,3,FALSE)</f>
        <v>45701</v>
      </c>
      <c r="J1911" s="2" t="str">
        <f>VLOOKUP(B1911,'PO with created By ASR'!A:G,4,FALSE)</f>
        <v>Mahendra Mane -CR</v>
      </c>
      <c r="K1911" s="2" t="e">
        <f>VLOOKUP(B1911,'PO with created By ASR'!A:I,6,FALSE)</f>
        <v>#N/A</v>
      </c>
      <c r="L1911" s="2" t="str">
        <f>VLOOKUP(B1911,'PO with created By ASR'!A:J,7,FALSE)</f>
        <v>A - Mumbai</v>
      </c>
      <c r="M1911" s="2" t="str">
        <f>VLOOKUP(B1911,'PO with created By ASR'!A:K,8,FALSE)</f>
        <v>Purchase Order-Mum</v>
      </c>
      <c r="N1911" t="s">
        <v>36</v>
      </c>
      <c r="P1911" s="2">
        <v>6</v>
      </c>
    </row>
    <row r="1912" s="2" customFormat="1" spans="1:16">
      <c r="A1912" s="8"/>
      <c r="B1912" s="9" t="s">
        <v>3056</v>
      </c>
      <c r="C1912" s="10" t="s">
        <v>126</v>
      </c>
      <c r="D1912" s="11">
        <v>1</v>
      </c>
      <c r="E1912" s="12">
        <v>2614</v>
      </c>
      <c r="F1912" s="13">
        <v>2614</v>
      </c>
      <c r="G1912" s="2">
        <f>VLOOKUP(B1912,'PO with created By ASR'!A:C,3,FALSE)</f>
        <v>45701</v>
      </c>
      <c r="J1912" s="2" t="str">
        <f>VLOOKUP(B1912,'PO with created By ASR'!A:G,4,FALSE)</f>
        <v>Gulfaam Shaikh  -CR</v>
      </c>
      <c r="K1912" s="2" t="e">
        <f>VLOOKUP(B1912,'PO with created By ASR'!A:I,6,FALSE)</f>
        <v>#N/A</v>
      </c>
      <c r="L1912" s="2" t="str">
        <f>VLOOKUP(B1912,'PO with created By ASR'!A:J,7,FALSE)</f>
        <v>A - Mumbai</v>
      </c>
      <c r="M1912" s="2" t="str">
        <f>VLOOKUP(B1912,'PO with created By ASR'!A:K,8,FALSE)</f>
        <v>Purchase Order-Mum</v>
      </c>
      <c r="N1912" t="s">
        <v>36</v>
      </c>
      <c r="P1912" s="2">
        <v>6</v>
      </c>
    </row>
    <row r="1913" s="2" customFormat="1" spans="1:16">
      <c r="A1913" s="8"/>
      <c r="B1913" s="9" t="s">
        <v>3056</v>
      </c>
      <c r="C1913" s="10" t="s">
        <v>412</v>
      </c>
      <c r="D1913" s="11">
        <v>1</v>
      </c>
      <c r="E1913" s="12">
        <v>2580</v>
      </c>
      <c r="F1913" s="13">
        <v>2580</v>
      </c>
      <c r="G1913" s="2">
        <f>VLOOKUP(B1913,'PO with created By ASR'!A:C,3,FALSE)</f>
        <v>45701</v>
      </c>
      <c r="J1913" s="2" t="str">
        <f>VLOOKUP(B1913,'PO with created By ASR'!A:G,4,FALSE)</f>
        <v>Gulfaam Shaikh  -CR</v>
      </c>
      <c r="K1913" s="2" t="e">
        <f>VLOOKUP(B1913,'PO with created By ASR'!A:I,6,FALSE)</f>
        <v>#N/A</v>
      </c>
      <c r="L1913" s="2" t="str">
        <f>VLOOKUP(B1913,'PO with created By ASR'!A:J,7,FALSE)</f>
        <v>A - Mumbai</v>
      </c>
      <c r="M1913" s="2" t="str">
        <f>VLOOKUP(B1913,'PO with created By ASR'!A:K,8,FALSE)</f>
        <v>Purchase Order-Mum</v>
      </c>
      <c r="N1913" t="s">
        <v>36</v>
      </c>
      <c r="P1913" s="2">
        <v>6</v>
      </c>
    </row>
    <row r="1914" s="2" customFormat="1" spans="1:16">
      <c r="A1914" s="8"/>
      <c r="B1914" s="9" t="s">
        <v>3057</v>
      </c>
      <c r="C1914" s="10" t="s">
        <v>317</v>
      </c>
      <c r="D1914" s="11">
        <v>1</v>
      </c>
      <c r="E1914" s="12">
        <v>5990</v>
      </c>
      <c r="F1914" s="13">
        <v>5990</v>
      </c>
      <c r="G1914" s="2">
        <f>VLOOKUP(B1914,'PO with created By ASR'!A:C,3,FALSE)</f>
        <v>45701</v>
      </c>
      <c r="J1914" s="2" t="str">
        <f>VLOOKUP(B1914,'PO with created By ASR'!A:G,4,FALSE)</f>
        <v>Padmakar Jadhav -CR</v>
      </c>
      <c r="K1914" s="2" t="e">
        <f>VLOOKUP(B1914,'PO with created By ASR'!A:I,6,FALSE)</f>
        <v>#N/A</v>
      </c>
      <c r="L1914" s="2" t="str">
        <f>VLOOKUP(B1914,'PO with created By ASR'!A:J,7,FALSE)</f>
        <v>A - Mumbai</v>
      </c>
      <c r="M1914" s="2" t="str">
        <f>VLOOKUP(B1914,'PO with created By ASR'!A:K,8,FALSE)</f>
        <v>Purchase Order-Mum</v>
      </c>
      <c r="N1914" t="s">
        <v>36</v>
      </c>
      <c r="P1914" s="2">
        <v>6</v>
      </c>
    </row>
    <row r="1915" s="2" customFormat="1" spans="1:16">
      <c r="A1915" s="8"/>
      <c r="B1915" s="9" t="s">
        <v>3057</v>
      </c>
      <c r="C1915" s="10" t="s">
        <v>126</v>
      </c>
      <c r="D1915" s="11">
        <v>1</v>
      </c>
      <c r="E1915" s="12">
        <v>146</v>
      </c>
      <c r="F1915" s="13">
        <v>146</v>
      </c>
      <c r="G1915" s="2">
        <f>VLOOKUP(B1915,'PO with created By ASR'!A:C,3,FALSE)</f>
        <v>45701</v>
      </c>
      <c r="J1915" s="2" t="str">
        <f>VLOOKUP(B1915,'PO with created By ASR'!A:G,4,FALSE)</f>
        <v>Padmakar Jadhav -CR</v>
      </c>
      <c r="K1915" s="2" t="e">
        <f>VLOOKUP(B1915,'PO with created By ASR'!A:I,6,FALSE)</f>
        <v>#N/A</v>
      </c>
      <c r="L1915" s="2" t="str">
        <f>VLOOKUP(B1915,'PO with created By ASR'!A:J,7,FALSE)</f>
        <v>A - Mumbai</v>
      </c>
      <c r="M1915" s="2" t="str">
        <f>VLOOKUP(B1915,'PO with created By ASR'!A:K,8,FALSE)</f>
        <v>Purchase Order-Mum</v>
      </c>
      <c r="N1915" t="s">
        <v>36</v>
      </c>
      <c r="P1915" s="2">
        <v>6</v>
      </c>
    </row>
    <row r="1916" s="2" customFormat="1" spans="1:16">
      <c r="A1916" s="8"/>
      <c r="B1916" s="9" t="s">
        <v>3058</v>
      </c>
      <c r="C1916" s="10" t="s">
        <v>126</v>
      </c>
      <c r="D1916" s="11">
        <v>1</v>
      </c>
      <c r="E1916" s="12">
        <v>559</v>
      </c>
      <c r="F1916" s="13">
        <v>559</v>
      </c>
      <c r="G1916" s="2">
        <f>VLOOKUP(B1916,'PO with created By ASR'!A:C,3,FALSE)</f>
        <v>45701</v>
      </c>
      <c r="J1916" s="2" t="str">
        <f>VLOOKUP(B1916,'PO with created By ASR'!A:G,4,FALSE)</f>
        <v>Padmakar Jadhav -CR</v>
      </c>
      <c r="K1916" s="2" t="e">
        <f>VLOOKUP(B1916,'PO with created By ASR'!A:I,6,FALSE)</f>
        <v>#N/A</v>
      </c>
      <c r="L1916" s="2" t="str">
        <f>VLOOKUP(B1916,'PO with created By ASR'!A:J,7,FALSE)</f>
        <v>A - Mumbai</v>
      </c>
      <c r="M1916" s="2" t="str">
        <f>VLOOKUP(B1916,'PO with created By ASR'!A:K,8,FALSE)</f>
        <v>Purchase Order-Mum</v>
      </c>
      <c r="N1916" t="s">
        <v>36</v>
      </c>
      <c r="P1916" s="2">
        <v>6</v>
      </c>
    </row>
    <row r="1917" s="2" customFormat="1" spans="1:16">
      <c r="A1917" s="8"/>
      <c r="B1917" s="9" t="s">
        <v>3059</v>
      </c>
      <c r="C1917" s="10" t="s">
        <v>126</v>
      </c>
      <c r="D1917" s="11">
        <v>1</v>
      </c>
      <c r="E1917" s="12">
        <v>2370</v>
      </c>
      <c r="F1917" s="13">
        <v>2370</v>
      </c>
      <c r="G1917" s="2">
        <f>VLOOKUP(B1917,'PO with created By ASR'!A:C,3,FALSE)</f>
        <v>45701</v>
      </c>
      <c r="J1917" s="2" t="str">
        <f>VLOOKUP(B1917,'PO with created By ASR'!A:G,4,FALSE)</f>
        <v>Pinky Sharma  -CR</v>
      </c>
      <c r="K1917" s="2" t="e">
        <f>VLOOKUP(B1917,'PO with created By ASR'!A:I,6,FALSE)</f>
        <v>#N/A</v>
      </c>
      <c r="L1917" s="2" t="str">
        <f>VLOOKUP(B1917,'PO with created By ASR'!A:J,7,FALSE)</f>
        <v>A - Mumbai</v>
      </c>
      <c r="M1917" s="2" t="str">
        <f>VLOOKUP(B1917,'PO with created By ASR'!A:K,8,FALSE)</f>
        <v>Purchase Order-Mum</v>
      </c>
      <c r="N1917" t="s">
        <v>36</v>
      </c>
      <c r="P1917" s="2">
        <v>6</v>
      </c>
    </row>
    <row r="1918" s="2" customFormat="1" spans="1:16">
      <c r="A1918" s="8"/>
      <c r="B1918" s="9" t="s">
        <v>3060</v>
      </c>
      <c r="C1918" s="10" t="s">
        <v>126</v>
      </c>
      <c r="D1918" s="11">
        <v>1</v>
      </c>
      <c r="E1918" s="12">
        <v>1284</v>
      </c>
      <c r="F1918" s="13">
        <v>1284</v>
      </c>
      <c r="G1918" s="2">
        <f>VLOOKUP(B1918,'PO with created By ASR'!A:C,3,FALSE)</f>
        <v>45701</v>
      </c>
      <c r="J1918" s="2" t="str">
        <f>VLOOKUP(B1918,'PO with created By ASR'!A:G,4,FALSE)</f>
        <v>Justin Francis Vadakkan  -CR</v>
      </c>
      <c r="K1918" s="2" t="e">
        <f>VLOOKUP(B1918,'PO with created By ASR'!A:I,6,FALSE)</f>
        <v>#N/A</v>
      </c>
      <c r="L1918" s="2" t="str">
        <f>VLOOKUP(B1918,'PO with created By ASR'!A:J,7,FALSE)</f>
        <v>A - Mumbai</v>
      </c>
      <c r="M1918" s="2" t="str">
        <f>VLOOKUP(B1918,'PO with created By ASR'!A:K,8,FALSE)</f>
        <v>Purchase Order-Mum</v>
      </c>
      <c r="N1918" t="s">
        <v>36</v>
      </c>
      <c r="P1918" s="2">
        <v>6</v>
      </c>
    </row>
    <row r="1919" s="2" customFormat="1" spans="1:16">
      <c r="A1919" s="8"/>
      <c r="B1919" s="9" t="s">
        <v>3060</v>
      </c>
      <c r="C1919" s="10" t="s">
        <v>412</v>
      </c>
      <c r="D1919" s="11">
        <v>1</v>
      </c>
      <c r="E1919" s="12">
        <v>2082</v>
      </c>
      <c r="F1919" s="13">
        <v>2082</v>
      </c>
      <c r="G1919" s="2">
        <f>VLOOKUP(B1919,'PO with created By ASR'!A:C,3,FALSE)</f>
        <v>45701</v>
      </c>
      <c r="J1919" s="2" t="str">
        <f>VLOOKUP(B1919,'PO with created By ASR'!A:G,4,FALSE)</f>
        <v>Justin Francis Vadakkan  -CR</v>
      </c>
      <c r="K1919" s="2" t="e">
        <f>VLOOKUP(B1919,'PO with created By ASR'!A:I,6,FALSE)</f>
        <v>#N/A</v>
      </c>
      <c r="L1919" s="2" t="str">
        <f>VLOOKUP(B1919,'PO with created By ASR'!A:J,7,FALSE)</f>
        <v>A - Mumbai</v>
      </c>
      <c r="M1919" s="2" t="str">
        <f>VLOOKUP(B1919,'PO with created By ASR'!A:K,8,FALSE)</f>
        <v>Purchase Order-Mum</v>
      </c>
      <c r="N1919" t="s">
        <v>36</v>
      </c>
      <c r="P1919" s="2">
        <v>6</v>
      </c>
    </row>
    <row r="1920" s="2" customFormat="1" spans="1:16">
      <c r="A1920" s="8"/>
      <c r="B1920" s="9" t="s">
        <v>3061</v>
      </c>
      <c r="C1920" s="10" t="s">
        <v>126</v>
      </c>
      <c r="D1920" s="11">
        <v>1</v>
      </c>
      <c r="E1920" s="12">
        <v>170</v>
      </c>
      <c r="F1920" s="13">
        <v>170</v>
      </c>
      <c r="G1920" s="2">
        <f>VLOOKUP(B1920,'PO with created By ASR'!A:C,3,FALSE)</f>
        <v>45701</v>
      </c>
      <c r="J1920" s="2" t="str">
        <f>VLOOKUP(B1920,'PO with created By ASR'!A:G,4,FALSE)</f>
        <v>Aalhad Bavkar  -CR</v>
      </c>
      <c r="K1920" s="2" t="e">
        <f>VLOOKUP(B1920,'PO with created By ASR'!A:I,6,FALSE)</f>
        <v>#N/A</v>
      </c>
      <c r="L1920" s="2" t="str">
        <f>VLOOKUP(B1920,'PO with created By ASR'!A:J,7,FALSE)</f>
        <v>A - Mumbai</v>
      </c>
      <c r="M1920" s="2" t="str">
        <f>VLOOKUP(B1920,'PO with created By ASR'!A:K,8,FALSE)</f>
        <v>Purchase Order-Mum</v>
      </c>
      <c r="N1920" t="s">
        <v>36</v>
      </c>
      <c r="P1920" s="2">
        <v>6</v>
      </c>
    </row>
    <row r="1921" s="2" customFormat="1" spans="1:16">
      <c r="A1921" s="8"/>
      <c r="B1921" s="9" t="s">
        <v>3061</v>
      </c>
      <c r="C1921" s="10" t="s">
        <v>412</v>
      </c>
      <c r="D1921" s="11">
        <v>1</v>
      </c>
      <c r="E1921" s="12">
        <v>761.29</v>
      </c>
      <c r="F1921" s="13">
        <v>761.29</v>
      </c>
      <c r="G1921" s="2">
        <f>VLOOKUP(B1921,'PO with created By ASR'!A:C,3,FALSE)</f>
        <v>45701</v>
      </c>
      <c r="J1921" s="2" t="str">
        <f>VLOOKUP(B1921,'PO with created By ASR'!A:G,4,FALSE)</f>
        <v>Aalhad Bavkar  -CR</v>
      </c>
      <c r="K1921" s="2" t="e">
        <f>VLOOKUP(B1921,'PO with created By ASR'!A:I,6,FALSE)</f>
        <v>#N/A</v>
      </c>
      <c r="L1921" s="2" t="str">
        <f>VLOOKUP(B1921,'PO with created By ASR'!A:J,7,FALSE)</f>
        <v>A - Mumbai</v>
      </c>
      <c r="M1921" s="2" t="str">
        <f>VLOOKUP(B1921,'PO with created By ASR'!A:K,8,FALSE)</f>
        <v>Purchase Order-Mum</v>
      </c>
      <c r="N1921" t="s">
        <v>36</v>
      </c>
      <c r="P1921" s="2">
        <v>6</v>
      </c>
    </row>
    <row r="1922" s="2" customFormat="1" spans="1:16">
      <c r="A1922" s="8"/>
      <c r="B1922" s="9" t="s">
        <v>3062</v>
      </c>
      <c r="C1922" s="10" t="s">
        <v>126</v>
      </c>
      <c r="D1922" s="11">
        <v>1</v>
      </c>
      <c r="E1922" s="12">
        <v>2464</v>
      </c>
      <c r="F1922" s="13">
        <v>2464</v>
      </c>
      <c r="G1922" s="2">
        <f>VLOOKUP(B1922,'PO with created By ASR'!A:C,3,FALSE)</f>
        <v>45701</v>
      </c>
      <c r="J1922" s="2" t="str">
        <f>VLOOKUP(B1922,'PO with created By ASR'!A:G,4,FALSE)</f>
        <v>Sameer Doshi  -CR</v>
      </c>
      <c r="K1922" s="2" t="e">
        <f>VLOOKUP(B1922,'PO with created By ASR'!A:I,6,FALSE)</f>
        <v>#N/A</v>
      </c>
      <c r="L1922" s="2" t="str">
        <f>VLOOKUP(B1922,'PO with created By ASR'!A:J,7,FALSE)</f>
        <v>A - Mumbai</v>
      </c>
      <c r="M1922" s="2" t="str">
        <f>VLOOKUP(B1922,'PO with created By ASR'!A:K,8,FALSE)</f>
        <v>Purchase Order-Mum</v>
      </c>
      <c r="N1922" t="s">
        <v>36</v>
      </c>
      <c r="P1922" s="2">
        <v>6</v>
      </c>
    </row>
    <row r="1923" s="2" customFormat="1" spans="1:16">
      <c r="A1923" s="8"/>
      <c r="B1923" s="9" t="s">
        <v>3062</v>
      </c>
      <c r="C1923" s="10" t="s">
        <v>412</v>
      </c>
      <c r="D1923" s="11">
        <v>1</v>
      </c>
      <c r="E1923" s="12">
        <v>1087</v>
      </c>
      <c r="F1923" s="13">
        <v>1087</v>
      </c>
      <c r="G1923" s="2">
        <f>VLOOKUP(B1923,'PO with created By ASR'!A:C,3,FALSE)</f>
        <v>45701</v>
      </c>
      <c r="J1923" s="2" t="str">
        <f>VLOOKUP(B1923,'PO with created By ASR'!A:G,4,FALSE)</f>
        <v>Sameer Doshi  -CR</v>
      </c>
      <c r="K1923" s="2" t="e">
        <f>VLOOKUP(B1923,'PO with created By ASR'!A:I,6,FALSE)</f>
        <v>#N/A</v>
      </c>
      <c r="L1923" s="2" t="str">
        <f>VLOOKUP(B1923,'PO with created By ASR'!A:J,7,FALSE)</f>
        <v>A - Mumbai</v>
      </c>
      <c r="M1923" s="2" t="str">
        <f>VLOOKUP(B1923,'PO with created By ASR'!A:K,8,FALSE)</f>
        <v>Purchase Order-Mum</v>
      </c>
      <c r="N1923" t="s">
        <v>36</v>
      </c>
      <c r="P1923" s="2">
        <v>6</v>
      </c>
    </row>
    <row r="1924" s="2" customFormat="1" spans="1:16">
      <c r="A1924" s="8"/>
      <c r="B1924" s="9" t="s">
        <v>3064</v>
      </c>
      <c r="C1924" s="10" t="s">
        <v>126</v>
      </c>
      <c r="D1924" s="11">
        <v>1</v>
      </c>
      <c r="E1924" s="12">
        <v>529.94</v>
      </c>
      <c r="F1924" s="13">
        <v>529.94</v>
      </c>
      <c r="G1924" s="2">
        <f>VLOOKUP(B1924,'PO with created By ASR'!A:C,3,FALSE)</f>
        <v>45701</v>
      </c>
      <c r="J1924" s="2" t="str">
        <f>VLOOKUP(B1924,'PO with created By ASR'!A:G,4,FALSE)</f>
        <v>Aalhad Bavkar  -CR</v>
      </c>
      <c r="K1924" s="2" t="e">
        <f>VLOOKUP(B1924,'PO with created By ASR'!A:I,6,FALSE)</f>
        <v>#N/A</v>
      </c>
      <c r="L1924" s="2" t="str">
        <f>VLOOKUP(B1924,'PO with created By ASR'!A:J,7,FALSE)</f>
        <v>A - Mumbai</v>
      </c>
      <c r="M1924" s="2" t="str">
        <f>VLOOKUP(B1924,'PO with created By ASR'!A:K,8,FALSE)</f>
        <v>Purchase Order-Mum</v>
      </c>
      <c r="N1924" t="s">
        <v>36</v>
      </c>
      <c r="P1924" s="2">
        <v>6</v>
      </c>
    </row>
    <row r="1925" s="2" customFormat="1" spans="1:16">
      <c r="A1925" s="8"/>
      <c r="B1925" s="9" t="s">
        <v>3064</v>
      </c>
      <c r="C1925" s="10" t="s">
        <v>412</v>
      </c>
      <c r="D1925" s="11">
        <v>1</v>
      </c>
      <c r="E1925" s="12">
        <v>1996</v>
      </c>
      <c r="F1925" s="13">
        <v>1996</v>
      </c>
      <c r="G1925" s="2">
        <f>VLOOKUP(B1925,'PO with created By ASR'!A:C,3,FALSE)</f>
        <v>45701</v>
      </c>
      <c r="J1925" s="2" t="str">
        <f>VLOOKUP(B1925,'PO with created By ASR'!A:G,4,FALSE)</f>
        <v>Aalhad Bavkar  -CR</v>
      </c>
      <c r="K1925" s="2" t="e">
        <f>VLOOKUP(B1925,'PO with created By ASR'!A:I,6,FALSE)</f>
        <v>#N/A</v>
      </c>
      <c r="L1925" s="2" t="str">
        <f>VLOOKUP(B1925,'PO with created By ASR'!A:J,7,FALSE)</f>
        <v>A - Mumbai</v>
      </c>
      <c r="M1925" s="2" t="str">
        <f>VLOOKUP(B1925,'PO with created By ASR'!A:K,8,FALSE)</f>
        <v>Purchase Order-Mum</v>
      </c>
      <c r="N1925" t="s">
        <v>36</v>
      </c>
      <c r="P1925" s="2">
        <v>6</v>
      </c>
    </row>
    <row r="1926" s="2" customFormat="1" spans="1:16">
      <c r="A1926" s="8"/>
      <c r="B1926" s="9" t="s">
        <v>3065</v>
      </c>
      <c r="C1926" s="10" t="s">
        <v>126</v>
      </c>
      <c r="D1926" s="11">
        <v>1</v>
      </c>
      <c r="E1926" s="12">
        <v>1794.66</v>
      </c>
      <c r="F1926" s="13">
        <v>1794.66</v>
      </c>
      <c r="G1926" s="2">
        <f>VLOOKUP(B1926,'PO with created By ASR'!A:C,3,FALSE)</f>
        <v>45701</v>
      </c>
      <c r="J1926" s="2" t="str">
        <f>VLOOKUP(B1926,'PO with created By ASR'!A:G,4,FALSE)</f>
        <v>Pinky Sharma  -CR</v>
      </c>
      <c r="K1926" s="2" t="e">
        <f>VLOOKUP(B1926,'PO with created By ASR'!A:I,6,FALSE)</f>
        <v>#N/A</v>
      </c>
      <c r="L1926" s="2" t="str">
        <f>VLOOKUP(B1926,'PO with created By ASR'!A:J,7,FALSE)</f>
        <v>A - Mumbai</v>
      </c>
      <c r="M1926" s="2" t="str">
        <f>VLOOKUP(B1926,'PO with created By ASR'!A:K,8,FALSE)</f>
        <v>Purchase Order-Mum</v>
      </c>
      <c r="N1926" t="s">
        <v>36</v>
      </c>
      <c r="P1926" s="2">
        <v>6</v>
      </c>
    </row>
    <row r="1927" s="2" customFormat="1" spans="1:16">
      <c r="A1927" s="8"/>
      <c r="B1927" s="9" t="s">
        <v>3065</v>
      </c>
      <c r="C1927" s="10" t="s">
        <v>412</v>
      </c>
      <c r="D1927" s="11">
        <v>1</v>
      </c>
      <c r="E1927" s="12">
        <v>293</v>
      </c>
      <c r="F1927" s="13">
        <v>293</v>
      </c>
      <c r="G1927" s="2">
        <f>VLOOKUP(B1927,'PO with created By ASR'!A:C,3,FALSE)</f>
        <v>45701</v>
      </c>
      <c r="J1927" s="2" t="str">
        <f>VLOOKUP(B1927,'PO with created By ASR'!A:G,4,FALSE)</f>
        <v>Pinky Sharma  -CR</v>
      </c>
      <c r="K1927" s="2" t="e">
        <f>VLOOKUP(B1927,'PO with created By ASR'!A:I,6,FALSE)</f>
        <v>#N/A</v>
      </c>
      <c r="L1927" s="2" t="str">
        <f>VLOOKUP(B1927,'PO with created By ASR'!A:J,7,FALSE)</f>
        <v>A - Mumbai</v>
      </c>
      <c r="M1927" s="2" t="str">
        <f>VLOOKUP(B1927,'PO with created By ASR'!A:K,8,FALSE)</f>
        <v>Purchase Order-Mum</v>
      </c>
      <c r="N1927" t="s">
        <v>36</v>
      </c>
      <c r="P1927" s="2">
        <v>6</v>
      </c>
    </row>
    <row r="1928" s="2" customFormat="1" spans="1:16">
      <c r="A1928" s="8"/>
      <c r="B1928" s="9" t="s">
        <v>3066</v>
      </c>
      <c r="C1928" s="10" t="s">
        <v>317</v>
      </c>
      <c r="D1928" s="11">
        <v>1</v>
      </c>
      <c r="E1928" s="12">
        <v>105000</v>
      </c>
      <c r="F1928" s="13">
        <v>105000</v>
      </c>
      <c r="G1928" s="2">
        <f>VLOOKUP(B1928,'PO with created By ASR'!A:C,3,FALSE)</f>
        <v>45701</v>
      </c>
      <c r="J1928" s="2" t="str">
        <f>VLOOKUP(B1928,'PO with created By ASR'!A:G,4,FALSE)</f>
        <v>CheChi Media-Mum</v>
      </c>
      <c r="K1928" s="2" t="str">
        <f>VLOOKUP(B1928,'PO with created By ASR'!A:I,6,FALSE)</f>
        <v>11763 CheChi Media</v>
      </c>
      <c r="L1928" s="2" t="str">
        <f>VLOOKUP(B1928,'PO with created By ASR'!A:J,7,FALSE)</f>
        <v>A - Mumbai</v>
      </c>
      <c r="M1928" s="2" t="str">
        <f>VLOOKUP(B1928,'PO with created By ASR'!A:K,8,FALSE)</f>
        <v>Purchase Order-Mum</v>
      </c>
      <c r="N1928" t="s">
        <v>36</v>
      </c>
      <c r="P1928" s="2">
        <v>6</v>
      </c>
    </row>
    <row r="1929" s="2" customFormat="1" spans="1:16">
      <c r="A1929" s="8"/>
      <c r="B1929" s="9" t="s">
        <v>3070</v>
      </c>
      <c r="C1929" s="10" t="s">
        <v>196</v>
      </c>
      <c r="D1929" s="11">
        <v>1</v>
      </c>
      <c r="E1929" s="12">
        <v>110155</v>
      </c>
      <c r="F1929" s="13">
        <v>110155</v>
      </c>
      <c r="G1929" s="2">
        <f>VLOOKUP(B1929,'PO with created By ASR'!A:C,3,FALSE)</f>
        <v>45701</v>
      </c>
      <c r="J1929" s="2" t="str">
        <f>VLOOKUP(B1929,'PO with created By ASR'!A:G,4,FALSE)</f>
        <v>Noaman Digital Partnership Firm-Mum</v>
      </c>
      <c r="K1929" s="2" t="e">
        <f>VLOOKUP(B1929,'PO with created By ASR'!A:I,6,FALSE)</f>
        <v>#N/A</v>
      </c>
      <c r="L1929" s="2" t="str">
        <f>VLOOKUP(B1929,'PO with created By ASR'!A:J,7,FALSE)</f>
        <v>A - Mumbai</v>
      </c>
      <c r="M1929" s="2" t="str">
        <f>VLOOKUP(B1929,'PO with created By ASR'!A:K,8,FALSE)</f>
        <v>Purchase Order-Mum</v>
      </c>
      <c r="N1929" t="s">
        <v>36</v>
      </c>
      <c r="P1929" s="2">
        <v>6</v>
      </c>
    </row>
    <row r="1930" s="2" customFormat="1" spans="1:16">
      <c r="A1930" s="8"/>
      <c r="B1930" s="9" t="s">
        <v>3072</v>
      </c>
      <c r="C1930" s="10" t="s">
        <v>250</v>
      </c>
      <c r="D1930" s="11">
        <v>1</v>
      </c>
      <c r="E1930" s="12">
        <v>25000</v>
      </c>
      <c r="F1930" s="13">
        <v>25000</v>
      </c>
      <c r="G1930" s="2">
        <f>VLOOKUP(B1930,'PO with created By ASR'!A:C,3,FALSE)</f>
        <v>45701</v>
      </c>
      <c r="J1930" s="2" t="str">
        <f>VLOOKUP(B1930,'PO with created By ASR'!A:G,4,FALSE)</f>
        <v>Twintech Entertainment LLP-Mum</v>
      </c>
      <c r="K1930" s="2" t="str">
        <f>VLOOKUP(B1930,'PO with created By ASR'!A:I,6,FALSE)</f>
        <v>10981 Twintech Entertainment LLP</v>
      </c>
      <c r="L1930" s="2" t="str">
        <f>VLOOKUP(B1930,'PO with created By ASR'!A:J,7,FALSE)</f>
        <v>A - Mumbai</v>
      </c>
      <c r="M1930" s="2" t="str">
        <f>VLOOKUP(B1930,'PO with created By ASR'!A:K,8,FALSE)</f>
        <v>Purchase Order-Mum</v>
      </c>
      <c r="N1930" t="s">
        <v>36</v>
      </c>
      <c r="P1930" s="2">
        <v>6</v>
      </c>
    </row>
    <row r="1931" s="2" customFormat="1" spans="1:16">
      <c r="A1931" s="8"/>
      <c r="B1931" s="9" t="s">
        <v>3073</v>
      </c>
      <c r="C1931" s="10" t="s">
        <v>151</v>
      </c>
      <c r="D1931" s="11">
        <v>1</v>
      </c>
      <c r="E1931" s="12">
        <v>25000</v>
      </c>
      <c r="F1931" s="13">
        <v>25000</v>
      </c>
      <c r="G1931" s="2">
        <f>VLOOKUP(B1931,'PO with created By ASR'!A:C,3,FALSE)</f>
        <v>45701</v>
      </c>
      <c r="J1931" s="2" t="str">
        <f>VLOOKUP(B1931,'PO with created By ASR'!A:G,4,FALSE)</f>
        <v>A A Fur1044835 Neetu Prakash Poojaryre(Abbas Abdul Hussain Ujjainwala)-Mum</v>
      </c>
      <c r="K1931" s="2" t="str">
        <f>VLOOKUP(B1931,'PO with created By ASR'!A:I,6,FALSE)</f>
        <v>11018 A A Fur1044835 Neetu Prakash Poojaryre (Abbas Abdul Hussain Ujjainwala)</v>
      </c>
      <c r="L1931" s="2" t="str">
        <f>VLOOKUP(B1931,'PO with created By ASR'!A:J,7,FALSE)</f>
        <v>A - Mumbai</v>
      </c>
      <c r="M1931" s="2" t="str">
        <f>VLOOKUP(B1931,'PO with created By ASR'!A:K,8,FALSE)</f>
        <v>Purchase Order-Mum</v>
      </c>
      <c r="N1931" t="s">
        <v>36</v>
      </c>
      <c r="P1931" s="2">
        <v>6</v>
      </c>
    </row>
    <row r="1932" s="2" customFormat="1" spans="1:16">
      <c r="A1932" s="8"/>
      <c r="B1932" s="9" t="s">
        <v>3074</v>
      </c>
      <c r="C1932" s="10" t="s">
        <v>347</v>
      </c>
      <c r="D1932" s="11">
        <v>1</v>
      </c>
      <c r="E1932" s="12">
        <v>50000</v>
      </c>
      <c r="F1932" s="13">
        <v>50000</v>
      </c>
      <c r="G1932" s="2">
        <f>VLOOKUP(B1932,'PO with created By ASR'!A:C,3,FALSE)</f>
        <v>45701</v>
      </c>
      <c r="J1932" s="2" t="str">
        <f>VLOOKUP(B1932,'PO with created By ASR'!A:G,4,FALSE)</f>
        <v>Kenil Sanghvi-Mum</v>
      </c>
      <c r="K1932" s="2" t="str">
        <f>VLOOKUP(B1932,'PO with created By ASR'!A:I,6,FALSE)</f>
        <v>12833 Kenil Sanghvi</v>
      </c>
      <c r="L1932" s="2" t="str">
        <f>VLOOKUP(B1932,'PO with created By ASR'!A:J,7,FALSE)</f>
        <v>A - Mumbai</v>
      </c>
      <c r="M1932" s="2" t="str">
        <f>VLOOKUP(B1932,'PO with created By ASR'!A:K,8,FALSE)</f>
        <v>Purchase Order-Mum</v>
      </c>
      <c r="N1932" t="s">
        <v>36</v>
      </c>
      <c r="P1932" s="2">
        <v>6</v>
      </c>
    </row>
    <row r="1933" s="2" customFormat="1" spans="1:16">
      <c r="A1933" s="8"/>
      <c r="B1933" s="9" t="s">
        <v>3077</v>
      </c>
      <c r="C1933" s="10" t="s">
        <v>250</v>
      </c>
      <c r="D1933" s="11">
        <v>1</v>
      </c>
      <c r="E1933" s="12">
        <v>50000</v>
      </c>
      <c r="F1933" s="13">
        <v>50000</v>
      </c>
      <c r="G1933" s="2">
        <f>VLOOKUP(B1933,'PO with created By ASR'!A:C,3,FALSE)</f>
        <v>45701</v>
      </c>
      <c r="J1933" s="2" t="str">
        <f>VLOOKUP(B1933,'PO with created By ASR'!A:G,4,FALSE)</f>
        <v>Blink Entertainment-Mum</v>
      </c>
      <c r="K1933" s="2" t="str">
        <f>VLOOKUP(B1933,'PO with created By ASR'!A:I,6,FALSE)</f>
        <v>11177 Blink Entertainment</v>
      </c>
      <c r="L1933" s="2" t="str">
        <f>VLOOKUP(B1933,'PO with created By ASR'!A:J,7,FALSE)</f>
        <v>A - Mumbai</v>
      </c>
      <c r="M1933" s="2" t="str">
        <f>VLOOKUP(B1933,'PO with created By ASR'!A:K,8,FALSE)</f>
        <v>Purchase Order-Mum</v>
      </c>
      <c r="N1933" t="s">
        <v>36</v>
      </c>
      <c r="P1933" s="2">
        <v>6</v>
      </c>
    </row>
    <row r="1934" s="2" customFormat="1" spans="1:16">
      <c r="A1934" s="8"/>
      <c r="B1934" s="9" t="s">
        <v>3079</v>
      </c>
      <c r="C1934" s="10" t="s">
        <v>126</v>
      </c>
      <c r="D1934" s="11">
        <v>1</v>
      </c>
      <c r="E1934" s="12">
        <v>1594</v>
      </c>
      <c r="F1934" s="13">
        <v>1594</v>
      </c>
      <c r="G1934" s="2">
        <f>VLOOKUP(B1934,'PO with created By ASR'!A:C,3,FALSE)</f>
        <v>45701</v>
      </c>
      <c r="J1934" s="2" t="str">
        <f>VLOOKUP(B1934,'PO with created By ASR'!A:G,4,FALSE)</f>
        <v>Justin Francis Vadakkan  -CR</v>
      </c>
      <c r="K1934" s="2" t="e">
        <f>VLOOKUP(B1934,'PO with created By ASR'!A:I,6,FALSE)</f>
        <v>#N/A</v>
      </c>
      <c r="L1934" s="2" t="str">
        <f>VLOOKUP(B1934,'PO with created By ASR'!A:J,7,FALSE)</f>
        <v>A - Mumbai</v>
      </c>
      <c r="M1934" s="2" t="str">
        <f>VLOOKUP(B1934,'PO with created By ASR'!A:K,8,FALSE)</f>
        <v>Purchase Order-Mum</v>
      </c>
      <c r="N1934" t="s">
        <v>36</v>
      </c>
      <c r="P1934" s="2">
        <v>6</v>
      </c>
    </row>
    <row r="1935" s="2" customFormat="1" spans="1:16">
      <c r="A1935" s="8"/>
      <c r="B1935" s="9" t="s">
        <v>3079</v>
      </c>
      <c r="C1935" s="10" t="s">
        <v>412</v>
      </c>
      <c r="D1935" s="11">
        <v>1</v>
      </c>
      <c r="E1935" s="12">
        <v>1235</v>
      </c>
      <c r="F1935" s="13">
        <v>1235</v>
      </c>
      <c r="G1935" s="2">
        <f>VLOOKUP(B1935,'PO with created By ASR'!A:C,3,FALSE)</f>
        <v>45701</v>
      </c>
      <c r="J1935" s="2" t="str">
        <f>VLOOKUP(B1935,'PO with created By ASR'!A:G,4,FALSE)</f>
        <v>Justin Francis Vadakkan  -CR</v>
      </c>
      <c r="K1935" s="2" t="e">
        <f>VLOOKUP(B1935,'PO with created By ASR'!A:I,6,FALSE)</f>
        <v>#N/A</v>
      </c>
      <c r="L1935" s="2" t="str">
        <f>VLOOKUP(B1935,'PO with created By ASR'!A:J,7,FALSE)</f>
        <v>A - Mumbai</v>
      </c>
      <c r="M1935" s="2" t="str">
        <f>VLOOKUP(B1935,'PO with created By ASR'!A:K,8,FALSE)</f>
        <v>Purchase Order-Mum</v>
      </c>
      <c r="N1935" t="s">
        <v>36</v>
      </c>
      <c r="P1935" s="2">
        <v>6</v>
      </c>
    </row>
    <row r="1936" s="2" customFormat="1" spans="1:16">
      <c r="A1936" s="8"/>
      <c r="B1936" s="9" t="s">
        <v>3080</v>
      </c>
      <c r="C1936" s="10" t="s">
        <v>126</v>
      </c>
      <c r="D1936" s="11">
        <v>1</v>
      </c>
      <c r="E1936" s="12">
        <v>2336</v>
      </c>
      <c r="F1936" s="13">
        <v>2336</v>
      </c>
      <c r="G1936" s="2">
        <f>VLOOKUP(B1936,'PO with created By ASR'!A:C,3,FALSE)</f>
        <v>45701</v>
      </c>
      <c r="J1936" s="2" t="str">
        <f>VLOOKUP(B1936,'PO with created By ASR'!A:G,4,FALSE)</f>
        <v>Mangesh Waghmare -CR</v>
      </c>
      <c r="K1936" s="2" t="e">
        <f>VLOOKUP(B1936,'PO with created By ASR'!A:I,6,FALSE)</f>
        <v>#N/A</v>
      </c>
      <c r="L1936" s="2" t="str">
        <f>VLOOKUP(B1936,'PO with created By ASR'!A:J,7,FALSE)</f>
        <v>A - Mumbai</v>
      </c>
      <c r="M1936" s="2" t="str">
        <f>VLOOKUP(B1936,'PO with created By ASR'!A:K,8,FALSE)</f>
        <v>Purchase Order-Mum</v>
      </c>
      <c r="N1936" t="s">
        <v>36</v>
      </c>
      <c r="P1936" s="2">
        <v>6</v>
      </c>
    </row>
    <row r="1937" s="2" customFormat="1" spans="1:16">
      <c r="A1937" s="8"/>
      <c r="B1937" s="9" t="s">
        <v>3080</v>
      </c>
      <c r="C1937" s="10" t="s">
        <v>412</v>
      </c>
      <c r="D1937" s="11">
        <v>1</v>
      </c>
      <c r="E1937" s="12">
        <v>583</v>
      </c>
      <c r="F1937" s="13">
        <v>583</v>
      </c>
      <c r="G1937" s="2">
        <f>VLOOKUP(B1937,'PO with created By ASR'!A:C,3,FALSE)</f>
        <v>45701</v>
      </c>
      <c r="J1937" s="2" t="str">
        <f>VLOOKUP(B1937,'PO with created By ASR'!A:G,4,FALSE)</f>
        <v>Mangesh Waghmare -CR</v>
      </c>
      <c r="K1937" s="2" t="e">
        <f>VLOOKUP(B1937,'PO with created By ASR'!A:I,6,FALSE)</f>
        <v>#N/A</v>
      </c>
      <c r="L1937" s="2" t="str">
        <f>VLOOKUP(B1937,'PO with created By ASR'!A:J,7,FALSE)</f>
        <v>A - Mumbai</v>
      </c>
      <c r="M1937" s="2" t="str">
        <f>VLOOKUP(B1937,'PO with created By ASR'!A:K,8,FALSE)</f>
        <v>Purchase Order-Mum</v>
      </c>
      <c r="N1937" t="s">
        <v>36</v>
      </c>
      <c r="P1937" s="2">
        <v>6</v>
      </c>
    </row>
    <row r="1938" s="2" customFormat="1" spans="1:16">
      <c r="A1938" s="8"/>
      <c r="B1938" s="9" t="s">
        <v>3081</v>
      </c>
      <c r="C1938" s="10" t="s">
        <v>317</v>
      </c>
      <c r="D1938" s="11">
        <v>1</v>
      </c>
      <c r="E1938" s="12">
        <v>1470</v>
      </c>
      <c r="F1938" s="13">
        <v>1470</v>
      </c>
      <c r="G1938" s="2">
        <f>VLOOKUP(B1938,'PO with created By ASR'!A:C,3,FALSE)</f>
        <v>45701</v>
      </c>
      <c r="J1938" s="2" t="str">
        <f>VLOOKUP(B1938,'PO with created By ASR'!A:G,4,FALSE)</f>
        <v>Suresh Pardhle  -CR</v>
      </c>
      <c r="K1938" s="2" t="e">
        <f>VLOOKUP(B1938,'PO with created By ASR'!A:I,6,FALSE)</f>
        <v>#N/A</v>
      </c>
      <c r="L1938" s="2" t="str">
        <f>VLOOKUP(B1938,'PO with created By ASR'!A:J,7,FALSE)</f>
        <v>A - Mumbai</v>
      </c>
      <c r="M1938" s="2" t="str">
        <f>VLOOKUP(B1938,'PO with created By ASR'!A:K,8,FALSE)</f>
        <v>Purchase Order-Mum</v>
      </c>
      <c r="N1938" t="s">
        <v>36</v>
      </c>
      <c r="P1938" s="2">
        <v>6</v>
      </c>
    </row>
    <row r="1939" s="2" customFormat="1" spans="1:16">
      <c r="A1939" s="8"/>
      <c r="B1939" s="9" t="s">
        <v>3081</v>
      </c>
      <c r="C1939" s="10" t="s">
        <v>1055</v>
      </c>
      <c r="D1939" s="11">
        <v>1</v>
      </c>
      <c r="E1939" s="12">
        <v>1750</v>
      </c>
      <c r="F1939" s="13">
        <v>1750</v>
      </c>
      <c r="G1939" s="2">
        <f>VLOOKUP(B1939,'PO with created By ASR'!A:C,3,FALSE)</f>
        <v>45701</v>
      </c>
      <c r="J1939" s="2" t="str">
        <f>VLOOKUP(B1939,'PO with created By ASR'!A:G,4,FALSE)</f>
        <v>Suresh Pardhle  -CR</v>
      </c>
      <c r="K1939" s="2" t="e">
        <f>VLOOKUP(B1939,'PO with created By ASR'!A:I,6,FALSE)</f>
        <v>#N/A</v>
      </c>
      <c r="L1939" s="2" t="str">
        <f>VLOOKUP(B1939,'PO with created By ASR'!A:J,7,FALSE)</f>
        <v>A - Mumbai</v>
      </c>
      <c r="M1939" s="2" t="str">
        <f>VLOOKUP(B1939,'PO with created By ASR'!A:K,8,FALSE)</f>
        <v>Purchase Order-Mum</v>
      </c>
      <c r="N1939" t="s">
        <v>36</v>
      </c>
      <c r="P1939" s="2">
        <v>6</v>
      </c>
    </row>
    <row r="1940" s="2" customFormat="1" spans="1:16">
      <c r="A1940" s="8"/>
      <c r="B1940" s="9" t="s">
        <v>3081</v>
      </c>
      <c r="C1940" s="10" t="s">
        <v>126</v>
      </c>
      <c r="D1940" s="11">
        <v>1</v>
      </c>
      <c r="E1940" s="12">
        <v>2755</v>
      </c>
      <c r="F1940" s="13">
        <v>2755</v>
      </c>
      <c r="G1940" s="2">
        <f>VLOOKUP(B1940,'PO with created By ASR'!A:C,3,FALSE)</f>
        <v>45701</v>
      </c>
      <c r="J1940" s="2" t="str">
        <f>VLOOKUP(B1940,'PO with created By ASR'!A:G,4,FALSE)</f>
        <v>Suresh Pardhle  -CR</v>
      </c>
      <c r="K1940" s="2" t="e">
        <f>VLOOKUP(B1940,'PO with created By ASR'!A:I,6,FALSE)</f>
        <v>#N/A</v>
      </c>
      <c r="L1940" s="2" t="str">
        <f>VLOOKUP(B1940,'PO with created By ASR'!A:J,7,FALSE)</f>
        <v>A - Mumbai</v>
      </c>
      <c r="M1940" s="2" t="str">
        <f>VLOOKUP(B1940,'PO with created By ASR'!A:K,8,FALSE)</f>
        <v>Purchase Order-Mum</v>
      </c>
      <c r="N1940" t="s">
        <v>36</v>
      </c>
      <c r="P1940" s="2">
        <v>6</v>
      </c>
    </row>
    <row r="1941" s="2" customFormat="1" spans="1:16">
      <c r="A1941" s="8"/>
      <c r="B1941" s="9" t="s">
        <v>3081</v>
      </c>
      <c r="C1941" s="10" t="s">
        <v>412</v>
      </c>
      <c r="D1941" s="11">
        <v>1</v>
      </c>
      <c r="E1941" s="12">
        <v>2030</v>
      </c>
      <c r="F1941" s="13">
        <v>2030</v>
      </c>
      <c r="G1941" s="2">
        <f>VLOOKUP(B1941,'PO with created By ASR'!A:C,3,FALSE)</f>
        <v>45701</v>
      </c>
      <c r="J1941" s="2" t="str">
        <f>VLOOKUP(B1941,'PO with created By ASR'!A:G,4,FALSE)</f>
        <v>Suresh Pardhle  -CR</v>
      </c>
      <c r="K1941" s="2" t="e">
        <f>VLOOKUP(B1941,'PO with created By ASR'!A:I,6,FALSE)</f>
        <v>#N/A</v>
      </c>
      <c r="L1941" s="2" t="str">
        <f>VLOOKUP(B1941,'PO with created By ASR'!A:J,7,FALSE)</f>
        <v>A - Mumbai</v>
      </c>
      <c r="M1941" s="2" t="str">
        <f>VLOOKUP(B1941,'PO with created By ASR'!A:K,8,FALSE)</f>
        <v>Purchase Order-Mum</v>
      </c>
      <c r="N1941" t="s">
        <v>36</v>
      </c>
      <c r="P1941" s="2">
        <v>6</v>
      </c>
    </row>
    <row r="1942" s="2" customFormat="1" spans="1:16">
      <c r="A1942" s="8"/>
      <c r="B1942" s="9" t="s">
        <v>3082</v>
      </c>
      <c r="C1942" s="10" t="s">
        <v>126</v>
      </c>
      <c r="D1942" s="11">
        <v>1</v>
      </c>
      <c r="E1942" s="12">
        <v>1308</v>
      </c>
      <c r="F1942" s="13">
        <v>1308</v>
      </c>
      <c r="G1942" s="2">
        <f>VLOOKUP(B1942,'PO with created By ASR'!A:C,3,FALSE)</f>
        <v>45701</v>
      </c>
      <c r="J1942" s="2" t="str">
        <f>VLOOKUP(B1942,'PO with created By ASR'!A:G,4,FALSE)</f>
        <v>Asif Khan  -CR</v>
      </c>
      <c r="K1942" s="2" t="e">
        <f>VLOOKUP(B1942,'PO with created By ASR'!A:I,6,FALSE)</f>
        <v>#N/A</v>
      </c>
      <c r="L1942" s="2" t="str">
        <f>VLOOKUP(B1942,'PO with created By ASR'!A:J,7,FALSE)</f>
        <v>A - Mumbai</v>
      </c>
      <c r="M1942" s="2" t="str">
        <f>VLOOKUP(B1942,'PO with created By ASR'!A:K,8,FALSE)</f>
        <v>Purchase Order-Mum</v>
      </c>
      <c r="N1942" t="s">
        <v>36</v>
      </c>
      <c r="P1942" s="2">
        <v>6</v>
      </c>
    </row>
    <row r="1943" s="2" customFormat="1" spans="1:16">
      <c r="A1943" s="8"/>
      <c r="B1943" s="9" t="s">
        <v>3083</v>
      </c>
      <c r="C1943" s="10" t="s">
        <v>140</v>
      </c>
      <c r="D1943" s="11">
        <v>1</v>
      </c>
      <c r="E1943" s="12">
        <v>1600</v>
      </c>
      <c r="F1943" s="13">
        <v>1600</v>
      </c>
      <c r="G1943" s="2">
        <f>VLOOKUP(B1943,'PO with created By ASR'!A:C,3,FALSE)</f>
        <v>45701</v>
      </c>
      <c r="J1943" s="2" t="str">
        <f>VLOOKUP(B1943,'PO with created By ASR'!A:G,4,FALSE)</f>
        <v>Sagar Traders-Mum</v>
      </c>
      <c r="K1943" s="2" t="str">
        <f>VLOOKUP(B1943,'PO with created By ASR'!A:I,6,FALSE)</f>
        <v>11387 Sagar Traders</v>
      </c>
      <c r="L1943" s="2" t="str">
        <f>VLOOKUP(B1943,'PO with created By ASR'!A:J,7,FALSE)</f>
        <v>A - Mumbai</v>
      </c>
      <c r="M1943" s="2" t="str">
        <f>VLOOKUP(B1943,'PO with created By ASR'!A:K,8,FALSE)</f>
        <v>Purchase Order-Mum</v>
      </c>
      <c r="N1943" t="s">
        <v>36</v>
      </c>
      <c r="P1943" s="2">
        <v>6</v>
      </c>
    </row>
    <row r="1944" s="2" customFormat="1" spans="1:16">
      <c r="A1944" s="8"/>
      <c r="B1944" s="9" t="s">
        <v>3084</v>
      </c>
      <c r="C1944" s="10" t="s">
        <v>371</v>
      </c>
      <c r="D1944" s="11">
        <v>1</v>
      </c>
      <c r="E1944" s="12">
        <v>45000</v>
      </c>
      <c r="F1944" s="13">
        <v>45000</v>
      </c>
      <c r="G1944" s="2">
        <f>VLOOKUP(B1944,'PO with created By ASR'!A:C,3,FALSE)</f>
        <v>45701</v>
      </c>
      <c r="J1944" s="2" t="str">
        <f>VLOOKUP(B1944,'PO with created By ASR'!A:G,4,FALSE)</f>
        <v>Shahida Farooqui (Multi Game Zone) (OTV)-Mum</v>
      </c>
      <c r="K1944" s="2" t="str">
        <f>VLOOKUP(B1944,'PO with created By ASR'!A:I,6,FALSE)</f>
        <v>12972 Shahida Farooqui (Multi Game Zone) (OTV)</v>
      </c>
      <c r="L1944" s="2" t="str">
        <f>VLOOKUP(B1944,'PO with created By ASR'!A:J,7,FALSE)</f>
        <v>A - Mumbai</v>
      </c>
      <c r="M1944" s="2" t="str">
        <f>VLOOKUP(B1944,'PO with created By ASR'!A:K,8,FALSE)</f>
        <v>Purchase Order-Mum</v>
      </c>
      <c r="N1944" t="s">
        <v>36</v>
      </c>
      <c r="P1944" s="2">
        <v>6</v>
      </c>
    </row>
    <row r="1945" s="2" customFormat="1" spans="1:16">
      <c r="A1945" s="8"/>
      <c r="B1945" s="9" t="s">
        <v>3088</v>
      </c>
      <c r="C1945" s="10" t="s">
        <v>233</v>
      </c>
      <c r="D1945" s="11">
        <v>1</v>
      </c>
      <c r="E1945" s="12">
        <v>66000</v>
      </c>
      <c r="F1945" s="13">
        <v>66000</v>
      </c>
      <c r="G1945" s="2">
        <f>VLOOKUP(B1945,'PO with created By ASR'!A:C,3,FALSE)</f>
        <v>45701</v>
      </c>
      <c r="J1945" s="2" t="str">
        <f>VLOOKUP(B1945,'PO with created By ASR'!A:G,4,FALSE)</f>
        <v>Mumbai Food Truck Society (Roysten Misquitta)-Mum</v>
      </c>
      <c r="K1945" s="2" t="str">
        <f>VLOOKUP(B1945,'PO with created By ASR'!A:I,6,FALSE)</f>
        <v>12947 Mumbai Food Truck Society (Roysten Misquitta)</v>
      </c>
      <c r="L1945" s="2" t="str">
        <f>VLOOKUP(B1945,'PO with created By ASR'!A:J,7,FALSE)</f>
        <v>A - Mumbai</v>
      </c>
      <c r="M1945" s="2" t="str">
        <f>VLOOKUP(B1945,'PO with created By ASR'!A:K,8,FALSE)</f>
        <v>Purchase Order-Mum</v>
      </c>
      <c r="N1945" t="s">
        <v>36</v>
      </c>
      <c r="P1945" s="2">
        <v>6</v>
      </c>
    </row>
    <row r="1946" s="2" customFormat="1" spans="1:16">
      <c r="A1946" s="8"/>
      <c r="B1946" s="9" t="s">
        <v>3091</v>
      </c>
      <c r="C1946" s="10" t="s">
        <v>317</v>
      </c>
      <c r="D1946" s="11">
        <v>1</v>
      </c>
      <c r="E1946" s="12">
        <v>100000</v>
      </c>
      <c r="F1946" s="13">
        <v>100000</v>
      </c>
      <c r="G1946" s="2">
        <f>VLOOKUP(B1946,'PO with created By ASR'!A:C,3,FALSE)</f>
        <v>45701</v>
      </c>
      <c r="J1946" s="2" t="str">
        <f>VLOOKUP(B1946,'PO with created By ASR'!A:G,4,FALSE)</f>
        <v>360 Bright Media-Mum</v>
      </c>
      <c r="K1946" s="2" t="str">
        <f>VLOOKUP(B1946,'PO with created By ASR'!A:I,6,FALSE)</f>
        <v>10105 360 Bright Media</v>
      </c>
      <c r="L1946" s="2" t="str">
        <f>VLOOKUP(B1946,'PO with created By ASR'!A:J,7,FALSE)</f>
        <v>A - Mumbai</v>
      </c>
      <c r="M1946" s="2" t="str">
        <f>VLOOKUP(B1946,'PO with created By ASR'!A:K,8,FALSE)</f>
        <v>Purchase Order-Mum</v>
      </c>
      <c r="N1946" t="s">
        <v>36</v>
      </c>
      <c r="P1946" s="2">
        <v>6</v>
      </c>
    </row>
    <row r="1947" s="2" customFormat="1" spans="1:16">
      <c r="A1947" s="8"/>
      <c r="B1947" s="9" t="s">
        <v>3092</v>
      </c>
      <c r="C1947" s="10" t="s">
        <v>256</v>
      </c>
      <c r="D1947" s="11">
        <v>1</v>
      </c>
      <c r="E1947" s="12">
        <v>75000</v>
      </c>
      <c r="F1947" s="13">
        <v>75000</v>
      </c>
      <c r="G1947" s="2">
        <f>VLOOKUP(B1947,'PO with created By ASR'!A:C,3,FALSE)</f>
        <v>45701</v>
      </c>
      <c r="J1947" s="2" t="str">
        <f>VLOOKUP(B1947,'PO with created By ASR'!A:G,4,FALSE)</f>
        <v>The Indian Performing Right Society Ltd.-Mum</v>
      </c>
      <c r="K1947" s="2" t="e">
        <f>VLOOKUP(B1947,'PO with created By ASR'!A:I,6,FALSE)</f>
        <v>#N/A</v>
      </c>
      <c r="L1947" s="2" t="str">
        <f>VLOOKUP(B1947,'PO with created By ASR'!A:J,7,FALSE)</f>
        <v>A - Mumbai</v>
      </c>
      <c r="M1947" s="2" t="str">
        <f>VLOOKUP(B1947,'PO with created By ASR'!A:K,8,FALSE)</f>
        <v>Purchase Order-Mum</v>
      </c>
      <c r="N1947" t="s">
        <v>36</v>
      </c>
      <c r="P1947" s="2">
        <v>6</v>
      </c>
    </row>
    <row r="1948" s="2" customFormat="1" spans="1:16">
      <c r="A1948" s="8"/>
      <c r="B1948" s="9" t="s">
        <v>3093</v>
      </c>
      <c r="C1948" s="10" t="s">
        <v>256</v>
      </c>
      <c r="D1948" s="11">
        <v>1</v>
      </c>
      <c r="E1948" s="12">
        <v>18000</v>
      </c>
      <c r="F1948" s="13">
        <v>18000</v>
      </c>
      <c r="G1948" s="2">
        <f>VLOOKUP(B1948,'PO with created By ASR'!A:C,3,FALSE)</f>
        <v>45701</v>
      </c>
      <c r="J1948" s="2" t="str">
        <f>VLOOKUP(B1948,'PO with created By ASR'!A:G,4,FALSE)</f>
        <v>Vista Services (Sainath Govind Shirke)-Mum</v>
      </c>
      <c r="K1948" s="2" t="str">
        <f>VLOOKUP(B1948,'PO with created By ASR'!A:I,6,FALSE)</f>
        <v>10237 Vista Services (Sainath Govind Shirke)</v>
      </c>
      <c r="L1948" s="2" t="str">
        <f>VLOOKUP(B1948,'PO with created By ASR'!A:J,7,FALSE)</f>
        <v>A - Mumbai</v>
      </c>
      <c r="M1948" s="2" t="str">
        <f>VLOOKUP(B1948,'PO with created By ASR'!A:K,8,FALSE)</f>
        <v>Purchase Order-Mum</v>
      </c>
      <c r="N1948" t="s">
        <v>36</v>
      </c>
      <c r="P1948" s="2">
        <v>6</v>
      </c>
    </row>
    <row r="1949" s="2" customFormat="1" spans="1:16">
      <c r="A1949" s="8"/>
      <c r="B1949" s="9" t="s">
        <v>3094</v>
      </c>
      <c r="C1949" s="10" t="s">
        <v>151</v>
      </c>
      <c r="D1949" s="11">
        <v>1</v>
      </c>
      <c r="E1949" s="12">
        <v>500000</v>
      </c>
      <c r="F1949" s="13">
        <v>500000</v>
      </c>
      <c r="G1949" s="2">
        <f>VLOOKUP(B1949,'PO with created By ASR'!A:C,3,FALSE)</f>
        <v>45701</v>
      </c>
      <c r="J1949" s="2" t="str">
        <f>VLOOKUP(B1949,'PO with created By ASR'!A:G,4,FALSE)</f>
        <v>Fabrile Productions-Mum</v>
      </c>
      <c r="K1949" s="2" t="str">
        <f>VLOOKUP(B1949,'PO with created By ASR'!A:I,6,FALSE)</f>
        <v>11909 Fabrile Productions</v>
      </c>
      <c r="L1949" s="2" t="str">
        <f>VLOOKUP(B1949,'PO with created By ASR'!A:J,7,FALSE)</f>
        <v>A - Mumbai</v>
      </c>
      <c r="M1949" s="2" t="str">
        <f>VLOOKUP(B1949,'PO with created By ASR'!A:K,8,FALSE)</f>
        <v>Purchase Order-Mum</v>
      </c>
      <c r="N1949" t="s">
        <v>36</v>
      </c>
      <c r="P1949" s="2">
        <v>6</v>
      </c>
    </row>
    <row r="1950" s="2" customFormat="1" spans="1:16">
      <c r="A1950" s="8"/>
      <c r="B1950" s="9" t="s">
        <v>3096</v>
      </c>
      <c r="C1950" s="10" t="s">
        <v>317</v>
      </c>
      <c r="D1950" s="11">
        <v>1</v>
      </c>
      <c r="E1950" s="12">
        <v>65000</v>
      </c>
      <c r="F1950" s="13">
        <v>65000</v>
      </c>
      <c r="G1950" s="2">
        <f>VLOOKUP(B1950,'PO with created By ASR'!A:C,3,FALSE)</f>
        <v>45701</v>
      </c>
      <c r="J1950" s="2" t="str">
        <f>VLOOKUP(B1950,'PO with created By ASR'!A:G,4,FALSE)</f>
        <v>Kalasiddha Creations-Mum</v>
      </c>
      <c r="K1950" s="2" t="str">
        <f>VLOOKUP(B1950,'PO with created By ASR'!A:I,6,FALSE)</f>
        <v>12070 Kalasiddha Creations</v>
      </c>
      <c r="L1950" s="2" t="str">
        <f>VLOOKUP(B1950,'PO with created By ASR'!A:J,7,FALSE)</f>
        <v>A - Mumbai</v>
      </c>
      <c r="M1950" s="2" t="str">
        <f>VLOOKUP(B1950,'PO with created By ASR'!A:K,8,FALSE)</f>
        <v>Purchase Order-Mum</v>
      </c>
      <c r="N1950" t="s">
        <v>36</v>
      </c>
      <c r="P1950" s="2">
        <v>6</v>
      </c>
    </row>
    <row r="1951" s="2" customFormat="1" spans="1:16">
      <c r="A1951" s="8"/>
      <c r="B1951" s="9" t="s">
        <v>3097</v>
      </c>
      <c r="C1951" s="10" t="s">
        <v>347</v>
      </c>
      <c r="D1951" s="11">
        <v>1</v>
      </c>
      <c r="E1951" s="12">
        <v>12000</v>
      </c>
      <c r="F1951" s="13">
        <v>12000</v>
      </c>
      <c r="G1951" s="2">
        <f>VLOOKUP(B1951,'PO with created By ASR'!A:C,3,FALSE)</f>
        <v>45701</v>
      </c>
      <c r="J1951" s="2" t="str">
        <f>VLOOKUP(B1951,'PO with created By ASR'!A:G,4,FALSE)</f>
        <v>Melting Mints-Mum</v>
      </c>
      <c r="K1951" s="2" t="str">
        <f>VLOOKUP(B1951,'PO with created By ASR'!A:I,6,FALSE)</f>
        <v>12134 Melting Mints</v>
      </c>
      <c r="L1951" s="2" t="str">
        <f>VLOOKUP(B1951,'PO with created By ASR'!A:J,7,FALSE)</f>
        <v>A - Mumbai</v>
      </c>
      <c r="M1951" s="2" t="str">
        <f>VLOOKUP(B1951,'PO with created By ASR'!A:K,8,FALSE)</f>
        <v>Purchase Order-Mum</v>
      </c>
      <c r="N1951" t="s">
        <v>36</v>
      </c>
      <c r="P1951" s="2">
        <v>6</v>
      </c>
    </row>
    <row r="1952" s="2" customFormat="1" spans="1:16">
      <c r="A1952" s="8"/>
      <c r="B1952" s="9" t="s">
        <v>3100</v>
      </c>
      <c r="C1952" s="10" t="s">
        <v>140</v>
      </c>
      <c r="D1952" s="11">
        <v>1</v>
      </c>
      <c r="E1952" s="12">
        <v>72552</v>
      </c>
      <c r="F1952" s="13">
        <v>72552</v>
      </c>
      <c r="G1952" s="2">
        <f>VLOOKUP(B1952,'PO with created By ASR'!A:C,3,FALSE)</f>
        <v>45701</v>
      </c>
      <c r="J1952" s="2" t="str">
        <f>VLOOKUP(B1952,'PO with created By ASR'!A:G,4,FALSE)</f>
        <v>Bappa Creation-Mum</v>
      </c>
      <c r="K1952" s="2" t="str">
        <f>VLOOKUP(B1952,'PO with created By ASR'!A:I,6,FALSE)</f>
        <v>12645 Bappa Creation</v>
      </c>
      <c r="L1952" s="2" t="str">
        <f>VLOOKUP(B1952,'PO with created By ASR'!A:J,7,FALSE)</f>
        <v>A - Mumbai</v>
      </c>
      <c r="M1952" s="2" t="str">
        <f>VLOOKUP(B1952,'PO with created By ASR'!A:K,8,FALSE)</f>
        <v>Purchase Order-Mum</v>
      </c>
      <c r="N1952" t="s">
        <v>36</v>
      </c>
      <c r="P1952" s="2">
        <v>6</v>
      </c>
    </row>
    <row r="1953" s="2" customFormat="1" spans="1:16">
      <c r="A1953" s="8"/>
      <c r="B1953" s="9" t="s">
        <v>3101</v>
      </c>
      <c r="C1953" s="10" t="s">
        <v>990</v>
      </c>
      <c r="D1953" s="11">
        <v>1</v>
      </c>
      <c r="E1953" s="12">
        <v>2400</v>
      </c>
      <c r="F1953" s="13">
        <v>2400</v>
      </c>
      <c r="G1953" s="2">
        <f>VLOOKUP(B1953,'PO with created By ASR'!A:C,3,FALSE)</f>
        <v>45701</v>
      </c>
      <c r="J1953" s="2" t="str">
        <f>VLOOKUP(B1953,'PO with created By ASR'!A:G,4,FALSE)</f>
        <v>Shree Vision-Mum</v>
      </c>
      <c r="K1953" s="2" t="str">
        <f>VLOOKUP(B1953,'PO with created By ASR'!A:I,6,FALSE)</f>
        <v>12401 Shree Vision</v>
      </c>
      <c r="L1953" s="2" t="str">
        <f>VLOOKUP(B1953,'PO with created By ASR'!A:J,7,FALSE)</f>
        <v>A - Mumbai</v>
      </c>
      <c r="M1953" s="2" t="str">
        <f>VLOOKUP(B1953,'PO with created By ASR'!A:K,8,FALSE)</f>
        <v>Purchase Order-Mum</v>
      </c>
      <c r="N1953" t="s">
        <v>36</v>
      </c>
      <c r="P1953" s="2">
        <v>6</v>
      </c>
    </row>
    <row r="1954" s="2" customFormat="1" spans="1:16">
      <c r="A1954" s="8"/>
      <c r="B1954" s="9" t="s">
        <v>3103</v>
      </c>
      <c r="C1954" s="10" t="s">
        <v>371</v>
      </c>
      <c r="D1954" s="11">
        <v>1</v>
      </c>
      <c r="E1954" s="12">
        <v>98875</v>
      </c>
      <c r="F1954" s="13">
        <v>98875</v>
      </c>
      <c r="G1954" s="2">
        <f>VLOOKUP(B1954,'PO with created By ASR'!A:C,3,FALSE)</f>
        <v>45701</v>
      </c>
      <c r="J1954" s="2" t="str">
        <f>VLOOKUP(B1954,'PO with created By ASR'!A:G,4,FALSE)</f>
        <v>Events Power-Mum</v>
      </c>
      <c r="K1954" s="2" t="str">
        <f>VLOOKUP(B1954,'PO with created By ASR'!A:I,6,FALSE)</f>
        <v>11895 Events Power</v>
      </c>
      <c r="L1954" s="2" t="str">
        <f>VLOOKUP(B1954,'PO with created By ASR'!A:J,7,FALSE)</f>
        <v>A - Mumbai</v>
      </c>
      <c r="M1954" s="2" t="str">
        <f>VLOOKUP(B1954,'PO with created By ASR'!A:K,8,FALSE)</f>
        <v>Purchase Order-Mum</v>
      </c>
      <c r="N1954" t="s">
        <v>36</v>
      </c>
      <c r="P1954" s="2">
        <v>6</v>
      </c>
    </row>
    <row r="1955" s="2" customFormat="1" spans="1:16">
      <c r="A1955" s="8"/>
      <c r="B1955" s="9" t="s">
        <v>3104</v>
      </c>
      <c r="C1955" s="10" t="s">
        <v>317</v>
      </c>
      <c r="D1955" s="11">
        <v>1</v>
      </c>
      <c r="E1955" s="12">
        <v>20000</v>
      </c>
      <c r="F1955" s="13">
        <v>20000</v>
      </c>
      <c r="G1955" s="2">
        <f>VLOOKUP(B1955,'PO with created By ASR'!A:C,3,FALSE)</f>
        <v>45701</v>
      </c>
      <c r="J1955" s="2" t="str">
        <f>VLOOKUP(B1955,'PO with created By ASR'!A:G,4,FALSE)</f>
        <v>Diya Event and Promotions-Mum</v>
      </c>
      <c r="K1955" s="2" t="str">
        <f>VLOOKUP(B1955,'PO with created By ASR'!A:I,6,FALSE)</f>
        <v>11833 Diya Event and Promotions</v>
      </c>
      <c r="L1955" s="2" t="str">
        <f>VLOOKUP(B1955,'PO with created By ASR'!A:J,7,FALSE)</f>
        <v>A - Mumbai</v>
      </c>
      <c r="M1955" s="2" t="str">
        <f>VLOOKUP(B1955,'PO with created By ASR'!A:K,8,FALSE)</f>
        <v>Purchase Order-Mum</v>
      </c>
      <c r="N1955" t="s">
        <v>36</v>
      </c>
      <c r="P1955" s="2">
        <v>6</v>
      </c>
    </row>
    <row r="1956" s="2" customFormat="1" spans="1:16">
      <c r="A1956" s="8"/>
      <c r="B1956" s="9" t="s">
        <v>3107</v>
      </c>
      <c r="C1956" s="10" t="s">
        <v>317</v>
      </c>
      <c r="D1956" s="11">
        <v>1</v>
      </c>
      <c r="E1956" s="12">
        <v>1200000</v>
      </c>
      <c r="F1956" s="13">
        <v>1200000</v>
      </c>
      <c r="G1956" s="2">
        <f>VLOOKUP(B1956,'PO with created By ASR'!A:C,3,FALSE)</f>
        <v>45701</v>
      </c>
      <c r="J1956" s="2" t="str">
        <f>VLOOKUP(B1956,'PO with created By ASR'!A:G,4,FALSE)</f>
        <v>Pro MFG Media Pvt Ltd-Mum</v>
      </c>
      <c r="K1956" s="2" t="str">
        <f>VLOOKUP(B1956,'PO with created By ASR'!A:I,6,FALSE)</f>
        <v>12890  Pro MFG Media Pvt Ltd</v>
      </c>
      <c r="L1956" s="2" t="str">
        <f>VLOOKUP(B1956,'PO with created By ASR'!A:J,7,FALSE)</f>
        <v>A - Mumbai</v>
      </c>
      <c r="M1956" s="2" t="str">
        <f>VLOOKUP(B1956,'PO with created By ASR'!A:K,8,FALSE)</f>
        <v>Purchase Order-Mum</v>
      </c>
      <c r="N1956" t="s">
        <v>36</v>
      </c>
      <c r="P1956" s="2">
        <v>6</v>
      </c>
    </row>
    <row r="1957" s="2" customFormat="1" spans="1:16">
      <c r="A1957" s="8"/>
      <c r="B1957" s="9" t="s">
        <v>3110</v>
      </c>
      <c r="C1957" s="10" t="s">
        <v>250</v>
      </c>
      <c r="D1957" s="11">
        <v>1</v>
      </c>
      <c r="E1957" s="12">
        <v>298884</v>
      </c>
      <c r="F1957" s="13">
        <v>298884</v>
      </c>
      <c r="G1957" s="2">
        <f>VLOOKUP(B1957,'PO with created By ASR'!A:C,3,FALSE)</f>
        <v>45701</v>
      </c>
      <c r="J1957" s="2" t="str">
        <f>VLOOKUP(B1957,'PO with created By ASR'!A:G,4,FALSE)</f>
        <v>Magical Instincts-Mum</v>
      </c>
      <c r="K1957" s="2" t="str">
        <f>VLOOKUP(B1957,'PO with created By ASR'!A:I,6,FALSE)</f>
        <v>12705 Magical Instincts</v>
      </c>
      <c r="L1957" s="2" t="str">
        <f>VLOOKUP(B1957,'PO with created By ASR'!A:J,7,FALSE)</f>
        <v>A - Mumbai</v>
      </c>
      <c r="M1957" s="2" t="str">
        <f>VLOOKUP(B1957,'PO with created By ASR'!A:K,8,FALSE)</f>
        <v>Purchase Order-Mum</v>
      </c>
      <c r="N1957" t="s">
        <v>36</v>
      </c>
      <c r="P1957" s="2">
        <v>6</v>
      </c>
    </row>
    <row r="1958" s="2" customFormat="1" spans="1:16">
      <c r="A1958" s="8"/>
      <c r="B1958" s="9" t="s">
        <v>3113</v>
      </c>
      <c r="C1958" s="10" t="s">
        <v>256</v>
      </c>
      <c r="D1958" s="11">
        <v>1</v>
      </c>
      <c r="E1958" s="12">
        <v>30000</v>
      </c>
      <c r="F1958" s="13">
        <v>30000</v>
      </c>
      <c r="G1958" s="2">
        <f>VLOOKUP(B1958,'PO with created By ASR'!A:C,3,FALSE)</f>
        <v>45701</v>
      </c>
      <c r="J1958" s="2" t="str">
        <f>VLOOKUP(B1958,'PO with created By ASR'!A:G,4,FALSE)</f>
        <v>The Indian Performing Right Society Ltd.-Mum</v>
      </c>
      <c r="K1958" s="2" t="e">
        <f>VLOOKUP(B1958,'PO with created By ASR'!A:I,6,FALSE)</f>
        <v>#N/A</v>
      </c>
      <c r="L1958" s="2" t="str">
        <f>VLOOKUP(B1958,'PO with created By ASR'!A:J,7,FALSE)</f>
        <v>A - Mumbai</v>
      </c>
      <c r="M1958" s="2" t="str">
        <f>VLOOKUP(B1958,'PO with created By ASR'!A:K,8,FALSE)</f>
        <v>Purchase Order-Mum</v>
      </c>
      <c r="N1958" t="s">
        <v>36</v>
      </c>
      <c r="P1958" s="2">
        <v>6</v>
      </c>
    </row>
    <row r="1959" s="2" customFormat="1" spans="1:16">
      <c r="A1959" s="8"/>
      <c r="B1959" s="9" t="s">
        <v>3115</v>
      </c>
      <c r="C1959" s="10" t="s">
        <v>256</v>
      </c>
      <c r="D1959" s="11">
        <v>1</v>
      </c>
      <c r="E1959" s="12">
        <v>50875</v>
      </c>
      <c r="F1959" s="13">
        <v>50875</v>
      </c>
      <c r="G1959" s="2">
        <f>VLOOKUP(B1959,'PO with created By ASR'!A:C,3,FALSE)</f>
        <v>45701</v>
      </c>
      <c r="J1959" s="2" t="str">
        <f>VLOOKUP(B1959,'PO with created By ASR'!A:G,4,FALSE)</f>
        <v>Phonographic Performance Limited-Mum</v>
      </c>
      <c r="K1959" s="2" t="e">
        <f>VLOOKUP(B1959,'PO with created By ASR'!A:I,6,FALSE)</f>
        <v>#N/A</v>
      </c>
      <c r="L1959" s="2" t="str">
        <f>VLOOKUP(B1959,'PO with created By ASR'!A:J,7,FALSE)</f>
        <v>A - Mumbai</v>
      </c>
      <c r="M1959" s="2" t="str">
        <f>VLOOKUP(B1959,'PO with created By ASR'!A:K,8,FALSE)</f>
        <v>Purchase Order-Mum</v>
      </c>
      <c r="N1959" t="s">
        <v>36</v>
      </c>
      <c r="P1959" s="2">
        <v>6</v>
      </c>
    </row>
    <row r="1960" s="2" customFormat="1" spans="1:16">
      <c r="A1960" s="8"/>
      <c r="B1960" s="9" t="s">
        <v>3116</v>
      </c>
      <c r="C1960" s="10" t="s">
        <v>256</v>
      </c>
      <c r="D1960" s="11">
        <v>1</v>
      </c>
      <c r="E1960" s="12">
        <v>46500</v>
      </c>
      <c r="F1960" s="13">
        <v>46500</v>
      </c>
      <c r="G1960" s="2">
        <f>VLOOKUP(B1960,'PO with created By ASR'!A:C,3,FALSE)</f>
        <v>45701</v>
      </c>
      <c r="J1960" s="2" t="str">
        <f>VLOOKUP(B1960,'PO with created By ASR'!A:G,4,FALSE)</f>
        <v>Novex Communications Pvt. Ltd.-Mum</v>
      </c>
      <c r="K1960" s="2" t="e">
        <f>VLOOKUP(B1960,'PO with created By ASR'!A:I,6,FALSE)</f>
        <v>#N/A</v>
      </c>
      <c r="L1960" s="2" t="str">
        <f>VLOOKUP(B1960,'PO with created By ASR'!A:J,7,FALSE)</f>
        <v>A - Mumbai</v>
      </c>
      <c r="M1960" s="2" t="str">
        <f>VLOOKUP(B1960,'PO with created By ASR'!A:K,8,FALSE)</f>
        <v>Purchase Order-Mum</v>
      </c>
      <c r="N1960" t="s">
        <v>36</v>
      </c>
      <c r="P1960" s="2">
        <v>6</v>
      </c>
    </row>
    <row r="1961" s="2" customFormat="1" spans="1:16">
      <c r="A1961" s="8"/>
      <c r="B1961" s="9" t="s">
        <v>3117</v>
      </c>
      <c r="C1961" s="10" t="s">
        <v>140</v>
      </c>
      <c r="D1961" s="11">
        <v>1</v>
      </c>
      <c r="E1961" s="12">
        <v>49000</v>
      </c>
      <c r="F1961" s="13">
        <v>49000</v>
      </c>
      <c r="G1961" s="2">
        <f>VLOOKUP(B1961,'PO with created By ASR'!A:C,3,FALSE)</f>
        <v>45702</v>
      </c>
      <c r="J1961" s="2" t="str">
        <f>VLOOKUP(B1961,'PO with created By ASR'!A:G,4,FALSE)</f>
        <v>Idesign Awards &amp; Trophies Pvt Ltd-Blr</v>
      </c>
      <c r="K1961" s="2" t="str">
        <f>VLOOKUP(B1961,'PO with created By ASR'!A:I,6,FALSE)</f>
        <v>10159  Idesign Awards &amp; Trophies Pvt Ltd</v>
      </c>
      <c r="L1961" s="2" t="str">
        <f>VLOOKUP(B1961,'PO with created By ASR'!A:J,7,FALSE)</f>
        <v>B - Bangalore</v>
      </c>
      <c r="M1961" s="2" t="str">
        <f>VLOOKUP(B1961,'PO with created By ASR'!A:K,8,FALSE)</f>
        <v>Purchase Order-Blr</v>
      </c>
      <c r="N1961" t="s">
        <v>36</v>
      </c>
      <c r="P1961" s="2">
        <v>6</v>
      </c>
    </row>
    <row r="1962" s="2" customFormat="1" spans="1:16">
      <c r="A1962" s="8"/>
      <c r="B1962" s="9" t="s">
        <v>3120</v>
      </c>
      <c r="C1962" s="10" t="s">
        <v>151</v>
      </c>
      <c r="D1962" s="11">
        <v>1</v>
      </c>
      <c r="E1962" s="12">
        <v>1001000</v>
      </c>
      <c r="F1962" s="13">
        <v>1001000</v>
      </c>
      <c r="G1962" s="2">
        <f>VLOOKUP(B1962,'PO with created By ASR'!A:C,3,FALSE)</f>
        <v>45702</v>
      </c>
      <c r="J1962" s="2" t="str">
        <f>VLOOKUP(B1962,'PO with created By ASR'!A:G,4,FALSE)</f>
        <v>The Uniq Co (Meghana Bhat)-Blr</v>
      </c>
      <c r="K1962" s="2" t="str">
        <f>VLOOKUP(B1962,'PO with created By ASR'!A:I,6,FALSE)</f>
        <v>12755 The Uniq Co (Meghana Bhat)</v>
      </c>
      <c r="L1962" s="2" t="str">
        <f>VLOOKUP(B1962,'PO with created By ASR'!A:J,7,FALSE)</f>
        <v>B - Bangalore</v>
      </c>
      <c r="M1962" s="2" t="str">
        <f>VLOOKUP(B1962,'PO with created By ASR'!A:K,8,FALSE)</f>
        <v>Purchase Order-Blr</v>
      </c>
      <c r="N1962" t="s">
        <v>36</v>
      </c>
      <c r="P1962" s="2">
        <v>6</v>
      </c>
    </row>
    <row r="1963" s="2" customFormat="1" spans="1:16">
      <c r="A1963" s="8"/>
      <c r="B1963" s="9" t="s">
        <v>3125</v>
      </c>
      <c r="C1963" s="10" t="s">
        <v>837</v>
      </c>
      <c r="D1963" s="11">
        <v>1</v>
      </c>
      <c r="E1963" s="12">
        <v>3118.5</v>
      </c>
      <c r="F1963" s="13">
        <v>3118.5</v>
      </c>
      <c r="G1963" s="2">
        <f>VLOOKUP(B1963,'PO with created By ASR'!A:C,3,FALSE)</f>
        <v>45702</v>
      </c>
      <c r="J1963" s="2" t="str">
        <f>VLOOKUP(B1963,'PO with created By ASR'!A:G,4,FALSE)</f>
        <v>Sri Venkateshwara Enterprises-Blr</v>
      </c>
      <c r="K1963" s="2" t="str">
        <f>VLOOKUP(B1963,'PO with created By ASR'!A:I,6,FALSE)</f>
        <v>11528 Sri Venkateshwara Enterprises</v>
      </c>
      <c r="L1963" s="2" t="str">
        <f>VLOOKUP(B1963,'PO with created By ASR'!A:J,7,FALSE)</f>
        <v>B - Bangalore</v>
      </c>
      <c r="M1963" s="2" t="str">
        <f>VLOOKUP(B1963,'PO with created By ASR'!A:K,8,FALSE)</f>
        <v>Purchase Order-Blr</v>
      </c>
      <c r="N1963" t="s">
        <v>36</v>
      </c>
      <c r="P1963" s="2">
        <v>6</v>
      </c>
    </row>
    <row r="1964" s="2" customFormat="1" spans="1:16">
      <c r="A1964" s="8"/>
      <c r="B1964" s="9" t="s">
        <v>3126</v>
      </c>
      <c r="C1964" s="10" t="s">
        <v>134</v>
      </c>
      <c r="D1964" s="11">
        <v>1</v>
      </c>
      <c r="E1964" s="12">
        <v>5022</v>
      </c>
      <c r="F1964" s="13">
        <v>5022</v>
      </c>
      <c r="G1964" s="2">
        <f>VLOOKUP(B1964,'PO with created By ASR'!A:C,3,FALSE)</f>
        <v>45702</v>
      </c>
      <c r="J1964" s="2" t="str">
        <f>VLOOKUP(B1964,'PO with created By ASR'!A:G,4,FALSE)</f>
        <v>Megha Mittal -CR</v>
      </c>
      <c r="K1964" s="2" t="e">
        <f>VLOOKUP(B1964,'PO with created By ASR'!A:I,6,FALSE)</f>
        <v>#N/A</v>
      </c>
      <c r="L1964" s="2" t="str">
        <f>VLOOKUP(B1964,'PO with created By ASR'!A:J,7,FALSE)</f>
        <v>B - Bangalore</v>
      </c>
      <c r="M1964" s="2" t="str">
        <f>VLOOKUP(B1964,'PO with created By ASR'!A:K,8,FALSE)</f>
        <v>Purchase Order-Blr</v>
      </c>
      <c r="N1964" t="s">
        <v>36</v>
      </c>
      <c r="P1964" s="2">
        <v>6</v>
      </c>
    </row>
    <row r="1965" s="2" customFormat="1" spans="1:16">
      <c r="A1965" s="8"/>
      <c r="B1965" s="9" t="s">
        <v>3126</v>
      </c>
      <c r="C1965" s="10" t="s">
        <v>107</v>
      </c>
      <c r="D1965" s="11">
        <v>1</v>
      </c>
      <c r="E1965" s="12">
        <v>1051</v>
      </c>
      <c r="F1965" s="13">
        <v>1051</v>
      </c>
      <c r="G1965" s="2">
        <f>VLOOKUP(B1965,'PO with created By ASR'!A:C,3,FALSE)</f>
        <v>45702</v>
      </c>
      <c r="J1965" s="2" t="str">
        <f>VLOOKUP(B1965,'PO with created By ASR'!A:G,4,FALSE)</f>
        <v>Megha Mittal -CR</v>
      </c>
      <c r="K1965" s="2" t="e">
        <f>VLOOKUP(B1965,'PO with created By ASR'!A:I,6,FALSE)</f>
        <v>#N/A</v>
      </c>
      <c r="L1965" s="2" t="str">
        <f>VLOOKUP(B1965,'PO with created By ASR'!A:J,7,FALSE)</f>
        <v>B - Bangalore</v>
      </c>
      <c r="M1965" s="2" t="str">
        <f>VLOOKUP(B1965,'PO with created By ASR'!A:K,8,FALSE)</f>
        <v>Purchase Order-Blr</v>
      </c>
      <c r="N1965" t="s">
        <v>36</v>
      </c>
      <c r="P1965" s="2">
        <v>6</v>
      </c>
    </row>
    <row r="1966" s="2" customFormat="1" spans="1:16">
      <c r="A1966" s="8"/>
      <c r="B1966" s="9" t="s">
        <v>3127</v>
      </c>
      <c r="C1966" s="10" t="s">
        <v>1055</v>
      </c>
      <c r="D1966" s="11">
        <v>1</v>
      </c>
      <c r="E1966" s="12">
        <v>6500</v>
      </c>
      <c r="F1966" s="13">
        <v>6500</v>
      </c>
      <c r="G1966" s="2">
        <f>VLOOKUP(B1966,'PO with created By ASR'!A:C,3,FALSE)</f>
        <v>45702</v>
      </c>
      <c r="J1966" s="2" t="str">
        <f>VLOOKUP(B1966,'PO with created By ASR'!A:G,4,FALSE)</f>
        <v>Abdul Rehman -CR</v>
      </c>
      <c r="K1966" s="2" t="e">
        <f>VLOOKUP(B1966,'PO with created By ASR'!A:I,6,FALSE)</f>
        <v>#N/A</v>
      </c>
      <c r="L1966" s="2" t="str">
        <f>VLOOKUP(B1966,'PO with created By ASR'!A:J,7,FALSE)</f>
        <v>B - Bangalore</v>
      </c>
      <c r="M1966" s="2" t="str">
        <f>VLOOKUP(B1966,'PO with created By ASR'!A:K,8,FALSE)</f>
        <v>Purchase Order-Blr</v>
      </c>
      <c r="N1966" t="s">
        <v>36</v>
      </c>
      <c r="P1966" s="2">
        <v>6</v>
      </c>
    </row>
    <row r="1967" s="2" customFormat="1" spans="1:16">
      <c r="A1967" s="8"/>
      <c r="B1967" s="9" t="s">
        <v>3128</v>
      </c>
      <c r="C1967" s="10" t="s">
        <v>134</v>
      </c>
      <c r="D1967" s="11">
        <v>1</v>
      </c>
      <c r="E1967" s="12">
        <v>2824</v>
      </c>
      <c r="F1967" s="13">
        <v>2824</v>
      </c>
      <c r="G1967" s="2">
        <f>VLOOKUP(B1967,'PO with created By ASR'!A:C,3,FALSE)</f>
        <v>45702</v>
      </c>
      <c r="J1967" s="2" t="str">
        <f>VLOOKUP(B1967,'PO with created By ASR'!A:G,4,FALSE)</f>
        <v>Anurama V  -CR</v>
      </c>
      <c r="K1967" s="2" t="e">
        <f>VLOOKUP(B1967,'PO with created By ASR'!A:I,6,FALSE)</f>
        <v>#N/A</v>
      </c>
      <c r="L1967" s="2" t="str">
        <f>VLOOKUP(B1967,'PO with created By ASR'!A:J,7,FALSE)</f>
        <v>B - Bangalore</v>
      </c>
      <c r="M1967" s="2" t="str">
        <f>VLOOKUP(B1967,'PO with created By ASR'!A:K,8,FALSE)</f>
        <v>Purchase Order-Blr</v>
      </c>
      <c r="N1967" t="s">
        <v>36</v>
      </c>
      <c r="P1967" s="2">
        <v>6</v>
      </c>
    </row>
    <row r="1968" s="2" customFormat="1" spans="1:16">
      <c r="A1968" s="8"/>
      <c r="B1968" s="9" t="s">
        <v>3129</v>
      </c>
      <c r="C1968" s="10" t="s">
        <v>151</v>
      </c>
      <c r="D1968" s="11">
        <v>1</v>
      </c>
      <c r="E1968" s="12">
        <v>25000</v>
      </c>
      <c r="F1968" s="13">
        <v>25000</v>
      </c>
      <c r="G1968" s="2">
        <f>VLOOKUP(B1968,'PO with created By ASR'!A:C,3,FALSE)</f>
        <v>45702</v>
      </c>
      <c r="J1968" s="2" t="str">
        <f>VLOOKUP(B1968,'PO with created By ASR'!A:G,4,FALSE)</f>
        <v>M.M.Blossoms-Che</v>
      </c>
      <c r="K1968" s="2" t="e">
        <f>VLOOKUP(B1968,'PO with created By ASR'!A:I,6,FALSE)</f>
        <v>#N/A</v>
      </c>
      <c r="L1968" s="2" t="str">
        <f>VLOOKUP(B1968,'PO with created By ASR'!A:J,7,FALSE)</f>
        <v>C - Chennai</v>
      </c>
      <c r="M1968" s="2" t="str">
        <f>VLOOKUP(B1968,'PO with created By ASR'!A:K,8,FALSE)</f>
        <v>Purchase Order-Che</v>
      </c>
      <c r="N1968" t="s">
        <v>36</v>
      </c>
      <c r="P1968" s="2">
        <v>6</v>
      </c>
    </row>
    <row r="1969" s="2" customFormat="1" spans="1:16">
      <c r="A1969" s="8"/>
      <c r="B1969" s="9" t="s">
        <v>3131</v>
      </c>
      <c r="C1969" s="10" t="s">
        <v>401</v>
      </c>
      <c r="D1969" s="11">
        <v>1</v>
      </c>
      <c r="E1969" s="12">
        <v>65000</v>
      </c>
      <c r="F1969" s="13">
        <v>65000</v>
      </c>
      <c r="G1969" s="2">
        <f>VLOOKUP(B1969,'PO with created By ASR'!A:C,3,FALSE)</f>
        <v>45702</v>
      </c>
      <c r="J1969" s="2" t="str">
        <f>VLOOKUP(B1969,'PO with created By ASR'!A:G,4,FALSE)</f>
        <v>Bilimbe Digital-Che</v>
      </c>
      <c r="K1969" s="2" t="str">
        <f>VLOOKUP(B1969,'PO with created By ASR'!A:I,6,FALSE)</f>
        <v>11728 Bilimbe Digital</v>
      </c>
      <c r="L1969" s="2" t="str">
        <f>VLOOKUP(B1969,'PO with created By ASR'!A:J,7,FALSE)</f>
        <v>C - Chennai</v>
      </c>
      <c r="M1969" s="2" t="str">
        <f>VLOOKUP(B1969,'PO with created By ASR'!A:K,8,FALSE)</f>
        <v>Purchase Order-Che</v>
      </c>
      <c r="N1969" t="s">
        <v>36</v>
      </c>
      <c r="P1969" s="2">
        <v>6</v>
      </c>
    </row>
    <row r="1970" s="2" customFormat="1" spans="1:16">
      <c r="A1970" s="8"/>
      <c r="B1970" s="9" t="s">
        <v>3134</v>
      </c>
      <c r="C1970" s="10" t="s">
        <v>292</v>
      </c>
      <c r="D1970" s="11">
        <v>1</v>
      </c>
      <c r="E1970" s="12">
        <v>40000</v>
      </c>
      <c r="F1970" s="13">
        <v>40000</v>
      </c>
      <c r="G1970" s="2">
        <f>VLOOKUP(B1970,'PO with created By ASR'!A:C,3,FALSE)</f>
        <v>45702</v>
      </c>
      <c r="J1970" s="2" t="str">
        <f>VLOOKUP(B1970,'PO with created By ASR'!A:G,4,FALSE)</f>
        <v>Shanmugam J-Che</v>
      </c>
      <c r="K1970" s="2" t="str">
        <f>VLOOKUP(B1970,'PO with created By ASR'!A:I,6,FALSE)</f>
        <v>12917 Shanmugam J</v>
      </c>
      <c r="L1970" s="2" t="str">
        <f>VLOOKUP(B1970,'PO with created By ASR'!A:J,7,FALSE)</f>
        <v>C - Chennai</v>
      </c>
      <c r="M1970" s="2" t="str">
        <f>VLOOKUP(B1970,'PO with created By ASR'!A:K,8,FALSE)</f>
        <v>Purchase Order-Che</v>
      </c>
      <c r="N1970" t="s">
        <v>36</v>
      </c>
      <c r="P1970" s="2">
        <v>6</v>
      </c>
    </row>
    <row r="1971" s="2" customFormat="1" spans="1:16">
      <c r="A1971" s="8"/>
      <c r="B1971" s="9" t="s">
        <v>3135</v>
      </c>
      <c r="C1971" s="10" t="s">
        <v>401</v>
      </c>
      <c r="D1971" s="11">
        <v>1</v>
      </c>
      <c r="E1971" s="12">
        <v>52000</v>
      </c>
      <c r="F1971" s="13">
        <v>52000</v>
      </c>
      <c r="G1971" s="2">
        <f>VLOOKUP(B1971,'PO with created By ASR'!A:C,3,FALSE)</f>
        <v>45702</v>
      </c>
      <c r="J1971" s="2" t="str">
        <f>VLOOKUP(B1971,'PO with created By ASR'!A:G,4,FALSE)</f>
        <v>Mj Digital-Che</v>
      </c>
      <c r="K1971" s="2" t="str">
        <f>VLOOKUP(B1971,'PO with created By ASR'!A:I,6,FALSE)</f>
        <v>12157 MJ Digital</v>
      </c>
      <c r="L1971" s="2" t="str">
        <f>VLOOKUP(B1971,'PO with created By ASR'!A:J,7,FALSE)</f>
        <v>C - Chennai</v>
      </c>
      <c r="M1971" s="2" t="str">
        <f>VLOOKUP(B1971,'PO with created By ASR'!A:K,8,FALSE)</f>
        <v>Purchase Order-Che</v>
      </c>
      <c r="N1971" t="s">
        <v>36</v>
      </c>
      <c r="P1971" s="2">
        <v>6</v>
      </c>
    </row>
    <row r="1972" s="2" customFormat="1" spans="1:16">
      <c r="A1972" s="8"/>
      <c r="B1972" s="9" t="s">
        <v>3136</v>
      </c>
      <c r="C1972" s="10" t="s">
        <v>196</v>
      </c>
      <c r="D1972" s="11">
        <v>1</v>
      </c>
      <c r="E1972" s="12">
        <v>29200</v>
      </c>
      <c r="F1972" s="13">
        <v>29200</v>
      </c>
      <c r="G1972" s="2">
        <f>VLOOKUP(B1972,'PO with created By ASR'!A:C,3,FALSE)</f>
        <v>45702</v>
      </c>
      <c r="J1972" s="2" t="str">
        <f>VLOOKUP(B1972,'PO with created By ASR'!A:G,4,FALSE)</f>
        <v>Eco Prints-Che</v>
      </c>
      <c r="K1972" s="2" t="str">
        <f>VLOOKUP(B1972,'PO with created By ASR'!A:I,6,FALSE)</f>
        <v>11857 Eco Prints</v>
      </c>
      <c r="L1972" s="2" t="str">
        <f>VLOOKUP(B1972,'PO with created By ASR'!A:J,7,FALSE)</f>
        <v>C - Chennai</v>
      </c>
      <c r="M1972" s="2" t="str">
        <f>VLOOKUP(B1972,'PO with created By ASR'!A:K,8,FALSE)</f>
        <v>Purchase Order-Che</v>
      </c>
      <c r="N1972" t="s">
        <v>36</v>
      </c>
      <c r="P1972" s="2">
        <v>6</v>
      </c>
    </row>
    <row r="1973" s="2" customFormat="1" spans="1:16">
      <c r="A1973" s="8"/>
      <c r="B1973" s="9" t="s">
        <v>3137</v>
      </c>
      <c r="C1973" s="10" t="s">
        <v>140</v>
      </c>
      <c r="D1973" s="11">
        <v>1</v>
      </c>
      <c r="E1973" s="12">
        <v>142100</v>
      </c>
      <c r="F1973" s="13">
        <v>142100</v>
      </c>
      <c r="G1973" s="2">
        <f>VLOOKUP(B1973,'PO with created By ASR'!A:C,3,FALSE)</f>
        <v>45702</v>
      </c>
      <c r="J1973" s="2" t="str">
        <f>VLOOKUP(B1973,'PO with created By ASR'!A:G,4,FALSE)</f>
        <v>Zpay Solutions Private Limited-Del</v>
      </c>
      <c r="K1973" s="2" t="e">
        <f>VLOOKUP(B1973,'PO with created By ASR'!A:I,6,FALSE)</f>
        <v>#N/A</v>
      </c>
      <c r="L1973" s="2" t="str">
        <f>VLOOKUP(B1973,'PO with created By ASR'!A:J,7,FALSE)</f>
        <v>D - Delhi</v>
      </c>
      <c r="M1973" s="2" t="str">
        <f>VLOOKUP(B1973,'PO with created By ASR'!A:K,8,FALSE)</f>
        <v>Purchase Order-Del</v>
      </c>
      <c r="N1973" t="s">
        <v>36</v>
      </c>
      <c r="P1973" s="2">
        <v>6</v>
      </c>
    </row>
    <row r="1974" s="2" customFormat="1" spans="1:16">
      <c r="A1974" s="8"/>
      <c r="B1974" s="9" t="s">
        <v>3138</v>
      </c>
      <c r="C1974" s="10" t="s">
        <v>196</v>
      </c>
      <c r="D1974" s="11">
        <v>1</v>
      </c>
      <c r="E1974" s="12">
        <v>9800</v>
      </c>
      <c r="F1974" s="13">
        <v>9800</v>
      </c>
      <c r="G1974" s="2">
        <f>VLOOKUP(B1974,'PO with created By ASR'!A:C,3,FALSE)</f>
        <v>45702</v>
      </c>
      <c r="J1974" s="2" t="str">
        <f>VLOOKUP(B1974,'PO with created By ASR'!A:G,4,FALSE)</f>
        <v>Corporate Gift-Del</v>
      </c>
      <c r="K1974" s="2" t="str">
        <f>VLOOKUP(B1974,'PO with created By ASR'!A:I,6,FALSE)</f>
        <v>11790 Corporate Gift</v>
      </c>
      <c r="L1974" s="2" t="str">
        <f>VLOOKUP(B1974,'PO with created By ASR'!A:J,7,FALSE)</f>
        <v>D - Delhi</v>
      </c>
      <c r="M1974" s="2" t="str">
        <f>VLOOKUP(B1974,'PO with created By ASR'!A:K,8,FALSE)</f>
        <v>Purchase Order-Del</v>
      </c>
      <c r="N1974" t="s">
        <v>36</v>
      </c>
      <c r="P1974" s="2">
        <v>6</v>
      </c>
    </row>
    <row r="1975" s="2" customFormat="1" spans="1:16">
      <c r="A1975" s="8"/>
      <c r="B1975" s="9" t="s">
        <v>3139</v>
      </c>
      <c r="C1975" s="10" t="s">
        <v>196</v>
      </c>
      <c r="D1975" s="11">
        <v>1</v>
      </c>
      <c r="E1975" s="12">
        <v>595510</v>
      </c>
      <c r="F1975" s="13">
        <v>595510</v>
      </c>
      <c r="G1975" s="2">
        <f>VLOOKUP(B1975,'PO with created By ASR'!A:C,3,FALSE)</f>
        <v>45702</v>
      </c>
      <c r="J1975" s="2" t="str">
        <f>VLOOKUP(B1975,'PO with created By ASR'!A:G,4,FALSE)</f>
        <v>Corporate Gift-Del</v>
      </c>
      <c r="K1975" s="2" t="str">
        <f>VLOOKUP(B1975,'PO with created By ASR'!A:I,6,FALSE)</f>
        <v>11790 Corporate Gift</v>
      </c>
      <c r="L1975" s="2" t="str">
        <f>VLOOKUP(B1975,'PO with created By ASR'!A:J,7,FALSE)</f>
        <v>D - Delhi</v>
      </c>
      <c r="M1975" s="2" t="str">
        <f>VLOOKUP(B1975,'PO with created By ASR'!A:K,8,FALSE)</f>
        <v>Purchase Order-Del</v>
      </c>
      <c r="N1975" t="s">
        <v>36</v>
      </c>
      <c r="P1975" s="2">
        <v>6</v>
      </c>
    </row>
    <row r="1976" s="2" customFormat="1" spans="1:16">
      <c r="A1976" s="8"/>
      <c r="B1976" s="9" t="s">
        <v>3140</v>
      </c>
      <c r="C1976" s="10" t="s">
        <v>196</v>
      </c>
      <c r="D1976" s="11">
        <v>1</v>
      </c>
      <c r="E1976" s="12">
        <v>82200</v>
      </c>
      <c r="F1976" s="13">
        <v>82200</v>
      </c>
      <c r="G1976" s="2">
        <f>VLOOKUP(B1976,'PO with created By ASR'!A:C,3,FALSE)</f>
        <v>45702</v>
      </c>
      <c r="J1976" s="2" t="str">
        <f>VLOOKUP(B1976,'PO with created By ASR'!A:G,4,FALSE)</f>
        <v>Fortune Print Services-Del</v>
      </c>
      <c r="K1976" s="2" t="str">
        <f>VLOOKUP(B1976,'PO with created By ASR'!A:I,6,FALSE)</f>
        <v>11930 Fortune Print Services</v>
      </c>
      <c r="L1976" s="2" t="str">
        <f>VLOOKUP(B1976,'PO with created By ASR'!A:J,7,FALSE)</f>
        <v>D - Delhi</v>
      </c>
      <c r="M1976" s="2" t="str">
        <f>VLOOKUP(B1976,'PO with created By ASR'!A:K,8,FALSE)</f>
        <v>Purchase Order-Del</v>
      </c>
      <c r="N1976" t="s">
        <v>36</v>
      </c>
      <c r="P1976" s="2">
        <v>6</v>
      </c>
    </row>
    <row r="1977" s="2" customFormat="1" spans="1:16">
      <c r="A1977" s="8"/>
      <c r="B1977" s="9" t="s">
        <v>3143</v>
      </c>
      <c r="C1977" s="10" t="s">
        <v>126</v>
      </c>
      <c r="D1977" s="11">
        <v>1</v>
      </c>
      <c r="E1977" s="12">
        <v>8429</v>
      </c>
      <c r="F1977" s="13">
        <v>8429</v>
      </c>
      <c r="G1977" s="2">
        <f>VLOOKUP(B1977,'PO with created By ASR'!A:C,3,FALSE)</f>
        <v>45702</v>
      </c>
      <c r="J1977" s="2" t="str">
        <f>VLOOKUP(B1977,'PO with created By ASR'!A:G,4,FALSE)</f>
        <v>Vanshika Malhotra -CR</v>
      </c>
      <c r="K1977" s="2" t="e">
        <f>VLOOKUP(B1977,'PO with created By ASR'!A:I,6,FALSE)</f>
        <v>#N/A</v>
      </c>
      <c r="L1977" s="2" t="str">
        <f>VLOOKUP(B1977,'PO with created By ASR'!A:J,7,FALSE)</f>
        <v>D - Delhi</v>
      </c>
      <c r="M1977" s="2" t="str">
        <f>VLOOKUP(B1977,'PO with created By ASR'!A:K,8,FALSE)</f>
        <v>Purchase Order-Del</v>
      </c>
      <c r="N1977" t="s">
        <v>36</v>
      </c>
      <c r="P1977" s="2">
        <v>6</v>
      </c>
    </row>
    <row r="1978" s="2" customFormat="1" spans="1:16">
      <c r="A1978" s="8"/>
      <c r="B1978" s="9" t="s">
        <v>3143</v>
      </c>
      <c r="C1978" s="10" t="s">
        <v>412</v>
      </c>
      <c r="D1978" s="11">
        <v>1</v>
      </c>
      <c r="E1978" s="12">
        <v>150</v>
      </c>
      <c r="F1978" s="13">
        <v>150</v>
      </c>
      <c r="G1978" s="2">
        <f>VLOOKUP(B1978,'PO with created By ASR'!A:C,3,FALSE)</f>
        <v>45702</v>
      </c>
      <c r="J1978" s="2" t="str">
        <f>VLOOKUP(B1978,'PO with created By ASR'!A:G,4,FALSE)</f>
        <v>Vanshika Malhotra -CR</v>
      </c>
      <c r="K1978" s="2" t="e">
        <f>VLOOKUP(B1978,'PO with created By ASR'!A:I,6,FALSE)</f>
        <v>#N/A</v>
      </c>
      <c r="L1978" s="2" t="str">
        <f>VLOOKUP(B1978,'PO with created By ASR'!A:J,7,FALSE)</f>
        <v>D - Delhi</v>
      </c>
      <c r="M1978" s="2" t="str">
        <f>VLOOKUP(B1978,'PO with created By ASR'!A:K,8,FALSE)</f>
        <v>Purchase Order-Del</v>
      </c>
      <c r="N1978" t="s">
        <v>36</v>
      </c>
      <c r="P1978" s="2">
        <v>6</v>
      </c>
    </row>
    <row r="1979" s="2" customFormat="1" spans="1:16">
      <c r="A1979" s="8"/>
      <c r="B1979" s="9" t="s">
        <v>3143</v>
      </c>
      <c r="C1979" s="10" t="s">
        <v>233</v>
      </c>
      <c r="D1979" s="11">
        <v>1</v>
      </c>
      <c r="E1979" s="12">
        <v>3781</v>
      </c>
      <c r="F1979" s="13">
        <v>3781</v>
      </c>
      <c r="G1979" s="2">
        <f>VLOOKUP(B1979,'PO with created By ASR'!A:C,3,FALSE)</f>
        <v>45702</v>
      </c>
      <c r="J1979" s="2" t="str">
        <f>VLOOKUP(B1979,'PO with created By ASR'!A:G,4,FALSE)</f>
        <v>Vanshika Malhotra -CR</v>
      </c>
      <c r="K1979" s="2" t="e">
        <f>VLOOKUP(B1979,'PO with created By ASR'!A:I,6,FALSE)</f>
        <v>#N/A</v>
      </c>
      <c r="L1979" s="2" t="str">
        <f>VLOOKUP(B1979,'PO with created By ASR'!A:J,7,FALSE)</f>
        <v>D - Delhi</v>
      </c>
      <c r="M1979" s="2" t="str">
        <f>VLOOKUP(B1979,'PO with created By ASR'!A:K,8,FALSE)</f>
        <v>Purchase Order-Del</v>
      </c>
      <c r="N1979" t="s">
        <v>36</v>
      </c>
      <c r="P1979" s="2">
        <v>6</v>
      </c>
    </row>
    <row r="1980" s="2" customFormat="1" spans="1:16">
      <c r="A1980" s="8"/>
      <c r="B1980" s="9" t="s">
        <v>3147</v>
      </c>
      <c r="C1980" s="10" t="s">
        <v>126</v>
      </c>
      <c r="D1980" s="11">
        <v>1</v>
      </c>
      <c r="E1980" s="12">
        <v>1750</v>
      </c>
      <c r="F1980" s="13">
        <v>1750</v>
      </c>
      <c r="G1980" s="2">
        <f>VLOOKUP(B1980,'PO with created By ASR'!A:C,3,FALSE)</f>
        <v>45702</v>
      </c>
      <c r="J1980" s="2" t="str">
        <f>VLOOKUP(B1980,'PO with created By ASR'!A:G,4,FALSE)</f>
        <v>Kalu Halder............. -CR</v>
      </c>
      <c r="K1980" s="2" t="e">
        <f>VLOOKUP(B1980,'PO with created By ASR'!A:I,6,FALSE)</f>
        <v>#N/A</v>
      </c>
      <c r="L1980" s="2" t="str">
        <f>VLOOKUP(B1980,'PO with created By ASR'!A:J,7,FALSE)</f>
        <v>D - Delhi</v>
      </c>
      <c r="M1980" s="2" t="str">
        <f>VLOOKUP(B1980,'PO with created By ASR'!A:K,8,FALSE)</f>
        <v>Purchase Order-Del</v>
      </c>
      <c r="N1980" t="s">
        <v>36</v>
      </c>
      <c r="P1980" s="2">
        <v>6</v>
      </c>
    </row>
    <row r="1981" s="2" customFormat="1" spans="1:16">
      <c r="A1981" s="8"/>
      <c r="B1981" s="9" t="s">
        <v>3147</v>
      </c>
      <c r="C1981" s="10" t="s">
        <v>412</v>
      </c>
      <c r="D1981" s="11">
        <v>1</v>
      </c>
      <c r="E1981" s="12">
        <v>1800</v>
      </c>
      <c r="F1981" s="13">
        <v>1800</v>
      </c>
      <c r="G1981" s="2">
        <f>VLOOKUP(B1981,'PO with created By ASR'!A:C,3,FALSE)</f>
        <v>45702</v>
      </c>
      <c r="J1981" s="2" t="str">
        <f>VLOOKUP(B1981,'PO with created By ASR'!A:G,4,FALSE)</f>
        <v>Kalu Halder............. -CR</v>
      </c>
      <c r="K1981" s="2" t="e">
        <f>VLOOKUP(B1981,'PO with created By ASR'!A:I,6,FALSE)</f>
        <v>#N/A</v>
      </c>
      <c r="L1981" s="2" t="str">
        <f>VLOOKUP(B1981,'PO with created By ASR'!A:J,7,FALSE)</f>
        <v>D - Delhi</v>
      </c>
      <c r="M1981" s="2" t="str">
        <f>VLOOKUP(B1981,'PO with created By ASR'!A:K,8,FALSE)</f>
        <v>Purchase Order-Del</v>
      </c>
      <c r="N1981" t="s">
        <v>36</v>
      </c>
      <c r="P1981" s="2">
        <v>6</v>
      </c>
    </row>
    <row r="1982" s="2" customFormat="1" spans="1:16">
      <c r="A1982" s="8"/>
      <c r="B1982" s="9" t="s">
        <v>3148</v>
      </c>
      <c r="C1982" s="10" t="s">
        <v>126</v>
      </c>
      <c r="D1982" s="11">
        <v>1</v>
      </c>
      <c r="E1982" s="12">
        <v>5775</v>
      </c>
      <c r="F1982" s="13">
        <v>5775</v>
      </c>
      <c r="G1982" s="2">
        <f>VLOOKUP(B1982,'PO with created By ASR'!A:C,3,FALSE)</f>
        <v>45702</v>
      </c>
      <c r="J1982" s="2" t="str">
        <f>VLOOKUP(B1982,'PO with created By ASR'!A:G,4,FALSE)</f>
        <v>Kalu Halder............. -CR</v>
      </c>
      <c r="K1982" s="2" t="e">
        <f>VLOOKUP(B1982,'PO with created By ASR'!A:I,6,FALSE)</f>
        <v>#N/A</v>
      </c>
      <c r="L1982" s="2" t="str">
        <f>VLOOKUP(B1982,'PO with created By ASR'!A:J,7,FALSE)</f>
        <v>D - Delhi</v>
      </c>
      <c r="M1982" s="2" t="str">
        <f>VLOOKUP(B1982,'PO with created By ASR'!A:K,8,FALSE)</f>
        <v>Purchase Order-Del</v>
      </c>
      <c r="N1982" t="s">
        <v>36</v>
      </c>
      <c r="P1982" s="2">
        <v>6</v>
      </c>
    </row>
    <row r="1983" s="2" customFormat="1" spans="1:16">
      <c r="A1983" s="8"/>
      <c r="B1983" s="9" t="s">
        <v>3148</v>
      </c>
      <c r="C1983" s="10" t="s">
        <v>412</v>
      </c>
      <c r="D1983" s="11">
        <v>1</v>
      </c>
      <c r="E1983" s="12">
        <v>6600</v>
      </c>
      <c r="F1983" s="13">
        <v>6600</v>
      </c>
      <c r="G1983" s="2">
        <f>VLOOKUP(B1983,'PO with created By ASR'!A:C,3,FALSE)</f>
        <v>45702</v>
      </c>
      <c r="J1983" s="2" t="str">
        <f>VLOOKUP(B1983,'PO with created By ASR'!A:G,4,FALSE)</f>
        <v>Kalu Halder............. -CR</v>
      </c>
      <c r="K1983" s="2" t="e">
        <f>VLOOKUP(B1983,'PO with created By ASR'!A:I,6,FALSE)</f>
        <v>#N/A</v>
      </c>
      <c r="L1983" s="2" t="str">
        <f>VLOOKUP(B1983,'PO with created By ASR'!A:J,7,FALSE)</f>
        <v>D - Delhi</v>
      </c>
      <c r="M1983" s="2" t="str">
        <f>VLOOKUP(B1983,'PO with created By ASR'!A:K,8,FALSE)</f>
        <v>Purchase Order-Del</v>
      </c>
      <c r="N1983" t="s">
        <v>36</v>
      </c>
      <c r="P1983" s="2">
        <v>6</v>
      </c>
    </row>
    <row r="1984" s="2" customFormat="1" spans="1:16">
      <c r="A1984" s="8"/>
      <c r="B1984" s="9" t="s">
        <v>3149</v>
      </c>
      <c r="C1984" s="10" t="s">
        <v>126</v>
      </c>
      <c r="D1984" s="11">
        <v>1</v>
      </c>
      <c r="E1984" s="12">
        <v>4950</v>
      </c>
      <c r="F1984" s="13">
        <v>4950</v>
      </c>
      <c r="G1984" s="2">
        <f>VLOOKUP(B1984,'PO with created By ASR'!A:C,3,FALSE)</f>
        <v>45702</v>
      </c>
      <c r="J1984" s="2" t="str">
        <f>VLOOKUP(B1984,'PO with created By ASR'!A:G,4,FALSE)</f>
        <v>Karan Sharma  -CR</v>
      </c>
      <c r="K1984" s="2" t="e">
        <f>VLOOKUP(B1984,'PO with created By ASR'!A:I,6,FALSE)</f>
        <v>#N/A</v>
      </c>
      <c r="L1984" s="2" t="str">
        <f>VLOOKUP(B1984,'PO with created By ASR'!A:J,7,FALSE)</f>
        <v>D - Delhi</v>
      </c>
      <c r="M1984" s="2" t="str">
        <f>VLOOKUP(B1984,'PO with created By ASR'!A:K,8,FALSE)</f>
        <v>Purchase Order-Del</v>
      </c>
      <c r="N1984" t="s">
        <v>36</v>
      </c>
      <c r="P1984" s="2">
        <v>6</v>
      </c>
    </row>
    <row r="1985" s="2" customFormat="1" spans="1:16">
      <c r="A1985" s="8"/>
      <c r="B1985" s="9" t="s">
        <v>3149</v>
      </c>
      <c r="C1985" s="10" t="s">
        <v>412</v>
      </c>
      <c r="D1985" s="11">
        <v>1</v>
      </c>
      <c r="E1985" s="12">
        <v>6400</v>
      </c>
      <c r="F1985" s="13">
        <v>6400</v>
      </c>
      <c r="G1985" s="2">
        <f>VLOOKUP(B1985,'PO with created By ASR'!A:C,3,FALSE)</f>
        <v>45702</v>
      </c>
      <c r="J1985" s="2" t="str">
        <f>VLOOKUP(B1985,'PO with created By ASR'!A:G,4,FALSE)</f>
        <v>Karan Sharma  -CR</v>
      </c>
      <c r="K1985" s="2" t="e">
        <f>VLOOKUP(B1985,'PO with created By ASR'!A:I,6,FALSE)</f>
        <v>#N/A</v>
      </c>
      <c r="L1985" s="2" t="str">
        <f>VLOOKUP(B1985,'PO with created By ASR'!A:J,7,FALSE)</f>
        <v>D - Delhi</v>
      </c>
      <c r="M1985" s="2" t="str">
        <f>VLOOKUP(B1985,'PO with created By ASR'!A:K,8,FALSE)</f>
        <v>Purchase Order-Del</v>
      </c>
      <c r="N1985" t="s">
        <v>36</v>
      </c>
      <c r="P1985" s="2">
        <v>6</v>
      </c>
    </row>
    <row r="1986" s="2" customFormat="1" spans="1:16">
      <c r="A1986" s="8"/>
      <c r="B1986" s="9" t="s">
        <v>3151</v>
      </c>
      <c r="C1986" s="10" t="s">
        <v>126</v>
      </c>
      <c r="D1986" s="11">
        <v>1</v>
      </c>
      <c r="E1986" s="12">
        <v>1650</v>
      </c>
      <c r="F1986" s="13">
        <v>1650</v>
      </c>
      <c r="G1986" s="2">
        <f>VLOOKUP(B1986,'PO with created By ASR'!A:C,3,FALSE)</f>
        <v>45702</v>
      </c>
      <c r="J1986" s="2" t="str">
        <f>VLOOKUP(B1986,'PO with created By ASR'!A:G,4,FALSE)</f>
        <v>Karan Sharma  -CR</v>
      </c>
      <c r="K1986" s="2" t="e">
        <f>VLOOKUP(B1986,'PO with created By ASR'!A:I,6,FALSE)</f>
        <v>#N/A</v>
      </c>
      <c r="L1986" s="2" t="str">
        <f>VLOOKUP(B1986,'PO with created By ASR'!A:J,7,FALSE)</f>
        <v>D - Delhi</v>
      </c>
      <c r="M1986" s="2" t="str">
        <f>VLOOKUP(B1986,'PO with created By ASR'!A:K,8,FALSE)</f>
        <v>Purchase Order-Del</v>
      </c>
      <c r="N1986" t="s">
        <v>36</v>
      </c>
      <c r="P1986" s="2">
        <v>6</v>
      </c>
    </row>
    <row r="1987" s="2" customFormat="1" spans="1:16">
      <c r="A1987" s="8"/>
      <c r="B1987" s="9" t="s">
        <v>3151</v>
      </c>
      <c r="C1987" s="10" t="s">
        <v>412</v>
      </c>
      <c r="D1987" s="11">
        <v>1</v>
      </c>
      <c r="E1987" s="12">
        <v>2200</v>
      </c>
      <c r="F1987" s="13">
        <v>2200</v>
      </c>
      <c r="G1987" s="2">
        <f>VLOOKUP(B1987,'PO with created By ASR'!A:C,3,FALSE)</f>
        <v>45702</v>
      </c>
      <c r="J1987" s="2" t="str">
        <f>VLOOKUP(B1987,'PO with created By ASR'!A:G,4,FALSE)</f>
        <v>Karan Sharma  -CR</v>
      </c>
      <c r="K1987" s="2" t="e">
        <f>VLOOKUP(B1987,'PO with created By ASR'!A:I,6,FALSE)</f>
        <v>#N/A</v>
      </c>
      <c r="L1987" s="2" t="str">
        <f>VLOOKUP(B1987,'PO with created By ASR'!A:J,7,FALSE)</f>
        <v>D - Delhi</v>
      </c>
      <c r="M1987" s="2" t="str">
        <f>VLOOKUP(B1987,'PO with created By ASR'!A:K,8,FALSE)</f>
        <v>Purchase Order-Del</v>
      </c>
      <c r="N1987" t="s">
        <v>36</v>
      </c>
      <c r="P1987" s="2">
        <v>6</v>
      </c>
    </row>
    <row r="1988" s="2" customFormat="1" spans="1:16">
      <c r="A1988" s="8"/>
      <c r="B1988" s="9" t="s">
        <v>3152</v>
      </c>
      <c r="C1988" s="10" t="s">
        <v>126</v>
      </c>
      <c r="D1988" s="11">
        <v>1</v>
      </c>
      <c r="E1988" s="12">
        <v>1050</v>
      </c>
      <c r="F1988" s="13">
        <v>1050</v>
      </c>
      <c r="G1988" s="2">
        <f>VLOOKUP(B1988,'PO with created By ASR'!A:C,3,FALSE)</f>
        <v>45702</v>
      </c>
      <c r="J1988" s="2" t="str">
        <f>VLOOKUP(B1988,'PO with created By ASR'!A:G,4,FALSE)</f>
        <v>Nanhe Masih...... -CR</v>
      </c>
      <c r="K1988" s="2" t="e">
        <f>VLOOKUP(B1988,'PO with created By ASR'!A:I,6,FALSE)</f>
        <v>#N/A</v>
      </c>
      <c r="L1988" s="2" t="str">
        <f>VLOOKUP(B1988,'PO with created By ASR'!A:J,7,FALSE)</f>
        <v>D - Delhi</v>
      </c>
      <c r="M1988" s="2" t="str">
        <f>VLOOKUP(B1988,'PO with created By ASR'!A:K,8,FALSE)</f>
        <v>Purchase Order-Del</v>
      </c>
      <c r="N1988" t="s">
        <v>36</v>
      </c>
      <c r="P1988" s="2">
        <v>6</v>
      </c>
    </row>
    <row r="1989" s="2" customFormat="1" spans="1:16">
      <c r="A1989" s="8"/>
      <c r="B1989" s="9" t="s">
        <v>3152</v>
      </c>
      <c r="C1989" s="10" t="s">
        <v>126</v>
      </c>
      <c r="D1989" s="11">
        <v>1</v>
      </c>
      <c r="E1989" s="12">
        <v>4500</v>
      </c>
      <c r="F1989" s="13">
        <v>4500</v>
      </c>
      <c r="G1989" s="2">
        <f>VLOOKUP(B1989,'PO with created By ASR'!A:C,3,FALSE)</f>
        <v>45702</v>
      </c>
      <c r="J1989" s="2" t="str">
        <f>VLOOKUP(B1989,'PO with created By ASR'!A:G,4,FALSE)</f>
        <v>Nanhe Masih...... -CR</v>
      </c>
      <c r="K1989" s="2" t="e">
        <f>VLOOKUP(B1989,'PO with created By ASR'!A:I,6,FALSE)</f>
        <v>#N/A</v>
      </c>
      <c r="L1989" s="2" t="str">
        <f>VLOOKUP(B1989,'PO with created By ASR'!A:J,7,FALSE)</f>
        <v>D - Delhi</v>
      </c>
      <c r="M1989" s="2" t="str">
        <f>VLOOKUP(B1989,'PO with created By ASR'!A:K,8,FALSE)</f>
        <v>Purchase Order-Del</v>
      </c>
      <c r="N1989" t="s">
        <v>36</v>
      </c>
      <c r="P1989" s="2">
        <v>6</v>
      </c>
    </row>
    <row r="1990" s="2" customFormat="1" spans="1:16">
      <c r="A1990" s="8"/>
      <c r="B1990" s="9" t="s">
        <v>3152</v>
      </c>
      <c r="C1990" s="10" t="s">
        <v>412</v>
      </c>
      <c r="D1990" s="11">
        <v>1</v>
      </c>
      <c r="E1990" s="12">
        <v>1400</v>
      </c>
      <c r="F1990" s="13">
        <v>1400</v>
      </c>
      <c r="G1990" s="2">
        <f>VLOOKUP(B1990,'PO with created By ASR'!A:C,3,FALSE)</f>
        <v>45702</v>
      </c>
      <c r="J1990" s="2" t="str">
        <f>VLOOKUP(B1990,'PO with created By ASR'!A:G,4,FALSE)</f>
        <v>Nanhe Masih...... -CR</v>
      </c>
      <c r="K1990" s="2" t="e">
        <f>VLOOKUP(B1990,'PO with created By ASR'!A:I,6,FALSE)</f>
        <v>#N/A</v>
      </c>
      <c r="L1990" s="2" t="str">
        <f>VLOOKUP(B1990,'PO with created By ASR'!A:J,7,FALSE)</f>
        <v>D - Delhi</v>
      </c>
      <c r="M1990" s="2" t="str">
        <f>VLOOKUP(B1990,'PO with created By ASR'!A:K,8,FALSE)</f>
        <v>Purchase Order-Del</v>
      </c>
      <c r="N1990" t="s">
        <v>36</v>
      </c>
      <c r="P1990" s="2">
        <v>6</v>
      </c>
    </row>
    <row r="1991" s="2" customFormat="1" spans="1:16">
      <c r="A1991" s="8"/>
      <c r="B1991" s="9" t="s">
        <v>3152</v>
      </c>
      <c r="C1991" s="10" t="s">
        <v>412</v>
      </c>
      <c r="D1991" s="11">
        <v>1</v>
      </c>
      <c r="E1991" s="12">
        <v>5800</v>
      </c>
      <c r="F1991" s="13">
        <v>5800</v>
      </c>
      <c r="G1991" s="2">
        <f>VLOOKUP(B1991,'PO with created By ASR'!A:C,3,FALSE)</f>
        <v>45702</v>
      </c>
      <c r="J1991" s="2" t="str">
        <f>VLOOKUP(B1991,'PO with created By ASR'!A:G,4,FALSE)</f>
        <v>Nanhe Masih...... -CR</v>
      </c>
      <c r="K1991" s="2" t="e">
        <f>VLOOKUP(B1991,'PO with created By ASR'!A:I,6,FALSE)</f>
        <v>#N/A</v>
      </c>
      <c r="L1991" s="2" t="str">
        <f>VLOOKUP(B1991,'PO with created By ASR'!A:J,7,FALSE)</f>
        <v>D - Delhi</v>
      </c>
      <c r="M1991" s="2" t="str">
        <f>VLOOKUP(B1991,'PO with created By ASR'!A:K,8,FALSE)</f>
        <v>Purchase Order-Del</v>
      </c>
      <c r="N1991" t="s">
        <v>36</v>
      </c>
      <c r="P1991" s="2">
        <v>6</v>
      </c>
    </row>
    <row r="1992" s="2" customFormat="1" spans="1:16">
      <c r="A1992" s="8"/>
      <c r="B1992" s="9" t="s">
        <v>3154</v>
      </c>
      <c r="C1992" s="10" t="s">
        <v>126</v>
      </c>
      <c r="D1992" s="11">
        <v>1</v>
      </c>
      <c r="E1992" s="12">
        <v>4898</v>
      </c>
      <c r="F1992" s="13">
        <v>4898</v>
      </c>
      <c r="G1992" s="2">
        <f>VLOOKUP(B1992,'PO with created By ASR'!A:C,3,FALSE)</f>
        <v>45702</v>
      </c>
      <c r="J1992" s="2" t="str">
        <f>VLOOKUP(B1992,'PO with created By ASR'!A:G,4,FALSE)</f>
        <v>Manoj Chand Joshi  -CR</v>
      </c>
      <c r="K1992" s="2" t="e">
        <f>VLOOKUP(B1992,'PO with created By ASR'!A:I,6,FALSE)</f>
        <v>#N/A</v>
      </c>
      <c r="L1992" s="2" t="str">
        <f>VLOOKUP(B1992,'PO with created By ASR'!A:J,7,FALSE)</f>
        <v>D - Delhi</v>
      </c>
      <c r="M1992" s="2" t="str">
        <f>VLOOKUP(B1992,'PO with created By ASR'!A:K,8,FALSE)</f>
        <v>Purchase Order-Del</v>
      </c>
      <c r="N1992" t="s">
        <v>36</v>
      </c>
      <c r="P1992" s="2">
        <v>6</v>
      </c>
    </row>
    <row r="1993" s="2" customFormat="1" spans="1:16">
      <c r="A1993" s="8"/>
      <c r="B1993" s="9" t="s">
        <v>3154</v>
      </c>
      <c r="C1993" s="10" t="s">
        <v>412</v>
      </c>
      <c r="D1993" s="11">
        <v>1</v>
      </c>
      <c r="E1993" s="12">
        <v>1800</v>
      </c>
      <c r="F1993" s="13">
        <v>1800</v>
      </c>
      <c r="G1993" s="2">
        <f>VLOOKUP(B1993,'PO with created By ASR'!A:C,3,FALSE)</f>
        <v>45702</v>
      </c>
      <c r="J1993" s="2" t="str">
        <f>VLOOKUP(B1993,'PO with created By ASR'!A:G,4,FALSE)</f>
        <v>Manoj Chand Joshi  -CR</v>
      </c>
      <c r="K1993" s="2" t="e">
        <f>VLOOKUP(B1993,'PO with created By ASR'!A:I,6,FALSE)</f>
        <v>#N/A</v>
      </c>
      <c r="L1993" s="2" t="str">
        <f>VLOOKUP(B1993,'PO with created By ASR'!A:J,7,FALSE)</f>
        <v>D - Delhi</v>
      </c>
      <c r="M1993" s="2" t="str">
        <f>VLOOKUP(B1993,'PO with created By ASR'!A:K,8,FALSE)</f>
        <v>Purchase Order-Del</v>
      </c>
      <c r="N1993" t="s">
        <v>36</v>
      </c>
      <c r="P1993" s="2">
        <v>6</v>
      </c>
    </row>
    <row r="1994" s="2" customFormat="1" spans="1:16">
      <c r="A1994" s="8"/>
      <c r="B1994" s="9" t="s">
        <v>3158</v>
      </c>
      <c r="C1994" s="10" t="s">
        <v>126</v>
      </c>
      <c r="D1994" s="11">
        <v>1</v>
      </c>
      <c r="E1994" s="12">
        <v>18862</v>
      </c>
      <c r="F1994" s="13">
        <v>18862</v>
      </c>
      <c r="G1994" s="2">
        <f>VLOOKUP(B1994,'PO with created By ASR'!A:C,3,FALSE)</f>
        <v>45702</v>
      </c>
      <c r="J1994" s="2" t="str">
        <f>VLOOKUP(B1994,'PO with created By ASR'!A:G,4,FALSE)</f>
        <v>Manoj Chand Joshi  -CR</v>
      </c>
      <c r="K1994" s="2" t="e">
        <f>VLOOKUP(B1994,'PO with created By ASR'!A:I,6,FALSE)</f>
        <v>#N/A</v>
      </c>
      <c r="L1994" s="2" t="str">
        <f>VLOOKUP(B1994,'PO with created By ASR'!A:J,7,FALSE)</f>
        <v>D - Delhi</v>
      </c>
      <c r="M1994" s="2" t="str">
        <f>VLOOKUP(B1994,'PO with created By ASR'!A:K,8,FALSE)</f>
        <v>Purchase Order-Del</v>
      </c>
      <c r="N1994" t="s">
        <v>36</v>
      </c>
      <c r="P1994" s="2">
        <v>6</v>
      </c>
    </row>
    <row r="1995" s="2" customFormat="1" spans="1:16">
      <c r="A1995" s="8"/>
      <c r="B1995" s="9" t="s">
        <v>3158</v>
      </c>
      <c r="C1995" s="10" t="s">
        <v>412</v>
      </c>
      <c r="D1995" s="11">
        <v>1</v>
      </c>
      <c r="E1995" s="12">
        <v>6800</v>
      </c>
      <c r="F1995" s="13">
        <v>6800</v>
      </c>
      <c r="G1995" s="2">
        <f>VLOOKUP(B1995,'PO with created By ASR'!A:C,3,FALSE)</f>
        <v>45702</v>
      </c>
      <c r="J1995" s="2" t="str">
        <f>VLOOKUP(B1995,'PO with created By ASR'!A:G,4,FALSE)</f>
        <v>Manoj Chand Joshi  -CR</v>
      </c>
      <c r="K1995" s="2" t="e">
        <f>VLOOKUP(B1995,'PO with created By ASR'!A:I,6,FALSE)</f>
        <v>#N/A</v>
      </c>
      <c r="L1995" s="2" t="str">
        <f>VLOOKUP(B1995,'PO with created By ASR'!A:J,7,FALSE)</f>
        <v>D - Delhi</v>
      </c>
      <c r="M1995" s="2" t="str">
        <f>VLOOKUP(B1995,'PO with created By ASR'!A:K,8,FALSE)</f>
        <v>Purchase Order-Del</v>
      </c>
      <c r="N1995" t="s">
        <v>36</v>
      </c>
      <c r="P1995" s="2">
        <v>6</v>
      </c>
    </row>
    <row r="1996" s="2" customFormat="1" spans="1:16">
      <c r="A1996" s="8"/>
      <c r="B1996" s="9" t="s">
        <v>3158</v>
      </c>
      <c r="C1996" s="10" t="s">
        <v>233</v>
      </c>
      <c r="D1996" s="11">
        <v>1</v>
      </c>
      <c r="E1996" s="12">
        <v>450</v>
      </c>
      <c r="F1996" s="13">
        <v>450</v>
      </c>
      <c r="G1996" s="2">
        <f>VLOOKUP(B1996,'PO with created By ASR'!A:C,3,FALSE)</f>
        <v>45702</v>
      </c>
      <c r="J1996" s="2" t="str">
        <f>VLOOKUP(B1996,'PO with created By ASR'!A:G,4,FALSE)</f>
        <v>Manoj Chand Joshi  -CR</v>
      </c>
      <c r="K1996" s="2" t="e">
        <f>VLOOKUP(B1996,'PO with created By ASR'!A:I,6,FALSE)</f>
        <v>#N/A</v>
      </c>
      <c r="L1996" s="2" t="str">
        <f>VLOOKUP(B1996,'PO with created By ASR'!A:J,7,FALSE)</f>
        <v>D - Delhi</v>
      </c>
      <c r="M1996" s="2" t="str">
        <f>VLOOKUP(B1996,'PO with created By ASR'!A:K,8,FALSE)</f>
        <v>Purchase Order-Del</v>
      </c>
      <c r="N1996" t="s">
        <v>36</v>
      </c>
      <c r="P1996" s="2">
        <v>6</v>
      </c>
    </row>
    <row r="1997" s="2" customFormat="1" spans="1:16">
      <c r="A1997" s="8"/>
      <c r="B1997" s="9" t="s">
        <v>3160</v>
      </c>
      <c r="C1997" s="10" t="s">
        <v>347</v>
      </c>
      <c r="D1997" s="11">
        <v>1</v>
      </c>
      <c r="E1997" s="12">
        <v>9500</v>
      </c>
      <c r="F1997" s="13">
        <v>9500</v>
      </c>
      <c r="G1997" s="2">
        <f>VLOOKUP(B1997,'PO with created By ASR'!A:C,3,FALSE)</f>
        <v>45702</v>
      </c>
      <c r="J1997" s="2" t="str">
        <f>VLOOKUP(B1997,'PO with created By ASR'!A:G,4,FALSE)</f>
        <v>Show Supporters LLP-Del</v>
      </c>
      <c r="K1997" s="2" t="str">
        <f>VLOOKUP(B1997,'PO with created By ASR'!A:I,6,FALSE)</f>
        <v>12396 Show Supporters LLP</v>
      </c>
      <c r="L1997" s="2" t="str">
        <f>VLOOKUP(B1997,'PO with created By ASR'!A:J,7,FALSE)</f>
        <v>D - Delhi</v>
      </c>
      <c r="M1997" s="2" t="str">
        <f>VLOOKUP(B1997,'PO with created By ASR'!A:K,8,FALSE)</f>
        <v>Purchase Order-Del</v>
      </c>
      <c r="N1997" t="s">
        <v>36</v>
      </c>
      <c r="P1997" s="2">
        <v>6</v>
      </c>
    </row>
    <row r="1998" s="2" customFormat="1" spans="1:16">
      <c r="A1998" s="8"/>
      <c r="B1998" s="9" t="s">
        <v>3162</v>
      </c>
      <c r="C1998" s="10" t="s">
        <v>412</v>
      </c>
      <c r="D1998" s="11">
        <v>1</v>
      </c>
      <c r="E1998" s="12">
        <v>13361</v>
      </c>
      <c r="F1998" s="13">
        <v>13361</v>
      </c>
      <c r="G1998" s="2">
        <f>VLOOKUP(B1998,'PO with created By ASR'!A:C,3,FALSE)</f>
        <v>45702</v>
      </c>
      <c r="J1998" s="2" t="str">
        <f>VLOOKUP(B1998,'PO with created By ASR'!A:G,4,FALSE)</f>
        <v>Kalu Halder............. -CR</v>
      </c>
      <c r="K1998" s="2" t="e">
        <f>VLOOKUP(B1998,'PO with created By ASR'!A:I,6,FALSE)</f>
        <v>#N/A</v>
      </c>
      <c r="L1998" s="2" t="str">
        <f>VLOOKUP(B1998,'PO with created By ASR'!A:J,7,FALSE)</f>
        <v>D - Delhi</v>
      </c>
      <c r="M1998" s="2" t="str">
        <f>VLOOKUP(B1998,'PO with created By ASR'!A:K,8,FALSE)</f>
        <v>Purchase Order-Del</v>
      </c>
      <c r="N1998" t="s">
        <v>36</v>
      </c>
      <c r="P1998" s="2">
        <v>6</v>
      </c>
    </row>
    <row r="1999" s="2" customFormat="1" spans="1:16">
      <c r="A1999" s="8"/>
      <c r="B1999" s="9" t="s">
        <v>3164</v>
      </c>
      <c r="C1999" s="10" t="s">
        <v>412</v>
      </c>
      <c r="D1999" s="11">
        <v>1</v>
      </c>
      <c r="E1999" s="12">
        <v>9837</v>
      </c>
      <c r="F1999" s="13">
        <v>9837</v>
      </c>
      <c r="G1999" s="2">
        <f>VLOOKUP(B1999,'PO with created By ASR'!A:C,3,FALSE)</f>
        <v>45702</v>
      </c>
      <c r="J1999" s="2" t="str">
        <f>VLOOKUP(B1999,'PO with created By ASR'!A:G,4,FALSE)</f>
        <v>Kalu Halder............. -CR</v>
      </c>
      <c r="K1999" s="2" t="e">
        <f>VLOOKUP(B1999,'PO with created By ASR'!A:I,6,FALSE)</f>
        <v>#N/A</v>
      </c>
      <c r="L1999" s="2" t="str">
        <f>VLOOKUP(B1999,'PO with created By ASR'!A:J,7,FALSE)</f>
        <v>D - Delhi</v>
      </c>
      <c r="M1999" s="2" t="str">
        <f>VLOOKUP(B1999,'PO with created By ASR'!A:K,8,FALSE)</f>
        <v>Purchase Order-Del</v>
      </c>
      <c r="N1999" t="s">
        <v>36</v>
      </c>
      <c r="P1999" s="2">
        <v>6</v>
      </c>
    </row>
    <row r="2000" s="2" customFormat="1" spans="1:16">
      <c r="A2000" s="8"/>
      <c r="B2000" s="9" t="s">
        <v>3165</v>
      </c>
      <c r="C2000" s="10" t="s">
        <v>140</v>
      </c>
      <c r="D2000" s="11">
        <v>1</v>
      </c>
      <c r="E2000" s="12">
        <v>272699.18</v>
      </c>
      <c r="F2000" s="13">
        <v>272699.18</v>
      </c>
      <c r="G2000" s="2">
        <f>VLOOKUP(B2000,'PO with created By ASR'!A:C,3,FALSE)</f>
        <v>45702</v>
      </c>
      <c r="J2000" s="2" t="str">
        <f>VLOOKUP(B2000,'PO with created By ASR'!A:G,4,FALSE)</f>
        <v>Cococart Ventures Pvt Ltd-Mum</v>
      </c>
      <c r="K2000" s="2" t="str">
        <f>VLOOKUP(B2000,'PO with created By ASR'!A:I,6,FALSE)</f>
        <v>11775  Cococart Ventures Pvt Ltd</v>
      </c>
      <c r="L2000" s="2" t="str">
        <f>VLOOKUP(B2000,'PO with created By ASR'!A:J,7,FALSE)</f>
        <v>D - Delhi</v>
      </c>
      <c r="M2000" s="2" t="str">
        <f>VLOOKUP(B2000,'PO with created By ASR'!A:K,8,FALSE)</f>
        <v>Purchase Order-Del</v>
      </c>
      <c r="N2000" t="s">
        <v>36</v>
      </c>
      <c r="P2000" s="2">
        <v>6</v>
      </c>
    </row>
    <row r="2001" s="2" customFormat="1" spans="1:16">
      <c r="A2001" s="8"/>
      <c r="B2001" s="9" t="s">
        <v>3168</v>
      </c>
      <c r="C2001" s="10" t="s">
        <v>704</v>
      </c>
      <c r="D2001" s="11">
        <v>1</v>
      </c>
      <c r="E2001" s="12">
        <v>13983</v>
      </c>
      <c r="F2001" s="13">
        <v>13983</v>
      </c>
      <c r="G2001" s="2">
        <f>VLOOKUP(B2001,'PO with created By ASR'!A:C,3,FALSE)</f>
        <v>45702</v>
      </c>
      <c r="J2001" s="2" t="str">
        <f>VLOOKUP(B2001,'PO with created By ASR'!A:G,4,FALSE)</f>
        <v>Shree Ram Computers-Del</v>
      </c>
      <c r="K2001" s="2" t="str">
        <f>VLOOKUP(B2001,'PO with created By ASR'!A:I,6,FALSE)</f>
        <v>11132 Shree Ram Computers</v>
      </c>
      <c r="L2001" s="2" t="str">
        <f>VLOOKUP(B2001,'PO with created By ASR'!A:J,7,FALSE)</f>
        <v>D - Delhi</v>
      </c>
      <c r="M2001" s="2" t="str">
        <f>VLOOKUP(B2001,'PO with created By ASR'!A:K,8,FALSE)</f>
        <v>Purchase Order-Del</v>
      </c>
      <c r="N2001" t="s">
        <v>36</v>
      </c>
      <c r="P2001" s="2">
        <v>6</v>
      </c>
    </row>
    <row r="2002" s="2" customFormat="1" spans="1:16">
      <c r="A2002" s="8"/>
      <c r="B2002" s="9" t="s">
        <v>3169</v>
      </c>
      <c r="C2002" s="10" t="s">
        <v>126</v>
      </c>
      <c r="D2002" s="11">
        <v>1</v>
      </c>
      <c r="E2002" s="12">
        <v>1002</v>
      </c>
      <c r="F2002" s="13">
        <v>1002</v>
      </c>
      <c r="G2002" s="2">
        <f>VLOOKUP(B2002,'PO with created By ASR'!A:C,3,FALSE)</f>
        <v>45702</v>
      </c>
      <c r="J2002" s="2" t="str">
        <f>VLOOKUP(B2002,'PO with created By ASR'!A:G,4,FALSE)</f>
        <v>Anurag Jadli  -CR</v>
      </c>
      <c r="K2002" s="2" t="e">
        <f>VLOOKUP(B2002,'PO with created By ASR'!A:I,6,FALSE)</f>
        <v>#N/A</v>
      </c>
      <c r="L2002" s="2" t="str">
        <f>VLOOKUP(B2002,'PO with created By ASR'!A:J,7,FALSE)</f>
        <v>D - Delhi</v>
      </c>
      <c r="M2002" s="2" t="str">
        <f>VLOOKUP(B2002,'PO with created By ASR'!A:K,8,FALSE)</f>
        <v>Purchase Order-Del</v>
      </c>
      <c r="N2002" t="s">
        <v>36</v>
      </c>
      <c r="P2002" s="2">
        <v>6</v>
      </c>
    </row>
    <row r="2003" s="2" customFormat="1" spans="1:16">
      <c r="A2003" s="8"/>
      <c r="B2003" s="9" t="s">
        <v>3169</v>
      </c>
      <c r="C2003" s="10" t="s">
        <v>412</v>
      </c>
      <c r="D2003" s="11">
        <v>1</v>
      </c>
      <c r="E2003" s="12">
        <v>900</v>
      </c>
      <c r="F2003" s="13">
        <v>900</v>
      </c>
      <c r="G2003" s="2">
        <f>VLOOKUP(B2003,'PO with created By ASR'!A:C,3,FALSE)</f>
        <v>45702</v>
      </c>
      <c r="J2003" s="2" t="str">
        <f>VLOOKUP(B2003,'PO with created By ASR'!A:G,4,FALSE)</f>
        <v>Anurag Jadli  -CR</v>
      </c>
      <c r="K2003" s="2" t="e">
        <f>VLOOKUP(B2003,'PO with created By ASR'!A:I,6,FALSE)</f>
        <v>#N/A</v>
      </c>
      <c r="L2003" s="2" t="str">
        <f>VLOOKUP(B2003,'PO with created By ASR'!A:J,7,FALSE)</f>
        <v>D - Delhi</v>
      </c>
      <c r="M2003" s="2" t="str">
        <f>VLOOKUP(B2003,'PO with created By ASR'!A:K,8,FALSE)</f>
        <v>Purchase Order-Del</v>
      </c>
      <c r="N2003" t="s">
        <v>36</v>
      </c>
      <c r="P2003" s="2">
        <v>6</v>
      </c>
    </row>
    <row r="2004" s="2" customFormat="1" spans="1:16">
      <c r="A2004" s="8"/>
      <c r="B2004" s="9" t="s">
        <v>3170</v>
      </c>
      <c r="C2004" s="10" t="s">
        <v>126</v>
      </c>
      <c r="D2004" s="11">
        <v>1</v>
      </c>
      <c r="E2004" s="12">
        <v>4850.73</v>
      </c>
      <c r="F2004" s="13">
        <v>4850.73</v>
      </c>
      <c r="G2004" s="2">
        <f>VLOOKUP(B2004,'PO with created By ASR'!A:C,3,FALSE)</f>
        <v>45702</v>
      </c>
      <c r="J2004" s="2" t="str">
        <f>VLOOKUP(B2004,'PO with created By ASR'!A:G,4,FALSE)</f>
        <v>Shoeb Kadri  -CR</v>
      </c>
      <c r="K2004" s="2" t="e">
        <f>VLOOKUP(B2004,'PO with created By ASR'!A:I,6,FALSE)</f>
        <v>#N/A</v>
      </c>
      <c r="L2004" s="2" t="str">
        <f>VLOOKUP(B2004,'PO with created By ASR'!A:J,7,FALSE)</f>
        <v>A - Mumbai</v>
      </c>
      <c r="M2004" s="2" t="str">
        <f>VLOOKUP(B2004,'PO with created By ASR'!A:K,8,FALSE)</f>
        <v>Purchase Order-Mum</v>
      </c>
      <c r="N2004" t="s">
        <v>36</v>
      </c>
      <c r="P2004" s="2">
        <v>6</v>
      </c>
    </row>
    <row r="2005" s="2" customFormat="1" spans="1:16">
      <c r="A2005" s="8"/>
      <c r="B2005" s="9" t="s">
        <v>3170</v>
      </c>
      <c r="C2005" s="10" t="s">
        <v>412</v>
      </c>
      <c r="D2005" s="11">
        <v>1</v>
      </c>
      <c r="E2005" s="12">
        <v>2714.94</v>
      </c>
      <c r="F2005" s="13">
        <v>2714.94</v>
      </c>
      <c r="G2005" s="2">
        <f>VLOOKUP(B2005,'PO with created By ASR'!A:C,3,FALSE)</f>
        <v>45702</v>
      </c>
      <c r="J2005" s="2" t="str">
        <f>VLOOKUP(B2005,'PO with created By ASR'!A:G,4,FALSE)</f>
        <v>Shoeb Kadri  -CR</v>
      </c>
      <c r="K2005" s="2" t="e">
        <f>VLOOKUP(B2005,'PO with created By ASR'!A:I,6,FALSE)</f>
        <v>#N/A</v>
      </c>
      <c r="L2005" s="2" t="str">
        <f>VLOOKUP(B2005,'PO with created By ASR'!A:J,7,FALSE)</f>
        <v>A - Mumbai</v>
      </c>
      <c r="M2005" s="2" t="str">
        <f>VLOOKUP(B2005,'PO with created By ASR'!A:K,8,FALSE)</f>
        <v>Purchase Order-Mum</v>
      </c>
      <c r="N2005" t="s">
        <v>36</v>
      </c>
      <c r="P2005" s="2">
        <v>6</v>
      </c>
    </row>
    <row r="2006" s="2" customFormat="1" spans="1:16">
      <c r="A2006" s="8"/>
      <c r="B2006" s="9" t="s">
        <v>3170</v>
      </c>
      <c r="C2006" s="10" t="s">
        <v>317</v>
      </c>
      <c r="D2006" s="11">
        <v>1</v>
      </c>
      <c r="E2006" s="12">
        <v>113</v>
      </c>
      <c r="F2006" s="13">
        <v>113</v>
      </c>
      <c r="G2006" s="2">
        <f>VLOOKUP(B2006,'PO with created By ASR'!A:C,3,FALSE)</f>
        <v>45702</v>
      </c>
      <c r="J2006" s="2" t="str">
        <f>VLOOKUP(B2006,'PO with created By ASR'!A:G,4,FALSE)</f>
        <v>Shoeb Kadri  -CR</v>
      </c>
      <c r="K2006" s="2" t="e">
        <f>VLOOKUP(B2006,'PO with created By ASR'!A:I,6,FALSE)</f>
        <v>#N/A</v>
      </c>
      <c r="L2006" s="2" t="str">
        <f>VLOOKUP(B2006,'PO with created By ASR'!A:J,7,FALSE)</f>
        <v>A - Mumbai</v>
      </c>
      <c r="M2006" s="2" t="str">
        <f>VLOOKUP(B2006,'PO with created By ASR'!A:K,8,FALSE)</f>
        <v>Purchase Order-Mum</v>
      </c>
      <c r="N2006" t="s">
        <v>36</v>
      </c>
      <c r="P2006" s="2">
        <v>6</v>
      </c>
    </row>
    <row r="2007" s="2" customFormat="1" spans="1:16">
      <c r="A2007" s="8"/>
      <c r="B2007" s="9" t="s">
        <v>3172</v>
      </c>
      <c r="C2007" s="10" t="s">
        <v>151</v>
      </c>
      <c r="D2007" s="11">
        <v>1</v>
      </c>
      <c r="E2007" s="12">
        <v>15000</v>
      </c>
      <c r="F2007" s="13">
        <v>15000</v>
      </c>
      <c r="G2007" s="2">
        <f>VLOOKUP(B2007,'PO with created By ASR'!A:C,3,FALSE)</f>
        <v>45702</v>
      </c>
      <c r="J2007" s="2" t="str">
        <f>VLOOKUP(B2007,'PO with created By ASR'!A:G,4,FALSE)</f>
        <v>Rentastic-Mum</v>
      </c>
      <c r="K2007" s="2" t="e">
        <f>VLOOKUP(B2007,'PO with created By ASR'!A:I,6,FALSE)</f>
        <v>#N/A</v>
      </c>
      <c r="L2007" s="2" t="str">
        <f>VLOOKUP(B2007,'PO with created By ASR'!A:J,7,FALSE)</f>
        <v>A - Mumbai</v>
      </c>
      <c r="M2007" s="2" t="str">
        <f>VLOOKUP(B2007,'PO with created By ASR'!A:K,8,FALSE)</f>
        <v>Purchase Order-Mum</v>
      </c>
      <c r="N2007" t="s">
        <v>36</v>
      </c>
      <c r="P2007" s="2">
        <v>6</v>
      </c>
    </row>
    <row r="2008" s="2" customFormat="1" spans="1:16">
      <c r="A2008" s="8"/>
      <c r="B2008" s="9" t="s">
        <v>3173</v>
      </c>
      <c r="C2008" s="10" t="s">
        <v>61</v>
      </c>
      <c r="D2008" s="11">
        <v>1</v>
      </c>
      <c r="E2008" s="12">
        <v>54550</v>
      </c>
      <c r="F2008" s="13">
        <v>54550</v>
      </c>
      <c r="G2008" s="2">
        <f>VLOOKUP(B2008,'PO with created By ASR'!A:C,3,FALSE)</f>
        <v>45702</v>
      </c>
      <c r="J2008" s="2" t="str">
        <f>VLOOKUP(B2008,'PO with created By ASR'!A:G,4,FALSE)</f>
        <v>Olive Nest Pvt Ltd-Che</v>
      </c>
      <c r="K2008" s="2" t="str">
        <f>VLOOKUP(B2008,'PO with created By ASR'!A:I,6,FALSE)</f>
        <v>12968  Olive Nest Pvt Ltd</v>
      </c>
      <c r="L2008" s="2" t="str">
        <f>VLOOKUP(B2008,'PO with created By ASR'!A:J,7,FALSE)</f>
        <v>A - Mumbai</v>
      </c>
      <c r="M2008" s="2" t="str">
        <f>VLOOKUP(B2008,'PO with created By ASR'!A:K,8,FALSE)</f>
        <v>Purchase Order-Mum</v>
      </c>
      <c r="N2008" t="s">
        <v>36</v>
      </c>
      <c r="P2008" s="2">
        <v>6</v>
      </c>
    </row>
    <row r="2009" s="2" customFormat="1" spans="1:16">
      <c r="A2009" s="8"/>
      <c r="B2009" s="9" t="s">
        <v>3173</v>
      </c>
      <c r="C2009" s="10" t="s">
        <v>61</v>
      </c>
      <c r="D2009" s="11">
        <v>1</v>
      </c>
      <c r="E2009" s="12">
        <v>1560</v>
      </c>
      <c r="F2009" s="13">
        <v>1560</v>
      </c>
      <c r="G2009" s="2">
        <f>VLOOKUP(B2009,'PO with created By ASR'!A:C,3,FALSE)</f>
        <v>45702</v>
      </c>
      <c r="J2009" s="2" t="str">
        <f>VLOOKUP(B2009,'PO with created By ASR'!A:G,4,FALSE)</f>
        <v>Olive Nest Pvt Ltd-Che</v>
      </c>
      <c r="K2009" s="2" t="str">
        <f>VLOOKUP(B2009,'PO with created By ASR'!A:I,6,FALSE)</f>
        <v>12968  Olive Nest Pvt Ltd</v>
      </c>
      <c r="L2009" s="2" t="str">
        <f>VLOOKUP(B2009,'PO with created By ASR'!A:J,7,FALSE)</f>
        <v>A - Mumbai</v>
      </c>
      <c r="M2009" s="2" t="str">
        <f>VLOOKUP(B2009,'PO with created By ASR'!A:K,8,FALSE)</f>
        <v>Purchase Order-Mum</v>
      </c>
      <c r="N2009" t="s">
        <v>36</v>
      </c>
      <c r="P2009" s="2">
        <v>6</v>
      </c>
    </row>
    <row r="2010" s="2" customFormat="1" spans="1:16">
      <c r="A2010" s="8"/>
      <c r="B2010" s="9" t="s">
        <v>3173</v>
      </c>
      <c r="C2010" s="10" t="s">
        <v>764</v>
      </c>
      <c r="D2010" s="11">
        <v>1</v>
      </c>
      <c r="E2010" s="12">
        <v>6546</v>
      </c>
      <c r="F2010" s="13">
        <v>6546</v>
      </c>
      <c r="G2010" s="2">
        <f>VLOOKUP(B2010,'PO with created By ASR'!A:C,3,FALSE)</f>
        <v>45702</v>
      </c>
      <c r="J2010" s="2" t="str">
        <f>VLOOKUP(B2010,'PO with created By ASR'!A:G,4,FALSE)</f>
        <v>Olive Nest Pvt Ltd-Che</v>
      </c>
      <c r="K2010" s="2" t="str">
        <f>VLOOKUP(B2010,'PO with created By ASR'!A:I,6,FALSE)</f>
        <v>12968  Olive Nest Pvt Ltd</v>
      </c>
      <c r="L2010" s="2" t="str">
        <f>VLOOKUP(B2010,'PO with created By ASR'!A:J,7,FALSE)</f>
        <v>A - Mumbai</v>
      </c>
      <c r="M2010" s="2" t="str">
        <f>VLOOKUP(B2010,'PO with created By ASR'!A:K,8,FALSE)</f>
        <v>Purchase Order-Mum</v>
      </c>
      <c r="N2010" t="s">
        <v>36</v>
      </c>
      <c r="P2010" s="2">
        <v>6</v>
      </c>
    </row>
    <row r="2011" s="2" customFormat="1" spans="1:16">
      <c r="A2011" s="8"/>
      <c r="B2011" s="9" t="s">
        <v>3173</v>
      </c>
      <c r="C2011" s="10" t="s">
        <v>764</v>
      </c>
      <c r="D2011" s="11">
        <v>1</v>
      </c>
      <c r="E2011" s="12">
        <v>78</v>
      </c>
      <c r="F2011" s="13">
        <v>78</v>
      </c>
      <c r="G2011" s="2">
        <f>VLOOKUP(B2011,'PO with created By ASR'!A:C,3,FALSE)</f>
        <v>45702</v>
      </c>
      <c r="J2011" s="2" t="str">
        <f>VLOOKUP(B2011,'PO with created By ASR'!A:G,4,FALSE)</f>
        <v>Olive Nest Pvt Ltd-Che</v>
      </c>
      <c r="K2011" s="2" t="str">
        <f>VLOOKUP(B2011,'PO with created By ASR'!A:I,6,FALSE)</f>
        <v>12968  Olive Nest Pvt Ltd</v>
      </c>
      <c r="L2011" s="2" t="str">
        <f>VLOOKUP(B2011,'PO with created By ASR'!A:J,7,FALSE)</f>
        <v>A - Mumbai</v>
      </c>
      <c r="M2011" s="2" t="str">
        <f>VLOOKUP(B2011,'PO with created By ASR'!A:K,8,FALSE)</f>
        <v>Purchase Order-Mum</v>
      </c>
      <c r="N2011" t="s">
        <v>36</v>
      </c>
      <c r="P2011" s="2">
        <v>6</v>
      </c>
    </row>
    <row r="2012" s="2" customFormat="1" spans="1:16">
      <c r="A2012" s="8"/>
      <c r="B2012" s="9" t="s">
        <v>3173</v>
      </c>
      <c r="C2012" s="10" t="s">
        <v>233</v>
      </c>
      <c r="D2012" s="11">
        <v>1</v>
      </c>
      <c r="E2012" s="12">
        <v>380</v>
      </c>
      <c r="F2012" s="13">
        <v>380</v>
      </c>
      <c r="G2012" s="2">
        <f>VLOOKUP(B2012,'PO with created By ASR'!A:C,3,FALSE)</f>
        <v>45702</v>
      </c>
      <c r="J2012" s="2" t="str">
        <f>VLOOKUP(B2012,'PO with created By ASR'!A:G,4,FALSE)</f>
        <v>Olive Nest Pvt Ltd-Che</v>
      </c>
      <c r="K2012" s="2" t="str">
        <f>VLOOKUP(B2012,'PO with created By ASR'!A:I,6,FALSE)</f>
        <v>12968  Olive Nest Pvt Ltd</v>
      </c>
      <c r="L2012" s="2" t="str">
        <f>VLOOKUP(B2012,'PO with created By ASR'!A:J,7,FALSE)</f>
        <v>A - Mumbai</v>
      </c>
      <c r="M2012" s="2" t="str">
        <f>VLOOKUP(B2012,'PO with created By ASR'!A:K,8,FALSE)</f>
        <v>Purchase Order-Mum</v>
      </c>
      <c r="N2012" t="s">
        <v>36</v>
      </c>
      <c r="P2012" s="2">
        <v>6</v>
      </c>
    </row>
    <row r="2013" s="2" customFormat="1" spans="1:16">
      <c r="A2013" s="8"/>
      <c r="B2013" s="9" t="s">
        <v>3177</v>
      </c>
      <c r="C2013" s="10" t="s">
        <v>250</v>
      </c>
      <c r="D2013" s="11">
        <v>1</v>
      </c>
      <c r="E2013" s="12">
        <v>125000</v>
      </c>
      <c r="F2013" s="13">
        <v>125000</v>
      </c>
      <c r="G2013" s="2">
        <f>VLOOKUP(B2013,'PO with created By ASR'!A:C,3,FALSE)</f>
        <v>45702</v>
      </c>
      <c r="J2013" s="2" t="str">
        <f>VLOOKUP(B2013,'PO with created By ASR'!A:G,4,FALSE)</f>
        <v>Blink Entertainment-Mum</v>
      </c>
      <c r="K2013" s="2" t="str">
        <f>VLOOKUP(B2013,'PO with created By ASR'!A:I,6,FALSE)</f>
        <v>11177 Blink Entertainment</v>
      </c>
      <c r="L2013" s="2" t="str">
        <f>VLOOKUP(B2013,'PO with created By ASR'!A:J,7,FALSE)</f>
        <v>A - Mumbai</v>
      </c>
      <c r="M2013" s="2" t="str">
        <f>VLOOKUP(B2013,'PO with created By ASR'!A:K,8,FALSE)</f>
        <v>Purchase Order-Mum</v>
      </c>
      <c r="N2013" t="s">
        <v>36</v>
      </c>
      <c r="P2013" s="2">
        <v>6</v>
      </c>
    </row>
    <row r="2014" s="2" customFormat="1" spans="1:16">
      <c r="A2014" s="8"/>
      <c r="B2014" s="9" t="s">
        <v>3178</v>
      </c>
      <c r="C2014" s="10" t="s">
        <v>140</v>
      </c>
      <c r="D2014" s="11">
        <v>1</v>
      </c>
      <c r="E2014" s="12">
        <v>1279030</v>
      </c>
      <c r="F2014" s="13">
        <v>1279030</v>
      </c>
      <c r="G2014" s="2">
        <f>VLOOKUP(B2014,'PO with created By ASR'!A:C,3,FALSE)</f>
        <v>45702</v>
      </c>
      <c r="J2014" s="2" t="str">
        <f>VLOOKUP(B2014,'PO with created By ASR'!A:G,4,FALSE)</f>
        <v>Nacre Studios-Mum</v>
      </c>
      <c r="K2014" s="2" t="str">
        <f>VLOOKUP(B2014,'PO with created By ASR'!A:I,6,FALSE)</f>
        <v>12183 Nacre Studios</v>
      </c>
      <c r="L2014" s="2" t="str">
        <f>VLOOKUP(B2014,'PO with created By ASR'!A:J,7,FALSE)</f>
        <v>A - Mumbai</v>
      </c>
      <c r="M2014" s="2" t="str">
        <f>VLOOKUP(B2014,'PO with created By ASR'!A:K,8,FALSE)</f>
        <v>Purchase Order-Mum</v>
      </c>
      <c r="N2014" t="s">
        <v>36</v>
      </c>
      <c r="P2014" s="2">
        <v>6</v>
      </c>
    </row>
    <row r="2015" s="2" customFormat="1" spans="1:16">
      <c r="A2015" s="8"/>
      <c r="B2015" s="9" t="s">
        <v>3181</v>
      </c>
      <c r="C2015" s="10" t="s">
        <v>317</v>
      </c>
      <c r="D2015" s="11">
        <v>1</v>
      </c>
      <c r="E2015" s="12">
        <v>1060000</v>
      </c>
      <c r="F2015" s="13">
        <v>1060000</v>
      </c>
      <c r="G2015" s="2">
        <f>VLOOKUP(B2015,'PO with created By ASR'!A:C,3,FALSE)</f>
        <v>45702</v>
      </c>
      <c r="J2015" s="2" t="str">
        <f>VLOOKUP(B2015,'PO with created By ASR'!A:G,4,FALSE)</f>
        <v>Daffodils-Mum</v>
      </c>
      <c r="K2015" s="2" t="e">
        <f>VLOOKUP(B2015,'PO with created By ASR'!A:I,6,FALSE)</f>
        <v>#N/A</v>
      </c>
      <c r="L2015" s="2" t="str">
        <f>VLOOKUP(B2015,'PO with created By ASR'!A:J,7,FALSE)</f>
        <v>A - Mumbai</v>
      </c>
      <c r="M2015" s="2" t="str">
        <f>VLOOKUP(B2015,'PO with created By ASR'!A:K,8,FALSE)</f>
        <v>Purchase Order-Mum</v>
      </c>
      <c r="N2015" t="s">
        <v>36</v>
      </c>
      <c r="P2015" s="2">
        <v>6</v>
      </c>
    </row>
    <row r="2016" s="2" customFormat="1" spans="1:16">
      <c r="A2016" s="8"/>
      <c r="B2016" s="9" t="s">
        <v>3183</v>
      </c>
      <c r="C2016" s="10" t="s">
        <v>140</v>
      </c>
      <c r="D2016" s="11">
        <v>1</v>
      </c>
      <c r="E2016" s="12">
        <v>17389.44</v>
      </c>
      <c r="F2016" s="13">
        <v>17389.44</v>
      </c>
      <c r="G2016" s="2">
        <f>VLOOKUP(B2016,'PO with created By ASR'!A:C,3,FALSE)</f>
        <v>45702</v>
      </c>
      <c r="J2016" s="2" t="str">
        <f>VLOOKUP(B2016,'PO with created By ASR'!A:G,4,FALSE)</f>
        <v>Hunger Inc Hospitality Pvt Ltd-Mum</v>
      </c>
      <c r="K2016" s="2" t="str">
        <f>VLOOKUP(B2016,'PO with created By ASR'!A:I,6,FALSE)</f>
        <v>12963  Hunger Inc Hospitality Pvt Ltd</v>
      </c>
      <c r="L2016" s="2" t="str">
        <f>VLOOKUP(B2016,'PO with created By ASR'!A:J,7,FALSE)</f>
        <v>A - Mumbai</v>
      </c>
      <c r="M2016" s="2" t="str">
        <f>VLOOKUP(B2016,'PO with created By ASR'!A:K,8,FALSE)</f>
        <v>Purchase Order-Mum</v>
      </c>
      <c r="N2016" t="s">
        <v>36</v>
      </c>
      <c r="P2016" s="2">
        <v>6</v>
      </c>
    </row>
    <row r="2017" s="2" customFormat="1" spans="1:16">
      <c r="A2017" s="8"/>
      <c r="B2017" s="9" t="s">
        <v>3183</v>
      </c>
      <c r="C2017" s="10" t="s">
        <v>140</v>
      </c>
      <c r="D2017" s="11">
        <v>1</v>
      </c>
      <c r="E2017" s="12">
        <v>13371.12</v>
      </c>
      <c r="F2017" s="13">
        <v>13371.12</v>
      </c>
      <c r="G2017" s="2">
        <f>VLOOKUP(B2017,'PO with created By ASR'!A:C,3,FALSE)</f>
        <v>45702</v>
      </c>
      <c r="J2017" s="2" t="str">
        <f>VLOOKUP(B2017,'PO with created By ASR'!A:G,4,FALSE)</f>
        <v>Hunger Inc Hospitality Pvt Ltd-Mum</v>
      </c>
      <c r="K2017" s="2" t="str">
        <f>VLOOKUP(B2017,'PO with created By ASR'!A:I,6,FALSE)</f>
        <v>12963  Hunger Inc Hospitality Pvt Ltd</v>
      </c>
      <c r="L2017" s="2" t="str">
        <f>VLOOKUP(B2017,'PO with created By ASR'!A:J,7,FALSE)</f>
        <v>A - Mumbai</v>
      </c>
      <c r="M2017" s="2" t="str">
        <f>VLOOKUP(B2017,'PO with created By ASR'!A:K,8,FALSE)</f>
        <v>Purchase Order-Mum</v>
      </c>
      <c r="N2017" t="s">
        <v>36</v>
      </c>
      <c r="P2017" s="2">
        <v>6</v>
      </c>
    </row>
    <row r="2018" s="2" customFormat="1" spans="1:16">
      <c r="A2018" s="8"/>
      <c r="B2018" s="9" t="s">
        <v>3183</v>
      </c>
      <c r="C2018" s="10" t="s">
        <v>140</v>
      </c>
      <c r="D2018" s="11">
        <v>1</v>
      </c>
      <c r="E2018" s="12">
        <v>19285.92</v>
      </c>
      <c r="F2018" s="13">
        <v>19285.92</v>
      </c>
      <c r="G2018" s="2">
        <f>VLOOKUP(B2018,'PO with created By ASR'!A:C,3,FALSE)</f>
        <v>45702</v>
      </c>
      <c r="J2018" s="2" t="str">
        <f>VLOOKUP(B2018,'PO with created By ASR'!A:G,4,FALSE)</f>
        <v>Hunger Inc Hospitality Pvt Ltd-Mum</v>
      </c>
      <c r="K2018" s="2" t="str">
        <f>VLOOKUP(B2018,'PO with created By ASR'!A:I,6,FALSE)</f>
        <v>12963  Hunger Inc Hospitality Pvt Ltd</v>
      </c>
      <c r="L2018" s="2" t="str">
        <f>VLOOKUP(B2018,'PO with created By ASR'!A:J,7,FALSE)</f>
        <v>A - Mumbai</v>
      </c>
      <c r="M2018" s="2" t="str">
        <f>VLOOKUP(B2018,'PO with created By ASR'!A:K,8,FALSE)</f>
        <v>Purchase Order-Mum</v>
      </c>
      <c r="N2018" t="s">
        <v>36</v>
      </c>
      <c r="P2018" s="2">
        <v>6</v>
      </c>
    </row>
    <row r="2019" s="2" customFormat="1" spans="1:16">
      <c r="A2019" s="8"/>
      <c r="B2019" s="9" t="s">
        <v>3183</v>
      </c>
      <c r="C2019" s="10" t="s">
        <v>140</v>
      </c>
      <c r="D2019" s="11">
        <v>1</v>
      </c>
      <c r="E2019" s="12">
        <v>19285.92</v>
      </c>
      <c r="F2019" s="13">
        <v>19285.92</v>
      </c>
      <c r="G2019" s="2">
        <f>VLOOKUP(B2019,'PO with created By ASR'!A:C,3,FALSE)</f>
        <v>45702</v>
      </c>
      <c r="J2019" s="2" t="str">
        <f>VLOOKUP(B2019,'PO with created By ASR'!A:G,4,FALSE)</f>
        <v>Hunger Inc Hospitality Pvt Ltd-Mum</v>
      </c>
      <c r="K2019" s="2" t="str">
        <f>VLOOKUP(B2019,'PO with created By ASR'!A:I,6,FALSE)</f>
        <v>12963  Hunger Inc Hospitality Pvt Ltd</v>
      </c>
      <c r="L2019" s="2" t="str">
        <f>VLOOKUP(B2019,'PO with created By ASR'!A:J,7,FALSE)</f>
        <v>A - Mumbai</v>
      </c>
      <c r="M2019" s="2" t="str">
        <f>VLOOKUP(B2019,'PO with created By ASR'!A:K,8,FALSE)</f>
        <v>Purchase Order-Mum</v>
      </c>
      <c r="N2019" t="s">
        <v>36</v>
      </c>
      <c r="P2019" s="2">
        <v>6</v>
      </c>
    </row>
    <row r="2020" s="2" customFormat="1" spans="1:16">
      <c r="A2020" s="8"/>
      <c r="B2020" s="9" t="s">
        <v>3186</v>
      </c>
      <c r="C2020" s="10" t="s">
        <v>196</v>
      </c>
      <c r="D2020" s="11">
        <v>1</v>
      </c>
      <c r="E2020" s="12">
        <v>39450</v>
      </c>
      <c r="F2020" s="13">
        <v>39450</v>
      </c>
      <c r="G2020" s="2">
        <f>VLOOKUP(B2020,'PO with created By ASR'!A:C,3,FALSE)</f>
        <v>45702</v>
      </c>
      <c r="J2020" s="2" t="str">
        <f>VLOOKUP(B2020,'PO with created By ASR'!A:G,4,FALSE)</f>
        <v>Prince Graphics Pvt Ltd-Mum</v>
      </c>
      <c r="K2020" s="2" t="str">
        <f>VLOOKUP(B2020,'PO with created By ASR'!A:I,6,FALSE)</f>
        <v>12284  Prince Graphics Pvt Ltd</v>
      </c>
      <c r="L2020" s="2" t="str">
        <f>VLOOKUP(B2020,'PO with created By ASR'!A:J,7,FALSE)</f>
        <v>A - Mumbai</v>
      </c>
      <c r="M2020" s="2" t="str">
        <f>VLOOKUP(B2020,'PO with created By ASR'!A:K,8,FALSE)</f>
        <v>Purchase Order-Mum</v>
      </c>
      <c r="N2020" t="s">
        <v>36</v>
      </c>
      <c r="P2020" s="2">
        <v>6</v>
      </c>
    </row>
    <row r="2021" s="2" customFormat="1" spans="1:16">
      <c r="A2021" s="8"/>
      <c r="B2021" s="9" t="s">
        <v>3187</v>
      </c>
      <c r="C2021" s="10" t="s">
        <v>347</v>
      </c>
      <c r="D2021" s="11">
        <v>1</v>
      </c>
      <c r="E2021" s="12">
        <v>40000</v>
      </c>
      <c r="F2021" s="13">
        <v>40000</v>
      </c>
      <c r="G2021" s="2">
        <f>VLOOKUP(B2021,'PO with created By ASR'!A:C,3,FALSE)</f>
        <v>45702</v>
      </c>
      <c r="J2021" s="2" t="str">
        <f>VLOOKUP(B2021,'PO with created By ASR'!A:G,4,FALSE)</f>
        <v>Nepa Rai Choudhary-Mum</v>
      </c>
      <c r="K2021" s="2" t="str">
        <f>VLOOKUP(B2021,'PO with created By ASR'!A:I,6,FALSE)</f>
        <v>10769 Nepa Rai Choudhary</v>
      </c>
      <c r="L2021" s="2" t="str">
        <f>VLOOKUP(B2021,'PO with created By ASR'!A:J,7,FALSE)</f>
        <v>A - Mumbai</v>
      </c>
      <c r="M2021" s="2" t="str">
        <f>VLOOKUP(B2021,'PO with created By ASR'!A:K,8,FALSE)</f>
        <v>Purchase Order-Mum</v>
      </c>
      <c r="N2021" t="s">
        <v>36</v>
      </c>
      <c r="P2021" s="2">
        <v>6</v>
      </c>
    </row>
    <row r="2022" s="2" customFormat="1" spans="1:16">
      <c r="A2022" s="8"/>
      <c r="B2022" s="9" t="s">
        <v>3190</v>
      </c>
      <c r="C2022" s="10" t="s">
        <v>401</v>
      </c>
      <c r="D2022" s="11">
        <v>1</v>
      </c>
      <c r="E2022" s="12">
        <v>5000</v>
      </c>
      <c r="F2022" s="13">
        <v>5000</v>
      </c>
      <c r="G2022" s="2">
        <f>VLOOKUP(B2022,'PO with created By ASR'!A:C,3,FALSE)</f>
        <v>45702</v>
      </c>
      <c r="J2022" s="2" t="str">
        <f>VLOOKUP(B2022,'PO with created By ASR'!A:G,4,FALSE)</f>
        <v>Blushfox Studios LLP-Mum</v>
      </c>
      <c r="K2022" s="2" t="str">
        <f>VLOOKUP(B2022,'PO with created By ASR'!A:I,6,FALSE)</f>
        <v>12984 Blushfox Studios LLP</v>
      </c>
      <c r="L2022" s="2" t="str">
        <f>VLOOKUP(B2022,'PO with created By ASR'!A:J,7,FALSE)</f>
        <v>A - Mumbai</v>
      </c>
      <c r="M2022" s="2" t="str">
        <f>VLOOKUP(B2022,'PO with created By ASR'!A:K,8,FALSE)</f>
        <v>Purchase Order-Mum</v>
      </c>
      <c r="N2022" t="s">
        <v>36</v>
      </c>
      <c r="P2022" s="2">
        <v>6</v>
      </c>
    </row>
    <row r="2023" s="2" customFormat="1" spans="1:16">
      <c r="A2023" s="8"/>
      <c r="B2023" s="9" t="s">
        <v>3194</v>
      </c>
      <c r="C2023" s="10" t="s">
        <v>276</v>
      </c>
      <c r="D2023" s="11">
        <v>1</v>
      </c>
      <c r="E2023" s="12">
        <v>49500</v>
      </c>
      <c r="F2023" s="13">
        <v>49500</v>
      </c>
      <c r="G2023" s="2">
        <f>VLOOKUP(B2023,'PO with created By ASR'!A:C,3,FALSE)</f>
        <v>45702</v>
      </c>
      <c r="J2023" s="2" t="str">
        <f>VLOOKUP(B2023,'PO with created By ASR'!A:G,4,FALSE)</f>
        <v>Sula Vineyards Ltd-Mum</v>
      </c>
      <c r="K2023" s="2" t="str">
        <f>VLOOKUP(B2023,'PO with created By ASR'!A:I,6,FALSE)</f>
        <v>10423  Sula Vineyards Ltd</v>
      </c>
      <c r="L2023" s="2" t="str">
        <f>VLOOKUP(B2023,'PO with created By ASR'!A:J,7,FALSE)</f>
        <v>A - Mumbai</v>
      </c>
      <c r="M2023" s="2" t="str">
        <f>VLOOKUP(B2023,'PO with created By ASR'!A:K,8,FALSE)</f>
        <v>Purchase Order-Mum</v>
      </c>
      <c r="N2023" t="s">
        <v>36</v>
      </c>
      <c r="P2023" s="2">
        <v>6</v>
      </c>
    </row>
    <row r="2024" s="2" customFormat="1" spans="1:16">
      <c r="A2024" s="8"/>
      <c r="B2024" s="9" t="s">
        <v>3194</v>
      </c>
      <c r="C2024" s="10" t="s">
        <v>276</v>
      </c>
      <c r="D2024" s="11">
        <v>1</v>
      </c>
      <c r="E2024" s="12">
        <v>75000</v>
      </c>
      <c r="F2024" s="13">
        <v>75000</v>
      </c>
      <c r="G2024" s="2">
        <f>VLOOKUP(B2024,'PO with created By ASR'!A:C,3,FALSE)</f>
        <v>45702</v>
      </c>
      <c r="J2024" s="2" t="str">
        <f>VLOOKUP(B2024,'PO with created By ASR'!A:G,4,FALSE)</f>
        <v>Sula Vineyards Ltd-Mum</v>
      </c>
      <c r="K2024" s="2" t="str">
        <f>VLOOKUP(B2024,'PO with created By ASR'!A:I,6,FALSE)</f>
        <v>10423  Sula Vineyards Ltd</v>
      </c>
      <c r="L2024" s="2" t="str">
        <f>VLOOKUP(B2024,'PO with created By ASR'!A:J,7,FALSE)</f>
        <v>A - Mumbai</v>
      </c>
      <c r="M2024" s="2" t="str">
        <f>VLOOKUP(B2024,'PO with created By ASR'!A:K,8,FALSE)</f>
        <v>Purchase Order-Mum</v>
      </c>
      <c r="N2024" t="s">
        <v>36</v>
      </c>
      <c r="P2024" s="2">
        <v>6</v>
      </c>
    </row>
    <row r="2025" s="2" customFormat="1" spans="1:16">
      <c r="A2025" s="8"/>
      <c r="B2025" s="9" t="s">
        <v>3194</v>
      </c>
      <c r="C2025" s="10" t="s">
        <v>676</v>
      </c>
      <c r="D2025" s="11">
        <v>1</v>
      </c>
      <c r="E2025" s="12">
        <v>1237.5</v>
      </c>
      <c r="F2025" s="13">
        <v>1237.5</v>
      </c>
      <c r="G2025" s="2">
        <f>VLOOKUP(B2025,'PO with created By ASR'!A:C,3,FALSE)</f>
        <v>45702</v>
      </c>
      <c r="J2025" s="2" t="str">
        <f>VLOOKUP(B2025,'PO with created By ASR'!A:G,4,FALSE)</f>
        <v>Sula Vineyards Ltd-Mum</v>
      </c>
      <c r="K2025" s="2" t="str">
        <f>VLOOKUP(B2025,'PO with created By ASR'!A:I,6,FALSE)</f>
        <v>10423  Sula Vineyards Ltd</v>
      </c>
      <c r="L2025" s="2" t="str">
        <f>VLOOKUP(B2025,'PO with created By ASR'!A:J,7,FALSE)</f>
        <v>A - Mumbai</v>
      </c>
      <c r="M2025" s="2" t="str">
        <f>VLOOKUP(B2025,'PO with created By ASR'!A:K,8,FALSE)</f>
        <v>Purchase Order-Mum</v>
      </c>
      <c r="N2025" t="s">
        <v>36</v>
      </c>
      <c r="P2025" s="2">
        <v>6</v>
      </c>
    </row>
    <row r="2026" s="2" customFormat="1" spans="1:16">
      <c r="A2026" s="8"/>
      <c r="B2026" s="9" t="s">
        <v>3194</v>
      </c>
      <c r="C2026" s="10" t="s">
        <v>4365</v>
      </c>
      <c r="D2026" s="11">
        <v>1</v>
      </c>
      <c r="E2026" s="12">
        <v>1237.5</v>
      </c>
      <c r="F2026" s="13">
        <v>1237.5</v>
      </c>
      <c r="G2026" s="2">
        <f>VLOOKUP(B2026,'PO with created By ASR'!A:C,3,FALSE)</f>
        <v>45702</v>
      </c>
      <c r="J2026" s="2" t="str">
        <f>VLOOKUP(B2026,'PO with created By ASR'!A:G,4,FALSE)</f>
        <v>Sula Vineyards Ltd-Mum</v>
      </c>
      <c r="K2026" s="2" t="str">
        <f>VLOOKUP(B2026,'PO with created By ASR'!A:I,6,FALSE)</f>
        <v>10423  Sula Vineyards Ltd</v>
      </c>
      <c r="L2026" s="2" t="str">
        <f>VLOOKUP(B2026,'PO with created By ASR'!A:J,7,FALSE)</f>
        <v>A - Mumbai</v>
      </c>
      <c r="M2026" s="2" t="str">
        <f>VLOOKUP(B2026,'PO with created By ASR'!A:K,8,FALSE)</f>
        <v>Purchase Order-Mum</v>
      </c>
      <c r="N2026" t="s">
        <v>36</v>
      </c>
      <c r="P2026" s="2">
        <v>6</v>
      </c>
    </row>
    <row r="2027" s="2" customFormat="1" spans="1:16">
      <c r="A2027" s="8"/>
      <c r="B2027" s="9" t="s">
        <v>3197</v>
      </c>
      <c r="C2027" s="10" t="s">
        <v>250</v>
      </c>
      <c r="D2027" s="11">
        <v>1</v>
      </c>
      <c r="E2027" s="12">
        <v>185000</v>
      </c>
      <c r="F2027" s="13">
        <v>185000</v>
      </c>
      <c r="G2027" s="2">
        <f>VLOOKUP(B2027,'PO with created By ASR'!A:C,3,FALSE)</f>
        <v>45702</v>
      </c>
      <c r="J2027" s="2" t="str">
        <f>VLOOKUP(B2027,'PO with created By ASR'!A:G,4,FALSE)</f>
        <v>Pradeep Golak Das -Doodle Art-Mum</v>
      </c>
      <c r="K2027" s="2" t="e">
        <f>VLOOKUP(B2027,'PO with created By ASR'!A:I,6,FALSE)</f>
        <v>#N/A</v>
      </c>
      <c r="L2027" s="2" t="str">
        <f>VLOOKUP(B2027,'PO with created By ASR'!A:J,7,FALSE)</f>
        <v>A - Mumbai</v>
      </c>
      <c r="M2027" s="2" t="str">
        <f>VLOOKUP(B2027,'PO with created By ASR'!A:K,8,FALSE)</f>
        <v>Purchase Order-Mum</v>
      </c>
      <c r="N2027" t="s">
        <v>36</v>
      </c>
      <c r="P2027" s="2">
        <v>6</v>
      </c>
    </row>
    <row r="2028" s="2" customFormat="1" spans="1:16">
      <c r="A2028" s="8"/>
      <c r="B2028" s="9" t="s">
        <v>3199</v>
      </c>
      <c r="C2028" s="10" t="s">
        <v>347</v>
      </c>
      <c r="D2028" s="11">
        <v>1</v>
      </c>
      <c r="E2028" s="12">
        <v>20000</v>
      </c>
      <c r="F2028" s="13">
        <v>20000</v>
      </c>
      <c r="G2028" s="2">
        <f>VLOOKUP(B2028,'PO with created By ASR'!A:C,3,FALSE)</f>
        <v>45702</v>
      </c>
      <c r="J2028" s="2" t="str">
        <f>VLOOKUP(B2028,'PO with created By ASR'!A:G,4,FALSE)</f>
        <v>Gaurstic-Mum</v>
      </c>
      <c r="K2028" s="2" t="e">
        <f>VLOOKUP(B2028,'PO with created By ASR'!A:I,6,FALSE)</f>
        <v>#N/A</v>
      </c>
      <c r="L2028" s="2" t="str">
        <f>VLOOKUP(B2028,'PO with created By ASR'!A:J,7,FALSE)</f>
        <v>A - Mumbai</v>
      </c>
      <c r="M2028" s="2" t="str">
        <f>VLOOKUP(B2028,'PO with created By ASR'!A:K,8,FALSE)</f>
        <v>Purchase Order-Mum</v>
      </c>
      <c r="N2028" t="s">
        <v>36</v>
      </c>
      <c r="P2028" s="2">
        <v>6</v>
      </c>
    </row>
    <row r="2029" s="2" customFormat="1" spans="1:16">
      <c r="A2029" s="8"/>
      <c r="B2029" s="9" t="s">
        <v>3201</v>
      </c>
      <c r="C2029" s="10" t="s">
        <v>250</v>
      </c>
      <c r="D2029" s="11">
        <v>1</v>
      </c>
      <c r="E2029" s="12">
        <v>80000</v>
      </c>
      <c r="F2029" s="13">
        <v>80000</v>
      </c>
      <c r="G2029" s="2">
        <f>VLOOKUP(B2029,'PO with created By ASR'!A:C,3,FALSE)</f>
        <v>45702</v>
      </c>
      <c r="J2029" s="2" t="str">
        <f>VLOOKUP(B2029,'PO with created By ASR'!A:G,4,FALSE)</f>
        <v>Unekha-Mum</v>
      </c>
      <c r="K2029" s="2" t="e">
        <f>VLOOKUP(B2029,'PO with created By ASR'!A:I,6,FALSE)</f>
        <v>#N/A</v>
      </c>
      <c r="L2029" s="2" t="str">
        <f>VLOOKUP(B2029,'PO with created By ASR'!A:J,7,FALSE)</f>
        <v>A - Mumbai</v>
      </c>
      <c r="M2029" s="2" t="str">
        <f>VLOOKUP(B2029,'PO with created By ASR'!A:K,8,FALSE)</f>
        <v>Purchase Order-Mum</v>
      </c>
      <c r="N2029" t="s">
        <v>36</v>
      </c>
      <c r="P2029" s="2">
        <v>6</v>
      </c>
    </row>
    <row r="2030" s="2" customFormat="1" spans="1:16">
      <c r="A2030" s="8"/>
      <c r="B2030" s="9" t="s">
        <v>3204</v>
      </c>
      <c r="C2030" s="10" t="s">
        <v>233</v>
      </c>
      <c r="D2030" s="11">
        <v>1</v>
      </c>
      <c r="E2030" s="12">
        <v>1600000</v>
      </c>
      <c r="F2030" s="13">
        <v>1600000</v>
      </c>
      <c r="G2030" s="2">
        <f>VLOOKUP(B2030,'PO with created By ASR'!A:C,3,FALSE)</f>
        <v>45702</v>
      </c>
      <c r="J2030" s="2" t="str">
        <f>VLOOKUP(B2030,'PO with created By ASR'!A:G,4,FALSE)</f>
        <v>The Indian Express Private Limited-Mum</v>
      </c>
      <c r="K2030" s="2" t="e">
        <f>VLOOKUP(B2030,'PO with created By ASR'!A:I,6,FALSE)</f>
        <v>#N/A</v>
      </c>
      <c r="L2030" s="2" t="str">
        <f>VLOOKUP(B2030,'PO with created By ASR'!A:J,7,FALSE)</f>
        <v>A - Mumbai</v>
      </c>
      <c r="M2030" s="2" t="str">
        <f>VLOOKUP(B2030,'PO with created By ASR'!A:K,8,FALSE)</f>
        <v>Purchase Order-Mum</v>
      </c>
      <c r="N2030" t="s">
        <v>36</v>
      </c>
      <c r="P2030" s="2">
        <v>6</v>
      </c>
    </row>
    <row r="2031" s="2" customFormat="1" spans="1:16">
      <c r="A2031" s="8"/>
      <c r="B2031" s="9" t="s">
        <v>3206</v>
      </c>
      <c r="C2031" s="10" t="s">
        <v>233</v>
      </c>
      <c r="D2031" s="11">
        <v>1</v>
      </c>
      <c r="E2031" s="12">
        <v>800000</v>
      </c>
      <c r="F2031" s="13">
        <v>800000</v>
      </c>
      <c r="G2031" s="2">
        <f>VLOOKUP(B2031,'PO with created By ASR'!A:C,3,FALSE)</f>
        <v>45702</v>
      </c>
      <c r="J2031" s="2" t="str">
        <f>VLOOKUP(B2031,'PO with created By ASR'!A:G,4,FALSE)</f>
        <v>The Indian Express Private Limited-Mum</v>
      </c>
      <c r="K2031" s="2" t="e">
        <f>VLOOKUP(B2031,'PO with created By ASR'!A:I,6,FALSE)</f>
        <v>#N/A</v>
      </c>
      <c r="L2031" s="2" t="str">
        <f>VLOOKUP(B2031,'PO with created By ASR'!A:J,7,FALSE)</f>
        <v>A - Mumbai</v>
      </c>
      <c r="M2031" s="2" t="str">
        <f>VLOOKUP(B2031,'PO with created By ASR'!A:K,8,FALSE)</f>
        <v>Purchase Order-Mum</v>
      </c>
      <c r="N2031" t="s">
        <v>36</v>
      </c>
      <c r="P2031" s="2">
        <v>6</v>
      </c>
    </row>
    <row r="2032" s="2" customFormat="1" spans="1:16">
      <c r="A2032" s="8"/>
      <c r="B2032" s="9" t="s">
        <v>3208</v>
      </c>
      <c r="C2032" s="10" t="s">
        <v>292</v>
      </c>
      <c r="D2032" s="11">
        <v>1</v>
      </c>
      <c r="E2032" s="12">
        <v>45000</v>
      </c>
      <c r="F2032" s="13">
        <v>45000</v>
      </c>
      <c r="G2032" s="2">
        <f>VLOOKUP(B2032,'PO with created By ASR'!A:C,3,FALSE)</f>
        <v>45702</v>
      </c>
      <c r="J2032" s="2" t="str">
        <f>VLOOKUP(B2032,'PO with created By ASR'!A:G,4,FALSE)</f>
        <v>Emblaze Events (Sunita Harihar Sharma)-Mum</v>
      </c>
      <c r="K2032" s="2" t="str">
        <f>VLOOKUP(B2032,'PO with created By ASR'!A:I,6,FALSE)</f>
        <v>11869 Emblaze Events (Sunita Harihar Sharma)</v>
      </c>
      <c r="L2032" s="2" t="str">
        <f>VLOOKUP(B2032,'PO with created By ASR'!A:J,7,FALSE)</f>
        <v>A - Mumbai</v>
      </c>
      <c r="M2032" s="2" t="str">
        <f>VLOOKUP(B2032,'PO with created By ASR'!A:K,8,FALSE)</f>
        <v>Purchase Order-Mum</v>
      </c>
      <c r="N2032" t="s">
        <v>36</v>
      </c>
      <c r="P2032" s="2">
        <v>6</v>
      </c>
    </row>
    <row r="2033" s="2" customFormat="1" spans="1:16">
      <c r="A2033" s="8"/>
      <c r="B2033" s="9" t="s">
        <v>3210</v>
      </c>
      <c r="C2033" s="10" t="s">
        <v>1176</v>
      </c>
      <c r="D2033" s="11">
        <v>1</v>
      </c>
      <c r="E2033" s="12">
        <v>28000</v>
      </c>
      <c r="F2033" s="13">
        <v>28000</v>
      </c>
      <c r="G2033" s="2">
        <f>VLOOKUP(B2033,'PO with created By ASR'!A:C,3,FALSE)</f>
        <v>45702</v>
      </c>
      <c r="J2033" s="2" t="str">
        <f>VLOOKUP(B2033,'PO with created By ASR'!A:G,4,FALSE)</f>
        <v>Jw Marriot Sahar Mumbai-Mum</v>
      </c>
      <c r="K2033" s="2" t="str">
        <f>VLOOKUP(B2033,'PO with created By ASR'!A:I,6,FALSE)</f>
        <v>10349  Jw Marriot Sahar Mumbai</v>
      </c>
      <c r="L2033" s="2" t="str">
        <f>VLOOKUP(B2033,'PO with created By ASR'!A:J,7,FALSE)</f>
        <v>A - Mumbai</v>
      </c>
      <c r="M2033" s="2" t="str">
        <f>VLOOKUP(B2033,'PO with created By ASR'!A:K,8,FALSE)</f>
        <v>Purchase Order-Mum</v>
      </c>
      <c r="N2033" t="s">
        <v>36</v>
      </c>
      <c r="P2033" s="2">
        <v>6</v>
      </c>
    </row>
    <row r="2034" s="2" customFormat="1" spans="1:16">
      <c r="A2034" s="8"/>
      <c r="B2034" s="9" t="s">
        <v>3211</v>
      </c>
      <c r="C2034" s="10" t="s">
        <v>61</v>
      </c>
      <c r="D2034" s="11">
        <v>1</v>
      </c>
      <c r="E2034" s="12">
        <v>9000</v>
      </c>
      <c r="F2034" s="13">
        <v>9000</v>
      </c>
      <c r="G2034" s="2">
        <f>VLOOKUP(B2034,'PO with created By ASR'!A:C,3,FALSE)</f>
        <v>45702</v>
      </c>
      <c r="J2034" s="2" t="str">
        <f>VLOOKUP(B2034,'PO with created By ASR'!A:G,4,FALSE)</f>
        <v>The Comptment Hotel Pvt Ltd-Mum</v>
      </c>
      <c r="K2034" s="2" t="str">
        <f>VLOOKUP(B2034,'PO with created By ASR'!A:I,6,FALSE)</f>
        <v>12686  The Comptment Hotel Pvt Ltd</v>
      </c>
      <c r="L2034" s="2" t="str">
        <f>VLOOKUP(B2034,'PO with created By ASR'!A:J,7,FALSE)</f>
        <v>A - Mumbai</v>
      </c>
      <c r="M2034" s="2" t="str">
        <f>VLOOKUP(B2034,'PO with created By ASR'!A:K,8,FALSE)</f>
        <v>Purchase Order-Mum</v>
      </c>
      <c r="N2034" t="s">
        <v>36</v>
      </c>
      <c r="P2034" s="2">
        <v>6</v>
      </c>
    </row>
    <row r="2035" s="2" customFormat="1" spans="1:16">
      <c r="A2035" s="8"/>
      <c r="B2035" s="9" t="s">
        <v>3212</v>
      </c>
      <c r="C2035" s="10" t="s">
        <v>317</v>
      </c>
      <c r="D2035" s="11">
        <v>1</v>
      </c>
      <c r="E2035" s="12">
        <v>222000</v>
      </c>
      <c r="F2035" s="13">
        <v>222000</v>
      </c>
      <c r="G2035" s="2">
        <f>VLOOKUP(B2035,'PO with created By ASR'!A:C,3,FALSE)</f>
        <v>45703</v>
      </c>
      <c r="J2035" s="2" t="str">
        <f>VLOOKUP(B2035,'PO with created By ASR'!A:G,4,FALSE)</f>
        <v>Gala Event Solutions-Che</v>
      </c>
      <c r="K2035" s="2" t="str">
        <f>VLOOKUP(B2035,'PO with created By ASR'!A:I,6,FALSE)</f>
        <v>11939 Gala Event Solutions</v>
      </c>
      <c r="L2035" s="2" t="str">
        <f>VLOOKUP(B2035,'PO with created By ASR'!A:J,7,FALSE)</f>
        <v>C - Chennai</v>
      </c>
      <c r="M2035" s="2" t="str">
        <f>VLOOKUP(B2035,'PO with created By ASR'!A:K,8,FALSE)</f>
        <v>Purchase Order-Che</v>
      </c>
      <c r="N2035" t="s">
        <v>36</v>
      </c>
      <c r="P2035" s="2">
        <v>6</v>
      </c>
    </row>
    <row r="2036" s="2" customFormat="1" spans="1:16">
      <c r="A2036" s="8"/>
      <c r="B2036" s="9" t="s">
        <v>3214</v>
      </c>
      <c r="C2036" s="10" t="s">
        <v>1672</v>
      </c>
      <c r="D2036" s="11">
        <v>1</v>
      </c>
      <c r="E2036" s="12">
        <v>2418627</v>
      </c>
      <c r="F2036" s="13">
        <v>2418627</v>
      </c>
      <c r="G2036" s="2">
        <f>VLOOKUP(B2036,'PO with created By ASR'!A:C,3,FALSE)</f>
        <v>45703</v>
      </c>
      <c r="J2036" s="2" t="str">
        <f>VLOOKUP(B2036,'PO with created By ASR'!A:G,4,FALSE)</f>
        <v>Grand Hyatt Athens (Sygroy 115 Hotel Enterprises Single Member S A)-Mum</v>
      </c>
      <c r="K2036" s="2" t="str">
        <f>VLOOKUP(B2036,'PO with created By ASR'!A:I,6,FALSE)</f>
        <v>12852 Grand Hyatt Athens (Sygroy 115 Hotel Enterprises Single Member S A)</v>
      </c>
      <c r="L2036" s="2" t="str">
        <f>VLOOKUP(B2036,'PO with created By ASR'!A:J,7,FALSE)</f>
        <v>A - Mumbai</v>
      </c>
      <c r="M2036" s="2" t="str">
        <f>VLOOKUP(B2036,'PO with created By ASR'!A:K,8,FALSE)</f>
        <v>Purchase Order-Mum</v>
      </c>
      <c r="N2036" t="s">
        <v>36</v>
      </c>
      <c r="P2036" s="2">
        <v>6</v>
      </c>
    </row>
    <row r="2037" s="2" customFormat="1" spans="1:16">
      <c r="A2037" s="8"/>
      <c r="B2037" s="9" t="s">
        <v>3215</v>
      </c>
      <c r="C2037" s="10" t="s">
        <v>276</v>
      </c>
      <c r="D2037" s="11">
        <v>1</v>
      </c>
      <c r="E2037" s="12">
        <v>53571</v>
      </c>
      <c r="F2037" s="13">
        <v>53571</v>
      </c>
      <c r="G2037" s="2">
        <f>VLOOKUP(B2037,'PO with created By ASR'!A:C,3,FALSE)</f>
        <v>45703</v>
      </c>
      <c r="J2037" s="2" t="str">
        <f>VLOOKUP(B2037,'PO with created By ASR'!A:G,4,FALSE)</f>
        <v>Taransh Hospitality Services-Mum</v>
      </c>
      <c r="K2037" s="2" t="str">
        <f>VLOOKUP(B2037,'PO with created By ASR'!A:I,6,FALSE)</f>
        <v>12923 Taransh Hospitality Services</v>
      </c>
      <c r="L2037" s="2" t="str">
        <f>VLOOKUP(B2037,'PO with created By ASR'!A:J,7,FALSE)</f>
        <v>A - Mumbai</v>
      </c>
      <c r="M2037" s="2" t="str">
        <f>VLOOKUP(B2037,'PO with created By ASR'!A:K,8,FALSE)</f>
        <v>Purchase Order-Mum</v>
      </c>
      <c r="N2037" t="s">
        <v>36</v>
      </c>
      <c r="P2037" s="2">
        <v>6</v>
      </c>
    </row>
    <row r="2038" s="2" customFormat="1" spans="1:16">
      <c r="A2038" s="8"/>
      <c r="B2038" s="9" t="s">
        <v>3215</v>
      </c>
      <c r="C2038" s="10" t="s">
        <v>676</v>
      </c>
      <c r="D2038" s="11">
        <v>1</v>
      </c>
      <c r="E2038" s="12">
        <v>1339.27</v>
      </c>
      <c r="F2038" s="13">
        <v>1339.27</v>
      </c>
      <c r="G2038" s="2">
        <f>VLOOKUP(B2038,'PO with created By ASR'!A:C,3,FALSE)</f>
        <v>45703</v>
      </c>
      <c r="J2038" s="2" t="str">
        <f>VLOOKUP(B2038,'PO with created By ASR'!A:G,4,FALSE)</f>
        <v>Taransh Hospitality Services-Mum</v>
      </c>
      <c r="K2038" s="2" t="str">
        <f>VLOOKUP(B2038,'PO with created By ASR'!A:I,6,FALSE)</f>
        <v>12923 Taransh Hospitality Services</v>
      </c>
      <c r="L2038" s="2" t="str">
        <f>VLOOKUP(B2038,'PO with created By ASR'!A:J,7,FALSE)</f>
        <v>A - Mumbai</v>
      </c>
      <c r="M2038" s="2" t="str">
        <f>VLOOKUP(B2038,'PO with created By ASR'!A:K,8,FALSE)</f>
        <v>Purchase Order-Mum</v>
      </c>
      <c r="N2038" t="s">
        <v>36</v>
      </c>
      <c r="P2038" s="2">
        <v>6</v>
      </c>
    </row>
    <row r="2039" s="2" customFormat="1" spans="1:16">
      <c r="A2039" s="8"/>
      <c r="B2039" s="9" t="s">
        <v>3215</v>
      </c>
      <c r="C2039" s="10" t="s">
        <v>4365</v>
      </c>
      <c r="D2039" s="11">
        <v>1</v>
      </c>
      <c r="E2039" s="12">
        <v>1339.27</v>
      </c>
      <c r="F2039" s="13">
        <v>1339.27</v>
      </c>
      <c r="G2039" s="2">
        <f>VLOOKUP(B2039,'PO with created By ASR'!A:C,3,FALSE)</f>
        <v>45703</v>
      </c>
      <c r="J2039" s="2" t="str">
        <f>VLOOKUP(B2039,'PO with created By ASR'!A:G,4,FALSE)</f>
        <v>Taransh Hospitality Services-Mum</v>
      </c>
      <c r="K2039" s="2" t="str">
        <f>VLOOKUP(B2039,'PO with created By ASR'!A:I,6,FALSE)</f>
        <v>12923 Taransh Hospitality Services</v>
      </c>
      <c r="L2039" s="2" t="str">
        <f>VLOOKUP(B2039,'PO with created By ASR'!A:J,7,FALSE)</f>
        <v>A - Mumbai</v>
      </c>
      <c r="M2039" s="2" t="str">
        <f>VLOOKUP(B2039,'PO with created By ASR'!A:K,8,FALSE)</f>
        <v>Purchase Order-Mum</v>
      </c>
      <c r="N2039" t="s">
        <v>36</v>
      </c>
      <c r="P2039" s="2">
        <v>6</v>
      </c>
    </row>
    <row r="2040" s="2" customFormat="1" spans="1:16">
      <c r="A2040" s="8"/>
      <c r="B2040" s="9" t="s">
        <v>3215</v>
      </c>
      <c r="C2040" s="10" t="s">
        <v>233</v>
      </c>
      <c r="D2040" s="11">
        <v>1</v>
      </c>
      <c r="E2040" s="12">
        <v>1500</v>
      </c>
      <c r="F2040" s="13">
        <v>1500</v>
      </c>
      <c r="G2040" s="2">
        <f>VLOOKUP(B2040,'PO with created By ASR'!A:C,3,FALSE)</f>
        <v>45703</v>
      </c>
      <c r="J2040" s="2" t="str">
        <f>VLOOKUP(B2040,'PO with created By ASR'!A:G,4,FALSE)</f>
        <v>Taransh Hospitality Services-Mum</v>
      </c>
      <c r="K2040" s="2" t="str">
        <f>VLOOKUP(B2040,'PO with created By ASR'!A:I,6,FALSE)</f>
        <v>12923 Taransh Hospitality Services</v>
      </c>
      <c r="L2040" s="2" t="str">
        <f>VLOOKUP(B2040,'PO with created By ASR'!A:J,7,FALSE)</f>
        <v>A - Mumbai</v>
      </c>
      <c r="M2040" s="2" t="str">
        <f>VLOOKUP(B2040,'PO with created By ASR'!A:K,8,FALSE)</f>
        <v>Purchase Order-Mum</v>
      </c>
      <c r="N2040" t="s">
        <v>36</v>
      </c>
      <c r="P2040" s="2">
        <v>6</v>
      </c>
    </row>
    <row r="2041" s="2" customFormat="1" spans="1:16">
      <c r="A2041" s="8"/>
      <c r="B2041" s="9" t="s">
        <v>3219</v>
      </c>
      <c r="C2041" s="10" t="s">
        <v>61</v>
      </c>
      <c r="D2041" s="11">
        <v>1</v>
      </c>
      <c r="E2041" s="12">
        <v>18000</v>
      </c>
      <c r="F2041" s="13">
        <v>18000</v>
      </c>
      <c r="G2041" s="2">
        <f>VLOOKUP(B2041,'PO with created By ASR'!A:C,3,FALSE)</f>
        <v>45704</v>
      </c>
      <c r="J2041" s="2" t="str">
        <f>VLOOKUP(B2041,'PO with created By ASR'!A:G,4,FALSE)</f>
        <v>Radisson Blu Bengaluru (A unit of Charishma Hotels Pvt Ltd)-Blr</v>
      </c>
      <c r="K2041" s="2" t="str">
        <f>VLOOKUP(B2041,'PO with created By ASR'!A:I,6,FALSE)</f>
        <v>10390  Radisson Blu Bengaluru (A unit of Charishma Hotels Pvt Ltd)</v>
      </c>
      <c r="L2041" s="2" t="str">
        <f>VLOOKUP(B2041,'PO with created By ASR'!A:J,7,FALSE)</f>
        <v>B - Bangalore</v>
      </c>
      <c r="M2041" s="2" t="str">
        <f>VLOOKUP(B2041,'PO with created By ASR'!A:K,8,FALSE)</f>
        <v>Purchase Order-Blr</v>
      </c>
      <c r="N2041" t="s">
        <v>36</v>
      </c>
      <c r="P2041" s="2">
        <v>6</v>
      </c>
    </row>
    <row r="2042" s="2" customFormat="1" spans="1:16">
      <c r="A2042" s="8"/>
      <c r="B2042" s="9" t="s">
        <v>3221</v>
      </c>
      <c r="C2042" s="10" t="s">
        <v>140</v>
      </c>
      <c r="D2042" s="11">
        <v>1</v>
      </c>
      <c r="E2042" s="12">
        <v>124800</v>
      </c>
      <c r="F2042" s="13">
        <v>124800</v>
      </c>
      <c r="G2042" s="2">
        <f>VLOOKUP(B2042,'PO with created By ASR'!A:C,3,FALSE)</f>
        <v>45704</v>
      </c>
      <c r="J2042" s="2" t="str">
        <f>VLOOKUP(B2042,'PO with created By ASR'!A:G,4,FALSE)</f>
        <v>Studio Merchandise Pvt Ltd-Del</v>
      </c>
      <c r="K2042" s="2" t="str">
        <f>VLOOKUP(B2042,'PO with created By ASR'!A:I,6,FALSE)</f>
        <v>12464  Studio Merchandise Pvt Ltd</v>
      </c>
      <c r="L2042" s="2" t="str">
        <f>VLOOKUP(B2042,'PO with created By ASR'!A:J,7,FALSE)</f>
        <v>D - Delhi</v>
      </c>
      <c r="M2042" s="2" t="str">
        <f>VLOOKUP(B2042,'PO with created By ASR'!A:K,8,FALSE)</f>
        <v>Purchase Order-Del</v>
      </c>
      <c r="N2042" t="s">
        <v>36</v>
      </c>
      <c r="P2042" s="2">
        <v>6</v>
      </c>
    </row>
    <row r="2043" s="2" customFormat="1" spans="1:16">
      <c r="A2043" s="8"/>
      <c r="B2043" s="9" t="s">
        <v>3222</v>
      </c>
      <c r="C2043" s="10" t="s">
        <v>250</v>
      </c>
      <c r="D2043" s="11">
        <v>1</v>
      </c>
      <c r="E2043" s="12">
        <v>150000</v>
      </c>
      <c r="F2043" s="13">
        <v>150000</v>
      </c>
      <c r="G2043" s="2">
        <f>VLOOKUP(B2043,'PO with created By ASR'!A:C,3,FALSE)</f>
        <v>45705</v>
      </c>
      <c r="J2043" s="2" t="str">
        <f>VLOOKUP(B2043,'PO with created By ASR'!A:G,4,FALSE)</f>
        <v>Drum Events India Pvt Ltd-Blr</v>
      </c>
      <c r="K2043" s="2" t="str">
        <f>VLOOKUP(B2043,'PO with created By ASR'!A:I,6,FALSE)</f>
        <v>12958  Drum Events India Pvt Ltd</v>
      </c>
      <c r="L2043" s="2" t="str">
        <f>VLOOKUP(B2043,'PO with created By ASR'!A:J,7,FALSE)</f>
        <v>B - Bangalore</v>
      </c>
      <c r="M2043" s="2" t="str">
        <f>VLOOKUP(B2043,'PO with created By ASR'!A:K,8,FALSE)</f>
        <v>Purchase Order-Blr</v>
      </c>
      <c r="N2043" t="s">
        <v>36</v>
      </c>
      <c r="P2043" s="2">
        <v>6</v>
      </c>
    </row>
    <row r="2044" s="2" customFormat="1" spans="1:16">
      <c r="A2044" s="8"/>
      <c r="B2044" s="9" t="s">
        <v>3225</v>
      </c>
      <c r="C2044" s="10" t="s">
        <v>140</v>
      </c>
      <c r="D2044" s="11">
        <v>1</v>
      </c>
      <c r="E2044" s="12">
        <v>50000</v>
      </c>
      <c r="F2044" s="13">
        <v>50000</v>
      </c>
      <c r="G2044" s="2">
        <f>VLOOKUP(B2044,'PO with created By ASR'!A:C,3,FALSE)</f>
        <v>45705</v>
      </c>
      <c r="J2044" s="2" t="str">
        <f>VLOOKUP(B2044,'PO with created By ASR'!A:G,4,FALSE)</f>
        <v>Megascule-Blr</v>
      </c>
      <c r="K2044" s="2" t="e">
        <f>VLOOKUP(B2044,'PO with created By ASR'!A:I,6,FALSE)</f>
        <v>#N/A</v>
      </c>
      <c r="L2044" s="2" t="str">
        <f>VLOOKUP(B2044,'PO with created By ASR'!A:J,7,FALSE)</f>
        <v>B - Bangalore</v>
      </c>
      <c r="M2044" s="2" t="str">
        <f>VLOOKUP(B2044,'PO with created By ASR'!A:K,8,FALSE)</f>
        <v>Purchase Order-Blr</v>
      </c>
      <c r="N2044" t="s">
        <v>36</v>
      </c>
      <c r="P2044" s="2">
        <v>6</v>
      </c>
    </row>
    <row r="2045" s="2" customFormat="1" spans="1:16">
      <c r="A2045" s="8"/>
      <c r="B2045" s="9" t="s">
        <v>3225</v>
      </c>
      <c r="C2045" s="10" t="s">
        <v>205</v>
      </c>
      <c r="D2045" s="11">
        <v>1</v>
      </c>
      <c r="E2045" s="12">
        <v>4000</v>
      </c>
      <c r="F2045" s="13">
        <v>4000</v>
      </c>
      <c r="G2045" s="2">
        <f>VLOOKUP(B2045,'PO with created By ASR'!A:C,3,FALSE)</f>
        <v>45705</v>
      </c>
      <c r="J2045" s="2" t="str">
        <f>VLOOKUP(B2045,'PO with created By ASR'!A:G,4,FALSE)</f>
        <v>Megascule-Blr</v>
      </c>
      <c r="K2045" s="2" t="e">
        <f>VLOOKUP(B2045,'PO with created By ASR'!A:I,6,FALSE)</f>
        <v>#N/A</v>
      </c>
      <c r="L2045" s="2" t="str">
        <f>VLOOKUP(B2045,'PO with created By ASR'!A:J,7,FALSE)</f>
        <v>B - Bangalore</v>
      </c>
      <c r="M2045" s="2" t="str">
        <f>VLOOKUP(B2045,'PO with created By ASR'!A:K,8,FALSE)</f>
        <v>Purchase Order-Blr</v>
      </c>
      <c r="N2045" t="s">
        <v>36</v>
      </c>
      <c r="P2045" s="2">
        <v>6</v>
      </c>
    </row>
    <row r="2046" s="2" customFormat="1" spans="1:16">
      <c r="A2046" s="8"/>
      <c r="B2046" s="9" t="s">
        <v>3227</v>
      </c>
      <c r="C2046" s="10" t="s">
        <v>371</v>
      </c>
      <c r="D2046" s="11">
        <v>1</v>
      </c>
      <c r="E2046" s="12">
        <v>450000</v>
      </c>
      <c r="F2046" s="13">
        <v>450000</v>
      </c>
      <c r="G2046" s="2">
        <f>VLOOKUP(B2046,'PO with created By ASR'!A:C,3,FALSE)</f>
        <v>45705</v>
      </c>
      <c r="J2046" s="2" t="str">
        <f>VLOOKUP(B2046,'PO with created By ASR'!A:G,4,FALSE)</f>
        <v>Event Life-Blr</v>
      </c>
      <c r="K2046" s="2" t="str">
        <f>VLOOKUP(B2046,'PO with created By ASR'!A:I,6,FALSE)</f>
        <v>11892 Event Life</v>
      </c>
      <c r="L2046" s="2" t="str">
        <f>VLOOKUP(B2046,'PO with created By ASR'!A:J,7,FALSE)</f>
        <v>B - Bangalore</v>
      </c>
      <c r="M2046" s="2" t="str">
        <f>VLOOKUP(B2046,'PO with created By ASR'!A:K,8,FALSE)</f>
        <v>Purchase Order-Blr</v>
      </c>
      <c r="N2046" t="s">
        <v>36</v>
      </c>
      <c r="P2046" s="2">
        <v>6</v>
      </c>
    </row>
    <row r="2047" s="2" customFormat="1" spans="1:16">
      <c r="A2047" s="8"/>
      <c r="B2047" s="9" t="s">
        <v>3228</v>
      </c>
      <c r="C2047" s="10" t="s">
        <v>401</v>
      </c>
      <c r="D2047" s="11">
        <v>1</v>
      </c>
      <c r="E2047" s="12">
        <v>60000</v>
      </c>
      <c r="F2047" s="13">
        <v>60000</v>
      </c>
      <c r="G2047" s="2">
        <f>VLOOKUP(B2047,'PO with created By ASR'!A:C,3,FALSE)</f>
        <v>45705</v>
      </c>
      <c r="J2047" s="2" t="str">
        <f>VLOOKUP(B2047,'PO with created By ASR'!A:G,4,FALSE)</f>
        <v>Thinking Brahma-Blr</v>
      </c>
      <c r="K2047" s="2" t="str">
        <f>VLOOKUP(B2047,'PO with created By ASR'!A:I,6,FALSE)</f>
        <v>12537 Thinking Brahma</v>
      </c>
      <c r="L2047" s="2" t="str">
        <f>VLOOKUP(B2047,'PO with created By ASR'!A:J,7,FALSE)</f>
        <v>B - Bangalore</v>
      </c>
      <c r="M2047" s="2" t="str">
        <f>VLOOKUP(B2047,'PO with created By ASR'!A:K,8,FALSE)</f>
        <v>Purchase Order-Blr</v>
      </c>
      <c r="N2047" t="s">
        <v>36</v>
      </c>
      <c r="P2047" s="2">
        <v>6</v>
      </c>
    </row>
    <row r="2048" s="2" customFormat="1" spans="1:16">
      <c r="A2048" s="8"/>
      <c r="B2048" s="9" t="s">
        <v>3229</v>
      </c>
      <c r="C2048" s="10" t="s">
        <v>196</v>
      </c>
      <c r="D2048" s="11">
        <v>1</v>
      </c>
      <c r="E2048" s="12">
        <v>4200</v>
      </c>
      <c r="F2048" s="13">
        <v>4200</v>
      </c>
      <c r="G2048" s="2">
        <f>VLOOKUP(B2048,'PO with created By ASR'!A:C,3,FALSE)</f>
        <v>45705</v>
      </c>
      <c r="J2048" s="2" t="str">
        <f>VLOOKUP(B2048,'PO with created By ASR'!A:G,4,FALSE)</f>
        <v>Shashank Technologies-Blr</v>
      </c>
      <c r="K2048" s="2" t="str">
        <f>VLOOKUP(B2048,'PO with created By ASR'!A:I,6,FALSE)</f>
        <v>12384 Shashank Technologies</v>
      </c>
      <c r="L2048" s="2" t="str">
        <f>VLOOKUP(B2048,'PO with created By ASR'!A:J,7,FALSE)</f>
        <v>B - Bangalore</v>
      </c>
      <c r="M2048" s="2" t="str">
        <f>VLOOKUP(B2048,'PO with created By ASR'!A:K,8,FALSE)</f>
        <v>Purchase Order-Blr</v>
      </c>
      <c r="N2048" t="s">
        <v>36</v>
      </c>
      <c r="P2048" s="2">
        <v>6</v>
      </c>
    </row>
    <row r="2049" s="2" customFormat="1" spans="1:16">
      <c r="A2049" s="8"/>
      <c r="B2049" s="9" t="s">
        <v>3230</v>
      </c>
      <c r="C2049" s="10" t="s">
        <v>205</v>
      </c>
      <c r="D2049" s="11">
        <v>1</v>
      </c>
      <c r="E2049" s="12">
        <v>9500</v>
      </c>
      <c r="F2049" s="13">
        <v>9500</v>
      </c>
      <c r="G2049" s="2">
        <f>VLOOKUP(B2049,'PO with created By ASR'!A:C,3,FALSE)</f>
        <v>45705</v>
      </c>
      <c r="J2049" s="2" t="str">
        <f>VLOOKUP(B2049,'PO with created By ASR'!A:G,4,FALSE)</f>
        <v>Courier International Services-Blr</v>
      </c>
      <c r="K2049" s="2" t="str">
        <f>VLOOKUP(B2049,'PO with created By ASR'!A:I,6,FALSE)</f>
        <v>11795 Courier International Services</v>
      </c>
      <c r="L2049" s="2" t="str">
        <f>VLOOKUP(B2049,'PO with created By ASR'!A:J,7,FALSE)</f>
        <v>B - Bangalore</v>
      </c>
      <c r="M2049" s="2" t="str">
        <f>VLOOKUP(B2049,'PO with created By ASR'!A:K,8,FALSE)</f>
        <v>Purchase Order-Blr</v>
      </c>
      <c r="N2049" t="s">
        <v>36</v>
      </c>
      <c r="P2049" s="2">
        <v>6</v>
      </c>
    </row>
    <row r="2050" s="2" customFormat="1" spans="1:16">
      <c r="A2050" s="8"/>
      <c r="B2050" s="9" t="s">
        <v>3231</v>
      </c>
      <c r="C2050" s="10" t="s">
        <v>205</v>
      </c>
      <c r="D2050" s="11">
        <v>1</v>
      </c>
      <c r="E2050" s="12">
        <v>8400</v>
      </c>
      <c r="F2050" s="13">
        <v>8400</v>
      </c>
      <c r="G2050" s="2">
        <f>VLOOKUP(B2050,'PO with created By ASR'!A:C,3,FALSE)</f>
        <v>45705</v>
      </c>
      <c r="J2050" s="2" t="str">
        <f>VLOOKUP(B2050,'PO with created By ASR'!A:G,4,FALSE)</f>
        <v>Courier International Services-Blr</v>
      </c>
      <c r="K2050" s="2" t="str">
        <f>VLOOKUP(B2050,'PO with created By ASR'!A:I,6,FALSE)</f>
        <v>11795 Courier International Services</v>
      </c>
      <c r="L2050" s="2" t="str">
        <f>VLOOKUP(B2050,'PO with created By ASR'!A:J,7,FALSE)</f>
        <v>B - Bangalore</v>
      </c>
      <c r="M2050" s="2" t="str">
        <f>VLOOKUP(B2050,'PO with created By ASR'!A:K,8,FALSE)</f>
        <v>Purchase Order-Blr</v>
      </c>
      <c r="N2050" t="s">
        <v>36</v>
      </c>
      <c r="P2050" s="2">
        <v>6</v>
      </c>
    </row>
    <row r="2051" s="2" customFormat="1" spans="1:16">
      <c r="A2051" s="8"/>
      <c r="B2051" s="9" t="s">
        <v>3232</v>
      </c>
      <c r="C2051" s="10" t="s">
        <v>1176</v>
      </c>
      <c r="D2051" s="11">
        <v>1</v>
      </c>
      <c r="E2051" s="12">
        <v>500000</v>
      </c>
      <c r="F2051" s="13">
        <v>500000</v>
      </c>
      <c r="G2051" s="2">
        <f>VLOOKUP(B2051,'PO with created By ASR'!A:C,3,FALSE)</f>
        <v>45705</v>
      </c>
      <c r="J2051" s="2" t="str">
        <f>VLOOKUP(B2051,'PO with created By ASR'!A:G,4,FALSE)</f>
        <v>Empee Hotels Limited (Hilton Chennai)-Che</v>
      </c>
      <c r="K2051" s="2" t="e">
        <f>VLOOKUP(B2051,'PO with created By ASR'!A:I,6,FALSE)</f>
        <v>#N/A</v>
      </c>
      <c r="L2051" s="2" t="str">
        <f>VLOOKUP(B2051,'PO with created By ASR'!A:J,7,FALSE)</f>
        <v>C - Chennai</v>
      </c>
      <c r="M2051" s="2" t="str">
        <f>VLOOKUP(B2051,'PO with created By ASR'!A:K,8,FALSE)</f>
        <v>Purchase Order-Che</v>
      </c>
      <c r="N2051" t="s">
        <v>36</v>
      </c>
      <c r="P2051" s="2">
        <v>6</v>
      </c>
    </row>
    <row r="2052" s="2" customFormat="1" spans="1:16">
      <c r="A2052" s="8"/>
      <c r="B2052" s="9" t="s">
        <v>3232</v>
      </c>
      <c r="C2052" s="10" t="s">
        <v>276</v>
      </c>
      <c r="D2052" s="11">
        <v>1</v>
      </c>
      <c r="E2052" s="12">
        <v>150000</v>
      </c>
      <c r="F2052" s="13">
        <v>150000</v>
      </c>
      <c r="G2052" s="2">
        <f>VLOOKUP(B2052,'PO with created By ASR'!A:C,3,FALSE)</f>
        <v>45705</v>
      </c>
      <c r="J2052" s="2" t="str">
        <f>VLOOKUP(B2052,'PO with created By ASR'!A:G,4,FALSE)</f>
        <v>Empee Hotels Limited (Hilton Chennai)-Che</v>
      </c>
      <c r="K2052" s="2" t="e">
        <f>VLOOKUP(B2052,'PO with created By ASR'!A:I,6,FALSE)</f>
        <v>#N/A</v>
      </c>
      <c r="L2052" s="2" t="str">
        <f>VLOOKUP(B2052,'PO with created By ASR'!A:J,7,FALSE)</f>
        <v>C - Chennai</v>
      </c>
      <c r="M2052" s="2" t="str">
        <f>VLOOKUP(B2052,'PO with created By ASR'!A:K,8,FALSE)</f>
        <v>Purchase Order-Che</v>
      </c>
      <c r="N2052" t="s">
        <v>36</v>
      </c>
      <c r="P2052" s="2">
        <v>6</v>
      </c>
    </row>
    <row r="2053" s="2" customFormat="1" spans="1:16">
      <c r="A2053" s="8"/>
      <c r="B2053" s="9" t="s">
        <v>3233</v>
      </c>
      <c r="C2053" s="10" t="s">
        <v>250</v>
      </c>
      <c r="D2053" s="11">
        <v>1</v>
      </c>
      <c r="E2053" s="12">
        <v>25000</v>
      </c>
      <c r="F2053" s="13">
        <v>25000</v>
      </c>
      <c r="G2053" s="2">
        <f>VLOOKUP(B2053,'PO with created By ASR'!A:C,3,FALSE)</f>
        <v>45705</v>
      </c>
      <c r="J2053" s="2" t="str">
        <f>VLOOKUP(B2053,'PO with created By ASR'!A:G,4,FALSE)</f>
        <v>Fireflies Entertainment-Che</v>
      </c>
      <c r="K2053" s="2" t="str">
        <f>VLOOKUP(B2053,'PO with created By ASR'!A:I,6,FALSE)</f>
        <v>10637 Fireflies Entertainment</v>
      </c>
      <c r="L2053" s="2" t="str">
        <f>VLOOKUP(B2053,'PO with created By ASR'!A:J,7,FALSE)</f>
        <v>C - Chennai</v>
      </c>
      <c r="M2053" s="2" t="str">
        <f>VLOOKUP(B2053,'PO with created By ASR'!A:K,8,FALSE)</f>
        <v>Purchase Order-Che</v>
      </c>
      <c r="N2053" t="s">
        <v>36</v>
      </c>
      <c r="P2053" s="2">
        <v>6</v>
      </c>
    </row>
    <row r="2054" s="2" customFormat="1" spans="1:16">
      <c r="A2054" s="8"/>
      <c r="B2054" s="9" t="s">
        <v>3236</v>
      </c>
      <c r="C2054" s="10" t="s">
        <v>119</v>
      </c>
      <c r="D2054" s="11">
        <v>1</v>
      </c>
      <c r="E2054" s="12">
        <v>25074</v>
      </c>
      <c r="F2054" s="13">
        <v>25074</v>
      </c>
      <c r="G2054" s="2">
        <f>VLOOKUP(B2054,'PO with created By ASR'!A:C,3,FALSE)</f>
        <v>45705</v>
      </c>
      <c r="J2054" s="2" t="str">
        <f>VLOOKUP(B2054,'PO with created By ASR'!A:G,4,FALSE)</f>
        <v>Rastey Commuting Services Pvt Ltd-Del</v>
      </c>
      <c r="K2054" s="2" t="str">
        <f>VLOOKUP(B2054,'PO with created By ASR'!A:I,6,FALSE)</f>
        <v>12319  Rastey Commuting Services Pvt Ltd</v>
      </c>
      <c r="L2054" s="2" t="str">
        <f>VLOOKUP(B2054,'PO with created By ASR'!A:J,7,FALSE)</f>
        <v>D - Delhi</v>
      </c>
      <c r="M2054" s="2" t="str">
        <f>VLOOKUP(B2054,'PO with created By ASR'!A:K,8,FALSE)</f>
        <v>Purchase Order-Del</v>
      </c>
      <c r="N2054" t="s">
        <v>36</v>
      </c>
      <c r="P2054" s="2">
        <v>6</v>
      </c>
    </row>
    <row r="2055" s="2" customFormat="1" spans="1:16">
      <c r="A2055" s="8"/>
      <c r="B2055" s="9" t="s">
        <v>3236</v>
      </c>
      <c r="C2055" s="10" t="s">
        <v>676</v>
      </c>
      <c r="D2055" s="11">
        <v>1</v>
      </c>
      <c r="E2055" s="12">
        <v>626.85</v>
      </c>
      <c r="F2055" s="13">
        <v>626.85</v>
      </c>
      <c r="G2055" s="2">
        <f>VLOOKUP(B2055,'PO with created By ASR'!A:C,3,FALSE)</f>
        <v>45705</v>
      </c>
      <c r="J2055" s="2" t="str">
        <f>VLOOKUP(B2055,'PO with created By ASR'!A:G,4,FALSE)</f>
        <v>Rastey Commuting Services Pvt Ltd-Del</v>
      </c>
      <c r="K2055" s="2" t="str">
        <f>VLOOKUP(B2055,'PO with created By ASR'!A:I,6,FALSE)</f>
        <v>12319  Rastey Commuting Services Pvt Ltd</v>
      </c>
      <c r="L2055" s="2" t="str">
        <f>VLOOKUP(B2055,'PO with created By ASR'!A:J,7,FALSE)</f>
        <v>D - Delhi</v>
      </c>
      <c r="M2055" s="2" t="str">
        <f>VLOOKUP(B2055,'PO with created By ASR'!A:K,8,FALSE)</f>
        <v>Purchase Order-Del</v>
      </c>
      <c r="N2055" t="s">
        <v>36</v>
      </c>
      <c r="P2055" s="2">
        <v>6</v>
      </c>
    </row>
    <row r="2056" s="2" customFormat="1" spans="1:16">
      <c r="A2056" s="8"/>
      <c r="B2056" s="9" t="s">
        <v>3236</v>
      </c>
      <c r="C2056" s="10" t="s">
        <v>4365</v>
      </c>
      <c r="D2056" s="11">
        <v>1</v>
      </c>
      <c r="E2056" s="12">
        <v>626.85</v>
      </c>
      <c r="F2056" s="13">
        <v>626.85</v>
      </c>
      <c r="G2056" s="2">
        <f>VLOOKUP(B2056,'PO with created By ASR'!A:C,3,FALSE)</f>
        <v>45705</v>
      </c>
      <c r="J2056" s="2" t="str">
        <f>VLOOKUP(B2056,'PO with created By ASR'!A:G,4,FALSE)</f>
        <v>Rastey Commuting Services Pvt Ltd-Del</v>
      </c>
      <c r="K2056" s="2" t="str">
        <f>VLOOKUP(B2056,'PO with created By ASR'!A:I,6,FALSE)</f>
        <v>12319  Rastey Commuting Services Pvt Ltd</v>
      </c>
      <c r="L2056" s="2" t="str">
        <f>VLOOKUP(B2056,'PO with created By ASR'!A:J,7,FALSE)</f>
        <v>D - Delhi</v>
      </c>
      <c r="M2056" s="2" t="str">
        <f>VLOOKUP(B2056,'PO with created By ASR'!A:K,8,FALSE)</f>
        <v>Purchase Order-Del</v>
      </c>
      <c r="N2056" t="s">
        <v>36</v>
      </c>
      <c r="P2056" s="2">
        <v>6</v>
      </c>
    </row>
    <row r="2057" s="2" customFormat="1" spans="1:16">
      <c r="A2057" s="8"/>
      <c r="B2057" s="9" t="s">
        <v>3238</v>
      </c>
      <c r="C2057" s="10" t="s">
        <v>250</v>
      </c>
      <c r="D2057" s="11">
        <v>1</v>
      </c>
      <c r="E2057" s="12">
        <v>233000</v>
      </c>
      <c r="F2057" s="13">
        <v>233000</v>
      </c>
      <c r="G2057" s="2">
        <f>VLOOKUP(B2057,'PO with created By ASR'!A:C,3,FALSE)</f>
        <v>45705</v>
      </c>
      <c r="J2057" s="2" t="str">
        <f>VLOOKUP(B2057,'PO with created By ASR'!A:G,4,FALSE)</f>
        <v>Anchor Connect-Del</v>
      </c>
      <c r="K2057" s="2" t="str">
        <f>VLOOKUP(B2057,'PO with created By ASR'!A:I,6,FALSE)</f>
        <v>10532 Anchor Connect</v>
      </c>
      <c r="L2057" s="2" t="str">
        <f>VLOOKUP(B2057,'PO with created By ASR'!A:J,7,FALSE)</f>
        <v>D - Delhi</v>
      </c>
      <c r="M2057" s="2" t="str">
        <f>VLOOKUP(B2057,'PO with created By ASR'!A:K,8,FALSE)</f>
        <v>Purchase Order-Del</v>
      </c>
      <c r="N2057" t="s">
        <v>36</v>
      </c>
      <c r="P2057" s="2">
        <v>6</v>
      </c>
    </row>
    <row r="2058" s="2" customFormat="1" spans="1:16">
      <c r="A2058" s="8"/>
      <c r="B2058" s="9" t="s">
        <v>3239</v>
      </c>
      <c r="C2058" s="10" t="s">
        <v>3240</v>
      </c>
      <c r="D2058" s="14">
        <v>3</v>
      </c>
      <c r="E2058" s="15">
        <v>34576.27</v>
      </c>
      <c r="F2058" s="13">
        <v>103728.81</v>
      </c>
      <c r="G2058" s="2">
        <f>VLOOKUP(B2058,'PO with created By ASR'!A:C,3,FALSE)</f>
        <v>45705</v>
      </c>
      <c r="J2058" s="2" t="str">
        <f>VLOOKUP(B2058,'PO with created By ASR'!A:G,4,FALSE)</f>
        <v>Rishi Computers-Del</v>
      </c>
      <c r="K2058" s="2" t="str">
        <f>VLOOKUP(B2058,'PO with created By ASR'!A:I,6,FALSE)</f>
        <v>12343 Rishi Computers</v>
      </c>
      <c r="L2058" s="2" t="str">
        <f>VLOOKUP(B2058,'PO with created By ASR'!A:J,7,FALSE)</f>
        <v>D - Delhi</v>
      </c>
      <c r="M2058" s="2" t="str">
        <f>VLOOKUP(B2058,'PO with created By ASR'!A:K,8,FALSE)</f>
        <v>Purchase Order-Del</v>
      </c>
      <c r="N2058" t="s">
        <v>36</v>
      </c>
      <c r="P2058" s="2">
        <v>6</v>
      </c>
    </row>
    <row r="2059" s="2" customFormat="1" spans="1:16">
      <c r="A2059" s="8"/>
      <c r="B2059" s="9" t="s">
        <v>3241</v>
      </c>
      <c r="C2059" s="10" t="s">
        <v>2535</v>
      </c>
      <c r="D2059" s="11">
        <v>1</v>
      </c>
      <c r="E2059" s="12">
        <v>751570</v>
      </c>
      <c r="F2059" s="13">
        <v>751570</v>
      </c>
      <c r="G2059" s="2">
        <f>VLOOKUP(B2059,'PO with created By ASR'!A:C,3,FALSE)</f>
        <v>45705</v>
      </c>
      <c r="J2059" s="2" t="str">
        <f>VLOOKUP(B2059,'PO with created By ASR'!A:G,4,FALSE)</f>
        <v>Udaan India Pvt Ltd-Del</v>
      </c>
      <c r="K2059" s="2" t="str">
        <f>VLOOKUP(B2059,'PO with created By ASR'!A:I,6,FALSE)</f>
        <v>12564  Udaan India Pvt Ltd</v>
      </c>
      <c r="L2059" s="2" t="str">
        <f>VLOOKUP(B2059,'PO with created By ASR'!A:J,7,FALSE)</f>
        <v>D - Delhi</v>
      </c>
      <c r="M2059" s="2" t="str">
        <f>VLOOKUP(B2059,'PO with created By ASR'!A:K,8,FALSE)</f>
        <v>Purchase Order-Del</v>
      </c>
      <c r="N2059" t="s">
        <v>36</v>
      </c>
      <c r="P2059" s="2">
        <v>6</v>
      </c>
    </row>
    <row r="2060" s="2" customFormat="1" spans="1:16">
      <c r="A2060" s="8"/>
      <c r="B2060" s="9" t="s">
        <v>3241</v>
      </c>
      <c r="C2060" s="10" t="s">
        <v>2535</v>
      </c>
      <c r="D2060" s="11">
        <v>1</v>
      </c>
      <c r="E2060" s="12">
        <v>103025</v>
      </c>
      <c r="F2060" s="13">
        <v>103025</v>
      </c>
      <c r="G2060" s="2">
        <f>VLOOKUP(B2060,'PO with created By ASR'!A:C,3,FALSE)</f>
        <v>45705</v>
      </c>
      <c r="J2060" s="2" t="str">
        <f>VLOOKUP(B2060,'PO with created By ASR'!A:G,4,FALSE)</f>
        <v>Udaan India Pvt Ltd-Del</v>
      </c>
      <c r="K2060" s="2" t="str">
        <f>VLOOKUP(B2060,'PO with created By ASR'!A:I,6,FALSE)</f>
        <v>12564  Udaan India Pvt Ltd</v>
      </c>
      <c r="L2060" s="2" t="str">
        <f>VLOOKUP(B2060,'PO with created By ASR'!A:J,7,FALSE)</f>
        <v>D - Delhi</v>
      </c>
      <c r="M2060" s="2" t="str">
        <f>VLOOKUP(B2060,'PO with created By ASR'!A:K,8,FALSE)</f>
        <v>Purchase Order-Del</v>
      </c>
      <c r="N2060" t="s">
        <v>36</v>
      </c>
      <c r="P2060" s="2">
        <v>6</v>
      </c>
    </row>
    <row r="2061" s="2" customFormat="1" spans="1:16">
      <c r="A2061" s="8"/>
      <c r="B2061" s="9" t="s">
        <v>3241</v>
      </c>
      <c r="C2061" s="10" t="s">
        <v>205</v>
      </c>
      <c r="D2061" s="11">
        <v>1</v>
      </c>
      <c r="E2061" s="12">
        <v>31050</v>
      </c>
      <c r="F2061" s="13">
        <v>31050</v>
      </c>
      <c r="G2061" s="2">
        <f>VLOOKUP(B2061,'PO with created By ASR'!A:C,3,FALSE)</f>
        <v>45705</v>
      </c>
      <c r="J2061" s="2" t="str">
        <f>VLOOKUP(B2061,'PO with created By ASR'!A:G,4,FALSE)</f>
        <v>Udaan India Pvt Ltd-Del</v>
      </c>
      <c r="K2061" s="2" t="str">
        <f>VLOOKUP(B2061,'PO with created By ASR'!A:I,6,FALSE)</f>
        <v>12564  Udaan India Pvt Ltd</v>
      </c>
      <c r="L2061" s="2" t="str">
        <f>VLOOKUP(B2061,'PO with created By ASR'!A:J,7,FALSE)</f>
        <v>D - Delhi</v>
      </c>
      <c r="M2061" s="2" t="str">
        <f>VLOOKUP(B2061,'PO with created By ASR'!A:K,8,FALSE)</f>
        <v>Purchase Order-Del</v>
      </c>
      <c r="N2061" t="s">
        <v>36</v>
      </c>
      <c r="P2061" s="2">
        <v>6</v>
      </c>
    </row>
    <row r="2062" s="2" customFormat="1" spans="1:16">
      <c r="A2062" s="8"/>
      <c r="B2062" s="9" t="s">
        <v>3244</v>
      </c>
      <c r="C2062" s="10" t="s">
        <v>140</v>
      </c>
      <c r="D2062" s="11">
        <v>1</v>
      </c>
      <c r="E2062" s="12">
        <v>1687090</v>
      </c>
      <c r="F2062" s="13">
        <v>1687090</v>
      </c>
      <c r="G2062" s="2">
        <f>VLOOKUP(B2062,'PO with created By ASR'!A:C,3,FALSE)</f>
        <v>45705</v>
      </c>
      <c r="J2062" s="2" t="str">
        <f>VLOOKUP(B2062,'PO with created By ASR'!A:G,4,FALSE)</f>
        <v>Pavni Enterprises-Del</v>
      </c>
      <c r="K2062" s="2" t="str">
        <f>VLOOKUP(B2062,'PO with created By ASR'!A:I,6,FALSE)</f>
        <v>11122 Pavni Enterprises</v>
      </c>
      <c r="L2062" s="2" t="str">
        <f>VLOOKUP(B2062,'PO with created By ASR'!A:J,7,FALSE)</f>
        <v>D - Delhi</v>
      </c>
      <c r="M2062" s="2" t="str">
        <f>VLOOKUP(B2062,'PO with created By ASR'!A:K,8,FALSE)</f>
        <v>Purchase Order-Del</v>
      </c>
      <c r="N2062" t="s">
        <v>36</v>
      </c>
      <c r="P2062" s="2">
        <v>6</v>
      </c>
    </row>
    <row r="2063" s="2" customFormat="1" spans="1:16">
      <c r="A2063" s="8"/>
      <c r="B2063" s="9" t="s">
        <v>3244</v>
      </c>
      <c r="C2063" s="10" t="s">
        <v>140</v>
      </c>
      <c r="D2063" s="11">
        <v>1</v>
      </c>
      <c r="E2063" s="12">
        <v>1092000</v>
      </c>
      <c r="F2063" s="13">
        <v>1092000</v>
      </c>
      <c r="G2063" s="2">
        <f>VLOOKUP(B2063,'PO with created By ASR'!A:C,3,FALSE)</f>
        <v>45705</v>
      </c>
      <c r="J2063" s="2" t="str">
        <f>VLOOKUP(B2063,'PO with created By ASR'!A:G,4,FALSE)</f>
        <v>Pavni Enterprises-Del</v>
      </c>
      <c r="K2063" s="2" t="str">
        <f>VLOOKUP(B2063,'PO with created By ASR'!A:I,6,FALSE)</f>
        <v>11122 Pavni Enterprises</v>
      </c>
      <c r="L2063" s="2" t="str">
        <f>VLOOKUP(B2063,'PO with created By ASR'!A:J,7,FALSE)</f>
        <v>D - Delhi</v>
      </c>
      <c r="M2063" s="2" t="str">
        <f>VLOOKUP(B2063,'PO with created By ASR'!A:K,8,FALSE)</f>
        <v>Purchase Order-Del</v>
      </c>
      <c r="N2063" t="s">
        <v>36</v>
      </c>
      <c r="P2063" s="2">
        <v>6</v>
      </c>
    </row>
    <row r="2064" s="2" customFormat="1" spans="1:16">
      <c r="A2064" s="8"/>
      <c r="B2064" s="9" t="s">
        <v>3245</v>
      </c>
      <c r="C2064" s="10" t="s">
        <v>140</v>
      </c>
      <c r="D2064" s="11">
        <v>1</v>
      </c>
      <c r="E2064" s="12">
        <v>90250</v>
      </c>
      <c r="F2064" s="13">
        <v>90250</v>
      </c>
      <c r="G2064" s="2">
        <f>VLOOKUP(B2064,'PO with created By ASR'!A:C,3,FALSE)</f>
        <v>45705</v>
      </c>
      <c r="J2064" s="2" t="str">
        <f>VLOOKUP(B2064,'PO with created By ASR'!A:G,4,FALSE)</f>
        <v>Zpay Solutions Private Limited-Del</v>
      </c>
      <c r="K2064" s="2" t="e">
        <f>VLOOKUP(B2064,'PO with created By ASR'!A:I,6,FALSE)</f>
        <v>#N/A</v>
      </c>
      <c r="L2064" s="2" t="str">
        <f>VLOOKUP(B2064,'PO with created By ASR'!A:J,7,FALSE)</f>
        <v>D - Delhi</v>
      </c>
      <c r="M2064" s="2" t="str">
        <f>VLOOKUP(B2064,'PO with created By ASR'!A:K,8,FALSE)</f>
        <v>Purchase Order-Del</v>
      </c>
      <c r="N2064" t="s">
        <v>36</v>
      </c>
      <c r="P2064" s="2">
        <v>6</v>
      </c>
    </row>
    <row r="2065" s="2" customFormat="1" spans="1:16">
      <c r="A2065" s="8"/>
      <c r="B2065" s="9" t="s">
        <v>3247</v>
      </c>
      <c r="C2065" s="10" t="s">
        <v>61</v>
      </c>
      <c r="D2065" s="11">
        <v>1</v>
      </c>
      <c r="E2065" s="12">
        <v>170500</v>
      </c>
      <c r="F2065" s="13">
        <v>170500</v>
      </c>
      <c r="G2065" s="2">
        <f>VLOOKUP(B2065,'PO with created By ASR'!A:C,3,FALSE)</f>
        <v>45705</v>
      </c>
      <c r="J2065" s="2" t="str">
        <f>VLOOKUP(B2065,'PO with created By ASR'!A:G,4,FALSE)</f>
        <v>The Travelage-Del</v>
      </c>
      <c r="K2065" s="2" t="str">
        <f>VLOOKUP(B2065,'PO with created By ASR'!A:I,6,FALSE)</f>
        <v>12924 The Travelage</v>
      </c>
      <c r="L2065" s="2" t="str">
        <f>VLOOKUP(B2065,'PO with created By ASR'!A:J,7,FALSE)</f>
        <v>D - Delhi</v>
      </c>
      <c r="M2065" s="2" t="str">
        <f>VLOOKUP(B2065,'PO with created By ASR'!A:K,8,FALSE)</f>
        <v>Purchase Order-Del</v>
      </c>
      <c r="N2065" t="s">
        <v>36</v>
      </c>
      <c r="P2065" s="2">
        <v>6</v>
      </c>
    </row>
    <row r="2066" s="2" customFormat="1" spans="1:16">
      <c r="A2066" s="8"/>
      <c r="B2066" s="9" t="s">
        <v>3247</v>
      </c>
      <c r="C2066" s="10" t="s">
        <v>676</v>
      </c>
      <c r="D2066" s="11">
        <v>1</v>
      </c>
      <c r="E2066" s="12">
        <v>10230</v>
      </c>
      <c r="F2066" s="13">
        <v>10230</v>
      </c>
      <c r="G2066" s="2">
        <f>VLOOKUP(B2066,'PO with created By ASR'!A:C,3,FALSE)</f>
        <v>45705</v>
      </c>
      <c r="J2066" s="2" t="str">
        <f>VLOOKUP(B2066,'PO with created By ASR'!A:G,4,FALSE)</f>
        <v>The Travelage-Del</v>
      </c>
      <c r="K2066" s="2" t="str">
        <f>VLOOKUP(B2066,'PO with created By ASR'!A:I,6,FALSE)</f>
        <v>12924 The Travelage</v>
      </c>
      <c r="L2066" s="2" t="str">
        <f>VLOOKUP(B2066,'PO with created By ASR'!A:J,7,FALSE)</f>
        <v>D - Delhi</v>
      </c>
      <c r="M2066" s="2" t="str">
        <f>VLOOKUP(B2066,'PO with created By ASR'!A:K,8,FALSE)</f>
        <v>Purchase Order-Del</v>
      </c>
      <c r="N2066" t="s">
        <v>36</v>
      </c>
      <c r="P2066" s="2">
        <v>6</v>
      </c>
    </row>
    <row r="2067" s="2" customFormat="1" spans="1:16">
      <c r="A2067" s="8"/>
      <c r="B2067" s="9" t="s">
        <v>3247</v>
      </c>
      <c r="C2067" s="10" t="s">
        <v>4365</v>
      </c>
      <c r="D2067" s="11">
        <v>1</v>
      </c>
      <c r="E2067" s="12">
        <v>10230</v>
      </c>
      <c r="F2067" s="13">
        <v>10230</v>
      </c>
      <c r="G2067" s="2">
        <f>VLOOKUP(B2067,'PO with created By ASR'!A:C,3,FALSE)</f>
        <v>45705</v>
      </c>
      <c r="J2067" s="2" t="str">
        <f>VLOOKUP(B2067,'PO with created By ASR'!A:G,4,FALSE)</f>
        <v>The Travelage-Del</v>
      </c>
      <c r="K2067" s="2" t="str">
        <f>VLOOKUP(B2067,'PO with created By ASR'!A:I,6,FALSE)</f>
        <v>12924 The Travelage</v>
      </c>
      <c r="L2067" s="2" t="str">
        <f>VLOOKUP(B2067,'PO with created By ASR'!A:J,7,FALSE)</f>
        <v>D - Delhi</v>
      </c>
      <c r="M2067" s="2" t="str">
        <f>VLOOKUP(B2067,'PO with created By ASR'!A:K,8,FALSE)</f>
        <v>Purchase Order-Del</v>
      </c>
      <c r="N2067" t="s">
        <v>36</v>
      </c>
      <c r="P2067" s="2">
        <v>6</v>
      </c>
    </row>
    <row r="2068" s="2" customFormat="1" spans="1:16">
      <c r="A2068" s="8"/>
      <c r="B2068" s="9" t="s">
        <v>3252</v>
      </c>
      <c r="C2068" s="10" t="s">
        <v>61</v>
      </c>
      <c r="D2068" s="11">
        <v>1</v>
      </c>
      <c r="E2068" s="12">
        <v>164820</v>
      </c>
      <c r="F2068" s="13">
        <v>164820</v>
      </c>
      <c r="G2068" s="2">
        <f>VLOOKUP(B2068,'PO with created By ASR'!A:C,3,FALSE)</f>
        <v>45705</v>
      </c>
      <c r="J2068" s="2" t="str">
        <f>VLOOKUP(B2068,'PO with created By ASR'!A:G,4,FALSE)</f>
        <v>The Oberoi New Delhi (EIH Ltd)-Del</v>
      </c>
      <c r="K2068" s="2" t="str">
        <f>VLOOKUP(B2068,'PO with created By ASR'!A:I,6,FALSE)</f>
        <v>10457  The Oberoi New Delhi (EIH Ltd)</v>
      </c>
      <c r="L2068" s="2" t="str">
        <f>VLOOKUP(B2068,'PO with created By ASR'!A:J,7,FALSE)</f>
        <v>D - Delhi</v>
      </c>
      <c r="M2068" s="2" t="str">
        <f>VLOOKUP(B2068,'PO with created By ASR'!A:K,8,FALSE)</f>
        <v>Purchase Order-Del</v>
      </c>
      <c r="N2068" t="s">
        <v>36</v>
      </c>
      <c r="P2068" s="2">
        <v>6</v>
      </c>
    </row>
    <row r="2069" s="2" customFormat="1" spans="1:16">
      <c r="A2069" s="8"/>
      <c r="B2069" s="9" t="s">
        <v>3252</v>
      </c>
      <c r="C2069" s="10" t="s">
        <v>276</v>
      </c>
      <c r="D2069" s="11">
        <v>1</v>
      </c>
      <c r="E2069" s="12">
        <v>1750</v>
      </c>
      <c r="F2069" s="13">
        <v>1750</v>
      </c>
      <c r="G2069" s="2">
        <f>VLOOKUP(B2069,'PO with created By ASR'!A:C,3,FALSE)</f>
        <v>45705</v>
      </c>
      <c r="J2069" s="2" t="str">
        <f>VLOOKUP(B2069,'PO with created By ASR'!A:G,4,FALSE)</f>
        <v>The Oberoi New Delhi (EIH Ltd)-Del</v>
      </c>
      <c r="K2069" s="2" t="str">
        <f>VLOOKUP(B2069,'PO with created By ASR'!A:I,6,FALSE)</f>
        <v>10457  The Oberoi New Delhi (EIH Ltd)</v>
      </c>
      <c r="L2069" s="2" t="str">
        <f>VLOOKUP(B2069,'PO with created By ASR'!A:J,7,FALSE)</f>
        <v>D - Delhi</v>
      </c>
      <c r="M2069" s="2" t="str">
        <f>VLOOKUP(B2069,'PO with created By ASR'!A:K,8,FALSE)</f>
        <v>Purchase Order-Del</v>
      </c>
      <c r="N2069" t="s">
        <v>36</v>
      </c>
      <c r="P2069" s="2">
        <v>6</v>
      </c>
    </row>
    <row r="2070" s="2" customFormat="1" spans="1:16">
      <c r="A2070" s="8"/>
      <c r="B2070" s="9" t="s">
        <v>3255</v>
      </c>
      <c r="C2070" s="10" t="s">
        <v>196</v>
      </c>
      <c r="D2070" s="11">
        <v>1</v>
      </c>
      <c r="E2070" s="12">
        <v>1955</v>
      </c>
      <c r="F2070" s="13">
        <v>1955</v>
      </c>
      <c r="G2070" s="2">
        <f>VLOOKUP(B2070,'PO with created By ASR'!A:C,3,FALSE)</f>
        <v>45705</v>
      </c>
      <c r="J2070" s="2" t="str">
        <f>VLOOKUP(B2070,'PO with created By ASR'!A:G,4,FALSE)</f>
        <v>Pandey Print Services-Del</v>
      </c>
      <c r="K2070" s="2" t="str">
        <f>VLOOKUP(B2070,'PO with created By ASR'!A:I,6,FALSE)</f>
        <v>12236 Pandey Print Services</v>
      </c>
      <c r="L2070" s="2" t="str">
        <f>VLOOKUP(B2070,'PO with created By ASR'!A:J,7,FALSE)</f>
        <v>D - Delhi</v>
      </c>
      <c r="M2070" s="2" t="str">
        <f>VLOOKUP(B2070,'PO with created By ASR'!A:K,8,FALSE)</f>
        <v>Purchase Order-Del</v>
      </c>
      <c r="N2070" t="s">
        <v>36</v>
      </c>
      <c r="P2070" s="2">
        <v>6</v>
      </c>
    </row>
    <row r="2071" s="2" customFormat="1" spans="1:16">
      <c r="A2071" s="8"/>
      <c r="B2071" s="9" t="s">
        <v>3256</v>
      </c>
      <c r="C2071" s="10" t="s">
        <v>347</v>
      </c>
      <c r="D2071" s="11">
        <v>1</v>
      </c>
      <c r="E2071" s="12">
        <v>10000</v>
      </c>
      <c r="F2071" s="13">
        <v>10000</v>
      </c>
      <c r="G2071" s="2">
        <f>VLOOKUP(B2071,'PO with created By ASR'!A:C,3,FALSE)</f>
        <v>45705</v>
      </c>
      <c r="J2071" s="2" t="str">
        <f>VLOOKUP(B2071,'PO with created By ASR'!A:G,4,FALSE)</f>
        <v>Brief Cab-Del</v>
      </c>
      <c r="K2071" s="2" t="str">
        <f>VLOOKUP(B2071,'PO with created By ASR'!A:I,6,FALSE)</f>
        <v>11745 Brief Cab</v>
      </c>
      <c r="L2071" s="2" t="str">
        <f>VLOOKUP(B2071,'PO with created By ASR'!A:J,7,FALSE)</f>
        <v>D - Delhi</v>
      </c>
      <c r="M2071" s="2" t="str">
        <f>VLOOKUP(B2071,'PO with created By ASR'!A:K,8,FALSE)</f>
        <v>Purchase Order-Del</v>
      </c>
      <c r="N2071" t="s">
        <v>36</v>
      </c>
      <c r="P2071" s="2">
        <v>6</v>
      </c>
    </row>
    <row r="2072" s="2" customFormat="1" spans="1:16">
      <c r="A2072" s="8"/>
      <c r="B2072" s="9" t="s">
        <v>3258</v>
      </c>
      <c r="C2072" s="10" t="s">
        <v>140</v>
      </c>
      <c r="D2072" s="11">
        <v>1</v>
      </c>
      <c r="E2072" s="12">
        <v>4000000</v>
      </c>
      <c r="F2072" s="13">
        <v>4000000</v>
      </c>
      <c r="G2072" s="2">
        <f>VLOOKUP(B2072,'PO with created By ASR'!A:C,3,FALSE)</f>
        <v>45705</v>
      </c>
      <c r="J2072" s="2" t="str">
        <f>VLOOKUP(B2072,'PO with created By ASR'!A:G,4,FALSE)</f>
        <v>Zpay Solutions Private Limited-Del</v>
      </c>
      <c r="K2072" s="2" t="e">
        <f>VLOOKUP(B2072,'PO with created By ASR'!A:I,6,FALSE)</f>
        <v>#N/A</v>
      </c>
      <c r="L2072" s="2" t="str">
        <f>VLOOKUP(B2072,'PO with created By ASR'!A:J,7,FALSE)</f>
        <v>D - Delhi</v>
      </c>
      <c r="M2072" s="2" t="str">
        <f>VLOOKUP(B2072,'PO with created By ASR'!A:K,8,FALSE)</f>
        <v>Purchase Order-Del</v>
      </c>
      <c r="N2072" t="s">
        <v>36</v>
      </c>
      <c r="P2072" s="2">
        <v>6</v>
      </c>
    </row>
    <row r="2073" s="2" customFormat="1" spans="1:16">
      <c r="A2073" s="8"/>
      <c r="B2073" s="9" t="s">
        <v>3259</v>
      </c>
      <c r="C2073" s="10" t="s">
        <v>1176</v>
      </c>
      <c r="D2073" s="11">
        <v>1</v>
      </c>
      <c r="E2073" s="12">
        <v>11000</v>
      </c>
      <c r="F2073" s="13">
        <v>11000</v>
      </c>
      <c r="G2073" s="2">
        <f>VLOOKUP(B2073,'PO with created By ASR'!A:C,3,FALSE)</f>
        <v>45705</v>
      </c>
      <c r="J2073" s="2" t="str">
        <f>VLOOKUP(B2073,'PO with created By ASR'!A:G,4,FALSE)</f>
        <v>Courtyard by Marriott, Nashik (Shweta Infrastructure &amp; Housing India Pvt Ltd)-Mum</v>
      </c>
      <c r="K2073" s="2" t="e">
        <f>VLOOKUP(B2073,'PO with created By ASR'!A:I,6,FALSE)</f>
        <v>#N/A</v>
      </c>
      <c r="L2073" s="2" t="str">
        <f>VLOOKUP(B2073,'PO with created By ASR'!A:J,7,FALSE)</f>
        <v>A - Mumbai</v>
      </c>
      <c r="M2073" s="2" t="str">
        <f>VLOOKUP(B2073,'PO with created By ASR'!A:K,8,FALSE)</f>
        <v>Purchase Order-Mum</v>
      </c>
      <c r="N2073" t="s">
        <v>36</v>
      </c>
      <c r="P2073" s="2">
        <v>6</v>
      </c>
    </row>
    <row r="2074" s="2" customFormat="1" spans="1:16">
      <c r="A2074" s="8"/>
      <c r="B2074" s="9" t="s">
        <v>3259</v>
      </c>
      <c r="C2074" s="10" t="s">
        <v>276</v>
      </c>
      <c r="D2074" s="11">
        <v>1</v>
      </c>
      <c r="E2074" s="12">
        <v>151208</v>
      </c>
      <c r="F2074" s="13">
        <v>151208</v>
      </c>
      <c r="G2074" s="2">
        <f>VLOOKUP(B2074,'PO with created By ASR'!A:C,3,FALSE)</f>
        <v>45705</v>
      </c>
      <c r="J2074" s="2" t="str">
        <f>VLOOKUP(B2074,'PO with created By ASR'!A:G,4,FALSE)</f>
        <v>Courtyard by Marriott, Nashik (Shweta Infrastructure &amp; Housing India Pvt Ltd)-Mum</v>
      </c>
      <c r="K2074" s="2" t="e">
        <f>VLOOKUP(B2074,'PO with created By ASR'!A:I,6,FALSE)</f>
        <v>#N/A</v>
      </c>
      <c r="L2074" s="2" t="str">
        <f>VLOOKUP(B2074,'PO with created By ASR'!A:J,7,FALSE)</f>
        <v>A - Mumbai</v>
      </c>
      <c r="M2074" s="2" t="str">
        <f>VLOOKUP(B2074,'PO with created By ASR'!A:K,8,FALSE)</f>
        <v>Purchase Order-Mum</v>
      </c>
      <c r="N2074" t="s">
        <v>36</v>
      </c>
      <c r="P2074" s="2">
        <v>6</v>
      </c>
    </row>
    <row r="2075" s="2" customFormat="1" spans="1:16">
      <c r="A2075" s="8"/>
      <c r="B2075" s="9" t="s">
        <v>3259</v>
      </c>
      <c r="C2075" s="10" t="s">
        <v>276</v>
      </c>
      <c r="D2075" s="11">
        <v>1</v>
      </c>
      <c r="E2075" s="12">
        <v>84169.2</v>
      </c>
      <c r="F2075" s="13">
        <v>84169.2</v>
      </c>
      <c r="G2075" s="2">
        <f>VLOOKUP(B2075,'PO with created By ASR'!A:C,3,FALSE)</f>
        <v>45705</v>
      </c>
      <c r="J2075" s="2" t="str">
        <f>VLOOKUP(B2075,'PO with created By ASR'!A:G,4,FALSE)</f>
        <v>Courtyard by Marriott, Nashik (Shweta Infrastructure &amp; Housing India Pvt Ltd)-Mum</v>
      </c>
      <c r="K2075" s="2" t="e">
        <f>VLOOKUP(B2075,'PO with created By ASR'!A:I,6,FALSE)</f>
        <v>#N/A</v>
      </c>
      <c r="L2075" s="2" t="str">
        <f>VLOOKUP(B2075,'PO with created By ASR'!A:J,7,FALSE)</f>
        <v>A - Mumbai</v>
      </c>
      <c r="M2075" s="2" t="str">
        <f>VLOOKUP(B2075,'PO with created By ASR'!A:K,8,FALSE)</f>
        <v>Purchase Order-Mum</v>
      </c>
      <c r="N2075" t="s">
        <v>36</v>
      </c>
      <c r="P2075" s="2">
        <v>6</v>
      </c>
    </row>
    <row r="2076" s="2" customFormat="1" spans="1:16">
      <c r="A2076" s="8"/>
      <c r="B2076" s="9" t="s">
        <v>3259</v>
      </c>
      <c r="C2076" s="10" t="s">
        <v>61</v>
      </c>
      <c r="D2076" s="11">
        <v>1</v>
      </c>
      <c r="E2076" s="12">
        <v>277498</v>
      </c>
      <c r="F2076" s="13">
        <v>277498</v>
      </c>
      <c r="G2076" s="2">
        <f>VLOOKUP(B2076,'PO with created By ASR'!A:C,3,FALSE)</f>
        <v>45705</v>
      </c>
      <c r="J2076" s="2" t="str">
        <f>VLOOKUP(B2076,'PO with created By ASR'!A:G,4,FALSE)</f>
        <v>Courtyard by Marriott, Nashik (Shweta Infrastructure &amp; Housing India Pvt Ltd)-Mum</v>
      </c>
      <c r="K2076" s="2" t="e">
        <f>VLOOKUP(B2076,'PO with created By ASR'!A:I,6,FALSE)</f>
        <v>#N/A</v>
      </c>
      <c r="L2076" s="2" t="str">
        <f>VLOOKUP(B2076,'PO with created By ASR'!A:J,7,FALSE)</f>
        <v>A - Mumbai</v>
      </c>
      <c r="M2076" s="2" t="str">
        <f>VLOOKUP(B2076,'PO with created By ASR'!A:K,8,FALSE)</f>
        <v>Purchase Order-Mum</v>
      </c>
      <c r="N2076" t="s">
        <v>36</v>
      </c>
      <c r="P2076" s="2">
        <v>6</v>
      </c>
    </row>
    <row r="2077" s="2" customFormat="1" spans="1:16">
      <c r="A2077" s="8"/>
      <c r="B2077" s="9" t="s">
        <v>3262</v>
      </c>
      <c r="C2077" s="10" t="s">
        <v>250</v>
      </c>
      <c r="D2077" s="11">
        <v>1</v>
      </c>
      <c r="E2077" s="12">
        <v>485000</v>
      </c>
      <c r="F2077" s="13">
        <v>485000</v>
      </c>
      <c r="G2077" s="2">
        <f>VLOOKUP(B2077,'PO with created By ASR'!A:C,3,FALSE)</f>
        <v>45705</v>
      </c>
      <c r="J2077" s="2" t="str">
        <f>VLOOKUP(B2077,'PO with created By ASR'!A:G,4,FALSE)</f>
        <v>Black Hat Talent Solutions &amp; Consulting Pvt Ltd-Mum</v>
      </c>
      <c r="K2077" s="2" t="str">
        <f>VLOOKUP(B2077,'PO with created By ASR'!A:I,6,FALSE)</f>
        <v>10572  Black Hat Talent Solutions &amp; Consulting Pvt Ltd</v>
      </c>
      <c r="L2077" s="2" t="str">
        <f>VLOOKUP(B2077,'PO with created By ASR'!A:J,7,FALSE)</f>
        <v>A - Mumbai</v>
      </c>
      <c r="M2077" s="2" t="str">
        <f>VLOOKUP(B2077,'PO with created By ASR'!A:K,8,FALSE)</f>
        <v>Purchase Order-Mum</v>
      </c>
      <c r="N2077" t="s">
        <v>36</v>
      </c>
      <c r="P2077" s="2">
        <v>6</v>
      </c>
    </row>
    <row r="2078" s="2" customFormat="1" spans="1:16">
      <c r="A2078" s="8"/>
      <c r="B2078" s="9" t="s">
        <v>3263</v>
      </c>
      <c r="C2078" s="10" t="s">
        <v>317</v>
      </c>
      <c r="D2078" s="11">
        <v>1</v>
      </c>
      <c r="E2078" s="12">
        <v>28000</v>
      </c>
      <c r="F2078" s="13">
        <v>28000</v>
      </c>
      <c r="G2078" s="2">
        <f>VLOOKUP(B2078,'PO with created By ASR'!A:C,3,FALSE)</f>
        <v>45705</v>
      </c>
      <c r="J2078" s="2" t="str">
        <f>VLOOKUP(B2078,'PO with created By ASR'!A:G,4,FALSE)</f>
        <v>Foxel Media &amp; Entertainment LLP-Mum</v>
      </c>
      <c r="K2078" s="2" t="str">
        <f>VLOOKUP(B2078,'PO with created By ASR'!A:I,6,FALSE)</f>
        <v>12844 Foxel Media &amp; Entertainment LLP</v>
      </c>
      <c r="L2078" s="2" t="str">
        <f>VLOOKUP(B2078,'PO with created By ASR'!A:J,7,FALSE)</f>
        <v>A - Mumbai</v>
      </c>
      <c r="M2078" s="2" t="str">
        <f>VLOOKUP(B2078,'PO with created By ASR'!A:K,8,FALSE)</f>
        <v>Purchase Order-Mum</v>
      </c>
      <c r="N2078" t="s">
        <v>36</v>
      </c>
      <c r="P2078" s="2">
        <v>6</v>
      </c>
    </row>
    <row r="2079" s="2" customFormat="1" spans="1:16">
      <c r="A2079" s="8"/>
      <c r="B2079" s="9" t="s">
        <v>3267</v>
      </c>
      <c r="C2079" s="10" t="s">
        <v>151</v>
      </c>
      <c r="D2079" s="11">
        <v>1</v>
      </c>
      <c r="E2079" s="12">
        <v>350000</v>
      </c>
      <c r="F2079" s="13">
        <v>350000</v>
      </c>
      <c r="G2079" s="2">
        <f>VLOOKUP(B2079,'PO with created By ASR'!A:C,3,FALSE)</f>
        <v>45705</v>
      </c>
      <c r="J2079" s="2" t="str">
        <f>VLOOKUP(B2079,'PO with created By ASR'!A:G,4,FALSE)</f>
        <v>Fabrile Productions-Mum</v>
      </c>
      <c r="K2079" s="2" t="str">
        <f>VLOOKUP(B2079,'PO with created By ASR'!A:I,6,FALSE)</f>
        <v>11909 Fabrile Productions</v>
      </c>
      <c r="L2079" s="2" t="str">
        <f>VLOOKUP(B2079,'PO with created By ASR'!A:J,7,FALSE)</f>
        <v>A - Mumbai</v>
      </c>
      <c r="M2079" s="2" t="str">
        <f>VLOOKUP(B2079,'PO with created By ASR'!A:K,8,FALSE)</f>
        <v>Purchase Order-Mum</v>
      </c>
      <c r="N2079" t="s">
        <v>36</v>
      </c>
      <c r="P2079" s="2">
        <v>6</v>
      </c>
    </row>
    <row r="2080" s="2" customFormat="1" spans="1:16">
      <c r="A2080" s="8"/>
      <c r="B2080" s="9" t="s">
        <v>3268</v>
      </c>
      <c r="C2080" s="10" t="s">
        <v>292</v>
      </c>
      <c r="D2080" s="11">
        <v>1</v>
      </c>
      <c r="E2080" s="12">
        <v>52000</v>
      </c>
      <c r="F2080" s="13">
        <v>52000</v>
      </c>
      <c r="G2080" s="2">
        <f>VLOOKUP(B2080,'PO with created By ASR'!A:C,3,FALSE)</f>
        <v>45705</v>
      </c>
      <c r="J2080" s="2" t="str">
        <f>VLOOKUP(B2080,'PO with created By ASR'!A:G,4,FALSE)</f>
        <v>Abdul Shahid Shaikh-Mum</v>
      </c>
      <c r="K2080" s="2" t="str">
        <f>VLOOKUP(B2080,'PO with created By ASR'!A:I,6,FALSE)</f>
        <v>10107 Abdul Shahid Shaikh</v>
      </c>
      <c r="L2080" s="2" t="str">
        <f>VLOOKUP(B2080,'PO with created By ASR'!A:J,7,FALSE)</f>
        <v>A - Mumbai</v>
      </c>
      <c r="M2080" s="2" t="str">
        <f>VLOOKUP(B2080,'PO with created By ASR'!A:K,8,FALSE)</f>
        <v>Purchase Order-Mum</v>
      </c>
      <c r="N2080" t="s">
        <v>36</v>
      </c>
      <c r="P2080" s="2">
        <v>6</v>
      </c>
    </row>
    <row r="2081" s="2" customFormat="1" spans="1:16">
      <c r="A2081" s="8"/>
      <c r="B2081" s="9" t="s">
        <v>3269</v>
      </c>
      <c r="C2081" s="10" t="s">
        <v>1221</v>
      </c>
      <c r="D2081" s="11">
        <v>1</v>
      </c>
      <c r="E2081" s="12">
        <v>34860</v>
      </c>
      <c r="F2081" s="13">
        <v>34860</v>
      </c>
      <c r="G2081" s="2">
        <f>VLOOKUP(B2081,'PO with created By ASR'!A:C,3,FALSE)</f>
        <v>45705</v>
      </c>
      <c r="J2081" s="2" t="str">
        <f>VLOOKUP(B2081,'PO with created By ASR'!A:G,4,FALSE)</f>
        <v>PT Iplanner Bali Jaya-Mum</v>
      </c>
      <c r="K2081" s="2" t="str">
        <f>VLOOKUP(B2081,'PO with created By ASR'!A:I,6,FALSE)</f>
        <v>12764 PT Iplanner Bali Jaya</v>
      </c>
      <c r="L2081" s="2" t="str">
        <f>VLOOKUP(B2081,'PO with created By ASR'!A:J,7,FALSE)</f>
        <v>A - Mumbai</v>
      </c>
      <c r="M2081" s="2" t="str">
        <f>VLOOKUP(B2081,'PO with created By ASR'!A:K,8,FALSE)</f>
        <v>Purchase Order-Mum</v>
      </c>
      <c r="N2081" t="s">
        <v>36</v>
      </c>
      <c r="P2081" s="2">
        <v>6</v>
      </c>
    </row>
    <row r="2082" s="2" customFormat="1" spans="1:16">
      <c r="A2082" s="8"/>
      <c r="B2082" s="9" t="s">
        <v>3271</v>
      </c>
      <c r="C2082" s="10" t="s">
        <v>151</v>
      </c>
      <c r="D2082" s="11">
        <v>1</v>
      </c>
      <c r="E2082" s="12">
        <v>200000</v>
      </c>
      <c r="F2082" s="13">
        <v>200000</v>
      </c>
      <c r="G2082" s="2">
        <f>VLOOKUP(B2082,'PO with created By ASR'!A:C,3,FALSE)</f>
        <v>45705</v>
      </c>
      <c r="J2082" s="2" t="str">
        <f>VLOOKUP(B2082,'PO with created By ASR'!A:G,4,FALSE)</f>
        <v>Pyramid Production-Mum</v>
      </c>
      <c r="K2082" s="2" t="str">
        <f>VLOOKUP(B2082,'PO with created By ASR'!A:I,6,FALSE)</f>
        <v>12299 Pyramid Production</v>
      </c>
      <c r="L2082" s="2" t="str">
        <f>VLOOKUP(B2082,'PO with created By ASR'!A:J,7,FALSE)</f>
        <v>A - Mumbai</v>
      </c>
      <c r="M2082" s="2" t="str">
        <f>VLOOKUP(B2082,'PO with created By ASR'!A:K,8,FALSE)</f>
        <v>Purchase Order-Mum</v>
      </c>
      <c r="N2082" t="s">
        <v>36</v>
      </c>
      <c r="P2082" s="2">
        <v>6</v>
      </c>
    </row>
    <row r="2083" s="2" customFormat="1" spans="1:16">
      <c r="A2083" s="8"/>
      <c r="B2083" s="9" t="s">
        <v>3272</v>
      </c>
      <c r="C2083" s="10" t="s">
        <v>151</v>
      </c>
      <c r="D2083" s="11">
        <v>1</v>
      </c>
      <c r="E2083" s="12">
        <v>20000</v>
      </c>
      <c r="F2083" s="13">
        <v>20000</v>
      </c>
      <c r="G2083" s="2">
        <f>VLOOKUP(B2083,'PO with created By ASR'!A:C,3,FALSE)</f>
        <v>45705</v>
      </c>
      <c r="J2083" s="2" t="str">
        <f>VLOOKUP(B2083,'PO with created By ASR'!A:G,4,FALSE)</f>
        <v>KVS Rostam Hires-Mum</v>
      </c>
      <c r="K2083" s="2" t="str">
        <f>VLOOKUP(B2083,'PO with created By ASR'!A:I,6,FALSE)</f>
        <v>12088 KVS Rostam Hires</v>
      </c>
      <c r="L2083" s="2" t="str">
        <f>VLOOKUP(B2083,'PO with created By ASR'!A:J,7,FALSE)</f>
        <v>A - Mumbai</v>
      </c>
      <c r="M2083" s="2" t="str">
        <f>VLOOKUP(B2083,'PO with created By ASR'!A:K,8,FALSE)</f>
        <v>Purchase Order-Mum</v>
      </c>
      <c r="N2083" t="s">
        <v>36</v>
      </c>
      <c r="P2083" s="2">
        <v>6</v>
      </c>
    </row>
    <row r="2084" s="2" customFormat="1" spans="1:16">
      <c r="A2084" s="8"/>
      <c r="B2084" s="9" t="s">
        <v>3273</v>
      </c>
      <c r="C2084" s="10" t="s">
        <v>140</v>
      </c>
      <c r="D2084" s="11">
        <v>1</v>
      </c>
      <c r="E2084" s="12">
        <v>67000</v>
      </c>
      <c r="F2084" s="13">
        <v>67000</v>
      </c>
      <c r="G2084" s="2">
        <f>VLOOKUP(B2084,'PO with created By ASR'!A:C,3,FALSE)</f>
        <v>45705</v>
      </c>
      <c r="J2084" s="2" t="str">
        <f>VLOOKUP(B2084,'PO with created By ASR'!A:G,4,FALSE)</f>
        <v>Basal Studio-Mum</v>
      </c>
      <c r="K2084" s="2" t="str">
        <f>VLOOKUP(B2084,'PO with created By ASR'!A:I,6,FALSE)</f>
        <v>12941 Basal Studio</v>
      </c>
      <c r="L2084" s="2" t="str">
        <f>VLOOKUP(B2084,'PO with created By ASR'!A:J,7,FALSE)</f>
        <v>A - Mumbai</v>
      </c>
      <c r="M2084" s="2" t="str">
        <f>VLOOKUP(B2084,'PO with created By ASR'!A:K,8,FALSE)</f>
        <v>Purchase Order-Mum</v>
      </c>
      <c r="N2084" t="s">
        <v>36</v>
      </c>
      <c r="P2084" s="2">
        <v>6</v>
      </c>
    </row>
    <row r="2085" s="2" customFormat="1" spans="1:16">
      <c r="A2085" s="8"/>
      <c r="B2085" s="9" t="s">
        <v>3276</v>
      </c>
      <c r="C2085" s="10" t="s">
        <v>990</v>
      </c>
      <c r="D2085" s="11">
        <v>1</v>
      </c>
      <c r="E2085" s="12">
        <v>3000</v>
      </c>
      <c r="F2085" s="13">
        <v>3000</v>
      </c>
      <c r="G2085" s="2">
        <f>VLOOKUP(B2085,'PO with created By ASR'!A:C,3,FALSE)</f>
        <v>45705</v>
      </c>
      <c r="J2085" s="2" t="str">
        <f>VLOOKUP(B2085,'PO with created By ASR'!A:G,4,FALSE)</f>
        <v>Shree Vision-Mum</v>
      </c>
      <c r="K2085" s="2" t="str">
        <f>VLOOKUP(B2085,'PO with created By ASR'!A:I,6,FALSE)</f>
        <v>12401 Shree Vision</v>
      </c>
      <c r="L2085" s="2" t="str">
        <f>VLOOKUP(B2085,'PO with created By ASR'!A:J,7,FALSE)</f>
        <v>A - Mumbai</v>
      </c>
      <c r="M2085" s="2" t="str">
        <f>VLOOKUP(B2085,'PO with created By ASR'!A:K,8,FALSE)</f>
        <v>Purchase Order-Mum</v>
      </c>
      <c r="N2085" t="s">
        <v>36</v>
      </c>
      <c r="P2085" s="2">
        <v>6</v>
      </c>
    </row>
    <row r="2086" s="2" customFormat="1" spans="1:16">
      <c r="A2086" s="8"/>
      <c r="B2086" s="9" t="s">
        <v>3277</v>
      </c>
      <c r="C2086" s="10" t="s">
        <v>990</v>
      </c>
      <c r="D2086" s="11">
        <v>1</v>
      </c>
      <c r="E2086" s="12">
        <v>9600</v>
      </c>
      <c r="F2086" s="13">
        <v>9600</v>
      </c>
      <c r="G2086" s="2">
        <f>VLOOKUP(B2086,'PO with created By ASR'!A:C,3,FALSE)</f>
        <v>45705</v>
      </c>
      <c r="J2086" s="2" t="str">
        <f>VLOOKUP(B2086,'PO with created By ASR'!A:G,4,FALSE)</f>
        <v>Hindustan Computer &amp; Communication Services-Mum</v>
      </c>
      <c r="K2086" s="2" t="str">
        <f>VLOOKUP(B2086,'PO with created By ASR'!A:I,6,FALSE)</f>
        <v>11987 Hindustan Computer &amp; Communication Services</v>
      </c>
      <c r="L2086" s="2" t="str">
        <f>VLOOKUP(B2086,'PO with created By ASR'!A:J,7,FALSE)</f>
        <v>A - Mumbai</v>
      </c>
      <c r="M2086" s="2" t="str">
        <f>VLOOKUP(B2086,'PO with created By ASR'!A:K,8,FALSE)</f>
        <v>Purchase Order-Mum</v>
      </c>
      <c r="N2086" t="s">
        <v>36</v>
      </c>
      <c r="P2086" s="2">
        <v>6</v>
      </c>
    </row>
    <row r="2087" s="2" customFormat="1" spans="1:16">
      <c r="A2087" s="8"/>
      <c r="B2087" s="9" t="s">
        <v>3278</v>
      </c>
      <c r="C2087" s="10" t="s">
        <v>311</v>
      </c>
      <c r="D2087" s="11">
        <v>1</v>
      </c>
      <c r="E2087" s="12">
        <v>4237.29</v>
      </c>
      <c r="F2087" s="13">
        <v>4237.29</v>
      </c>
      <c r="G2087" s="2">
        <f>VLOOKUP(B2087,'PO with created By ASR'!A:C,3,FALSE)</f>
        <v>45705</v>
      </c>
      <c r="J2087" s="2" t="str">
        <f>VLOOKUP(B2087,'PO with created By ASR'!A:G,4,FALSE)</f>
        <v>Airtel Ltd(Bill Booking)-Mum</v>
      </c>
      <c r="K2087" s="2" t="str">
        <f>VLOOKUP(B2087,'PO with created By ASR'!A:I,6,FALSE)</f>
        <v>10112  Airtel Ltd(Bill Booking)</v>
      </c>
      <c r="L2087" s="2" t="str">
        <f>VLOOKUP(B2087,'PO with created By ASR'!A:J,7,FALSE)</f>
        <v>A - Mumbai</v>
      </c>
      <c r="M2087" s="2" t="str">
        <f>VLOOKUP(B2087,'PO with created By ASR'!A:K,8,FALSE)</f>
        <v>Purchase Order-Mum</v>
      </c>
      <c r="N2087" t="s">
        <v>36</v>
      </c>
      <c r="P2087" s="2">
        <v>6</v>
      </c>
    </row>
    <row r="2088" s="2" customFormat="1" spans="1:16">
      <c r="A2088" s="8"/>
      <c r="B2088" s="9" t="s">
        <v>3279</v>
      </c>
      <c r="C2088" s="10" t="s">
        <v>233</v>
      </c>
      <c r="D2088" s="11">
        <v>1</v>
      </c>
      <c r="E2088" s="12">
        <v>500000</v>
      </c>
      <c r="F2088" s="13">
        <v>500000</v>
      </c>
      <c r="G2088" s="2">
        <f>VLOOKUP(B2088,'PO with created By ASR'!A:C,3,FALSE)</f>
        <v>45705</v>
      </c>
      <c r="J2088" s="2" t="str">
        <f>VLOOKUP(B2088,'PO with created By ASR'!A:G,4,FALSE)</f>
        <v>Greenix Experience Pvt Ltd-Mum</v>
      </c>
      <c r="K2088" s="2" t="str">
        <f>VLOOKUP(B2088,'PO with created By ASR'!A:I,6,FALSE)</f>
        <v>10297  Greenix Experience Pvt Ltd</v>
      </c>
      <c r="L2088" s="2" t="str">
        <f>VLOOKUP(B2088,'PO with created By ASR'!A:J,7,FALSE)</f>
        <v>A - Mumbai</v>
      </c>
      <c r="M2088" s="2" t="str">
        <f>VLOOKUP(B2088,'PO with created By ASR'!A:K,8,FALSE)</f>
        <v>Purchase Order-Mum</v>
      </c>
      <c r="N2088" t="s">
        <v>36</v>
      </c>
      <c r="P2088" s="2">
        <v>6</v>
      </c>
    </row>
    <row r="2089" s="2" customFormat="1" spans="1:16">
      <c r="A2089" s="8"/>
      <c r="B2089" s="9" t="s">
        <v>3279</v>
      </c>
      <c r="C2089" s="10" t="s">
        <v>233</v>
      </c>
      <c r="D2089" s="11">
        <v>1</v>
      </c>
      <c r="E2089" s="12">
        <v>25000</v>
      </c>
      <c r="F2089" s="13">
        <v>25000</v>
      </c>
      <c r="G2089" s="2">
        <f>VLOOKUP(B2089,'PO with created By ASR'!A:C,3,FALSE)</f>
        <v>45705</v>
      </c>
      <c r="J2089" s="2" t="str">
        <f>VLOOKUP(B2089,'PO with created By ASR'!A:G,4,FALSE)</f>
        <v>Greenix Experience Pvt Ltd-Mum</v>
      </c>
      <c r="K2089" s="2" t="str">
        <f>VLOOKUP(B2089,'PO with created By ASR'!A:I,6,FALSE)</f>
        <v>10297  Greenix Experience Pvt Ltd</v>
      </c>
      <c r="L2089" s="2" t="str">
        <f>VLOOKUP(B2089,'PO with created By ASR'!A:J,7,FALSE)</f>
        <v>A - Mumbai</v>
      </c>
      <c r="M2089" s="2" t="str">
        <f>VLOOKUP(B2089,'PO with created By ASR'!A:K,8,FALSE)</f>
        <v>Purchase Order-Mum</v>
      </c>
      <c r="N2089" t="s">
        <v>36</v>
      </c>
      <c r="P2089" s="2">
        <v>6</v>
      </c>
    </row>
    <row r="2090" s="2" customFormat="1" spans="1:16">
      <c r="A2090" s="8"/>
      <c r="B2090" s="9" t="s">
        <v>3280</v>
      </c>
      <c r="C2090" s="10" t="s">
        <v>990</v>
      </c>
      <c r="D2090" s="11">
        <v>1</v>
      </c>
      <c r="E2090" s="12">
        <v>14000</v>
      </c>
      <c r="F2090" s="13">
        <v>14000</v>
      </c>
      <c r="G2090" s="2">
        <f>VLOOKUP(B2090,'PO with created By ASR'!A:C,3,FALSE)</f>
        <v>45705</v>
      </c>
      <c r="J2090" s="2" t="str">
        <f>VLOOKUP(B2090,'PO with created By ASR'!A:G,4,FALSE)</f>
        <v>Hindustan Computer &amp; Communication Services-Mum</v>
      </c>
      <c r="K2090" s="2" t="str">
        <f>VLOOKUP(B2090,'PO with created By ASR'!A:I,6,FALSE)</f>
        <v>11987 Hindustan Computer &amp; Communication Services</v>
      </c>
      <c r="L2090" s="2" t="str">
        <f>VLOOKUP(B2090,'PO with created By ASR'!A:J,7,FALSE)</f>
        <v>A - Mumbai</v>
      </c>
      <c r="M2090" s="2" t="str">
        <f>VLOOKUP(B2090,'PO with created By ASR'!A:K,8,FALSE)</f>
        <v>Purchase Order-Mum</v>
      </c>
      <c r="N2090" t="s">
        <v>36</v>
      </c>
      <c r="P2090" s="2">
        <v>6</v>
      </c>
    </row>
    <row r="2091" s="2" customFormat="1" spans="1:16">
      <c r="A2091" s="8"/>
      <c r="B2091" s="9" t="s">
        <v>3281</v>
      </c>
      <c r="C2091" s="10" t="s">
        <v>704</v>
      </c>
      <c r="D2091" s="11">
        <v>1</v>
      </c>
      <c r="E2091" s="12">
        <v>1050</v>
      </c>
      <c r="F2091" s="13">
        <v>1050</v>
      </c>
      <c r="G2091" s="2">
        <f>VLOOKUP(B2091,'PO with created By ASR'!A:C,3,FALSE)</f>
        <v>45705</v>
      </c>
      <c r="J2091" s="2" t="str">
        <f>VLOOKUP(B2091,'PO with created By ASR'!A:G,4,FALSE)</f>
        <v>Shree Raj Systems-Mum</v>
      </c>
      <c r="K2091" s="2" t="str">
        <f>VLOOKUP(B2091,'PO with created By ASR'!A:I,6,FALSE)</f>
        <v>10214 Shree Raj Systems</v>
      </c>
      <c r="L2091" s="2" t="str">
        <f>VLOOKUP(B2091,'PO with created By ASR'!A:J,7,FALSE)</f>
        <v>A - Mumbai</v>
      </c>
      <c r="M2091" s="2" t="str">
        <f>VLOOKUP(B2091,'PO with created By ASR'!A:K,8,FALSE)</f>
        <v>Purchase Order-Mum</v>
      </c>
      <c r="N2091" t="s">
        <v>36</v>
      </c>
      <c r="P2091" s="2">
        <v>6</v>
      </c>
    </row>
    <row r="2092" s="2" customFormat="1" spans="1:16">
      <c r="A2092" s="8"/>
      <c r="B2092" s="9" t="s">
        <v>3284</v>
      </c>
      <c r="C2092" s="10" t="s">
        <v>704</v>
      </c>
      <c r="D2092" s="11">
        <v>1</v>
      </c>
      <c r="E2092" s="12">
        <v>19300</v>
      </c>
      <c r="F2092" s="13">
        <v>19300</v>
      </c>
      <c r="G2092" s="2">
        <f>VLOOKUP(B2092,'PO with created By ASR'!A:C,3,FALSE)</f>
        <v>45705</v>
      </c>
      <c r="J2092" s="2" t="str">
        <f>VLOOKUP(B2092,'PO with created By ASR'!A:G,4,FALSE)</f>
        <v>Shree Raj Systems-Mum</v>
      </c>
      <c r="K2092" s="2" t="str">
        <f>VLOOKUP(B2092,'PO with created By ASR'!A:I,6,FALSE)</f>
        <v>10214 Shree Raj Systems</v>
      </c>
      <c r="L2092" s="2" t="str">
        <f>VLOOKUP(B2092,'PO with created By ASR'!A:J,7,FALSE)</f>
        <v>A - Mumbai</v>
      </c>
      <c r="M2092" s="2" t="str">
        <f>VLOOKUP(B2092,'PO with created By ASR'!A:K,8,FALSE)</f>
        <v>Purchase Order-Mum</v>
      </c>
      <c r="N2092" t="s">
        <v>36</v>
      </c>
      <c r="P2092" s="2">
        <v>6</v>
      </c>
    </row>
    <row r="2093" s="2" customFormat="1" spans="1:16">
      <c r="A2093" s="8"/>
      <c r="B2093" s="9" t="s">
        <v>3285</v>
      </c>
      <c r="C2093" s="10" t="s">
        <v>704</v>
      </c>
      <c r="D2093" s="11">
        <v>1</v>
      </c>
      <c r="E2093" s="12">
        <v>8500</v>
      </c>
      <c r="F2093" s="13">
        <v>8500</v>
      </c>
      <c r="G2093" s="2">
        <f>VLOOKUP(B2093,'PO with created By ASR'!A:C,3,FALSE)</f>
        <v>45705</v>
      </c>
      <c r="J2093" s="2" t="str">
        <f>VLOOKUP(B2093,'PO with created By ASR'!A:G,4,FALSE)</f>
        <v>Shree Raj Systems-Mum</v>
      </c>
      <c r="K2093" s="2" t="str">
        <f>VLOOKUP(B2093,'PO with created By ASR'!A:I,6,FALSE)</f>
        <v>10214 Shree Raj Systems</v>
      </c>
      <c r="L2093" s="2" t="str">
        <f>VLOOKUP(B2093,'PO with created By ASR'!A:J,7,FALSE)</f>
        <v>A - Mumbai</v>
      </c>
      <c r="M2093" s="2" t="str">
        <f>VLOOKUP(B2093,'PO with created By ASR'!A:K,8,FALSE)</f>
        <v>Purchase Order-Mum</v>
      </c>
      <c r="N2093" t="s">
        <v>36</v>
      </c>
      <c r="P2093" s="2">
        <v>6</v>
      </c>
    </row>
    <row r="2094" s="2" customFormat="1" spans="1:16">
      <c r="A2094" s="8"/>
      <c r="B2094" s="9" t="s">
        <v>3286</v>
      </c>
      <c r="C2094" s="10" t="s">
        <v>256</v>
      </c>
      <c r="D2094" s="11">
        <v>1</v>
      </c>
      <c r="E2094" s="12">
        <v>75000</v>
      </c>
      <c r="F2094" s="13">
        <v>75000</v>
      </c>
      <c r="G2094" s="2">
        <f>VLOOKUP(B2094,'PO with created By ASR'!A:C,3,FALSE)</f>
        <v>45705</v>
      </c>
      <c r="J2094" s="2" t="str">
        <f>VLOOKUP(B2094,'PO with created By ASR'!A:G,4,FALSE)</f>
        <v>The Indian Performing Right Society Ltd.-Mum</v>
      </c>
      <c r="K2094" s="2" t="e">
        <f>VLOOKUP(B2094,'PO with created By ASR'!A:I,6,FALSE)</f>
        <v>#N/A</v>
      </c>
      <c r="L2094" s="2" t="str">
        <f>VLOOKUP(B2094,'PO with created By ASR'!A:J,7,FALSE)</f>
        <v>A - Mumbai</v>
      </c>
      <c r="M2094" s="2" t="str">
        <f>VLOOKUP(B2094,'PO with created By ASR'!A:K,8,FALSE)</f>
        <v>Purchase Order-Mum</v>
      </c>
      <c r="N2094" t="s">
        <v>36</v>
      </c>
      <c r="P2094" s="2">
        <v>6</v>
      </c>
    </row>
    <row r="2095" s="2" customFormat="1" spans="1:16">
      <c r="A2095" s="8"/>
      <c r="B2095" s="9" t="s">
        <v>3287</v>
      </c>
      <c r="C2095" s="10" t="s">
        <v>256</v>
      </c>
      <c r="D2095" s="11">
        <v>1</v>
      </c>
      <c r="E2095" s="12">
        <v>30000</v>
      </c>
      <c r="F2095" s="13">
        <v>30000</v>
      </c>
      <c r="G2095" s="2">
        <f>VLOOKUP(B2095,'PO with created By ASR'!A:C,3,FALSE)</f>
        <v>45705</v>
      </c>
      <c r="J2095" s="2" t="str">
        <f>VLOOKUP(B2095,'PO with created By ASR'!A:G,4,FALSE)</f>
        <v>The Indian Performing Right Society Ltd.-Mum</v>
      </c>
      <c r="K2095" s="2" t="e">
        <f>VLOOKUP(B2095,'PO with created By ASR'!A:I,6,FALSE)</f>
        <v>#N/A</v>
      </c>
      <c r="L2095" s="2" t="str">
        <f>VLOOKUP(B2095,'PO with created By ASR'!A:J,7,FALSE)</f>
        <v>A - Mumbai</v>
      </c>
      <c r="M2095" s="2" t="str">
        <f>VLOOKUP(B2095,'PO with created By ASR'!A:K,8,FALSE)</f>
        <v>Purchase Order-Mum</v>
      </c>
      <c r="N2095" t="s">
        <v>36</v>
      </c>
      <c r="P2095" s="2">
        <v>6</v>
      </c>
    </row>
    <row r="2096" s="2" customFormat="1" spans="1:16">
      <c r="A2096" s="8"/>
      <c r="B2096" s="9" t="s">
        <v>3288</v>
      </c>
      <c r="C2096" s="10" t="s">
        <v>256</v>
      </c>
      <c r="D2096" s="11">
        <v>1</v>
      </c>
      <c r="E2096" s="12">
        <v>32000</v>
      </c>
      <c r="F2096" s="13">
        <v>32000</v>
      </c>
      <c r="G2096" s="2">
        <f>VLOOKUP(B2096,'PO with created By ASR'!A:C,3,FALSE)</f>
        <v>45705</v>
      </c>
      <c r="J2096" s="2" t="str">
        <f>VLOOKUP(B2096,'PO with created By ASR'!A:G,4,FALSE)</f>
        <v>Vista Services (Sainath Govind Shirke)-Mum</v>
      </c>
      <c r="K2096" s="2" t="str">
        <f>VLOOKUP(B2096,'PO with created By ASR'!A:I,6,FALSE)</f>
        <v>10237 Vista Services (Sainath Govind Shirke)</v>
      </c>
      <c r="L2096" s="2" t="str">
        <f>VLOOKUP(B2096,'PO with created By ASR'!A:J,7,FALSE)</f>
        <v>A - Mumbai</v>
      </c>
      <c r="M2096" s="2" t="str">
        <f>VLOOKUP(B2096,'PO with created By ASR'!A:K,8,FALSE)</f>
        <v>Purchase Order-Mum</v>
      </c>
      <c r="N2096" t="s">
        <v>36</v>
      </c>
      <c r="P2096" s="2">
        <v>6</v>
      </c>
    </row>
    <row r="2097" s="2" customFormat="1" spans="1:16">
      <c r="A2097" s="8"/>
      <c r="B2097" s="9" t="s">
        <v>3289</v>
      </c>
      <c r="C2097" s="10" t="s">
        <v>256</v>
      </c>
      <c r="D2097" s="11">
        <v>1</v>
      </c>
      <c r="E2097" s="12">
        <v>30000</v>
      </c>
      <c r="F2097" s="13">
        <v>30000</v>
      </c>
      <c r="G2097" s="2">
        <f>VLOOKUP(B2097,'PO with created By ASR'!A:C,3,FALSE)</f>
        <v>45705</v>
      </c>
      <c r="J2097" s="2" t="str">
        <f>VLOOKUP(B2097,'PO with created By ASR'!A:G,4,FALSE)</f>
        <v>The Indian Performing Right Society Ltd.-Mum</v>
      </c>
      <c r="K2097" s="2" t="e">
        <f>VLOOKUP(B2097,'PO with created By ASR'!A:I,6,FALSE)</f>
        <v>#N/A</v>
      </c>
      <c r="L2097" s="2" t="str">
        <f>VLOOKUP(B2097,'PO with created By ASR'!A:J,7,FALSE)</f>
        <v>A - Mumbai</v>
      </c>
      <c r="M2097" s="2" t="str">
        <f>VLOOKUP(B2097,'PO with created By ASR'!A:K,8,FALSE)</f>
        <v>Purchase Order-Mum</v>
      </c>
      <c r="N2097" t="s">
        <v>36</v>
      </c>
      <c r="P2097" s="2">
        <v>6</v>
      </c>
    </row>
    <row r="2098" s="2" customFormat="1" spans="1:16">
      <c r="A2098" s="8"/>
      <c r="B2098" s="9" t="s">
        <v>3291</v>
      </c>
      <c r="C2098" s="10" t="s">
        <v>151</v>
      </c>
      <c r="D2098" s="11">
        <v>1</v>
      </c>
      <c r="E2098" s="12">
        <v>80000</v>
      </c>
      <c r="F2098" s="13">
        <v>80000</v>
      </c>
      <c r="G2098" s="2">
        <f>VLOOKUP(B2098,'PO with created By ASR'!A:C,3,FALSE)</f>
        <v>45705</v>
      </c>
      <c r="J2098" s="2" t="str">
        <f>VLOOKUP(B2098,'PO with created By ASR'!A:G,4,FALSE)</f>
        <v>6Th Wall Production Pvt Ltd-Blr</v>
      </c>
      <c r="K2098" s="2" t="str">
        <f>VLOOKUP(B2098,'PO with created By ASR'!A:I,6,FALSE)</f>
        <v>11620  6Th Wall Production Pvt Ltd</v>
      </c>
      <c r="L2098" s="2" t="str">
        <f>VLOOKUP(B2098,'PO with created By ASR'!A:J,7,FALSE)</f>
        <v>A - Mumbai</v>
      </c>
      <c r="M2098" s="2" t="str">
        <f>VLOOKUP(B2098,'PO with created By ASR'!A:K,8,FALSE)</f>
        <v>Purchase Order-Mum</v>
      </c>
      <c r="N2098" t="s">
        <v>36</v>
      </c>
      <c r="P2098" s="2">
        <v>6</v>
      </c>
    </row>
    <row r="2099" s="2" customFormat="1" spans="1:16">
      <c r="A2099" s="8"/>
      <c r="B2099" s="9" t="s">
        <v>3292</v>
      </c>
      <c r="C2099" s="10" t="s">
        <v>151</v>
      </c>
      <c r="D2099" s="11">
        <v>1</v>
      </c>
      <c r="E2099" s="12">
        <v>9000</v>
      </c>
      <c r="F2099" s="13">
        <v>9000</v>
      </c>
      <c r="G2099" s="2">
        <f>VLOOKUP(B2099,'PO with created By ASR'!A:C,3,FALSE)</f>
        <v>45705</v>
      </c>
      <c r="J2099" s="2" t="str">
        <f>VLOOKUP(B2099,'PO with created By ASR'!A:G,4,FALSE)</f>
        <v>A A Fur1044835 Neetu Prakash Poojaryre(Abbas Abdul Hussain Ujjainwala)-Mum</v>
      </c>
      <c r="K2099" s="2" t="str">
        <f>VLOOKUP(B2099,'PO with created By ASR'!A:I,6,FALSE)</f>
        <v>11018 A A Fur1044835 Neetu Prakash Poojaryre (Abbas Abdul Hussain Ujjainwala)</v>
      </c>
      <c r="L2099" s="2" t="str">
        <f>VLOOKUP(B2099,'PO with created By ASR'!A:J,7,FALSE)</f>
        <v>A - Mumbai</v>
      </c>
      <c r="M2099" s="2" t="str">
        <f>VLOOKUP(B2099,'PO with created By ASR'!A:K,8,FALSE)</f>
        <v>Purchase Order-Mum</v>
      </c>
      <c r="N2099" t="s">
        <v>36</v>
      </c>
      <c r="P2099" s="2">
        <v>6</v>
      </c>
    </row>
    <row r="2100" s="2" customFormat="1" spans="1:16">
      <c r="A2100" s="8"/>
      <c r="B2100" s="9" t="s">
        <v>3293</v>
      </c>
      <c r="C2100" s="10" t="s">
        <v>371</v>
      </c>
      <c r="D2100" s="11">
        <v>1</v>
      </c>
      <c r="E2100" s="12">
        <v>170000</v>
      </c>
      <c r="F2100" s="13">
        <v>170000</v>
      </c>
      <c r="G2100" s="2">
        <f>VLOOKUP(B2100,'PO with created By ASR'!A:C,3,FALSE)</f>
        <v>45705</v>
      </c>
      <c r="J2100" s="2" t="str">
        <f>VLOOKUP(B2100,'PO with created By ASR'!A:G,4,FALSE)</f>
        <v>Specs Care Audio Visual Pvt Ltd-Mum</v>
      </c>
      <c r="K2100" s="2" t="str">
        <f>VLOOKUP(B2100,'PO with created By ASR'!A:I,6,FALSE)</f>
        <v>12434  Specs Care Audio Visual Pvt Ltd</v>
      </c>
      <c r="L2100" s="2" t="str">
        <f>VLOOKUP(B2100,'PO with created By ASR'!A:J,7,FALSE)</f>
        <v>A - Mumbai</v>
      </c>
      <c r="M2100" s="2" t="str">
        <f>VLOOKUP(B2100,'PO with created By ASR'!A:K,8,FALSE)</f>
        <v>Purchase Order-Mum</v>
      </c>
      <c r="N2100" t="s">
        <v>36</v>
      </c>
      <c r="P2100" s="2">
        <v>6</v>
      </c>
    </row>
    <row r="2101" s="2" customFormat="1" spans="1:16">
      <c r="A2101" s="8"/>
      <c r="B2101" s="9" t="s">
        <v>3294</v>
      </c>
      <c r="C2101" s="10" t="s">
        <v>292</v>
      </c>
      <c r="D2101" s="11">
        <v>1</v>
      </c>
      <c r="E2101" s="12">
        <v>9500</v>
      </c>
      <c r="F2101" s="13">
        <v>9500</v>
      </c>
      <c r="G2101" s="2">
        <f>VLOOKUP(B2101,'PO with created By ASR'!A:C,3,FALSE)</f>
        <v>45705</v>
      </c>
      <c r="J2101" s="2" t="str">
        <f>VLOOKUP(B2101,'PO with created By ASR'!A:G,4,FALSE)</f>
        <v>Abdul Shahid Shaikh-Mum</v>
      </c>
      <c r="K2101" s="2" t="str">
        <f>VLOOKUP(B2101,'PO with created By ASR'!A:I,6,FALSE)</f>
        <v>10107 Abdul Shahid Shaikh</v>
      </c>
      <c r="L2101" s="2" t="str">
        <f>VLOOKUP(B2101,'PO with created By ASR'!A:J,7,FALSE)</f>
        <v>A - Mumbai</v>
      </c>
      <c r="M2101" s="2" t="str">
        <f>VLOOKUP(B2101,'PO with created By ASR'!A:K,8,FALSE)</f>
        <v>Purchase Order-Mum</v>
      </c>
      <c r="N2101" t="s">
        <v>36</v>
      </c>
      <c r="P2101" s="2">
        <v>6</v>
      </c>
    </row>
    <row r="2102" s="2" customFormat="1" spans="1:16">
      <c r="A2102" s="8"/>
      <c r="B2102" s="9" t="s">
        <v>3295</v>
      </c>
      <c r="C2102" s="10" t="s">
        <v>401</v>
      </c>
      <c r="D2102" s="11">
        <v>1</v>
      </c>
      <c r="E2102" s="12">
        <v>9500</v>
      </c>
      <c r="F2102" s="13">
        <v>9500</v>
      </c>
      <c r="G2102" s="2">
        <f>VLOOKUP(B2102,'PO with created By ASR'!A:C,3,FALSE)</f>
        <v>45705</v>
      </c>
      <c r="J2102" s="2" t="str">
        <f>VLOOKUP(B2102,'PO with created By ASR'!A:G,4,FALSE)</f>
        <v>Vinit Video Vision-Mum</v>
      </c>
      <c r="K2102" s="2" t="str">
        <f>VLOOKUP(B2102,'PO with created By ASR'!A:I,6,FALSE)</f>
        <v>10235 Vinit Video Vision</v>
      </c>
      <c r="L2102" s="2" t="str">
        <f>VLOOKUP(B2102,'PO with created By ASR'!A:J,7,FALSE)</f>
        <v>A - Mumbai</v>
      </c>
      <c r="M2102" s="2" t="str">
        <f>VLOOKUP(B2102,'PO with created By ASR'!A:K,8,FALSE)</f>
        <v>Purchase Order-Mum</v>
      </c>
      <c r="N2102" t="s">
        <v>36</v>
      </c>
      <c r="P2102" s="2">
        <v>6</v>
      </c>
    </row>
    <row r="2103" s="2" customFormat="1" spans="1:16">
      <c r="A2103" s="8"/>
      <c r="B2103" s="9" t="s">
        <v>3296</v>
      </c>
      <c r="C2103" s="10" t="s">
        <v>140</v>
      </c>
      <c r="D2103" s="11">
        <v>1</v>
      </c>
      <c r="E2103" s="12">
        <v>1100000</v>
      </c>
      <c r="F2103" s="13">
        <v>1100000</v>
      </c>
      <c r="G2103" s="2">
        <f>VLOOKUP(B2103,'PO with created By ASR'!A:C,3,FALSE)</f>
        <v>45705</v>
      </c>
      <c r="J2103" s="2" t="str">
        <f>VLOOKUP(B2103,'PO with created By ASR'!A:G,4,FALSE)</f>
        <v>V Touch Business Solution-Mum</v>
      </c>
      <c r="K2103" s="2" t="str">
        <f>VLOOKUP(B2103,'PO with created By ASR'!A:I,6,FALSE)</f>
        <v>12980 V Touch Business Solution</v>
      </c>
      <c r="L2103" s="2" t="str">
        <f>VLOOKUP(B2103,'PO with created By ASR'!A:J,7,FALSE)</f>
        <v>A - Mumbai</v>
      </c>
      <c r="M2103" s="2" t="str">
        <f>VLOOKUP(B2103,'PO with created By ASR'!A:K,8,FALSE)</f>
        <v>Purchase Order-Mum</v>
      </c>
      <c r="N2103" t="s">
        <v>36</v>
      </c>
      <c r="P2103" s="2">
        <v>6</v>
      </c>
    </row>
    <row r="2104" s="2" customFormat="1" spans="1:16">
      <c r="A2104" s="8"/>
      <c r="B2104" s="9" t="s">
        <v>3301</v>
      </c>
      <c r="C2104" s="10" t="s">
        <v>126</v>
      </c>
      <c r="D2104" s="11">
        <v>1</v>
      </c>
      <c r="E2104" s="12">
        <v>450</v>
      </c>
      <c r="F2104" s="13">
        <v>450</v>
      </c>
      <c r="G2104" s="2">
        <f>VLOOKUP(B2104,'PO with created By ASR'!A:C,3,FALSE)</f>
        <v>45705</v>
      </c>
      <c r="J2104" s="2" t="str">
        <f>VLOOKUP(B2104,'PO with created By ASR'!A:G,4,FALSE)</f>
        <v>Pranil Buva  -CR</v>
      </c>
      <c r="K2104" s="2" t="e">
        <f>VLOOKUP(B2104,'PO with created By ASR'!A:I,6,FALSE)</f>
        <v>#N/A</v>
      </c>
      <c r="L2104" s="2" t="str">
        <f>VLOOKUP(B2104,'PO with created By ASR'!A:J,7,FALSE)</f>
        <v>A - Mumbai</v>
      </c>
      <c r="M2104" s="2" t="str">
        <f>VLOOKUP(B2104,'PO with created By ASR'!A:K,8,FALSE)</f>
        <v>Purchase Order-Mum</v>
      </c>
      <c r="N2104" t="s">
        <v>36</v>
      </c>
      <c r="P2104" s="2">
        <v>6</v>
      </c>
    </row>
    <row r="2105" s="2" customFormat="1" spans="1:16">
      <c r="A2105" s="8"/>
      <c r="B2105" s="9" t="s">
        <v>3301</v>
      </c>
      <c r="C2105" s="10" t="s">
        <v>412</v>
      </c>
      <c r="D2105" s="11">
        <v>1</v>
      </c>
      <c r="E2105" s="12">
        <v>3577</v>
      </c>
      <c r="F2105" s="13">
        <v>3577</v>
      </c>
      <c r="G2105" s="2">
        <f>VLOOKUP(B2105,'PO with created By ASR'!A:C,3,FALSE)</f>
        <v>45705</v>
      </c>
      <c r="J2105" s="2" t="str">
        <f>VLOOKUP(B2105,'PO with created By ASR'!A:G,4,FALSE)</f>
        <v>Pranil Buva  -CR</v>
      </c>
      <c r="K2105" s="2" t="e">
        <f>VLOOKUP(B2105,'PO with created By ASR'!A:I,6,FALSE)</f>
        <v>#N/A</v>
      </c>
      <c r="L2105" s="2" t="str">
        <f>VLOOKUP(B2105,'PO with created By ASR'!A:J,7,FALSE)</f>
        <v>A - Mumbai</v>
      </c>
      <c r="M2105" s="2" t="str">
        <f>VLOOKUP(B2105,'PO with created By ASR'!A:K,8,FALSE)</f>
        <v>Purchase Order-Mum</v>
      </c>
      <c r="N2105" t="s">
        <v>36</v>
      </c>
      <c r="P2105" s="2">
        <v>6</v>
      </c>
    </row>
    <row r="2106" s="2" customFormat="1" spans="1:16">
      <c r="A2106" s="8"/>
      <c r="B2106" s="9" t="s">
        <v>3302</v>
      </c>
      <c r="C2106" s="10" t="s">
        <v>126</v>
      </c>
      <c r="D2106" s="11">
        <v>1</v>
      </c>
      <c r="E2106" s="12">
        <v>3856.45</v>
      </c>
      <c r="F2106" s="13">
        <v>3856.45</v>
      </c>
      <c r="G2106" s="2">
        <f>VLOOKUP(B2106,'PO with created By ASR'!A:C,3,FALSE)</f>
        <v>45705</v>
      </c>
      <c r="J2106" s="2" t="str">
        <f>VLOOKUP(B2106,'PO with created By ASR'!A:G,4,FALSE)</f>
        <v>Anita Singh  -CR</v>
      </c>
      <c r="K2106" s="2" t="e">
        <f>VLOOKUP(B2106,'PO with created By ASR'!A:I,6,FALSE)</f>
        <v>#N/A</v>
      </c>
      <c r="L2106" s="2" t="str">
        <f>VLOOKUP(B2106,'PO with created By ASR'!A:J,7,FALSE)</f>
        <v>A - Mumbai</v>
      </c>
      <c r="M2106" s="2" t="str">
        <f>VLOOKUP(B2106,'PO with created By ASR'!A:K,8,FALSE)</f>
        <v>Purchase Order-Mum</v>
      </c>
      <c r="N2106" t="s">
        <v>36</v>
      </c>
      <c r="P2106" s="2">
        <v>6</v>
      </c>
    </row>
    <row r="2107" s="2" customFormat="1" spans="1:16">
      <c r="A2107" s="8"/>
      <c r="B2107" s="9" t="s">
        <v>3302</v>
      </c>
      <c r="C2107" s="10" t="s">
        <v>412</v>
      </c>
      <c r="D2107" s="11">
        <v>1</v>
      </c>
      <c r="E2107" s="12">
        <v>1403.84</v>
      </c>
      <c r="F2107" s="13">
        <v>1403.84</v>
      </c>
      <c r="G2107" s="2">
        <f>VLOOKUP(B2107,'PO with created By ASR'!A:C,3,FALSE)</f>
        <v>45705</v>
      </c>
      <c r="J2107" s="2" t="str">
        <f>VLOOKUP(B2107,'PO with created By ASR'!A:G,4,FALSE)</f>
        <v>Anita Singh  -CR</v>
      </c>
      <c r="K2107" s="2" t="e">
        <f>VLOOKUP(B2107,'PO with created By ASR'!A:I,6,FALSE)</f>
        <v>#N/A</v>
      </c>
      <c r="L2107" s="2" t="str">
        <f>VLOOKUP(B2107,'PO with created By ASR'!A:J,7,FALSE)</f>
        <v>A - Mumbai</v>
      </c>
      <c r="M2107" s="2" t="str">
        <f>VLOOKUP(B2107,'PO with created By ASR'!A:K,8,FALSE)</f>
        <v>Purchase Order-Mum</v>
      </c>
      <c r="N2107" t="s">
        <v>36</v>
      </c>
      <c r="P2107" s="2">
        <v>6</v>
      </c>
    </row>
    <row r="2108" s="2" customFormat="1" spans="1:16">
      <c r="A2108" s="8"/>
      <c r="B2108" s="9" t="s">
        <v>3304</v>
      </c>
      <c r="C2108" s="10" t="s">
        <v>126</v>
      </c>
      <c r="D2108" s="11">
        <v>1</v>
      </c>
      <c r="E2108" s="12">
        <v>5948</v>
      </c>
      <c r="F2108" s="13">
        <v>5948</v>
      </c>
      <c r="G2108" s="2">
        <f>VLOOKUP(B2108,'PO with created By ASR'!A:C,3,FALSE)</f>
        <v>45705</v>
      </c>
      <c r="J2108" s="2" t="str">
        <f>VLOOKUP(B2108,'PO with created By ASR'!A:G,4,FALSE)</f>
        <v>Krisha Chheda  -CR</v>
      </c>
      <c r="K2108" s="2" t="e">
        <f>VLOOKUP(B2108,'PO with created By ASR'!A:I,6,FALSE)</f>
        <v>#N/A</v>
      </c>
      <c r="L2108" s="2" t="str">
        <f>VLOOKUP(B2108,'PO with created By ASR'!A:J,7,FALSE)</f>
        <v>A - Mumbai</v>
      </c>
      <c r="M2108" s="2" t="str">
        <f>VLOOKUP(B2108,'PO with created By ASR'!A:K,8,FALSE)</f>
        <v>Purchase Order-Mum</v>
      </c>
      <c r="N2108" t="s">
        <v>36</v>
      </c>
      <c r="P2108" s="2">
        <v>6</v>
      </c>
    </row>
    <row r="2109" s="2" customFormat="1" spans="1:16">
      <c r="A2109" s="8"/>
      <c r="B2109" s="9" t="s">
        <v>3304</v>
      </c>
      <c r="C2109" s="10" t="s">
        <v>412</v>
      </c>
      <c r="D2109" s="11">
        <v>1</v>
      </c>
      <c r="E2109" s="12">
        <v>705</v>
      </c>
      <c r="F2109" s="13">
        <v>705</v>
      </c>
      <c r="G2109" s="2">
        <f>VLOOKUP(B2109,'PO with created By ASR'!A:C,3,FALSE)</f>
        <v>45705</v>
      </c>
      <c r="J2109" s="2" t="str">
        <f>VLOOKUP(B2109,'PO with created By ASR'!A:G,4,FALSE)</f>
        <v>Krisha Chheda  -CR</v>
      </c>
      <c r="K2109" s="2" t="e">
        <f>VLOOKUP(B2109,'PO with created By ASR'!A:I,6,FALSE)</f>
        <v>#N/A</v>
      </c>
      <c r="L2109" s="2" t="str">
        <f>VLOOKUP(B2109,'PO with created By ASR'!A:J,7,FALSE)</f>
        <v>A - Mumbai</v>
      </c>
      <c r="M2109" s="2" t="str">
        <f>VLOOKUP(B2109,'PO with created By ASR'!A:K,8,FALSE)</f>
        <v>Purchase Order-Mum</v>
      </c>
      <c r="N2109" t="s">
        <v>36</v>
      </c>
      <c r="P2109" s="2">
        <v>6</v>
      </c>
    </row>
    <row r="2110" s="2" customFormat="1" spans="1:16">
      <c r="A2110" s="8"/>
      <c r="B2110" s="9" t="s">
        <v>3305</v>
      </c>
      <c r="C2110" s="10" t="s">
        <v>317</v>
      </c>
      <c r="D2110" s="11">
        <v>1</v>
      </c>
      <c r="E2110" s="12">
        <v>6500</v>
      </c>
      <c r="F2110" s="13">
        <v>6500</v>
      </c>
      <c r="G2110" s="2">
        <f>VLOOKUP(B2110,'PO with created By ASR'!A:C,3,FALSE)</f>
        <v>45705</v>
      </c>
      <c r="J2110" s="2" t="str">
        <f>VLOOKUP(B2110,'PO with created By ASR'!A:G,4,FALSE)</f>
        <v>Sanil Thombare -CR</v>
      </c>
      <c r="K2110" s="2" t="e">
        <f>VLOOKUP(B2110,'PO with created By ASR'!A:I,6,FALSE)</f>
        <v>#N/A</v>
      </c>
      <c r="L2110" s="2" t="str">
        <f>VLOOKUP(B2110,'PO with created By ASR'!A:J,7,FALSE)</f>
        <v>A - Mumbai</v>
      </c>
      <c r="M2110" s="2" t="str">
        <f>VLOOKUP(B2110,'PO with created By ASR'!A:K,8,FALSE)</f>
        <v>Purchase Order-Mum</v>
      </c>
      <c r="N2110" t="s">
        <v>36</v>
      </c>
      <c r="P2110" s="2">
        <v>6</v>
      </c>
    </row>
    <row r="2111" s="2" customFormat="1" spans="1:16">
      <c r="A2111" s="8"/>
      <c r="B2111" s="9" t="s">
        <v>3306</v>
      </c>
      <c r="C2111" s="10" t="s">
        <v>317</v>
      </c>
      <c r="D2111" s="11">
        <v>1</v>
      </c>
      <c r="E2111" s="12">
        <v>3365</v>
      </c>
      <c r="F2111" s="13">
        <v>3365</v>
      </c>
      <c r="G2111" s="2">
        <f>VLOOKUP(B2111,'PO with created By ASR'!A:C,3,FALSE)</f>
        <v>45705</v>
      </c>
      <c r="J2111" s="2" t="str">
        <f>VLOOKUP(B2111,'PO with created By ASR'!A:G,4,FALSE)</f>
        <v>Santosh Bhogal Cash  -CR</v>
      </c>
      <c r="K2111" s="2" t="e">
        <f>VLOOKUP(B2111,'PO with created By ASR'!A:I,6,FALSE)</f>
        <v>#N/A</v>
      </c>
      <c r="L2111" s="2" t="str">
        <f>VLOOKUP(B2111,'PO with created By ASR'!A:J,7,FALSE)</f>
        <v>A - Mumbai</v>
      </c>
      <c r="M2111" s="2" t="str">
        <f>VLOOKUP(B2111,'PO with created By ASR'!A:K,8,FALSE)</f>
        <v>Purchase Order-Mum</v>
      </c>
      <c r="N2111" t="s">
        <v>36</v>
      </c>
      <c r="P2111" s="2">
        <v>6</v>
      </c>
    </row>
    <row r="2112" s="2" customFormat="1" spans="1:16">
      <c r="A2112" s="8"/>
      <c r="B2112" s="9" t="s">
        <v>3306</v>
      </c>
      <c r="C2112" s="10" t="s">
        <v>126</v>
      </c>
      <c r="D2112" s="11">
        <v>1</v>
      </c>
      <c r="E2112" s="12">
        <v>1154</v>
      </c>
      <c r="F2112" s="13">
        <v>1154</v>
      </c>
      <c r="G2112" s="2">
        <f>VLOOKUP(B2112,'PO with created By ASR'!A:C,3,FALSE)</f>
        <v>45705</v>
      </c>
      <c r="J2112" s="2" t="str">
        <f>VLOOKUP(B2112,'PO with created By ASR'!A:G,4,FALSE)</f>
        <v>Santosh Bhogal Cash  -CR</v>
      </c>
      <c r="K2112" s="2" t="e">
        <f>VLOOKUP(B2112,'PO with created By ASR'!A:I,6,FALSE)</f>
        <v>#N/A</v>
      </c>
      <c r="L2112" s="2" t="str">
        <f>VLOOKUP(B2112,'PO with created By ASR'!A:J,7,FALSE)</f>
        <v>A - Mumbai</v>
      </c>
      <c r="M2112" s="2" t="str">
        <f>VLOOKUP(B2112,'PO with created By ASR'!A:K,8,FALSE)</f>
        <v>Purchase Order-Mum</v>
      </c>
      <c r="N2112" t="s">
        <v>36</v>
      </c>
      <c r="P2112" s="2">
        <v>6</v>
      </c>
    </row>
    <row r="2113" s="2" customFormat="1" spans="1:16">
      <c r="A2113" s="8"/>
      <c r="B2113" s="9" t="s">
        <v>3307</v>
      </c>
      <c r="C2113" s="10" t="s">
        <v>126</v>
      </c>
      <c r="D2113" s="11">
        <v>1</v>
      </c>
      <c r="E2113" s="12">
        <v>6159</v>
      </c>
      <c r="F2113" s="13">
        <v>6159</v>
      </c>
      <c r="G2113" s="2">
        <f>VLOOKUP(B2113,'PO with created By ASR'!A:C,3,FALSE)</f>
        <v>45705</v>
      </c>
      <c r="J2113" s="2" t="str">
        <f>VLOOKUP(B2113,'PO with created By ASR'!A:G,4,FALSE)</f>
        <v>Abhimanyu Awate -CR</v>
      </c>
      <c r="K2113" s="2" t="e">
        <f>VLOOKUP(B2113,'PO with created By ASR'!A:I,6,FALSE)</f>
        <v>#N/A</v>
      </c>
      <c r="L2113" s="2" t="str">
        <f>VLOOKUP(B2113,'PO with created By ASR'!A:J,7,FALSE)</f>
        <v>A - Mumbai</v>
      </c>
      <c r="M2113" s="2" t="str">
        <f>VLOOKUP(B2113,'PO with created By ASR'!A:K,8,FALSE)</f>
        <v>Purchase Order-Mum</v>
      </c>
      <c r="N2113" t="s">
        <v>36</v>
      </c>
      <c r="P2113" s="2">
        <v>6</v>
      </c>
    </row>
    <row r="2114" s="2" customFormat="1" spans="1:16">
      <c r="A2114" s="8"/>
      <c r="B2114" s="9" t="s">
        <v>3308</v>
      </c>
      <c r="C2114" s="10" t="s">
        <v>256</v>
      </c>
      <c r="D2114" s="11">
        <v>1</v>
      </c>
      <c r="E2114" s="12">
        <v>55500</v>
      </c>
      <c r="F2114" s="13">
        <v>55500</v>
      </c>
      <c r="G2114" s="2">
        <f>VLOOKUP(B2114,'PO with created By ASR'!A:C,3,FALSE)</f>
        <v>45705</v>
      </c>
      <c r="J2114" s="2" t="str">
        <f>VLOOKUP(B2114,'PO with created By ASR'!A:G,4,FALSE)</f>
        <v>Phonographic Performance Limited-Mum</v>
      </c>
      <c r="K2114" s="2" t="e">
        <f>VLOOKUP(B2114,'PO with created By ASR'!A:I,6,FALSE)</f>
        <v>#N/A</v>
      </c>
      <c r="L2114" s="2" t="str">
        <f>VLOOKUP(B2114,'PO with created By ASR'!A:J,7,FALSE)</f>
        <v>A - Mumbai</v>
      </c>
      <c r="M2114" s="2" t="str">
        <f>VLOOKUP(B2114,'PO with created By ASR'!A:K,8,FALSE)</f>
        <v>Purchase Order-Mum</v>
      </c>
      <c r="N2114" t="s">
        <v>36</v>
      </c>
      <c r="P2114" s="2">
        <v>6</v>
      </c>
    </row>
    <row r="2115" s="2" customFormat="1" spans="1:16">
      <c r="A2115" s="8"/>
      <c r="B2115" s="9" t="s">
        <v>3309</v>
      </c>
      <c r="C2115" s="10" t="s">
        <v>256</v>
      </c>
      <c r="D2115" s="11">
        <v>1</v>
      </c>
      <c r="E2115" s="12">
        <v>60000</v>
      </c>
      <c r="F2115" s="13">
        <v>60000</v>
      </c>
      <c r="G2115" s="2">
        <f>VLOOKUP(B2115,'PO with created By ASR'!A:C,3,FALSE)</f>
        <v>45705</v>
      </c>
      <c r="J2115" s="2" t="str">
        <f>VLOOKUP(B2115,'PO with created By ASR'!A:G,4,FALSE)</f>
        <v>Novex Communications Pvt. Ltd.-Mum</v>
      </c>
      <c r="K2115" s="2" t="e">
        <f>VLOOKUP(B2115,'PO with created By ASR'!A:I,6,FALSE)</f>
        <v>#N/A</v>
      </c>
      <c r="L2115" s="2" t="str">
        <f>VLOOKUP(B2115,'PO with created By ASR'!A:J,7,FALSE)</f>
        <v>A - Mumbai</v>
      </c>
      <c r="M2115" s="2" t="str">
        <f>VLOOKUP(B2115,'PO with created By ASR'!A:K,8,FALSE)</f>
        <v>Purchase Order-Mum</v>
      </c>
      <c r="N2115" t="s">
        <v>36</v>
      </c>
      <c r="P2115" s="2">
        <v>6</v>
      </c>
    </row>
    <row r="2116" s="2" customFormat="1" spans="1:16">
      <c r="A2116" s="8"/>
      <c r="B2116" s="9" t="s">
        <v>3310</v>
      </c>
      <c r="C2116" s="10" t="s">
        <v>256</v>
      </c>
      <c r="D2116" s="11">
        <v>1</v>
      </c>
      <c r="E2116" s="12">
        <v>25000</v>
      </c>
      <c r="F2116" s="13">
        <v>25000</v>
      </c>
      <c r="G2116" s="2">
        <f>VLOOKUP(B2116,'PO with created By ASR'!A:C,3,FALSE)</f>
        <v>45705</v>
      </c>
      <c r="J2116" s="2" t="str">
        <f>VLOOKUP(B2116,'PO with created By ASR'!A:G,4,FALSE)</f>
        <v>Recorded Music Performance Ltd-Mum</v>
      </c>
      <c r="K2116" s="2" t="str">
        <f>VLOOKUP(B2116,'PO with created By ASR'!A:I,6,FALSE)</f>
        <v>10856  Recorded Music Performance Ltd</v>
      </c>
      <c r="L2116" s="2" t="str">
        <f>VLOOKUP(B2116,'PO with created By ASR'!A:J,7,FALSE)</f>
        <v>A - Mumbai</v>
      </c>
      <c r="M2116" s="2" t="str">
        <f>VLOOKUP(B2116,'PO with created By ASR'!A:K,8,FALSE)</f>
        <v>Purchase Order-Mum</v>
      </c>
      <c r="N2116" t="s">
        <v>36</v>
      </c>
      <c r="P2116" s="2">
        <v>6</v>
      </c>
    </row>
    <row r="2117" s="2" customFormat="1" spans="1:16">
      <c r="A2117" s="8"/>
      <c r="B2117" s="9" t="s">
        <v>3311</v>
      </c>
      <c r="C2117" s="10" t="s">
        <v>256</v>
      </c>
      <c r="D2117" s="11">
        <v>1</v>
      </c>
      <c r="E2117" s="12">
        <v>25000</v>
      </c>
      <c r="F2117" s="13">
        <v>25000</v>
      </c>
      <c r="G2117" s="2">
        <f>VLOOKUP(B2117,'PO with created By ASR'!A:C,3,FALSE)</f>
        <v>45705</v>
      </c>
      <c r="J2117" s="2" t="str">
        <f>VLOOKUP(B2117,'PO with created By ASR'!A:G,4,FALSE)</f>
        <v>Recorded Music Performance Ltd-Mum</v>
      </c>
      <c r="K2117" s="2" t="str">
        <f>VLOOKUP(B2117,'PO with created By ASR'!A:I,6,FALSE)</f>
        <v>10856  Recorded Music Performance Ltd</v>
      </c>
      <c r="L2117" s="2" t="str">
        <f>VLOOKUP(B2117,'PO with created By ASR'!A:J,7,FALSE)</f>
        <v>A - Mumbai</v>
      </c>
      <c r="M2117" s="2" t="str">
        <f>VLOOKUP(B2117,'PO with created By ASR'!A:K,8,FALSE)</f>
        <v>Purchase Order-Mum</v>
      </c>
      <c r="N2117" t="s">
        <v>36</v>
      </c>
      <c r="P2117" s="2">
        <v>6</v>
      </c>
    </row>
    <row r="2118" s="2" customFormat="1" spans="1:16">
      <c r="A2118" s="8"/>
      <c r="B2118" s="9" t="s">
        <v>3313</v>
      </c>
      <c r="C2118" s="10" t="s">
        <v>256</v>
      </c>
      <c r="D2118" s="11">
        <v>1</v>
      </c>
      <c r="E2118" s="12">
        <v>30000</v>
      </c>
      <c r="F2118" s="13">
        <v>30000</v>
      </c>
      <c r="G2118" s="2">
        <f>VLOOKUP(B2118,'PO with created By ASR'!A:C,3,FALSE)</f>
        <v>45705</v>
      </c>
      <c r="J2118" s="2" t="str">
        <f>VLOOKUP(B2118,'PO with created By ASR'!A:G,4,FALSE)</f>
        <v>The Indian Performing Right Society Ltd.-Mum</v>
      </c>
      <c r="K2118" s="2" t="e">
        <f>VLOOKUP(B2118,'PO with created By ASR'!A:I,6,FALSE)</f>
        <v>#N/A</v>
      </c>
      <c r="L2118" s="2" t="str">
        <f>VLOOKUP(B2118,'PO with created By ASR'!A:J,7,FALSE)</f>
        <v>A - Mumbai</v>
      </c>
      <c r="M2118" s="2" t="str">
        <f>VLOOKUP(B2118,'PO with created By ASR'!A:K,8,FALSE)</f>
        <v>Purchase Order-Mum</v>
      </c>
      <c r="N2118" t="s">
        <v>36</v>
      </c>
      <c r="P2118" s="2">
        <v>6</v>
      </c>
    </row>
    <row r="2119" s="2" customFormat="1" spans="1:16">
      <c r="A2119" s="8"/>
      <c r="B2119" s="9" t="s">
        <v>3314</v>
      </c>
      <c r="C2119" s="10" t="s">
        <v>256</v>
      </c>
      <c r="D2119" s="11">
        <v>1</v>
      </c>
      <c r="E2119" s="12">
        <v>55500</v>
      </c>
      <c r="F2119" s="13">
        <v>55500</v>
      </c>
      <c r="G2119" s="2">
        <f>VLOOKUP(B2119,'PO with created By ASR'!A:C,3,FALSE)</f>
        <v>45705</v>
      </c>
      <c r="J2119" s="2" t="str">
        <f>VLOOKUP(B2119,'PO with created By ASR'!A:G,4,FALSE)</f>
        <v>Phonographic Performance Limited-Mum</v>
      </c>
      <c r="K2119" s="2" t="e">
        <f>VLOOKUP(B2119,'PO with created By ASR'!A:I,6,FALSE)</f>
        <v>#N/A</v>
      </c>
      <c r="L2119" s="2" t="str">
        <f>VLOOKUP(B2119,'PO with created By ASR'!A:J,7,FALSE)</f>
        <v>A - Mumbai</v>
      </c>
      <c r="M2119" s="2" t="str">
        <f>VLOOKUP(B2119,'PO with created By ASR'!A:K,8,FALSE)</f>
        <v>Purchase Order-Mum</v>
      </c>
      <c r="N2119" t="s">
        <v>36</v>
      </c>
      <c r="P2119" s="2">
        <v>6</v>
      </c>
    </row>
    <row r="2120" s="2" customFormat="1" spans="1:16">
      <c r="A2120" s="8"/>
      <c r="B2120" s="9" t="s">
        <v>3315</v>
      </c>
      <c r="C2120" s="10" t="s">
        <v>256</v>
      </c>
      <c r="D2120" s="11">
        <v>1</v>
      </c>
      <c r="E2120" s="12">
        <v>46500</v>
      </c>
      <c r="F2120" s="13">
        <v>46500</v>
      </c>
      <c r="G2120" s="2">
        <f>VLOOKUP(B2120,'PO with created By ASR'!A:C,3,FALSE)</f>
        <v>45705</v>
      </c>
      <c r="J2120" s="2" t="str">
        <f>VLOOKUP(B2120,'PO with created By ASR'!A:G,4,FALSE)</f>
        <v>Novex Communications Pvt. Ltd.-Mum</v>
      </c>
      <c r="K2120" s="2" t="e">
        <f>VLOOKUP(B2120,'PO with created By ASR'!A:I,6,FALSE)</f>
        <v>#N/A</v>
      </c>
      <c r="L2120" s="2" t="str">
        <f>VLOOKUP(B2120,'PO with created By ASR'!A:J,7,FALSE)</f>
        <v>A - Mumbai</v>
      </c>
      <c r="M2120" s="2" t="str">
        <f>VLOOKUP(B2120,'PO with created By ASR'!A:K,8,FALSE)</f>
        <v>Purchase Order-Mum</v>
      </c>
      <c r="N2120" t="s">
        <v>36</v>
      </c>
      <c r="P2120" s="2">
        <v>6</v>
      </c>
    </row>
    <row r="2121" s="2" customFormat="1" spans="1:16">
      <c r="A2121" s="8"/>
      <c r="B2121" s="9" t="s">
        <v>3316</v>
      </c>
      <c r="C2121" s="10" t="s">
        <v>140</v>
      </c>
      <c r="D2121" s="11">
        <v>1</v>
      </c>
      <c r="E2121" s="12">
        <v>120000</v>
      </c>
      <c r="F2121" s="13">
        <v>120000</v>
      </c>
      <c r="G2121" s="2">
        <f>VLOOKUP(B2121,'PO with created By ASR'!A:C,3,FALSE)</f>
        <v>45706</v>
      </c>
      <c r="J2121" s="2" t="str">
        <f>VLOOKUP(B2121,'PO with created By ASR'!A:G,4,FALSE)</f>
        <v>Megascule-Blr</v>
      </c>
      <c r="K2121" s="2" t="e">
        <f>VLOOKUP(B2121,'PO with created By ASR'!A:I,6,FALSE)</f>
        <v>#N/A</v>
      </c>
      <c r="L2121" s="2" t="str">
        <f>VLOOKUP(B2121,'PO with created By ASR'!A:J,7,FALSE)</f>
        <v>B - Bangalore</v>
      </c>
      <c r="M2121" s="2" t="str">
        <f>VLOOKUP(B2121,'PO with created By ASR'!A:K,8,FALSE)</f>
        <v>Purchase Order-Blr</v>
      </c>
      <c r="N2121" t="s">
        <v>36</v>
      </c>
      <c r="P2121" s="2">
        <v>6</v>
      </c>
    </row>
    <row r="2122" s="2" customFormat="1" spans="1:16">
      <c r="A2122" s="8"/>
      <c r="B2122" s="9" t="s">
        <v>3316</v>
      </c>
      <c r="C2122" s="10" t="s">
        <v>205</v>
      </c>
      <c r="D2122" s="11">
        <v>1</v>
      </c>
      <c r="E2122" s="12">
        <v>8000</v>
      </c>
      <c r="F2122" s="13">
        <v>8000</v>
      </c>
      <c r="G2122" s="2">
        <f>VLOOKUP(B2122,'PO with created By ASR'!A:C,3,FALSE)</f>
        <v>45706</v>
      </c>
      <c r="J2122" s="2" t="str">
        <f>VLOOKUP(B2122,'PO with created By ASR'!A:G,4,FALSE)</f>
        <v>Megascule-Blr</v>
      </c>
      <c r="K2122" s="2" t="e">
        <f>VLOOKUP(B2122,'PO with created By ASR'!A:I,6,FALSE)</f>
        <v>#N/A</v>
      </c>
      <c r="L2122" s="2" t="str">
        <f>VLOOKUP(B2122,'PO with created By ASR'!A:J,7,FALSE)</f>
        <v>B - Bangalore</v>
      </c>
      <c r="M2122" s="2" t="str">
        <f>VLOOKUP(B2122,'PO with created By ASR'!A:K,8,FALSE)</f>
        <v>Purchase Order-Blr</v>
      </c>
      <c r="N2122" t="s">
        <v>36</v>
      </c>
      <c r="P2122" s="2">
        <v>6</v>
      </c>
    </row>
    <row r="2123" s="2" customFormat="1" spans="1:16">
      <c r="A2123" s="8"/>
      <c r="B2123" s="9" t="s">
        <v>3317</v>
      </c>
      <c r="C2123" s="10" t="s">
        <v>151</v>
      </c>
      <c r="D2123" s="11">
        <v>1</v>
      </c>
      <c r="E2123" s="12">
        <v>23000</v>
      </c>
      <c r="F2123" s="13">
        <v>23000</v>
      </c>
      <c r="G2123" s="2">
        <f>VLOOKUP(B2123,'PO with created By ASR'!A:C,3,FALSE)</f>
        <v>45706</v>
      </c>
      <c r="J2123" s="2" t="str">
        <f>VLOOKUP(B2123,'PO with created By ASR'!A:G,4,FALSE)</f>
        <v>Narsingh Events Pvt Ltd-Blr</v>
      </c>
      <c r="K2123" s="2" t="str">
        <f>VLOOKUP(B2123,'PO with created By ASR'!A:I,6,FALSE)</f>
        <v>12985  Narsingh Events Pvt Ltd</v>
      </c>
      <c r="L2123" s="2" t="str">
        <f>VLOOKUP(B2123,'PO with created By ASR'!A:J,7,FALSE)</f>
        <v>B - Bangalore</v>
      </c>
      <c r="M2123" s="2" t="str">
        <f>VLOOKUP(B2123,'PO with created By ASR'!A:K,8,FALSE)</f>
        <v>Purchase Order-Blr</v>
      </c>
      <c r="N2123" t="s">
        <v>36</v>
      </c>
      <c r="P2123" s="2">
        <v>6</v>
      </c>
    </row>
    <row r="2124" s="2" customFormat="1" spans="1:16">
      <c r="A2124" s="8"/>
      <c r="B2124" s="9" t="s">
        <v>3320</v>
      </c>
      <c r="C2124" s="10" t="s">
        <v>371</v>
      </c>
      <c r="D2124" s="11">
        <v>1</v>
      </c>
      <c r="E2124" s="12">
        <v>120000</v>
      </c>
      <c r="F2124" s="13">
        <v>120000</v>
      </c>
      <c r="G2124" s="2">
        <f>VLOOKUP(B2124,'PO with created By ASR'!A:C,3,FALSE)</f>
        <v>45706</v>
      </c>
      <c r="J2124" s="2" t="str">
        <f>VLOOKUP(B2124,'PO with created By ASR'!A:G,4,FALSE)</f>
        <v>Sri Gangothri Video-Blr</v>
      </c>
      <c r="K2124" s="2" t="str">
        <f>VLOOKUP(B2124,'PO with created By ASR'!A:I,6,FALSE)</f>
        <v>12443 Sri Gangothri Video</v>
      </c>
      <c r="L2124" s="2" t="str">
        <f>VLOOKUP(B2124,'PO with created By ASR'!A:J,7,FALSE)</f>
        <v>B - Bangalore</v>
      </c>
      <c r="M2124" s="2" t="str">
        <f>VLOOKUP(B2124,'PO with created By ASR'!A:K,8,FALSE)</f>
        <v>Purchase Order-Blr</v>
      </c>
      <c r="N2124" t="s">
        <v>36</v>
      </c>
      <c r="P2124" s="2">
        <v>6</v>
      </c>
    </row>
    <row r="2125" s="2" customFormat="1" spans="1:16">
      <c r="A2125" s="8"/>
      <c r="B2125" s="9" t="s">
        <v>3321</v>
      </c>
      <c r="C2125" s="10" t="s">
        <v>990</v>
      </c>
      <c r="D2125" s="11">
        <v>1</v>
      </c>
      <c r="E2125" s="12">
        <v>1500</v>
      </c>
      <c r="F2125" s="13">
        <v>1500</v>
      </c>
      <c r="G2125" s="2">
        <f>VLOOKUP(B2125,'PO with created By ASR'!A:C,3,FALSE)</f>
        <v>45706</v>
      </c>
      <c r="J2125" s="2" t="str">
        <f>VLOOKUP(B2125,'PO with created By ASR'!A:G,4,FALSE)</f>
        <v>Infutech Solutions-Blr</v>
      </c>
      <c r="K2125" s="2" t="str">
        <f>VLOOKUP(B2125,'PO with created By ASR'!A:I,6,FALSE)</f>
        <v>12027 Infutech Solutions</v>
      </c>
      <c r="L2125" s="2" t="str">
        <f>VLOOKUP(B2125,'PO with created By ASR'!A:J,7,FALSE)</f>
        <v>B - Bangalore</v>
      </c>
      <c r="M2125" s="2" t="str">
        <f>VLOOKUP(B2125,'PO with created By ASR'!A:K,8,FALSE)</f>
        <v>Purchase Order-Blr</v>
      </c>
      <c r="N2125" t="s">
        <v>36</v>
      </c>
      <c r="P2125" s="2">
        <v>6</v>
      </c>
    </row>
    <row r="2126" s="2" customFormat="1" spans="1:16">
      <c r="A2126" s="8"/>
      <c r="B2126" s="9" t="s">
        <v>3322</v>
      </c>
      <c r="C2126" s="10" t="s">
        <v>371</v>
      </c>
      <c r="D2126" s="11">
        <v>1</v>
      </c>
      <c r="E2126" s="12">
        <v>560000</v>
      </c>
      <c r="F2126" s="13">
        <v>560000</v>
      </c>
      <c r="G2126" s="2">
        <f>VLOOKUP(B2126,'PO with created By ASR'!A:C,3,FALSE)</f>
        <v>45706</v>
      </c>
      <c r="J2126" s="2" t="str">
        <f>VLOOKUP(B2126,'PO with created By ASR'!A:G,4,FALSE)</f>
        <v>A V Links-Blr</v>
      </c>
      <c r="K2126" s="2" t="str">
        <f>VLOOKUP(B2126,'PO with created By ASR'!A:I,6,FALSE)</f>
        <v>11083 A V Links</v>
      </c>
      <c r="L2126" s="2" t="str">
        <f>VLOOKUP(B2126,'PO with created By ASR'!A:J,7,FALSE)</f>
        <v>B - Bangalore</v>
      </c>
      <c r="M2126" s="2" t="str">
        <f>VLOOKUP(B2126,'PO with created By ASR'!A:K,8,FALSE)</f>
        <v>Purchase Order-Blr</v>
      </c>
      <c r="N2126" t="s">
        <v>36</v>
      </c>
      <c r="P2126" s="2">
        <v>6</v>
      </c>
    </row>
    <row r="2127" s="2" customFormat="1" spans="1:16">
      <c r="A2127" s="8"/>
      <c r="B2127" s="9" t="s">
        <v>3323</v>
      </c>
      <c r="C2127" s="10" t="s">
        <v>151</v>
      </c>
      <c r="D2127" s="11">
        <v>1</v>
      </c>
      <c r="E2127" s="12">
        <v>13500</v>
      </c>
      <c r="F2127" s="13">
        <v>13500</v>
      </c>
      <c r="G2127" s="2">
        <f>VLOOKUP(B2127,'PO with created By ASR'!A:C,3,FALSE)</f>
        <v>45706</v>
      </c>
      <c r="J2127" s="2" t="str">
        <f>VLOOKUP(B2127,'PO with created By ASR'!A:G,4,FALSE)</f>
        <v>Narsingh Events Pvt Ltd-Blr</v>
      </c>
      <c r="K2127" s="2" t="str">
        <f>VLOOKUP(B2127,'PO with created By ASR'!A:I,6,FALSE)</f>
        <v>12985  Narsingh Events Pvt Ltd</v>
      </c>
      <c r="L2127" s="2" t="str">
        <f>VLOOKUP(B2127,'PO with created By ASR'!A:J,7,FALSE)</f>
        <v>B - Bangalore</v>
      </c>
      <c r="M2127" s="2" t="str">
        <f>VLOOKUP(B2127,'PO with created By ASR'!A:K,8,FALSE)</f>
        <v>Purchase Order-Blr</v>
      </c>
      <c r="N2127" t="s">
        <v>36</v>
      </c>
      <c r="P2127" s="2">
        <v>6</v>
      </c>
    </row>
    <row r="2128" s="2" customFormat="1" spans="1:16">
      <c r="A2128" s="8"/>
      <c r="B2128" s="9" t="s">
        <v>3325</v>
      </c>
      <c r="C2128" s="10" t="s">
        <v>151</v>
      </c>
      <c r="D2128" s="11">
        <v>1</v>
      </c>
      <c r="E2128" s="12">
        <v>30000</v>
      </c>
      <c r="F2128" s="13">
        <v>30000</v>
      </c>
      <c r="G2128" s="2">
        <f>VLOOKUP(B2128,'PO with created By ASR'!A:C,3,FALSE)</f>
        <v>45706</v>
      </c>
      <c r="J2128" s="2" t="str">
        <f>VLOOKUP(B2128,'PO with created By ASR'!A:G,4,FALSE)</f>
        <v>Narsingh Events Pvt Ltd-Blr</v>
      </c>
      <c r="K2128" s="2" t="str">
        <f>VLOOKUP(B2128,'PO with created By ASR'!A:I,6,FALSE)</f>
        <v>12985  Narsingh Events Pvt Ltd</v>
      </c>
      <c r="L2128" s="2" t="str">
        <f>VLOOKUP(B2128,'PO with created By ASR'!A:J,7,FALSE)</f>
        <v>B - Bangalore</v>
      </c>
      <c r="M2128" s="2" t="str">
        <f>VLOOKUP(B2128,'PO with created By ASR'!A:K,8,FALSE)</f>
        <v>Purchase Order-Blr</v>
      </c>
      <c r="N2128" t="s">
        <v>36</v>
      </c>
      <c r="P2128" s="2">
        <v>6</v>
      </c>
    </row>
    <row r="2129" s="2" customFormat="1" spans="1:16">
      <c r="A2129" s="8"/>
      <c r="B2129" s="9" t="s">
        <v>3326</v>
      </c>
      <c r="C2129" s="10" t="s">
        <v>151</v>
      </c>
      <c r="D2129" s="11">
        <v>1</v>
      </c>
      <c r="E2129" s="12">
        <v>965000</v>
      </c>
      <c r="F2129" s="13">
        <v>965000</v>
      </c>
      <c r="G2129" s="2">
        <f>VLOOKUP(B2129,'PO with created By ASR'!A:C,3,FALSE)</f>
        <v>45706</v>
      </c>
      <c r="J2129" s="2" t="str">
        <f>VLOOKUP(B2129,'PO with created By ASR'!A:G,4,FALSE)</f>
        <v>Dream Factory Pvt. Ltd.-Del</v>
      </c>
      <c r="K2129" s="2" t="e">
        <f>VLOOKUP(B2129,'PO with created By ASR'!A:I,6,FALSE)</f>
        <v>#N/A</v>
      </c>
      <c r="L2129" s="2" t="str">
        <f>VLOOKUP(B2129,'PO with created By ASR'!A:J,7,FALSE)</f>
        <v>B - Bangalore</v>
      </c>
      <c r="M2129" s="2" t="str">
        <f>VLOOKUP(B2129,'PO with created By ASR'!A:K,8,FALSE)</f>
        <v>Purchase Order-Blr</v>
      </c>
      <c r="N2129" t="s">
        <v>36</v>
      </c>
      <c r="P2129" s="2">
        <v>6</v>
      </c>
    </row>
    <row r="2130" s="2" customFormat="1" spans="1:16">
      <c r="A2130" s="8"/>
      <c r="B2130" s="9" t="s">
        <v>3327</v>
      </c>
      <c r="C2130" s="10" t="s">
        <v>151</v>
      </c>
      <c r="D2130" s="11">
        <v>1</v>
      </c>
      <c r="E2130" s="12">
        <v>35500</v>
      </c>
      <c r="F2130" s="13">
        <v>35500</v>
      </c>
      <c r="G2130" s="2">
        <f>VLOOKUP(B2130,'PO with created By ASR'!A:C,3,FALSE)</f>
        <v>45706</v>
      </c>
      <c r="J2130" s="2" t="str">
        <f>VLOOKUP(B2130,'PO with created By ASR'!A:G,4,FALSE)</f>
        <v>Narsingh Events Pvt Ltd-Blr</v>
      </c>
      <c r="K2130" s="2" t="str">
        <f>VLOOKUP(B2130,'PO with created By ASR'!A:I,6,FALSE)</f>
        <v>12985  Narsingh Events Pvt Ltd</v>
      </c>
      <c r="L2130" s="2" t="str">
        <f>VLOOKUP(B2130,'PO with created By ASR'!A:J,7,FALSE)</f>
        <v>B - Bangalore</v>
      </c>
      <c r="M2130" s="2" t="str">
        <f>VLOOKUP(B2130,'PO with created By ASR'!A:K,8,FALSE)</f>
        <v>Purchase Order-Blr</v>
      </c>
      <c r="N2130" t="s">
        <v>36</v>
      </c>
      <c r="P2130" s="2">
        <v>6</v>
      </c>
    </row>
    <row r="2131" s="2" customFormat="1" spans="1:16">
      <c r="A2131" s="8"/>
      <c r="B2131" s="9" t="s">
        <v>3329</v>
      </c>
      <c r="C2131" s="10" t="s">
        <v>371</v>
      </c>
      <c r="D2131" s="11">
        <v>1</v>
      </c>
      <c r="E2131" s="12">
        <v>29000</v>
      </c>
      <c r="F2131" s="13">
        <v>29000</v>
      </c>
      <c r="G2131" s="2">
        <f>VLOOKUP(B2131,'PO with created By ASR'!A:C,3,FALSE)</f>
        <v>45706</v>
      </c>
      <c r="J2131" s="2" t="str">
        <f>VLOOKUP(B2131,'PO with created By ASR'!A:G,4,FALSE)</f>
        <v>Mass Vision-Blr</v>
      </c>
      <c r="K2131" s="2" t="str">
        <f>VLOOKUP(B2131,'PO with created By ASR'!A:I,6,FALSE)</f>
        <v>12126 Mass Vision</v>
      </c>
      <c r="L2131" s="2" t="str">
        <f>VLOOKUP(B2131,'PO with created By ASR'!A:J,7,FALSE)</f>
        <v>B - Bangalore</v>
      </c>
      <c r="M2131" s="2" t="str">
        <f>VLOOKUP(B2131,'PO with created By ASR'!A:K,8,FALSE)</f>
        <v>Purchase Order-Blr</v>
      </c>
      <c r="N2131" t="s">
        <v>36</v>
      </c>
      <c r="P2131" s="2">
        <v>6</v>
      </c>
    </row>
    <row r="2132" s="2" customFormat="1" spans="1:16">
      <c r="A2132" s="8"/>
      <c r="B2132" s="9" t="s">
        <v>3330</v>
      </c>
      <c r="C2132" s="10" t="s">
        <v>401</v>
      </c>
      <c r="D2132" s="11">
        <v>1</v>
      </c>
      <c r="E2132" s="12">
        <v>5000</v>
      </c>
      <c r="F2132" s="13">
        <v>5000</v>
      </c>
      <c r="G2132" s="2">
        <f>VLOOKUP(B2132,'PO with created By ASR'!A:C,3,FALSE)</f>
        <v>45706</v>
      </c>
      <c r="J2132" s="2" t="str">
        <f>VLOOKUP(B2132,'PO with created By ASR'!A:G,4,FALSE)</f>
        <v>Rea Studio-Blr</v>
      </c>
      <c r="K2132" s="2" t="str">
        <f>VLOOKUP(B2132,'PO with created By ASR'!A:I,6,FALSE)</f>
        <v>10074 Rea Studio</v>
      </c>
      <c r="L2132" s="2" t="str">
        <f>VLOOKUP(B2132,'PO with created By ASR'!A:J,7,FALSE)</f>
        <v>B - Bangalore</v>
      </c>
      <c r="M2132" s="2" t="str">
        <f>VLOOKUP(B2132,'PO with created By ASR'!A:K,8,FALSE)</f>
        <v>Purchase Order-Blr</v>
      </c>
      <c r="N2132" t="s">
        <v>36</v>
      </c>
      <c r="P2132" s="2">
        <v>6</v>
      </c>
    </row>
    <row r="2133" s="2" customFormat="1" spans="1:16">
      <c r="A2133" s="8"/>
      <c r="B2133" s="9" t="s">
        <v>3331</v>
      </c>
      <c r="C2133" s="10" t="s">
        <v>292</v>
      </c>
      <c r="D2133" s="11">
        <v>1</v>
      </c>
      <c r="E2133" s="12">
        <v>21500</v>
      </c>
      <c r="F2133" s="13">
        <v>21500</v>
      </c>
      <c r="G2133" s="2">
        <f>VLOOKUP(B2133,'PO with created By ASR'!A:C,3,FALSE)</f>
        <v>45706</v>
      </c>
      <c r="J2133" s="2" t="str">
        <f>VLOOKUP(B2133,'PO with created By ASR'!A:G,4,FALSE)</f>
        <v>Sumair Shariff-Blr</v>
      </c>
      <c r="K2133" s="2" t="str">
        <f>VLOOKUP(B2133,'PO with created By ASR'!A:I,6,FALSE)</f>
        <v>11436 Sumair Shariff</v>
      </c>
      <c r="L2133" s="2" t="str">
        <f>VLOOKUP(B2133,'PO with created By ASR'!A:J,7,FALSE)</f>
        <v>B - Bangalore</v>
      </c>
      <c r="M2133" s="2" t="str">
        <f>VLOOKUP(B2133,'PO with created By ASR'!A:K,8,FALSE)</f>
        <v>Purchase Order-Blr</v>
      </c>
      <c r="N2133" t="s">
        <v>36</v>
      </c>
      <c r="P2133" s="2">
        <v>6</v>
      </c>
    </row>
    <row r="2134" s="2" customFormat="1" spans="1:16">
      <c r="A2134" s="8"/>
      <c r="B2134" s="9" t="s">
        <v>3332</v>
      </c>
      <c r="C2134" s="10" t="s">
        <v>151</v>
      </c>
      <c r="D2134" s="11">
        <v>1</v>
      </c>
      <c r="E2134" s="12">
        <v>1200</v>
      </c>
      <c r="F2134" s="13">
        <v>1200</v>
      </c>
      <c r="G2134" s="2">
        <f>VLOOKUP(B2134,'PO with created By ASR'!A:C,3,FALSE)</f>
        <v>45706</v>
      </c>
      <c r="J2134" s="2" t="str">
        <f>VLOOKUP(B2134,'PO with created By ASR'!A:G,4,FALSE)</f>
        <v>Shabbirs Furnishing Centre-Blr</v>
      </c>
      <c r="K2134" s="2" t="str">
        <f>VLOOKUP(B2134,'PO with created By ASR'!A:I,6,FALSE)</f>
        <v>11053 Shabbirs Furnishing Centre</v>
      </c>
      <c r="L2134" s="2" t="str">
        <f>VLOOKUP(B2134,'PO with created By ASR'!A:J,7,FALSE)</f>
        <v>B - Bangalore</v>
      </c>
      <c r="M2134" s="2" t="str">
        <f>VLOOKUP(B2134,'PO with created By ASR'!A:K,8,FALSE)</f>
        <v>Purchase Order-Blr</v>
      </c>
      <c r="N2134" t="s">
        <v>36</v>
      </c>
      <c r="P2134" s="2">
        <v>6</v>
      </c>
    </row>
    <row r="2135" s="2" customFormat="1" spans="1:16">
      <c r="A2135" s="8"/>
      <c r="B2135" s="9" t="s">
        <v>3335</v>
      </c>
      <c r="C2135" s="10" t="s">
        <v>990</v>
      </c>
      <c r="D2135" s="11">
        <v>1</v>
      </c>
      <c r="E2135" s="12">
        <v>3700</v>
      </c>
      <c r="F2135" s="13">
        <v>3700</v>
      </c>
      <c r="G2135" s="2">
        <f>VLOOKUP(B2135,'PO with created By ASR'!A:C,3,FALSE)</f>
        <v>45706</v>
      </c>
      <c r="J2135" s="2" t="str">
        <f>VLOOKUP(B2135,'PO with created By ASR'!A:G,4,FALSE)</f>
        <v>Infutech Solutions-Blr</v>
      </c>
      <c r="K2135" s="2" t="str">
        <f>VLOOKUP(B2135,'PO with created By ASR'!A:I,6,FALSE)</f>
        <v>12027 Infutech Solutions</v>
      </c>
      <c r="L2135" s="2" t="str">
        <f>VLOOKUP(B2135,'PO with created By ASR'!A:J,7,FALSE)</f>
        <v>B - Bangalore</v>
      </c>
      <c r="M2135" s="2" t="str">
        <f>VLOOKUP(B2135,'PO with created By ASR'!A:K,8,FALSE)</f>
        <v>Purchase Order-Blr</v>
      </c>
      <c r="N2135" t="s">
        <v>36</v>
      </c>
      <c r="P2135" s="2">
        <v>6</v>
      </c>
    </row>
    <row r="2136" s="2" customFormat="1" spans="1:16">
      <c r="A2136" s="8"/>
      <c r="B2136" s="9" t="s">
        <v>3336</v>
      </c>
      <c r="C2136" s="10" t="s">
        <v>347</v>
      </c>
      <c r="D2136" s="11">
        <v>1</v>
      </c>
      <c r="E2136" s="12">
        <v>10000</v>
      </c>
      <c r="F2136" s="13">
        <v>10000</v>
      </c>
      <c r="G2136" s="2">
        <f>VLOOKUP(B2136,'PO with created By ASR'!A:C,3,FALSE)</f>
        <v>45706</v>
      </c>
      <c r="J2136" s="2" t="str">
        <f>VLOOKUP(B2136,'PO with created By ASR'!A:G,4,FALSE)</f>
        <v>Prismscale Pvt Ltd-Blr</v>
      </c>
      <c r="K2136" s="2" t="str">
        <f>VLOOKUP(B2136,'PO with created By ASR'!A:I,6,FALSE)</f>
        <v>12869  Prismscale Pvt Ltd</v>
      </c>
      <c r="L2136" s="2" t="str">
        <f>VLOOKUP(B2136,'PO with created By ASR'!A:J,7,FALSE)</f>
        <v>B - Bangalore</v>
      </c>
      <c r="M2136" s="2" t="str">
        <f>VLOOKUP(B2136,'PO with created By ASR'!A:K,8,FALSE)</f>
        <v>Purchase Order-Blr</v>
      </c>
      <c r="N2136" t="s">
        <v>36</v>
      </c>
      <c r="P2136" s="2">
        <v>6</v>
      </c>
    </row>
    <row r="2137" s="2" customFormat="1" spans="1:16">
      <c r="A2137" s="8"/>
      <c r="B2137" s="9" t="s">
        <v>3338</v>
      </c>
      <c r="C2137" s="10" t="s">
        <v>292</v>
      </c>
      <c r="D2137" s="11">
        <v>1</v>
      </c>
      <c r="E2137" s="12">
        <v>21000</v>
      </c>
      <c r="F2137" s="13">
        <v>21000</v>
      </c>
      <c r="G2137" s="2">
        <f>VLOOKUP(B2137,'PO with created By ASR'!A:C,3,FALSE)</f>
        <v>45706</v>
      </c>
      <c r="J2137" s="2" t="str">
        <f>VLOOKUP(B2137,'PO with created By ASR'!A:G,4,FALSE)</f>
        <v>Skypillars Manpower Agency-Blr</v>
      </c>
      <c r="K2137" s="2" t="str">
        <f>VLOOKUP(B2137,'PO with created By ASR'!A:I,6,FALSE)</f>
        <v>12418 Skypillars Manpower Agency</v>
      </c>
      <c r="L2137" s="2" t="str">
        <f>VLOOKUP(B2137,'PO with created By ASR'!A:J,7,FALSE)</f>
        <v>B - Bangalore</v>
      </c>
      <c r="M2137" s="2" t="str">
        <f>VLOOKUP(B2137,'PO with created By ASR'!A:K,8,FALSE)</f>
        <v>Purchase Order-Blr</v>
      </c>
      <c r="N2137" t="s">
        <v>36</v>
      </c>
      <c r="P2137" s="2">
        <v>6</v>
      </c>
    </row>
    <row r="2138" s="2" customFormat="1" spans="1:16">
      <c r="A2138" s="8"/>
      <c r="B2138" s="9" t="s">
        <v>3339</v>
      </c>
      <c r="C2138" s="10" t="s">
        <v>990</v>
      </c>
      <c r="D2138" s="11">
        <v>1</v>
      </c>
      <c r="E2138" s="12">
        <v>5400</v>
      </c>
      <c r="F2138" s="13">
        <v>5400</v>
      </c>
      <c r="G2138" s="2">
        <f>VLOOKUP(B2138,'PO with created By ASR'!A:C,3,FALSE)</f>
        <v>45706</v>
      </c>
      <c r="J2138" s="2" t="str">
        <f>VLOOKUP(B2138,'PO with created By ASR'!A:G,4,FALSE)</f>
        <v>Infutech Solutions-Blr</v>
      </c>
      <c r="K2138" s="2" t="str">
        <f>VLOOKUP(B2138,'PO with created By ASR'!A:I,6,FALSE)</f>
        <v>12027 Infutech Solutions</v>
      </c>
      <c r="L2138" s="2" t="str">
        <f>VLOOKUP(B2138,'PO with created By ASR'!A:J,7,FALSE)</f>
        <v>B - Bangalore</v>
      </c>
      <c r="M2138" s="2" t="str">
        <f>VLOOKUP(B2138,'PO with created By ASR'!A:K,8,FALSE)</f>
        <v>Purchase Order-Blr</v>
      </c>
      <c r="N2138" t="s">
        <v>36</v>
      </c>
      <c r="P2138" s="2">
        <v>6</v>
      </c>
    </row>
    <row r="2139" s="2" customFormat="1" spans="1:16">
      <c r="A2139" s="8"/>
      <c r="B2139" s="9" t="s">
        <v>3340</v>
      </c>
      <c r="C2139" s="10" t="s">
        <v>151</v>
      </c>
      <c r="D2139" s="11">
        <v>1</v>
      </c>
      <c r="E2139" s="12">
        <v>115000</v>
      </c>
      <c r="F2139" s="13">
        <v>115000</v>
      </c>
      <c r="G2139" s="2">
        <f>VLOOKUP(B2139,'PO with created By ASR'!A:C,3,FALSE)</f>
        <v>45706</v>
      </c>
      <c r="J2139" s="2" t="str">
        <f>VLOOKUP(B2139,'PO with created By ASR'!A:G,4,FALSE)</f>
        <v>Crafts Event Infra-Blr</v>
      </c>
      <c r="K2139" s="2" t="str">
        <f>VLOOKUP(B2139,'PO with created By ASR'!A:I,6,FALSE)</f>
        <v>11798 Crafts Event Infra</v>
      </c>
      <c r="L2139" s="2" t="str">
        <f>VLOOKUP(B2139,'PO with created By ASR'!A:J,7,FALSE)</f>
        <v>B - Bangalore</v>
      </c>
      <c r="M2139" s="2" t="str">
        <f>VLOOKUP(B2139,'PO with created By ASR'!A:K,8,FALSE)</f>
        <v>Purchase Order-Blr</v>
      </c>
      <c r="N2139" t="s">
        <v>36</v>
      </c>
      <c r="P2139" s="2">
        <v>6</v>
      </c>
    </row>
    <row r="2140" s="2" customFormat="1" spans="1:16">
      <c r="A2140" s="8"/>
      <c r="B2140" s="9" t="s">
        <v>3343</v>
      </c>
      <c r="C2140" s="10" t="s">
        <v>196</v>
      </c>
      <c r="D2140" s="11">
        <v>1</v>
      </c>
      <c r="E2140" s="12">
        <v>14400</v>
      </c>
      <c r="F2140" s="13">
        <v>14400</v>
      </c>
      <c r="G2140" s="2">
        <f>VLOOKUP(B2140,'PO with created By ASR'!A:C,3,FALSE)</f>
        <v>45706</v>
      </c>
      <c r="J2140" s="2" t="str">
        <f>VLOOKUP(B2140,'PO with created By ASR'!A:G,4,FALSE)</f>
        <v>Drawing Board-Blr</v>
      </c>
      <c r="K2140" s="2" t="str">
        <f>VLOOKUP(B2140,'PO with created By ASR'!A:I,6,FALSE)</f>
        <v>11840 Drawing Board</v>
      </c>
      <c r="L2140" s="2" t="str">
        <f>VLOOKUP(B2140,'PO with created By ASR'!A:J,7,FALSE)</f>
        <v>B - Bangalore</v>
      </c>
      <c r="M2140" s="2" t="str">
        <f>VLOOKUP(B2140,'PO with created By ASR'!A:K,8,FALSE)</f>
        <v>Purchase Order-Blr</v>
      </c>
      <c r="N2140" t="s">
        <v>36</v>
      </c>
      <c r="P2140" s="2">
        <v>6</v>
      </c>
    </row>
    <row r="2141" s="2" customFormat="1" spans="1:16">
      <c r="A2141" s="8"/>
      <c r="B2141" s="9" t="s">
        <v>3346</v>
      </c>
      <c r="C2141" s="10" t="s">
        <v>371</v>
      </c>
      <c r="D2141" s="11">
        <v>1</v>
      </c>
      <c r="E2141" s="12">
        <v>100000</v>
      </c>
      <c r="F2141" s="13">
        <v>100000</v>
      </c>
      <c r="G2141" s="2">
        <f>VLOOKUP(B2141,'PO with created By ASR'!A:C,3,FALSE)</f>
        <v>45706</v>
      </c>
      <c r="J2141" s="2" t="str">
        <f>VLOOKUP(B2141,'PO with created By ASR'!A:G,4,FALSE)</f>
        <v>Sugandar Light House-Blr</v>
      </c>
      <c r="K2141" s="2" t="str">
        <f>VLOOKUP(B2141,'PO with created By ASR'!A:I,6,FALSE)</f>
        <v>12472 Sugandar Light House</v>
      </c>
      <c r="L2141" s="2" t="str">
        <f>VLOOKUP(B2141,'PO with created By ASR'!A:J,7,FALSE)</f>
        <v>B - Bangalore</v>
      </c>
      <c r="M2141" s="2" t="str">
        <f>VLOOKUP(B2141,'PO with created By ASR'!A:K,8,FALSE)</f>
        <v>Purchase Order-Blr</v>
      </c>
      <c r="N2141" t="s">
        <v>36</v>
      </c>
      <c r="P2141" s="2">
        <v>6</v>
      </c>
    </row>
    <row r="2142" s="2" customFormat="1" spans="1:16">
      <c r="A2142" s="8"/>
      <c r="B2142" s="9" t="s">
        <v>3349</v>
      </c>
      <c r="C2142" s="10" t="s">
        <v>317</v>
      </c>
      <c r="D2142" s="11">
        <v>1</v>
      </c>
      <c r="E2142" s="12">
        <v>800000</v>
      </c>
      <c r="F2142" s="13">
        <v>800000</v>
      </c>
      <c r="G2142" s="2">
        <f>VLOOKUP(B2142,'PO with created By ASR'!A:C,3,FALSE)</f>
        <v>45706</v>
      </c>
      <c r="J2142" s="2" t="str">
        <f>VLOOKUP(B2142,'PO with created By ASR'!A:G,4,FALSE)</f>
        <v>Vrinfinity LLP-Blr</v>
      </c>
      <c r="K2142" s="2" t="str">
        <f>VLOOKUP(B2142,'PO with created By ASR'!A:I,6,FALSE)</f>
        <v>12979 Vrinfinity LLP</v>
      </c>
      <c r="L2142" s="2" t="str">
        <f>VLOOKUP(B2142,'PO with created By ASR'!A:J,7,FALSE)</f>
        <v>B - Bangalore</v>
      </c>
      <c r="M2142" s="2" t="str">
        <f>VLOOKUP(B2142,'PO with created By ASR'!A:K,8,FALSE)</f>
        <v>Purchase Order-Blr</v>
      </c>
      <c r="N2142" t="s">
        <v>36</v>
      </c>
      <c r="P2142" s="2">
        <v>6</v>
      </c>
    </row>
    <row r="2143" s="2" customFormat="1" spans="1:16">
      <c r="A2143" s="8"/>
      <c r="B2143" s="9" t="s">
        <v>3352</v>
      </c>
      <c r="C2143" s="10" t="s">
        <v>371</v>
      </c>
      <c r="D2143" s="11">
        <v>1</v>
      </c>
      <c r="E2143" s="12">
        <v>60000</v>
      </c>
      <c r="F2143" s="13">
        <v>60000</v>
      </c>
      <c r="G2143" s="2">
        <f>VLOOKUP(B2143,'PO with created By ASR'!A:C,3,FALSE)</f>
        <v>45706</v>
      </c>
      <c r="J2143" s="2" t="str">
        <f>VLOOKUP(B2143,'PO with created By ASR'!A:G,4,FALSE)</f>
        <v>Event Life-Blr</v>
      </c>
      <c r="K2143" s="2" t="str">
        <f>VLOOKUP(B2143,'PO with created By ASR'!A:I,6,FALSE)</f>
        <v>11892 Event Life</v>
      </c>
      <c r="L2143" s="2" t="str">
        <f>VLOOKUP(B2143,'PO with created By ASR'!A:J,7,FALSE)</f>
        <v>B - Bangalore</v>
      </c>
      <c r="M2143" s="2" t="str">
        <f>VLOOKUP(B2143,'PO with created By ASR'!A:K,8,FALSE)</f>
        <v>Purchase Order-Blr</v>
      </c>
      <c r="N2143" t="s">
        <v>36</v>
      </c>
      <c r="P2143" s="2">
        <v>6</v>
      </c>
    </row>
    <row r="2144" s="2" customFormat="1" spans="1:16">
      <c r="A2144" s="8"/>
      <c r="B2144" s="9" t="s">
        <v>3353</v>
      </c>
      <c r="C2144" s="10" t="s">
        <v>371</v>
      </c>
      <c r="D2144" s="11">
        <v>1</v>
      </c>
      <c r="E2144" s="12">
        <v>56100</v>
      </c>
      <c r="F2144" s="13">
        <v>56100</v>
      </c>
      <c r="G2144" s="2">
        <f>VLOOKUP(B2144,'PO with created By ASR'!A:C,3,FALSE)</f>
        <v>45706</v>
      </c>
      <c r="J2144" s="2" t="str">
        <f>VLOOKUP(B2144,'PO with created By ASR'!A:G,4,FALSE)</f>
        <v>Ashik Mobile Generator-Blr</v>
      </c>
      <c r="K2144" s="2" t="str">
        <f>VLOOKUP(B2144,'PO with created By ASR'!A:I,6,FALSE)</f>
        <v>11685 Ashik Mobile Generator</v>
      </c>
      <c r="L2144" s="2" t="str">
        <f>VLOOKUP(B2144,'PO with created By ASR'!A:J,7,FALSE)</f>
        <v>B - Bangalore</v>
      </c>
      <c r="M2144" s="2" t="str">
        <f>VLOOKUP(B2144,'PO with created By ASR'!A:K,8,FALSE)</f>
        <v>Purchase Order-Blr</v>
      </c>
      <c r="N2144" t="s">
        <v>36</v>
      </c>
      <c r="P2144" s="2">
        <v>6</v>
      </c>
    </row>
    <row r="2145" s="2" customFormat="1" spans="1:16">
      <c r="A2145" s="8"/>
      <c r="B2145" s="9" t="s">
        <v>3354</v>
      </c>
      <c r="C2145" s="10" t="s">
        <v>401</v>
      </c>
      <c r="D2145" s="11">
        <v>1</v>
      </c>
      <c r="E2145" s="12">
        <v>70000</v>
      </c>
      <c r="F2145" s="13">
        <v>70000</v>
      </c>
      <c r="G2145" s="2">
        <f>VLOOKUP(B2145,'PO with created By ASR'!A:C,3,FALSE)</f>
        <v>45706</v>
      </c>
      <c r="J2145" s="2" t="str">
        <f>VLOOKUP(B2145,'PO with created By ASR'!A:G,4,FALSE)</f>
        <v>Event Images-Blr</v>
      </c>
      <c r="K2145" s="2" t="str">
        <f>VLOOKUP(B2145,'PO with created By ASR'!A:I,6,FALSE)</f>
        <v>11890 Event Images</v>
      </c>
      <c r="L2145" s="2" t="str">
        <f>VLOOKUP(B2145,'PO with created By ASR'!A:J,7,FALSE)</f>
        <v>B - Bangalore</v>
      </c>
      <c r="M2145" s="2" t="str">
        <f>VLOOKUP(B2145,'PO with created By ASR'!A:K,8,FALSE)</f>
        <v>Purchase Order-Blr</v>
      </c>
      <c r="N2145" t="s">
        <v>36</v>
      </c>
      <c r="P2145" s="2">
        <v>6</v>
      </c>
    </row>
    <row r="2146" s="2" customFormat="1" spans="1:16">
      <c r="A2146" s="8"/>
      <c r="B2146" s="9" t="s">
        <v>3357</v>
      </c>
      <c r="C2146" s="10" t="s">
        <v>292</v>
      </c>
      <c r="D2146" s="11">
        <v>1</v>
      </c>
      <c r="E2146" s="12">
        <v>6000</v>
      </c>
      <c r="F2146" s="13">
        <v>6000</v>
      </c>
      <c r="G2146" s="2">
        <f>VLOOKUP(B2146,'PO with created By ASR'!A:C,3,FALSE)</f>
        <v>45706</v>
      </c>
      <c r="J2146" s="2" t="str">
        <f>VLOOKUP(B2146,'PO with created By ASR'!A:G,4,FALSE)</f>
        <v>Manaswini Group-Blr</v>
      </c>
      <c r="K2146" s="2" t="str">
        <f>VLOOKUP(B2146,'PO with created By ASR'!A:I,6,FALSE)</f>
        <v>12117 Manaswini Group</v>
      </c>
      <c r="L2146" s="2" t="str">
        <f>VLOOKUP(B2146,'PO with created By ASR'!A:J,7,FALSE)</f>
        <v>B - Bangalore</v>
      </c>
      <c r="M2146" s="2" t="str">
        <f>VLOOKUP(B2146,'PO with created By ASR'!A:K,8,FALSE)</f>
        <v>Purchase Order-Blr</v>
      </c>
      <c r="N2146" t="s">
        <v>36</v>
      </c>
      <c r="P2146" s="2">
        <v>6</v>
      </c>
    </row>
    <row r="2147" s="2" customFormat="1" spans="1:16">
      <c r="A2147" s="8"/>
      <c r="B2147" s="9" t="s">
        <v>3360</v>
      </c>
      <c r="C2147" s="10" t="s">
        <v>119</v>
      </c>
      <c r="D2147" s="11">
        <v>1</v>
      </c>
      <c r="E2147" s="12">
        <v>5685</v>
      </c>
      <c r="F2147" s="13">
        <v>5685</v>
      </c>
      <c r="G2147" s="2">
        <f>VLOOKUP(B2147,'PO with created By ASR'!A:C,3,FALSE)</f>
        <v>45706</v>
      </c>
      <c r="J2147" s="2" t="str">
        <f>VLOOKUP(B2147,'PO with created By ASR'!A:G,4,FALSE)</f>
        <v>Siva Sankar Cabs-Blr</v>
      </c>
      <c r="K2147" s="2" t="str">
        <f>VLOOKUP(B2147,'PO with created By ASR'!A:I,6,FALSE)</f>
        <v>10089 Siva Sankar Cabs</v>
      </c>
      <c r="L2147" s="2" t="str">
        <f>VLOOKUP(B2147,'PO with created By ASR'!A:J,7,FALSE)</f>
        <v>B - Bangalore</v>
      </c>
      <c r="M2147" s="2" t="str">
        <f>VLOOKUP(B2147,'PO with created By ASR'!A:K,8,FALSE)</f>
        <v>Purchase Order-Blr</v>
      </c>
      <c r="N2147" t="s">
        <v>36</v>
      </c>
      <c r="P2147" s="2">
        <v>6</v>
      </c>
    </row>
    <row r="2148" s="2" customFormat="1" spans="1:16">
      <c r="A2148" s="8"/>
      <c r="B2148" s="9" t="s">
        <v>3361</v>
      </c>
      <c r="C2148" s="10" t="s">
        <v>371</v>
      </c>
      <c r="D2148" s="11">
        <v>1</v>
      </c>
      <c r="E2148" s="12">
        <v>165000</v>
      </c>
      <c r="F2148" s="13">
        <v>165000</v>
      </c>
      <c r="G2148" s="2">
        <f>VLOOKUP(B2148,'PO with created By ASR'!A:C,3,FALSE)</f>
        <v>45706</v>
      </c>
      <c r="J2148" s="2" t="str">
        <f>VLOOKUP(B2148,'PO with created By ASR'!A:G,4,FALSE)</f>
        <v>A V Links-Blr</v>
      </c>
      <c r="K2148" s="2" t="str">
        <f>VLOOKUP(B2148,'PO with created By ASR'!A:I,6,FALSE)</f>
        <v>11083 A V Links</v>
      </c>
      <c r="L2148" s="2" t="str">
        <f>VLOOKUP(B2148,'PO with created By ASR'!A:J,7,FALSE)</f>
        <v>B - Bangalore</v>
      </c>
      <c r="M2148" s="2" t="str">
        <f>VLOOKUP(B2148,'PO with created By ASR'!A:K,8,FALSE)</f>
        <v>Purchase Order-Blr</v>
      </c>
      <c r="N2148" t="s">
        <v>36</v>
      </c>
      <c r="P2148" s="2">
        <v>6</v>
      </c>
    </row>
    <row r="2149" s="2" customFormat="1" spans="1:16">
      <c r="A2149" s="8"/>
      <c r="B2149" s="9" t="s">
        <v>3362</v>
      </c>
      <c r="C2149" s="10" t="s">
        <v>151</v>
      </c>
      <c r="D2149" s="11">
        <v>1</v>
      </c>
      <c r="E2149" s="12">
        <v>125000</v>
      </c>
      <c r="F2149" s="13">
        <v>125000</v>
      </c>
      <c r="G2149" s="2">
        <f>VLOOKUP(B2149,'PO with created By ASR'!A:C,3,FALSE)</f>
        <v>45706</v>
      </c>
      <c r="J2149" s="2" t="str">
        <f>VLOOKUP(B2149,'PO with created By ASR'!A:G,4,FALSE)</f>
        <v>Signature Productionz-Blr</v>
      </c>
      <c r="K2149" s="2" t="str">
        <f>VLOOKUP(B2149,'PO with created By ASR'!A:I,6,FALSE)</f>
        <v>12409 Signature Productionz</v>
      </c>
      <c r="L2149" s="2" t="str">
        <f>VLOOKUP(B2149,'PO with created By ASR'!A:J,7,FALSE)</f>
        <v>B - Bangalore</v>
      </c>
      <c r="M2149" s="2" t="str">
        <f>VLOOKUP(B2149,'PO with created By ASR'!A:K,8,FALSE)</f>
        <v>Purchase Order-Blr</v>
      </c>
      <c r="N2149" t="s">
        <v>36</v>
      </c>
      <c r="P2149" s="2">
        <v>6</v>
      </c>
    </row>
    <row r="2150" s="2" customFormat="1" spans="1:16">
      <c r="A2150" s="8"/>
      <c r="B2150" s="9" t="s">
        <v>3365</v>
      </c>
      <c r="C2150" s="10" t="s">
        <v>317</v>
      </c>
      <c r="D2150" s="11">
        <v>1</v>
      </c>
      <c r="E2150" s="12">
        <v>88500</v>
      </c>
      <c r="F2150" s="13">
        <v>88500</v>
      </c>
      <c r="G2150" s="2">
        <f>VLOOKUP(B2150,'PO with created By ASR'!A:C,3,FALSE)</f>
        <v>45706</v>
      </c>
      <c r="J2150" s="2" t="str">
        <f>VLOOKUP(B2150,'PO with created By ASR'!A:G,4,FALSE)</f>
        <v>Sowmiya Events-Che</v>
      </c>
      <c r="K2150" s="2" t="str">
        <f>VLOOKUP(B2150,'PO with created By ASR'!A:I,6,FALSE)</f>
        <v>12431 Sowmiya Events</v>
      </c>
      <c r="L2150" s="2" t="str">
        <f>VLOOKUP(B2150,'PO with created By ASR'!A:J,7,FALSE)</f>
        <v>C - Chennai</v>
      </c>
      <c r="M2150" s="2" t="str">
        <f>VLOOKUP(B2150,'PO with created By ASR'!A:K,8,FALSE)</f>
        <v>Purchase Order-Che</v>
      </c>
      <c r="N2150" t="s">
        <v>36</v>
      </c>
      <c r="P2150" s="2">
        <v>6</v>
      </c>
    </row>
    <row r="2151" s="2" customFormat="1" spans="1:16">
      <c r="A2151" s="8"/>
      <c r="B2151" s="9" t="s">
        <v>3368</v>
      </c>
      <c r="C2151" s="10" t="s">
        <v>401</v>
      </c>
      <c r="D2151" s="11">
        <v>1</v>
      </c>
      <c r="E2151" s="12">
        <v>200000</v>
      </c>
      <c r="F2151" s="13">
        <v>200000</v>
      </c>
      <c r="G2151" s="2">
        <f>VLOOKUP(B2151,'PO with created By ASR'!A:C,3,FALSE)</f>
        <v>45706</v>
      </c>
      <c r="J2151" s="2" t="str">
        <f>VLOOKUP(B2151,'PO with created By ASR'!A:G,4,FALSE)</f>
        <v>Mj Digital-Che</v>
      </c>
      <c r="K2151" s="2" t="str">
        <f>VLOOKUP(B2151,'PO with created By ASR'!A:I,6,FALSE)</f>
        <v>12157 MJ Digital</v>
      </c>
      <c r="L2151" s="2" t="str">
        <f>VLOOKUP(B2151,'PO with created By ASR'!A:J,7,FALSE)</f>
        <v>C - Chennai</v>
      </c>
      <c r="M2151" s="2" t="str">
        <f>VLOOKUP(B2151,'PO with created By ASR'!A:K,8,FALSE)</f>
        <v>Purchase Order-Che</v>
      </c>
      <c r="N2151" t="s">
        <v>36</v>
      </c>
      <c r="P2151" s="2">
        <v>6</v>
      </c>
    </row>
    <row r="2152" s="2" customFormat="1" spans="1:16">
      <c r="A2152" s="8"/>
      <c r="B2152" s="9" t="s">
        <v>3369</v>
      </c>
      <c r="C2152" s="10" t="s">
        <v>119</v>
      </c>
      <c r="D2152" s="11">
        <v>1</v>
      </c>
      <c r="E2152" s="12">
        <v>38600</v>
      </c>
      <c r="F2152" s="13">
        <v>38600</v>
      </c>
      <c r="G2152" s="2">
        <f>VLOOKUP(B2152,'PO with created By ASR'!A:C,3,FALSE)</f>
        <v>45706</v>
      </c>
      <c r="J2152" s="2" t="str">
        <f>VLOOKUP(B2152,'PO with created By ASR'!A:G,4,FALSE)</f>
        <v>Fiesta Car Rentals &amp; Logistics Pvt Ltd-Che</v>
      </c>
      <c r="K2152" s="2" t="str">
        <f>VLOOKUP(B2152,'PO with created By ASR'!A:I,6,FALSE)</f>
        <v>11915  Fiesta Car Rentals &amp; Logistics Pvt Ltd</v>
      </c>
      <c r="L2152" s="2" t="str">
        <f>VLOOKUP(B2152,'PO with created By ASR'!A:J,7,FALSE)</f>
        <v>C - Chennai</v>
      </c>
      <c r="M2152" s="2" t="str">
        <f>VLOOKUP(B2152,'PO with created By ASR'!A:K,8,FALSE)</f>
        <v>Purchase Order-Che</v>
      </c>
      <c r="N2152" t="s">
        <v>36</v>
      </c>
      <c r="P2152" s="2">
        <v>6</v>
      </c>
    </row>
    <row r="2153" s="2" customFormat="1" spans="1:16">
      <c r="A2153" s="8"/>
      <c r="B2153" s="9" t="s">
        <v>3369</v>
      </c>
      <c r="C2153" s="10" t="s">
        <v>676</v>
      </c>
      <c r="D2153" s="11">
        <v>1</v>
      </c>
      <c r="E2153" s="12">
        <v>965</v>
      </c>
      <c r="F2153" s="13">
        <v>965</v>
      </c>
      <c r="G2153" s="2">
        <f>VLOOKUP(B2153,'PO with created By ASR'!A:C,3,FALSE)</f>
        <v>45706</v>
      </c>
      <c r="J2153" s="2" t="str">
        <f>VLOOKUP(B2153,'PO with created By ASR'!A:G,4,FALSE)</f>
        <v>Fiesta Car Rentals &amp; Logistics Pvt Ltd-Che</v>
      </c>
      <c r="K2153" s="2" t="str">
        <f>VLOOKUP(B2153,'PO with created By ASR'!A:I,6,FALSE)</f>
        <v>11915  Fiesta Car Rentals &amp; Logistics Pvt Ltd</v>
      </c>
      <c r="L2153" s="2" t="str">
        <f>VLOOKUP(B2153,'PO with created By ASR'!A:J,7,FALSE)</f>
        <v>C - Chennai</v>
      </c>
      <c r="M2153" s="2" t="str">
        <f>VLOOKUP(B2153,'PO with created By ASR'!A:K,8,FALSE)</f>
        <v>Purchase Order-Che</v>
      </c>
      <c r="N2153" t="s">
        <v>36</v>
      </c>
      <c r="P2153" s="2">
        <v>6</v>
      </c>
    </row>
    <row r="2154" s="2" customFormat="1" spans="1:16">
      <c r="A2154" s="8"/>
      <c r="B2154" s="9" t="s">
        <v>3369</v>
      </c>
      <c r="C2154" s="10" t="s">
        <v>4365</v>
      </c>
      <c r="D2154" s="11">
        <v>1</v>
      </c>
      <c r="E2154" s="12">
        <v>965</v>
      </c>
      <c r="F2154" s="13">
        <v>965</v>
      </c>
      <c r="G2154" s="2">
        <f>VLOOKUP(B2154,'PO with created By ASR'!A:C,3,FALSE)</f>
        <v>45706</v>
      </c>
      <c r="J2154" s="2" t="str">
        <f>VLOOKUP(B2154,'PO with created By ASR'!A:G,4,FALSE)</f>
        <v>Fiesta Car Rentals &amp; Logistics Pvt Ltd-Che</v>
      </c>
      <c r="K2154" s="2" t="str">
        <f>VLOOKUP(B2154,'PO with created By ASR'!A:I,6,FALSE)</f>
        <v>11915  Fiesta Car Rentals &amp; Logistics Pvt Ltd</v>
      </c>
      <c r="L2154" s="2" t="str">
        <f>VLOOKUP(B2154,'PO with created By ASR'!A:J,7,FALSE)</f>
        <v>C - Chennai</v>
      </c>
      <c r="M2154" s="2" t="str">
        <f>VLOOKUP(B2154,'PO with created By ASR'!A:K,8,FALSE)</f>
        <v>Purchase Order-Che</v>
      </c>
      <c r="N2154" t="s">
        <v>36</v>
      </c>
      <c r="P2154" s="2">
        <v>6</v>
      </c>
    </row>
    <row r="2155" s="2" customFormat="1" spans="1:16">
      <c r="A2155" s="8"/>
      <c r="B2155" s="9" t="s">
        <v>3373</v>
      </c>
      <c r="C2155" s="10" t="s">
        <v>250</v>
      </c>
      <c r="D2155" s="11">
        <v>1</v>
      </c>
      <c r="E2155" s="12">
        <v>150000</v>
      </c>
      <c r="F2155" s="13">
        <v>150000</v>
      </c>
      <c r="G2155" s="2">
        <f>VLOOKUP(B2155,'PO with created By ASR'!A:C,3,FALSE)</f>
        <v>45706</v>
      </c>
      <c r="J2155" s="2" t="str">
        <f>VLOOKUP(B2155,'PO with created By ASR'!A:G,4,FALSE)</f>
        <v>Phalguni Sridhar Bangera-Che</v>
      </c>
      <c r="K2155" s="2" t="str">
        <f>VLOOKUP(B2155,'PO with created By ASR'!A:I,6,FALSE)</f>
        <v>12930 Phalguni Sridhar Bangera</v>
      </c>
      <c r="L2155" s="2" t="str">
        <f>VLOOKUP(B2155,'PO with created By ASR'!A:J,7,FALSE)</f>
        <v>C - Chennai</v>
      </c>
      <c r="M2155" s="2" t="str">
        <f>VLOOKUP(B2155,'PO with created By ASR'!A:K,8,FALSE)</f>
        <v>Purchase Order-Che</v>
      </c>
      <c r="N2155" t="s">
        <v>36</v>
      </c>
      <c r="P2155" s="2">
        <v>6</v>
      </c>
    </row>
    <row r="2156" s="2" customFormat="1" spans="1:16">
      <c r="A2156" s="8"/>
      <c r="B2156" s="9" t="s">
        <v>3376</v>
      </c>
      <c r="C2156" s="10" t="s">
        <v>151</v>
      </c>
      <c r="D2156" s="11">
        <v>1</v>
      </c>
      <c r="E2156" s="12">
        <v>4400000</v>
      </c>
      <c r="F2156" s="13">
        <v>4400000</v>
      </c>
      <c r="G2156" s="2">
        <f>VLOOKUP(B2156,'PO with created By ASR'!A:C,3,FALSE)</f>
        <v>45706</v>
      </c>
      <c r="J2156" s="2" t="str">
        <f>VLOOKUP(B2156,'PO with created By ASR'!A:G,4,FALSE)</f>
        <v>The Stage Factory-Del</v>
      </c>
      <c r="K2156" s="2" t="str">
        <f>VLOOKUP(B2156,'PO with created By ASR'!A:I,6,FALSE)</f>
        <v>12530 The Stage Factory</v>
      </c>
      <c r="L2156" s="2" t="str">
        <f>VLOOKUP(B2156,'PO with created By ASR'!A:J,7,FALSE)</f>
        <v>D - Delhi</v>
      </c>
      <c r="M2156" s="2" t="str">
        <f>VLOOKUP(B2156,'PO with created By ASR'!A:K,8,FALSE)</f>
        <v>Purchase Order-Del</v>
      </c>
      <c r="N2156" t="s">
        <v>36</v>
      </c>
      <c r="P2156" s="2">
        <v>6</v>
      </c>
    </row>
    <row r="2157" s="2" customFormat="1" spans="1:16">
      <c r="A2157" s="8"/>
      <c r="B2157" s="9" t="s">
        <v>3376</v>
      </c>
      <c r="C2157" s="10" t="s">
        <v>151</v>
      </c>
      <c r="D2157" s="11">
        <v>1</v>
      </c>
      <c r="E2157" s="12">
        <v>600000</v>
      </c>
      <c r="F2157" s="13">
        <v>600000</v>
      </c>
      <c r="G2157" s="2">
        <f>VLOOKUP(B2157,'PO with created By ASR'!A:C,3,FALSE)</f>
        <v>45706</v>
      </c>
      <c r="J2157" s="2" t="str">
        <f>VLOOKUP(B2157,'PO with created By ASR'!A:G,4,FALSE)</f>
        <v>The Stage Factory-Del</v>
      </c>
      <c r="K2157" s="2" t="str">
        <f>VLOOKUP(B2157,'PO with created By ASR'!A:I,6,FALSE)</f>
        <v>12530 The Stage Factory</v>
      </c>
      <c r="L2157" s="2" t="str">
        <f>VLOOKUP(B2157,'PO with created By ASR'!A:J,7,FALSE)</f>
        <v>D - Delhi</v>
      </c>
      <c r="M2157" s="2" t="str">
        <f>VLOOKUP(B2157,'PO with created By ASR'!A:K,8,FALSE)</f>
        <v>Purchase Order-Del</v>
      </c>
      <c r="N2157" t="s">
        <v>36</v>
      </c>
      <c r="P2157" s="2">
        <v>6</v>
      </c>
    </row>
    <row r="2158" s="2" customFormat="1" spans="1:16">
      <c r="A2158" s="8"/>
      <c r="B2158" s="9" t="s">
        <v>3377</v>
      </c>
      <c r="C2158" s="10" t="s">
        <v>119</v>
      </c>
      <c r="D2158" s="11">
        <v>1</v>
      </c>
      <c r="E2158" s="12">
        <v>68622</v>
      </c>
      <c r="F2158" s="13">
        <v>68622</v>
      </c>
      <c r="G2158" s="2">
        <f>VLOOKUP(B2158,'PO with created By ASR'!A:C,3,FALSE)</f>
        <v>45706</v>
      </c>
      <c r="J2158" s="2" t="str">
        <f>VLOOKUP(B2158,'PO with created By ASR'!A:G,4,FALSE)</f>
        <v>Candor Commuting Cab Pvt Ltd-Del</v>
      </c>
      <c r="K2158" s="2" t="str">
        <f>VLOOKUP(B2158,'PO with created By ASR'!A:I,6,FALSE)</f>
        <v>11752  Candor Commuting Cab Pvt Ltd</v>
      </c>
      <c r="L2158" s="2" t="str">
        <f>VLOOKUP(B2158,'PO with created By ASR'!A:J,7,FALSE)</f>
        <v>D - Delhi</v>
      </c>
      <c r="M2158" s="2" t="str">
        <f>VLOOKUP(B2158,'PO with created By ASR'!A:K,8,FALSE)</f>
        <v>Purchase Order-Del</v>
      </c>
      <c r="N2158" t="s">
        <v>36</v>
      </c>
      <c r="P2158" s="2">
        <v>6</v>
      </c>
    </row>
    <row r="2159" s="2" customFormat="1" spans="1:16">
      <c r="A2159" s="8"/>
      <c r="B2159" s="9" t="s">
        <v>3377</v>
      </c>
      <c r="C2159" s="10" t="s">
        <v>676</v>
      </c>
      <c r="D2159" s="11">
        <v>1</v>
      </c>
      <c r="E2159" s="12">
        <v>1715.55</v>
      </c>
      <c r="F2159" s="13">
        <v>1715.55</v>
      </c>
      <c r="G2159" s="2">
        <f>VLOOKUP(B2159,'PO with created By ASR'!A:C,3,FALSE)</f>
        <v>45706</v>
      </c>
      <c r="J2159" s="2" t="str">
        <f>VLOOKUP(B2159,'PO with created By ASR'!A:G,4,FALSE)</f>
        <v>Candor Commuting Cab Pvt Ltd-Del</v>
      </c>
      <c r="K2159" s="2" t="str">
        <f>VLOOKUP(B2159,'PO with created By ASR'!A:I,6,FALSE)</f>
        <v>11752  Candor Commuting Cab Pvt Ltd</v>
      </c>
      <c r="L2159" s="2" t="str">
        <f>VLOOKUP(B2159,'PO with created By ASR'!A:J,7,FALSE)</f>
        <v>D - Delhi</v>
      </c>
      <c r="M2159" s="2" t="str">
        <f>VLOOKUP(B2159,'PO with created By ASR'!A:K,8,FALSE)</f>
        <v>Purchase Order-Del</v>
      </c>
      <c r="N2159" t="s">
        <v>36</v>
      </c>
      <c r="P2159" s="2">
        <v>6</v>
      </c>
    </row>
    <row r="2160" s="2" customFormat="1" spans="1:16">
      <c r="A2160" s="8"/>
      <c r="B2160" s="9" t="s">
        <v>3377</v>
      </c>
      <c r="C2160" s="10" t="s">
        <v>4365</v>
      </c>
      <c r="D2160" s="11">
        <v>1</v>
      </c>
      <c r="E2160" s="12">
        <v>1715.55</v>
      </c>
      <c r="F2160" s="13">
        <v>1715.55</v>
      </c>
      <c r="G2160" s="2">
        <f>VLOOKUP(B2160,'PO with created By ASR'!A:C,3,FALSE)</f>
        <v>45706</v>
      </c>
      <c r="J2160" s="2" t="str">
        <f>VLOOKUP(B2160,'PO with created By ASR'!A:G,4,FALSE)</f>
        <v>Candor Commuting Cab Pvt Ltd-Del</v>
      </c>
      <c r="K2160" s="2" t="str">
        <f>VLOOKUP(B2160,'PO with created By ASR'!A:I,6,FALSE)</f>
        <v>11752  Candor Commuting Cab Pvt Ltd</v>
      </c>
      <c r="L2160" s="2" t="str">
        <f>VLOOKUP(B2160,'PO with created By ASR'!A:J,7,FALSE)</f>
        <v>D - Delhi</v>
      </c>
      <c r="M2160" s="2" t="str">
        <f>VLOOKUP(B2160,'PO with created By ASR'!A:K,8,FALSE)</f>
        <v>Purchase Order-Del</v>
      </c>
      <c r="N2160" t="s">
        <v>36</v>
      </c>
      <c r="P2160" s="2">
        <v>6</v>
      </c>
    </row>
    <row r="2161" s="2" customFormat="1" spans="1:16">
      <c r="A2161" s="8"/>
      <c r="B2161" s="9" t="s">
        <v>3380</v>
      </c>
      <c r="C2161" s="10" t="s">
        <v>119</v>
      </c>
      <c r="D2161" s="11">
        <v>1</v>
      </c>
      <c r="E2161" s="12">
        <v>289644.5</v>
      </c>
      <c r="F2161" s="13">
        <v>289644.5</v>
      </c>
      <c r="G2161" s="2">
        <f>VLOOKUP(B2161,'PO with created By ASR'!A:C,3,FALSE)</f>
        <v>45706</v>
      </c>
      <c r="J2161" s="2" t="str">
        <f>VLOOKUP(B2161,'PO with created By ASR'!A:G,4,FALSE)</f>
        <v>Rastey Commuting Services Pvt Ltd-Del</v>
      </c>
      <c r="K2161" s="2" t="str">
        <f>VLOOKUP(B2161,'PO with created By ASR'!A:I,6,FALSE)</f>
        <v>12319  Rastey Commuting Services Pvt Ltd</v>
      </c>
      <c r="L2161" s="2" t="str">
        <f>VLOOKUP(B2161,'PO with created By ASR'!A:J,7,FALSE)</f>
        <v>D - Delhi</v>
      </c>
      <c r="M2161" s="2" t="str">
        <f>VLOOKUP(B2161,'PO with created By ASR'!A:K,8,FALSE)</f>
        <v>Purchase Order-Del</v>
      </c>
      <c r="N2161" t="s">
        <v>36</v>
      </c>
      <c r="P2161" s="2">
        <v>6</v>
      </c>
    </row>
    <row r="2162" s="2" customFormat="1" spans="1:16">
      <c r="A2162" s="8"/>
      <c r="B2162" s="9" t="s">
        <v>3380</v>
      </c>
      <c r="C2162" s="10" t="s">
        <v>676</v>
      </c>
      <c r="D2162" s="11">
        <v>1</v>
      </c>
      <c r="E2162" s="12">
        <v>7241.11</v>
      </c>
      <c r="F2162" s="13">
        <v>7241.11</v>
      </c>
      <c r="G2162" s="2">
        <f>VLOOKUP(B2162,'PO with created By ASR'!A:C,3,FALSE)</f>
        <v>45706</v>
      </c>
      <c r="J2162" s="2" t="str">
        <f>VLOOKUP(B2162,'PO with created By ASR'!A:G,4,FALSE)</f>
        <v>Rastey Commuting Services Pvt Ltd-Del</v>
      </c>
      <c r="K2162" s="2" t="str">
        <f>VLOOKUP(B2162,'PO with created By ASR'!A:I,6,FALSE)</f>
        <v>12319  Rastey Commuting Services Pvt Ltd</v>
      </c>
      <c r="L2162" s="2" t="str">
        <f>VLOOKUP(B2162,'PO with created By ASR'!A:J,7,FALSE)</f>
        <v>D - Delhi</v>
      </c>
      <c r="M2162" s="2" t="str">
        <f>VLOOKUP(B2162,'PO with created By ASR'!A:K,8,FALSE)</f>
        <v>Purchase Order-Del</v>
      </c>
      <c r="N2162" t="s">
        <v>36</v>
      </c>
      <c r="P2162" s="2">
        <v>6</v>
      </c>
    </row>
    <row r="2163" s="2" customFormat="1" spans="1:16">
      <c r="A2163" s="8"/>
      <c r="B2163" s="9" t="s">
        <v>3380</v>
      </c>
      <c r="C2163" s="10" t="s">
        <v>4365</v>
      </c>
      <c r="D2163" s="11">
        <v>1</v>
      </c>
      <c r="E2163" s="12">
        <v>7241.11</v>
      </c>
      <c r="F2163" s="13">
        <v>7241.11</v>
      </c>
      <c r="G2163" s="2">
        <f>VLOOKUP(B2163,'PO with created By ASR'!A:C,3,FALSE)</f>
        <v>45706</v>
      </c>
      <c r="J2163" s="2" t="str">
        <f>VLOOKUP(B2163,'PO with created By ASR'!A:G,4,FALSE)</f>
        <v>Rastey Commuting Services Pvt Ltd-Del</v>
      </c>
      <c r="K2163" s="2" t="str">
        <f>VLOOKUP(B2163,'PO with created By ASR'!A:I,6,FALSE)</f>
        <v>12319  Rastey Commuting Services Pvt Ltd</v>
      </c>
      <c r="L2163" s="2" t="str">
        <f>VLOOKUP(B2163,'PO with created By ASR'!A:J,7,FALSE)</f>
        <v>D - Delhi</v>
      </c>
      <c r="M2163" s="2" t="str">
        <f>VLOOKUP(B2163,'PO with created By ASR'!A:K,8,FALSE)</f>
        <v>Purchase Order-Del</v>
      </c>
      <c r="N2163" t="s">
        <v>36</v>
      </c>
      <c r="P2163" s="2">
        <v>6</v>
      </c>
    </row>
    <row r="2164" s="2" customFormat="1" spans="1:16">
      <c r="A2164" s="8"/>
      <c r="B2164" s="9" t="s">
        <v>3381</v>
      </c>
      <c r="C2164" s="10" t="s">
        <v>196</v>
      </c>
      <c r="D2164" s="11">
        <v>1</v>
      </c>
      <c r="E2164" s="12">
        <v>1030</v>
      </c>
      <c r="F2164" s="13">
        <v>1030</v>
      </c>
      <c r="G2164" s="2">
        <f>VLOOKUP(B2164,'PO with created By ASR'!A:C,3,FALSE)</f>
        <v>45706</v>
      </c>
      <c r="J2164" s="2" t="str">
        <f>VLOOKUP(B2164,'PO with created By ASR'!A:G,4,FALSE)</f>
        <v>Fortune Print Services-Del</v>
      </c>
      <c r="K2164" s="2" t="str">
        <f>VLOOKUP(B2164,'PO with created By ASR'!A:I,6,FALSE)</f>
        <v>11930 Fortune Print Services</v>
      </c>
      <c r="L2164" s="2" t="str">
        <f>VLOOKUP(B2164,'PO with created By ASR'!A:J,7,FALSE)</f>
        <v>D - Delhi</v>
      </c>
      <c r="M2164" s="2" t="str">
        <f>VLOOKUP(B2164,'PO with created By ASR'!A:K,8,FALSE)</f>
        <v>Purchase Order-Del</v>
      </c>
      <c r="N2164" t="s">
        <v>36</v>
      </c>
      <c r="P2164" s="2">
        <v>6</v>
      </c>
    </row>
    <row r="2165" s="2" customFormat="1" spans="1:16">
      <c r="A2165" s="8"/>
      <c r="B2165" s="9" t="s">
        <v>3382</v>
      </c>
      <c r="C2165" s="10" t="s">
        <v>140</v>
      </c>
      <c r="D2165" s="11">
        <v>1</v>
      </c>
      <c r="E2165" s="12">
        <v>800</v>
      </c>
      <c r="F2165" s="13">
        <v>800</v>
      </c>
      <c r="G2165" s="2">
        <f>VLOOKUP(B2165,'PO with created By ASR'!A:C,3,FALSE)</f>
        <v>45706</v>
      </c>
      <c r="J2165" s="2" t="str">
        <f>VLOOKUP(B2165,'PO with created By ASR'!A:G,4,FALSE)</f>
        <v>Corporate Gift-Del</v>
      </c>
      <c r="K2165" s="2" t="str">
        <f>VLOOKUP(B2165,'PO with created By ASR'!A:I,6,FALSE)</f>
        <v>11790 Corporate Gift</v>
      </c>
      <c r="L2165" s="2" t="str">
        <f>VLOOKUP(B2165,'PO with created By ASR'!A:J,7,FALSE)</f>
        <v>D - Delhi</v>
      </c>
      <c r="M2165" s="2" t="str">
        <f>VLOOKUP(B2165,'PO with created By ASR'!A:K,8,FALSE)</f>
        <v>Purchase Order-Del</v>
      </c>
      <c r="N2165" t="s">
        <v>36</v>
      </c>
      <c r="P2165" s="2">
        <v>6</v>
      </c>
    </row>
    <row r="2166" s="2" customFormat="1" spans="1:16">
      <c r="A2166" s="8"/>
      <c r="B2166" s="9" t="s">
        <v>3383</v>
      </c>
      <c r="C2166" s="10" t="s">
        <v>317</v>
      </c>
      <c r="D2166" s="11">
        <v>1</v>
      </c>
      <c r="E2166" s="12">
        <v>80000</v>
      </c>
      <c r="F2166" s="13">
        <v>80000</v>
      </c>
      <c r="G2166" s="2">
        <f>VLOOKUP(B2166,'PO with created By ASR'!A:C,3,FALSE)</f>
        <v>45706</v>
      </c>
      <c r="J2166" s="2" t="str">
        <f>VLOOKUP(B2166,'PO with created By ASR'!A:G,4,FALSE)</f>
        <v>Cockpitmarx -Del</v>
      </c>
      <c r="K2166" s="2" t="e">
        <f>VLOOKUP(B2166,'PO with created By ASR'!A:I,6,FALSE)</f>
        <v>#N/A</v>
      </c>
      <c r="L2166" s="2" t="str">
        <f>VLOOKUP(B2166,'PO with created By ASR'!A:J,7,FALSE)</f>
        <v>D - Delhi</v>
      </c>
      <c r="M2166" s="2" t="str">
        <f>VLOOKUP(B2166,'PO with created By ASR'!A:K,8,FALSE)</f>
        <v>Purchase Order-Del</v>
      </c>
      <c r="N2166" t="s">
        <v>36</v>
      </c>
      <c r="P2166" s="2">
        <v>6</v>
      </c>
    </row>
    <row r="2167" s="2" customFormat="1" spans="1:16">
      <c r="A2167" s="8"/>
      <c r="B2167" s="9" t="s">
        <v>3385</v>
      </c>
      <c r="C2167" s="10" t="s">
        <v>317</v>
      </c>
      <c r="D2167" s="11">
        <v>1</v>
      </c>
      <c r="E2167" s="12">
        <v>251840</v>
      </c>
      <c r="F2167" s="13">
        <v>251840</v>
      </c>
      <c r="G2167" s="2">
        <f>VLOOKUP(B2167,'PO with created By ASR'!A:C,3,FALSE)</f>
        <v>45706</v>
      </c>
      <c r="J2167" s="2" t="str">
        <f>VLOOKUP(B2167,'PO with created By ASR'!A:G,4,FALSE)</f>
        <v>Cockpitmarx -Del</v>
      </c>
      <c r="K2167" s="2" t="e">
        <f>VLOOKUP(B2167,'PO with created By ASR'!A:I,6,FALSE)</f>
        <v>#N/A</v>
      </c>
      <c r="L2167" s="2" t="str">
        <f>VLOOKUP(B2167,'PO with created By ASR'!A:J,7,FALSE)</f>
        <v>D - Delhi</v>
      </c>
      <c r="M2167" s="2" t="str">
        <f>VLOOKUP(B2167,'PO with created By ASR'!A:K,8,FALSE)</f>
        <v>Purchase Order-Del</v>
      </c>
      <c r="N2167" t="s">
        <v>36</v>
      </c>
      <c r="P2167" s="2">
        <v>6</v>
      </c>
    </row>
    <row r="2168" s="2" customFormat="1" spans="1:16">
      <c r="A2168" s="8"/>
      <c r="B2168" s="9" t="s">
        <v>3387</v>
      </c>
      <c r="C2168" s="10" t="s">
        <v>196</v>
      </c>
      <c r="D2168" s="11">
        <v>1</v>
      </c>
      <c r="E2168" s="12">
        <v>6700</v>
      </c>
      <c r="F2168" s="13">
        <v>6700</v>
      </c>
      <c r="G2168" s="2">
        <f>VLOOKUP(B2168,'PO with created By ASR'!A:C,3,FALSE)</f>
        <v>45706</v>
      </c>
      <c r="J2168" s="2" t="str">
        <f>VLOOKUP(B2168,'PO with created By ASR'!A:G,4,FALSE)</f>
        <v>Cockpitmarx -Del</v>
      </c>
      <c r="K2168" s="2" t="e">
        <f>VLOOKUP(B2168,'PO with created By ASR'!A:I,6,FALSE)</f>
        <v>#N/A</v>
      </c>
      <c r="L2168" s="2" t="str">
        <f>VLOOKUP(B2168,'PO with created By ASR'!A:J,7,FALSE)</f>
        <v>D - Delhi</v>
      </c>
      <c r="M2168" s="2" t="str">
        <f>VLOOKUP(B2168,'PO with created By ASR'!A:K,8,FALSE)</f>
        <v>Purchase Order-Del</v>
      </c>
      <c r="N2168" t="s">
        <v>36</v>
      </c>
      <c r="P2168" s="2">
        <v>6</v>
      </c>
    </row>
    <row r="2169" s="2" customFormat="1" spans="1:16">
      <c r="A2169" s="8"/>
      <c r="B2169" s="9" t="s">
        <v>3389</v>
      </c>
      <c r="C2169" s="10" t="s">
        <v>126</v>
      </c>
      <c r="D2169" s="11">
        <v>1</v>
      </c>
      <c r="E2169" s="12">
        <v>2596</v>
      </c>
      <c r="F2169" s="13">
        <v>2596</v>
      </c>
      <c r="G2169" s="2">
        <f>VLOOKUP(B2169,'PO with created By ASR'!A:C,3,FALSE)</f>
        <v>45706</v>
      </c>
      <c r="J2169" s="2" t="str">
        <f>VLOOKUP(B2169,'PO with created By ASR'!A:G,4,FALSE)</f>
        <v>Anshika Mishra  -CR</v>
      </c>
      <c r="K2169" s="2" t="e">
        <f>VLOOKUP(B2169,'PO with created By ASR'!A:I,6,FALSE)</f>
        <v>#N/A</v>
      </c>
      <c r="L2169" s="2" t="str">
        <f>VLOOKUP(B2169,'PO with created By ASR'!A:J,7,FALSE)</f>
        <v>D - Delhi</v>
      </c>
      <c r="M2169" s="2" t="str">
        <f>VLOOKUP(B2169,'PO with created By ASR'!A:K,8,FALSE)</f>
        <v>Purchase Order-Del</v>
      </c>
      <c r="N2169" t="s">
        <v>36</v>
      </c>
      <c r="P2169" s="2">
        <v>6</v>
      </c>
    </row>
    <row r="2170" s="2" customFormat="1" spans="1:16">
      <c r="A2170" s="8"/>
      <c r="B2170" s="9" t="s">
        <v>3389</v>
      </c>
      <c r="C2170" s="10" t="s">
        <v>412</v>
      </c>
      <c r="D2170" s="11">
        <v>1</v>
      </c>
      <c r="E2170" s="12">
        <v>7251</v>
      </c>
      <c r="F2170" s="13">
        <v>7251</v>
      </c>
      <c r="G2170" s="2">
        <f>VLOOKUP(B2170,'PO with created By ASR'!A:C,3,FALSE)</f>
        <v>45706</v>
      </c>
      <c r="J2170" s="2" t="str">
        <f>VLOOKUP(B2170,'PO with created By ASR'!A:G,4,FALSE)</f>
        <v>Anshika Mishra  -CR</v>
      </c>
      <c r="K2170" s="2" t="e">
        <f>VLOOKUP(B2170,'PO with created By ASR'!A:I,6,FALSE)</f>
        <v>#N/A</v>
      </c>
      <c r="L2170" s="2" t="str">
        <f>VLOOKUP(B2170,'PO with created By ASR'!A:J,7,FALSE)</f>
        <v>D - Delhi</v>
      </c>
      <c r="M2170" s="2" t="str">
        <f>VLOOKUP(B2170,'PO with created By ASR'!A:K,8,FALSE)</f>
        <v>Purchase Order-Del</v>
      </c>
      <c r="N2170" t="s">
        <v>36</v>
      </c>
      <c r="P2170" s="2">
        <v>6</v>
      </c>
    </row>
    <row r="2171" s="2" customFormat="1" spans="1:16">
      <c r="A2171" s="8"/>
      <c r="B2171" s="9" t="s">
        <v>3393</v>
      </c>
      <c r="C2171" s="10" t="s">
        <v>126</v>
      </c>
      <c r="D2171" s="11">
        <v>1</v>
      </c>
      <c r="E2171" s="12">
        <v>2670</v>
      </c>
      <c r="F2171" s="13">
        <v>2670</v>
      </c>
      <c r="G2171" s="2">
        <f>VLOOKUP(B2171,'PO with created By ASR'!A:C,3,FALSE)</f>
        <v>45706</v>
      </c>
      <c r="J2171" s="2" t="str">
        <f>VLOOKUP(B2171,'PO with created By ASR'!A:G,4,FALSE)</f>
        <v>Banty......... -CR</v>
      </c>
      <c r="K2171" s="2" t="e">
        <f>VLOOKUP(B2171,'PO with created By ASR'!A:I,6,FALSE)</f>
        <v>#N/A</v>
      </c>
      <c r="L2171" s="2" t="str">
        <f>VLOOKUP(B2171,'PO with created By ASR'!A:J,7,FALSE)</f>
        <v>D - Delhi</v>
      </c>
      <c r="M2171" s="2" t="str">
        <f>VLOOKUP(B2171,'PO with created By ASR'!A:K,8,FALSE)</f>
        <v>Purchase Order-Del</v>
      </c>
      <c r="N2171" t="s">
        <v>36</v>
      </c>
      <c r="P2171" s="2">
        <v>6</v>
      </c>
    </row>
    <row r="2172" s="2" customFormat="1" spans="1:16">
      <c r="A2172" s="8"/>
      <c r="B2172" s="9" t="s">
        <v>3393</v>
      </c>
      <c r="C2172" s="10" t="s">
        <v>412</v>
      </c>
      <c r="D2172" s="11">
        <v>1</v>
      </c>
      <c r="E2172" s="12">
        <v>1000</v>
      </c>
      <c r="F2172" s="13">
        <v>1000</v>
      </c>
      <c r="G2172" s="2">
        <f>VLOOKUP(B2172,'PO with created By ASR'!A:C,3,FALSE)</f>
        <v>45706</v>
      </c>
      <c r="J2172" s="2" t="str">
        <f>VLOOKUP(B2172,'PO with created By ASR'!A:G,4,FALSE)</f>
        <v>Banty......... -CR</v>
      </c>
      <c r="K2172" s="2" t="e">
        <f>VLOOKUP(B2172,'PO with created By ASR'!A:I,6,FALSE)</f>
        <v>#N/A</v>
      </c>
      <c r="L2172" s="2" t="str">
        <f>VLOOKUP(B2172,'PO with created By ASR'!A:J,7,FALSE)</f>
        <v>D - Delhi</v>
      </c>
      <c r="M2172" s="2" t="str">
        <f>VLOOKUP(B2172,'PO with created By ASR'!A:K,8,FALSE)</f>
        <v>Purchase Order-Del</v>
      </c>
      <c r="N2172" t="s">
        <v>36</v>
      </c>
      <c r="P2172" s="2">
        <v>6</v>
      </c>
    </row>
    <row r="2173" s="2" customFormat="1" spans="1:16">
      <c r="A2173" s="8"/>
      <c r="B2173" s="9" t="s">
        <v>3395</v>
      </c>
      <c r="C2173" s="10" t="s">
        <v>126</v>
      </c>
      <c r="D2173" s="11">
        <v>1</v>
      </c>
      <c r="E2173" s="12">
        <v>17852</v>
      </c>
      <c r="F2173" s="13">
        <v>17852</v>
      </c>
      <c r="G2173" s="2">
        <f>VLOOKUP(B2173,'PO with created By ASR'!A:C,3,FALSE)</f>
        <v>45706</v>
      </c>
      <c r="J2173" s="2" t="str">
        <f>VLOOKUP(B2173,'PO with created By ASR'!A:G,4,FALSE)</f>
        <v>Banty......... -CR</v>
      </c>
      <c r="K2173" s="2" t="e">
        <f>VLOOKUP(B2173,'PO with created By ASR'!A:I,6,FALSE)</f>
        <v>#N/A</v>
      </c>
      <c r="L2173" s="2" t="str">
        <f>VLOOKUP(B2173,'PO with created By ASR'!A:J,7,FALSE)</f>
        <v>D - Delhi</v>
      </c>
      <c r="M2173" s="2" t="str">
        <f>VLOOKUP(B2173,'PO with created By ASR'!A:K,8,FALSE)</f>
        <v>Purchase Order-Del</v>
      </c>
      <c r="N2173" t="s">
        <v>36</v>
      </c>
      <c r="P2173" s="2">
        <v>6</v>
      </c>
    </row>
    <row r="2174" s="2" customFormat="1" spans="1:16">
      <c r="A2174" s="8"/>
      <c r="B2174" s="9" t="s">
        <v>3395</v>
      </c>
      <c r="C2174" s="10" t="s">
        <v>412</v>
      </c>
      <c r="D2174" s="11">
        <v>1</v>
      </c>
      <c r="E2174" s="12">
        <v>7600</v>
      </c>
      <c r="F2174" s="13">
        <v>7600</v>
      </c>
      <c r="G2174" s="2">
        <f>VLOOKUP(B2174,'PO with created By ASR'!A:C,3,FALSE)</f>
        <v>45706</v>
      </c>
      <c r="J2174" s="2" t="str">
        <f>VLOOKUP(B2174,'PO with created By ASR'!A:G,4,FALSE)</f>
        <v>Banty......... -CR</v>
      </c>
      <c r="K2174" s="2" t="e">
        <f>VLOOKUP(B2174,'PO with created By ASR'!A:I,6,FALSE)</f>
        <v>#N/A</v>
      </c>
      <c r="L2174" s="2" t="str">
        <f>VLOOKUP(B2174,'PO with created By ASR'!A:J,7,FALSE)</f>
        <v>D - Delhi</v>
      </c>
      <c r="M2174" s="2" t="str">
        <f>VLOOKUP(B2174,'PO with created By ASR'!A:K,8,FALSE)</f>
        <v>Purchase Order-Del</v>
      </c>
      <c r="N2174" t="s">
        <v>36</v>
      </c>
      <c r="P2174" s="2">
        <v>6</v>
      </c>
    </row>
    <row r="2175" s="2" customFormat="1" spans="1:16">
      <c r="A2175" s="8"/>
      <c r="B2175" s="9" t="s">
        <v>3395</v>
      </c>
      <c r="C2175" s="10" t="s">
        <v>4366</v>
      </c>
      <c r="D2175" s="11">
        <v>1</v>
      </c>
      <c r="E2175" s="12">
        <v>350</v>
      </c>
      <c r="F2175" s="13">
        <v>350</v>
      </c>
      <c r="G2175" s="2">
        <f>VLOOKUP(B2175,'PO with created By ASR'!A:C,3,FALSE)</f>
        <v>45706</v>
      </c>
      <c r="J2175" s="2" t="str">
        <f>VLOOKUP(B2175,'PO with created By ASR'!A:G,4,FALSE)</f>
        <v>Banty......... -CR</v>
      </c>
      <c r="K2175" s="2" t="e">
        <f>VLOOKUP(B2175,'PO with created By ASR'!A:I,6,FALSE)</f>
        <v>#N/A</v>
      </c>
      <c r="L2175" s="2" t="str">
        <f>VLOOKUP(B2175,'PO with created By ASR'!A:J,7,FALSE)</f>
        <v>D - Delhi</v>
      </c>
      <c r="M2175" s="2" t="str">
        <f>VLOOKUP(B2175,'PO with created By ASR'!A:K,8,FALSE)</f>
        <v>Purchase Order-Del</v>
      </c>
      <c r="N2175" t="s">
        <v>36</v>
      </c>
      <c r="P2175" s="2">
        <v>6</v>
      </c>
    </row>
    <row r="2176" s="2" customFormat="1" spans="1:16">
      <c r="A2176" s="8"/>
      <c r="B2176" s="9" t="s">
        <v>3398</v>
      </c>
      <c r="C2176" s="10" t="s">
        <v>140</v>
      </c>
      <c r="D2176" s="11">
        <v>1</v>
      </c>
      <c r="E2176" s="12">
        <v>171250</v>
      </c>
      <c r="F2176" s="13">
        <v>171250</v>
      </c>
      <c r="G2176" s="2">
        <f>VLOOKUP(B2176,'PO with created By ASR'!A:C,3,FALSE)</f>
        <v>45706</v>
      </c>
      <c r="J2176" s="2" t="str">
        <f>VLOOKUP(B2176,'PO with created By ASR'!A:G,4,FALSE)</f>
        <v>Pavni Enterprises-Del</v>
      </c>
      <c r="K2176" s="2" t="str">
        <f>VLOOKUP(B2176,'PO with created By ASR'!A:I,6,FALSE)</f>
        <v>11122 Pavni Enterprises</v>
      </c>
      <c r="L2176" s="2" t="str">
        <f>VLOOKUP(B2176,'PO with created By ASR'!A:J,7,FALSE)</f>
        <v>D - Delhi</v>
      </c>
      <c r="M2176" s="2" t="str">
        <f>VLOOKUP(B2176,'PO with created By ASR'!A:K,8,FALSE)</f>
        <v>Purchase Order-Del</v>
      </c>
      <c r="N2176" t="s">
        <v>36</v>
      </c>
      <c r="P2176" s="2">
        <v>6</v>
      </c>
    </row>
    <row r="2177" s="2" customFormat="1" spans="1:16">
      <c r="A2177" s="8"/>
      <c r="B2177" s="9" t="s">
        <v>3399</v>
      </c>
      <c r="C2177" s="10" t="s">
        <v>126</v>
      </c>
      <c r="D2177" s="11">
        <v>1</v>
      </c>
      <c r="E2177" s="12">
        <v>840</v>
      </c>
      <c r="F2177" s="13">
        <v>840</v>
      </c>
      <c r="G2177" s="2">
        <f>VLOOKUP(B2177,'PO with created By ASR'!A:C,3,FALSE)</f>
        <v>45706</v>
      </c>
      <c r="J2177" s="2" t="str">
        <f>VLOOKUP(B2177,'PO with created By ASR'!A:G,4,FALSE)</f>
        <v>Jagdish (Runner) ....... -CR</v>
      </c>
      <c r="K2177" s="2" t="e">
        <f>VLOOKUP(B2177,'PO with created By ASR'!A:I,6,FALSE)</f>
        <v>#N/A</v>
      </c>
      <c r="L2177" s="2" t="str">
        <f>VLOOKUP(B2177,'PO with created By ASR'!A:J,7,FALSE)</f>
        <v>D - Delhi</v>
      </c>
      <c r="M2177" s="2" t="str">
        <f>VLOOKUP(B2177,'PO with created By ASR'!A:K,8,FALSE)</f>
        <v>Purchase Order-Del</v>
      </c>
      <c r="N2177" t="s">
        <v>36</v>
      </c>
      <c r="P2177" s="2">
        <v>6</v>
      </c>
    </row>
    <row r="2178" s="2" customFormat="1" spans="1:16">
      <c r="A2178" s="8"/>
      <c r="B2178" s="9" t="s">
        <v>3399</v>
      </c>
      <c r="C2178" s="10" t="s">
        <v>412</v>
      </c>
      <c r="D2178" s="11">
        <v>1</v>
      </c>
      <c r="E2178" s="12">
        <v>1200</v>
      </c>
      <c r="F2178" s="13">
        <v>1200</v>
      </c>
      <c r="G2178" s="2">
        <f>VLOOKUP(B2178,'PO with created By ASR'!A:C,3,FALSE)</f>
        <v>45706</v>
      </c>
      <c r="J2178" s="2" t="str">
        <f>VLOOKUP(B2178,'PO with created By ASR'!A:G,4,FALSE)</f>
        <v>Jagdish (Runner) ....... -CR</v>
      </c>
      <c r="K2178" s="2" t="e">
        <f>VLOOKUP(B2178,'PO with created By ASR'!A:I,6,FALSE)</f>
        <v>#N/A</v>
      </c>
      <c r="L2178" s="2" t="str">
        <f>VLOOKUP(B2178,'PO with created By ASR'!A:J,7,FALSE)</f>
        <v>D - Delhi</v>
      </c>
      <c r="M2178" s="2" t="str">
        <f>VLOOKUP(B2178,'PO with created By ASR'!A:K,8,FALSE)</f>
        <v>Purchase Order-Del</v>
      </c>
      <c r="N2178" t="s">
        <v>36</v>
      </c>
      <c r="P2178" s="2">
        <v>6</v>
      </c>
    </row>
    <row r="2179" s="2" customFormat="1" spans="1:16">
      <c r="A2179" s="8"/>
      <c r="B2179" s="9" t="s">
        <v>3402</v>
      </c>
      <c r="C2179" s="10" t="s">
        <v>126</v>
      </c>
      <c r="D2179" s="11">
        <v>1</v>
      </c>
      <c r="E2179" s="12">
        <v>3468</v>
      </c>
      <c r="F2179" s="13">
        <v>3468</v>
      </c>
      <c r="G2179" s="2">
        <f>VLOOKUP(B2179,'PO with created By ASR'!A:C,3,FALSE)</f>
        <v>45706</v>
      </c>
      <c r="J2179" s="2" t="str">
        <f>VLOOKUP(B2179,'PO with created By ASR'!A:G,4,FALSE)</f>
        <v>Jagdish (Runner) ....... -CR</v>
      </c>
      <c r="K2179" s="2" t="e">
        <f>VLOOKUP(B2179,'PO with created By ASR'!A:I,6,FALSE)</f>
        <v>#N/A</v>
      </c>
      <c r="L2179" s="2" t="str">
        <f>VLOOKUP(B2179,'PO with created By ASR'!A:J,7,FALSE)</f>
        <v>D - Delhi</v>
      </c>
      <c r="M2179" s="2" t="str">
        <f>VLOOKUP(B2179,'PO with created By ASR'!A:K,8,FALSE)</f>
        <v>Purchase Order-Del</v>
      </c>
      <c r="N2179" t="s">
        <v>36</v>
      </c>
      <c r="P2179" s="2">
        <v>6</v>
      </c>
    </row>
    <row r="2180" s="2" customFormat="1" spans="1:16">
      <c r="A2180" s="8"/>
      <c r="B2180" s="9" t="s">
        <v>3402</v>
      </c>
      <c r="C2180" s="10" t="s">
        <v>412</v>
      </c>
      <c r="D2180" s="11">
        <v>1</v>
      </c>
      <c r="E2180" s="12">
        <v>4400</v>
      </c>
      <c r="F2180" s="13">
        <v>4400</v>
      </c>
      <c r="G2180" s="2">
        <f>VLOOKUP(B2180,'PO with created By ASR'!A:C,3,FALSE)</f>
        <v>45706</v>
      </c>
      <c r="J2180" s="2" t="str">
        <f>VLOOKUP(B2180,'PO with created By ASR'!A:G,4,FALSE)</f>
        <v>Jagdish (Runner) ....... -CR</v>
      </c>
      <c r="K2180" s="2" t="e">
        <f>VLOOKUP(B2180,'PO with created By ASR'!A:I,6,FALSE)</f>
        <v>#N/A</v>
      </c>
      <c r="L2180" s="2" t="str">
        <f>VLOOKUP(B2180,'PO with created By ASR'!A:J,7,FALSE)</f>
        <v>D - Delhi</v>
      </c>
      <c r="M2180" s="2" t="str">
        <f>VLOOKUP(B2180,'PO with created By ASR'!A:K,8,FALSE)</f>
        <v>Purchase Order-Del</v>
      </c>
      <c r="N2180" t="s">
        <v>36</v>
      </c>
      <c r="P2180" s="2">
        <v>6</v>
      </c>
    </row>
    <row r="2181" s="2" customFormat="1" spans="1:16">
      <c r="A2181" s="8"/>
      <c r="B2181" s="9" t="s">
        <v>3402</v>
      </c>
      <c r="C2181" s="10" t="s">
        <v>4366</v>
      </c>
      <c r="D2181" s="11">
        <v>1</v>
      </c>
      <c r="E2181" s="12">
        <v>350</v>
      </c>
      <c r="F2181" s="13">
        <v>350</v>
      </c>
      <c r="G2181" s="2">
        <f>VLOOKUP(B2181,'PO with created By ASR'!A:C,3,FALSE)</f>
        <v>45706</v>
      </c>
      <c r="J2181" s="2" t="str">
        <f>VLOOKUP(B2181,'PO with created By ASR'!A:G,4,FALSE)</f>
        <v>Jagdish (Runner) ....... -CR</v>
      </c>
      <c r="K2181" s="2" t="e">
        <f>VLOOKUP(B2181,'PO with created By ASR'!A:I,6,FALSE)</f>
        <v>#N/A</v>
      </c>
      <c r="L2181" s="2" t="str">
        <f>VLOOKUP(B2181,'PO with created By ASR'!A:J,7,FALSE)</f>
        <v>D - Delhi</v>
      </c>
      <c r="M2181" s="2" t="str">
        <f>VLOOKUP(B2181,'PO with created By ASR'!A:K,8,FALSE)</f>
        <v>Purchase Order-Del</v>
      </c>
      <c r="N2181" t="s">
        <v>36</v>
      </c>
      <c r="P2181" s="2">
        <v>6</v>
      </c>
    </row>
    <row r="2182" s="2" customFormat="1" spans="1:16">
      <c r="A2182" s="8"/>
      <c r="B2182" s="9" t="s">
        <v>3403</v>
      </c>
      <c r="C2182" s="10" t="s">
        <v>317</v>
      </c>
      <c r="D2182" s="11">
        <v>1</v>
      </c>
      <c r="E2182" s="12">
        <v>24000</v>
      </c>
      <c r="F2182" s="13">
        <v>24000</v>
      </c>
      <c r="G2182" s="2">
        <f>VLOOKUP(B2182,'PO with created By ASR'!A:C,3,FALSE)</f>
        <v>45706</v>
      </c>
      <c r="J2182" s="2" t="str">
        <f>VLOOKUP(B2182,'PO with created By ASR'!A:G,4,FALSE)</f>
        <v>Nock Time Service-Seema Kumari-Del</v>
      </c>
      <c r="K2182" s="2" t="e">
        <f>VLOOKUP(B2182,'PO with created By ASR'!A:I,6,FALSE)</f>
        <v>#N/A</v>
      </c>
      <c r="L2182" s="2" t="str">
        <f>VLOOKUP(B2182,'PO with created By ASR'!A:J,7,FALSE)</f>
        <v>D - Delhi</v>
      </c>
      <c r="M2182" s="2" t="str">
        <f>VLOOKUP(B2182,'PO with created By ASR'!A:K,8,FALSE)</f>
        <v>Purchase Order-Del</v>
      </c>
      <c r="N2182" t="s">
        <v>36</v>
      </c>
      <c r="P2182" s="2">
        <v>6</v>
      </c>
    </row>
    <row r="2183" s="2" customFormat="1" spans="1:16">
      <c r="A2183" s="8"/>
      <c r="B2183" s="9" t="s">
        <v>3404</v>
      </c>
      <c r="C2183" s="10" t="s">
        <v>292</v>
      </c>
      <c r="D2183" s="11">
        <v>1</v>
      </c>
      <c r="E2183" s="12">
        <v>13000</v>
      </c>
      <c r="F2183" s="13">
        <v>13000</v>
      </c>
      <c r="G2183" s="2">
        <f>VLOOKUP(B2183,'PO with created By ASR'!A:C,3,FALSE)</f>
        <v>45706</v>
      </c>
      <c r="J2183" s="2" t="str">
        <f>VLOOKUP(B2183,'PO with created By ASR'!A:G,4,FALSE)</f>
        <v>GLB Assure Pvt Ltd-Del</v>
      </c>
      <c r="K2183" s="2" t="str">
        <f>VLOOKUP(B2183,'PO with created By ASR'!A:I,6,FALSE)</f>
        <v>12960  GLB Assure Pvt Ltd</v>
      </c>
      <c r="L2183" s="2" t="str">
        <f>VLOOKUP(B2183,'PO with created By ASR'!A:J,7,FALSE)</f>
        <v>D - Delhi</v>
      </c>
      <c r="M2183" s="2" t="str">
        <f>VLOOKUP(B2183,'PO with created By ASR'!A:K,8,FALSE)</f>
        <v>Purchase Order-Del</v>
      </c>
      <c r="N2183" t="s">
        <v>36</v>
      </c>
      <c r="P2183" s="2">
        <v>6</v>
      </c>
    </row>
    <row r="2184" s="2" customFormat="1" spans="1:16">
      <c r="A2184" s="8"/>
      <c r="B2184" s="9" t="s">
        <v>3407</v>
      </c>
      <c r="C2184" s="10" t="s">
        <v>233</v>
      </c>
      <c r="D2184" s="11">
        <v>1</v>
      </c>
      <c r="E2184" s="12">
        <v>39700</v>
      </c>
      <c r="F2184" s="13">
        <v>39700</v>
      </c>
      <c r="G2184" s="2">
        <f>VLOOKUP(B2184,'PO with created By ASR'!A:C,3,FALSE)</f>
        <v>45706</v>
      </c>
      <c r="J2184" s="2" t="str">
        <f>VLOOKUP(B2184,'PO with created By ASR'!A:G,4,FALSE)</f>
        <v>Emerging Auto Solutions Pvt Ltd-Del</v>
      </c>
      <c r="K2184" s="2" t="str">
        <f>VLOOKUP(B2184,'PO with created By ASR'!A:I,6,FALSE)</f>
        <v>12959  Emerging Auto Solutions Pvt Ltd</v>
      </c>
      <c r="L2184" s="2" t="str">
        <f>VLOOKUP(B2184,'PO with created By ASR'!A:J,7,FALSE)</f>
        <v>D - Delhi</v>
      </c>
      <c r="M2184" s="2" t="str">
        <f>VLOOKUP(B2184,'PO with created By ASR'!A:K,8,FALSE)</f>
        <v>Purchase Order-Del</v>
      </c>
      <c r="N2184" t="s">
        <v>36</v>
      </c>
      <c r="P2184" s="2">
        <v>6</v>
      </c>
    </row>
    <row r="2185" s="2" customFormat="1" spans="1:16">
      <c r="A2185" s="8"/>
      <c r="B2185" s="9" t="s">
        <v>3410</v>
      </c>
      <c r="C2185" s="10" t="s">
        <v>196</v>
      </c>
      <c r="D2185" s="11">
        <v>1</v>
      </c>
      <c r="E2185" s="12">
        <v>73250</v>
      </c>
      <c r="F2185" s="13">
        <v>73250</v>
      </c>
      <c r="G2185" s="2">
        <f>VLOOKUP(B2185,'PO with created By ASR'!A:C,3,FALSE)</f>
        <v>45706</v>
      </c>
      <c r="J2185" s="2" t="str">
        <f>VLOOKUP(B2185,'PO with created By ASR'!A:G,4,FALSE)</f>
        <v>Corporate Gift-Del</v>
      </c>
      <c r="K2185" s="2" t="str">
        <f>VLOOKUP(B2185,'PO with created By ASR'!A:I,6,FALSE)</f>
        <v>11790 Corporate Gift</v>
      </c>
      <c r="L2185" s="2" t="str">
        <f>VLOOKUP(B2185,'PO with created By ASR'!A:J,7,FALSE)</f>
        <v>D - Delhi</v>
      </c>
      <c r="M2185" s="2" t="str">
        <f>VLOOKUP(B2185,'PO with created By ASR'!A:K,8,FALSE)</f>
        <v>Purchase Order-Del</v>
      </c>
      <c r="N2185" t="s">
        <v>36</v>
      </c>
      <c r="P2185" s="2">
        <v>6</v>
      </c>
    </row>
    <row r="2186" s="2" customFormat="1" spans="1:16">
      <c r="A2186" s="8"/>
      <c r="B2186" s="9" t="s">
        <v>3411</v>
      </c>
      <c r="C2186" s="10" t="s">
        <v>196</v>
      </c>
      <c r="D2186" s="11">
        <v>1</v>
      </c>
      <c r="E2186" s="12">
        <v>12400</v>
      </c>
      <c r="F2186" s="13">
        <v>12400</v>
      </c>
      <c r="G2186" s="2">
        <f>VLOOKUP(B2186,'PO with created By ASR'!A:C,3,FALSE)</f>
        <v>45706</v>
      </c>
      <c r="J2186" s="2" t="str">
        <f>VLOOKUP(B2186,'PO with created By ASR'!A:G,4,FALSE)</f>
        <v>Fortune Print Services-Del</v>
      </c>
      <c r="K2186" s="2" t="str">
        <f>VLOOKUP(B2186,'PO with created By ASR'!A:I,6,FALSE)</f>
        <v>11930 Fortune Print Services</v>
      </c>
      <c r="L2186" s="2" t="str">
        <f>VLOOKUP(B2186,'PO with created By ASR'!A:J,7,FALSE)</f>
        <v>D - Delhi</v>
      </c>
      <c r="M2186" s="2" t="str">
        <f>VLOOKUP(B2186,'PO with created By ASR'!A:K,8,FALSE)</f>
        <v>Purchase Order-Del</v>
      </c>
      <c r="N2186" t="s">
        <v>36</v>
      </c>
      <c r="P2186" s="2">
        <v>6</v>
      </c>
    </row>
    <row r="2187" s="2" customFormat="1" spans="1:16">
      <c r="A2187" s="8"/>
      <c r="B2187" s="9" t="s">
        <v>3412</v>
      </c>
      <c r="C2187" s="10" t="s">
        <v>292</v>
      </c>
      <c r="D2187" s="11">
        <v>1</v>
      </c>
      <c r="E2187" s="12">
        <v>3600</v>
      </c>
      <c r="F2187" s="13">
        <v>3600</v>
      </c>
      <c r="G2187" s="2">
        <f>VLOOKUP(B2187,'PO with created By ASR'!A:C,3,FALSE)</f>
        <v>45706</v>
      </c>
      <c r="J2187" s="2" t="str">
        <f>VLOOKUP(B2187,'PO with created By ASR'!A:G,4,FALSE)</f>
        <v>Red Carpet Events And Entertainment-Del</v>
      </c>
      <c r="K2187" s="2" t="str">
        <f>VLOOKUP(B2187,'PO with created By ASR'!A:I,6,FALSE)</f>
        <v>12326 Red Carpet Events And Entertainment</v>
      </c>
      <c r="L2187" s="2" t="str">
        <f>VLOOKUP(B2187,'PO with created By ASR'!A:J,7,FALSE)</f>
        <v>D - Delhi</v>
      </c>
      <c r="M2187" s="2" t="str">
        <f>VLOOKUP(B2187,'PO with created By ASR'!A:K,8,FALSE)</f>
        <v>Purchase Order-Del</v>
      </c>
      <c r="N2187" t="s">
        <v>36</v>
      </c>
      <c r="P2187" s="2">
        <v>6</v>
      </c>
    </row>
    <row r="2188" s="2" customFormat="1" spans="1:16">
      <c r="A2188" s="8"/>
      <c r="B2188" s="9" t="s">
        <v>3413</v>
      </c>
      <c r="C2188" s="10" t="s">
        <v>401</v>
      </c>
      <c r="D2188" s="11">
        <v>1</v>
      </c>
      <c r="E2188" s="12">
        <v>5000</v>
      </c>
      <c r="F2188" s="13">
        <v>5000</v>
      </c>
      <c r="G2188" s="2">
        <f>VLOOKUP(B2188,'PO with created By ASR'!A:C,3,FALSE)</f>
        <v>45706</v>
      </c>
      <c r="J2188" s="2" t="str">
        <f>VLOOKUP(B2188,'PO with created By ASR'!A:G,4,FALSE)</f>
        <v>Jai Sai Ram Films-Del</v>
      </c>
      <c r="K2188" s="2" t="str">
        <f>VLOOKUP(B2188,'PO with created By ASR'!A:I,6,FALSE)</f>
        <v>11107 Jai Sai Ram Films</v>
      </c>
      <c r="L2188" s="2" t="str">
        <f>VLOOKUP(B2188,'PO with created By ASR'!A:J,7,FALSE)</f>
        <v>D - Delhi</v>
      </c>
      <c r="M2188" s="2" t="str">
        <f>VLOOKUP(B2188,'PO with created By ASR'!A:K,8,FALSE)</f>
        <v>Purchase Order-Del</v>
      </c>
      <c r="N2188" t="s">
        <v>36</v>
      </c>
      <c r="P2188" s="2">
        <v>6</v>
      </c>
    </row>
    <row r="2189" s="2" customFormat="1" spans="1:16">
      <c r="A2189" s="8"/>
      <c r="B2189" s="9" t="s">
        <v>3416</v>
      </c>
      <c r="C2189" s="10" t="s">
        <v>151</v>
      </c>
      <c r="D2189" s="11">
        <v>1</v>
      </c>
      <c r="E2189" s="12">
        <v>134770</v>
      </c>
      <c r="F2189" s="13">
        <v>134770</v>
      </c>
      <c r="G2189" s="2">
        <f>VLOOKUP(B2189,'PO with created By ASR'!A:C,3,FALSE)</f>
        <v>45706</v>
      </c>
      <c r="J2189" s="2" t="str">
        <f>VLOOKUP(B2189,'PO with created By ASR'!A:G,4,FALSE)</f>
        <v>The Stage Factory-Del</v>
      </c>
      <c r="K2189" s="2" t="str">
        <f>VLOOKUP(B2189,'PO with created By ASR'!A:I,6,FALSE)</f>
        <v>12530 The Stage Factory</v>
      </c>
      <c r="L2189" s="2" t="str">
        <f>VLOOKUP(B2189,'PO with created By ASR'!A:J,7,FALSE)</f>
        <v>D - Delhi</v>
      </c>
      <c r="M2189" s="2" t="str">
        <f>VLOOKUP(B2189,'PO with created By ASR'!A:K,8,FALSE)</f>
        <v>Purchase Order-Del</v>
      </c>
      <c r="N2189" t="s">
        <v>36</v>
      </c>
      <c r="P2189" s="2">
        <v>6</v>
      </c>
    </row>
    <row r="2190" s="2" customFormat="1" spans="1:16">
      <c r="A2190" s="8"/>
      <c r="B2190" s="9" t="s">
        <v>3417</v>
      </c>
      <c r="C2190" s="10" t="s">
        <v>371</v>
      </c>
      <c r="D2190" s="11">
        <v>1</v>
      </c>
      <c r="E2190" s="12">
        <v>150000</v>
      </c>
      <c r="F2190" s="13">
        <v>150000</v>
      </c>
      <c r="G2190" s="2">
        <f>VLOOKUP(B2190,'PO with created By ASR'!A:C,3,FALSE)</f>
        <v>45706</v>
      </c>
      <c r="J2190" s="2" t="str">
        <f>VLOOKUP(B2190,'PO with created By ASR'!A:G,4,FALSE)</f>
        <v>Audio Design -Del</v>
      </c>
      <c r="K2190" s="2" t="str">
        <f>VLOOKUP(B2190,'PO with created By ASR'!A:I,6,FALSE)</f>
        <v>11695 Audio Design</v>
      </c>
      <c r="L2190" s="2" t="str">
        <f>VLOOKUP(B2190,'PO with created By ASR'!A:J,7,FALSE)</f>
        <v>D - Delhi</v>
      </c>
      <c r="M2190" s="2" t="str">
        <f>VLOOKUP(B2190,'PO with created By ASR'!A:K,8,FALSE)</f>
        <v>Purchase Order-Del</v>
      </c>
      <c r="N2190" t="s">
        <v>36</v>
      </c>
      <c r="P2190" s="2">
        <v>6</v>
      </c>
    </row>
    <row r="2191" s="2" customFormat="1" spans="1:16">
      <c r="A2191" s="8"/>
      <c r="B2191" s="9" t="s">
        <v>3418</v>
      </c>
      <c r="C2191" s="10" t="s">
        <v>347</v>
      </c>
      <c r="D2191" s="11">
        <v>1</v>
      </c>
      <c r="E2191" s="12">
        <v>45000</v>
      </c>
      <c r="F2191" s="13">
        <v>45000</v>
      </c>
      <c r="G2191" s="2">
        <f>VLOOKUP(B2191,'PO with created By ASR'!A:C,3,FALSE)</f>
        <v>45706</v>
      </c>
      <c r="J2191" s="2" t="str">
        <f>VLOOKUP(B2191,'PO with created By ASR'!A:G,4,FALSE)</f>
        <v>Raktim Baruah-Del</v>
      </c>
      <c r="K2191" s="2" t="str">
        <f>VLOOKUP(B2191,'PO with created By ASR'!A:I,6,FALSE)</f>
        <v>12932 Raktim Baruah</v>
      </c>
      <c r="L2191" s="2" t="str">
        <f>VLOOKUP(B2191,'PO with created By ASR'!A:J,7,FALSE)</f>
        <v>D - Delhi</v>
      </c>
      <c r="M2191" s="2" t="str">
        <f>VLOOKUP(B2191,'PO with created By ASR'!A:K,8,FALSE)</f>
        <v>Purchase Order-Del</v>
      </c>
      <c r="N2191" t="s">
        <v>36</v>
      </c>
      <c r="P2191" s="2">
        <v>6</v>
      </c>
    </row>
    <row r="2192" s="2" customFormat="1" spans="1:16">
      <c r="A2192" s="8"/>
      <c r="B2192" s="9" t="s">
        <v>3423</v>
      </c>
      <c r="C2192" s="10" t="s">
        <v>704</v>
      </c>
      <c r="D2192" s="11">
        <v>1</v>
      </c>
      <c r="E2192" s="12">
        <v>5762.71</v>
      </c>
      <c r="F2192" s="13">
        <v>5762.71</v>
      </c>
      <c r="G2192" s="2">
        <f>VLOOKUP(B2192,'PO with created By ASR'!A:C,3,FALSE)</f>
        <v>45706</v>
      </c>
      <c r="J2192" s="2" t="str">
        <f>VLOOKUP(B2192,'PO with created By ASR'!A:G,4,FALSE)</f>
        <v>Shree Ram Computers-Del</v>
      </c>
      <c r="K2192" s="2" t="str">
        <f>VLOOKUP(B2192,'PO with created By ASR'!A:I,6,FALSE)</f>
        <v>11132 Shree Ram Computers</v>
      </c>
      <c r="L2192" s="2" t="str">
        <f>VLOOKUP(B2192,'PO with created By ASR'!A:J,7,FALSE)</f>
        <v>D - Delhi</v>
      </c>
      <c r="M2192" s="2" t="str">
        <f>VLOOKUP(B2192,'PO with created By ASR'!A:K,8,FALSE)</f>
        <v>Purchase Order-Del</v>
      </c>
      <c r="N2192" t="s">
        <v>36</v>
      </c>
      <c r="P2192" s="2">
        <v>6</v>
      </c>
    </row>
    <row r="2193" s="2" customFormat="1" spans="1:16">
      <c r="A2193" s="8"/>
      <c r="B2193" s="9" t="s">
        <v>3424</v>
      </c>
      <c r="C2193" s="10" t="s">
        <v>3425</v>
      </c>
      <c r="D2193" s="14">
        <v>3</v>
      </c>
      <c r="E2193" s="15">
        <v>124538.1</v>
      </c>
      <c r="F2193" s="13">
        <v>373614.3</v>
      </c>
      <c r="G2193" s="2">
        <f>VLOOKUP(B2193,'PO with created By ASR'!A:C,3,FALSE)</f>
        <v>45706</v>
      </c>
      <c r="J2193" s="2" t="str">
        <f>VLOOKUP(B2193,'PO with created By ASR'!A:G,4,FALSE)</f>
        <v>Rishi Computers-Del</v>
      </c>
      <c r="K2193" s="2" t="str">
        <f>VLOOKUP(B2193,'PO with created By ASR'!A:I,6,FALSE)</f>
        <v>12343 Rishi Computers</v>
      </c>
      <c r="L2193" s="2" t="str">
        <f>VLOOKUP(B2193,'PO with created By ASR'!A:J,7,FALSE)</f>
        <v>D - Delhi</v>
      </c>
      <c r="M2193" s="2" t="str">
        <f>VLOOKUP(B2193,'PO with created By ASR'!A:K,8,FALSE)</f>
        <v>Purchase Order-Del</v>
      </c>
      <c r="N2193" t="s">
        <v>36</v>
      </c>
      <c r="P2193" s="2">
        <v>6</v>
      </c>
    </row>
    <row r="2194" s="2" customFormat="1" spans="1:16">
      <c r="A2194" s="8"/>
      <c r="B2194" s="9" t="s">
        <v>3424</v>
      </c>
      <c r="C2194" s="10" t="s">
        <v>4367</v>
      </c>
      <c r="D2194" s="11">
        <v>3</v>
      </c>
      <c r="E2194" s="12">
        <v>176868.6</v>
      </c>
      <c r="F2194" s="13">
        <v>530605.8</v>
      </c>
      <c r="G2194" s="2">
        <f>VLOOKUP(B2194,'PO with created By ASR'!A:C,3,FALSE)</f>
        <v>45706</v>
      </c>
      <c r="J2194" s="2" t="str">
        <f>VLOOKUP(B2194,'PO with created By ASR'!A:G,4,FALSE)</f>
        <v>Rishi Computers-Del</v>
      </c>
      <c r="K2194" s="2" t="str">
        <f>VLOOKUP(B2194,'PO with created By ASR'!A:I,6,FALSE)</f>
        <v>12343 Rishi Computers</v>
      </c>
      <c r="L2194" s="2" t="str">
        <f>VLOOKUP(B2194,'PO with created By ASR'!A:J,7,FALSE)</f>
        <v>D - Delhi</v>
      </c>
      <c r="M2194" s="2" t="str">
        <f>VLOOKUP(B2194,'PO with created By ASR'!A:K,8,FALSE)</f>
        <v>Purchase Order-Del</v>
      </c>
      <c r="N2194" t="s">
        <v>36</v>
      </c>
      <c r="P2194" s="2">
        <v>6</v>
      </c>
    </row>
    <row r="2195" s="2" customFormat="1" spans="1:16">
      <c r="A2195" s="8"/>
      <c r="B2195" s="9" t="s">
        <v>3426</v>
      </c>
      <c r="C2195" s="10" t="s">
        <v>151</v>
      </c>
      <c r="D2195" s="11">
        <v>1</v>
      </c>
      <c r="E2195" s="12">
        <v>348500</v>
      </c>
      <c r="F2195" s="13">
        <v>348500</v>
      </c>
      <c r="G2195" s="2">
        <f>VLOOKUP(B2195,'PO with created By ASR'!A:C,3,FALSE)</f>
        <v>45706</v>
      </c>
      <c r="J2195" s="2" t="str">
        <f>VLOOKUP(B2195,'PO with created By ASR'!A:G,4,FALSE)</f>
        <v>Edge Decor Llp-Del</v>
      </c>
      <c r="K2195" s="2" t="str">
        <f>VLOOKUP(B2195,'PO with created By ASR'!A:I,6,FALSE)</f>
        <v>11030 Edge Decor Llp</v>
      </c>
      <c r="L2195" s="2" t="str">
        <f>VLOOKUP(B2195,'PO with created By ASR'!A:J,7,FALSE)</f>
        <v>D - Delhi</v>
      </c>
      <c r="M2195" s="2" t="str">
        <f>VLOOKUP(B2195,'PO with created By ASR'!A:K,8,FALSE)</f>
        <v>Purchase Order-Del</v>
      </c>
      <c r="N2195" t="s">
        <v>36</v>
      </c>
      <c r="P2195" s="2">
        <v>6</v>
      </c>
    </row>
    <row r="2196" s="2" customFormat="1" spans="1:16">
      <c r="A2196" s="8"/>
      <c r="B2196" s="9" t="s">
        <v>3429</v>
      </c>
      <c r="C2196" s="10" t="s">
        <v>734</v>
      </c>
      <c r="D2196" s="11">
        <v>1</v>
      </c>
      <c r="E2196" s="12">
        <v>174533.3</v>
      </c>
      <c r="F2196" s="13">
        <v>174533.3</v>
      </c>
      <c r="G2196" s="2">
        <f>VLOOKUP(B2196,'PO with created By ASR'!A:C,3,FALSE)</f>
        <v>45706</v>
      </c>
      <c r="J2196" s="2" t="str">
        <f>VLOOKUP(B2196,'PO with created By ASR'!A:G,4,FALSE)</f>
        <v>Travelnama-Del</v>
      </c>
      <c r="K2196" s="2" t="e">
        <f>VLOOKUP(B2196,'PO with created By ASR'!A:I,6,FALSE)</f>
        <v>#N/A</v>
      </c>
      <c r="L2196" s="2" t="str">
        <f>VLOOKUP(B2196,'PO with created By ASR'!A:J,7,FALSE)</f>
        <v>D - Delhi</v>
      </c>
      <c r="M2196" s="2" t="str">
        <f>VLOOKUP(B2196,'PO with created By ASR'!A:K,8,FALSE)</f>
        <v>Purchase Order-Del</v>
      </c>
      <c r="N2196" t="s">
        <v>36</v>
      </c>
      <c r="P2196" s="2">
        <v>6</v>
      </c>
    </row>
    <row r="2197" s="2" customFormat="1" spans="1:16">
      <c r="A2197" s="8"/>
      <c r="B2197" s="9" t="s">
        <v>3429</v>
      </c>
      <c r="C2197" s="10" t="s">
        <v>734</v>
      </c>
      <c r="D2197" s="11">
        <v>1</v>
      </c>
      <c r="E2197" s="12">
        <v>926090.7</v>
      </c>
      <c r="F2197" s="13">
        <v>926090.7</v>
      </c>
      <c r="G2197" s="2">
        <f>VLOOKUP(B2197,'PO with created By ASR'!A:C,3,FALSE)</f>
        <v>45706</v>
      </c>
      <c r="J2197" s="2" t="str">
        <f>VLOOKUP(B2197,'PO with created By ASR'!A:G,4,FALSE)</f>
        <v>Travelnama-Del</v>
      </c>
      <c r="K2197" s="2" t="e">
        <f>VLOOKUP(B2197,'PO with created By ASR'!A:I,6,FALSE)</f>
        <v>#N/A</v>
      </c>
      <c r="L2197" s="2" t="str">
        <f>VLOOKUP(B2197,'PO with created By ASR'!A:J,7,FALSE)</f>
        <v>D - Delhi</v>
      </c>
      <c r="M2197" s="2" t="str">
        <f>VLOOKUP(B2197,'PO with created By ASR'!A:K,8,FALSE)</f>
        <v>Purchase Order-Del</v>
      </c>
      <c r="N2197" t="s">
        <v>36</v>
      </c>
      <c r="P2197" s="2">
        <v>6</v>
      </c>
    </row>
    <row r="2198" s="2" customFormat="1" spans="1:16">
      <c r="A2198" s="8"/>
      <c r="B2198" s="9" t="s">
        <v>3430</v>
      </c>
      <c r="C2198" s="10" t="s">
        <v>126</v>
      </c>
      <c r="D2198" s="11">
        <v>1</v>
      </c>
      <c r="E2198" s="12">
        <v>1480</v>
      </c>
      <c r="F2198" s="13">
        <v>1480</v>
      </c>
      <c r="G2198" s="2">
        <f>VLOOKUP(B2198,'PO with created By ASR'!A:C,3,FALSE)</f>
        <v>45706</v>
      </c>
      <c r="J2198" s="2" t="str">
        <f>VLOOKUP(B2198,'PO with created By ASR'!A:G,4,FALSE)</f>
        <v>Mehraan Shaikh  -CR</v>
      </c>
      <c r="K2198" s="2" t="e">
        <f>VLOOKUP(B2198,'PO with created By ASR'!A:I,6,FALSE)</f>
        <v>#N/A</v>
      </c>
      <c r="L2198" s="2" t="str">
        <f>VLOOKUP(B2198,'PO with created By ASR'!A:J,7,FALSE)</f>
        <v>A - Mumbai</v>
      </c>
      <c r="M2198" s="2" t="str">
        <f>VLOOKUP(B2198,'PO with created By ASR'!A:K,8,FALSE)</f>
        <v>Purchase Order-Mum</v>
      </c>
      <c r="N2198" t="s">
        <v>36</v>
      </c>
      <c r="P2198" s="2">
        <v>6</v>
      </c>
    </row>
    <row r="2199" s="2" customFormat="1" spans="1:16">
      <c r="A2199" s="8"/>
      <c r="B2199" s="9" t="s">
        <v>3432</v>
      </c>
      <c r="C2199" s="10" t="s">
        <v>151</v>
      </c>
      <c r="D2199" s="11">
        <v>1</v>
      </c>
      <c r="E2199" s="12">
        <v>165000</v>
      </c>
      <c r="F2199" s="13">
        <v>165000</v>
      </c>
      <c r="G2199" s="2">
        <f>VLOOKUP(B2199,'PO with created By ASR'!A:C,3,FALSE)</f>
        <v>45706</v>
      </c>
      <c r="J2199" s="2" t="str">
        <f>VLOOKUP(B2199,'PO with created By ASR'!A:G,4,FALSE)</f>
        <v>Woodcraft Production-Mum</v>
      </c>
      <c r="K2199" s="2" t="str">
        <f>VLOOKUP(B2199,'PO with created By ASR'!A:I,6,FALSE)</f>
        <v>12630 Woodcraft Production</v>
      </c>
      <c r="L2199" s="2" t="str">
        <f>VLOOKUP(B2199,'PO with created By ASR'!A:J,7,FALSE)</f>
        <v>A - Mumbai</v>
      </c>
      <c r="M2199" s="2" t="str">
        <f>VLOOKUP(B2199,'PO with created By ASR'!A:K,8,FALSE)</f>
        <v>Purchase Order-Mum</v>
      </c>
      <c r="N2199" t="s">
        <v>36</v>
      </c>
      <c r="P2199" s="2">
        <v>6</v>
      </c>
    </row>
    <row r="2200" s="2" customFormat="1" spans="1:16">
      <c r="A2200" s="8"/>
      <c r="B2200" s="9" t="s">
        <v>3434</v>
      </c>
      <c r="C2200" s="10" t="s">
        <v>371</v>
      </c>
      <c r="D2200" s="11">
        <v>1</v>
      </c>
      <c r="E2200" s="12">
        <v>75000</v>
      </c>
      <c r="F2200" s="13">
        <v>75000</v>
      </c>
      <c r="G2200" s="2">
        <f>VLOOKUP(B2200,'PO with created By ASR'!A:C,3,FALSE)</f>
        <v>45706</v>
      </c>
      <c r="J2200" s="2" t="str">
        <f>VLOOKUP(B2200,'PO with created By ASR'!A:G,4,FALSE)</f>
        <v>Global Production Services-Mum</v>
      </c>
      <c r="K2200" s="2" t="str">
        <f>VLOOKUP(B2200,'PO with created By ASR'!A:I,6,FALSE)</f>
        <v>11958 Global Production  Services</v>
      </c>
      <c r="L2200" s="2" t="str">
        <f>VLOOKUP(B2200,'PO with created By ASR'!A:J,7,FALSE)</f>
        <v>A - Mumbai</v>
      </c>
      <c r="M2200" s="2" t="str">
        <f>VLOOKUP(B2200,'PO with created By ASR'!A:K,8,FALSE)</f>
        <v>Purchase Order-Mum</v>
      </c>
      <c r="N2200" t="s">
        <v>36</v>
      </c>
      <c r="P2200" s="2">
        <v>6</v>
      </c>
    </row>
    <row r="2201" s="2" customFormat="1" spans="1:16">
      <c r="A2201" s="8"/>
      <c r="B2201" s="9" t="s">
        <v>3437</v>
      </c>
      <c r="C2201" s="10" t="s">
        <v>371</v>
      </c>
      <c r="D2201" s="11">
        <v>1</v>
      </c>
      <c r="E2201" s="12">
        <v>85000</v>
      </c>
      <c r="F2201" s="13">
        <v>85000</v>
      </c>
      <c r="G2201" s="2">
        <f>VLOOKUP(B2201,'PO with created By ASR'!A:C,3,FALSE)</f>
        <v>45706</v>
      </c>
      <c r="J2201" s="2" t="str">
        <f>VLOOKUP(B2201,'PO with created By ASR'!A:G,4,FALSE)</f>
        <v>Shiv Shakti Enterprises-Mum</v>
      </c>
      <c r="K2201" s="2" t="str">
        <f>VLOOKUP(B2201,'PO with created By ASR'!A:I,6,FALSE)</f>
        <v>11130 Shiv Shakti Enterprises</v>
      </c>
      <c r="L2201" s="2" t="str">
        <f>VLOOKUP(B2201,'PO with created By ASR'!A:J,7,FALSE)</f>
        <v>A - Mumbai</v>
      </c>
      <c r="M2201" s="2" t="str">
        <f>VLOOKUP(B2201,'PO with created By ASR'!A:K,8,FALSE)</f>
        <v>Purchase Order-Mum</v>
      </c>
      <c r="N2201" t="s">
        <v>36</v>
      </c>
      <c r="P2201" s="2">
        <v>6</v>
      </c>
    </row>
    <row r="2202" s="2" customFormat="1" spans="1:16">
      <c r="A2202" s="8"/>
      <c r="B2202" s="9" t="s">
        <v>3438</v>
      </c>
      <c r="C2202" s="10" t="s">
        <v>371</v>
      </c>
      <c r="D2202" s="11">
        <v>1</v>
      </c>
      <c r="E2202" s="12">
        <v>245000</v>
      </c>
      <c r="F2202" s="13">
        <v>245000</v>
      </c>
      <c r="G2202" s="2">
        <f>VLOOKUP(B2202,'PO with created By ASR'!A:C,3,FALSE)</f>
        <v>45706</v>
      </c>
      <c r="J2202" s="2" t="str">
        <f>VLOOKUP(B2202,'PO with created By ASR'!A:G,4,FALSE)</f>
        <v>Videowaves-Mum</v>
      </c>
      <c r="K2202" s="2" t="e">
        <f>VLOOKUP(B2202,'PO with created By ASR'!A:I,6,FALSE)</f>
        <v>#N/A</v>
      </c>
      <c r="L2202" s="2" t="str">
        <f>VLOOKUP(B2202,'PO with created By ASR'!A:J,7,FALSE)</f>
        <v>A - Mumbai</v>
      </c>
      <c r="M2202" s="2" t="str">
        <f>VLOOKUP(B2202,'PO with created By ASR'!A:K,8,FALSE)</f>
        <v>Purchase Order-Mum</v>
      </c>
      <c r="N2202" t="s">
        <v>36</v>
      </c>
      <c r="P2202" s="2">
        <v>6</v>
      </c>
    </row>
    <row r="2203" s="2" customFormat="1" spans="1:16">
      <c r="A2203" s="8"/>
      <c r="B2203" s="9" t="s">
        <v>3439</v>
      </c>
      <c r="C2203" s="10" t="s">
        <v>371</v>
      </c>
      <c r="D2203" s="11">
        <v>1</v>
      </c>
      <c r="E2203" s="12">
        <v>6000</v>
      </c>
      <c r="F2203" s="13">
        <v>6000</v>
      </c>
      <c r="G2203" s="2">
        <f>VLOOKUP(B2203,'PO with created By ASR'!A:C,3,FALSE)</f>
        <v>45706</v>
      </c>
      <c r="J2203" s="2" t="str">
        <f>VLOOKUP(B2203,'PO with created By ASR'!A:G,4,FALSE)</f>
        <v>Shiv Shakti Enterprises-Mum</v>
      </c>
      <c r="K2203" s="2" t="str">
        <f>VLOOKUP(B2203,'PO with created By ASR'!A:I,6,FALSE)</f>
        <v>11130 Shiv Shakti Enterprises</v>
      </c>
      <c r="L2203" s="2" t="str">
        <f>VLOOKUP(B2203,'PO with created By ASR'!A:J,7,FALSE)</f>
        <v>A - Mumbai</v>
      </c>
      <c r="M2203" s="2" t="str">
        <f>VLOOKUP(B2203,'PO with created By ASR'!A:K,8,FALSE)</f>
        <v>Purchase Order-Mum</v>
      </c>
      <c r="N2203" t="s">
        <v>36</v>
      </c>
      <c r="P2203" s="2">
        <v>6</v>
      </c>
    </row>
    <row r="2204" s="2" customFormat="1" spans="1:16">
      <c r="A2204" s="8"/>
      <c r="B2204" s="9" t="s">
        <v>3440</v>
      </c>
      <c r="C2204" s="10" t="s">
        <v>371</v>
      </c>
      <c r="D2204" s="11">
        <v>1</v>
      </c>
      <c r="E2204" s="12">
        <v>13000</v>
      </c>
      <c r="F2204" s="13">
        <v>13000</v>
      </c>
      <c r="G2204" s="2">
        <f>VLOOKUP(B2204,'PO with created By ASR'!A:C,3,FALSE)</f>
        <v>45706</v>
      </c>
      <c r="J2204" s="2" t="str">
        <f>VLOOKUP(B2204,'PO with created By ASR'!A:G,4,FALSE)</f>
        <v>Oriana Communications-Mum</v>
      </c>
      <c r="K2204" s="2" t="str">
        <f>VLOOKUP(B2204,'PO with created By ASR'!A:I,6,FALSE)</f>
        <v>11121 Oriana Communications</v>
      </c>
      <c r="L2204" s="2" t="str">
        <f>VLOOKUP(B2204,'PO with created By ASR'!A:J,7,FALSE)</f>
        <v>A - Mumbai</v>
      </c>
      <c r="M2204" s="2" t="str">
        <f>VLOOKUP(B2204,'PO with created By ASR'!A:K,8,FALSE)</f>
        <v>Purchase Order-Mum</v>
      </c>
      <c r="N2204" t="s">
        <v>36</v>
      </c>
      <c r="P2204" s="2">
        <v>6</v>
      </c>
    </row>
    <row r="2205" s="2" customFormat="1" spans="1:16">
      <c r="A2205" s="8"/>
      <c r="B2205" s="9" t="s">
        <v>3441</v>
      </c>
      <c r="C2205" s="10" t="s">
        <v>371</v>
      </c>
      <c r="D2205" s="11">
        <v>1</v>
      </c>
      <c r="E2205" s="12">
        <v>30000</v>
      </c>
      <c r="F2205" s="13">
        <v>30000</v>
      </c>
      <c r="G2205" s="2">
        <f>VLOOKUP(B2205,'PO with created By ASR'!A:C,3,FALSE)</f>
        <v>45706</v>
      </c>
      <c r="J2205" s="2" t="str">
        <f>VLOOKUP(B2205,'PO with created By ASR'!A:G,4,FALSE)</f>
        <v>Sudesh Patankar-Mum</v>
      </c>
      <c r="K2205" s="2" t="str">
        <f>VLOOKUP(B2205,'PO with created By ASR'!A:I,6,FALSE)</f>
        <v>10941 Sudesh Patankar</v>
      </c>
      <c r="L2205" s="2" t="str">
        <f>VLOOKUP(B2205,'PO with created By ASR'!A:J,7,FALSE)</f>
        <v>A - Mumbai</v>
      </c>
      <c r="M2205" s="2" t="str">
        <f>VLOOKUP(B2205,'PO with created By ASR'!A:K,8,FALSE)</f>
        <v>Purchase Order-Mum</v>
      </c>
      <c r="N2205" t="s">
        <v>36</v>
      </c>
      <c r="P2205" s="2">
        <v>6</v>
      </c>
    </row>
    <row r="2206" s="2" customFormat="1" spans="1:16">
      <c r="A2206" s="8"/>
      <c r="B2206" s="9" t="s">
        <v>3442</v>
      </c>
      <c r="C2206" s="10" t="s">
        <v>317</v>
      </c>
      <c r="D2206" s="11">
        <v>1</v>
      </c>
      <c r="E2206" s="12">
        <v>770750</v>
      </c>
      <c r="F2206" s="13">
        <v>770750</v>
      </c>
      <c r="G2206" s="2">
        <f>VLOOKUP(B2206,'PO with created By ASR'!A:C,3,FALSE)</f>
        <v>45706</v>
      </c>
      <c r="J2206" s="2" t="str">
        <f>VLOOKUP(B2206,'PO with created By ASR'!A:G,4,FALSE)</f>
        <v>Kalasiddha Creations-Mum</v>
      </c>
      <c r="K2206" s="2" t="str">
        <f>VLOOKUP(B2206,'PO with created By ASR'!A:I,6,FALSE)</f>
        <v>12070 Kalasiddha Creations</v>
      </c>
      <c r="L2206" s="2" t="str">
        <f>VLOOKUP(B2206,'PO with created By ASR'!A:J,7,FALSE)</f>
        <v>A - Mumbai</v>
      </c>
      <c r="M2206" s="2" t="str">
        <f>VLOOKUP(B2206,'PO with created By ASR'!A:K,8,FALSE)</f>
        <v>Purchase Order-Mum</v>
      </c>
      <c r="N2206" t="s">
        <v>36</v>
      </c>
      <c r="P2206" s="2">
        <v>6</v>
      </c>
    </row>
    <row r="2207" s="2" customFormat="1" spans="1:16">
      <c r="A2207" s="8"/>
      <c r="B2207" s="9" t="s">
        <v>3444</v>
      </c>
      <c r="C2207" s="10" t="s">
        <v>371</v>
      </c>
      <c r="D2207" s="11">
        <v>1</v>
      </c>
      <c r="E2207" s="12">
        <v>120000</v>
      </c>
      <c r="F2207" s="13">
        <v>120000</v>
      </c>
      <c r="G2207" s="2">
        <f>VLOOKUP(B2207,'PO with created By ASR'!A:C,3,FALSE)</f>
        <v>45706</v>
      </c>
      <c r="J2207" s="2" t="str">
        <f>VLOOKUP(B2207,'PO with created By ASR'!A:G,4,FALSE)</f>
        <v>Jayant K Shetty-Mum</v>
      </c>
      <c r="K2207" s="2" t="str">
        <f>VLOOKUP(B2207,'PO with created By ASR'!A:I,6,FALSE)</f>
        <v>12048 Jayant K Shetty</v>
      </c>
      <c r="L2207" s="2" t="str">
        <f>VLOOKUP(B2207,'PO with created By ASR'!A:J,7,FALSE)</f>
        <v>A - Mumbai</v>
      </c>
      <c r="M2207" s="2" t="str">
        <f>VLOOKUP(B2207,'PO with created By ASR'!A:K,8,FALSE)</f>
        <v>Purchase Order-Mum</v>
      </c>
      <c r="N2207" t="s">
        <v>36</v>
      </c>
      <c r="P2207" s="2">
        <v>6</v>
      </c>
    </row>
    <row r="2208" s="2" customFormat="1" spans="1:16">
      <c r="A2208" s="8"/>
      <c r="B2208" s="9" t="s">
        <v>3445</v>
      </c>
      <c r="C2208" s="10" t="s">
        <v>371</v>
      </c>
      <c r="D2208" s="11">
        <v>1</v>
      </c>
      <c r="E2208" s="12">
        <v>70000</v>
      </c>
      <c r="F2208" s="13">
        <v>70000</v>
      </c>
      <c r="G2208" s="2">
        <f>VLOOKUP(B2208,'PO with created By ASR'!A:C,3,FALSE)</f>
        <v>45706</v>
      </c>
      <c r="J2208" s="2" t="str">
        <f>VLOOKUP(B2208,'PO with created By ASR'!A:G,4,FALSE)</f>
        <v>Sajan Power-Mum</v>
      </c>
      <c r="K2208" s="2" t="str">
        <f>VLOOKUP(B2208,'PO with created By ASR'!A:I,6,FALSE)</f>
        <v>12360 Sajan Power</v>
      </c>
      <c r="L2208" s="2" t="str">
        <f>VLOOKUP(B2208,'PO with created By ASR'!A:J,7,FALSE)</f>
        <v>A - Mumbai</v>
      </c>
      <c r="M2208" s="2" t="str">
        <f>VLOOKUP(B2208,'PO with created By ASR'!A:K,8,FALSE)</f>
        <v>Purchase Order-Mum</v>
      </c>
      <c r="N2208" t="s">
        <v>36</v>
      </c>
      <c r="P2208" s="2">
        <v>6</v>
      </c>
    </row>
    <row r="2209" s="2" customFormat="1" spans="1:16">
      <c r="A2209" s="8"/>
      <c r="B2209" s="9" t="s">
        <v>3446</v>
      </c>
      <c r="C2209" s="10" t="s">
        <v>371</v>
      </c>
      <c r="D2209" s="11">
        <v>1</v>
      </c>
      <c r="E2209" s="12">
        <v>16000</v>
      </c>
      <c r="F2209" s="13">
        <v>16000</v>
      </c>
      <c r="G2209" s="2">
        <f>VLOOKUP(B2209,'PO with created By ASR'!A:C,3,FALSE)</f>
        <v>45706</v>
      </c>
      <c r="J2209" s="2" t="str">
        <f>VLOOKUP(B2209,'PO with created By ASR'!A:G,4,FALSE)</f>
        <v>Ultimate Source-Mum</v>
      </c>
      <c r="K2209" s="2" t="str">
        <f>VLOOKUP(B2209,'PO with created By ASR'!A:I,6,FALSE)</f>
        <v>12568 Ultimate Source</v>
      </c>
      <c r="L2209" s="2" t="str">
        <f>VLOOKUP(B2209,'PO with created By ASR'!A:J,7,FALSE)</f>
        <v>A - Mumbai</v>
      </c>
      <c r="M2209" s="2" t="str">
        <f>VLOOKUP(B2209,'PO with created By ASR'!A:K,8,FALSE)</f>
        <v>Purchase Order-Mum</v>
      </c>
      <c r="N2209" t="s">
        <v>36</v>
      </c>
      <c r="P2209" s="2">
        <v>6</v>
      </c>
    </row>
    <row r="2210" s="2" customFormat="1" spans="1:16">
      <c r="A2210" s="8"/>
      <c r="B2210" s="9" t="s">
        <v>3447</v>
      </c>
      <c r="C2210" s="10" t="s">
        <v>990</v>
      </c>
      <c r="D2210" s="11">
        <v>1</v>
      </c>
      <c r="E2210" s="12">
        <v>3400</v>
      </c>
      <c r="F2210" s="13">
        <v>3400</v>
      </c>
      <c r="G2210" s="2">
        <f>VLOOKUP(B2210,'PO with created By ASR'!A:C,3,FALSE)</f>
        <v>45706</v>
      </c>
      <c r="J2210" s="2" t="str">
        <f>VLOOKUP(B2210,'PO with created By ASR'!A:G,4,FALSE)</f>
        <v>Shree Vision-Mum</v>
      </c>
      <c r="K2210" s="2" t="str">
        <f>VLOOKUP(B2210,'PO with created By ASR'!A:I,6,FALSE)</f>
        <v>12401 Shree Vision</v>
      </c>
      <c r="L2210" s="2" t="str">
        <f>VLOOKUP(B2210,'PO with created By ASR'!A:J,7,FALSE)</f>
        <v>A - Mumbai</v>
      </c>
      <c r="M2210" s="2" t="str">
        <f>VLOOKUP(B2210,'PO with created By ASR'!A:K,8,FALSE)</f>
        <v>Purchase Order-Mum</v>
      </c>
      <c r="N2210" t="s">
        <v>36</v>
      </c>
      <c r="P2210" s="2">
        <v>6</v>
      </c>
    </row>
    <row r="2211" s="2" customFormat="1" spans="1:16">
      <c r="A2211" s="8"/>
      <c r="B2211" s="9" t="s">
        <v>3448</v>
      </c>
      <c r="C2211" s="10" t="s">
        <v>151</v>
      </c>
      <c r="D2211" s="11">
        <v>1</v>
      </c>
      <c r="E2211" s="12">
        <v>7500</v>
      </c>
      <c r="F2211" s="13">
        <v>7500</v>
      </c>
      <c r="G2211" s="2">
        <f>VLOOKUP(B2211,'PO with created By ASR'!A:C,3,FALSE)</f>
        <v>45706</v>
      </c>
      <c r="J2211" s="2" t="str">
        <f>VLOOKUP(B2211,'PO with created By ASR'!A:G,4,FALSE)</f>
        <v>Woodcraft Production-Mum</v>
      </c>
      <c r="K2211" s="2" t="str">
        <f>VLOOKUP(B2211,'PO with created By ASR'!A:I,6,FALSE)</f>
        <v>12630 Woodcraft Production</v>
      </c>
      <c r="L2211" s="2" t="str">
        <f>VLOOKUP(B2211,'PO with created By ASR'!A:J,7,FALSE)</f>
        <v>A - Mumbai</v>
      </c>
      <c r="M2211" s="2" t="str">
        <f>VLOOKUP(B2211,'PO with created By ASR'!A:K,8,FALSE)</f>
        <v>Purchase Order-Mum</v>
      </c>
      <c r="N2211" t="s">
        <v>36</v>
      </c>
      <c r="P2211" s="2">
        <v>6</v>
      </c>
    </row>
    <row r="2212" s="2" customFormat="1" spans="1:16">
      <c r="A2212" s="8"/>
      <c r="B2212" s="9" t="s">
        <v>3449</v>
      </c>
      <c r="C2212" s="10" t="s">
        <v>371</v>
      </c>
      <c r="D2212" s="11">
        <v>1</v>
      </c>
      <c r="E2212" s="12">
        <v>30000</v>
      </c>
      <c r="F2212" s="13">
        <v>30000</v>
      </c>
      <c r="G2212" s="2">
        <f>VLOOKUP(B2212,'PO with created By ASR'!A:C,3,FALSE)</f>
        <v>45706</v>
      </c>
      <c r="J2212" s="2" t="str">
        <f>VLOOKUP(B2212,'PO with created By ASR'!A:G,4,FALSE)</f>
        <v>S T Sound System-Mum</v>
      </c>
      <c r="K2212" s="2" t="str">
        <f>VLOOKUP(B2212,'PO with created By ASR'!A:I,6,FALSE)</f>
        <v>11137 S T Sound System</v>
      </c>
      <c r="L2212" s="2" t="str">
        <f>VLOOKUP(B2212,'PO with created By ASR'!A:J,7,FALSE)</f>
        <v>A - Mumbai</v>
      </c>
      <c r="M2212" s="2" t="str">
        <f>VLOOKUP(B2212,'PO with created By ASR'!A:K,8,FALSE)</f>
        <v>Purchase Order-Mum</v>
      </c>
      <c r="N2212" t="s">
        <v>36</v>
      </c>
      <c r="P2212" s="2">
        <v>6</v>
      </c>
    </row>
    <row r="2213" s="2" customFormat="1" spans="1:16">
      <c r="A2213" s="8"/>
      <c r="B2213" s="9" t="s">
        <v>3450</v>
      </c>
      <c r="C2213" s="10" t="s">
        <v>196</v>
      </c>
      <c r="D2213" s="11">
        <v>1</v>
      </c>
      <c r="E2213" s="12">
        <v>4000</v>
      </c>
      <c r="F2213" s="13">
        <v>4000</v>
      </c>
      <c r="G2213" s="2">
        <f>VLOOKUP(B2213,'PO with created By ASR'!A:C,3,FALSE)</f>
        <v>45706</v>
      </c>
      <c r="J2213" s="2" t="str">
        <f>VLOOKUP(B2213,'PO with created By ASR'!A:G,4,FALSE)</f>
        <v>Noaman Digital Partnership Firm-Mum</v>
      </c>
      <c r="K2213" s="2" t="e">
        <f>VLOOKUP(B2213,'PO with created By ASR'!A:I,6,FALSE)</f>
        <v>#N/A</v>
      </c>
      <c r="L2213" s="2" t="str">
        <f>VLOOKUP(B2213,'PO with created By ASR'!A:J,7,FALSE)</f>
        <v>A - Mumbai</v>
      </c>
      <c r="M2213" s="2" t="str">
        <f>VLOOKUP(B2213,'PO with created By ASR'!A:K,8,FALSE)</f>
        <v>Purchase Order-Mum</v>
      </c>
      <c r="N2213" t="s">
        <v>36</v>
      </c>
      <c r="P2213" s="2">
        <v>6</v>
      </c>
    </row>
    <row r="2214" s="2" customFormat="1" spans="1:16">
      <c r="A2214" s="8"/>
      <c r="B2214" s="9" t="s">
        <v>3451</v>
      </c>
      <c r="C2214" s="10" t="s">
        <v>233</v>
      </c>
      <c r="D2214" s="11">
        <v>1</v>
      </c>
      <c r="E2214" s="12">
        <v>360000</v>
      </c>
      <c r="F2214" s="13">
        <v>360000</v>
      </c>
      <c r="G2214" s="2">
        <f>VLOOKUP(B2214,'PO with created By ASR'!A:C,3,FALSE)</f>
        <v>45706</v>
      </c>
      <c r="J2214" s="2" t="str">
        <f>VLOOKUP(B2214,'PO with created By ASR'!A:G,4,FALSE)</f>
        <v>Greenix Experience Pvt Ltd-Mum</v>
      </c>
      <c r="K2214" s="2" t="str">
        <f>VLOOKUP(B2214,'PO with created By ASR'!A:I,6,FALSE)</f>
        <v>10297  Greenix Experience Pvt Ltd</v>
      </c>
      <c r="L2214" s="2" t="str">
        <f>VLOOKUP(B2214,'PO with created By ASR'!A:J,7,FALSE)</f>
        <v>A - Mumbai</v>
      </c>
      <c r="M2214" s="2" t="str">
        <f>VLOOKUP(B2214,'PO with created By ASR'!A:K,8,FALSE)</f>
        <v>Purchase Order-Mum</v>
      </c>
      <c r="N2214" t="s">
        <v>36</v>
      </c>
      <c r="P2214" s="2">
        <v>6</v>
      </c>
    </row>
    <row r="2215" s="2" customFormat="1" spans="1:16">
      <c r="A2215" s="8"/>
      <c r="B2215" s="9" t="s">
        <v>3453</v>
      </c>
      <c r="C2215" s="10" t="s">
        <v>1176</v>
      </c>
      <c r="D2215" s="11">
        <v>1</v>
      </c>
      <c r="E2215" s="12">
        <v>2000</v>
      </c>
      <c r="F2215" s="13">
        <v>2000</v>
      </c>
      <c r="G2215" s="2">
        <f>VLOOKUP(B2215,'PO with created By ASR'!A:C,3,FALSE)</f>
        <v>45706</v>
      </c>
      <c r="J2215" s="2" t="str">
        <f>VLOOKUP(B2215,'PO with created By ASR'!A:G,4,FALSE)</f>
        <v>The Westin Pune Koregaon Park (Classic Citi Investments Pvt Ltd)-Mum</v>
      </c>
      <c r="K2215" s="2" t="str">
        <f>VLOOKUP(B2215,'PO with created By ASR'!A:I,6,FALSE)</f>
        <v>12532  The Westin Pune Koregaon Park (Classic Citi Investments Pvt Ltd)</v>
      </c>
      <c r="L2215" s="2" t="str">
        <f>VLOOKUP(B2215,'PO with created By ASR'!A:J,7,FALSE)</f>
        <v>A - Mumbai</v>
      </c>
      <c r="M2215" s="2" t="str">
        <f>VLOOKUP(B2215,'PO with created By ASR'!A:K,8,FALSE)</f>
        <v>Purchase Order-Mum</v>
      </c>
      <c r="N2215" t="s">
        <v>36</v>
      </c>
      <c r="P2215" s="2">
        <v>6</v>
      </c>
    </row>
    <row r="2216" s="2" customFormat="1" spans="1:16">
      <c r="A2216" s="8"/>
      <c r="B2216" s="9" t="s">
        <v>3453</v>
      </c>
      <c r="C2216" s="10" t="s">
        <v>276</v>
      </c>
      <c r="D2216" s="11">
        <v>1</v>
      </c>
      <c r="E2216" s="12">
        <v>459840</v>
      </c>
      <c r="F2216" s="13">
        <v>459840</v>
      </c>
      <c r="G2216" s="2">
        <f>VLOOKUP(B2216,'PO with created By ASR'!A:C,3,FALSE)</f>
        <v>45706</v>
      </c>
      <c r="J2216" s="2" t="str">
        <f>VLOOKUP(B2216,'PO with created By ASR'!A:G,4,FALSE)</f>
        <v>The Westin Pune Koregaon Park (Classic Citi Investments Pvt Ltd)-Mum</v>
      </c>
      <c r="K2216" s="2" t="str">
        <f>VLOOKUP(B2216,'PO with created By ASR'!A:I,6,FALSE)</f>
        <v>12532  The Westin Pune Koregaon Park (Classic Citi Investments Pvt Ltd)</v>
      </c>
      <c r="L2216" s="2" t="str">
        <f>VLOOKUP(B2216,'PO with created By ASR'!A:J,7,FALSE)</f>
        <v>A - Mumbai</v>
      </c>
      <c r="M2216" s="2" t="str">
        <f>VLOOKUP(B2216,'PO with created By ASR'!A:K,8,FALSE)</f>
        <v>Purchase Order-Mum</v>
      </c>
      <c r="N2216" t="s">
        <v>36</v>
      </c>
      <c r="P2216" s="2">
        <v>6</v>
      </c>
    </row>
    <row r="2217" s="2" customFormat="1" spans="1:16">
      <c r="A2217" s="8"/>
      <c r="B2217" s="9" t="s">
        <v>3456</v>
      </c>
      <c r="C2217" s="10" t="s">
        <v>990</v>
      </c>
      <c r="D2217" s="11">
        <v>1</v>
      </c>
      <c r="E2217" s="12">
        <v>24000</v>
      </c>
      <c r="F2217" s="13">
        <v>24000</v>
      </c>
      <c r="G2217" s="2">
        <f>VLOOKUP(B2217,'PO with created By ASR'!A:C,3,FALSE)</f>
        <v>45706</v>
      </c>
      <c r="J2217" s="2" t="str">
        <f>VLOOKUP(B2217,'PO with created By ASR'!A:G,4,FALSE)</f>
        <v>Aaa Rental Llp-Mum</v>
      </c>
      <c r="K2217" s="2" t="str">
        <f>VLOOKUP(B2217,'PO with created By ASR'!A:I,6,FALSE)</f>
        <v>11626 Aaa Rental Llp</v>
      </c>
      <c r="L2217" s="2" t="str">
        <f>VLOOKUP(B2217,'PO with created By ASR'!A:J,7,FALSE)</f>
        <v>A - Mumbai</v>
      </c>
      <c r="M2217" s="2" t="str">
        <f>VLOOKUP(B2217,'PO with created By ASR'!A:K,8,FALSE)</f>
        <v>Purchase Order-Mum</v>
      </c>
      <c r="N2217" t="s">
        <v>36</v>
      </c>
      <c r="P2217" s="2">
        <v>6</v>
      </c>
    </row>
    <row r="2218" s="2" customFormat="1" spans="1:16">
      <c r="A2218" s="8"/>
      <c r="B2218" s="9" t="s">
        <v>3458</v>
      </c>
      <c r="C2218" s="10" t="s">
        <v>990</v>
      </c>
      <c r="D2218" s="11">
        <v>1</v>
      </c>
      <c r="E2218" s="12">
        <v>2000</v>
      </c>
      <c r="F2218" s="13">
        <v>2000</v>
      </c>
      <c r="G2218" s="2">
        <f>VLOOKUP(B2218,'PO with created By ASR'!A:C,3,FALSE)</f>
        <v>45706</v>
      </c>
      <c r="J2218" s="2" t="str">
        <f>VLOOKUP(B2218,'PO with created By ASR'!A:G,4,FALSE)</f>
        <v>Aaa Rental Llp-Mum</v>
      </c>
      <c r="K2218" s="2" t="str">
        <f>VLOOKUP(B2218,'PO with created By ASR'!A:I,6,FALSE)</f>
        <v>11626 Aaa Rental Llp</v>
      </c>
      <c r="L2218" s="2" t="str">
        <f>VLOOKUP(B2218,'PO with created By ASR'!A:J,7,FALSE)</f>
        <v>A - Mumbai</v>
      </c>
      <c r="M2218" s="2" t="str">
        <f>VLOOKUP(B2218,'PO with created By ASR'!A:K,8,FALSE)</f>
        <v>Purchase Order-Mum</v>
      </c>
      <c r="N2218" t="s">
        <v>36</v>
      </c>
      <c r="P2218" s="2">
        <v>6</v>
      </c>
    </row>
    <row r="2219" s="2" customFormat="1" spans="1:16">
      <c r="A2219" s="8"/>
      <c r="B2219" s="9" t="s">
        <v>3459</v>
      </c>
      <c r="C2219" s="10" t="s">
        <v>233</v>
      </c>
      <c r="D2219" s="11">
        <v>1</v>
      </c>
      <c r="E2219" s="12">
        <v>60000</v>
      </c>
      <c r="F2219" s="13">
        <v>60000</v>
      </c>
      <c r="G2219" s="2">
        <f>VLOOKUP(B2219,'PO with created By ASR'!A:C,3,FALSE)</f>
        <v>45706</v>
      </c>
      <c r="J2219" s="2" t="str">
        <f>VLOOKUP(B2219,'PO with created By ASR'!A:G,4,FALSE)</f>
        <v>4Brains Technologies Pvt Ltd-Mum</v>
      </c>
      <c r="K2219" s="2" t="str">
        <f>VLOOKUP(B2219,'PO with created By ASR'!A:I,6,FALSE)</f>
        <v>11618  4Brains Technologies Pvt Ltd</v>
      </c>
      <c r="L2219" s="2" t="str">
        <f>VLOOKUP(B2219,'PO with created By ASR'!A:J,7,FALSE)</f>
        <v>A - Mumbai</v>
      </c>
      <c r="M2219" s="2" t="str">
        <f>VLOOKUP(B2219,'PO with created By ASR'!A:K,8,FALSE)</f>
        <v>Purchase Order-Mum</v>
      </c>
      <c r="N2219" t="s">
        <v>36</v>
      </c>
      <c r="P2219" s="2">
        <v>6</v>
      </c>
    </row>
    <row r="2220" s="2" customFormat="1" spans="1:16">
      <c r="A2220" s="8"/>
      <c r="B2220" s="9" t="s">
        <v>3460</v>
      </c>
      <c r="C2220" s="10" t="s">
        <v>151</v>
      </c>
      <c r="D2220" s="11">
        <v>1</v>
      </c>
      <c r="E2220" s="12">
        <v>33600</v>
      </c>
      <c r="F2220" s="13">
        <v>33600</v>
      </c>
      <c r="G2220" s="2">
        <f>VLOOKUP(B2220,'PO with created By ASR'!A:C,3,FALSE)</f>
        <v>45706</v>
      </c>
      <c r="J2220" s="2" t="str">
        <f>VLOOKUP(B2220,'PO with created By ASR'!A:G,4,FALSE)</f>
        <v>Rentastic-Mum</v>
      </c>
      <c r="K2220" s="2" t="e">
        <f>VLOOKUP(B2220,'PO with created By ASR'!A:I,6,FALSE)</f>
        <v>#N/A</v>
      </c>
      <c r="L2220" s="2" t="str">
        <f>VLOOKUP(B2220,'PO with created By ASR'!A:J,7,FALSE)</f>
        <v>A - Mumbai</v>
      </c>
      <c r="M2220" s="2" t="str">
        <f>VLOOKUP(B2220,'PO with created By ASR'!A:K,8,FALSE)</f>
        <v>Purchase Order-Mum</v>
      </c>
      <c r="N2220" t="s">
        <v>36</v>
      </c>
      <c r="P2220" s="2">
        <v>6</v>
      </c>
    </row>
    <row r="2221" s="2" customFormat="1" spans="1:16">
      <c r="A2221" s="8"/>
      <c r="B2221" s="9" t="s">
        <v>3461</v>
      </c>
      <c r="C2221" s="10" t="s">
        <v>292</v>
      </c>
      <c r="D2221" s="11">
        <v>1</v>
      </c>
      <c r="E2221" s="12">
        <v>202000</v>
      </c>
      <c r="F2221" s="13">
        <v>202000</v>
      </c>
      <c r="G2221" s="2">
        <f>VLOOKUP(B2221,'PO with created By ASR'!A:C,3,FALSE)</f>
        <v>45706</v>
      </c>
      <c r="J2221" s="2" t="str">
        <f>VLOOKUP(B2221,'PO with created By ASR'!A:G,4,FALSE)</f>
        <v>Parinita Nivrutti Pathare-Mum</v>
      </c>
      <c r="K2221" s="2" t="str">
        <f>VLOOKUP(B2221,'PO with created By ASR'!A:I,6,FALSE)</f>
        <v>10800 Parinita Nivrutti Pathare</v>
      </c>
      <c r="L2221" s="2" t="str">
        <f>VLOOKUP(B2221,'PO with created By ASR'!A:J,7,FALSE)</f>
        <v>A - Mumbai</v>
      </c>
      <c r="M2221" s="2" t="str">
        <f>VLOOKUP(B2221,'PO with created By ASR'!A:K,8,FALSE)</f>
        <v>Purchase Order-Mum</v>
      </c>
      <c r="N2221" t="s">
        <v>36</v>
      </c>
      <c r="P2221" s="2">
        <v>6</v>
      </c>
    </row>
    <row r="2222" s="2" customFormat="1" spans="1:16">
      <c r="A2222" s="8"/>
      <c r="B2222" s="9" t="s">
        <v>3464</v>
      </c>
      <c r="C2222" s="10" t="s">
        <v>683</v>
      </c>
      <c r="D2222" s="11">
        <v>1</v>
      </c>
      <c r="E2222" s="12">
        <v>400000</v>
      </c>
      <c r="F2222" s="13">
        <v>400000</v>
      </c>
      <c r="G2222" s="2">
        <f>VLOOKUP(B2222,'PO with created By ASR'!A:C,3,FALSE)</f>
        <v>45706</v>
      </c>
      <c r="J2222" s="2" t="str">
        <f>VLOOKUP(B2222,'PO with created By ASR'!A:G,4,FALSE)</f>
        <v>Himanshu Shekhar-Mum</v>
      </c>
      <c r="K2222" s="2" t="str">
        <f>VLOOKUP(B2222,'PO with created By ASR'!A:I,6,FALSE)</f>
        <v>10665 Himanshu Shekhar</v>
      </c>
      <c r="L2222" s="2" t="str">
        <f>VLOOKUP(B2222,'PO with created By ASR'!A:J,7,FALSE)</f>
        <v>A - Mumbai</v>
      </c>
      <c r="M2222" s="2" t="str">
        <f>VLOOKUP(B2222,'PO with created By ASR'!A:K,8,FALSE)</f>
        <v>Purchase Order-Mum</v>
      </c>
      <c r="N2222" t="s">
        <v>36</v>
      </c>
      <c r="P2222" s="2">
        <v>6</v>
      </c>
    </row>
    <row r="2223" s="2" customFormat="1" spans="1:16">
      <c r="A2223" s="8"/>
      <c r="B2223" s="9" t="s">
        <v>3467</v>
      </c>
      <c r="C2223" s="10" t="s">
        <v>317</v>
      </c>
      <c r="D2223" s="11">
        <v>1</v>
      </c>
      <c r="E2223" s="12">
        <v>45000</v>
      </c>
      <c r="F2223" s="13">
        <v>45000</v>
      </c>
      <c r="G2223" s="2">
        <f>VLOOKUP(B2223,'PO with created By ASR'!A:C,3,FALSE)</f>
        <v>45706</v>
      </c>
      <c r="J2223" s="2" t="str">
        <f>VLOOKUP(B2223,'PO with created By ASR'!A:G,4,FALSE)</f>
        <v>Dhenuka Jyoti Shekhar-Mum</v>
      </c>
      <c r="K2223" s="2" t="str">
        <f>VLOOKUP(B2223,'PO with created By ASR'!A:I,6,FALSE)</f>
        <v>10035 Dhenuka Jyoti Shekhar</v>
      </c>
      <c r="L2223" s="2" t="str">
        <f>VLOOKUP(B2223,'PO with created By ASR'!A:J,7,FALSE)</f>
        <v>A - Mumbai</v>
      </c>
      <c r="M2223" s="2" t="str">
        <f>VLOOKUP(B2223,'PO with created By ASR'!A:K,8,FALSE)</f>
        <v>Purchase Order-Mum</v>
      </c>
      <c r="N2223" t="s">
        <v>36</v>
      </c>
      <c r="P2223" s="2">
        <v>6</v>
      </c>
    </row>
    <row r="2224" s="2" customFormat="1" spans="1:16">
      <c r="A2224" s="8"/>
      <c r="B2224" s="9" t="s">
        <v>3470</v>
      </c>
      <c r="C2224" s="10" t="s">
        <v>250</v>
      </c>
      <c r="D2224" s="11">
        <v>1</v>
      </c>
      <c r="E2224" s="12">
        <v>25000</v>
      </c>
      <c r="F2224" s="13">
        <v>25000</v>
      </c>
      <c r="G2224" s="2">
        <f>VLOOKUP(B2224,'PO with created By ASR'!A:C,3,FALSE)</f>
        <v>45706</v>
      </c>
      <c r="J2224" s="2" t="str">
        <f>VLOOKUP(B2224,'PO with created By ASR'!A:G,4,FALSE)</f>
        <v>Twintech Entertainment LLP-Mum</v>
      </c>
      <c r="K2224" s="2" t="str">
        <f>VLOOKUP(B2224,'PO with created By ASR'!A:I,6,FALSE)</f>
        <v>10981 Twintech Entertainment LLP</v>
      </c>
      <c r="L2224" s="2" t="str">
        <f>VLOOKUP(B2224,'PO with created By ASR'!A:J,7,FALSE)</f>
        <v>A - Mumbai</v>
      </c>
      <c r="M2224" s="2" t="str">
        <f>VLOOKUP(B2224,'PO with created By ASR'!A:K,8,FALSE)</f>
        <v>Purchase Order-Mum</v>
      </c>
      <c r="N2224" t="s">
        <v>36</v>
      </c>
      <c r="P2224" s="2">
        <v>6</v>
      </c>
    </row>
    <row r="2225" s="2" customFormat="1" spans="1:16">
      <c r="A2225" s="8"/>
      <c r="B2225" s="9" t="s">
        <v>3471</v>
      </c>
      <c r="C2225" s="10" t="s">
        <v>347</v>
      </c>
      <c r="D2225" s="11">
        <v>1</v>
      </c>
      <c r="E2225" s="12">
        <v>75000</v>
      </c>
      <c r="F2225" s="13">
        <v>75000</v>
      </c>
      <c r="G2225" s="2">
        <f>VLOOKUP(B2225,'PO with created By ASR'!A:C,3,FALSE)</f>
        <v>45706</v>
      </c>
      <c r="J2225" s="2" t="str">
        <f>VLOOKUP(B2225,'PO with created By ASR'!A:G,4,FALSE)</f>
        <v>Yash Shah-Mum</v>
      </c>
      <c r="K2225" s="2" t="str">
        <f>VLOOKUP(B2225,'PO with created By ASR'!A:I,6,FALSE)</f>
        <v>11004 Yash Shah</v>
      </c>
      <c r="L2225" s="2" t="str">
        <f>VLOOKUP(B2225,'PO with created By ASR'!A:J,7,FALSE)</f>
        <v>A - Mumbai</v>
      </c>
      <c r="M2225" s="2" t="str">
        <f>VLOOKUP(B2225,'PO with created By ASR'!A:K,8,FALSE)</f>
        <v>Purchase Order-Mum</v>
      </c>
      <c r="N2225" t="s">
        <v>36</v>
      </c>
      <c r="P2225" s="2">
        <v>6</v>
      </c>
    </row>
    <row r="2226" s="2" customFormat="1" spans="1:16">
      <c r="A2226" s="8"/>
      <c r="B2226" s="9" t="s">
        <v>3474</v>
      </c>
      <c r="C2226" s="10" t="s">
        <v>140</v>
      </c>
      <c r="D2226" s="11">
        <v>1</v>
      </c>
      <c r="E2226" s="12">
        <v>18200</v>
      </c>
      <c r="F2226" s="13">
        <v>18200</v>
      </c>
      <c r="G2226" s="2">
        <f>VLOOKUP(B2226,'PO with created By ASR'!A:C,3,FALSE)</f>
        <v>45706</v>
      </c>
      <c r="J2226" s="2" t="str">
        <f>VLOOKUP(B2226,'PO with created By ASR'!A:G,4,FALSE)</f>
        <v>Crystal Art Plus-Mum</v>
      </c>
      <c r="K2226" s="2" t="str">
        <f>VLOOKUP(B2226,'PO with created By ASR'!A:I,6,FALSE)</f>
        <v>11808 Crystal Art Plus</v>
      </c>
      <c r="L2226" s="2" t="str">
        <f>VLOOKUP(B2226,'PO with created By ASR'!A:J,7,FALSE)</f>
        <v>A - Mumbai</v>
      </c>
      <c r="M2226" s="2" t="str">
        <f>VLOOKUP(B2226,'PO with created By ASR'!A:K,8,FALSE)</f>
        <v>Purchase Order-Mum</v>
      </c>
      <c r="N2226" t="s">
        <v>36</v>
      </c>
      <c r="P2226" s="2">
        <v>6</v>
      </c>
    </row>
    <row r="2227" s="2" customFormat="1" spans="1:16">
      <c r="A2227" s="8"/>
      <c r="B2227" s="9" t="s">
        <v>3477</v>
      </c>
      <c r="C2227" s="10" t="s">
        <v>250</v>
      </c>
      <c r="D2227" s="11">
        <v>1</v>
      </c>
      <c r="E2227" s="12">
        <v>100000</v>
      </c>
      <c r="F2227" s="13">
        <v>100000</v>
      </c>
      <c r="G2227" s="2">
        <f>VLOOKUP(B2227,'PO with created By ASR'!A:C,3,FALSE)</f>
        <v>45706</v>
      </c>
      <c r="J2227" s="2" t="str">
        <f>VLOOKUP(B2227,'PO with created By ASR'!A:G,4,FALSE)</f>
        <v>Taal-Swara (Vansh Markandey)-Mum</v>
      </c>
      <c r="K2227" s="2" t="e">
        <f>VLOOKUP(B2227,'PO with created By ASR'!A:I,6,FALSE)</f>
        <v>#N/A</v>
      </c>
      <c r="L2227" s="2" t="str">
        <f>VLOOKUP(B2227,'PO with created By ASR'!A:J,7,FALSE)</f>
        <v>A - Mumbai</v>
      </c>
      <c r="M2227" s="2" t="str">
        <f>VLOOKUP(B2227,'PO with created By ASR'!A:K,8,FALSE)</f>
        <v>Purchase Order-Mum</v>
      </c>
      <c r="N2227" t="s">
        <v>36</v>
      </c>
      <c r="P2227" s="2">
        <v>6</v>
      </c>
    </row>
    <row r="2228" s="2" customFormat="1" spans="1:16">
      <c r="A2228" s="8"/>
      <c r="B2228" s="9" t="s">
        <v>3480</v>
      </c>
      <c r="C2228" s="10" t="s">
        <v>126</v>
      </c>
      <c r="D2228" s="11">
        <v>1</v>
      </c>
      <c r="E2228" s="12">
        <v>596</v>
      </c>
      <c r="F2228" s="13">
        <v>596</v>
      </c>
      <c r="G2228" s="2">
        <f>VLOOKUP(B2228,'PO with created By ASR'!A:C,3,FALSE)</f>
        <v>45706</v>
      </c>
      <c r="J2228" s="2" t="str">
        <f>VLOOKUP(B2228,'PO with created By ASR'!A:G,4,FALSE)</f>
        <v>Atish Pawar  -CR</v>
      </c>
      <c r="K2228" s="2" t="e">
        <f>VLOOKUP(B2228,'PO with created By ASR'!A:I,6,FALSE)</f>
        <v>#N/A</v>
      </c>
      <c r="L2228" s="2" t="str">
        <f>VLOOKUP(B2228,'PO with created By ASR'!A:J,7,FALSE)</f>
        <v>A - Mumbai</v>
      </c>
      <c r="M2228" s="2" t="str">
        <f>VLOOKUP(B2228,'PO with created By ASR'!A:K,8,FALSE)</f>
        <v>Purchase Order-Mum</v>
      </c>
      <c r="N2228" t="s">
        <v>36</v>
      </c>
      <c r="P2228" s="2">
        <v>6</v>
      </c>
    </row>
    <row r="2229" s="2" customFormat="1" spans="1:16">
      <c r="A2229" s="8"/>
      <c r="B2229" s="9" t="s">
        <v>3480</v>
      </c>
      <c r="C2229" s="10" t="s">
        <v>412</v>
      </c>
      <c r="D2229" s="11">
        <v>1</v>
      </c>
      <c r="E2229" s="12">
        <v>150</v>
      </c>
      <c r="F2229" s="13">
        <v>150</v>
      </c>
      <c r="G2229" s="2">
        <f>VLOOKUP(B2229,'PO with created By ASR'!A:C,3,FALSE)</f>
        <v>45706</v>
      </c>
      <c r="J2229" s="2" t="str">
        <f>VLOOKUP(B2229,'PO with created By ASR'!A:G,4,FALSE)</f>
        <v>Atish Pawar  -CR</v>
      </c>
      <c r="K2229" s="2" t="e">
        <f>VLOOKUP(B2229,'PO with created By ASR'!A:I,6,FALSE)</f>
        <v>#N/A</v>
      </c>
      <c r="L2229" s="2" t="str">
        <f>VLOOKUP(B2229,'PO with created By ASR'!A:J,7,FALSE)</f>
        <v>A - Mumbai</v>
      </c>
      <c r="M2229" s="2" t="str">
        <f>VLOOKUP(B2229,'PO with created By ASR'!A:K,8,FALSE)</f>
        <v>Purchase Order-Mum</v>
      </c>
      <c r="N2229" t="s">
        <v>36</v>
      </c>
      <c r="P2229" s="2">
        <v>6</v>
      </c>
    </row>
    <row r="2230" s="2" customFormat="1" spans="1:16">
      <c r="A2230" s="8"/>
      <c r="B2230" s="9" t="s">
        <v>3482</v>
      </c>
      <c r="C2230" s="10" t="s">
        <v>126</v>
      </c>
      <c r="D2230" s="11">
        <v>1</v>
      </c>
      <c r="E2230" s="12">
        <v>345</v>
      </c>
      <c r="F2230" s="13">
        <v>345</v>
      </c>
      <c r="G2230" s="2">
        <f>VLOOKUP(B2230,'PO with created By ASR'!A:C,3,FALSE)</f>
        <v>45706</v>
      </c>
      <c r="J2230" s="2" t="str">
        <f>VLOOKUP(B2230,'PO with created By ASR'!A:G,4,FALSE)</f>
        <v>Aalhad Bavkar  -CR</v>
      </c>
      <c r="K2230" s="2" t="e">
        <f>VLOOKUP(B2230,'PO with created By ASR'!A:I,6,FALSE)</f>
        <v>#N/A</v>
      </c>
      <c r="L2230" s="2" t="str">
        <f>VLOOKUP(B2230,'PO with created By ASR'!A:J,7,FALSE)</f>
        <v>A - Mumbai</v>
      </c>
      <c r="M2230" s="2" t="str">
        <f>VLOOKUP(B2230,'PO with created By ASR'!A:K,8,FALSE)</f>
        <v>Purchase Order-Mum</v>
      </c>
      <c r="N2230" t="s">
        <v>36</v>
      </c>
      <c r="P2230" s="2">
        <v>6</v>
      </c>
    </row>
    <row r="2231" s="2" customFormat="1" spans="1:16">
      <c r="A2231" s="8"/>
      <c r="B2231" s="9" t="s">
        <v>3483</v>
      </c>
      <c r="C2231" s="10" t="s">
        <v>317</v>
      </c>
      <c r="D2231" s="11">
        <v>1</v>
      </c>
      <c r="E2231" s="12">
        <v>240</v>
      </c>
      <c r="F2231" s="13">
        <v>240</v>
      </c>
      <c r="G2231" s="2">
        <f>VLOOKUP(B2231,'PO with created By ASR'!A:C,3,FALSE)</f>
        <v>45706</v>
      </c>
      <c r="J2231" s="2" t="str">
        <f>VLOOKUP(B2231,'PO with created By ASR'!A:G,4,FALSE)</f>
        <v>Sachin Jadhav -CR</v>
      </c>
      <c r="K2231" s="2" t="e">
        <f>VLOOKUP(B2231,'PO with created By ASR'!A:I,6,FALSE)</f>
        <v>#N/A</v>
      </c>
      <c r="L2231" s="2" t="str">
        <f>VLOOKUP(B2231,'PO with created By ASR'!A:J,7,FALSE)</f>
        <v>A - Mumbai</v>
      </c>
      <c r="M2231" s="2" t="str">
        <f>VLOOKUP(B2231,'PO with created By ASR'!A:K,8,FALSE)</f>
        <v>Purchase Order-Mum</v>
      </c>
      <c r="N2231" t="s">
        <v>36</v>
      </c>
      <c r="P2231" s="2">
        <v>6</v>
      </c>
    </row>
    <row r="2232" s="2" customFormat="1" spans="1:16">
      <c r="A2232" s="8"/>
      <c r="B2232" s="9" t="s">
        <v>3483</v>
      </c>
      <c r="C2232" s="10" t="s">
        <v>126</v>
      </c>
      <c r="D2232" s="11">
        <v>1</v>
      </c>
      <c r="E2232" s="12">
        <v>1539</v>
      </c>
      <c r="F2232" s="13">
        <v>1539</v>
      </c>
      <c r="G2232" s="2">
        <f>VLOOKUP(B2232,'PO with created By ASR'!A:C,3,FALSE)</f>
        <v>45706</v>
      </c>
      <c r="J2232" s="2" t="str">
        <f>VLOOKUP(B2232,'PO with created By ASR'!A:G,4,FALSE)</f>
        <v>Sachin Jadhav -CR</v>
      </c>
      <c r="K2232" s="2" t="e">
        <f>VLOOKUP(B2232,'PO with created By ASR'!A:I,6,FALSE)</f>
        <v>#N/A</v>
      </c>
      <c r="L2232" s="2" t="str">
        <f>VLOOKUP(B2232,'PO with created By ASR'!A:J,7,FALSE)</f>
        <v>A - Mumbai</v>
      </c>
      <c r="M2232" s="2" t="str">
        <f>VLOOKUP(B2232,'PO with created By ASR'!A:K,8,FALSE)</f>
        <v>Purchase Order-Mum</v>
      </c>
      <c r="N2232" t="s">
        <v>36</v>
      </c>
      <c r="P2232" s="2">
        <v>6</v>
      </c>
    </row>
    <row r="2233" s="2" customFormat="1" spans="1:16">
      <c r="A2233" s="8"/>
      <c r="B2233" s="9" t="s">
        <v>3483</v>
      </c>
      <c r="C2233" s="10" t="s">
        <v>412</v>
      </c>
      <c r="D2233" s="11">
        <v>1</v>
      </c>
      <c r="E2233" s="12">
        <v>150</v>
      </c>
      <c r="F2233" s="13">
        <v>150</v>
      </c>
      <c r="G2233" s="2">
        <f>VLOOKUP(B2233,'PO with created By ASR'!A:C,3,FALSE)</f>
        <v>45706</v>
      </c>
      <c r="J2233" s="2" t="str">
        <f>VLOOKUP(B2233,'PO with created By ASR'!A:G,4,FALSE)</f>
        <v>Sachin Jadhav -CR</v>
      </c>
      <c r="K2233" s="2" t="e">
        <f>VLOOKUP(B2233,'PO with created By ASR'!A:I,6,FALSE)</f>
        <v>#N/A</v>
      </c>
      <c r="L2233" s="2" t="str">
        <f>VLOOKUP(B2233,'PO with created By ASR'!A:J,7,FALSE)</f>
        <v>A - Mumbai</v>
      </c>
      <c r="M2233" s="2" t="str">
        <f>VLOOKUP(B2233,'PO with created By ASR'!A:K,8,FALSE)</f>
        <v>Purchase Order-Mum</v>
      </c>
      <c r="N2233" t="s">
        <v>36</v>
      </c>
      <c r="P2233" s="2">
        <v>6</v>
      </c>
    </row>
    <row r="2234" s="2" customFormat="1" spans="1:16">
      <c r="A2234" s="8"/>
      <c r="B2234" s="9" t="s">
        <v>3484</v>
      </c>
      <c r="C2234" s="10" t="s">
        <v>317</v>
      </c>
      <c r="D2234" s="11">
        <v>1</v>
      </c>
      <c r="E2234" s="12">
        <v>20000</v>
      </c>
      <c r="F2234" s="13">
        <v>20000</v>
      </c>
      <c r="G2234" s="2">
        <f>VLOOKUP(B2234,'PO with created By ASR'!A:C,3,FALSE)</f>
        <v>45706</v>
      </c>
      <c r="J2234" s="2" t="str">
        <f>VLOOKUP(B2234,'PO with created By ASR'!A:G,4,FALSE)</f>
        <v>End To End Solution-Mum</v>
      </c>
      <c r="K2234" s="2" t="e">
        <f>VLOOKUP(B2234,'PO with created By ASR'!A:I,6,FALSE)</f>
        <v>#N/A</v>
      </c>
      <c r="L2234" s="2" t="str">
        <f>VLOOKUP(B2234,'PO with created By ASR'!A:J,7,FALSE)</f>
        <v>A - Mumbai</v>
      </c>
      <c r="M2234" s="2" t="str">
        <f>VLOOKUP(B2234,'PO with created By ASR'!A:K,8,FALSE)</f>
        <v>Purchase Order-Mum</v>
      </c>
      <c r="N2234" t="s">
        <v>36</v>
      </c>
      <c r="P2234" s="2">
        <v>6</v>
      </c>
    </row>
    <row r="2235" s="2" customFormat="1" spans="1:16">
      <c r="A2235" s="8"/>
      <c r="B2235" s="9" t="s">
        <v>3485</v>
      </c>
      <c r="C2235" s="10" t="s">
        <v>256</v>
      </c>
      <c r="D2235" s="11">
        <v>1</v>
      </c>
      <c r="E2235" s="12">
        <v>60000</v>
      </c>
      <c r="F2235" s="13">
        <v>60000</v>
      </c>
      <c r="G2235" s="2">
        <f>VLOOKUP(B2235,'PO with created By ASR'!A:C,3,FALSE)</f>
        <v>45706</v>
      </c>
      <c r="J2235" s="2" t="str">
        <f>VLOOKUP(B2235,'PO with created By ASR'!A:G,4,FALSE)</f>
        <v>The Indian Performing Right Society Ltd.-Mum</v>
      </c>
      <c r="K2235" s="2" t="e">
        <f>VLOOKUP(B2235,'PO with created By ASR'!A:I,6,FALSE)</f>
        <v>#N/A</v>
      </c>
      <c r="L2235" s="2" t="str">
        <f>VLOOKUP(B2235,'PO with created By ASR'!A:J,7,FALSE)</f>
        <v>A - Mumbai</v>
      </c>
      <c r="M2235" s="2" t="str">
        <f>VLOOKUP(B2235,'PO with created By ASR'!A:K,8,FALSE)</f>
        <v>Purchase Order-Mum</v>
      </c>
      <c r="N2235" t="s">
        <v>36</v>
      </c>
      <c r="P2235" s="2">
        <v>6</v>
      </c>
    </row>
    <row r="2236" s="2" customFormat="1" spans="1:16">
      <c r="A2236" s="8"/>
      <c r="B2236" s="9" t="s">
        <v>3486</v>
      </c>
      <c r="C2236" s="10" t="s">
        <v>256</v>
      </c>
      <c r="D2236" s="11">
        <v>1</v>
      </c>
      <c r="E2236" s="12">
        <v>16000</v>
      </c>
      <c r="F2236" s="13">
        <v>16000</v>
      </c>
      <c r="G2236" s="2">
        <f>VLOOKUP(B2236,'PO with created By ASR'!A:C,3,FALSE)</f>
        <v>45706</v>
      </c>
      <c r="J2236" s="2" t="str">
        <f>VLOOKUP(B2236,'PO with created By ASR'!A:G,4,FALSE)</f>
        <v>Vista Services (Sainath Govind Shirke)-Mum</v>
      </c>
      <c r="K2236" s="2" t="str">
        <f>VLOOKUP(B2236,'PO with created By ASR'!A:I,6,FALSE)</f>
        <v>10237 Vista Services (Sainath Govind Shirke)</v>
      </c>
      <c r="L2236" s="2" t="str">
        <f>VLOOKUP(B2236,'PO with created By ASR'!A:J,7,FALSE)</f>
        <v>A - Mumbai</v>
      </c>
      <c r="M2236" s="2" t="str">
        <f>VLOOKUP(B2236,'PO with created By ASR'!A:K,8,FALSE)</f>
        <v>Purchase Order-Mum</v>
      </c>
      <c r="N2236" t="s">
        <v>36</v>
      </c>
      <c r="P2236" s="2">
        <v>6</v>
      </c>
    </row>
    <row r="2237" s="2" customFormat="1" spans="1:16">
      <c r="A2237" s="8"/>
      <c r="B2237" s="9" t="s">
        <v>3487</v>
      </c>
      <c r="C2237" s="10" t="s">
        <v>371</v>
      </c>
      <c r="D2237" s="11">
        <v>1</v>
      </c>
      <c r="E2237" s="12">
        <v>250000</v>
      </c>
      <c r="F2237" s="13">
        <v>250000</v>
      </c>
      <c r="G2237" s="2">
        <f>VLOOKUP(B2237,'PO with created By ASR'!A:C,3,FALSE)</f>
        <v>45706</v>
      </c>
      <c r="J2237" s="2" t="str">
        <f>VLOOKUP(B2237,'PO with created By ASR'!A:G,4,FALSE)</f>
        <v>Artiligent Solutions Pvt Ltd-Mum</v>
      </c>
      <c r="K2237" s="2" t="str">
        <f>VLOOKUP(B2237,'PO with created By ASR'!A:I,6,FALSE)</f>
        <v>11680  Artiligent Solutions Pvt Ltd</v>
      </c>
      <c r="L2237" s="2" t="str">
        <f>VLOOKUP(B2237,'PO with created By ASR'!A:J,7,FALSE)</f>
        <v>A - Mumbai</v>
      </c>
      <c r="M2237" s="2" t="str">
        <f>VLOOKUP(B2237,'PO with created By ASR'!A:K,8,FALSE)</f>
        <v>Purchase Order-Mum</v>
      </c>
      <c r="N2237" t="s">
        <v>36</v>
      </c>
      <c r="P2237" s="2">
        <v>6</v>
      </c>
    </row>
    <row r="2238" s="2" customFormat="1" spans="1:16">
      <c r="A2238" s="8"/>
      <c r="B2238" s="9" t="s">
        <v>3488</v>
      </c>
      <c r="C2238" s="10" t="s">
        <v>371</v>
      </c>
      <c r="D2238" s="11">
        <v>1</v>
      </c>
      <c r="E2238" s="12">
        <v>67050</v>
      </c>
      <c r="F2238" s="13">
        <v>67050</v>
      </c>
      <c r="G2238" s="2">
        <f>VLOOKUP(B2238,'PO with created By ASR'!A:C,3,FALSE)</f>
        <v>45706</v>
      </c>
      <c r="J2238" s="2" t="str">
        <f>VLOOKUP(B2238,'PO with created By ASR'!A:G,4,FALSE)</f>
        <v>Adsmn Interactive Pvt Ltd-Mum</v>
      </c>
      <c r="K2238" s="2" t="str">
        <f>VLOOKUP(B2238,'PO with created By ASR'!A:I,6,FALSE)</f>
        <v>12954  Adsmn Interactive Pvt Ltd</v>
      </c>
      <c r="L2238" s="2" t="str">
        <f>VLOOKUP(B2238,'PO with created By ASR'!A:J,7,FALSE)</f>
        <v>A - Mumbai</v>
      </c>
      <c r="M2238" s="2" t="str">
        <f>VLOOKUP(B2238,'PO with created By ASR'!A:K,8,FALSE)</f>
        <v>Purchase Order-Mum</v>
      </c>
      <c r="N2238" t="s">
        <v>36</v>
      </c>
      <c r="P2238" s="2">
        <v>6</v>
      </c>
    </row>
    <row r="2239" s="2" customFormat="1" spans="1:16">
      <c r="A2239" s="8"/>
      <c r="B2239" s="9" t="s">
        <v>3491</v>
      </c>
      <c r="C2239" s="10" t="s">
        <v>317</v>
      </c>
      <c r="D2239" s="11">
        <v>1</v>
      </c>
      <c r="E2239" s="12">
        <v>190000</v>
      </c>
      <c r="F2239" s="13">
        <v>190000</v>
      </c>
      <c r="G2239" s="2">
        <f>VLOOKUP(B2239,'PO with created By ASR'!A:C,3,FALSE)</f>
        <v>45706</v>
      </c>
      <c r="J2239" s="2" t="str">
        <f>VLOOKUP(B2239,'PO with created By ASR'!A:G,4,FALSE)</f>
        <v>Benchmark Marcom Pvt Ltd (OPC)-Mum</v>
      </c>
      <c r="K2239" s="2" t="str">
        <f>VLOOKUP(B2239,'PO with created By ASR'!A:I,6,FALSE)</f>
        <v>11718  Benchmark Marcom Pvt Ltd (OPC)</v>
      </c>
      <c r="L2239" s="2" t="str">
        <f>VLOOKUP(B2239,'PO with created By ASR'!A:J,7,FALSE)</f>
        <v>A - Mumbai</v>
      </c>
      <c r="M2239" s="2" t="str">
        <f>VLOOKUP(B2239,'PO with created By ASR'!A:K,8,FALSE)</f>
        <v>Purchase Order-Mum</v>
      </c>
      <c r="N2239" t="s">
        <v>36</v>
      </c>
      <c r="P2239" s="2">
        <v>6</v>
      </c>
    </row>
    <row r="2240" s="2" customFormat="1" spans="1:16">
      <c r="A2240" s="8"/>
      <c r="B2240" s="9" t="s">
        <v>3494</v>
      </c>
      <c r="C2240" s="10" t="s">
        <v>151</v>
      </c>
      <c r="D2240" s="11">
        <v>1</v>
      </c>
      <c r="E2240" s="12">
        <v>17000</v>
      </c>
      <c r="F2240" s="13">
        <v>17000</v>
      </c>
      <c r="G2240" s="2">
        <f>VLOOKUP(B2240,'PO with created By ASR'!A:C,3,FALSE)</f>
        <v>45707</v>
      </c>
      <c r="J2240" s="2" t="str">
        <f>VLOOKUP(B2240,'PO with created By ASR'!A:G,4,FALSE)</f>
        <v>Narsingh Events Pvt Ltd-Blr</v>
      </c>
      <c r="K2240" s="2" t="str">
        <f>VLOOKUP(B2240,'PO with created By ASR'!A:I,6,FALSE)</f>
        <v>12985  Narsingh Events Pvt Ltd</v>
      </c>
      <c r="L2240" s="2" t="str">
        <f>VLOOKUP(B2240,'PO with created By ASR'!A:J,7,FALSE)</f>
        <v>B - Bangalore</v>
      </c>
      <c r="M2240" s="2" t="str">
        <f>VLOOKUP(B2240,'PO with created By ASR'!A:K,8,FALSE)</f>
        <v>Purchase Order-Blr</v>
      </c>
      <c r="N2240" t="s">
        <v>36</v>
      </c>
      <c r="P2240" s="2">
        <v>6</v>
      </c>
    </row>
    <row r="2241" s="2" customFormat="1" spans="1:16">
      <c r="A2241" s="8"/>
      <c r="B2241" s="9" t="s">
        <v>3495</v>
      </c>
      <c r="C2241" s="10" t="s">
        <v>196</v>
      </c>
      <c r="D2241" s="11">
        <v>1</v>
      </c>
      <c r="E2241" s="12">
        <v>300</v>
      </c>
      <c r="F2241" s="13">
        <v>300</v>
      </c>
      <c r="G2241" s="2">
        <f>VLOOKUP(B2241,'PO with created By ASR'!A:C,3,FALSE)</f>
        <v>45707</v>
      </c>
      <c r="J2241" s="2" t="str">
        <f>VLOOKUP(B2241,'PO with created By ASR'!A:G,4,FALSE)</f>
        <v>New Print House-Blr</v>
      </c>
      <c r="K2241" s="2" t="str">
        <f>VLOOKUP(B2241,'PO with created By ASR'!A:I,6,FALSE)</f>
        <v>12196 New Print House</v>
      </c>
      <c r="L2241" s="2" t="str">
        <f>VLOOKUP(B2241,'PO with created By ASR'!A:J,7,FALSE)</f>
        <v>B - Bangalore</v>
      </c>
      <c r="M2241" s="2" t="str">
        <f>VLOOKUP(B2241,'PO with created By ASR'!A:K,8,FALSE)</f>
        <v>Purchase Order-Blr</v>
      </c>
      <c r="N2241" t="s">
        <v>36</v>
      </c>
      <c r="P2241" s="2">
        <v>6</v>
      </c>
    </row>
    <row r="2242" s="2" customFormat="1" spans="1:16">
      <c r="A2242" s="8"/>
      <c r="B2242" s="9" t="s">
        <v>3497</v>
      </c>
      <c r="C2242" s="10" t="s">
        <v>371</v>
      </c>
      <c r="D2242" s="11">
        <v>1</v>
      </c>
      <c r="E2242" s="12">
        <v>16000</v>
      </c>
      <c r="F2242" s="13">
        <v>16000</v>
      </c>
      <c r="G2242" s="2">
        <f>VLOOKUP(B2242,'PO with created By ASR'!A:C,3,FALSE)</f>
        <v>45707</v>
      </c>
      <c r="J2242" s="2" t="str">
        <f>VLOOKUP(B2242,'PO with created By ASR'!A:G,4,FALSE)</f>
        <v>Jc Trax-Blr</v>
      </c>
      <c r="K2242" s="2" t="str">
        <f>VLOOKUP(B2242,'PO with created By ASR'!A:I,6,FALSE)</f>
        <v>12050 Jc Trax</v>
      </c>
      <c r="L2242" s="2" t="str">
        <f>VLOOKUP(B2242,'PO with created By ASR'!A:J,7,FALSE)</f>
        <v>B - Bangalore</v>
      </c>
      <c r="M2242" s="2" t="str">
        <f>VLOOKUP(B2242,'PO with created By ASR'!A:K,8,FALSE)</f>
        <v>Purchase Order-Blr</v>
      </c>
      <c r="N2242" t="s">
        <v>36</v>
      </c>
      <c r="P2242" s="2">
        <v>6</v>
      </c>
    </row>
    <row r="2243" s="2" customFormat="1" spans="1:16">
      <c r="A2243" s="8"/>
      <c r="B2243" s="9" t="s">
        <v>3500</v>
      </c>
      <c r="C2243" s="10" t="s">
        <v>704</v>
      </c>
      <c r="D2243" s="11">
        <v>1</v>
      </c>
      <c r="E2243" s="12">
        <v>21750</v>
      </c>
      <c r="F2243" s="13">
        <v>21750</v>
      </c>
      <c r="G2243" s="2">
        <f>VLOOKUP(B2243,'PO with created By ASR'!A:C,3,FALSE)</f>
        <v>45707</v>
      </c>
      <c r="J2243" s="2" t="str">
        <f>VLOOKUP(B2243,'PO with created By ASR'!A:G,4,FALSE)</f>
        <v>Infutech Solutions-Blr</v>
      </c>
      <c r="K2243" s="2" t="str">
        <f>VLOOKUP(B2243,'PO with created By ASR'!A:I,6,FALSE)</f>
        <v>12027 Infutech Solutions</v>
      </c>
      <c r="L2243" s="2" t="str">
        <f>VLOOKUP(B2243,'PO with created By ASR'!A:J,7,FALSE)</f>
        <v>B - Bangalore</v>
      </c>
      <c r="M2243" s="2" t="str">
        <f>VLOOKUP(B2243,'PO with created By ASR'!A:K,8,FALSE)</f>
        <v>Purchase Order-Blr</v>
      </c>
      <c r="N2243" t="s">
        <v>36</v>
      </c>
      <c r="P2243" s="2">
        <v>6</v>
      </c>
    </row>
    <row r="2244" s="2" customFormat="1" spans="1:16">
      <c r="A2244" s="8"/>
      <c r="B2244" s="9" t="s">
        <v>3501</v>
      </c>
      <c r="C2244" s="10" t="s">
        <v>151</v>
      </c>
      <c r="D2244" s="11">
        <v>1</v>
      </c>
      <c r="E2244" s="12">
        <v>81000</v>
      </c>
      <c r="F2244" s="13">
        <v>81000</v>
      </c>
      <c r="G2244" s="2">
        <f>VLOOKUP(B2244,'PO with created By ASR'!A:C,3,FALSE)</f>
        <v>45707</v>
      </c>
      <c r="J2244" s="2" t="str">
        <f>VLOOKUP(B2244,'PO with created By ASR'!A:G,4,FALSE)</f>
        <v>Jay Jagannath Samal Event Production-Blr</v>
      </c>
      <c r="K2244" s="2" t="str">
        <f>VLOOKUP(B2244,'PO with created By ASR'!A:I,6,FALSE)</f>
        <v>12049 Jay Jagannath Samal Event Production</v>
      </c>
      <c r="L2244" s="2" t="str">
        <f>VLOOKUP(B2244,'PO with created By ASR'!A:J,7,FALSE)</f>
        <v>B - Bangalore</v>
      </c>
      <c r="M2244" s="2" t="str">
        <f>VLOOKUP(B2244,'PO with created By ASR'!A:K,8,FALSE)</f>
        <v>Purchase Order-Blr</v>
      </c>
      <c r="N2244" t="s">
        <v>36</v>
      </c>
      <c r="P2244" s="2">
        <v>6</v>
      </c>
    </row>
    <row r="2245" s="2" customFormat="1" spans="1:16">
      <c r="A2245" s="8"/>
      <c r="B2245" s="9" t="s">
        <v>3502</v>
      </c>
      <c r="C2245" s="10" t="s">
        <v>371</v>
      </c>
      <c r="D2245" s="11">
        <v>1</v>
      </c>
      <c r="E2245" s="12">
        <v>20000</v>
      </c>
      <c r="F2245" s="13">
        <v>20000</v>
      </c>
      <c r="G2245" s="2">
        <f>VLOOKUP(B2245,'PO with created By ASR'!A:C,3,FALSE)</f>
        <v>45707</v>
      </c>
      <c r="J2245" s="2" t="str">
        <f>VLOOKUP(B2245,'PO with created By ASR'!A:G,4,FALSE)</f>
        <v>Event Life-Blr</v>
      </c>
      <c r="K2245" s="2" t="str">
        <f>VLOOKUP(B2245,'PO with created By ASR'!A:I,6,FALSE)</f>
        <v>11892 Event Life</v>
      </c>
      <c r="L2245" s="2" t="str">
        <f>VLOOKUP(B2245,'PO with created By ASR'!A:J,7,FALSE)</f>
        <v>B - Bangalore</v>
      </c>
      <c r="M2245" s="2" t="str">
        <f>VLOOKUP(B2245,'PO with created By ASR'!A:K,8,FALSE)</f>
        <v>Purchase Order-Blr</v>
      </c>
      <c r="N2245" t="s">
        <v>36</v>
      </c>
      <c r="P2245" s="2">
        <v>6</v>
      </c>
    </row>
    <row r="2246" s="2" customFormat="1" spans="1:16">
      <c r="A2246" s="8"/>
      <c r="B2246" s="9" t="s">
        <v>3503</v>
      </c>
      <c r="C2246" s="10" t="s">
        <v>292</v>
      </c>
      <c r="D2246" s="11">
        <v>1</v>
      </c>
      <c r="E2246" s="12">
        <v>4000</v>
      </c>
      <c r="F2246" s="13">
        <v>4000</v>
      </c>
      <c r="G2246" s="2">
        <f>VLOOKUP(B2246,'PO with created By ASR'!A:C,3,FALSE)</f>
        <v>45707</v>
      </c>
      <c r="J2246" s="2" t="str">
        <f>VLOOKUP(B2246,'PO with created By ASR'!A:G,4,FALSE)</f>
        <v>Blue Gem Entertainment and Events-Blr</v>
      </c>
      <c r="K2246" s="2" t="str">
        <f>VLOOKUP(B2246,'PO with created By ASR'!A:I,6,FALSE)</f>
        <v>11737 Blue Gem Entertainment and Events</v>
      </c>
      <c r="L2246" s="2" t="str">
        <f>VLOOKUP(B2246,'PO with created By ASR'!A:J,7,FALSE)</f>
        <v>B - Bangalore</v>
      </c>
      <c r="M2246" s="2" t="str">
        <f>VLOOKUP(B2246,'PO with created By ASR'!A:K,8,FALSE)</f>
        <v>Purchase Order-Blr</v>
      </c>
      <c r="N2246" t="s">
        <v>36</v>
      </c>
      <c r="P2246" s="2">
        <v>6</v>
      </c>
    </row>
    <row r="2247" s="2" customFormat="1" spans="1:16">
      <c r="A2247" s="8"/>
      <c r="B2247" s="9" t="s">
        <v>3504</v>
      </c>
      <c r="C2247" s="10" t="s">
        <v>276</v>
      </c>
      <c r="D2247" s="11">
        <v>1</v>
      </c>
      <c r="E2247" s="12">
        <v>18400</v>
      </c>
      <c r="F2247" s="13">
        <v>18400</v>
      </c>
      <c r="G2247" s="2">
        <f>VLOOKUP(B2247,'PO with created By ASR'!A:C,3,FALSE)</f>
        <v>45707</v>
      </c>
      <c r="J2247" s="2" t="str">
        <f>VLOOKUP(B2247,'PO with created By ASR'!A:G,4,FALSE)</f>
        <v>Farhan Shariff  -CR</v>
      </c>
      <c r="K2247" s="2" t="e">
        <f>VLOOKUP(B2247,'PO with created By ASR'!A:I,6,FALSE)</f>
        <v>#N/A</v>
      </c>
      <c r="L2247" s="2" t="str">
        <f>VLOOKUP(B2247,'PO with created By ASR'!A:J,7,FALSE)</f>
        <v>B - Bangalore</v>
      </c>
      <c r="M2247" s="2" t="str">
        <f>VLOOKUP(B2247,'PO with created By ASR'!A:K,8,FALSE)</f>
        <v>Purchase Order-Blr</v>
      </c>
      <c r="N2247" t="s">
        <v>36</v>
      </c>
      <c r="P2247" s="2">
        <v>6</v>
      </c>
    </row>
    <row r="2248" s="2" customFormat="1" spans="1:16">
      <c r="A2248" s="8"/>
      <c r="B2248" s="9" t="s">
        <v>3505</v>
      </c>
      <c r="C2248" s="10" t="s">
        <v>126</v>
      </c>
      <c r="D2248" s="11">
        <v>1</v>
      </c>
      <c r="E2248" s="12">
        <v>2420</v>
      </c>
      <c r="F2248" s="13">
        <v>2420</v>
      </c>
      <c r="G2248" s="2">
        <f>VLOOKUP(B2248,'PO with created By ASR'!A:C,3,FALSE)</f>
        <v>45707</v>
      </c>
      <c r="J2248" s="2" t="str">
        <f>VLOOKUP(B2248,'PO with created By ASR'!A:G,4,FALSE)</f>
        <v>Farhan Shariff  -CR</v>
      </c>
      <c r="K2248" s="2" t="e">
        <f>VLOOKUP(B2248,'PO with created By ASR'!A:I,6,FALSE)</f>
        <v>#N/A</v>
      </c>
      <c r="L2248" s="2" t="str">
        <f>VLOOKUP(B2248,'PO with created By ASR'!A:J,7,FALSE)</f>
        <v>B - Bangalore</v>
      </c>
      <c r="M2248" s="2" t="str">
        <f>VLOOKUP(B2248,'PO with created By ASR'!A:K,8,FALSE)</f>
        <v>Purchase Order-Blr</v>
      </c>
      <c r="N2248" t="s">
        <v>36</v>
      </c>
      <c r="P2248" s="2">
        <v>6</v>
      </c>
    </row>
    <row r="2249" s="2" customFormat="1" spans="1:16">
      <c r="A2249" s="8"/>
      <c r="B2249" s="9" t="s">
        <v>3505</v>
      </c>
      <c r="C2249" s="10" t="s">
        <v>233</v>
      </c>
      <c r="D2249" s="11">
        <v>1</v>
      </c>
      <c r="E2249" s="12">
        <v>3926</v>
      </c>
      <c r="F2249" s="13">
        <v>3926</v>
      </c>
      <c r="G2249" s="2">
        <f>VLOOKUP(B2249,'PO with created By ASR'!A:C,3,FALSE)</f>
        <v>45707</v>
      </c>
      <c r="J2249" s="2" t="str">
        <f>VLOOKUP(B2249,'PO with created By ASR'!A:G,4,FALSE)</f>
        <v>Farhan Shariff  -CR</v>
      </c>
      <c r="K2249" s="2" t="e">
        <f>VLOOKUP(B2249,'PO with created By ASR'!A:I,6,FALSE)</f>
        <v>#N/A</v>
      </c>
      <c r="L2249" s="2" t="str">
        <f>VLOOKUP(B2249,'PO with created By ASR'!A:J,7,FALSE)</f>
        <v>B - Bangalore</v>
      </c>
      <c r="M2249" s="2" t="str">
        <f>VLOOKUP(B2249,'PO with created By ASR'!A:K,8,FALSE)</f>
        <v>Purchase Order-Blr</v>
      </c>
      <c r="N2249" t="s">
        <v>36</v>
      </c>
      <c r="P2249" s="2">
        <v>6</v>
      </c>
    </row>
    <row r="2250" s="2" customFormat="1" spans="1:16">
      <c r="A2250" s="8"/>
      <c r="B2250" s="9" t="s">
        <v>3505</v>
      </c>
      <c r="C2250" s="10" t="s">
        <v>412</v>
      </c>
      <c r="D2250" s="11">
        <v>1</v>
      </c>
      <c r="E2250" s="12">
        <v>776</v>
      </c>
      <c r="F2250" s="13">
        <v>776</v>
      </c>
      <c r="G2250" s="2">
        <f>VLOOKUP(B2250,'PO with created By ASR'!A:C,3,FALSE)</f>
        <v>45707</v>
      </c>
      <c r="J2250" s="2" t="str">
        <f>VLOOKUP(B2250,'PO with created By ASR'!A:G,4,FALSE)</f>
        <v>Farhan Shariff  -CR</v>
      </c>
      <c r="K2250" s="2" t="e">
        <f>VLOOKUP(B2250,'PO with created By ASR'!A:I,6,FALSE)</f>
        <v>#N/A</v>
      </c>
      <c r="L2250" s="2" t="str">
        <f>VLOOKUP(B2250,'PO with created By ASR'!A:J,7,FALSE)</f>
        <v>B - Bangalore</v>
      </c>
      <c r="M2250" s="2" t="str">
        <f>VLOOKUP(B2250,'PO with created By ASR'!A:K,8,FALSE)</f>
        <v>Purchase Order-Blr</v>
      </c>
      <c r="N2250" t="s">
        <v>36</v>
      </c>
      <c r="P2250" s="2">
        <v>6</v>
      </c>
    </row>
    <row r="2251" s="2" customFormat="1" spans="1:16">
      <c r="A2251" s="8"/>
      <c r="B2251" s="9" t="s">
        <v>3505</v>
      </c>
      <c r="C2251" s="10" t="s">
        <v>196</v>
      </c>
      <c r="D2251" s="11">
        <v>1</v>
      </c>
      <c r="E2251" s="12">
        <v>200</v>
      </c>
      <c r="F2251" s="13">
        <v>200</v>
      </c>
      <c r="G2251" s="2">
        <f>VLOOKUP(B2251,'PO with created By ASR'!A:C,3,FALSE)</f>
        <v>45707</v>
      </c>
      <c r="J2251" s="2" t="str">
        <f>VLOOKUP(B2251,'PO with created By ASR'!A:G,4,FALSE)</f>
        <v>Farhan Shariff  -CR</v>
      </c>
      <c r="K2251" s="2" t="e">
        <f>VLOOKUP(B2251,'PO with created By ASR'!A:I,6,FALSE)</f>
        <v>#N/A</v>
      </c>
      <c r="L2251" s="2" t="str">
        <f>VLOOKUP(B2251,'PO with created By ASR'!A:J,7,FALSE)</f>
        <v>B - Bangalore</v>
      </c>
      <c r="M2251" s="2" t="str">
        <f>VLOOKUP(B2251,'PO with created By ASR'!A:K,8,FALSE)</f>
        <v>Purchase Order-Blr</v>
      </c>
      <c r="N2251" t="s">
        <v>36</v>
      </c>
      <c r="P2251" s="2">
        <v>6</v>
      </c>
    </row>
    <row r="2252" s="2" customFormat="1" spans="1:16">
      <c r="A2252" s="8"/>
      <c r="B2252" s="9" t="s">
        <v>3505</v>
      </c>
      <c r="C2252" s="10" t="s">
        <v>1055</v>
      </c>
      <c r="D2252" s="11">
        <v>1</v>
      </c>
      <c r="E2252" s="12">
        <v>330</v>
      </c>
      <c r="F2252" s="13">
        <v>330</v>
      </c>
      <c r="G2252" s="2">
        <f>VLOOKUP(B2252,'PO with created By ASR'!A:C,3,FALSE)</f>
        <v>45707</v>
      </c>
      <c r="J2252" s="2" t="str">
        <f>VLOOKUP(B2252,'PO with created By ASR'!A:G,4,FALSE)</f>
        <v>Farhan Shariff  -CR</v>
      </c>
      <c r="K2252" s="2" t="e">
        <f>VLOOKUP(B2252,'PO with created By ASR'!A:I,6,FALSE)</f>
        <v>#N/A</v>
      </c>
      <c r="L2252" s="2" t="str">
        <f>VLOOKUP(B2252,'PO with created By ASR'!A:J,7,FALSE)</f>
        <v>B - Bangalore</v>
      </c>
      <c r="M2252" s="2" t="str">
        <f>VLOOKUP(B2252,'PO with created By ASR'!A:K,8,FALSE)</f>
        <v>Purchase Order-Blr</v>
      </c>
      <c r="N2252" t="s">
        <v>36</v>
      </c>
      <c r="P2252" s="2">
        <v>6</v>
      </c>
    </row>
    <row r="2253" s="2" customFormat="1" spans="1:16">
      <c r="A2253" s="8"/>
      <c r="B2253" s="9" t="s">
        <v>3505</v>
      </c>
      <c r="C2253" s="10" t="s">
        <v>292</v>
      </c>
      <c r="D2253" s="11">
        <v>1</v>
      </c>
      <c r="E2253" s="12">
        <v>9000</v>
      </c>
      <c r="F2253" s="13">
        <v>9000</v>
      </c>
      <c r="G2253" s="2">
        <f>VLOOKUP(B2253,'PO with created By ASR'!A:C,3,FALSE)</f>
        <v>45707</v>
      </c>
      <c r="J2253" s="2" t="str">
        <f>VLOOKUP(B2253,'PO with created By ASR'!A:G,4,FALSE)</f>
        <v>Farhan Shariff  -CR</v>
      </c>
      <c r="K2253" s="2" t="e">
        <f>VLOOKUP(B2253,'PO with created By ASR'!A:I,6,FALSE)</f>
        <v>#N/A</v>
      </c>
      <c r="L2253" s="2" t="str">
        <f>VLOOKUP(B2253,'PO with created By ASR'!A:J,7,FALSE)</f>
        <v>B - Bangalore</v>
      </c>
      <c r="M2253" s="2" t="str">
        <f>VLOOKUP(B2253,'PO with created By ASR'!A:K,8,FALSE)</f>
        <v>Purchase Order-Blr</v>
      </c>
      <c r="N2253" t="s">
        <v>36</v>
      </c>
      <c r="P2253" s="2">
        <v>6</v>
      </c>
    </row>
    <row r="2254" s="2" customFormat="1" spans="1:16">
      <c r="A2254" s="8"/>
      <c r="B2254" s="9" t="s">
        <v>3505</v>
      </c>
      <c r="C2254" s="10" t="s">
        <v>276</v>
      </c>
      <c r="D2254" s="11">
        <v>1</v>
      </c>
      <c r="E2254" s="12">
        <v>31620</v>
      </c>
      <c r="F2254" s="13">
        <v>31620</v>
      </c>
      <c r="G2254" s="2">
        <f>VLOOKUP(B2254,'PO with created By ASR'!A:C,3,FALSE)</f>
        <v>45707</v>
      </c>
      <c r="J2254" s="2" t="str">
        <f>VLOOKUP(B2254,'PO with created By ASR'!A:G,4,FALSE)</f>
        <v>Farhan Shariff  -CR</v>
      </c>
      <c r="K2254" s="2" t="e">
        <f>VLOOKUP(B2254,'PO with created By ASR'!A:I,6,FALSE)</f>
        <v>#N/A</v>
      </c>
      <c r="L2254" s="2" t="str">
        <f>VLOOKUP(B2254,'PO with created By ASR'!A:J,7,FALSE)</f>
        <v>B - Bangalore</v>
      </c>
      <c r="M2254" s="2" t="str">
        <f>VLOOKUP(B2254,'PO with created By ASR'!A:K,8,FALSE)</f>
        <v>Purchase Order-Blr</v>
      </c>
      <c r="N2254" t="s">
        <v>36</v>
      </c>
      <c r="P2254" s="2">
        <v>6</v>
      </c>
    </row>
    <row r="2255" s="2" customFormat="1" spans="1:16">
      <c r="A2255" s="8"/>
      <c r="B2255" s="9" t="s">
        <v>3506</v>
      </c>
      <c r="C2255" s="10" t="s">
        <v>126</v>
      </c>
      <c r="D2255" s="11">
        <v>1</v>
      </c>
      <c r="E2255" s="12">
        <v>8800</v>
      </c>
      <c r="F2255" s="13">
        <v>8800</v>
      </c>
      <c r="G2255" s="2">
        <f>VLOOKUP(B2255,'PO with created By ASR'!A:C,3,FALSE)</f>
        <v>45707</v>
      </c>
      <c r="J2255" s="2" t="str">
        <f>VLOOKUP(B2255,'PO with created By ASR'!A:G,4,FALSE)</f>
        <v>Neha Khemka  -CR</v>
      </c>
      <c r="K2255" s="2" t="e">
        <f>VLOOKUP(B2255,'PO with created By ASR'!A:I,6,FALSE)</f>
        <v>#N/A</v>
      </c>
      <c r="L2255" s="2" t="str">
        <f>VLOOKUP(B2255,'PO with created By ASR'!A:J,7,FALSE)</f>
        <v>B - Bangalore</v>
      </c>
      <c r="M2255" s="2" t="str">
        <f>VLOOKUP(B2255,'PO with created By ASR'!A:K,8,FALSE)</f>
        <v>Purchase Order-Blr</v>
      </c>
      <c r="N2255" t="s">
        <v>36</v>
      </c>
      <c r="P2255" s="2">
        <v>6</v>
      </c>
    </row>
    <row r="2256" s="2" customFormat="1" spans="1:16">
      <c r="A2256" s="8"/>
      <c r="B2256" s="9" t="s">
        <v>3506</v>
      </c>
      <c r="C2256" s="10" t="s">
        <v>412</v>
      </c>
      <c r="D2256" s="11">
        <v>1</v>
      </c>
      <c r="E2256" s="12">
        <v>1295</v>
      </c>
      <c r="F2256" s="13">
        <v>1295</v>
      </c>
      <c r="G2256" s="2">
        <f>VLOOKUP(B2256,'PO with created By ASR'!A:C,3,FALSE)</f>
        <v>45707</v>
      </c>
      <c r="J2256" s="2" t="str">
        <f>VLOOKUP(B2256,'PO with created By ASR'!A:G,4,FALSE)</f>
        <v>Neha Khemka  -CR</v>
      </c>
      <c r="K2256" s="2" t="e">
        <f>VLOOKUP(B2256,'PO with created By ASR'!A:I,6,FALSE)</f>
        <v>#N/A</v>
      </c>
      <c r="L2256" s="2" t="str">
        <f>VLOOKUP(B2256,'PO with created By ASR'!A:J,7,FALSE)</f>
        <v>B - Bangalore</v>
      </c>
      <c r="M2256" s="2" t="str">
        <f>VLOOKUP(B2256,'PO with created By ASR'!A:K,8,FALSE)</f>
        <v>Purchase Order-Blr</v>
      </c>
      <c r="N2256" t="s">
        <v>36</v>
      </c>
      <c r="P2256" s="2">
        <v>6</v>
      </c>
    </row>
    <row r="2257" s="2" customFormat="1" spans="1:16">
      <c r="A2257" s="8"/>
      <c r="B2257" s="9" t="s">
        <v>3506</v>
      </c>
      <c r="C2257" s="10" t="s">
        <v>233</v>
      </c>
      <c r="D2257" s="11">
        <v>1</v>
      </c>
      <c r="E2257" s="12">
        <v>337</v>
      </c>
      <c r="F2257" s="13">
        <v>337</v>
      </c>
      <c r="G2257" s="2">
        <f>VLOOKUP(B2257,'PO with created By ASR'!A:C,3,FALSE)</f>
        <v>45707</v>
      </c>
      <c r="J2257" s="2" t="str">
        <f>VLOOKUP(B2257,'PO with created By ASR'!A:G,4,FALSE)</f>
        <v>Neha Khemka  -CR</v>
      </c>
      <c r="K2257" s="2" t="e">
        <f>VLOOKUP(B2257,'PO with created By ASR'!A:I,6,FALSE)</f>
        <v>#N/A</v>
      </c>
      <c r="L2257" s="2" t="str">
        <f>VLOOKUP(B2257,'PO with created By ASR'!A:J,7,FALSE)</f>
        <v>B - Bangalore</v>
      </c>
      <c r="M2257" s="2" t="str">
        <f>VLOOKUP(B2257,'PO with created By ASR'!A:K,8,FALSE)</f>
        <v>Purchase Order-Blr</v>
      </c>
      <c r="N2257" t="s">
        <v>36</v>
      </c>
      <c r="P2257" s="2">
        <v>6</v>
      </c>
    </row>
    <row r="2258" s="2" customFormat="1" spans="1:16">
      <c r="A2258" s="8"/>
      <c r="B2258" s="9" t="s">
        <v>3507</v>
      </c>
      <c r="C2258" s="10" t="s">
        <v>126</v>
      </c>
      <c r="D2258" s="11">
        <v>1</v>
      </c>
      <c r="E2258" s="12">
        <v>453</v>
      </c>
      <c r="F2258" s="13">
        <v>453</v>
      </c>
      <c r="G2258" s="2">
        <f>VLOOKUP(B2258,'PO with created By ASR'!A:C,3,FALSE)</f>
        <v>45707</v>
      </c>
      <c r="J2258" s="2" t="str">
        <f>VLOOKUP(B2258,'PO with created By ASR'!A:G,4,FALSE)</f>
        <v>Chintan Shetty  -CR</v>
      </c>
      <c r="K2258" s="2" t="e">
        <f>VLOOKUP(B2258,'PO with created By ASR'!A:I,6,FALSE)</f>
        <v>#N/A</v>
      </c>
      <c r="L2258" s="2" t="str">
        <f>VLOOKUP(B2258,'PO with created By ASR'!A:J,7,FALSE)</f>
        <v>B - Bangalore</v>
      </c>
      <c r="M2258" s="2" t="str">
        <f>VLOOKUP(B2258,'PO with created By ASR'!A:K,8,FALSE)</f>
        <v>Purchase Order-Blr</v>
      </c>
      <c r="N2258" t="s">
        <v>36</v>
      </c>
      <c r="P2258" s="2">
        <v>6</v>
      </c>
    </row>
    <row r="2259" s="2" customFormat="1" spans="1:16">
      <c r="A2259" s="8"/>
      <c r="B2259" s="9" t="s">
        <v>3509</v>
      </c>
      <c r="C2259" s="10" t="s">
        <v>126</v>
      </c>
      <c r="D2259" s="11">
        <v>1</v>
      </c>
      <c r="E2259" s="12">
        <v>984</v>
      </c>
      <c r="F2259" s="13">
        <v>984</v>
      </c>
      <c r="G2259" s="2">
        <f>VLOOKUP(B2259,'PO with created By ASR'!A:C,3,FALSE)</f>
        <v>45707</v>
      </c>
      <c r="J2259" s="2" t="str">
        <f>VLOOKUP(B2259,'PO with created By ASR'!A:G,4,FALSE)</f>
        <v>Farhan Shariff  -CR</v>
      </c>
      <c r="K2259" s="2" t="e">
        <f>VLOOKUP(B2259,'PO with created By ASR'!A:I,6,FALSE)</f>
        <v>#N/A</v>
      </c>
      <c r="L2259" s="2" t="str">
        <f>VLOOKUP(B2259,'PO with created By ASR'!A:J,7,FALSE)</f>
        <v>B - Bangalore</v>
      </c>
      <c r="M2259" s="2" t="str">
        <f>VLOOKUP(B2259,'PO with created By ASR'!A:K,8,FALSE)</f>
        <v>Purchase Order-Blr</v>
      </c>
      <c r="N2259" t="s">
        <v>36</v>
      </c>
      <c r="P2259" s="2">
        <v>6</v>
      </c>
    </row>
    <row r="2260" s="2" customFormat="1" spans="1:16">
      <c r="A2260" s="8"/>
      <c r="B2260" s="9" t="s">
        <v>3511</v>
      </c>
      <c r="C2260" s="10" t="s">
        <v>292</v>
      </c>
      <c r="D2260" s="11">
        <v>1</v>
      </c>
      <c r="E2260" s="12">
        <v>4000</v>
      </c>
      <c r="F2260" s="13">
        <v>4000</v>
      </c>
      <c r="G2260" s="2">
        <f>VLOOKUP(B2260,'PO with created By ASR'!A:C,3,FALSE)</f>
        <v>45707</v>
      </c>
      <c r="J2260" s="2" t="str">
        <f>VLOOKUP(B2260,'PO with created By ASR'!A:G,4,FALSE)</f>
        <v>Abdul Rehman -CR</v>
      </c>
      <c r="K2260" s="2" t="e">
        <f>VLOOKUP(B2260,'PO with created By ASR'!A:I,6,FALSE)</f>
        <v>#N/A</v>
      </c>
      <c r="L2260" s="2" t="str">
        <f>VLOOKUP(B2260,'PO with created By ASR'!A:J,7,FALSE)</f>
        <v>B - Bangalore</v>
      </c>
      <c r="M2260" s="2" t="str">
        <f>VLOOKUP(B2260,'PO with created By ASR'!A:K,8,FALSE)</f>
        <v>Purchase Order-Blr</v>
      </c>
      <c r="N2260" t="s">
        <v>36</v>
      </c>
      <c r="P2260" s="2">
        <v>6</v>
      </c>
    </row>
    <row r="2261" s="2" customFormat="1" spans="1:16">
      <c r="A2261" s="8"/>
      <c r="B2261" s="9" t="s">
        <v>3513</v>
      </c>
      <c r="C2261" s="10" t="s">
        <v>107</v>
      </c>
      <c r="D2261" s="11">
        <v>1</v>
      </c>
      <c r="E2261" s="12">
        <v>15000</v>
      </c>
      <c r="F2261" s="13">
        <v>15000</v>
      </c>
      <c r="G2261" s="2">
        <f>VLOOKUP(B2261,'PO with created By ASR'!A:C,3,FALSE)</f>
        <v>45707</v>
      </c>
      <c r="J2261" s="2" t="str">
        <f>VLOOKUP(B2261,'PO with created By ASR'!A:G,4,FALSE)</f>
        <v>Megha Mittal -CR</v>
      </c>
      <c r="K2261" s="2" t="e">
        <f>VLOOKUP(B2261,'PO with created By ASR'!A:I,6,FALSE)</f>
        <v>#N/A</v>
      </c>
      <c r="L2261" s="2" t="str">
        <f>VLOOKUP(B2261,'PO with created By ASR'!A:J,7,FALSE)</f>
        <v>B - Bangalore</v>
      </c>
      <c r="M2261" s="2" t="str">
        <f>VLOOKUP(B2261,'PO with created By ASR'!A:K,8,FALSE)</f>
        <v>Purchase Order-Blr</v>
      </c>
      <c r="N2261" t="s">
        <v>36</v>
      </c>
      <c r="P2261" s="2">
        <v>6</v>
      </c>
    </row>
    <row r="2262" s="2" customFormat="1" spans="1:16">
      <c r="A2262" s="8"/>
      <c r="B2262" s="9" t="s">
        <v>3514</v>
      </c>
      <c r="C2262" s="10" t="s">
        <v>412</v>
      </c>
      <c r="D2262" s="11">
        <v>1</v>
      </c>
      <c r="E2262" s="12">
        <v>404</v>
      </c>
      <c r="F2262" s="13">
        <v>404</v>
      </c>
      <c r="G2262" s="2">
        <f>VLOOKUP(B2262,'PO with created By ASR'!A:C,3,FALSE)</f>
        <v>45707</v>
      </c>
      <c r="J2262" s="2" t="str">
        <f>VLOOKUP(B2262,'PO with created By ASR'!A:G,4,FALSE)</f>
        <v>Ashok Raj R  -CR</v>
      </c>
      <c r="K2262" s="2" t="e">
        <f>VLOOKUP(B2262,'PO with created By ASR'!A:I,6,FALSE)</f>
        <v>#N/A</v>
      </c>
      <c r="L2262" s="2" t="str">
        <f>VLOOKUP(B2262,'PO with created By ASR'!A:J,7,FALSE)</f>
        <v>B - Bangalore</v>
      </c>
      <c r="M2262" s="2" t="str">
        <f>VLOOKUP(B2262,'PO with created By ASR'!A:K,8,FALSE)</f>
        <v>Purchase Order-Blr</v>
      </c>
      <c r="N2262" t="s">
        <v>36</v>
      </c>
      <c r="P2262" s="2">
        <v>6</v>
      </c>
    </row>
    <row r="2263" s="2" customFormat="1" spans="1:16">
      <c r="A2263" s="8"/>
      <c r="B2263" s="9" t="s">
        <v>3514</v>
      </c>
      <c r="C2263" s="10" t="s">
        <v>1055</v>
      </c>
      <c r="D2263" s="11">
        <v>1</v>
      </c>
      <c r="E2263" s="12">
        <v>100</v>
      </c>
      <c r="F2263" s="13">
        <v>100</v>
      </c>
      <c r="G2263" s="2">
        <f>VLOOKUP(B2263,'PO with created By ASR'!A:C,3,FALSE)</f>
        <v>45707</v>
      </c>
      <c r="J2263" s="2" t="str">
        <f>VLOOKUP(B2263,'PO with created By ASR'!A:G,4,FALSE)</f>
        <v>Ashok Raj R  -CR</v>
      </c>
      <c r="K2263" s="2" t="e">
        <f>VLOOKUP(B2263,'PO with created By ASR'!A:I,6,FALSE)</f>
        <v>#N/A</v>
      </c>
      <c r="L2263" s="2" t="str">
        <f>VLOOKUP(B2263,'PO with created By ASR'!A:J,7,FALSE)</f>
        <v>B - Bangalore</v>
      </c>
      <c r="M2263" s="2" t="str">
        <f>VLOOKUP(B2263,'PO with created By ASR'!A:K,8,FALSE)</f>
        <v>Purchase Order-Blr</v>
      </c>
      <c r="N2263" t="s">
        <v>36</v>
      </c>
      <c r="P2263" s="2">
        <v>6</v>
      </c>
    </row>
    <row r="2264" s="2" customFormat="1" spans="1:16">
      <c r="A2264" s="8"/>
      <c r="B2264" s="9" t="s">
        <v>3515</v>
      </c>
      <c r="C2264" s="10" t="s">
        <v>233</v>
      </c>
      <c r="D2264" s="11">
        <v>1</v>
      </c>
      <c r="E2264" s="12">
        <v>1080000</v>
      </c>
      <c r="F2264" s="13">
        <v>1080000</v>
      </c>
      <c r="G2264" s="2">
        <f>VLOOKUP(B2264,'PO with created By ASR'!A:C,3,FALSE)</f>
        <v>45707</v>
      </c>
      <c r="J2264" s="2" t="str">
        <f>VLOOKUP(B2264,'PO with created By ASR'!A:G,4,FALSE)</f>
        <v>Ben and Flow-Blr</v>
      </c>
      <c r="K2264" s="2" t="str">
        <f>VLOOKUP(B2264,'PO with created By ASR'!A:I,6,FALSE)</f>
        <v>10125 Ben and Flow</v>
      </c>
      <c r="L2264" s="2" t="str">
        <f>VLOOKUP(B2264,'PO with created By ASR'!A:J,7,FALSE)</f>
        <v>B - Bangalore</v>
      </c>
      <c r="M2264" s="2" t="str">
        <f>VLOOKUP(B2264,'PO with created By ASR'!A:K,8,FALSE)</f>
        <v>Purchase Order-Blr</v>
      </c>
      <c r="N2264" t="s">
        <v>36</v>
      </c>
      <c r="P2264" s="2">
        <v>6</v>
      </c>
    </row>
    <row r="2265" s="2" customFormat="1" spans="1:16">
      <c r="A2265" s="8"/>
      <c r="B2265" s="9" t="s">
        <v>3517</v>
      </c>
      <c r="C2265" s="10" t="s">
        <v>683</v>
      </c>
      <c r="D2265" s="11">
        <v>1</v>
      </c>
      <c r="E2265" s="12">
        <v>175000</v>
      </c>
      <c r="F2265" s="13">
        <v>175000</v>
      </c>
      <c r="G2265" s="2">
        <f>VLOOKUP(B2265,'PO with created By ASR'!A:C,3,FALSE)</f>
        <v>45707</v>
      </c>
      <c r="J2265" s="2" t="str">
        <f>VLOOKUP(B2265,'PO with created By ASR'!A:G,4,FALSE)</f>
        <v>Color Box-Che</v>
      </c>
      <c r="K2265" s="2" t="str">
        <f>VLOOKUP(B2265,'PO with created By ASR'!A:I,6,FALSE)</f>
        <v>12956 Color Box</v>
      </c>
      <c r="L2265" s="2" t="str">
        <f>VLOOKUP(B2265,'PO with created By ASR'!A:J,7,FALSE)</f>
        <v>C - Chennai</v>
      </c>
      <c r="M2265" s="2" t="str">
        <f>VLOOKUP(B2265,'PO with created By ASR'!A:K,8,FALSE)</f>
        <v>Purchase Order-Che</v>
      </c>
      <c r="N2265" t="s">
        <v>36</v>
      </c>
      <c r="P2265" s="2">
        <v>6</v>
      </c>
    </row>
    <row r="2266" s="2" customFormat="1" spans="1:16">
      <c r="A2266" s="8"/>
      <c r="B2266" s="9" t="s">
        <v>3520</v>
      </c>
      <c r="C2266" s="10" t="s">
        <v>683</v>
      </c>
      <c r="D2266" s="11">
        <v>1</v>
      </c>
      <c r="E2266" s="12">
        <v>10000</v>
      </c>
      <c r="F2266" s="13">
        <v>10000</v>
      </c>
      <c r="G2266" s="2">
        <f>VLOOKUP(B2266,'PO with created By ASR'!A:C,3,FALSE)</f>
        <v>45707</v>
      </c>
      <c r="J2266" s="2" t="str">
        <f>VLOOKUP(B2266,'PO with created By ASR'!A:G,4,FALSE)</f>
        <v>Rekha Stills-Che</v>
      </c>
      <c r="K2266" s="2" t="str">
        <f>VLOOKUP(B2266,'PO with created By ASR'!A:I,6,FALSE)</f>
        <v>12328 Rekha Stills</v>
      </c>
      <c r="L2266" s="2" t="str">
        <f>VLOOKUP(B2266,'PO with created By ASR'!A:J,7,FALSE)</f>
        <v>C - Chennai</v>
      </c>
      <c r="M2266" s="2" t="str">
        <f>VLOOKUP(B2266,'PO with created By ASR'!A:K,8,FALSE)</f>
        <v>Purchase Order-Che</v>
      </c>
      <c r="N2266" t="s">
        <v>36</v>
      </c>
      <c r="P2266" s="2">
        <v>6</v>
      </c>
    </row>
    <row r="2267" s="2" customFormat="1" spans="1:16">
      <c r="A2267" s="8"/>
      <c r="B2267" s="9" t="s">
        <v>3521</v>
      </c>
      <c r="C2267" s="10" t="s">
        <v>126</v>
      </c>
      <c r="D2267" s="11">
        <v>1</v>
      </c>
      <c r="E2267" s="12">
        <v>1826</v>
      </c>
      <c r="F2267" s="13">
        <v>1826</v>
      </c>
      <c r="G2267" s="2">
        <f>VLOOKUP(B2267,'PO with created By ASR'!A:C,3,FALSE)</f>
        <v>45707</v>
      </c>
      <c r="J2267" s="2" t="str">
        <f>VLOOKUP(B2267,'PO with created By ASR'!A:G,4,FALSE)</f>
        <v>Clinton J  for Expense-CR</v>
      </c>
      <c r="K2267" s="2" t="e">
        <f>VLOOKUP(B2267,'PO with created By ASR'!A:I,6,FALSE)</f>
        <v>#N/A</v>
      </c>
      <c r="L2267" s="2" t="str">
        <f>VLOOKUP(B2267,'PO with created By ASR'!A:J,7,FALSE)</f>
        <v>C - Chennai</v>
      </c>
      <c r="M2267" s="2" t="str">
        <f>VLOOKUP(B2267,'PO with created By ASR'!A:K,8,FALSE)</f>
        <v>Purchase Order-Che</v>
      </c>
      <c r="N2267" t="s">
        <v>36</v>
      </c>
      <c r="P2267" s="2">
        <v>6</v>
      </c>
    </row>
    <row r="2268" s="2" customFormat="1" spans="1:16">
      <c r="A2268" s="8"/>
      <c r="B2268" s="9" t="s">
        <v>3521</v>
      </c>
      <c r="C2268" s="10" t="s">
        <v>412</v>
      </c>
      <c r="D2268" s="11">
        <v>1</v>
      </c>
      <c r="E2268" s="12">
        <v>612</v>
      </c>
      <c r="F2268" s="13">
        <v>612</v>
      </c>
      <c r="G2268" s="2">
        <f>VLOOKUP(B2268,'PO with created By ASR'!A:C,3,FALSE)</f>
        <v>45707</v>
      </c>
      <c r="J2268" s="2" t="str">
        <f>VLOOKUP(B2268,'PO with created By ASR'!A:G,4,FALSE)</f>
        <v>Clinton J  for Expense-CR</v>
      </c>
      <c r="K2268" s="2" t="e">
        <f>VLOOKUP(B2268,'PO with created By ASR'!A:I,6,FALSE)</f>
        <v>#N/A</v>
      </c>
      <c r="L2268" s="2" t="str">
        <f>VLOOKUP(B2268,'PO with created By ASR'!A:J,7,FALSE)</f>
        <v>C - Chennai</v>
      </c>
      <c r="M2268" s="2" t="str">
        <f>VLOOKUP(B2268,'PO with created By ASR'!A:K,8,FALSE)</f>
        <v>Purchase Order-Che</v>
      </c>
      <c r="N2268" t="s">
        <v>36</v>
      </c>
      <c r="P2268" s="2">
        <v>6</v>
      </c>
    </row>
    <row r="2269" s="2" customFormat="1" spans="1:16">
      <c r="A2269" s="8"/>
      <c r="B2269" s="9" t="s">
        <v>3522</v>
      </c>
      <c r="C2269" s="10" t="s">
        <v>412</v>
      </c>
      <c r="D2269" s="11">
        <v>1</v>
      </c>
      <c r="E2269" s="12">
        <v>300</v>
      </c>
      <c r="F2269" s="13">
        <v>300</v>
      </c>
      <c r="G2269" s="2">
        <f>VLOOKUP(B2269,'PO with created By ASR'!A:C,3,FALSE)</f>
        <v>45707</v>
      </c>
      <c r="J2269" s="2" t="str">
        <f>VLOOKUP(B2269,'PO with created By ASR'!A:G,4,FALSE)</f>
        <v>Praveen Raj Adv for Expenses-CR</v>
      </c>
      <c r="K2269" s="2" t="e">
        <f>VLOOKUP(B2269,'PO with created By ASR'!A:I,6,FALSE)</f>
        <v>#N/A</v>
      </c>
      <c r="L2269" s="2" t="str">
        <f>VLOOKUP(B2269,'PO with created By ASR'!A:J,7,FALSE)</f>
        <v>C - Chennai</v>
      </c>
      <c r="M2269" s="2" t="str">
        <f>VLOOKUP(B2269,'PO with created By ASR'!A:K,8,FALSE)</f>
        <v>Purchase Order-Che</v>
      </c>
      <c r="N2269" t="s">
        <v>36</v>
      </c>
      <c r="P2269" s="2">
        <v>6</v>
      </c>
    </row>
    <row r="2270" s="2" customFormat="1" spans="1:16">
      <c r="A2270" s="8"/>
      <c r="B2270" s="9" t="s">
        <v>3522</v>
      </c>
      <c r="C2270" s="10" t="s">
        <v>126</v>
      </c>
      <c r="D2270" s="11">
        <v>1</v>
      </c>
      <c r="E2270" s="12">
        <v>4820</v>
      </c>
      <c r="F2270" s="13">
        <v>4820</v>
      </c>
      <c r="G2270" s="2">
        <f>VLOOKUP(B2270,'PO with created By ASR'!A:C,3,FALSE)</f>
        <v>45707</v>
      </c>
      <c r="J2270" s="2" t="str">
        <f>VLOOKUP(B2270,'PO with created By ASR'!A:G,4,FALSE)</f>
        <v>Praveen Raj Adv for Expenses-CR</v>
      </c>
      <c r="K2270" s="2" t="e">
        <f>VLOOKUP(B2270,'PO with created By ASR'!A:I,6,FALSE)</f>
        <v>#N/A</v>
      </c>
      <c r="L2270" s="2" t="str">
        <f>VLOOKUP(B2270,'PO with created By ASR'!A:J,7,FALSE)</f>
        <v>C - Chennai</v>
      </c>
      <c r="M2270" s="2" t="str">
        <f>VLOOKUP(B2270,'PO with created By ASR'!A:K,8,FALSE)</f>
        <v>Purchase Order-Che</v>
      </c>
      <c r="N2270" t="s">
        <v>36</v>
      </c>
      <c r="P2270" s="2">
        <v>6</v>
      </c>
    </row>
    <row r="2271" s="2" customFormat="1" spans="1:16">
      <c r="A2271" s="8"/>
      <c r="B2271" s="9" t="s">
        <v>3523</v>
      </c>
      <c r="C2271" s="10" t="s">
        <v>126</v>
      </c>
      <c r="D2271" s="11">
        <v>1</v>
      </c>
      <c r="E2271" s="12">
        <v>718</v>
      </c>
      <c r="F2271" s="13">
        <v>718</v>
      </c>
      <c r="G2271" s="2">
        <f>VLOOKUP(B2271,'PO with created By ASR'!A:C,3,FALSE)</f>
        <v>45707</v>
      </c>
      <c r="J2271" s="2" t="str">
        <f>VLOOKUP(B2271,'PO with created By ASR'!A:G,4,FALSE)</f>
        <v>Paulraj S  -CR</v>
      </c>
      <c r="K2271" s="2" t="e">
        <f>VLOOKUP(B2271,'PO with created By ASR'!A:I,6,FALSE)</f>
        <v>#N/A</v>
      </c>
      <c r="L2271" s="2" t="str">
        <f>VLOOKUP(B2271,'PO with created By ASR'!A:J,7,FALSE)</f>
        <v>C - Chennai</v>
      </c>
      <c r="M2271" s="2" t="str">
        <f>VLOOKUP(B2271,'PO with created By ASR'!A:K,8,FALSE)</f>
        <v>Purchase Order-Che</v>
      </c>
      <c r="N2271" t="s">
        <v>36</v>
      </c>
      <c r="P2271" s="2">
        <v>6</v>
      </c>
    </row>
    <row r="2272" s="2" customFormat="1" spans="1:16">
      <c r="A2272" s="8"/>
      <c r="B2272" s="9" t="s">
        <v>3524</v>
      </c>
      <c r="C2272" s="10" t="s">
        <v>126</v>
      </c>
      <c r="D2272" s="11">
        <v>1</v>
      </c>
      <c r="E2272" s="12">
        <v>1121</v>
      </c>
      <c r="F2272" s="13">
        <v>1121</v>
      </c>
      <c r="G2272" s="2">
        <f>VLOOKUP(B2272,'PO with created By ASR'!A:C,3,FALSE)</f>
        <v>45707</v>
      </c>
      <c r="J2272" s="2" t="str">
        <f>VLOOKUP(B2272,'PO with created By ASR'!A:G,4,FALSE)</f>
        <v>Ashwath TV  for Expense-CR</v>
      </c>
      <c r="K2272" s="2" t="e">
        <f>VLOOKUP(B2272,'PO with created By ASR'!A:I,6,FALSE)</f>
        <v>#N/A</v>
      </c>
      <c r="L2272" s="2" t="str">
        <f>VLOOKUP(B2272,'PO with created By ASR'!A:J,7,FALSE)</f>
        <v>C - Chennai</v>
      </c>
      <c r="M2272" s="2" t="str">
        <f>VLOOKUP(B2272,'PO with created By ASR'!A:K,8,FALSE)</f>
        <v>Purchase Order-Che</v>
      </c>
      <c r="N2272" t="s">
        <v>36</v>
      </c>
      <c r="P2272" s="2">
        <v>6</v>
      </c>
    </row>
    <row r="2273" s="2" customFormat="1" spans="1:16">
      <c r="A2273" s="8"/>
      <c r="B2273" s="9" t="s">
        <v>3524</v>
      </c>
      <c r="C2273" s="10" t="s">
        <v>412</v>
      </c>
      <c r="D2273" s="11">
        <v>1</v>
      </c>
      <c r="E2273" s="12">
        <v>2635.4</v>
      </c>
      <c r="F2273" s="13">
        <v>2635.4</v>
      </c>
      <c r="G2273" s="2">
        <f>VLOOKUP(B2273,'PO with created By ASR'!A:C,3,FALSE)</f>
        <v>45707</v>
      </c>
      <c r="J2273" s="2" t="str">
        <f>VLOOKUP(B2273,'PO with created By ASR'!A:G,4,FALSE)</f>
        <v>Ashwath TV  for Expense-CR</v>
      </c>
      <c r="K2273" s="2" t="e">
        <f>VLOOKUP(B2273,'PO with created By ASR'!A:I,6,FALSE)</f>
        <v>#N/A</v>
      </c>
      <c r="L2273" s="2" t="str">
        <f>VLOOKUP(B2273,'PO with created By ASR'!A:J,7,FALSE)</f>
        <v>C - Chennai</v>
      </c>
      <c r="M2273" s="2" t="str">
        <f>VLOOKUP(B2273,'PO with created By ASR'!A:K,8,FALSE)</f>
        <v>Purchase Order-Che</v>
      </c>
      <c r="N2273" t="s">
        <v>36</v>
      </c>
      <c r="P2273" s="2">
        <v>6</v>
      </c>
    </row>
    <row r="2274" s="2" customFormat="1" spans="1:16">
      <c r="A2274" s="8"/>
      <c r="B2274" s="9" t="s">
        <v>3524</v>
      </c>
      <c r="C2274" s="10" t="s">
        <v>347</v>
      </c>
      <c r="D2274" s="11">
        <v>1</v>
      </c>
      <c r="E2274" s="12">
        <v>5000</v>
      </c>
      <c r="F2274" s="13">
        <v>5000</v>
      </c>
      <c r="G2274" s="2">
        <f>VLOOKUP(B2274,'PO with created By ASR'!A:C,3,FALSE)</f>
        <v>45707</v>
      </c>
      <c r="J2274" s="2" t="str">
        <f>VLOOKUP(B2274,'PO with created By ASR'!A:G,4,FALSE)</f>
        <v>Ashwath TV  for Expense-CR</v>
      </c>
      <c r="K2274" s="2" t="e">
        <f>VLOOKUP(B2274,'PO with created By ASR'!A:I,6,FALSE)</f>
        <v>#N/A</v>
      </c>
      <c r="L2274" s="2" t="str">
        <f>VLOOKUP(B2274,'PO with created By ASR'!A:J,7,FALSE)</f>
        <v>C - Chennai</v>
      </c>
      <c r="M2274" s="2" t="str">
        <f>VLOOKUP(B2274,'PO with created By ASR'!A:K,8,FALSE)</f>
        <v>Purchase Order-Che</v>
      </c>
      <c r="N2274" t="s">
        <v>36</v>
      </c>
      <c r="P2274" s="2">
        <v>6</v>
      </c>
    </row>
    <row r="2275" s="2" customFormat="1" spans="1:16">
      <c r="A2275" s="8"/>
      <c r="B2275" s="9" t="s">
        <v>3524</v>
      </c>
      <c r="C2275" s="10" t="s">
        <v>61</v>
      </c>
      <c r="D2275" s="11">
        <v>1</v>
      </c>
      <c r="E2275" s="12">
        <v>5000</v>
      </c>
      <c r="F2275" s="13">
        <v>5000</v>
      </c>
      <c r="G2275" s="2">
        <f>VLOOKUP(B2275,'PO with created By ASR'!A:C,3,FALSE)</f>
        <v>45707</v>
      </c>
      <c r="J2275" s="2" t="str">
        <f>VLOOKUP(B2275,'PO with created By ASR'!A:G,4,FALSE)</f>
        <v>Ashwath TV  for Expense-CR</v>
      </c>
      <c r="K2275" s="2" t="e">
        <f>VLOOKUP(B2275,'PO with created By ASR'!A:I,6,FALSE)</f>
        <v>#N/A</v>
      </c>
      <c r="L2275" s="2" t="str">
        <f>VLOOKUP(B2275,'PO with created By ASR'!A:J,7,FALSE)</f>
        <v>C - Chennai</v>
      </c>
      <c r="M2275" s="2" t="str">
        <f>VLOOKUP(B2275,'PO with created By ASR'!A:K,8,FALSE)</f>
        <v>Purchase Order-Che</v>
      </c>
      <c r="N2275" t="s">
        <v>36</v>
      </c>
      <c r="P2275" s="2">
        <v>6</v>
      </c>
    </row>
    <row r="2276" s="2" customFormat="1" spans="1:16">
      <c r="A2276" s="8"/>
      <c r="B2276" s="9" t="s">
        <v>3525</v>
      </c>
      <c r="C2276" s="10" t="s">
        <v>311</v>
      </c>
      <c r="D2276" s="11">
        <v>1</v>
      </c>
      <c r="E2276" s="12">
        <v>349098</v>
      </c>
      <c r="F2276" s="13">
        <v>349098</v>
      </c>
      <c r="G2276" s="2">
        <f>VLOOKUP(B2276,'PO with created By ASR'!A:C,3,FALSE)</f>
        <v>45707</v>
      </c>
      <c r="J2276" s="2" t="str">
        <f>VLOOKUP(B2276,'PO with created By ASR'!A:G,4,FALSE)</f>
        <v>Railtel Corporation of India Ltd (OTV)-Del</v>
      </c>
      <c r="K2276" s="2" t="str">
        <f>VLOOKUP(B2276,'PO with created By ASR'!A:I,6,FALSE)</f>
        <v>12877  Railtel Corporation of India Ltd (OTV)</v>
      </c>
      <c r="L2276" s="2" t="str">
        <f>VLOOKUP(B2276,'PO with created By ASR'!A:J,7,FALSE)</f>
        <v>D - Delhi</v>
      </c>
      <c r="M2276" s="2" t="str">
        <f>VLOOKUP(B2276,'PO with created By ASR'!A:K,8,FALSE)</f>
        <v>Purchase Order-Del</v>
      </c>
      <c r="N2276" t="s">
        <v>36</v>
      </c>
      <c r="P2276" s="2">
        <v>6</v>
      </c>
    </row>
    <row r="2277" s="2" customFormat="1" spans="1:16">
      <c r="A2277" s="8"/>
      <c r="B2277" s="9" t="s">
        <v>3529</v>
      </c>
      <c r="C2277" s="10" t="s">
        <v>371</v>
      </c>
      <c r="D2277" s="11">
        <v>1</v>
      </c>
      <c r="E2277" s="12">
        <v>75000</v>
      </c>
      <c r="F2277" s="13">
        <v>75000</v>
      </c>
      <c r="G2277" s="2">
        <f>VLOOKUP(B2277,'PO with created By ASR'!A:C,3,FALSE)</f>
        <v>45707</v>
      </c>
      <c r="J2277" s="2" t="str">
        <f>VLOOKUP(B2277,'PO with created By ASR'!A:G,4,FALSE)</f>
        <v>Extremeways Solutions-Del</v>
      </c>
      <c r="K2277" s="2" t="str">
        <f>VLOOKUP(B2277,'PO with created By ASR'!A:I,6,FALSE)</f>
        <v>11907 Extremeways Solutions</v>
      </c>
      <c r="L2277" s="2" t="str">
        <f>VLOOKUP(B2277,'PO with created By ASR'!A:J,7,FALSE)</f>
        <v>D - Delhi</v>
      </c>
      <c r="M2277" s="2" t="str">
        <f>VLOOKUP(B2277,'PO with created By ASR'!A:K,8,FALSE)</f>
        <v>Purchase Order-Del</v>
      </c>
      <c r="N2277" t="s">
        <v>36</v>
      </c>
      <c r="P2277" s="2">
        <v>6</v>
      </c>
    </row>
    <row r="2278" s="2" customFormat="1" spans="1:16">
      <c r="A2278" s="8"/>
      <c r="B2278" s="9" t="s">
        <v>3533</v>
      </c>
      <c r="C2278" s="10" t="s">
        <v>276</v>
      </c>
      <c r="D2278" s="11">
        <v>1</v>
      </c>
      <c r="E2278" s="12">
        <v>110000</v>
      </c>
      <c r="F2278" s="13">
        <v>110000</v>
      </c>
      <c r="G2278" s="2">
        <f>VLOOKUP(B2278,'PO with created By ASR'!A:C,3,FALSE)</f>
        <v>45707</v>
      </c>
      <c r="J2278" s="2" t="str">
        <f>VLOOKUP(B2278,'PO with created By ASR'!A:G,4,FALSE)</f>
        <v>TKG Solutions Pvt Ltd-Del</v>
      </c>
      <c r="K2278" s="2" t="str">
        <f>VLOOKUP(B2278,'PO with created By ASR'!A:I,6,FALSE)</f>
        <v>12544  TKG Solutions Pvt Ltd</v>
      </c>
      <c r="L2278" s="2" t="str">
        <f>VLOOKUP(B2278,'PO with created By ASR'!A:J,7,FALSE)</f>
        <v>D - Delhi</v>
      </c>
      <c r="M2278" s="2" t="str">
        <f>VLOOKUP(B2278,'PO with created By ASR'!A:K,8,FALSE)</f>
        <v>Purchase Order-Del</v>
      </c>
      <c r="N2278" t="s">
        <v>36</v>
      </c>
      <c r="P2278" s="2">
        <v>6</v>
      </c>
    </row>
    <row r="2279" s="2" customFormat="1" spans="1:16">
      <c r="A2279" s="8"/>
      <c r="B2279" s="9" t="s">
        <v>3536</v>
      </c>
      <c r="C2279" s="10" t="s">
        <v>196</v>
      </c>
      <c r="D2279" s="11">
        <v>1</v>
      </c>
      <c r="E2279" s="12">
        <v>15300</v>
      </c>
      <c r="F2279" s="13">
        <v>15300</v>
      </c>
      <c r="G2279" s="2">
        <f>VLOOKUP(B2279,'PO with created By ASR'!A:C,3,FALSE)</f>
        <v>45707</v>
      </c>
      <c r="J2279" s="2" t="str">
        <f>VLOOKUP(B2279,'PO with created By ASR'!A:G,4,FALSE)</f>
        <v>Yolekha Events-Del</v>
      </c>
      <c r="K2279" s="2" t="str">
        <f>VLOOKUP(B2279,'PO with created By ASR'!A:I,6,FALSE)</f>
        <v>11496 Yolekha Events</v>
      </c>
      <c r="L2279" s="2" t="str">
        <f>VLOOKUP(B2279,'PO with created By ASR'!A:J,7,FALSE)</f>
        <v>D - Delhi</v>
      </c>
      <c r="M2279" s="2" t="str">
        <f>VLOOKUP(B2279,'PO with created By ASR'!A:K,8,FALSE)</f>
        <v>Purchase Order-Del</v>
      </c>
      <c r="N2279" t="s">
        <v>36</v>
      </c>
      <c r="P2279" s="2">
        <v>6</v>
      </c>
    </row>
    <row r="2280" s="2" customFormat="1" spans="1:16">
      <c r="A2280" s="8"/>
      <c r="B2280" s="9" t="s">
        <v>3537</v>
      </c>
      <c r="C2280" s="10" t="s">
        <v>196</v>
      </c>
      <c r="D2280" s="11">
        <v>1</v>
      </c>
      <c r="E2280" s="12">
        <v>5250</v>
      </c>
      <c r="F2280" s="13">
        <v>5250</v>
      </c>
      <c r="G2280" s="2">
        <f>VLOOKUP(B2280,'PO with created By ASR'!A:C,3,FALSE)</f>
        <v>45707</v>
      </c>
      <c r="J2280" s="2" t="str">
        <f>VLOOKUP(B2280,'PO with created By ASR'!A:G,4,FALSE)</f>
        <v>Yolekha Events-Del</v>
      </c>
      <c r="K2280" s="2" t="str">
        <f>VLOOKUP(B2280,'PO with created By ASR'!A:I,6,FALSE)</f>
        <v>11496 Yolekha Events</v>
      </c>
      <c r="L2280" s="2" t="str">
        <f>VLOOKUP(B2280,'PO with created By ASR'!A:J,7,FALSE)</f>
        <v>D - Delhi</v>
      </c>
      <c r="M2280" s="2" t="str">
        <f>VLOOKUP(B2280,'PO with created By ASR'!A:K,8,FALSE)</f>
        <v>Purchase Order-Del</v>
      </c>
      <c r="N2280" t="s">
        <v>36</v>
      </c>
      <c r="P2280" s="2">
        <v>6</v>
      </c>
    </row>
    <row r="2281" s="2" customFormat="1" spans="1:16">
      <c r="A2281" s="8"/>
      <c r="B2281" s="9" t="s">
        <v>3537</v>
      </c>
      <c r="C2281" s="10" t="s">
        <v>196</v>
      </c>
      <c r="D2281" s="11">
        <v>1</v>
      </c>
      <c r="E2281" s="12">
        <v>500</v>
      </c>
      <c r="F2281" s="13">
        <v>500</v>
      </c>
      <c r="G2281" s="2">
        <f>VLOOKUP(B2281,'PO with created By ASR'!A:C,3,FALSE)</f>
        <v>45707</v>
      </c>
      <c r="J2281" s="2" t="str">
        <f>VLOOKUP(B2281,'PO with created By ASR'!A:G,4,FALSE)</f>
        <v>Yolekha Events-Del</v>
      </c>
      <c r="K2281" s="2" t="str">
        <f>VLOOKUP(B2281,'PO with created By ASR'!A:I,6,FALSE)</f>
        <v>11496 Yolekha Events</v>
      </c>
      <c r="L2281" s="2" t="str">
        <f>VLOOKUP(B2281,'PO with created By ASR'!A:J,7,FALSE)</f>
        <v>D - Delhi</v>
      </c>
      <c r="M2281" s="2" t="str">
        <f>VLOOKUP(B2281,'PO with created By ASR'!A:K,8,FALSE)</f>
        <v>Purchase Order-Del</v>
      </c>
      <c r="N2281" t="s">
        <v>36</v>
      </c>
      <c r="P2281" s="2">
        <v>6</v>
      </c>
    </row>
    <row r="2282" s="2" customFormat="1" spans="1:16">
      <c r="A2282" s="8"/>
      <c r="B2282" s="9" t="s">
        <v>3538</v>
      </c>
      <c r="C2282" s="10" t="s">
        <v>233</v>
      </c>
      <c r="D2282" s="11">
        <v>1</v>
      </c>
      <c r="E2282" s="12">
        <v>20059.3</v>
      </c>
      <c r="F2282" s="13">
        <v>20059.3</v>
      </c>
      <c r="G2282" s="2">
        <f>VLOOKUP(B2282,'PO with created By ASR'!A:C,3,FALSE)</f>
        <v>45707</v>
      </c>
      <c r="J2282" s="2" t="str">
        <f>VLOOKUP(B2282,'PO with created By ASR'!A:G,4,FALSE)</f>
        <v>Kalka Confectioners-Del</v>
      </c>
      <c r="K2282" s="2" t="str">
        <f>VLOOKUP(B2282,'PO with created By ASR'!A:I,6,FALSE)</f>
        <v>11281 Kalka  Confectioners</v>
      </c>
      <c r="L2282" s="2" t="str">
        <f>VLOOKUP(B2282,'PO with created By ASR'!A:J,7,FALSE)</f>
        <v>D - Delhi</v>
      </c>
      <c r="M2282" s="2" t="str">
        <f>VLOOKUP(B2282,'PO with created By ASR'!A:K,8,FALSE)</f>
        <v>Purchase Order-Del</v>
      </c>
      <c r="N2282" t="s">
        <v>36</v>
      </c>
      <c r="P2282" s="2">
        <v>6</v>
      </c>
    </row>
    <row r="2283" s="2" customFormat="1" spans="1:16">
      <c r="A2283" s="8"/>
      <c r="B2283" s="9" t="s">
        <v>3541</v>
      </c>
      <c r="C2283" s="10" t="s">
        <v>233</v>
      </c>
      <c r="D2283" s="11">
        <v>1</v>
      </c>
      <c r="E2283" s="12">
        <v>8203</v>
      </c>
      <c r="F2283" s="13">
        <v>8203</v>
      </c>
      <c r="G2283" s="2">
        <f>VLOOKUP(B2283,'PO with created By ASR'!A:C,3,FALSE)</f>
        <v>45707</v>
      </c>
      <c r="J2283" s="2" t="str">
        <f>VLOOKUP(B2283,'PO with created By ASR'!A:G,4,FALSE)</f>
        <v>Chamunda Traders-Del</v>
      </c>
      <c r="K2283" s="2" t="str">
        <f>VLOOKUP(B2283,'PO with created By ASR'!A:I,6,FALSE)</f>
        <v>11760 Chamunda Traders</v>
      </c>
      <c r="L2283" s="2" t="str">
        <f>VLOOKUP(B2283,'PO with created By ASR'!A:J,7,FALSE)</f>
        <v>D - Delhi</v>
      </c>
      <c r="M2283" s="2" t="str">
        <f>VLOOKUP(B2283,'PO with created By ASR'!A:K,8,FALSE)</f>
        <v>Purchase Order-Del</v>
      </c>
      <c r="N2283" t="s">
        <v>36</v>
      </c>
      <c r="P2283" s="2">
        <v>6</v>
      </c>
    </row>
    <row r="2284" s="2" customFormat="1" spans="1:16">
      <c r="A2284" s="8"/>
      <c r="B2284" s="9" t="s">
        <v>3542</v>
      </c>
      <c r="C2284" s="10" t="s">
        <v>317</v>
      </c>
      <c r="D2284" s="11">
        <v>1</v>
      </c>
      <c r="E2284" s="12">
        <v>170000</v>
      </c>
      <c r="F2284" s="13">
        <v>170000</v>
      </c>
      <c r="G2284" s="2">
        <f>VLOOKUP(B2284,'PO with created By ASR'!A:C,3,FALSE)</f>
        <v>45707</v>
      </c>
      <c r="J2284" s="2" t="str">
        <f>VLOOKUP(B2284,'PO with created By ASR'!A:G,4,FALSE)</f>
        <v>99 Online-Del</v>
      </c>
      <c r="K2284" s="2" t="str">
        <f>VLOOKUP(B2284,'PO with created By ASR'!A:I,6,FALSE)</f>
        <v>11623 99 Online</v>
      </c>
      <c r="L2284" s="2" t="str">
        <f>VLOOKUP(B2284,'PO with created By ASR'!A:J,7,FALSE)</f>
        <v>D - Delhi</v>
      </c>
      <c r="M2284" s="2" t="str">
        <f>VLOOKUP(B2284,'PO with created By ASR'!A:K,8,FALSE)</f>
        <v>Purchase Order-Del</v>
      </c>
      <c r="N2284" t="s">
        <v>36</v>
      </c>
      <c r="P2284" s="2">
        <v>6</v>
      </c>
    </row>
    <row r="2285" s="2" customFormat="1" spans="1:16">
      <c r="A2285" s="8"/>
      <c r="B2285" s="9" t="s">
        <v>3543</v>
      </c>
      <c r="C2285" s="10" t="s">
        <v>371</v>
      </c>
      <c r="D2285" s="11">
        <v>1</v>
      </c>
      <c r="E2285" s="12">
        <v>10000</v>
      </c>
      <c r="F2285" s="13">
        <v>10000</v>
      </c>
      <c r="G2285" s="2">
        <f>VLOOKUP(B2285,'PO with created By ASR'!A:C,3,FALSE)</f>
        <v>45707</v>
      </c>
      <c r="J2285" s="2" t="str">
        <f>VLOOKUP(B2285,'PO with created By ASR'!A:G,4,FALSE)</f>
        <v>Powerpro-Del</v>
      </c>
      <c r="K2285" s="2" t="e">
        <f>VLOOKUP(B2285,'PO with created By ASR'!A:I,6,FALSE)</f>
        <v>#N/A</v>
      </c>
      <c r="L2285" s="2" t="str">
        <f>VLOOKUP(B2285,'PO with created By ASR'!A:J,7,FALSE)</f>
        <v>D - Delhi</v>
      </c>
      <c r="M2285" s="2" t="str">
        <f>VLOOKUP(B2285,'PO with created By ASR'!A:K,8,FALSE)</f>
        <v>Purchase Order-Del</v>
      </c>
      <c r="N2285" t="s">
        <v>36</v>
      </c>
      <c r="P2285" s="2">
        <v>6</v>
      </c>
    </row>
    <row r="2286" s="2" customFormat="1" spans="1:16">
      <c r="A2286" s="8"/>
      <c r="B2286" s="9" t="s">
        <v>3544</v>
      </c>
      <c r="C2286" s="10" t="s">
        <v>292</v>
      </c>
      <c r="D2286" s="11">
        <v>1</v>
      </c>
      <c r="E2286" s="12">
        <v>4500</v>
      </c>
      <c r="F2286" s="13">
        <v>4500</v>
      </c>
      <c r="G2286" s="2">
        <f>VLOOKUP(B2286,'PO with created By ASR'!A:C,3,FALSE)</f>
        <v>45707</v>
      </c>
      <c r="J2286" s="2" t="str">
        <f>VLOOKUP(B2286,'PO with created By ASR'!A:G,4,FALSE)</f>
        <v>Red Carpet Events And Entertainment-Del</v>
      </c>
      <c r="K2286" s="2" t="str">
        <f>VLOOKUP(B2286,'PO with created By ASR'!A:I,6,FALSE)</f>
        <v>12326 Red Carpet Events And Entertainment</v>
      </c>
      <c r="L2286" s="2" t="str">
        <f>VLOOKUP(B2286,'PO with created By ASR'!A:J,7,FALSE)</f>
        <v>D - Delhi</v>
      </c>
      <c r="M2286" s="2" t="str">
        <f>VLOOKUP(B2286,'PO with created By ASR'!A:K,8,FALSE)</f>
        <v>Purchase Order-Del</v>
      </c>
      <c r="N2286" t="s">
        <v>36</v>
      </c>
      <c r="P2286" s="2">
        <v>6</v>
      </c>
    </row>
    <row r="2287" s="2" customFormat="1" spans="1:16">
      <c r="A2287" s="8"/>
      <c r="B2287" s="9" t="s">
        <v>3545</v>
      </c>
      <c r="C2287" s="10" t="s">
        <v>126</v>
      </c>
      <c r="D2287" s="11">
        <v>1</v>
      </c>
      <c r="E2287" s="12">
        <v>2267</v>
      </c>
      <c r="F2287" s="13">
        <v>2267</v>
      </c>
      <c r="G2287" s="2">
        <f>VLOOKUP(B2287,'PO with created By ASR'!A:C,3,FALSE)</f>
        <v>45707</v>
      </c>
      <c r="J2287" s="2" t="str">
        <f>VLOOKUP(B2287,'PO with created By ASR'!A:G,4,FALSE)</f>
        <v>Raghav Bhardwaj  -CR</v>
      </c>
      <c r="K2287" s="2" t="e">
        <f>VLOOKUP(B2287,'PO with created By ASR'!A:I,6,FALSE)</f>
        <v>#N/A</v>
      </c>
      <c r="L2287" s="2" t="str">
        <f>VLOOKUP(B2287,'PO with created By ASR'!A:J,7,FALSE)</f>
        <v>D - Delhi</v>
      </c>
      <c r="M2287" s="2" t="str">
        <f>VLOOKUP(B2287,'PO with created By ASR'!A:K,8,FALSE)</f>
        <v>Purchase Order-Del</v>
      </c>
      <c r="N2287" t="s">
        <v>36</v>
      </c>
      <c r="P2287" s="2">
        <v>6</v>
      </c>
    </row>
    <row r="2288" s="2" customFormat="1" spans="1:16">
      <c r="A2288" s="8"/>
      <c r="B2288" s="9" t="s">
        <v>3545</v>
      </c>
      <c r="C2288" s="10" t="s">
        <v>412</v>
      </c>
      <c r="D2288" s="11">
        <v>1</v>
      </c>
      <c r="E2288" s="12">
        <v>613</v>
      </c>
      <c r="F2288" s="13">
        <v>613</v>
      </c>
      <c r="G2288" s="2">
        <f>VLOOKUP(B2288,'PO with created By ASR'!A:C,3,FALSE)</f>
        <v>45707</v>
      </c>
      <c r="J2288" s="2" t="str">
        <f>VLOOKUP(B2288,'PO with created By ASR'!A:G,4,FALSE)</f>
        <v>Raghav Bhardwaj  -CR</v>
      </c>
      <c r="K2288" s="2" t="e">
        <f>VLOOKUP(B2288,'PO with created By ASR'!A:I,6,FALSE)</f>
        <v>#N/A</v>
      </c>
      <c r="L2288" s="2" t="str">
        <f>VLOOKUP(B2288,'PO with created By ASR'!A:J,7,FALSE)</f>
        <v>D - Delhi</v>
      </c>
      <c r="M2288" s="2" t="str">
        <f>VLOOKUP(B2288,'PO with created By ASR'!A:K,8,FALSE)</f>
        <v>Purchase Order-Del</v>
      </c>
      <c r="N2288" t="s">
        <v>36</v>
      </c>
      <c r="P2288" s="2">
        <v>6</v>
      </c>
    </row>
    <row r="2289" s="2" customFormat="1" spans="1:16">
      <c r="A2289" s="8"/>
      <c r="B2289" s="9" t="s">
        <v>3546</v>
      </c>
      <c r="C2289" s="10" t="s">
        <v>126</v>
      </c>
      <c r="D2289" s="11">
        <v>1</v>
      </c>
      <c r="E2289" s="12">
        <v>6687</v>
      </c>
      <c r="F2289" s="13">
        <v>6687</v>
      </c>
      <c r="G2289" s="2">
        <f>VLOOKUP(B2289,'PO with created By ASR'!A:C,3,FALSE)</f>
        <v>45707</v>
      </c>
      <c r="J2289" s="2" t="str">
        <f>VLOOKUP(B2289,'PO with created By ASR'!A:G,4,FALSE)</f>
        <v>Raghav Bhardwaj  -CR</v>
      </c>
      <c r="K2289" s="2" t="e">
        <f>VLOOKUP(B2289,'PO with created By ASR'!A:I,6,FALSE)</f>
        <v>#N/A</v>
      </c>
      <c r="L2289" s="2" t="str">
        <f>VLOOKUP(B2289,'PO with created By ASR'!A:J,7,FALSE)</f>
        <v>D - Delhi</v>
      </c>
      <c r="M2289" s="2" t="str">
        <f>VLOOKUP(B2289,'PO with created By ASR'!A:K,8,FALSE)</f>
        <v>Purchase Order-Del</v>
      </c>
      <c r="N2289" t="s">
        <v>36</v>
      </c>
      <c r="P2289" s="2">
        <v>6</v>
      </c>
    </row>
    <row r="2290" s="2" customFormat="1" spans="1:16">
      <c r="A2290" s="8"/>
      <c r="B2290" s="9" t="s">
        <v>3546</v>
      </c>
      <c r="C2290" s="10" t="s">
        <v>412</v>
      </c>
      <c r="D2290" s="11">
        <v>1</v>
      </c>
      <c r="E2290" s="12">
        <v>2110</v>
      </c>
      <c r="F2290" s="13">
        <v>2110</v>
      </c>
      <c r="G2290" s="2">
        <f>VLOOKUP(B2290,'PO with created By ASR'!A:C,3,FALSE)</f>
        <v>45707</v>
      </c>
      <c r="J2290" s="2" t="str">
        <f>VLOOKUP(B2290,'PO with created By ASR'!A:G,4,FALSE)</f>
        <v>Raghav Bhardwaj  -CR</v>
      </c>
      <c r="K2290" s="2" t="e">
        <f>VLOOKUP(B2290,'PO with created By ASR'!A:I,6,FALSE)</f>
        <v>#N/A</v>
      </c>
      <c r="L2290" s="2" t="str">
        <f>VLOOKUP(B2290,'PO with created By ASR'!A:J,7,FALSE)</f>
        <v>D - Delhi</v>
      </c>
      <c r="M2290" s="2" t="str">
        <f>VLOOKUP(B2290,'PO with created By ASR'!A:K,8,FALSE)</f>
        <v>Purchase Order-Del</v>
      </c>
      <c r="N2290" t="s">
        <v>36</v>
      </c>
      <c r="P2290" s="2">
        <v>6</v>
      </c>
    </row>
    <row r="2291" s="2" customFormat="1" spans="1:16">
      <c r="A2291" s="8"/>
      <c r="B2291" s="9" t="s">
        <v>3547</v>
      </c>
      <c r="C2291" s="10" t="s">
        <v>371</v>
      </c>
      <c r="D2291" s="11">
        <v>1</v>
      </c>
      <c r="E2291" s="12">
        <v>238250</v>
      </c>
      <c r="F2291" s="13">
        <v>238250</v>
      </c>
      <c r="G2291" s="2">
        <f>VLOOKUP(B2291,'PO with created By ASR'!A:C,3,FALSE)</f>
        <v>45707</v>
      </c>
      <c r="J2291" s="2" t="str">
        <f>VLOOKUP(B2291,'PO with created By ASR'!A:G,4,FALSE)</f>
        <v>Sai Info Solutions-Del</v>
      </c>
      <c r="K2291" s="2" t="str">
        <f>VLOOKUP(B2291,'PO with created By ASR'!A:I,6,FALSE)</f>
        <v>12971 Sai Info Solutions</v>
      </c>
      <c r="L2291" s="2" t="str">
        <f>VLOOKUP(B2291,'PO with created By ASR'!A:J,7,FALSE)</f>
        <v>D - Delhi</v>
      </c>
      <c r="M2291" s="2" t="str">
        <f>VLOOKUP(B2291,'PO with created By ASR'!A:K,8,FALSE)</f>
        <v>Purchase Order-Del</v>
      </c>
      <c r="N2291" t="s">
        <v>36</v>
      </c>
      <c r="P2291" s="2">
        <v>6</v>
      </c>
    </row>
    <row r="2292" s="2" customFormat="1" spans="1:16">
      <c r="A2292" s="8"/>
      <c r="B2292" s="9" t="s">
        <v>3550</v>
      </c>
      <c r="C2292" s="10" t="s">
        <v>126</v>
      </c>
      <c r="D2292" s="11">
        <v>1</v>
      </c>
      <c r="E2292" s="12">
        <v>1023</v>
      </c>
      <c r="F2292" s="13">
        <v>1023</v>
      </c>
      <c r="G2292" s="2">
        <f>VLOOKUP(B2292,'PO with created By ASR'!A:C,3,FALSE)</f>
        <v>45707</v>
      </c>
      <c r="J2292" s="2" t="str">
        <f>VLOOKUP(B2292,'PO with created By ASR'!A:G,4,FALSE)</f>
        <v>Anil Kumar Singh..........-CR</v>
      </c>
      <c r="K2292" s="2" t="e">
        <f>VLOOKUP(B2292,'PO with created By ASR'!A:I,6,FALSE)</f>
        <v>#N/A</v>
      </c>
      <c r="L2292" s="2" t="str">
        <f>VLOOKUP(B2292,'PO with created By ASR'!A:J,7,FALSE)</f>
        <v>D - Delhi</v>
      </c>
      <c r="M2292" s="2" t="str">
        <f>VLOOKUP(B2292,'PO with created By ASR'!A:K,8,FALSE)</f>
        <v>Purchase Order-Del</v>
      </c>
      <c r="N2292" t="s">
        <v>36</v>
      </c>
      <c r="P2292" s="2">
        <v>6</v>
      </c>
    </row>
    <row r="2293" s="2" customFormat="1" spans="1:16">
      <c r="A2293" s="8"/>
      <c r="B2293" s="9" t="s">
        <v>3550</v>
      </c>
      <c r="C2293" s="10" t="s">
        <v>412</v>
      </c>
      <c r="D2293" s="11">
        <v>1</v>
      </c>
      <c r="E2293" s="12">
        <v>1037</v>
      </c>
      <c r="F2293" s="13">
        <v>1037</v>
      </c>
      <c r="G2293" s="2">
        <f>VLOOKUP(B2293,'PO with created By ASR'!A:C,3,FALSE)</f>
        <v>45707</v>
      </c>
      <c r="J2293" s="2" t="str">
        <f>VLOOKUP(B2293,'PO with created By ASR'!A:G,4,FALSE)</f>
        <v>Anil Kumar Singh..........-CR</v>
      </c>
      <c r="K2293" s="2" t="e">
        <f>VLOOKUP(B2293,'PO with created By ASR'!A:I,6,FALSE)</f>
        <v>#N/A</v>
      </c>
      <c r="L2293" s="2" t="str">
        <f>VLOOKUP(B2293,'PO with created By ASR'!A:J,7,FALSE)</f>
        <v>D - Delhi</v>
      </c>
      <c r="M2293" s="2" t="str">
        <f>VLOOKUP(B2293,'PO with created By ASR'!A:K,8,FALSE)</f>
        <v>Purchase Order-Del</v>
      </c>
      <c r="N2293" t="s">
        <v>36</v>
      </c>
      <c r="P2293" s="2">
        <v>6</v>
      </c>
    </row>
    <row r="2294" s="2" customFormat="1" spans="1:16">
      <c r="A2294" s="8"/>
      <c r="B2294" s="9" t="s">
        <v>3551</v>
      </c>
      <c r="C2294" s="10" t="s">
        <v>126</v>
      </c>
      <c r="D2294" s="11">
        <v>1</v>
      </c>
      <c r="E2294" s="12">
        <v>1920</v>
      </c>
      <c r="F2294" s="13">
        <v>1920</v>
      </c>
      <c r="G2294" s="2">
        <f>VLOOKUP(B2294,'PO with created By ASR'!A:C,3,FALSE)</f>
        <v>45707</v>
      </c>
      <c r="J2294" s="2" t="str">
        <f>VLOOKUP(B2294,'PO with created By ASR'!A:G,4,FALSE)</f>
        <v>Naveen Mandal  -CR</v>
      </c>
      <c r="K2294" s="2" t="str">
        <f>VLOOKUP(B2294,'PO with created By ASR'!A:I,6,FALSE)</f>
        <v>10765 Naveen Mandal</v>
      </c>
      <c r="L2294" s="2" t="str">
        <f>VLOOKUP(B2294,'PO with created By ASR'!A:J,7,FALSE)</f>
        <v>D - Delhi</v>
      </c>
      <c r="M2294" s="2" t="str">
        <f>VLOOKUP(B2294,'PO with created By ASR'!A:K,8,FALSE)</f>
        <v>Purchase Order-Del</v>
      </c>
      <c r="N2294" t="s">
        <v>36</v>
      </c>
      <c r="P2294" s="2">
        <v>6</v>
      </c>
    </row>
    <row r="2295" s="2" customFormat="1" spans="1:16">
      <c r="A2295" s="8"/>
      <c r="B2295" s="9" t="s">
        <v>3551</v>
      </c>
      <c r="C2295" s="10" t="s">
        <v>412</v>
      </c>
      <c r="D2295" s="11">
        <v>1</v>
      </c>
      <c r="E2295" s="12">
        <v>2751</v>
      </c>
      <c r="F2295" s="13">
        <v>2751</v>
      </c>
      <c r="G2295" s="2">
        <f>VLOOKUP(B2295,'PO with created By ASR'!A:C,3,FALSE)</f>
        <v>45707</v>
      </c>
      <c r="J2295" s="2" t="str">
        <f>VLOOKUP(B2295,'PO with created By ASR'!A:G,4,FALSE)</f>
        <v>Naveen Mandal  -CR</v>
      </c>
      <c r="K2295" s="2" t="str">
        <f>VLOOKUP(B2295,'PO with created By ASR'!A:I,6,FALSE)</f>
        <v>10765 Naveen Mandal</v>
      </c>
      <c r="L2295" s="2" t="str">
        <f>VLOOKUP(B2295,'PO with created By ASR'!A:J,7,FALSE)</f>
        <v>D - Delhi</v>
      </c>
      <c r="M2295" s="2" t="str">
        <f>VLOOKUP(B2295,'PO with created By ASR'!A:K,8,FALSE)</f>
        <v>Purchase Order-Del</v>
      </c>
      <c r="N2295" t="s">
        <v>36</v>
      </c>
      <c r="P2295" s="2">
        <v>6</v>
      </c>
    </row>
    <row r="2296" s="2" customFormat="1" spans="1:16">
      <c r="A2296" s="8"/>
      <c r="B2296" s="9" t="s">
        <v>3552</v>
      </c>
      <c r="C2296" s="10" t="s">
        <v>126</v>
      </c>
      <c r="D2296" s="11">
        <v>1</v>
      </c>
      <c r="E2296" s="12">
        <v>3643</v>
      </c>
      <c r="F2296" s="13">
        <v>3643</v>
      </c>
      <c r="G2296" s="2">
        <f>VLOOKUP(B2296,'PO with created By ASR'!A:C,3,FALSE)</f>
        <v>45707</v>
      </c>
      <c r="J2296" s="2" t="str">
        <f>VLOOKUP(B2296,'PO with created By ASR'!A:G,4,FALSE)</f>
        <v>Seemant Mahalwal  -CR</v>
      </c>
      <c r="K2296" s="2" t="str">
        <f>VLOOKUP(B2296,'PO with created By ASR'!A:I,6,FALSE)</f>
        <v>10899 Seemant Mahalwal</v>
      </c>
      <c r="L2296" s="2" t="str">
        <f>VLOOKUP(B2296,'PO with created By ASR'!A:J,7,FALSE)</f>
        <v>D - Delhi</v>
      </c>
      <c r="M2296" s="2" t="str">
        <f>VLOOKUP(B2296,'PO with created By ASR'!A:K,8,FALSE)</f>
        <v>Purchase Order-Del</v>
      </c>
      <c r="N2296" t="s">
        <v>36</v>
      </c>
      <c r="P2296" s="2">
        <v>6</v>
      </c>
    </row>
    <row r="2297" s="2" customFormat="1" spans="1:16">
      <c r="A2297" s="8"/>
      <c r="B2297" s="9" t="s">
        <v>3552</v>
      </c>
      <c r="C2297" s="10" t="s">
        <v>412</v>
      </c>
      <c r="D2297" s="11">
        <v>1</v>
      </c>
      <c r="E2297" s="12">
        <v>420</v>
      </c>
      <c r="F2297" s="13">
        <v>420</v>
      </c>
      <c r="G2297" s="2">
        <f>VLOOKUP(B2297,'PO with created By ASR'!A:C,3,FALSE)</f>
        <v>45707</v>
      </c>
      <c r="J2297" s="2" t="str">
        <f>VLOOKUP(B2297,'PO with created By ASR'!A:G,4,FALSE)</f>
        <v>Seemant Mahalwal  -CR</v>
      </c>
      <c r="K2297" s="2" t="str">
        <f>VLOOKUP(B2297,'PO with created By ASR'!A:I,6,FALSE)</f>
        <v>10899 Seemant Mahalwal</v>
      </c>
      <c r="L2297" s="2" t="str">
        <f>VLOOKUP(B2297,'PO with created By ASR'!A:J,7,FALSE)</f>
        <v>D - Delhi</v>
      </c>
      <c r="M2297" s="2" t="str">
        <f>VLOOKUP(B2297,'PO with created By ASR'!A:K,8,FALSE)</f>
        <v>Purchase Order-Del</v>
      </c>
      <c r="N2297" t="s">
        <v>36</v>
      </c>
      <c r="P2297" s="2">
        <v>6</v>
      </c>
    </row>
    <row r="2298" s="2" customFormat="1" spans="1:16">
      <c r="A2298" s="8"/>
      <c r="B2298" s="9" t="s">
        <v>3552</v>
      </c>
      <c r="C2298" s="10" t="s">
        <v>734</v>
      </c>
      <c r="D2298" s="11">
        <v>1</v>
      </c>
      <c r="E2298" s="12">
        <v>14560</v>
      </c>
      <c r="F2298" s="13">
        <v>14560</v>
      </c>
      <c r="G2298" s="2">
        <f>VLOOKUP(B2298,'PO with created By ASR'!A:C,3,FALSE)</f>
        <v>45707</v>
      </c>
      <c r="J2298" s="2" t="str">
        <f>VLOOKUP(B2298,'PO with created By ASR'!A:G,4,FALSE)</f>
        <v>Seemant Mahalwal  -CR</v>
      </c>
      <c r="K2298" s="2" t="str">
        <f>VLOOKUP(B2298,'PO with created By ASR'!A:I,6,FALSE)</f>
        <v>10899 Seemant Mahalwal</v>
      </c>
      <c r="L2298" s="2" t="str">
        <f>VLOOKUP(B2298,'PO with created By ASR'!A:J,7,FALSE)</f>
        <v>D - Delhi</v>
      </c>
      <c r="M2298" s="2" t="str">
        <f>VLOOKUP(B2298,'PO with created By ASR'!A:K,8,FALSE)</f>
        <v>Purchase Order-Del</v>
      </c>
      <c r="N2298" t="s">
        <v>36</v>
      </c>
      <c r="P2298" s="2">
        <v>6</v>
      </c>
    </row>
    <row r="2299" s="2" customFormat="1" spans="1:16">
      <c r="A2299" s="8"/>
      <c r="B2299" s="9" t="s">
        <v>3555</v>
      </c>
      <c r="C2299" s="10" t="s">
        <v>371</v>
      </c>
      <c r="D2299" s="11">
        <v>1</v>
      </c>
      <c r="E2299" s="12">
        <v>20000</v>
      </c>
      <c r="F2299" s="13">
        <v>20000</v>
      </c>
      <c r="G2299" s="2">
        <f>VLOOKUP(B2299,'PO with created By ASR'!A:C,3,FALSE)</f>
        <v>45707</v>
      </c>
      <c r="J2299" s="2" t="str">
        <f>VLOOKUP(B2299,'PO with created By ASR'!A:G,4,FALSE)</f>
        <v>Black Pearl Production Pvt Ltd-Del</v>
      </c>
      <c r="K2299" s="2" t="str">
        <f>VLOOKUP(B2299,'PO with created By ASR'!A:I,6,FALSE)</f>
        <v>11734  Black Pearl Production Pvt Ltd</v>
      </c>
      <c r="L2299" s="2" t="str">
        <f>VLOOKUP(B2299,'PO with created By ASR'!A:J,7,FALSE)</f>
        <v>D - Delhi</v>
      </c>
      <c r="M2299" s="2" t="str">
        <f>VLOOKUP(B2299,'PO with created By ASR'!A:K,8,FALSE)</f>
        <v>Purchase Order-Del</v>
      </c>
      <c r="N2299" t="s">
        <v>36</v>
      </c>
      <c r="P2299" s="2">
        <v>6</v>
      </c>
    </row>
    <row r="2300" s="2" customFormat="1" spans="1:16">
      <c r="A2300" s="8"/>
      <c r="B2300" s="9" t="s">
        <v>3556</v>
      </c>
      <c r="C2300" s="10" t="s">
        <v>119</v>
      </c>
      <c r="D2300" s="11">
        <v>1</v>
      </c>
      <c r="E2300" s="12">
        <v>163059.3</v>
      </c>
      <c r="F2300" s="13">
        <v>163059.3</v>
      </c>
      <c r="G2300" s="2">
        <f>VLOOKUP(B2300,'PO with created By ASR'!A:C,3,FALSE)</f>
        <v>45707</v>
      </c>
      <c r="J2300" s="2" t="str">
        <f>VLOOKUP(B2300,'PO with created By ASR'!A:G,4,FALSE)</f>
        <v>Lamour Voyages Pvt Ltd-Del</v>
      </c>
      <c r="K2300" s="2" t="str">
        <f>VLOOKUP(B2300,'PO with created By ASR'!A:I,6,FALSE)</f>
        <v>10357  Lamour Voyages Pvt Ltd</v>
      </c>
      <c r="L2300" s="2" t="str">
        <f>VLOOKUP(B2300,'PO with created By ASR'!A:J,7,FALSE)</f>
        <v>D - Delhi</v>
      </c>
      <c r="M2300" s="2" t="str">
        <f>VLOOKUP(B2300,'PO with created By ASR'!A:K,8,FALSE)</f>
        <v>Purchase Order-Del</v>
      </c>
      <c r="N2300" t="s">
        <v>36</v>
      </c>
      <c r="P2300" s="2">
        <v>6</v>
      </c>
    </row>
    <row r="2301" s="2" customFormat="1" spans="1:16">
      <c r="A2301" s="8"/>
      <c r="B2301" s="9" t="s">
        <v>3556</v>
      </c>
      <c r="C2301" s="10" t="s">
        <v>764</v>
      </c>
      <c r="D2301" s="11">
        <v>1</v>
      </c>
      <c r="E2301" s="12">
        <v>8152.97</v>
      </c>
      <c r="F2301" s="13">
        <v>8152.97</v>
      </c>
      <c r="G2301" s="2">
        <f>VLOOKUP(B2301,'PO with created By ASR'!A:C,3,FALSE)</f>
        <v>45707</v>
      </c>
      <c r="J2301" s="2" t="str">
        <f>VLOOKUP(B2301,'PO with created By ASR'!A:G,4,FALSE)</f>
        <v>Lamour Voyages Pvt Ltd-Del</v>
      </c>
      <c r="K2301" s="2" t="str">
        <f>VLOOKUP(B2301,'PO with created By ASR'!A:I,6,FALSE)</f>
        <v>10357  Lamour Voyages Pvt Ltd</v>
      </c>
      <c r="L2301" s="2" t="str">
        <f>VLOOKUP(B2301,'PO with created By ASR'!A:J,7,FALSE)</f>
        <v>D - Delhi</v>
      </c>
      <c r="M2301" s="2" t="str">
        <f>VLOOKUP(B2301,'PO with created By ASR'!A:K,8,FALSE)</f>
        <v>Purchase Order-Del</v>
      </c>
      <c r="N2301" t="s">
        <v>36</v>
      </c>
      <c r="P2301" s="2">
        <v>6</v>
      </c>
    </row>
    <row r="2302" s="2" customFormat="1" spans="1:16">
      <c r="A2302" s="8"/>
      <c r="B2302" s="9" t="s">
        <v>3558</v>
      </c>
      <c r="C2302" s="10" t="s">
        <v>3240</v>
      </c>
      <c r="D2302" s="14">
        <v>1</v>
      </c>
      <c r="E2302" s="15">
        <v>36500</v>
      </c>
      <c r="F2302" s="13">
        <v>36500</v>
      </c>
      <c r="G2302" s="2">
        <f>VLOOKUP(B2302,'PO with created By ASR'!A:C,3,FALSE)</f>
        <v>45707</v>
      </c>
      <c r="J2302" s="2" t="str">
        <f>VLOOKUP(B2302,'PO with created By ASR'!A:G,4,FALSE)</f>
        <v>Shree Raj Systems-Mum</v>
      </c>
      <c r="K2302" s="2" t="str">
        <f>VLOOKUP(B2302,'PO with created By ASR'!A:I,6,FALSE)</f>
        <v>10214 Shree Raj Systems</v>
      </c>
      <c r="L2302" s="2" t="str">
        <f>VLOOKUP(B2302,'PO with created By ASR'!A:J,7,FALSE)</f>
        <v>A - Mumbai</v>
      </c>
      <c r="M2302" s="2" t="str">
        <f>VLOOKUP(B2302,'PO with created By ASR'!A:K,8,FALSE)</f>
        <v>Purchase Order(Gen)-Mum</v>
      </c>
      <c r="N2302" t="s">
        <v>36</v>
      </c>
      <c r="P2302" s="2">
        <v>6</v>
      </c>
    </row>
    <row r="2303" s="2" customFormat="1" spans="1:16">
      <c r="A2303" s="8"/>
      <c r="B2303" s="9" t="s">
        <v>3559</v>
      </c>
      <c r="C2303" s="10" t="s">
        <v>126</v>
      </c>
      <c r="D2303" s="11">
        <v>1</v>
      </c>
      <c r="E2303" s="12">
        <v>914</v>
      </c>
      <c r="F2303" s="13">
        <v>914</v>
      </c>
      <c r="G2303" s="2">
        <f>VLOOKUP(B2303,'PO with created By ASR'!A:C,3,FALSE)</f>
        <v>45707</v>
      </c>
      <c r="J2303" s="2" t="str">
        <f>VLOOKUP(B2303,'PO with created By ASR'!A:G,4,FALSE)</f>
        <v>Mohammad Danish  -CR</v>
      </c>
      <c r="K2303" s="2" t="str">
        <f>VLOOKUP(B2303,'PO with created By ASR'!A:I,6,FALSE)</f>
        <v>10757 Mohammad Danish</v>
      </c>
      <c r="L2303" s="2" t="str">
        <f>VLOOKUP(B2303,'PO with created By ASR'!A:J,7,FALSE)</f>
        <v>A - Mumbai</v>
      </c>
      <c r="M2303" s="2" t="str">
        <f>VLOOKUP(B2303,'PO with created By ASR'!A:K,8,FALSE)</f>
        <v>Purchase Order-Mum</v>
      </c>
      <c r="N2303" t="s">
        <v>36</v>
      </c>
      <c r="P2303" s="2">
        <v>6</v>
      </c>
    </row>
    <row r="2304" s="2" customFormat="1" spans="1:16">
      <c r="A2304" s="8"/>
      <c r="B2304" s="9" t="s">
        <v>3559</v>
      </c>
      <c r="C2304" s="10" t="s">
        <v>412</v>
      </c>
      <c r="D2304" s="11">
        <v>1</v>
      </c>
      <c r="E2304" s="12">
        <v>130</v>
      </c>
      <c r="F2304" s="13">
        <v>130</v>
      </c>
      <c r="G2304" s="2">
        <f>VLOOKUP(B2304,'PO with created By ASR'!A:C,3,FALSE)</f>
        <v>45707</v>
      </c>
      <c r="J2304" s="2" t="str">
        <f>VLOOKUP(B2304,'PO with created By ASR'!A:G,4,FALSE)</f>
        <v>Mohammad Danish  -CR</v>
      </c>
      <c r="K2304" s="2" t="str">
        <f>VLOOKUP(B2304,'PO with created By ASR'!A:I,6,FALSE)</f>
        <v>10757 Mohammad Danish</v>
      </c>
      <c r="L2304" s="2" t="str">
        <f>VLOOKUP(B2304,'PO with created By ASR'!A:J,7,FALSE)</f>
        <v>A - Mumbai</v>
      </c>
      <c r="M2304" s="2" t="str">
        <f>VLOOKUP(B2304,'PO with created By ASR'!A:K,8,FALSE)</f>
        <v>Purchase Order-Mum</v>
      </c>
      <c r="N2304" t="s">
        <v>36</v>
      </c>
      <c r="P2304" s="2">
        <v>6</v>
      </c>
    </row>
    <row r="2305" s="2" customFormat="1" spans="1:16">
      <c r="A2305" s="8"/>
      <c r="B2305" s="9" t="s">
        <v>3560</v>
      </c>
      <c r="C2305" s="10" t="s">
        <v>233</v>
      </c>
      <c r="D2305" s="11">
        <v>1</v>
      </c>
      <c r="E2305" s="12">
        <v>7839</v>
      </c>
      <c r="F2305" s="13">
        <v>7839</v>
      </c>
      <c r="G2305" s="2">
        <f>VLOOKUP(B2305,'PO with created By ASR'!A:C,3,FALSE)</f>
        <v>45707</v>
      </c>
      <c r="J2305" s="2" t="str">
        <f>VLOOKUP(B2305,'PO with created By ASR'!A:G,4,FALSE)</f>
        <v>Tejas Damania  -CR</v>
      </c>
      <c r="K2305" s="2" t="e">
        <f>VLOOKUP(B2305,'PO with created By ASR'!A:I,6,FALSE)</f>
        <v>#N/A</v>
      </c>
      <c r="L2305" s="2" t="str">
        <f>VLOOKUP(B2305,'PO with created By ASR'!A:J,7,FALSE)</f>
        <v>A - Mumbai</v>
      </c>
      <c r="M2305" s="2" t="str">
        <f>VLOOKUP(B2305,'PO with created By ASR'!A:K,8,FALSE)</f>
        <v>Purchase Order-Mum</v>
      </c>
      <c r="N2305" t="s">
        <v>36</v>
      </c>
      <c r="P2305" s="2">
        <v>6</v>
      </c>
    </row>
    <row r="2306" s="2" customFormat="1" spans="1:16">
      <c r="A2306" s="8"/>
      <c r="B2306" s="9" t="s">
        <v>3562</v>
      </c>
      <c r="C2306" s="10" t="s">
        <v>126</v>
      </c>
      <c r="D2306" s="11">
        <v>1</v>
      </c>
      <c r="E2306" s="12">
        <v>136</v>
      </c>
      <c r="F2306" s="13">
        <v>136</v>
      </c>
      <c r="G2306" s="2">
        <f>VLOOKUP(B2306,'PO with created By ASR'!A:C,3,FALSE)</f>
        <v>45707</v>
      </c>
      <c r="J2306" s="2" t="str">
        <f>VLOOKUP(B2306,'PO with created By ASR'!A:G,4,FALSE)</f>
        <v>Sachin Jadhav -CR</v>
      </c>
      <c r="K2306" s="2" t="e">
        <f>VLOOKUP(B2306,'PO with created By ASR'!A:I,6,FALSE)</f>
        <v>#N/A</v>
      </c>
      <c r="L2306" s="2" t="str">
        <f>VLOOKUP(B2306,'PO with created By ASR'!A:J,7,FALSE)</f>
        <v>A - Mumbai</v>
      </c>
      <c r="M2306" s="2" t="str">
        <f>VLOOKUP(B2306,'PO with created By ASR'!A:K,8,FALSE)</f>
        <v>Purchase Order-Mum</v>
      </c>
      <c r="N2306" t="s">
        <v>36</v>
      </c>
      <c r="P2306" s="2">
        <v>6</v>
      </c>
    </row>
    <row r="2307" s="2" customFormat="1" spans="1:16">
      <c r="A2307" s="8"/>
      <c r="B2307" s="9" t="s">
        <v>3563</v>
      </c>
      <c r="C2307" s="10" t="s">
        <v>126</v>
      </c>
      <c r="D2307" s="11">
        <v>1</v>
      </c>
      <c r="E2307" s="12">
        <v>5013</v>
      </c>
      <c r="F2307" s="13">
        <v>5013</v>
      </c>
      <c r="G2307" s="2">
        <f>VLOOKUP(B2307,'PO with created By ASR'!A:C,3,FALSE)</f>
        <v>45707</v>
      </c>
      <c r="J2307" s="2" t="str">
        <f>VLOOKUP(B2307,'PO with created By ASR'!A:G,4,FALSE)</f>
        <v>Shabnam Shaikh Adv. -CR</v>
      </c>
      <c r="K2307" s="2" t="e">
        <f>VLOOKUP(B2307,'PO with created By ASR'!A:I,6,FALSE)</f>
        <v>#N/A</v>
      </c>
      <c r="L2307" s="2" t="str">
        <f>VLOOKUP(B2307,'PO with created By ASR'!A:J,7,FALSE)</f>
        <v>A - Mumbai</v>
      </c>
      <c r="M2307" s="2" t="str">
        <f>VLOOKUP(B2307,'PO with created By ASR'!A:K,8,FALSE)</f>
        <v>Purchase Order-Mum</v>
      </c>
      <c r="N2307" t="s">
        <v>36</v>
      </c>
      <c r="P2307" s="2">
        <v>6</v>
      </c>
    </row>
    <row r="2308" s="2" customFormat="1" spans="1:16">
      <c r="A2308" s="8"/>
      <c r="B2308" s="9" t="s">
        <v>3563</v>
      </c>
      <c r="C2308" s="10" t="s">
        <v>317</v>
      </c>
      <c r="D2308" s="11">
        <v>1</v>
      </c>
      <c r="E2308" s="12">
        <v>1499</v>
      </c>
      <c r="F2308" s="13">
        <v>1499</v>
      </c>
      <c r="G2308" s="2">
        <f>VLOOKUP(B2308,'PO with created By ASR'!A:C,3,FALSE)</f>
        <v>45707</v>
      </c>
      <c r="J2308" s="2" t="str">
        <f>VLOOKUP(B2308,'PO with created By ASR'!A:G,4,FALSE)</f>
        <v>Shabnam Shaikh Adv. -CR</v>
      </c>
      <c r="K2308" s="2" t="e">
        <f>VLOOKUP(B2308,'PO with created By ASR'!A:I,6,FALSE)</f>
        <v>#N/A</v>
      </c>
      <c r="L2308" s="2" t="str">
        <f>VLOOKUP(B2308,'PO with created By ASR'!A:J,7,FALSE)</f>
        <v>A - Mumbai</v>
      </c>
      <c r="M2308" s="2" t="str">
        <f>VLOOKUP(B2308,'PO with created By ASR'!A:K,8,FALSE)</f>
        <v>Purchase Order-Mum</v>
      </c>
      <c r="N2308" t="s">
        <v>36</v>
      </c>
      <c r="P2308" s="2">
        <v>6</v>
      </c>
    </row>
    <row r="2309" s="2" customFormat="1" spans="1:16">
      <c r="A2309" s="8"/>
      <c r="B2309" s="9" t="s">
        <v>3565</v>
      </c>
      <c r="C2309" s="10" t="s">
        <v>317</v>
      </c>
      <c r="D2309" s="11">
        <v>1</v>
      </c>
      <c r="E2309" s="12">
        <v>21111</v>
      </c>
      <c r="F2309" s="13">
        <v>21111</v>
      </c>
      <c r="G2309" s="2">
        <f>VLOOKUP(B2309,'PO with created By ASR'!A:C,3,FALSE)</f>
        <v>45707</v>
      </c>
      <c r="J2309" s="2" t="str">
        <f>VLOOKUP(B2309,'PO with created By ASR'!A:G,4,FALSE)</f>
        <v>Santosh Bhogal Cash  -CR</v>
      </c>
      <c r="K2309" s="2" t="e">
        <f>VLOOKUP(B2309,'PO with created By ASR'!A:I,6,FALSE)</f>
        <v>#N/A</v>
      </c>
      <c r="L2309" s="2" t="str">
        <f>VLOOKUP(B2309,'PO with created By ASR'!A:J,7,FALSE)</f>
        <v>A - Mumbai</v>
      </c>
      <c r="M2309" s="2" t="str">
        <f>VLOOKUP(B2309,'PO with created By ASR'!A:K,8,FALSE)</f>
        <v>Purchase Order-Mum</v>
      </c>
      <c r="N2309" t="s">
        <v>36</v>
      </c>
      <c r="P2309" s="2">
        <v>6</v>
      </c>
    </row>
    <row r="2310" s="2" customFormat="1" spans="1:16">
      <c r="A2310" s="8"/>
      <c r="B2310" s="9" t="s">
        <v>3565</v>
      </c>
      <c r="C2310" s="10" t="s">
        <v>126</v>
      </c>
      <c r="D2310" s="11">
        <v>1</v>
      </c>
      <c r="E2310" s="12">
        <v>2461</v>
      </c>
      <c r="F2310" s="13">
        <v>2461</v>
      </c>
      <c r="G2310" s="2">
        <f>VLOOKUP(B2310,'PO with created By ASR'!A:C,3,FALSE)</f>
        <v>45707</v>
      </c>
      <c r="J2310" s="2" t="str">
        <f>VLOOKUP(B2310,'PO with created By ASR'!A:G,4,FALSE)</f>
        <v>Santosh Bhogal Cash  -CR</v>
      </c>
      <c r="K2310" s="2" t="e">
        <f>VLOOKUP(B2310,'PO with created By ASR'!A:I,6,FALSE)</f>
        <v>#N/A</v>
      </c>
      <c r="L2310" s="2" t="str">
        <f>VLOOKUP(B2310,'PO with created By ASR'!A:J,7,FALSE)</f>
        <v>A - Mumbai</v>
      </c>
      <c r="M2310" s="2" t="str">
        <f>VLOOKUP(B2310,'PO with created By ASR'!A:K,8,FALSE)</f>
        <v>Purchase Order-Mum</v>
      </c>
      <c r="N2310" t="s">
        <v>36</v>
      </c>
      <c r="P2310" s="2">
        <v>6</v>
      </c>
    </row>
    <row r="2311" s="2" customFormat="1" spans="1:16">
      <c r="A2311" s="8"/>
      <c r="B2311" s="9" t="s">
        <v>3565</v>
      </c>
      <c r="C2311" s="10" t="s">
        <v>412</v>
      </c>
      <c r="D2311" s="11">
        <v>1</v>
      </c>
      <c r="E2311" s="12">
        <v>300</v>
      </c>
      <c r="F2311" s="13">
        <v>300</v>
      </c>
      <c r="G2311" s="2">
        <f>VLOOKUP(B2311,'PO with created By ASR'!A:C,3,FALSE)</f>
        <v>45707</v>
      </c>
      <c r="J2311" s="2" t="str">
        <f>VLOOKUP(B2311,'PO with created By ASR'!A:G,4,FALSE)</f>
        <v>Santosh Bhogal Cash  -CR</v>
      </c>
      <c r="K2311" s="2" t="e">
        <f>VLOOKUP(B2311,'PO with created By ASR'!A:I,6,FALSE)</f>
        <v>#N/A</v>
      </c>
      <c r="L2311" s="2" t="str">
        <f>VLOOKUP(B2311,'PO with created By ASR'!A:J,7,FALSE)</f>
        <v>A - Mumbai</v>
      </c>
      <c r="M2311" s="2" t="str">
        <f>VLOOKUP(B2311,'PO with created By ASR'!A:K,8,FALSE)</f>
        <v>Purchase Order-Mum</v>
      </c>
      <c r="N2311" t="s">
        <v>36</v>
      </c>
      <c r="P2311" s="2">
        <v>6</v>
      </c>
    </row>
    <row r="2312" s="2" customFormat="1" spans="1:16">
      <c r="A2312" s="8"/>
      <c r="B2312" s="9" t="s">
        <v>3566</v>
      </c>
      <c r="C2312" s="10" t="s">
        <v>317</v>
      </c>
      <c r="D2312" s="11">
        <v>1</v>
      </c>
      <c r="E2312" s="12">
        <v>2490</v>
      </c>
      <c r="F2312" s="13">
        <v>2490</v>
      </c>
      <c r="G2312" s="2">
        <f>VLOOKUP(B2312,'PO with created By ASR'!A:C,3,FALSE)</f>
        <v>45707</v>
      </c>
      <c r="J2312" s="2" t="str">
        <f>VLOOKUP(B2312,'PO with created By ASR'!A:G,4,FALSE)</f>
        <v>Sanjay Kathale Cash -CR</v>
      </c>
      <c r="K2312" s="2" t="e">
        <f>VLOOKUP(B2312,'PO with created By ASR'!A:I,6,FALSE)</f>
        <v>#N/A</v>
      </c>
      <c r="L2312" s="2" t="str">
        <f>VLOOKUP(B2312,'PO with created By ASR'!A:J,7,FALSE)</f>
        <v>A - Mumbai</v>
      </c>
      <c r="M2312" s="2" t="str">
        <f>VLOOKUP(B2312,'PO with created By ASR'!A:K,8,FALSE)</f>
        <v>Purchase Order-Mum</v>
      </c>
      <c r="N2312" t="s">
        <v>36</v>
      </c>
      <c r="P2312" s="2">
        <v>6</v>
      </c>
    </row>
    <row r="2313" s="2" customFormat="1" spans="1:16">
      <c r="A2313" s="8"/>
      <c r="B2313" s="9" t="s">
        <v>3566</v>
      </c>
      <c r="C2313" s="10" t="s">
        <v>1055</v>
      </c>
      <c r="D2313" s="11">
        <v>1</v>
      </c>
      <c r="E2313" s="12">
        <v>4600</v>
      </c>
      <c r="F2313" s="13">
        <v>4600</v>
      </c>
      <c r="G2313" s="2">
        <f>VLOOKUP(B2313,'PO with created By ASR'!A:C,3,FALSE)</f>
        <v>45707</v>
      </c>
      <c r="J2313" s="2" t="str">
        <f>VLOOKUP(B2313,'PO with created By ASR'!A:G,4,FALSE)</f>
        <v>Sanjay Kathale Cash -CR</v>
      </c>
      <c r="K2313" s="2" t="e">
        <f>VLOOKUP(B2313,'PO with created By ASR'!A:I,6,FALSE)</f>
        <v>#N/A</v>
      </c>
      <c r="L2313" s="2" t="str">
        <f>VLOOKUP(B2313,'PO with created By ASR'!A:J,7,FALSE)</f>
        <v>A - Mumbai</v>
      </c>
      <c r="M2313" s="2" t="str">
        <f>VLOOKUP(B2313,'PO with created By ASR'!A:K,8,FALSE)</f>
        <v>Purchase Order-Mum</v>
      </c>
      <c r="N2313" t="s">
        <v>36</v>
      </c>
      <c r="P2313" s="2">
        <v>6</v>
      </c>
    </row>
    <row r="2314" s="2" customFormat="1" spans="1:16">
      <c r="A2314" s="8"/>
      <c r="B2314" s="9" t="s">
        <v>3566</v>
      </c>
      <c r="C2314" s="10" t="s">
        <v>126</v>
      </c>
      <c r="D2314" s="11">
        <v>1</v>
      </c>
      <c r="E2314" s="12">
        <v>2730</v>
      </c>
      <c r="F2314" s="13">
        <v>2730</v>
      </c>
      <c r="G2314" s="2">
        <f>VLOOKUP(B2314,'PO with created By ASR'!A:C,3,FALSE)</f>
        <v>45707</v>
      </c>
      <c r="J2314" s="2" t="str">
        <f>VLOOKUP(B2314,'PO with created By ASR'!A:G,4,FALSE)</f>
        <v>Sanjay Kathale Cash -CR</v>
      </c>
      <c r="K2314" s="2" t="e">
        <f>VLOOKUP(B2314,'PO with created By ASR'!A:I,6,FALSE)</f>
        <v>#N/A</v>
      </c>
      <c r="L2314" s="2" t="str">
        <f>VLOOKUP(B2314,'PO with created By ASR'!A:J,7,FALSE)</f>
        <v>A - Mumbai</v>
      </c>
      <c r="M2314" s="2" t="str">
        <f>VLOOKUP(B2314,'PO with created By ASR'!A:K,8,FALSE)</f>
        <v>Purchase Order-Mum</v>
      </c>
      <c r="N2314" t="s">
        <v>36</v>
      </c>
      <c r="P2314" s="2">
        <v>6</v>
      </c>
    </row>
    <row r="2315" s="2" customFormat="1" spans="1:16">
      <c r="A2315" s="8"/>
      <c r="B2315" s="9" t="s">
        <v>3566</v>
      </c>
      <c r="C2315" s="10" t="s">
        <v>412</v>
      </c>
      <c r="D2315" s="11">
        <v>1</v>
      </c>
      <c r="E2315" s="12">
        <v>1110</v>
      </c>
      <c r="F2315" s="13">
        <v>1110</v>
      </c>
      <c r="G2315" s="2">
        <f>VLOOKUP(B2315,'PO with created By ASR'!A:C,3,FALSE)</f>
        <v>45707</v>
      </c>
      <c r="J2315" s="2" t="str">
        <f>VLOOKUP(B2315,'PO with created By ASR'!A:G,4,FALSE)</f>
        <v>Sanjay Kathale Cash -CR</v>
      </c>
      <c r="K2315" s="2" t="e">
        <f>VLOOKUP(B2315,'PO with created By ASR'!A:I,6,FALSE)</f>
        <v>#N/A</v>
      </c>
      <c r="L2315" s="2" t="str">
        <f>VLOOKUP(B2315,'PO with created By ASR'!A:J,7,FALSE)</f>
        <v>A - Mumbai</v>
      </c>
      <c r="M2315" s="2" t="str">
        <f>VLOOKUP(B2315,'PO with created By ASR'!A:K,8,FALSE)</f>
        <v>Purchase Order-Mum</v>
      </c>
      <c r="N2315" t="s">
        <v>36</v>
      </c>
      <c r="P2315" s="2">
        <v>6</v>
      </c>
    </row>
    <row r="2316" s="2" customFormat="1" spans="1:16">
      <c r="A2316" s="8"/>
      <c r="B2316" s="9" t="s">
        <v>3567</v>
      </c>
      <c r="C2316" s="10" t="s">
        <v>317</v>
      </c>
      <c r="D2316" s="11">
        <v>1</v>
      </c>
      <c r="E2316" s="12">
        <v>2043</v>
      </c>
      <c r="F2316" s="13">
        <v>2043</v>
      </c>
      <c r="G2316" s="2">
        <f>VLOOKUP(B2316,'PO with created By ASR'!A:C,3,FALSE)</f>
        <v>45707</v>
      </c>
      <c r="J2316" s="2" t="str">
        <f>VLOOKUP(B2316,'PO with created By ASR'!A:G,4,FALSE)</f>
        <v>Santosh Bhogal Cash  -CR</v>
      </c>
      <c r="K2316" s="2" t="e">
        <f>VLOOKUP(B2316,'PO with created By ASR'!A:I,6,FALSE)</f>
        <v>#N/A</v>
      </c>
      <c r="L2316" s="2" t="str">
        <f>VLOOKUP(B2316,'PO with created By ASR'!A:J,7,FALSE)</f>
        <v>A - Mumbai</v>
      </c>
      <c r="M2316" s="2" t="str">
        <f>VLOOKUP(B2316,'PO with created By ASR'!A:K,8,FALSE)</f>
        <v>Purchase Order-Mum</v>
      </c>
      <c r="N2316" t="s">
        <v>36</v>
      </c>
      <c r="P2316" s="2">
        <v>6</v>
      </c>
    </row>
    <row r="2317" s="2" customFormat="1" spans="1:16">
      <c r="A2317" s="8"/>
      <c r="B2317" s="9" t="s">
        <v>3568</v>
      </c>
      <c r="C2317" s="10" t="s">
        <v>126</v>
      </c>
      <c r="D2317" s="11">
        <v>1</v>
      </c>
      <c r="E2317" s="12">
        <v>1384</v>
      </c>
      <c r="F2317" s="13">
        <v>1384</v>
      </c>
      <c r="G2317" s="2">
        <f>VLOOKUP(B2317,'PO with created By ASR'!A:C,3,FALSE)</f>
        <v>45707</v>
      </c>
      <c r="J2317" s="2" t="str">
        <f>VLOOKUP(B2317,'PO with created By ASR'!A:G,4,FALSE)</f>
        <v>Aftab Shaikh  -CR</v>
      </c>
      <c r="K2317" s="2" t="e">
        <f>VLOOKUP(B2317,'PO with created By ASR'!A:I,6,FALSE)</f>
        <v>#N/A</v>
      </c>
      <c r="L2317" s="2" t="str">
        <f>VLOOKUP(B2317,'PO with created By ASR'!A:J,7,FALSE)</f>
        <v>A - Mumbai</v>
      </c>
      <c r="M2317" s="2" t="str">
        <f>VLOOKUP(B2317,'PO with created By ASR'!A:K,8,FALSE)</f>
        <v>Purchase Order-Mum</v>
      </c>
      <c r="N2317" t="s">
        <v>36</v>
      </c>
      <c r="P2317" s="2">
        <v>6</v>
      </c>
    </row>
    <row r="2318" s="2" customFormat="1" spans="1:16">
      <c r="A2318" s="8"/>
      <c r="B2318" s="9" t="s">
        <v>3568</v>
      </c>
      <c r="C2318" s="10" t="s">
        <v>412</v>
      </c>
      <c r="D2318" s="11">
        <v>1</v>
      </c>
      <c r="E2318" s="12">
        <v>1531</v>
      </c>
      <c r="F2318" s="13">
        <v>1531</v>
      </c>
      <c r="G2318" s="2">
        <f>VLOOKUP(B2318,'PO with created By ASR'!A:C,3,FALSE)</f>
        <v>45707</v>
      </c>
      <c r="J2318" s="2" t="str">
        <f>VLOOKUP(B2318,'PO with created By ASR'!A:G,4,FALSE)</f>
        <v>Aftab Shaikh  -CR</v>
      </c>
      <c r="K2318" s="2" t="e">
        <f>VLOOKUP(B2318,'PO with created By ASR'!A:I,6,FALSE)</f>
        <v>#N/A</v>
      </c>
      <c r="L2318" s="2" t="str">
        <f>VLOOKUP(B2318,'PO with created By ASR'!A:J,7,FALSE)</f>
        <v>A - Mumbai</v>
      </c>
      <c r="M2318" s="2" t="str">
        <f>VLOOKUP(B2318,'PO with created By ASR'!A:K,8,FALSE)</f>
        <v>Purchase Order-Mum</v>
      </c>
      <c r="N2318" t="s">
        <v>36</v>
      </c>
      <c r="P2318" s="2">
        <v>6</v>
      </c>
    </row>
    <row r="2319" s="2" customFormat="1" spans="1:16">
      <c r="A2319" s="8"/>
      <c r="B2319" s="9" t="s">
        <v>3569</v>
      </c>
      <c r="C2319" s="10" t="s">
        <v>317</v>
      </c>
      <c r="D2319" s="11">
        <v>1</v>
      </c>
      <c r="E2319" s="12">
        <v>17560.67</v>
      </c>
      <c r="F2319" s="13">
        <v>17560.67</v>
      </c>
      <c r="G2319" s="2">
        <f>VLOOKUP(B2319,'PO with created By ASR'!A:C,3,FALSE)</f>
        <v>45707</v>
      </c>
      <c r="J2319" s="2" t="str">
        <f>VLOOKUP(B2319,'PO with created By ASR'!A:G,4,FALSE)</f>
        <v>Sumit Sangle  -CR</v>
      </c>
      <c r="K2319" s="2" t="e">
        <f>VLOOKUP(B2319,'PO with created By ASR'!A:I,6,FALSE)</f>
        <v>#N/A</v>
      </c>
      <c r="L2319" s="2" t="str">
        <f>VLOOKUP(B2319,'PO with created By ASR'!A:J,7,FALSE)</f>
        <v>A - Mumbai</v>
      </c>
      <c r="M2319" s="2" t="str">
        <f>VLOOKUP(B2319,'PO with created By ASR'!A:K,8,FALSE)</f>
        <v>Purchase Order-Mum</v>
      </c>
      <c r="N2319" t="s">
        <v>36</v>
      </c>
      <c r="P2319" s="2">
        <v>6</v>
      </c>
    </row>
    <row r="2320" s="2" customFormat="1" spans="1:16">
      <c r="A2320" s="8"/>
      <c r="B2320" s="9" t="s">
        <v>3569</v>
      </c>
      <c r="C2320" s="10" t="s">
        <v>126</v>
      </c>
      <c r="D2320" s="11">
        <v>1</v>
      </c>
      <c r="E2320" s="12">
        <v>39046.34</v>
      </c>
      <c r="F2320" s="13">
        <v>39046.34</v>
      </c>
      <c r="G2320" s="2">
        <f>VLOOKUP(B2320,'PO with created By ASR'!A:C,3,FALSE)</f>
        <v>45707</v>
      </c>
      <c r="J2320" s="2" t="str">
        <f>VLOOKUP(B2320,'PO with created By ASR'!A:G,4,FALSE)</f>
        <v>Sumit Sangle  -CR</v>
      </c>
      <c r="K2320" s="2" t="e">
        <f>VLOOKUP(B2320,'PO with created By ASR'!A:I,6,FALSE)</f>
        <v>#N/A</v>
      </c>
      <c r="L2320" s="2" t="str">
        <f>VLOOKUP(B2320,'PO with created By ASR'!A:J,7,FALSE)</f>
        <v>A - Mumbai</v>
      </c>
      <c r="M2320" s="2" t="str">
        <f>VLOOKUP(B2320,'PO with created By ASR'!A:K,8,FALSE)</f>
        <v>Purchase Order-Mum</v>
      </c>
      <c r="N2320" t="s">
        <v>36</v>
      </c>
      <c r="P2320" s="2">
        <v>6</v>
      </c>
    </row>
    <row r="2321" s="2" customFormat="1" spans="1:16">
      <c r="A2321" s="8"/>
      <c r="B2321" s="9" t="s">
        <v>3569</v>
      </c>
      <c r="C2321" s="10" t="s">
        <v>3829</v>
      </c>
      <c r="D2321" s="11">
        <v>1</v>
      </c>
      <c r="E2321" s="12">
        <v>2000</v>
      </c>
      <c r="F2321" s="13">
        <v>2000</v>
      </c>
      <c r="G2321" s="2">
        <f>VLOOKUP(B2321,'PO with created By ASR'!A:C,3,FALSE)</f>
        <v>45707</v>
      </c>
      <c r="J2321" s="2" t="str">
        <f>VLOOKUP(B2321,'PO with created By ASR'!A:G,4,FALSE)</f>
        <v>Sumit Sangle  -CR</v>
      </c>
      <c r="K2321" s="2" t="e">
        <f>VLOOKUP(B2321,'PO with created By ASR'!A:I,6,FALSE)</f>
        <v>#N/A</v>
      </c>
      <c r="L2321" s="2" t="str">
        <f>VLOOKUP(B2321,'PO with created By ASR'!A:J,7,FALSE)</f>
        <v>A - Mumbai</v>
      </c>
      <c r="M2321" s="2" t="str">
        <f>VLOOKUP(B2321,'PO with created By ASR'!A:K,8,FALSE)</f>
        <v>Purchase Order-Mum</v>
      </c>
      <c r="N2321" t="s">
        <v>36</v>
      </c>
      <c r="P2321" s="2">
        <v>6</v>
      </c>
    </row>
    <row r="2322" s="2" customFormat="1" spans="1:16">
      <c r="A2322" s="8"/>
      <c r="B2322" s="9" t="s">
        <v>3569</v>
      </c>
      <c r="C2322" s="10" t="s">
        <v>412</v>
      </c>
      <c r="D2322" s="11">
        <v>1</v>
      </c>
      <c r="E2322" s="12">
        <v>67850.79</v>
      </c>
      <c r="F2322" s="13">
        <v>67850.79</v>
      </c>
      <c r="G2322" s="2">
        <f>VLOOKUP(B2322,'PO with created By ASR'!A:C,3,FALSE)</f>
        <v>45707</v>
      </c>
      <c r="J2322" s="2" t="str">
        <f>VLOOKUP(B2322,'PO with created By ASR'!A:G,4,FALSE)</f>
        <v>Sumit Sangle  -CR</v>
      </c>
      <c r="K2322" s="2" t="e">
        <f>VLOOKUP(B2322,'PO with created By ASR'!A:I,6,FALSE)</f>
        <v>#N/A</v>
      </c>
      <c r="L2322" s="2" t="str">
        <f>VLOOKUP(B2322,'PO with created By ASR'!A:J,7,FALSE)</f>
        <v>A - Mumbai</v>
      </c>
      <c r="M2322" s="2" t="str">
        <f>VLOOKUP(B2322,'PO with created By ASR'!A:K,8,FALSE)</f>
        <v>Purchase Order-Mum</v>
      </c>
      <c r="N2322" t="s">
        <v>36</v>
      </c>
      <c r="P2322" s="2">
        <v>6</v>
      </c>
    </row>
    <row r="2323" s="2" customFormat="1" spans="1:16">
      <c r="A2323" s="8"/>
      <c r="B2323" s="9" t="s">
        <v>3571</v>
      </c>
      <c r="C2323" s="10" t="s">
        <v>126</v>
      </c>
      <c r="D2323" s="11">
        <v>1</v>
      </c>
      <c r="E2323" s="12">
        <v>3177</v>
      </c>
      <c r="F2323" s="13">
        <v>3177</v>
      </c>
      <c r="G2323" s="2">
        <f>VLOOKUP(B2323,'PO with created By ASR'!A:C,3,FALSE)</f>
        <v>45707</v>
      </c>
      <c r="J2323" s="2" t="str">
        <f>VLOOKUP(B2323,'PO with created By ASR'!A:G,4,FALSE)</f>
        <v>Suresh Pardhle  -CR</v>
      </c>
      <c r="K2323" s="2" t="e">
        <f>VLOOKUP(B2323,'PO with created By ASR'!A:I,6,FALSE)</f>
        <v>#N/A</v>
      </c>
      <c r="L2323" s="2" t="str">
        <f>VLOOKUP(B2323,'PO with created By ASR'!A:J,7,FALSE)</f>
        <v>A - Mumbai</v>
      </c>
      <c r="M2323" s="2" t="str">
        <f>VLOOKUP(B2323,'PO with created By ASR'!A:K,8,FALSE)</f>
        <v>Purchase Order-Mum</v>
      </c>
      <c r="N2323" t="s">
        <v>36</v>
      </c>
      <c r="P2323" s="2">
        <v>6</v>
      </c>
    </row>
    <row r="2324" s="2" customFormat="1" spans="1:16">
      <c r="A2324" s="8"/>
      <c r="B2324" s="9" t="s">
        <v>3571</v>
      </c>
      <c r="C2324" s="10" t="s">
        <v>412</v>
      </c>
      <c r="D2324" s="11">
        <v>1</v>
      </c>
      <c r="E2324" s="12">
        <v>450</v>
      </c>
      <c r="F2324" s="13">
        <v>450</v>
      </c>
      <c r="G2324" s="2">
        <f>VLOOKUP(B2324,'PO with created By ASR'!A:C,3,FALSE)</f>
        <v>45707</v>
      </c>
      <c r="J2324" s="2" t="str">
        <f>VLOOKUP(B2324,'PO with created By ASR'!A:G,4,FALSE)</f>
        <v>Suresh Pardhle  -CR</v>
      </c>
      <c r="K2324" s="2" t="e">
        <f>VLOOKUP(B2324,'PO with created By ASR'!A:I,6,FALSE)</f>
        <v>#N/A</v>
      </c>
      <c r="L2324" s="2" t="str">
        <f>VLOOKUP(B2324,'PO with created By ASR'!A:J,7,FALSE)</f>
        <v>A - Mumbai</v>
      </c>
      <c r="M2324" s="2" t="str">
        <f>VLOOKUP(B2324,'PO with created By ASR'!A:K,8,FALSE)</f>
        <v>Purchase Order-Mum</v>
      </c>
      <c r="N2324" t="s">
        <v>36</v>
      </c>
      <c r="P2324" s="2">
        <v>6</v>
      </c>
    </row>
    <row r="2325" s="2" customFormat="1" spans="1:16">
      <c r="A2325" s="8"/>
      <c r="B2325" s="9" t="s">
        <v>3571</v>
      </c>
      <c r="C2325" s="10" t="s">
        <v>317</v>
      </c>
      <c r="D2325" s="11">
        <v>1</v>
      </c>
      <c r="E2325" s="12">
        <v>260</v>
      </c>
      <c r="F2325" s="13">
        <v>260</v>
      </c>
      <c r="G2325" s="2">
        <f>VLOOKUP(B2325,'PO with created By ASR'!A:C,3,FALSE)</f>
        <v>45707</v>
      </c>
      <c r="J2325" s="2" t="str">
        <f>VLOOKUP(B2325,'PO with created By ASR'!A:G,4,FALSE)</f>
        <v>Suresh Pardhle  -CR</v>
      </c>
      <c r="K2325" s="2" t="e">
        <f>VLOOKUP(B2325,'PO with created By ASR'!A:I,6,FALSE)</f>
        <v>#N/A</v>
      </c>
      <c r="L2325" s="2" t="str">
        <f>VLOOKUP(B2325,'PO with created By ASR'!A:J,7,FALSE)</f>
        <v>A - Mumbai</v>
      </c>
      <c r="M2325" s="2" t="str">
        <f>VLOOKUP(B2325,'PO with created By ASR'!A:K,8,FALSE)</f>
        <v>Purchase Order-Mum</v>
      </c>
      <c r="N2325" t="s">
        <v>36</v>
      </c>
      <c r="P2325" s="2">
        <v>6</v>
      </c>
    </row>
    <row r="2326" s="2" customFormat="1" spans="1:16">
      <c r="A2326" s="8"/>
      <c r="B2326" s="9" t="s">
        <v>3572</v>
      </c>
      <c r="C2326" s="10" t="s">
        <v>126</v>
      </c>
      <c r="D2326" s="11">
        <v>1</v>
      </c>
      <c r="E2326" s="12">
        <v>3536.51</v>
      </c>
      <c r="F2326" s="13">
        <v>3536.51</v>
      </c>
      <c r="G2326" s="2">
        <f>VLOOKUP(B2326,'PO with created By ASR'!A:C,3,FALSE)</f>
        <v>45707</v>
      </c>
      <c r="J2326" s="2" t="str">
        <f>VLOOKUP(B2326,'PO with created By ASR'!A:G,4,FALSE)</f>
        <v>Aftab Shaikh  -CR</v>
      </c>
      <c r="K2326" s="2" t="e">
        <f>VLOOKUP(B2326,'PO with created By ASR'!A:I,6,FALSE)</f>
        <v>#N/A</v>
      </c>
      <c r="L2326" s="2" t="str">
        <f>VLOOKUP(B2326,'PO with created By ASR'!A:J,7,FALSE)</f>
        <v>A - Mumbai</v>
      </c>
      <c r="M2326" s="2" t="str">
        <f>VLOOKUP(B2326,'PO with created By ASR'!A:K,8,FALSE)</f>
        <v>Purchase Order-Mum</v>
      </c>
      <c r="N2326" t="s">
        <v>36</v>
      </c>
      <c r="P2326" s="2">
        <v>6</v>
      </c>
    </row>
    <row r="2327" s="2" customFormat="1" spans="1:16">
      <c r="A2327" s="8"/>
      <c r="B2327" s="9" t="s">
        <v>3572</v>
      </c>
      <c r="C2327" s="10" t="s">
        <v>412</v>
      </c>
      <c r="D2327" s="11">
        <v>1</v>
      </c>
      <c r="E2327" s="12">
        <v>11032.21</v>
      </c>
      <c r="F2327" s="13">
        <v>11032.21</v>
      </c>
      <c r="G2327" s="2">
        <f>VLOOKUP(B2327,'PO with created By ASR'!A:C,3,FALSE)</f>
        <v>45707</v>
      </c>
      <c r="J2327" s="2" t="str">
        <f>VLOOKUP(B2327,'PO with created By ASR'!A:G,4,FALSE)</f>
        <v>Aftab Shaikh  -CR</v>
      </c>
      <c r="K2327" s="2" t="e">
        <f>VLOOKUP(B2327,'PO with created By ASR'!A:I,6,FALSE)</f>
        <v>#N/A</v>
      </c>
      <c r="L2327" s="2" t="str">
        <f>VLOOKUP(B2327,'PO with created By ASR'!A:J,7,FALSE)</f>
        <v>A - Mumbai</v>
      </c>
      <c r="M2327" s="2" t="str">
        <f>VLOOKUP(B2327,'PO with created By ASR'!A:K,8,FALSE)</f>
        <v>Purchase Order-Mum</v>
      </c>
      <c r="N2327" t="s">
        <v>36</v>
      </c>
      <c r="P2327" s="2">
        <v>6</v>
      </c>
    </row>
    <row r="2328" s="2" customFormat="1" spans="1:16">
      <c r="A2328" s="8"/>
      <c r="B2328" s="9" t="s">
        <v>3573</v>
      </c>
      <c r="C2328" s="10" t="s">
        <v>317</v>
      </c>
      <c r="D2328" s="11">
        <v>1</v>
      </c>
      <c r="E2328" s="12">
        <v>452.57</v>
      </c>
      <c r="F2328" s="13">
        <v>452.57</v>
      </c>
      <c r="G2328" s="2">
        <f>VLOOKUP(B2328,'PO with created By ASR'!A:C,3,FALSE)</f>
        <v>45707</v>
      </c>
      <c r="J2328" s="2" t="str">
        <f>VLOOKUP(B2328,'PO with created By ASR'!A:G,4,FALSE)</f>
        <v>Aalhad Bavkar  -CR</v>
      </c>
      <c r="K2328" s="2" t="e">
        <f>VLOOKUP(B2328,'PO with created By ASR'!A:I,6,FALSE)</f>
        <v>#N/A</v>
      </c>
      <c r="L2328" s="2" t="str">
        <f>VLOOKUP(B2328,'PO with created By ASR'!A:J,7,FALSE)</f>
        <v>A - Mumbai</v>
      </c>
      <c r="M2328" s="2" t="str">
        <f>VLOOKUP(B2328,'PO with created By ASR'!A:K,8,FALSE)</f>
        <v>Purchase Order-Mum</v>
      </c>
      <c r="N2328" t="s">
        <v>36</v>
      </c>
      <c r="P2328" s="2">
        <v>6</v>
      </c>
    </row>
    <row r="2329" s="2" customFormat="1" spans="1:16">
      <c r="A2329" s="8"/>
      <c r="B2329" s="9" t="s">
        <v>3575</v>
      </c>
      <c r="C2329" s="10" t="s">
        <v>126</v>
      </c>
      <c r="D2329" s="11">
        <v>1</v>
      </c>
      <c r="E2329" s="12">
        <v>265</v>
      </c>
      <c r="F2329" s="13">
        <v>265</v>
      </c>
      <c r="G2329" s="2">
        <f>VLOOKUP(B2329,'PO with created By ASR'!A:C,3,FALSE)</f>
        <v>45707</v>
      </c>
      <c r="J2329" s="2" t="str">
        <f>VLOOKUP(B2329,'PO with created By ASR'!A:G,4,FALSE)</f>
        <v>Sarfaraz Memon -CR</v>
      </c>
      <c r="K2329" s="2" t="e">
        <f>VLOOKUP(B2329,'PO with created By ASR'!A:I,6,FALSE)</f>
        <v>#N/A</v>
      </c>
      <c r="L2329" s="2" t="str">
        <f>VLOOKUP(B2329,'PO with created By ASR'!A:J,7,FALSE)</f>
        <v>A - Mumbai</v>
      </c>
      <c r="M2329" s="2" t="str">
        <f>VLOOKUP(B2329,'PO with created By ASR'!A:K,8,FALSE)</f>
        <v>Purchase Order-Mum</v>
      </c>
      <c r="N2329" t="s">
        <v>36</v>
      </c>
      <c r="P2329" s="2">
        <v>6</v>
      </c>
    </row>
    <row r="2330" s="2" customFormat="1" spans="1:16">
      <c r="A2330" s="8"/>
      <c r="B2330" s="9" t="s">
        <v>3576</v>
      </c>
      <c r="C2330" s="10" t="s">
        <v>233</v>
      </c>
      <c r="D2330" s="11">
        <v>1</v>
      </c>
      <c r="E2330" s="12">
        <v>336939</v>
      </c>
      <c r="F2330" s="13">
        <v>336939</v>
      </c>
      <c r="G2330" s="2">
        <f>VLOOKUP(B2330,'PO with created By ASR'!A:C,3,FALSE)</f>
        <v>45707</v>
      </c>
      <c r="J2330" s="2" t="str">
        <f>VLOOKUP(B2330,'PO with created By ASR'!A:G,4,FALSE)</f>
        <v>4Brains Technologies Pvt Ltd-Mum</v>
      </c>
      <c r="K2330" s="2" t="str">
        <f>VLOOKUP(B2330,'PO with created By ASR'!A:I,6,FALSE)</f>
        <v>11618  4Brains Technologies Pvt Ltd</v>
      </c>
      <c r="L2330" s="2" t="str">
        <f>VLOOKUP(B2330,'PO with created By ASR'!A:J,7,FALSE)</f>
        <v>A - Mumbai</v>
      </c>
      <c r="M2330" s="2" t="str">
        <f>VLOOKUP(B2330,'PO with created By ASR'!A:K,8,FALSE)</f>
        <v>Purchase Order-Mum</v>
      </c>
      <c r="N2330" t="s">
        <v>36</v>
      </c>
      <c r="P2330" s="2">
        <v>6</v>
      </c>
    </row>
    <row r="2331" s="2" customFormat="1" spans="1:16">
      <c r="A2331" s="8"/>
      <c r="B2331" s="9" t="s">
        <v>3577</v>
      </c>
      <c r="C2331" s="10" t="s">
        <v>151</v>
      </c>
      <c r="D2331" s="11">
        <v>1</v>
      </c>
      <c r="E2331" s="12">
        <v>142350</v>
      </c>
      <c r="F2331" s="13">
        <v>142350</v>
      </c>
      <c r="G2331" s="2">
        <f>VLOOKUP(B2331,'PO with created By ASR'!A:C,3,FALSE)</f>
        <v>45707</v>
      </c>
      <c r="J2331" s="2" t="str">
        <f>VLOOKUP(B2331,'PO with created By ASR'!A:G,4,FALSE)</f>
        <v>Pyramid Production-Mum</v>
      </c>
      <c r="K2331" s="2" t="str">
        <f>VLOOKUP(B2331,'PO with created By ASR'!A:I,6,FALSE)</f>
        <v>12299 Pyramid Production</v>
      </c>
      <c r="L2331" s="2" t="str">
        <f>VLOOKUP(B2331,'PO with created By ASR'!A:J,7,FALSE)</f>
        <v>A - Mumbai</v>
      </c>
      <c r="M2331" s="2" t="str">
        <f>VLOOKUP(B2331,'PO with created By ASR'!A:K,8,FALSE)</f>
        <v>Purchase Order-Mum</v>
      </c>
      <c r="N2331" t="s">
        <v>36</v>
      </c>
      <c r="P2331" s="2">
        <v>6</v>
      </c>
    </row>
    <row r="2332" s="2" customFormat="1" spans="1:16">
      <c r="A2332" s="8"/>
      <c r="B2332" s="9" t="s">
        <v>3579</v>
      </c>
      <c r="C2332" s="10" t="s">
        <v>371</v>
      </c>
      <c r="D2332" s="11">
        <v>1</v>
      </c>
      <c r="E2332" s="12">
        <v>56500</v>
      </c>
      <c r="F2332" s="13">
        <v>56500</v>
      </c>
      <c r="G2332" s="2">
        <f>VLOOKUP(B2332,'PO with created By ASR'!A:C,3,FALSE)</f>
        <v>45707</v>
      </c>
      <c r="J2332" s="2" t="str">
        <f>VLOOKUP(B2332,'PO with created By ASR'!A:G,4,FALSE)</f>
        <v>Om Audio Visual India-Niral Mehul Mehta-Mum</v>
      </c>
      <c r="K2332" s="2" t="e">
        <f>VLOOKUP(B2332,'PO with created By ASR'!A:I,6,FALSE)</f>
        <v>#N/A</v>
      </c>
      <c r="L2332" s="2" t="str">
        <f>VLOOKUP(B2332,'PO with created By ASR'!A:J,7,FALSE)</f>
        <v>A - Mumbai</v>
      </c>
      <c r="M2332" s="2" t="str">
        <f>VLOOKUP(B2332,'PO with created By ASR'!A:K,8,FALSE)</f>
        <v>Purchase Order-Mum</v>
      </c>
      <c r="N2332" t="s">
        <v>36</v>
      </c>
      <c r="P2332" s="2">
        <v>6</v>
      </c>
    </row>
    <row r="2333" s="2" customFormat="1" spans="1:16">
      <c r="A2333" s="8"/>
      <c r="B2333" s="9" t="s">
        <v>3581</v>
      </c>
      <c r="C2333" s="10" t="s">
        <v>151</v>
      </c>
      <c r="D2333" s="11">
        <v>1</v>
      </c>
      <c r="E2333" s="12">
        <v>13000</v>
      </c>
      <c r="F2333" s="13">
        <v>13000</v>
      </c>
      <c r="G2333" s="2">
        <f>VLOOKUP(B2333,'PO with created By ASR'!A:C,3,FALSE)</f>
        <v>45707</v>
      </c>
      <c r="J2333" s="2" t="str">
        <f>VLOOKUP(B2333,'PO with created By ASR'!A:G,4,FALSE)</f>
        <v>KVS Rostam Hires-Mum</v>
      </c>
      <c r="K2333" s="2" t="str">
        <f>VLOOKUP(B2333,'PO with created By ASR'!A:I,6,FALSE)</f>
        <v>12088 KVS Rostam Hires</v>
      </c>
      <c r="L2333" s="2" t="str">
        <f>VLOOKUP(B2333,'PO with created By ASR'!A:J,7,FALSE)</f>
        <v>A - Mumbai</v>
      </c>
      <c r="M2333" s="2" t="str">
        <f>VLOOKUP(B2333,'PO with created By ASR'!A:K,8,FALSE)</f>
        <v>Purchase Order-Mum</v>
      </c>
      <c r="N2333" t="s">
        <v>36</v>
      </c>
      <c r="P2333" s="2">
        <v>6</v>
      </c>
    </row>
    <row r="2334" s="2" customFormat="1" spans="1:16">
      <c r="A2334" s="8"/>
      <c r="B2334" s="9" t="s">
        <v>3582</v>
      </c>
      <c r="C2334" s="10" t="s">
        <v>371</v>
      </c>
      <c r="D2334" s="11">
        <v>1</v>
      </c>
      <c r="E2334" s="12">
        <v>73000</v>
      </c>
      <c r="F2334" s="13">
        <v>73000</v>
      </c>
      <c r="G2334" s="2">
        <f>VLOOKUP(B2334,'PO with created By ASR'!A:C,3,FALSE)</f>
        <v>45707</v>
      </c>
      <c r="J2334" s="2" t="str">
        <f>VLOOKUP(B2334,'PO with created By ASR'!A:G,4,FALSE)</f>
        <v>Sound Decisions.Com-Mum</v>
      </c>
      <c r="K2334" s="2" t="str">
        <f>VLOOKUP(B2334,'PO with created By ASR'!A:I,6,FALSE)</f>
        <v>11133 Sound Decisions.Com</v>
      </c>
      <c r="L2334" s="2" t="str">
        <f>VLOOKUP(B2334,'PO with created By ASR'!A:J,7,FALSE)</f>
        <v>A - Mumbai</v>
      </c>
      <c r="M2334" s="2" t="str">
        <f>VLOOKUP(B2334,'PO with created By ASR'!A:K,8,FALSE)</f>
        <v>Purchase Order-Mum</v>
      </c>
      <c r="N2334" t="s">
        <v>36</v>
      </c>
      <c r="P2334" s="2">
        <v>6</v>
      </c>
    </row>
    <row r="2335" s="2" customFormat="1" spans="1:16">
      <c r="A2335" s="8"/>
      <c r="B2335" s="9" t="s">
        <v>3583</v>
      </c>
      <c r="C2335" s="10" t="s">
        <v>371</v>
      </c>
      <c r="D2335" s="11">
        <v>1</v>
      </c>
      <c r="E2335" s="12">
        <v>5800</v>
      </c>
      <c r="F2335" s="13">
        <v>5800</v>
      </c>
      <c r="G2335" s="2">
        <f>VLOOKUP(B2335,'PO with created By ASR'!A:C,3,FALSE)</f>
        <v>45707</v>
      </c>
      <c r="J2335" s="2" t="str">
        <f>VLOOKUP(B2335,'PO with created By ASR'!A:G,4,FALSE)</f>
        <v>Oriana Communications-Mum</v>
      </c>
      <c r="K2335" s="2" t="str">
        <f>VLOOKUP(B2335,'PO with created By ASR'!A:I,6,FALSE)</f>
        <v>11121 Oriana Communications</v>
      </c>
      <c r="L2335" s="2" t="str">
        <f>VLOOKUP(B2335,'PO with created By ASR'!A:J,7,FALSE)</f>
        <v>A - Mumbai</v>
      </c>
      <c r="M2335" s="2" t="str">
        <f>VLOOKUP(B2335,'PO with created By ASR'!A:K,8,FALSE)</f>
        <v>Purchase Order-Mum</v>
      </c>
      <c r="N2335" t="s">
        <v>36</v>
      </c>
      <c r="P2335" s="2">
        <v>6</v>
      </c>
    </row>
    <row r="2336" s="2" customFormat="1" spans="1:16">
      <c r="A2336" s="8"/>
      <c r="B2336" s="9" t="s">
        <v>3584</v>
      </c>
      <c r="C2336" s="10" t="s">
        <v>371</v>
      </c>
      <c r="D2336" s="11">
        <v>1</v>
      </c>
      <c r="E2336" s="12">
        <v>85000</v>
      </c>
      <c r="F2336" s="13">
        <v>85000</v>
      </c>
      <c r="G2336" s="2">
        <f>VLOOKUP(B2336,'PO with created By ASR'!A:C,3,FALSE)</f>
        <v>45707</v>
      </c>
      <c r="J2336" s="2" t="str">
        <f>VLOOKUP(B2336,'PO with created By ASR'!A:G,4,FALSE)</f>
        <v>Shiv Shakti Enterprises-Mum</v>
      </c>
      <c r="K2336" s="2" t="str">
        <f>VLOOKUP(B2336,'PO with created By ASR'!A:I,6,FALSE)</f>
        <v>11130 Shiv Shakti Enterprises</v>
      </c>
      <c r="L2336" s="2" t="str">
        <f>VLOOKUP(B2336,'PO with created By ASR'!A:J,7,FALSE)</f>
        <v>A - Mumbai</v>
      </c>
      <c r="M2336" s="2" t="str">
        <f>VLOOKUP(B2336,'PO with created By ASR'!A:K,8,FALSE)</f>
        <v>Purchase Order-Mum</v>
      </c>
      <c r="N2336" t="s">
        <v>36</v>
      </c>
      <c r="P2336" s="2">
        <v>6</v>
      </c>
    </row>
    <row r="2337" s="2" customFormat="1" spans="1:16">
      <c r="A2337" s="8"/>
      <c r="B2337" s="9" t="s">
        <v>3585</v>
      </c>
      <c r="C2337" s="10" t="s">
        <v>151</v>
      </c>
      <c r="D2337" s="11">
        <v>1</v>
      </c>
      <c r="E2337" s="12">
        <v>5800</v>
      </c>
      <c r="F2337" s="13">
        <v>5800</v>
      </c>
      <c r="G2337" s="2">
        <f>VLOOKUP(B2337,'PO with created By ASR'!A:C,3,FALSE)</f>
        <v>45707</v>
      </c>
      <c r="J2337" s="2" t="str">
        <f>VLOOKUP(B2337,'PO with created By ASR'!A:G,4,FALSE)</f>
        <v>A A Fur1044835 Neetu Prakash Poojaryre(Abbas Abdul Hussain Ujjainwala)-Mum</v>
      </c>
      <c r="K2337" s="2" t="str">
        <f>VLOOKUP(B2337,'PO with created By ASR'!A:I,6,FALSE)</f>
        <v>11018 A A Fur1044835 Neetu Prakash Poojaryre (Abbas Abdul Hussain Ujjainwala)</v>
      </c>
      <c r="L2337" s="2" t="str">
        <f>VLOOKUP(B2337,'PO with created By ASR'!A:J,7,FALSE)</f>
        <v>A - Mumbai</v>
      </c>
      <c r="M2337" s="2" t="str">
        <f>VLOOKUP(B2337,'PO with created By ASR'!A:K,8,FALSE)</f>
        <v>Purchase Order-Mum</v>
      </c>
      <c r="N2337" t="s">
        <v>36</v>
      </c>
      <c r="P2337" s="2">
        <v>6</v>
      </c>
    </row>
    <row r="2338" s="2" customFormat="1" spans="1:16">
      <c r="A2338" s="8"/>
      <c r="B2338" s="9" t="s">
        <v>3586</v>
      </c>
      <c r="C2338" s="10" t="s">
        <v>151</v>
      </c>
      <c r="D2338" s="11">
        <v>1</v>
      </c>
      <c r="E2338" s="12">
        <v>12000</v>
      </c>
      <c r="F2338" s="13">
        <v>12000</v>
      </c>
      <c r="G2338" s="2">
        <f>VLOOKUP(B2338,'PO with created By ASR'!A:C,3,FALSE)</f>
        <v>45707</v>
      </c>
      <c r="J2338" s="2" t="str">
        <f>VLOOKUP(B2338,'PO with created By ASR'!A:G,4,FALSE)</f>
        <v>Om Screen Art Events-Mum</v>
      </c>
      <c r="K2338" s="2" t="str">
        <f>VLOOKUP(B2338,'PO with created By ASR'!A:I,6,FALSE)</f>
        <v>12222 Om Screen Art Events</v>
      </c>
      <c r="L2338" s="2" t="str">
        <f>VLOOKUP(B2338,'PO with created By ASR'!A:J,7,FALSE)</f>
        <v>A - Mumbai</v>
      </c>
      <c r="M2338" s="2" t="str">
        <f>VLOOKUP(B2338,'PO with created By ASR'!A:K,8,FALSE)</f>
        <v>Purchase Order-Mum</v>
      </c>
      <c r="N2338" t="s">
        <v>36</v>
      </c>
      <c r="P2338" s="2">
        <v>6</v>
      </c>
    </row>
    <row r="2339" s="2" customFormat="1" spans="1:16">
      <c r="A2339" s="8"/>
      <c r="B2339" s="9" t="s">
        <v>3587</v>
      </c>
      <c r="C2339" s="10" t="s">
        <v>371</v>
      </c>
      <c r="D2339" s="11">
        <v>1</v>
      </c>
      <c r="E2339" s="12">
        <v>35000</v>
      </c>
      <c r="F2339" s="13">
        <v>35000</v>
      </c>
      <c r="G2339" s="2">
        <f>VLOOKUP(B2339,'PO with created By ASR'!A:C,3,FALSE)</f>
        <v>45707</v>
      </c>
      <c r="J2339" s="2" t="str">
        <f>VLOOKUP(B2339,'PO with created By ASR'!A:G,4,FALSE)</f>
        <v>Pravin Entertainment-Mum</v>
      </c>
      <c r="K2339" s="2" t="str">
        <f>VLOOKUP(B2339,'PO with created By ASR'!A:I,6,FALSE)</f>
        <v>11125 Pravin Entertainment</v>
      </c>
      <c r="L2339" s="2" t="str">
        <f>VLOOKUP(B2339,'PO with created By ASR'!A:J,7,FALSE)</f>
        <v>A - Mumbai</v>
      </c>
      <c r="M2339" s="2" t="str">
        <f>VLOOKUP(B2339,'PO with created By ASR'!A:K,8,FALSE)</f>
        <v>Purchase Order-Mum</v>
      </c>
      <c r="N2339" t="s">
        <v>36</v>
      </c>
      <c r="P2339" s="2">
        <v>6</v>
      </c>
    </row>
    <row r="2340" s="2" customFormat="1" spans="1:16">
      <c r="A2340" s="8"/>
      <c r="B2340" s="9" t="s">
        <v>3590</v>
      </c>
      <c r="C2340" s="10" t="s">
        <v>140</v>
      </c>
      <c r="D2340" s="11">
        <v>1</v>
      </c>
      <c r="E2340" s="12">
        <v>672500</v>
      </c>
      <c r="F2340" s="13">
        <v>672500</v>
      </c>
      <c r="G2340" s="2">
        <f>VLOOKUP(B2340,'PO with created By ASR'!A:C,3,FALSE)</f>
        <v>45707</v>
      </c>
      <c r="J2340" s="2" t="str">
        <f>VLOOKUP(B2340,'PO with created By ASR'!A:G,4,FALSE)</f>
        <v>Nakul Sales Corporation-Mum</v>
      </c>
      <c r="K2340" s="2" t="str">
        <f>VLOOKUP(B2340,'PO with created By ASR'!A:I,6,FALSE)</f>
        <v>12967 Nakul Sales Corporation</v>
      </c>
      <c r="L2340" s="2" t="str">
        <f>VLOOKUP(B2340,'PO with created By ASR'!A:J,7,FALSE)</f>
        <v>A - Mumbai</v>
      </c>
      <c r="M2340" s="2" t="str">
        <f>VLOOKUP(B2340,'PO with created By ASR'!A:K,8,FALSE)</f>
        <v>Purchase Order-Mum</v>
      </c>
      <c r="N2340" t="s">
        <v>36</v>
      </c>
      <c r="P2340" s="2">
        <v>6</v>
      </c>
    </row>
    <row r="2341" s="2" customFormat="1" spans="1:16">
      <c r="A2341" s="8"/>
      <c r="B2341" s="9" t="s">
        <v>3593</v>
      </c>
      <c r="C2341" s="10" t="s">
        <v>140</v>
      </c>
      <c r="D2341" s="11">
        <v>1</v>
      </c>
      <c r="E2341" s="12">
        <v>87300</v>
      </c>
      <c r="F2341" s="13">
        <v>87300</v>
      </c>
      <c r="G2341" s="2">
        <f>VLOOKUP(B2341,'PO with created By ASR'!A:C,3,FALSE)</f>
        <v>45707</v>
      </c>
      <c r="J2341" s="2" t="str">
        <f>VLOOKUP(B2341,'PO with created By ASR'!A:G,4,FALSE)</f>
        <v>V Touch Business Solution-Mum</v>
      </c>
      <c r="K2341" s="2" t="str">
        <f>VLOOKUP(B2341,'PO with created By ASR'!A:I,6,FALSE)</f>
        <v>12980 V Touch Business Solution</v>
      </c>
      <c r="L2341" s="2" t="str">
        <f>VLOOKUP(B2341,'PO with created By ASR'!A:J,7,FALSE)</f>
        <v>A - Mumbai</v>
      </c>
      <c r="M2341" s="2" t="str">
        <f>VLOOKUP(B2341,'PO with created By ASR'!A:K,8,FALSE)</f>
        <v>Purchase Order-Mum</v>
      </c>
      <c r="N2341" t="s">
        <v>36</v>
      </c>
      <c r="P2341" s="2">
        <v>6</v>
      </c>
    </row>
    <row r="2342" s="2" customFormat="1" spans="1:16">
      <c r="A2342" s="8"/>
      <c r="B2342" s="9" t="s">
        <v>3594</v>
      </c>
      <c r="C2342" s="10" t="s">
        <v>371</v>
      </c>
      <c r="D2342" s="11">
        <v>1</v>
      </c>
      <c r="E2342" s="12">
        <v>25000</v>
      </c>
      <c r="F2342" s="13">
        <v>25000</v>
      </c>
      <c r="G2342" s="2">
        <f>VLOOKUP(B2342,'PO with created By ASR'!A:C,3,FALSE)</f>
        <v>45707</v>
      </c>
      <c r="J2342" s="2" t="str">
        <f>VLOOKUP(B2342,'PO with created By ASR'!A:G,4,FALSE)</f>
        <v>S T Sound System-Mum</v>
      </c>
      <c r="K2342" s="2" t="str">
        <f>VLOOKUP(B2342,'PO with created By ASR'!A:I,6,FALSE)</f>
        <v>11137 S T Sound System</v>
      </c>
      <c r="L2342" s="2" t="str">
        <f>VLOOKUP(B2342,'PO with created By ASR'!A:J,7,FALSE)</f>
        <v>A - Mumbai</v>
      </c>
      <c r="M2342" s="2" t="str">
        <f>VLOOKUP(B2342,'PO with created By ASR'!A:K,8,FALSE)</f>
        <v>Purchase Order-Mum</v>
      </c>
      <c r="N2342" t="s">
        <v>36</v>
      </c>
      <c r="P2342" s="2">
        <v>6</v>
      </c>
    </row>
    <row r="2343" s="2" customFormat="1" spans="1:16">
      <c r="A2343" s="8"/>
      <c r="B2343" s="9" t="s">
        <v>3596</v>
      </c>
      <c r="C2343" s="10" t="s">
        <v>401</v>
      </c>
      <c r="D2343" s="11">
        <v>1</v>
      </c>
      <c r="E2343" s="12">
        <v>6000</v>
      </c>
      <c r="F2343" s="13">
        <v>6000</v>
      </c>
      <c r="G2343" s="2">
        <f>VLOOKUP(B2343,'PO with created By ASR'!A:C,3,FALSE)</f>
        <v>45707</v>
      </c>
      <c r="J2343" s="2" t="str">
        <f>VLOOKUP(B2343,'PO with created By ASR'!A:G,4,FALSE)</f>
        <v>Vinit Video Vision-Mum</v>
      </c>
      <c r="K2343" s="2" t="str">
        <f>VLOOKUP(B2343,'PO with created By ASR'!A:I,6,FALSE)</f>
        <v>10235 Vinit Video Vision</v>
      </c>
      <c r="L2343" s="2" t="str">
        <f>VLOOKUP(B2343,'PO with created By ASR'!A:J,7,FALSE)</f>
        <v>A - Mumbai</v>
      </c>
      <c r="M2343" s="2" t="str">
        <f>VLOOKUP(B2343,'PO with created By ASR'!A:K,8,FALSE)</f>
        <v>Purchase Order-Mum</v>
      </c>
      <c r="N2343" t="s">
        <v>36</v>
      </c>
      <c r="P2343" s="2">
        <v>6</v>
      </c>
    </row>
    <row r="2344" s="2" customFormat="1" spans="1:16">
      <c r="A2344" s="8"/>
      <c r="B2344" s="9" t="s">
        <v>3597</v>
      </c>
      <c r="C2344" s="10" t="s">
        <v>371</v>
      </c>
      <c r="D2344" s="11">
        <v>1</v>
      </c>
      <c r="E2344" s="12">
        <v>6500</v>
      </c>
      <c r="F2344" s="13">
        <v>6500</v>
      </c>
      <c r="G2344" s="2">
        <f>VLOOKUP(B2344,'PO with created By ASR'!A:C,3,FALSE)</f>
        <v>45707</v>
      </c>
      <c r="J2344" s="2" t="str">
        <f>VLOOKUP(B2344,'PO with created By ASR'!A:G,4,FALSE)</f>
        <v>Bizzaro Event-Mum</v>
      </c>
      <c r="K2344" s="2" t="str">
        <f>VLOOKUP(B2344,'PO with created By ASR'!A:I,6,FALSE)</f>
        <v>11733 Bizzaro Event</v>
      </c>
      <c r="L2344" s="2" t="str">
        <f>VLOOKUP(B2344,'PO with created By ASR'!A:J,7,FALSE)</f>
        <v>A - Mumbai</v>
      </c>
      <c r="M2344" s="2" t="str">
        <f>VLOOKUP(B2344,'PO with created By ASR'!A:K,8,FALSE)</f>
        <v>Purchase Order-Mum</v>
      </c>
      <c r="N2344" t="s">
        <v>36</v>
      </c>
      <c r="P2344" s="2">
        <v>6</v>
      </c>
    </row>
    <row r="2345" s="2" customFormat="1" spans="1:16">
      <c r="A2345" s="8"/>
      <c r="B2345" s="9" t="s">
        <v>3598</v>
      </c>
      <c r="C2345" s="10" t="s">
        <v>371</v>
      </c>
      <c r="D2345" s="11">
        <v>1</v>
      </c>
      <c r="E2345" s="12">
        <v>40000</v>
      </c>
      <c r="F2345" s="13">
        <v>40000</v>
      </c>
      <c r="G2345" s="2">
        <f>VLOOKUP(B2345,'PO with created By ASR'!A:C,3,FALSE)</f>
        <v>45707</v>
      </c>
      <c r="J2345" s="2" t="str">
        <f>VLOOKUP(B2345,'PO with created By ASR'!A:G,4,FALSE)</f>
        <v>Sudesh Patankar-Mum</v>
      </c>
      <c r="K2345" s="2" t="str">
        <f>VLOOKUP(B2345,'PO with created By ASR'!A:I,6,FALSE)</f>
        <v>10941 Sudesh Patankar</v>
      </c>
      <c r="L2345" s="2" t="str">
        <f>VLOOKUP(B2345,'PO with created By ASR'!A:J,7,FALSE)</f>
        <v>A - Mumbai</v>
      </c>
      <c r="M2345" s="2" t="str">
        <f>VLOOKUP(B2345,'PO with created By ASR'!A:K,8,FALSE)</f>
        <v>Purchase Order-Mum</v>
      </c>
      <c r="N2345" t="s">
        <v>36</v>
      </c>
      <c r="P2345" s="2">
        <v>6</v>
      </c>
    </row>
    <row r="2346" s="2" customFormat="1" spans="1:16">
      <c r="A2346" s="8"/>
      <c r="B2346" s="9" t="s">
        <v>3599</v>
      </c>
      <c r="C2346" s="10" t="s">
        <v>151</v>
      </c>
      <c r="D2346" s="11">
        <v>1</v>
      </c>
      <c r="E2346" s="12">
        <v>27500</v>
      </c>
      <c r="F2346" s="13">
        <v>27500</v>
      </c>
      <c r="G2346" s="2">
        <f>VLOOKUP(B2346,'PO with created By ASR'!A:C,3,FALSE)</f>
        <v>45707</v>
      </c>
      <c r="J2346" s="2" t="str">
        <f>VLOOKUP(B2346,'PO with created By ASR'!A:G,4,FALSE)</f>
        <v>Om Screen Art Events-Mum</v>
      </c>
      <c r="K2346" s="2" t="str">
        <f>VLOOKUP(B2346,'PO with created By ASR'!A:I,6,FALSE)</f>
        <v>12222 Om Screen Art Events</v>
      </c>
      <c r="L2346" s="2" t="str">
        <f>VLOOKUP(B2346,'PO with created By ASR'!A:J,7,FALSE)</f>
        <v>A - Mumbai</v>
      </c>
      <c r="M2346" s="2" t="str">
        <f>VLOOKUP(B2346,'PO with created By ASR'!A:K,8,FALSE)</f>
        <v>Purchase Order-Mum</v>
      </c>
      <c r="N2346" t="s">
        <v>36</v>
      </c>
      <c r="P2346" s="2">
        <v>6</v>
      </c>
    </row>
    <row r="2347" s="2" customFormat="1" spans="1:16">
      <c r="A2347" s="8"/>
      <c r="B2347" s="9" t="s">
        <v>3600</v>
      </c>
      <c r="C2347" s="10" t="s">
        <v>292</v>
      </c>
      <c r="D2347" s="11">
        <v>1</v>
      </c>
      <c r="E2347" s="12">
        <v>78000</v>
      </c>
      <c r="F2347" s="13">
        <v>78000</v>
      </c>
      <c r="G2347" s="2">
        <f>VLOOKUP(B2347,'PO with created By ASR'!A:C,3,FALSE)</f>
        <v>45707</v>
      </c>
      <c r="J2347" s="2" t="str">
        <f>VLOOKUP(B2347,'PO with created By ASR'!A:G,4,FALSE)</f>
        <v>Emblaze Events (Sunita Harihar Sharma)-Mum</v>
      </c>
      <c r="K2347" s="2" t="str">
        <f>VLOOKUP(B2347,'PO with created By ASR'!A:I,6,FALSE)</f>
        <v>11869 Emblaze Events (Sunita Harihar Sharma)</v>
      </c>
      <c r="L2347" s="2" t="str">
        <f>VLOOKUP(B2347,'PO with created By ASR'!A:J,7,FALSE)</f>
        <v>A - Mumbai</v>
      </c>
      <c r="M2347" s="2" t="str">
        <f>VLOOKUP(B2347,'PO with created By ASR'!A:K,8,FALSE)</f>
        <v>Purchase Order-Mum</v>
      </c>
      <c r="N2347" t="s">
        <v>36</v>
      </c>
      <c r="P2347" s="2">
        <v>6</v>
      </c>
    </row>
    <row r="2348" s="2" customFormat="1" spans="1:16">
      <c r="A2348" s="8"/>
      <c r="B2348" s="9" t="s">
        <v>3602</v>
      </c>
      <c r="C2348" s="10" t="s">
        <v>317</v>
      </c>
      <c r="D2348" s="11">
        <v>1</v>
      </c>
      <c r="E2348" s="12">
        <v>23160</v>
      </c>
      <c r="F2348" s="13">
        <v>23160</v>
      </c>
      <c r="G2348" s="2">
        <f>VLOOKUP(B2348,'PO with created By ASR'!A:C,3,FALSE)</f>
        <v>45707</v>
      </c>
      <c r="J2348" s="2" t="str">
        <f>VLOOKUP(B2348,'PO with created By ASR'!A:G,4,FALSE)</f>
        <v>Hanshraj Enterprise-Mum</v>
      </c>
      <c r="K2348" s="2" t="str">
        <f>VLOOKUP(B2348,'PO with created By ASR'!A:I,6,FALSE)</f>
        <v>12962 Hanshraj Enterprise</v>
      </c>
      <c r="L2348" s="2" t="str">
        <f>VLOOKUP(B2348,'PO with created By ASR'!A:J,7,FALSE)</f>
        <v>A - Mumbai</v>
      </c>
      <c r="M2348" s="2" t="str">
        <f>VLOOKUP(B2348,'PO with created By ASR'!A:K,8,FALSE)</f>
        <v>Purchase Order-Mum</v>
      </c>
      <c r="N2348" t="s">
        <v>36</v>
      </c>
      <c r="P2348" s="2">
        <v>6</v>
      </c>
    </row>
    <row r="2349" s="2" customFormat="1" spans="1:16">
      <c r="A2349" s="8"/>
      <c r="B2349" s="9" t="s">
        <v>3605</v>
      </c>
      <c r="C2349" s="10" t="s">
        <v>292</v>
      </c>
      <c r="D2349" s="11">
        <v>1</v>
      </c>
      <c r="E2349" s="12">
        <v>12800</v>
      </c>
      <c r="F2349" s="13">
        <v>12800</v>
      </c>
      <c r="G2349" s="2">
        <f>VLOOKUP(B2349,'PO with created By ASR'!A:C,3,FALSE)</f>
        <v>45707</v>
      </c>
      <c r="J2349" s="2" t="str">
        <f>VLOOKUP(B2349,'PO with created By ASR'!A:G,4,FALSE)</f>
        <v>Emblaze Events (Sunita Harihar Sharma)-Mum</v>
      </c>
      <c r="K2349" s="2" t="str">
        <f>VLOOKUP(B2349,'PO with created By ASR'!A:I,6,FALSE)</f>
        <v>11869 Emblaze Events (Sunita Harihar Sharma)</v>
      </c>
      <c r="L2349" s="2" t="str">
        <f>VLOOKUP(B2349,'PO with created By ASR'!A:J,7,FALSE)</f>
        <v>A - Mumbai</v>
      </c>
      <c r="M2349" s="2" t="str">
        <f>VLOOKUP(B2349,'PO with created By ASR'!A:K,8,FALSE)</f>
        <v>Purchase Order-Mum</v>
      </c>
      <c r="N2349" t="s">
        <v>36</v>
      </c>
      <c r="P2349" s="2">
        <v>6</v>
      </c>
    </row>
    <row r="2350" s="2" customFormat="1" spans="1:16">
      <c r="A2350" s="8"/>
      <c r="B2350" s="9" t="s">
        <v>3606</v>
      </c>
      <c r="C2350" s="10" t="s">
        <v>196</v>
      </c>
      <c r="D2350" s="11">
        <v>1</v>
      </c>
      <c r="E2350" s="12">
        <v>28585</v>
      </c>
      <c r="F2350" s="13">
        <v>28585</v>
      </c>
      <c r="G2350" s="2">
        <f>VLOOKUP(B2350,'PO with created By ASR'!A:C,3,FALSE)</f>
        <v>45707</v>
      </c>
      <c r="J2350" s="2" t="str">
        <f>VLOOKUP(B2350,'PO with created By ASR'!A:G,4,FALSE)</f>
        <v>Digicraft-Mum</v>
      </c>
      <c r="K2350" s="2" t="e">
        <f>VLOOKUP(B2350,'PO with created By ASR'!A:I,6,FALSE)</f>
        <v>#N/A</v>
      </c>
      <c r="L2350" s="2" t="str">
        <f>VLOOKUP(B2350,'PO with created By ASR'!A:J,7,FALSE)</f>
        <v>A - Mumbai</v>
      </c>
      <c r="M2350" s="2" t="str">
        <f>VLOOKUP(B2350,'PO with created By ASR'!A:K,8,FALSE)</f>
        <v>Purchase Order-Mum</v>
      </c>
      <c r="N2350" t="s">
        <v>36</v>
      </c>
      <c r="P2350" s="2">
        <v>6</v>
      </c>
    </row>
    <row r="2351" s="2" customFormat="1" spans="1:16">
      <c r="A2351" s="8"/>
      <c r="B2351" s="9" t="s">
        <v>3607</v>
      </c>
      <c r="C2351" s="10" t="s">
        <v>151</v>
      </c>
      <c r="D2351" s="11">
        <v>1</v>
      </c>
      <c r="E2351" s="12">
        <v>5000</v>
      </c>
      <c r="F2351" s="13">
        <v>5000</v>
      </c>
      <c r="G2351" s="2">
        <f>VLOOKUP(B2351,'PO with created By ASR'!A:C,3,FALSE)</f>
        <v>45707</v>
      </c>
      <c r="J2351" s="2" t="str">
        <f>VLOOKUP(B2351,'PO with created By ASR'!A:G,4,FALSE)</f>
        <v>A A Fur1044835 Neetu Prakash Poojaryre(Abbas Abdul Hussain Ujjainwala)-Mum</v>
      </c>
      <c r="K2351" s="2" t="str">
        <f>VLOOKUP(B2351,'PO with created By ASR'!A:I,6,FALSE)</f>
        <v>11018 A A Fur1044835 Neetu Prakash Poojaryre (Abbas Abdul Hussain Ujjainwala)</v>
      </c>
      <c r="L2351" s="2" t="str">
        <f>VLOOKUP(B2351,'PO with created By ASR'!A:J,7,FALSE)</f>
        <v>A - Mumbai</v>
      </c>
      <c r="M2351" s="2" t="str">
        <f>VLOOKUP(B2351,'PO with created By ASR'!A:K,8,FALSE)</f>
        <v>Purchase Order-Mum</v>
      </c>
      <c r="N2351" t="s">
        <v>36</v>
      </c>
      <c r="P2351" s="2">
        <v>6</v>
      </c>
    </row>
    <row r="2352" s="2" customFormat="1" spans="1:16">
      <c r="A2352" s="8"/>
      <c r="B2352" s="9" t="s">
        <v>3608</v>
      </c>
      <c r="C2352" s="10" t="s">
        <v>151</v>
      </c>
      <c r="D2352" s="11">
        <v>1</v>
      </c>
      <c r="E2352" s="12">
        <v>550000</v>
      </c>
      <c r="F2352" s="13">
        <v>550000</v>
      </c>
      <c r="G2352" s="2">
        <f>VLOOKUP(B2352,'PO with created By ASR'!A:C,3,FALSE)</f>
        <v>45707</v>
      </c>
      <c r="J2352" s="2" t="str">
        <f>VLOOKUP(B2352,'PO with created By ASR'!A:G,4,FALSE)</f>
        <v>Fabrile Productions-Mum</v>
      </c>
      <c r="K2352" s="2" t="str">
        <f>VLOOKUP(B2352,'PO with created By ASR'!A:I,6,FALSE)</f>
        <v>11909 Fabrile Productions</v>
      </c>
      <c r="L2352" s="2" t="str">
        <f>VLOOKUP(B2352,'PO with created By ASR'!A:J,7,FALSE)</f>
        <v>A - Mumbai</v>
      </c>
      <c r="M2352" s="2" t="str">
        <f>VLOOKUP(B2352,'PO with created By ASR'!A:K,8,FALSE)</f>
        <v>Purchase Order-Mum</v>
      </c>
      <c r="N2352" t="s">
        <v>36</v>
      </c>
      <c r="P2352" s="2">
        <v>6</v>
      </c>
    </row>
    <row r="2353" s="2" customFormat="1" spans="1:16">
      <c r="A2353" s="8"/>
      <c r="B2353" s="9" t="s">
        <v>3609</v>
      </c>
      <c r="C2353" s="10" t="s">
        <v>292</v>
      </c>
      <c r="D2353" s="11">
        <v>1</v>
      </c>
      <c r="E2353" s="12">
        <v>98400</v>
      </c>
      <c r="F2353" s="13">
        <v>98400</v>
      </c>
      <c r="G2353" s="2">
        <f>VLOOKUP(B2353,'PO with created By ASR'!A:C,3,FALSE)</f>
        <v>45707</v>
      </c>
      <c r="J2353" s="2" t="str">
        <f>VLOOKUP(B2353,'PO with created By ASR'!A:G,4,FALSE)</f>
        <v>Globus Events-Mum</v>
      </c>
      <c r="K2353" s="2" t="str">
        <f>VLOOKUP(B2353,'PO with created By ASR'!A:I,6,FALSE)</f>
        <v>12961 Globus Events</v>
      </c>
      <c r="L2353" s="2" t="str">
        <f>VLOOKUP(B2353,'PO with created By ASR'!A:J,7,FALSE)</f>
        <v>A - Mumbai</v>
      </c>
      <c r="M2353" s="2" t="str">
        <f>VLOOKUP(B2353,'PO with created By ASR'!A:K,8,FALSE)</f>
        <v>Purchase Order-Mum</v>
      </c>
      <c r="N2353" t="s">
        <v>36</v>
      </c>
      <c r="P2353" s="2">
        <v>6</v>
      </c>
    </row>
    <row r="2354" s="2" customFormat="1" spans="1:16">
      <c r="A2354" s="8"/>
      <c r="B2354" s="9" t="s">
        <v>3612</v>
      </c>
      <c r="C2354" s="10" t="s">
        <v>317</v>
      </c>
      <c r="D2354" s="11">
        <v>1</v>
      </c>
      <c r="E2354" s="12">
        <v>31000</v>
      </c>
      <c r="F2354" s="13">
        <v>31000</v>
      </c>
      <c r="G2354" s="2">
        <f>VLOOKUP(B2354,'PO with created By ASR'!A:C,3,FALSE)</f>
        <v>45707</v>
      </c>
      <c r="J2354" s="2" t="str">
        <f>VLOOKUP(B2354,'PO with created By ASR'!A:G,4,FALSE)</f>
        <v>The Infinite Impressions-Mum</v>
      </c>
      <c r="K2354" s="2" t="str">
        <f>VLOOKUP(B2354,'PO with created By ASR'!A:I,6,FALSE)</f>
        <v>10098 The Infinite Impressions</v>
      </c>
      <c r="L2354" s="2" t="str">
        <f>VLOOKUP(B2354,'PO with created By ASR'!A:J,7,FALSE)</f>
        <v>A - Mumbai</v>
      </c>
      <c r="M2354" s="2" t="str">
        <f>VLOOKUP(B2354,'PO with created By ASR'!A:K,8,FALSE)</f>
        <v>Purchase Order-Mum</v>
      </c>
      <c r="N2354" t="s">
        <v>36</v>
      </c>
      <c r="P2354" s="2">
        <v>6</v>
      </c>
    </row>
    <row r="2355" s="2" customFormat="1" spans="1:16">
      <c r="A2355" s="8"/>
      <c r="B2355" s="9" t="s">
        <v>3613</v>
      </c>
      <c r="C2355" s="10" t="s">
        <v>317</v>
      </c>
      <c r="D2355" s="11">
        <v>1</v>
      </c>
      <c r="E2355" s="12">
        <v>50000</v>
      </c>
      <c r="F2355" s="13">
        <v>50000</v>
      </c>
      <c r="G2355" s="2">
        <f>VLOOKUP(B2355,'PO with created By ASR'!A:C,3,FALSE)</f>
        <v>45707</v>
      </c>
      <c r="J2355" s="2" t="str">
        <f>VLOOKUP(B2355,'PO with created By ASR'!A:G,4,FALSE)</f>
        <v>360 Bright Media-Mum</v>
      </c>
      <c r="K2355" s="2" t="str">
        <f>VLOOKUP(B2355,'PO with created By ASR'!A:I,6,FALSE)</f>
        <v>10105 360 Bright Media</v>
      </c>
      <c r="L2355" s="2" t="str">
        <f>VLOOKUP(B2355,'PO with created By ASR'!A:J,7,FALSE)</f>
        <v>A - Mumbai</v>
      </c>
      <c r="M2355" s="2" t="str">
        <f>VLOOKUP(B2355,'PO with created By ASR'!A:K,8,FALSE)</f>
        <v>Purchase Order-Mum</v>
      </c>
      <c r="N2355" t="s">
        <v>36</v>
      </c>
      <c r="P2355" s="2">
        <v>6</v>
      </c>
    </row>
    <row r="2356" s="2" customFormat="1" spans="1:16">
      <c r="A2356" s="8"/>
      <c r="B2356" s="9" t="s">
        <v>3614</v>
      </c>
      <c r="C2356" s="10" t="s">
        <v>704</v>
      </c>
      <c r="D2356" s="11">
        <v>5</v>
      </c>
      <c r="E2356" s="12">
        <v>4500</v>
      </c>
      <c r="F2356" s="13">
        <v>22500</v>
      </c>
      <c r="G2356" s="2">
        <f>VLOOKUP(B2356,'PO with created By ASR'!A:C,3,FALSE)</f>
        <v>45707</v>
      </c>
      <c r="J2356" s="2" t="str">
        <f>VLOOKUP(B2356,'PO with created By ASR'!A:G,4,FALSE)</f>
        <v>Compu Needs-Mum</v>
      </c>
      <c r="K2356" s="2" t="str">
        <f>VLOOKUP(B2356,'PO with created By ASR'!A:I,6,FALSE)</f>
        <v>11781 Compu Needs</v>
      </c>
      <c r="L2356" s="2" t="str">
        <f>VLOOKUP(B2356,'PO with created By ASR'!A:J,7,FALSE)</f>
        <v>A - Mumbai</v>
      </c>
      <c r="M2356" s="2" t="str">
        <f>VLOOKUP(B2356,'PO with created By ASR'!A:K,8,FALSE)</f>
        <v>Purchase Order-Mum</v>
      </c>
      <c r="N2356" t="s">
        <v>36</v>
      </c>
      <c r="P2356" s="2">
        <v>6</v>
      </c>
    </row>
    <row r="2357" s="2" customFormat="1" spans="1:16">
      <c r="A2357" s="8"/>
      <c r="B2357" s="9" t="s">
        <v>3617</v>
      </c>
      <c r="C2357" s="10" t="s">
        <v>371</v>
      </c>
      <c r="D2357" s="11">
        <v>1</v>
      </c>
      <c r="E2357" s="12">
        <v>25000</v>
      </c>
      <c r="F2357" s="13">
        <v>25000</v>
      </c>
      <c r="G2357" s="2">
        <f>VLOOKUP(B2357,'PO with created By ASR'!A:C,3,FALSE)</f>
        <v>45707</v>
      </c>
      <c r="J2357" s="2" t="str">
        <f>VLOOKUP(B2357,'PO with created By ASR'!A:G,4,FALSE)</f>
        <v>Effect Vision-Mum</v>
      </c>
      <c r="K2357" s="2" t="str">
        <f>VLOOKUP(B2357,'PO with created By ASR'!A:I,6,FALSE)</f>
        <v>11096 Effect Vision</v>
      </c>
      <c r="L2357" s="2" t="str">
        <f>VLOOKUP(B2357,'PO with created By ASR'!A:J,7,FALSE)</f>
        <v>A - Mumbai</v>
      </c>
      <c r="M2357" s="2" t="str">
        <f>VLOOKUP(B2357,'PO with created By ASR'!A:K,8,FALSE)</f>
        <v>Purchase Order-Mum</v>
      </c>
      <c r="N2357" t="s">
        <v>36</v>
      </c>
      <c r="P2357" s="2">
        <v>6</v>
      </c>
    </row>
    <row r="2358" s="2" customFormat="1" spans="1:16">
      <c r="A2358" s="8"/>
      <c r="B2358" s="9" t="s">
        <v>3622</v>
      </c>
      <c r="C2358" s="10" t="s">
        <v>140</v>
      </c>
      <c r="D2358" s="11">
        <v>1</v>
      </c>
      <c r="E2358" s="12">
        <v>231000</v>
      </c>
      <c r="F2358" s="13">
        <v>231000</v>
      </c>
      <c r="G2358" s="2">
        <f>VLOOKUP(B2358,'PO with created By ASR'!A:C,3,FALSE)</f>
        <v>45707</v>
      </c>
      <c r="J2358" s="2" t="str">
        <f>VLOOKUP(B2358,'PO with created By ASR'!A:G,4,FALSE)</f>
        <v>Event City - An Affair To Remember-Mum</v>
      </c>
      <c r="K2358" s="2" t="e">
        <f>VLOOKUP(B2358,'PO with created By ASR'!A:I,6,FALSE)</f>
        <v>#N/A</v>
      </c>
      <c r="L2358" s="2" t="str">
        <f>VLOOKUP(B2358,'PO with created By ASR'!A:J,7,FALSE)</f>
        <v>A - Mumbai</v>
      </c>
      <c r="M2358" s="2" t="str">
        <f>VLOOKUP(B2358,'PO with created By ASR'!A:K,8,FALSE)</f>
        <v>Purchase Order-Mum</v>
      </c>
      <c r="N2358" t="s">
        <v>36</v>
      </c>
      <c r="P2358" s="2">
        <v>6</v>
      </c>
    </row>
    <row r="2359" s="2" customFormat="1" spans="1:16">
      <c r="A2359" s="8"/>
      <c r="B2359" s="9" t="s">
        <v>3622</v>
      </c>
      <c r="C2359" s="10" t="s">
        <v>1055</v>
      </c>
      <c r="D2359" s="11">
        <v>1</v>
      </c>
      <c r="E2359" s="12">
        <v>6000</v>
      </c>
      <c r="F2359" s="13">
        <v>6000</v>
      </c>
      <c r="G2359" s="2">
        <f>VLOOKUP(B2359,'PO with created By ASR'!A:C,3,FALSE)</f>
        <v>45707</v>
      </c>
      <c r="J2359" s="2" t="str">
        <f>VLOOKUP(B2359,'PO with created By ASR'!A:G,4,FALSE)</f>
        <v>Event City - An Affair To Remember-Mum</v>
      </c>
      <c r="K2359" s="2" t="e">
        <f>VLOOKUP(B2359,'PO with created By ASR'!A:I,6,FALSE)</f>
        <v>#N/A</v>
      </c>
      <c r="L2359" s="2" t="str">
        <f>VLOOKUP(B2359,'PO with created By ASR'!A:J,7,FALSE)</f>
        <v>A - Mumbai</v>
      </c>
      <c r="M2359" s="2" t="str">
        <f>VLOOKUP(B2359,'PO with created By ASR'!A:K,8,FALSE)</f>
        <v>Purchase Order-Mum</v>
      </c>
      <c r="N2359" t="s">
        <v>36</v>
      </c>
      <c r="P2359" s="2">
        <v>6</v>
      </c>
    </row>
    <row r="2360" s="2" customFormat="1" spans="1:16">
      <c r="A2360" s="8"/>
      <c r="B2360" s="9" t="s">
        <v>3623</v>
      </c>
      <c r="C2360" s="10" t="s">
        <v>196</v>
      </c>
      <c r="D2360" s="11">
        <v>1</v>
      </c>
      <c r="E2360" s="12">
        <v>25615</v>
      </c>
      <c r="F2360" s="13">
        <v>25615</v>
      </c>
      <c r="G2360" s="2">
        <f>VLOOKUP(B2360,'PO with created By ASR'!A:C,3,FALSE)</f>
        <v>45707</v>
      </c>
      <c r="J2360" s="2" t="str">
        <f>VLOOKUP(B2360,'PO with created By ASR'!A:G,4,FALSE)</f>
        <v>Noaman Digital Partnership Firm-Mum</v>
      </c>
      <c r="K2360" s="2" t="e">
        <f>VLOOKUP(B2360,'PO with created By ASR'!A:I,6,FALSE)</f>
        <v>#N/A</v>
      </c>
      <c r="L2360" s="2" t="str">
        <f>VLOOKUP(B2360,'PO with created By ASR'!A:J,7,FALSE)</f>
        <v>A - Mumbai</v>
      </c>
      <c r="M2360" s="2" t="str">
        <f>VLOOKUP(B2360,'PO with created By ASR'!A:K,8,FALSE)</f>
        <v>Purchase Order-Mum</v>
      </c>
      <c r="N2360" t="s">
        <v>36</v>
      </c>
      <c r="P2360" s="2">
        <v>6</v>
      </c>
    </row>
    <row r="2361" s="2" customFormat="1" spans="1:16">
      <c r="A2361" s="8"/>
      <c r="B2361" s="9" t="s">
        <v>3626</v>
      </c>
      <c r="C2361" s="10" t="s">
        <v>317</v>
      </c>
      <c r="D2361" s="11">
        <v>1</v>
      </c>
      <c r="E2361" s="12">
        <v>35618</v>
      </c>
      <c r="F2361" s="13">
        <v>35618</v>
      </c>
      <c r="G2361" s="2">
        <f>VLOOKUP(B2361,'PO with created By ASR'!A:C,3,FALSE)</f>
        <v>45708</v>
      </c>
      <c r="J2361" s="2" t="str">
        <f>VLOOKUP(B2361,'PO with created By ASR'!A:G,4,FALSE)</f>
        <v>Lyra Entertainment And Media-Blr</v>
      </c>
      <c r="K2361" s="2" t="e">
        <f>VLOOKUP(B2361,'PO with created By ASR'!A:I,6,FALSE)</f>
        <v>#N/A</v>
      </c>
      <c r="L2361" s="2" t="str">
        <f>VLOOKUP(B2361,'PO with created By ASR'!A:J,7,FALSE)</f>
        <v>B - Bangalore</v>
      </c>
      <c r="M2361" s="2" t="str">
        <f>VLOOKUP(B2361,'PO with created By ASR'!A:K,8,FALSE)</f>
        <v>Purchase Order-Blr</v>
      </c>
      <c r="N2361" t="s">
        <v>36</v>
      </c>
      <c r="P2361" s="2">
        <v>6</v>
      </c>
    </row>
    <row r="2362" s="2" customFormat="1" spans="1:16">
      <c r="A2362" s="8"/>
      <c r="B2362" s="9" t="s">
        <v>3628</v>
      </c>
      <c r="C2362" s="10" t="s">
        <v>196</v>
      </c>
      <c r="D2362" s="11">
        <v>1</v>
      </c>
      <c r="E2362" s="12">
        <v>2250</v>
      </c>
      <c r="F2362" s="13">
        <v>2250</v>
      </c>
      <c r="G2362" s="2">
        <f>VLOOKUP(B2362,'PO with created By ASR'!A:C,3,FALSE)</f>
        <v>45708</v>
      </c>
      <c r="J2362" s="2" t="str">
        <f>VLOOKUP(B2362,'PO with created By ASR'!A:G,4,FALSE)</f>
        <v>ID Factory (OPC) Pvt Ltd-Blr</v>
      </c>
      <c r="K2362" s="2" t="str">
        <f>VLOOKUP(B2362,'PO with created By ASR'!A:I,6,FALSE)</f>
        <v>12008  ID Factory (OPC) Pvt Ltd</v>
      </c>
      <c r="L2362" s="2" t="str">
        <f>VLOOKUP(B2362,'PO with created By ASR'!A:J,7,FALSE)</f>
        <v>B - Bangalore</v>
      </c>
      <c r="M2362" s="2" t="str">
        <f>VLOOKUP(B2362,'PO with created By ASR'!A:K,8,FALSE)</f>
        <v>Purchase Order-Blr</v>
      </c>
      <c r="N2362" t="s">
        <v>36</v>
      </c>
      <c r="P2362" s="2">
        <v>6</v>
      </c>
    </row>
    <row r="2363" s="2" customFormat="1" spans="1:16">
      <c r="A2363" s="8"/>
      <c r="B2363" s="9" t="s">
        <v>3629</v>
      </c>
      <c r="C2363" s="10" t="s">
        <v>151</v>
      </c>
      <c r="D2363" s="11">
        <v>1</v>
      </c>
      <c r="E2363" s="12">
        <v>12000</v>
      </c>
      <c r="F2363" s="13">
        <v>12000</v>
      </c>
      <c r="G2363" s="2">
        <f>VLOOKUP(B2363,'PO with created By ASR'!A:C,3,FALSE)</f>
        <v>45708</v>
      </c>
      <c r="J2363" s="2" t="str">
        <f>VLOOKUP(B2363,'PO with created By ASR'!A:G,4,FALSE)</f>
        <v>Narsingh Events Pvt Ltd-Blr</v>
      </c>
      <c r="K2363" s="2" t="str">
        <f>VLOOKUP(B2363,'PO with created By ASR'!A:I,6,FALSE)</f>
        <v>12985  Narsingh Events Pvt Ltd</v>
      </c>
      <c r="L2363" s="2" t="str">
        <f>VLOOKUP(B2363,'PO with created By ASR'!A:J,7,FALSE)</f>
        <v>B - Bangalore</v>
      </c>
      <c r="M2363" s="2" t="str">
        <f>VLOOKUP(B2363,'PO with created By ASR'!A:K,8,FALSE)</f>
        <v>Purchase Order-Blr</v>
      </c>
      <c r="N2363" t="s">
        <v>36</v>
      </c>
      <c r="P2363" s="2">
        <v>6</v>
      </c>
    </row>
    <row r="2364" s="2" customFormat="1" spans="1:16">
      <c r="A2364" s="8"/>
      <c r="B2364" s="9" t="s">
        <v>3630</v>
      </c>
      <c r="C2364" s="10" t="s">
        <v>371</v>
      </c>
      <c r="D2364" s="11">
        <v>1</v>
      </c>
      <c r="E2364" s="12">
        <v>45000</v>
      </c>
      <c r="F2364" s="13">
        <v>45000</v>
      </c>
      <c r="G2364" s="2">
        <f>VLOOKUP(B2364,'PO with created By ASR'!A:C,3,FALSE)</f>
        <v>45708</v>
      </c>
      <c r="J2364" s="2" t="str">
        <f>VLOOKUP(B2364,'PO with created By ASR'!A:G,4,FALSE)</f>
        <v>Event Life-Blr</v>
      </c>
      <c r="K2364" s="2" t="str">
        <f>VLOOKUP(B2364,'PO with created By ASR'!A:I,6,FALSE)</f>
        <v>11892 Event Life</v>
      </c>
      <c r="L2364" s="2" t="str">
        <f>VLOOKUP(B2364,'PO with created By ASR'!A:J,7,FALSE)</f>
        <v>B - Bangalore</v>
      </c>
      <c r="M2364" s="2" t="str">
        <f>VLOOKUP(B2364,'PO with created By ASR'!A:K,8,FALSE)</f>
        <v>Purchase Order-Blr</v>
      </c>
      <c r="N2364" t="s">
        <v>36</v>
      </c>
      <c r="P2364" s="2">
        <v>6</v>
      </c>
    </row>
    <row r="2365" s="2" customFormat="1" spans="1:16">
      <c r="A2365" s="8"/>
      <c r="B2365" s="9" t="s">
        <v>3631</v>
      </c>
      <c r="C2365" s="10" t="s">
        <v>401</v>
      </c>
      <c r="D2365" s="11">
        <v>1</v>
      </c>
      <c r="E2365" s="12">
        <v>4000</v>
      </c>
      <c r="F2365" s="13">
        <v>4000</v>
      </c>
      <c r="G2365" s="2">
        <f>VLOOKUP(B2365,'PO with created By ASR'!A:C,3,FALSE)</f>
        <v>45708</v>
      </c>
      <c r="J2365" s="2" t="str">
        <f>VLOOKUP(B2365,'PO with created By ASR'!A:G,4,FALSE)</f>
        <v>Thinking Brahma-Blr</v>
      </c>
      <c r="K2365" s="2" t="str">
        <f>VLOOKUP(B2365,'PO with created By ASR'!A:I,6,FALSE)</f>
        <v>12537 Thinking Brahma</v>
      </c>
      <c r="L2365" s="2" t="str">
        <f>VLOOKUP(B2365,'PO with created By ASR'!A:J,7,FALSE)</f>
        <v>B - Bangalore</v>
      </c>
      <c r="M2365" s="2" t="str">
        <f>VLOOKUP(B2365,'PO with created By ASR'!A:K,8,FALSE)</f>
        <v>Purchase Order-Blr</v>
      </c>
      <c r="N2365" t="s">
        <v>36</v>
      </c>
      <c r="P2365" s="2">
        <v>6</v>
      </c>
    </row>
    <row r="2366" s="2" customFormat="1" spans="1:16">
      <c r="A2366" s="8"/>
      <c r="B2366" s="9" t="s">
        <v>3632</v>
      </c>
      <c r="C2366" s="10" t="s">
        <v>126</v>
      </c>
      <c r="D2366" s="11">
        <v>1</v>
      </c>
      <c r="E2366" s="12">
        <v>702</v>
      </c>
      <c r="F2366" s="13">
        <v>702</v>
      </c>
      <c r="G2366" s="2">
        <f>VLOOKUP(B2366,'PO with created By ASR'!A:C,3,FALSE)</f>
        <v>45708</v>
      </c>
      <c r="J2366" s="2" t="str">
        <f>VLOOKUP(B2366,'PO with created By ASR'!A:G,4,FALSE)</f>
        <v>Ashok Raj R  -CR</v>
      </c>
      <c r="K2366" s="2" t="e">
        <f>VLOOKUP(B2366,'PO with created By ASR'!A:I,6,FALSE)</f>
        <v>#N/A</v>
      </c>
      <c r="L2366" s="2" t="str">
        <f>VLOOKUP(B2366,'PO with created By ASR'!A:J,7,FALSE)</f>
        <v>B - Bangalore</v>
      </c>
      <c r="M2366" s="2" t="str">
        <f>VLOOKUP(B2366,'PO with created By ASR'!A:K,8,FALSE)</f>
        <v>Purchase Order-Blr</v>
      </c>
      <c r="N2366" t="s">
        <v>36</v>
      </c>
      <c r="P2366" s="2">
        <v>6</v>
      </c>
    </row>
    <row r="2367" s="2" customFormat="1" spans="1:16">
      <c r="A2367" s="8"/>
      <c r="B2367" s="9" t="s">
        <v>3632</v>
      </c>
      <c r="C2367" s="10" t="s">
        <v>412</v>
      </c>
      <c r="D2367" s="11">
        <v>1</v>
      </c>
      <c r="E2367" s="12">
        <v>270</v>
      </c>
      <c r="F2367" s="13">
        <v>270</v>
      </c>
      <c r="G2367" s="2">
        <f>VLOOKUP(B2367,'PO with created By ASR'!A:C,3,FALSE)</f>
        <v>45708</v>
      </c>
      <c r="J2367" s="2" t="str">
        <f>VLOOKUP(B2367,'PO with created By ASR'!A:G,4,FALSE)</f>
        <v>Ashok Raj R  -CR</v>
      </c>
      <c r="K2367" s="2" t="e">
        <f>VLOOKUP(B2367,'PO with created By ASR'!A:I,6,FALSE)</f>
        <v>#N/A</v>
      </c>
      <c r="L2367" s="2" t="str">
        <f>VLOOKUP(B2367,'PO with created By ASR'!A:J,7,FALSE)</f>
        <v>B - Bangalore</v>
      </c>
      <c r="M2367" s="2" t="str">
        <f>VLOOKUP(B2367,'PO with created By ASR'!A:K,8,FALSE)</f>
        <v>Purchase Order-Blr</v>
      </c>
      <c r="N2367" t="s">
        <v>36</v>
      </c>
      <c r="P2367" s="2">
        <v>6</v>
      </c>
    </row>
    <row r="2368" s="2" customFormat="1" spans="1:16">
      <c r="A2368" s="8"/>
      <c r="B2368" s="9" t="s">
        <v>3633</v>
      </c>
      <c r="C2368" s="10" t="s">
        <v>412</v>
      </c>
      <c r="D2368" s="11">
        <v>1</v>
      </c>
      <c r="E2368" s="12">
        <v>3777</v>
      </c>
      <c r="F2368" s="13">
        <v>3777</v>
      </c>
      <c r="G2368" s="2">
        <f>VLOOKUP(B2368,'PO with created By ASR'!A:C,3,FALSE)</f>
        <v>45708</v>
      </c>
      <c r="J2368" s="2" t="str">
        <f>VLOOKUP(B2368,'PO with created By ASR'!A:G,4,FALSE)</f>
        <v>Ashok Raj R  -CR</v>
      </c>
      <c r="K2368" s="2" t="e">
        <f>VLOOKUP(B2368,'PO with created By ASR'!A:I,6,FALSE)</f>
        <v>#N/A</v>
      </c>
      <c r="L2368" s="2" t="str">
        <f>VLOOKUP(B2368,'PO with created By ASR'!A:J,7,FALSE)</f>
        <v>B - Bangalore</v>
      </c>
      <c r="M2368" s="2" t="str">
        <f>VLOOKUP(B2368,'PO with created By ASR'!A:K,8,FALSE)</f>
        <v>Purchase Order-Blr</v>
      </c>
      <c r="N2368" t="s">
        <v>36</v>
      </c>
      <c r="P2368" s="2">
        <v>6</v>
      </c>
    </row>
    <row r="2369" s="2" customFormat="1" spans="1:16">
      <c r="A2369" s="8"/>
      <c r="B2369" s="9" t="s">
        <v>3634</v>
      </c>
      <c r="C2369" s="10" t="s">
        <v>76</v>
      </c>
      <c r="D2369" s="11">
        <v>1</v>
      </c>
      <c r="E2369" s="12">
        <v>70</v>
      </c>
      <c r="F2369" s="13">
        <v>70</v>
      </c>
      <c r="G2369" s="2">
        <f>VLOOKUP(B2369,'PO with created By ASR'!A:C,3,FALSE)</f>
        <v>45708</v>
      </c>
      <c r="J2369" s="2" t="str">
        <f>VLOOKUP(B2369,'PO with created By ASR'!A:G,4,FALSE)</f>
        <v>Mayur Enterprises-Blr</v>
      </c>
      <c r="K2369" s="2" t="str">
        <f>VLOOKUP(B2369,'PO with created By ASR'!A:I,6,FALSE)</f>
        <v>11521 Mayur Enterprises</v>
      </c>
      <c r="L2369" s="2" t="str">
        <f>VLOOKUP(B2369,'PO with created By ASR'!A:J,7,FALSE)</f>
        <v>B - Bangalore</v>
      </c>
      <c r="M2369" s="2" t="str">
        <f>VLOOKUP(B2369,'PO with created By ASR'!A:K,8,FALSE)</f>
        <v>Purchase Order-Blr</v>
      </c>
      <c r="N2369" t="s">
        <v>36</v>
      </c>
      <c r="P2369" s="2">
        <v>6</v>
      </c>
    </row>
    <row r="2370" s="2" customFormat="1" spans="1:16">
      <c r="A2370" s="8"/>
      <c r="B2370" s="9" t="s">
        <v>3634</v>
      </c>
      <c r="C2370" s="10" t="s">
        <v>4363</v>
      </c>
      <c r="D2370" s="11">
        <v>1</v>
      </c>
      <c r="E2370" s="12">
        <v>70</v>
      </c>
      <c r="F2370" s="13">
        <v>70</v>
      </c>
      <c r="G2370" s="2">
        <f>VLOOKUP(B2370,'PO with created By ASR'!A:C,3,FALSE)</f>
        <v>45708</v>
      </c>
      <c r="J2370" s="2" t="str">
        <f>VLOOKUP(B2370,'PO with created By ASR'!A:G,4,FALSE)</f>
        <v>Mayur Enterprises-Blr</v>
      </c>
      <c r="K2370" s="2" t="str">
        <f>VLOOKUP(B2370,'PO with created By ASR'!A:I,6,FALSE)</f>
        <v>11521 Mayur Enterprises</v>
      </c>
      <c r="L2370" s="2" t="str">
        <f>VLOOKUP(B2370,'PO with created By ASR'!A:J,7,FALSE)</f>
        <v>B - Bangalore</v>
      </c>
      <c r="M2370" s="2" t="str">
        <f>VLOOKUP(B2370,'PO with created By ASR'!A:K,8,FALSE)</f>
        <v>Purchase Order-Blr</v>
      </c>
      <c r="N2370" t="s">
        <v>36</v>
      </c>
      <c r="P2370" s="2">
        <v>6</v>
      </c>
    </row>
    <row r="2371" s="2" customFormat="1" spans="1:16">
      <c r="A2371" s="8"/>
      <c r="B2371" s="9" t="s">
        <v>3635</v>
      </c>
      <c r="C2371" s="10" t="s">
        <v>119</v>
      </c>
      <c r="D2371" s="11">
        <v>1</v>
      </c>
      <c r="E2371" s="12">
        <v>3075</v>
      </c>
      <c r="F2371" s="13">
        <v>3075</v>
      </c>
      <c r="G2371" s="2">
        <f>VLOOKUP(B2371,'PO with created By ASR'!A:C,3,FALSE)</f>
        <v>45708</v>
      </c>
      <c r="J2371" s="2" t="str">
        <f>VLOOKUP(B2371,'PO with created By ASR'!A:G,4,FALSE)</f>
        <v>Fiesta Car Rentals &amp; Logistics Pvt Ltd-Che</v>
      </c>
      <c r="K2371" s="2" t="str">
        <f>VLOOKUP(B2371,'PO with created By ASR'!A:I,6,FALSE)</f>
        <v>11915  Fiesta Car Rentals &amp; Logistics Pvt Ltd</v>
      </c>
      <c r="L2371" s="2" t="str">
        <f>VLOOKUP(B2371,'PO with created By ASR'!A:J,7,FALSE)</f>
        <v>C - Chennai</v>
      </c>
      <c r="M2371" s="2" t="str">
        <f>VLOOKUP(B2371,'PO with created By ASR'!A:K,8,FALSE)</f>
        <v>Purchase Order-Che</v>
      </c>
      <c r="N2371" t="s">
        <v>36</v>
      </c>
      <c r="P2371" s="2">
        <v>6</v>
      </c>
    </row>
    <row r="2372" s="2" customFormat="1" spans="1:16">
      <c r="A2372" s="8"/>
      <c r="B2372" s="9" t="s">
        <v>3635</v>
      </c>
      <c r="C2372" s="10" t="s">
        <v>676</v>
      </c>
      <c r="D2372" s="11">
        <v>1</v>
      </c>
      <c r="E2372" s="12">
        <v>76.87</v>
      </c>
      <c r="F2372" s="13">
        <v>76.87</v>
      </c>
      <c r="G2372" s="2">
        <f>VLOOKUP(B2372,'PO with created By ASR'!A:C,3,FALSE)</f>
        <v>45708</v>
      </c>
      <c r="J2372" s="2" t="str">
        <f>VLOOKUP(B2372,'PO with created By ASR'!A:G,4,FALSE)</f>
        <v>Fiesta Car Rentals &amp; Logistics Pvt Ltd-Che</v>
      </c>
      <c r="K2372" s="2" t="str">
        <f>VLOOKUP(B2372,'PO with created By ASR'!A:I,6,FALSE)</f>
        <v>11915  Fiesta Car Rentals &amp; Logistics Pvt Ltd</v>
      </c>
      <c r="L2372" s="2" t="str">
        <f>VLOOKUP(B2372,'PO with created By ASR'!A:J,7,FALSE)</f>
        <v>C - Chennai</v>
      </c>
      <c r="M2372" s="2" t="str">
        <f>VLOOKUP(B2372,'PO with created By ASR'!A:K,8,FALSE)</f>
        <v>Purchase Order-Che</v>
      </c>
      <c r="N2372" t="s">
        <v>36</v>
      </c>
      <c r="P2372" s="2">
        <v>6</v>
      </c>
    </row>
    <row r="2373" s="2" customFormat="1" spans="1:16">
      <c r="A2373" s="8"/>
      <c r="B2373" s="9" t="s">
        <v>3635</v>
      </c>
      <c r="C2373" s="10" t="s">
        <v>4365</v>
      </c>
      <c r="D2373" s="11">
        <v>1</v>
      </c>
      <c r="E2373" s="12">
        <v>76.88</v>
      </c>
      <c r="F2373" s="13">
        <v>76.88</v>
      </c>
      <c r="G2373" s="2">
        <f>VLOOKUP(B2373,'PO with created By ASR'!A:C,3,FALSE)</f>
        <v>45708</v>
      </c>
      <c r="J2373" s="2" t="str">
        <f>VLOOKUP(B2373,'PO with created By ASR'!A:G,4,FALSE)</f>
        <v>Fiesta Car Rentals &amp; Logistics Pvt Ltd-Che</v>
      </c>
      <c r="K2373" s="2" t="str">
        <f>VLOOKUP(B2373,'PO with created By ASR'!A:I,6,FALSE)</f>
        <v>11915  Fiesta Car Rentals &amp; Logistics Pvt Ltd</v>
      </c>
      <c r="L2373" s="2" t="str">
        <f>VLOOKUP(B2373,'PO with created By ASR'!A:J,7,FALSE)</f>
        <v>C - Chennai</v>
      </c>
      <c r="M2373" s="2" t="str">
        <f>VLOOKUP(B2373,'PO with created By ASR'!A:K,8,FALSE)</f>
        <v>Purchase Order-Che</v>
      </c>
      <c r="N2373" t="s">
        <v>36</v>
      </c>
      <c r="P2373" s="2">
        <v>6</v>
      </c>
    </row>
    <row r="2374" s="2" customFormat="1" spans="1:16">
      <c r="A2374" s="8"/>
      <c r="B2374" s="9" t="s">
        <v>3636</v>
      </c>
      <c r="C2374" s="10" t="s">
        <v>134</v>
      </c>
      <c r="D2374" s="11">
        <v>1</v>
      </c>
      <c r="E2374" s="12">
        <v>3200</v>
      </c>
      <c r="F2374" s="13">
        <v>3200</v>
      </c>
      <c r="G2374" s="2">
        <f>VLOOKUP(B2374,'PO with created By ASR'!A:C,3,FALSE)</f>
        <v>45708</v>
      </c>
      <c r="J2374" s="2" t="str">
        <f>VLOOKUP(B2374,'PO with created By ASR'!A:G,4,FALSE)</f>
        <v>Aravind Kumar S Adv for Exp-CR</v>
      </c>
      <c r="K2374" s="2" t="e">
        <f>VLOOKUP(B2374,'PO with created By ASR'!A:I,6,FALSE)</f>
        <v>#N/A</v>
      </c>
      <c r="L2374" s="2" t="str">
        <f>VLOOKUP(B2374,'PO with created By ASR'!A:J,7,FALSE)</f>
        <v>C - Chennai</v>
      </c>
      <c r="M2374" s="2" t="str">
        <f>VLOOKUP(B2374,'PO with created By ASR'!A:K,8,FALSE)</f>
        <v>Purchase Order-Che</v>
      </c>
      <c r="N2374" t="s">
        <v>36</v>
      </c>
      <c r="P2374" s="2">
        <v>6</v>
      </c>
    </row>
    <row r="2375" s="2" customFormat="1" spans="1:16">
      <c r="A2375" s="8"/>
      <c r="B2375" s="9" t="s">
        <v>3636</v>
      </c>
      <c r="C2375" s="10" t="s">
        <v>107</v>
      </c>
      <c r="D2375" s="11">
        <v>1</v>
      </c>
      <c r="E2375" s="12">
        <v>762</v>
      </c>
      <c r="F2375" s="13">
        <v>762</v>
      </c>
      <c r="G2375" s="2">
        <f>VLOOKUP(B2375,'PO with created By ASR'!A:C,3,FALSE)</f>
        <v>45708</v>
      </c>
      <c r="J2375" s="2" t="str">
        <f>VLOOKUP(B2375,'PO with created By ASR'!A:G,4,FALSE)</f>
        <v>Aravind Kumar S Adv for Exp-CR</v>
      </c>
      <c r="K2375" s="2" t="e">
        <f>VLOOKUP(B2375,'PO with created By ASR'!A:I,6,FALSE)</f>
        <v>#N/A</v>
      </c>
      <c r="L2375" s="2" t="str">
        <f>VLOOKUP(B2375,'PO with created By ASR'!A:J,7,FALSE)</f>
        <v>C - Chennai</v>
      </c>
      <c r="M2375" s="2" t="str">
        <f>VLOOKUP(B2375,'PO with created By ASR'!A:K,8,FALSE)</f>
        <v>Purchase Order-Che</v>
      </c>
      <c r="N2375" t="s">
        <v>36</v>
      </c>
      <c r="P2375" s="2">
        <v>6</v>
      </c>
    </row>
    <row r="2376" s="2" customFormat="1" spans="1:16">
      <c r="A2376" s="8"/>
      <c r="B2376" s="9" t="s">
        <v>3636</v>
      </c>
      <c r="C2376" s="10" t="s">
        <v>50</v>
      </c>
      <c r="D2376" s="11">
        <v>1</v>
      </c>
      <c r="E2376" s="12">
        <v>480</v>
      </c>
      <c r="F2376" s="13">
        <v>480</v>
      </c>
      <c r="G2376" s="2">
        <f>VLOOKUP(B2376,'PO with created By ASR'!A:C,3,FALSE)</f>
        <v>45708</v>
      </c>
      <c r="J2376" s="2" t="str">
        <f>VLOOKUP(B2376,'PO with created By ASR'!A:G,4,FALSE)</f>
        <v>Aravind Kumar S Adv for Exp-CR</v>
      </c>
      <c r="K2376" s="2" t="e">
        <f>VLOOKUP(B2376,'PO with created By ASR'!A:I,6,FALSE)</f>
        <v>#N/A</v>
      </c>
      <c r="L2376" s="2" t="str">
        <f>VLOOKUP(B2376,'PO with created By ASR'!A:J,7,FALSE)</f>
        <v>C - Chennai</v>
      </c>
      <c r="M2376" s="2" t="str">
        <f>VLOOKUP(B2376,'PO with created By ASR'!A:K,8,FALSE)</f>
        <v>Purchase Order-Che</v>
      </c>
      <c r="N2376" t="s">
        <v>36</v>
      </c>
      <c r="P2376" s="2">
        <v>6</v>
      </c>
    </row>
    <row r="2377" s="2" customFormat="1" spans="1:16">
      <c r="A2377" s="8"/>
      <c r="B2377" s="9" t="s">
        <v>3638</v>
      </c>
      <c r="C2377" s="10" t="s">
        <v>233</v>
      </c>
      <c r="D2377" s="11">
        <v>1</v>
      </c>
      <c r="E2377" s="12">
        <v>1000</v>
      </c>
      <c r="F2377" s="13">
        <v>1000</v>
      </c>
      <c r="G2377" s="2">
        <f>VLOOKUP(B2377,'PO with created By ASR'!A:C,3,FALSE)</f>
        <v>45708</v>
      </c>
      <c r="J2377" s="2" t="str">
        <f>VLOOKUP(B2377,'PO with created By ASR'!A:G,4,FALSE)</f>
        <v>Clinton J  for Expense-CR</v>
      </c>
      <c r="K2377" s="2" t="e">
        <f>VLOOKUP(B2377,'PO with created By ASR'!A:I,6,FALSE)</f>
        <v>#N/A</v>
      </c>
      <c r="L2377" s="2" t="str">
        <f>VLOOKUP(B2377,'PO with created By ASR'!A:J,7,FALSE)</f>
        <v>C - Chennai</v>
      </c>
      <c r="M2377" s="2" t="str">
        <f>VLOOKUP(B2377,'PO with created By ASR'!A:K,8,FALSE)</f>
        <v>Purchase Order-Che</v>
      </c>
      <c r="N2377" t="s">
        <v>36</v>
      </c>
      <c r="P2377" s="2">
        <v>6</v>
      </c>
    </row>
    <row r="2378" s="2" customFormat="1" spans="1:16">
      <c r="A2378" s="8"/>
      <c r="B2378" s="9" t="s">
        <v>3639</v>
      </c>
      <c r="C2378" s="10" t="s">
        <v>1055</v>
      </c>
      <c r="D2378" s="11">
        <v>1</v>
      </c>
      <c r="E2378" s="12">
        <v>840</v>
      </c>
      <c r="F2378" s="13">
        <v>840</v>
      </c>
      <c r="G2378" s="2">
        <f>VLOOKUP(B2378,'PO with created By ASR'!A:C,3,FALSE)</f>
        <v>45708</v>
      </c>
      <c r="J2378" s="2" t="str">
        <f>VLOOKUP(B2378,'PO with created By ASR'!A:G,4,FALSE)</f>
        <v>Clinton J  for Expense-CR</v>
      </c>
      <c r="K2378" s="2" t="e">
        <f>VLOOKUP(B2378,'PO with created By ASR'!A:I,6,FALSE)</f>
        <v>#N/A</v>
      </c>
      <c r="L2378" s="2" t="str">
        <f>VLOOKUP(B2378,'PO with created By ASR'!A:J,7,FALSE)</f>
        <v>C - Chennai</v>
      </c>
      <c r="M2378" s="2" t="str">
        <f>VLOOKUP(B2378,'PO with created By ASR'!A:K,8,FALSE)</f>
        <v>Purchase Order-Che</v>
      </c>
      <c r="N2378" t="s">
        <v>36</v>
      </c>
      <c r="P2378" s="2">
        <v>6</v>
      </c>
    </row>
    <row r="2379" s="2" customFormat="1" spans="1:16">
      <c r="A2379" s="8"/>
      <c r="B2379" s="9" t="s">
        <v>3639</v>
      </c>
      <c r="C2379" s="10" t="s">
        <v>412</v>
      </c>
      <c r="D2379" s="11">
        <v>1</v>
      </c>
      <c r="E2379" s="12">
        <v>711</v>
      </c>
      <c r="F2379" s="13">
        <v>711</v>
      </c>
      <c r="G2379" s="2">
        <f>VLOOKUP(B2379,'PO with created By ASR'!A:C,3,FALSE)</f>
        <v>45708</v>
      </c>
      <c r="J2379" s="2" t="str">
        <f>VLOOKUP(B2379,'PO with created By ASR'!A:G,4,FALSE)</f>
        <v>Clinton J  for Expense-CR</v>
      </c>
      <c r="K2379" s="2" t="e">
        <f>VLOOKUP(B2379,'PO with created By ASR'!A:I,6,FALSE)</f>
        <v>#N/A</v>
      </c>
      <c r="L2379" s="2" t="str">
        <f>VLOOKUP(B2379,'PO with created By ASR'!A:J,7,FALSE)</f>
        <v>C - Chennai</v>
      </c>
      <c r="M2379" s="2" t="str">
        <f>VLOOKUP(B2379,'PO with created By ASR'!A:K,8,FALSE)</f>
        <v>Purchase Order-Che</v>
      </c>
      <c r="N2379" t="s">
        <v>36</v>
      </c>
      <c r="P2379" s="2">
        <v>6</v>
      </c>
    </row>
    <row r="2380" s="2" customFormat="1" spans="1:16">
      <c r="A2380" s="8"/>
      <c r="B2380" s="9" t="s">
        <v>3639</v>
      </c>
      <c r="C2380" s="10" t="s">
        <v>126</v>
      </c>
      <c r="D2380" s="11">
        <v>1</v>
      </c>
      <c r="E2380" s="12">
        <v>3090</v>
      </c>
      <c r="F2380" s="13">
        <v>3090</v>
      </c>
      <c r="G2380" s="2">
        <f>VLOOKUP(B2380,'PO with created By ASR'!A:C,3,FALSE)</f>
        <v>45708</v>
      </c>
      <c r="J2380" s="2" t="str">
        <f>VLOOKUP(B2380,'PO with created By ASR'!A:G,4,FALSE)</f>
        <v>Clinton J  for Expense-CR</v>
      </c>
      <c r="K2380" s="2" t="e">
        <f>VLOOKUP(B2380,'PO with created By ASR'!A:I,6,FALSE)</f>
        <v>#N/A</v>
      </c>
      <c r="L2380" s="2" t="str">
        <f>VLOOKUP(B2380,'PO with created By ASR'!A:J,7,FALSE)</f>
        <v>C - Chennai</v>
      </c>
      <c r="M2380" s="2" t="str">
        <f>VLOOKUP(B2380,'PO with created By ASR'!A:K,8,FALSE)</f>
        <v>Purchase Order-Che</v>
      </c>
      <c r="N2380" t="s">
        <v>36</v>
      </c>
      <c r="P2380" s="2">
        <v>6</v>
      </c>
    </row>
    <row r="2381" s="2" customFormat="1" spans="1:16">
      <c r="A2381" s="8"/>
      <c r="B2381" s="9" t="s">
        <v>3639</v>
      </c>
      <c r="C2381" s="10" t="s">
        <v>233</v>
      </c>
      <c r="D2381" s="11">
        <v>1</v>
      </c>
      <c r="E2381" s="12">
        <v>1500</v>
      </c>
      <c r="F2381" s="13">
        <v>1500</v>
      </c>
      <c r="G2381" s="2">
        <f>VLOOKUP(B2381,'PO with created By ASR'!A:C,3,FALSE)</f>
        <v>45708</v>
      </c>
      <c r="J2381" s="2" t="str">
        <f>VLOOKUP(B2381,'PO with created By ASR'!A:G,4,FALSE)</f>
        <v>Clinton J  for Expense-CR</v>
      </c>
      <c r="K2381" s="2" t="e">
        <f>VLOOKUP(B2381,'PO with created By ASR'!A:I,6,FALSE)</f>
        <v>#N/A</v>
      </c>
      <c r="L2381" s="2" t="str">
        <f>VLOOKUP(B2381,'PO with created By ASR'!A:J,7,FALSE)</f>
        <v>C - Chennai</v>
      </c>
      <c r="M2381" s="2" t="str">
        <f>VLOOKUP(B2381,'PO with created By ASR'!A:K,8,FALSE)</f>
        <v>Purchase Order-Che</v>
      </c>
      <c r="N2381" t="s">
        <v>36</v>
      </c>
      <c r="P2381" s="2">
        <v>6</v>
      </c>
    </row>
    <row r="2382" s="2" customFormat="1" spans="1:16">
      <c r="A2382" s="8"/>
      <c r="B2382" s="9" t="s">
        <v>3640</v>
      </c>
      <c r="C2382" s="10" t="s">
        <v>126</v>
      </c>
      <c r="D2382" s="11">
        <v>1</v>
      </c>
      <c r="E2382" s="12">
        <v>1419</v>
      </c>
      <c r="F2382" s="13">
        <v>1419</v>
      </c>
      <c r="G2382" s="2">
        <f>VLOOKUP(B2382,'PO with created By ASR'!A:C,3,FALSE)</f>
        <v>45708</v>
      </c>
      <c r="J2382" s="2" t="str">
        <f>VLOOKUP(B2382,'PO with created By ASR'!A:G,4,FALSE)</f>
        <v>R Anandan  -CR</v>
      </c>
      <c r="K2382" s="2" t="e">
        <f>VLOOKUP(B2382,'PO with created By ASR'!A:I,6,FALSE)</f>
        <v>#N/A</v>
      </c>
      <c r="L2382" s="2" t="str">
        <f>VLOOKUP(B2382,'PO with created By ASR'!A:J,7,FALSE)</f>
        <v>C - Chennai</v>
      </c>
      <c r="M2382" s="2" t="str">
        <f>VLOOKUP(B2382,'PO with created By ASR'!A:K,8,FALSE)</f>
        <v>Purchase Order-Che</v>
      </c>
      <c r="N2382" t="s">
        <v>36</v>
      </c>
      <c r="P2382" s="2">
        <v>6</v>
      </c>
    </row>
    <row r="2383" s="2" customFormat="1" spans="1:16">
      <c r="A2383" s="8"/>
      <c r="B2383" s="9" t="s">
        <v>3640</v>
      </c>
      <c r="C2383" s="10" t="s">
        <v>412</v>
      </c>
      <c r="D2383" s="11">
        <v>1</v>
      </c>
      <c r="E2383" s="12">
        <v>5774</v>
      </c>
      <c r="F2383" s="13">
        <v>5774</v>
      </c>
      <c r="G2383" s="2">
        <f>VLOOKUP(B2383,'PO with created By ASR'!A:C,3,FALSE)</f>
        <v>45708</v>
      </c>
      <c r="J2383" s="2" t="str">
        <f>VLOOKUP(B2383,'PO with created By ASR'!A:G,4,FALSE)</f>
        <v>R Anandan  -CR</v>
      </c>
      <c r="K2383" s="2" t="e">
        <f>VLOOKUP(B2383,'PO with created By ASR'!A:I,6,FALSE)</f>
        <v>#N/A</v>
      </c>
      <c r="L2383" s="2" t="str">
        <f>VLOOKUP(B2383,'PO with created By ASR'!A:J,7,FALSE)</f>
        <v>C - Chennai</v>
      </c>
      <c r="M2383" s="2" t="str">
        <f>VLOOKUP(B2383,'PO with created By ASR'!A:K,8,FALSE)</f>
        <v>Purchase Order-Che</v>
      </c>
      <c r="N2383" t="s">
        <v>36</v>
      </c>
      <c r="P2383" s="2">
        <v>6</v>
      </c>
    </row>
    <row r="2384" s="2" customFormat="1" spans="1:16">
      <c r="A2384" s="8"/>
      <c r="B2384" s="9" t="s">
        <v>3641</v>
      </c>
      <c r="C2384" s="10" t="s">
        <v>126</v>
      </c>
      <c r="D2384" s="11">
        <v>1</v>
      </c>
      <c r="E2384" s="12">
        <v>1187</v>
      </c>
      <c r="F2384" s="13">
        <v>1187</v>
      </c>
      <c r="G2384" s="2">
        <f>VLOOKUP(B2384,'PO with created By ASR'!A:C,3,FALSE)</f>
        <v>45708</v>
      </c>
      <c r="J2384" s="2" t="str">
        <f>VLOOKUP(B2384,'PO with created By ASR'!A:G,4,FALSE)</f>
        <v>Ashwath TV  for Expense-CR</v>
      </c>
      <c r="K2384" s="2" t="e">
        <f>VLOOKUP(B2384,'PO with created By ASR'!A:I,6,FALSE)</f>
        <v>#N/A</v>
      </c>
      <c r="L2384" s="2" t="str">
        <f>VLOOKUP(B2384,'PO with created By ASR'!A:J,7,FALSE)</f>
        <v>C - Chennai</v>
      </c>
      <c r="M2384" s="2" t="str">
        <f>VLOOKUP(B2384,'PO with created By ASR'!A:K,8,FALSE)</f>
        <v>Purchase Order-Che</v>
      </c>
      <c r="N2384" t="s">
        <v>36</v>
      </c>
      <c r="P2384" s="2">
        <v>6</v>
      </c>
    </row>
    <row r="2385" s="2" customFormat="1" spans="1:16">
      <c r="A2385" s="8"/>
      <c r="B2385" s="9" t="s">
        <v>3641</v>
      </c>
      <c r="C2385" s="10" t="s">
        <v>412</v>
      </c>
      <c r="D2385" s="11">
        <v>1</v>
      </c>
      <c r="E2385" s="12">
        <v>260</v>
      </c>
      <c r="F2385" s="13">
        <v>260</v>
      </c>
      <c r="G2385" s="2">
        <f>VLOOKUP(B2385,'PO with created By ASR'!A:C,3,FALSE)</f>
        <v>45708</v>
      </c>
      <c r="J2385" s="2" t="str">
        <f>VLOOKUP(B2385,'PO with created By ASR'!A:G,4,FALSE)</f>
        <v>Ashwath TV  for Expense-CR</v>
      </c>
      <c r="K2385" s="2" t="e">
        <f>VLOOKUP(B2385,'PO with created By ASR'!A:I,6,FALSE)</f>
        <v>#N/A</v>
      </c>
      <c r="L2385" s="2" t="str">
        <f>VLOOKUP(B2385,'PO with created By ASR'!A:J,7,FALSE)</f>
        <v>C - Chennai</v>
      </c>
      <c r="M2385" s="2" t="str">
        <f>VLOOKUP(B2385,'PO with created By ASR'!A:K,8,FALSE)</f>
        <v>Purchase Order-Che</v>
      </c>
      <c r="N2385" t="s">
        <v>36</v>
      </c>
      <c r="P2385" s="2">
        <v>6</v>
      </c>
    </row>
    <row r="2386" s="2" customFormat="1" spans="1:16">
      <c r="A2386" s="8"/>
      <c r="B2386" s="9" t="s">
        <v>3641</v>
      </c>
      <c r="C2386" s="10" t="s">
        <v>196</v>
      </c>
      <c r="D2386" s="11">
        <v>1</v>
      </c>
      <c r="E2386" s="12">
        <v>3700</v>
      </c>
      <c r="F2386" s="13">
        <v>3700</v>
      </c>
      <c r="G2386" s="2">
        <f>VLOOKUP(B2386,'PO with created By ASR'!A:C,3,FALSE)</f>
        <v>45708</v>
      </c>
      <c r="J2386" s="2" t="str">
        <f>VLOOKUP(B2386,'PO with created By ASR'!A:G,4,FALSE)</f>
        <v>Ashwath TV  for Expense-CR</v>
      </c>
      <c r="K2386" s="2" t="e">
        <f>VLOOKUP(B2386,'PO with created By ASR'!A:I,6,FALSE)</f>
        <v>#N/A</v>
      </c>
      <c r="L2386" s="2" t="str">
        <f>VLOOKUP(B2386,'PO with created By ASR'!A:J,7,FALSE)</f>
        <v>C - Chennai</v>
      </c>
      <c r="M2386" s="2" t="str">
        <f>VLOOKUP(B2386,'PO with created By ASR'!A:K,8,FALSE)</f>
        <v>Purchase Order-Che</v>
      </c>
      <c r="N2386" t="s">
        <v>36</v>
      </c>
      <c r="P2386" s="2">
        <v>6</v>
      </c>
    </row>
    <row r="2387" s="2" customFormat="1" spans="1:16">
      <c r="A2387" s="8"/>
      <c r="B2387" s="9" t="s">
        <v>3642</v>
      </c>
      <c r="C2387" s="10" t="s">
        <v>126</v>
      </c>
      <c r="D2387" s="11">
        <v>1</v>
      </c>
      <c r="E2387" s="12">
        <v>4151</v>
      </c>
      <c r="F2387" s="13">
        <v>4151</v>
      </c>
      <c r="G2387" s="2">
        <f>VLOOKUP(B2387,'PO with created By ASR'!A:C,3,FALSE)</f>
        <v>45708</v>
      </c>
      <c r="J2387" s="2" t="str">
        <f>VLOOKUP(B2387,'PO with created By ASR'!A:G,4,FALSE)</f>
        <v>Brijesh L  -CR</v>
      </c>
      <c r="K2387" s="2" t="str">
        <f>VLOOKUP(B2387,'PO with created By ASR'!A:I,6,FALSE)</f>
        <v>10025 Brijesh L</v>
      </c>
      <c r="L2387" s="2" t="str">
        <f>VLOOKUP(B2387,'PO with created By ASR'!A:J,7,FALSE)</f>
        <v>C - Chennai</v>
      </c>
      <c r="M2387" s="2" t="str">
        <f>VLOOKUP(B2387,'PO with created By ASR'!A:K,8,FALSE)</f>
        <v>Purchase Order-Che</v>
      </c>
      <c r="N2387" t="s">
        <v>36</v>
      </c>
      <c r="P2387" s="2">
        <v>6</v>
      </c>
    </row>
    <row r="2388" s="2" customFormat="1" spans="1:16">
      <c r="A2388" s="8"/>
      <c r="B2388" s="9" t="s">
        <v>3642</v>
      </c>
      <c r="C2388" s="10" t="s">
        <v>412</v>
      </c>
      <c r="D2388" s="11">
        <v>1</v>
      </c>
      <c r="E2388" s="12">
        <v>12971</v>
      </c>
      <c r="F2388" s="13">
        <v>12971</v>
      </c>
      <c r="G2388" s="2">
        <f>VLOOKUP(B2388,'PO with created By ASR'!A:C,3,FALSE)</f>
        <v>45708</v>
      </c>
      <c r="J2388" s="2" t="str">
        <f>VLOOKUP(B2388,'PO with created By ASR'!A:G,4,FALSE)</f>
        <v>Brijesh L  -CR</v>
      </c>
      <c r="K2388" s="2" t="str">
        <f>VLOOKUP(B2388,'PO with created By ASR'!A:I,6,FALSE)</f>
        <v>10025 Brijesh L</v>
      </c>
      <c r="L2388" s="2" t="str">
        <f>VLOOKUP(B2388,'PO with created By ASR'!A:J,7,FALSE)</f>
        <v>C - Chennai</v>
      </c>
      <c r="M2388" s="2" t="str">
        <f>VLOOKUP(B2388,'PO with created By ASR'!A:K,8,FALSE)</f>
        <v>Purchase Order-Che</v>
      </c>
      <c r="N2388" t="s">
        <v>36</v>
      </c>
      <c r="P2388" s="2">
        <v>6</v>
      </c>
    </row>
    <row r="2389" s="2" customFormat="1" spans="1:16">
      <c r="A2389" s="8"/>
      <c r="B2389" s="9" t="s">
        <v>3642</v>
      </c>
      <c r="C2389" s="10" t="s">
        <v>196</v>
      </c>
      <c r="D2389" s="11">
        <v>1</v>
      </c>
      <c r="E2389" s="12">
        <v>1000</v>
      </c>
      <c r="F2389" s="13">
        <v>1000</v>
      </c>
      <c r="G2389" s="2">
        <f>VLOOKUP(B2389,'PO with created By ASR'!A:C,3,FALSE)</f>
        <v>45708</v>
      </c>
      <c r="J2389" s="2" t="str">
        <f>VLOOKUP(B2389,'PO with created By ASR'!A:G,4,FALSE)</f>
        <v>Brijesh L  -CR</v>
      </c>
      <c r="K2389" s="2" t="str">
        <f>VLOOKUP(B2389,'PO with created By ASR'!A:I,6,FALSE)</f>
        <v>10025 Brijesh L</v>
      </c>
      <c r="L2389" s="2" t="str">
        <f>VLOOKUP(B2389,'PO with created By ASR'!A:J,7,FALSE)</f>
        <v>C - Chennai</v>
      </c>
      <c r="M2389" s="2" t="str">
        <f>VLOOKUP(B2389,'PO with created By ASR'!A:K,8,FALSE)</f>
        <v>Purchase Order-Che</v>
      </c>
      <c r="N2389" t="s">
        <v>36</v>
      </c>
      <c r="P2389" s="2">
        <v>6</v>
      </c>
    </row>
    <row r="2390" s="2" customFormat="1" spans="1:16">
      <c r="A2390" s="8"/>
      <c r="B2390" s="9" t="s">
        <v>3645</v>
      </c>
      <c r="C2390" s="10" t="s">
        <v>371</v>
      </c>
      <c r="D2390" s="11">
        <v>1</v>
      </c>
      <c r="E2390" s="12">
        <v>175000</v>
      </c>
      <c r="F2390" s="13">
        <v>175000</v>
      </c>
      <c r="G2390" s="2">
        <f>VLOOKUP(B2390,'PO with created By ASR'!A:C,3,FALSE)</f>
        <v>45708</v>
      </c>
      <c r="J2390" s="2" t="str">
        <f>VLOOKUP(B2390,'PO with created By ASR'!A:G,4,FALSE)</f>
        <v>Showmedia Solution Private Limited-Che</v>
      </c>
      <c r="K2390" s="2" t="e">
        <f>VLOOKUP(B2390,'PO with created By ASR'!A:I,6,FALSE)</f>
        <v>#N/A</v>
      </c>
      <c r="L2390" s="2" t="str">
        <f>VLOOKUP(B2390,'PO with created By ASR'!A:J,7,FALSE)</f>
        <v>C - Chennai</v>
      </c>
      <c r="M2390" s="2" t="str">
        <f>VLOOKUP(B2390,'PO with created By ASR'!A:K,8,FALSE)</f>
        <v>Purchase Order-Che</v>
      </c>
      <c r="N2390" t="s">
        <v>36</v>
      </c>
      <c r="P2390" s="2">
        <v>6</v>
      </c>
    </row>
    <row r="2391" s="2" customFormat="1" spans="1:16">
      <c r="A2391" s="8"/>
      <c r="B2391" s="9" t="s">
        <v>3647</v>
      </c>
      <c r="C2391" s="10" t="s">
        <v>401</v>
      </c>
      <c r="D2391" s="11">
        <v>1</v>
      </c>
      <c r="E2391" s="12">
        <v>15000</v>
      </c>
      <c r="F2391" s="13">
        <v>15000</v>
      </c>
      <c r="G2391" s="2">
        <f>VLOOKUP(B2391,'PO with created By ASR'!A:C,3,FALSE)</f>
        <v>45708</v>
      </c>
      <c r="J2391" s="2" t="str">
        <f>VLOOKUP(B2391,'PO with created By ASR'!A:G,4,FALSE)</f>
        <v>Rekha Stills-Che</v>
      </c>
      <c r="K2391" s="2" t="str">
        <f>VLOOKUP(B2391,'PO with created By ASR'!A:I,6,FALSE)</f>
        <v>12328 Rekha Stills</v>
      </c>
      <c r="L2391" s="2" t="str">
        <f>VLOOKUP(B2391,'PO with created By ASR'!A:J,7,FALSE)</f>
        <v>C - Chennai</v>
      </c>
      <c r="M2391" s="2" t="str">
        <f>VLOOKUP(B2391,'PO with created By ASR'!A:K,8,FALSE)</f>
        <v>Purchase Order-Che</v>
      </c>
      <c r="N2391" t="s">
        <v>36</v>
      </c>
      <c r="P2391" s="2">
        <v>6</v>
      </c>
    </row>
    <row r="2392" s="2" customFormat="1" spans="1:16">
      <c r="A2392" s="8"/>
      <c r="B2392" s="9" t="s">
        <v>3648</v>
      </c>
      <c r="C2392" s="10" t="s">
        <v>61</v>
      </c>
      <c r="D2392" s="11">
        <v>1</v>
      </c>
      <c r="E2392" s="12">
        <v>9700</v>
      </c>
      <c r="F2392" s="13">
        <v>9700</v>
      </c>
      <c r="G2392" s="2">
        <f>VLOOKUP(B2392,'PO with created By ASR'!A:C,3,FALSE)</f>
        <v>45708</v>
      </c>
      <c r="J2392" s="2" t="str">
        <f>VLOOKUP(B2392,'PO with created By ASR'!A:G,4,FALSE)</f>
        <v>Brijesh L  -CR</v>
      </c>
      <c r="K2392" s="2" t="str">
        <f>VLOOKUP(B2392,'PO with created By ASR'!A:I,6,FALSE)</f>
        <v>10025 Brijesh L</v>
      </c>
      <c r="L2392" s="2" t="str">
        <f>VLOOKUP(B2392,'PO with created By ASR'!A:J,7,FALSE)</f>
        <v>C - Chennai</v>
      </c>
      <c r="M2392" s="2" t="str">
        <f>VLOOKUP(B2392,'PO with created By ASR'!A:K,8,FALSE)</f>
        <v>Purchase Order-Che</v>
      </c>
      <c r="N2392" t="s">
        <v>36</v>
      </c>
      <c r="P2392" s="2">
        <v>6</v>
      </c>
    </row>
    <row r="2393" s="2" customFormat="1" spans="1:16">
      <c r="A2393" s="8"/>
      <c r="B2393" s="9" t="s">
        <v>3648</v>
      </c>
      <c r="C2393" s="10" t="s">
        <v>126</v>
      </c>
      <c r="D2393" s="11">
        <v>1</v>
      </c>
      <c r="E2393" s="12">
        <v>3953</v>
      </c>
      <c r="F2393" s="13">
        <v>3953</v>
      </c>
      <c r="G2393" s="2">
        <f>VLOOKUP(B2393,'PO with created By ASR'!A:C,3,FALSE)</f>
        <v>45708</v>
      </c>
      <c r="J2393" s="2" t="str">
        <f>VLOOKUP(B2393,'PO with created By ASR'!A:G,4,FALSE)</f>
        <v>Brijesh L  -CR</v>
      </c>
      <c r="K2393" s="2" t="str">
        <f>VLOOKUP(B2393,'PO with created By ASR'!A:I,6,FALSE)</f>
        <v>10025 Brijesh L</v>
      </c>
      <c r="L2393" s="2" t="str">
        <f>VLOOKUP(B2393,'PO with created By ASR'!A:J,7,FALSE)</f>
        <v>C - Chennai</v>
      </c>
      <c r="M2393" s="2" t="str">
        <f>VLOOKUP(B2393,'PO with created By ASR'!A:K,8,FALSE)</f>
        <v>Purchase Order-Che</v>
      </c>
      <c r="N2393" t="s">
        <v>36</v>
      </c>
      <c r="P2393" s="2">
        <v>6</v>
      </c>
    </row>
    <row r="2394" s="2" customFormat="1" spans="1:16">
      <c r="A2394" s="8"/>
      <c r="B2394" s="9" t="s">
        <v>3649</v>
      </c>
      <c r="C2394" s="10" t="s">
        <v>126</v>
      </c>
      <c r="D2394" s="11">
        <v>1</v>
      </c>
      <c r="E2394" s="12">
        <v>1824</v>
      </c>
      <c r="F2394" s="13">
        <v>1824</v>
      </c>
      <c r="G2394" s="2">
        <f>VLOOKUP(B2394,'PO with created By ASR'!A:C,3,FALSE)</f>
        <v>45708</v>
      </c>
      <c r="J2394" s="2" t="str">
        <f>VLOOKUP(B2394,'PO with created By ASR'!A:G,4,FALSE)</f>
        <v>Brijesh L  -CR</v>
      </c>
      <c r="K2394" s="2" t="str">
        <f>VLOOKUP(B2394,'PO with created By ASR'!A:I,6,FALSE)</f>
        <v>10025 Brijesh L</v>
      </c>
      <c r="L2394" s="2" t="str">
        <f>VLOOKUP(B2394,'PO with created By ASR'!A:J,7,FALSE)</f>
        <v>C - Chennai</v>
      </c>
      <c r="M2394" s="2" t="str">
        <f>VLOOKUP(B2394,'PO with created By ASR'!A:K,8,FALSE)</f>
        <v>Purchase Order-Che</v>
      </c>
      <c r="N2394" t="s">
        <v>36</v>
      </c>
      <c r="P2394" s="2">
        <v>6</v>
      </c>
    </row>
    <row r="2395" s="2" customFormat="1" spans="1:16">
      <c r="A2395" s="8"/>
      <c r="B2395" s="9" t="s">
        <v>3649</v>
      </c>
      <c r="C2395" s="10" t="s">
        <v>61</v>
      </c>
      <c r="D2395" s="11">
        <v>1</v>
      </c>
      <c r="E2395" s="12">
        <v>5117</v>
      </c>
      <c r="F2395" s="13">
        <v>5117</v>
      </c>
      <c r="G2395" s="2">
        <f>VLOOKUP(B2395,'PO with created By ASR'!A:C,3,FALSE)</f>
        <v>45708</v>
      </c>
      <c r="J2395" s="2" t="str">
        <f>VLOOKUP(B2395,'PO with created By ASR'!A:G,4,FALSE)</f>
        <v>Brijesh L  -CR</v>
      </c>
      <c r="K2395" s="2" t="str">
        <f>VLOOKUP(B2395,'PO with created By ASR'!A:I,6,FALSE)</f>
        <v>10025 Brijesh L</v>
      </c>
      <c r="L2395" s="2" t="str">
        <f>VLOOKUP(B2395,'PO with created By ASR'!A:J,7,FALSE)</f>
        <v>C - Chennai</v>
      </c>
      <c r="M2395" s="2" t="str">
        <f>VLOOKUP(B2395,'PO with created By ASR'!A:K,8,FALSE)</f>
        <v>Purchase Order-Che</v>
      </c>
      <c r="N2395" t="s">
        <v>36</v>
      </c>
      <c r="P2395" s="2">
        <v>6</v>
      </c>
    </row>
    <row r="2396" s="2" customFormat="1" spans="1:16">
      <c r="A2396" s="8"/>
      <c r="B2396" s="9" t="s">
        <v>3649</v>
      </c>
      <c r="C2396" s="10" t="s">
        <v>233</v>
      </c>
      <c r="D2396" s="11">
        <v>1</v>
      </c>
      <c r="E2396" s="12">
        <v>11430</v>
      </c>
      <c r="F2396" s="13">
        <v>11430</v>
      </c>
      <c r="G2396" s="2">
        <f>VLOOKUP(B2396,'PO with created By ASR'!A:C,3,FALSE)</f>
        <v>45708</v>
      </c>
      <c r="J2396" s="2" t="str">
        <f>VLOOKUP(B2396,'PO with created By ASR'!A:G,4,FALSE)</f>
        <v>Brijesh L  -CR</v>
      </c>
      <c r="K2396" s="2" t="str">
        <f>VLOOKUP(B2396,'PO with created By ASR'!A:I,6,FALSE)</f>
        <v>10025 Brijesh L</v>
      </c>
      <c r="L2396" s="2" t="str">
        <f>VLOOKUP(B2396,'PO with created By ASR'!A:J,7,FALSE)</f>
        <v>C - Chennai</v>
      </c>
      <c r="M2396" s="2" t="str">
        <f>VLOOKUP(B2396,'PO with created By ASR'!A:K,8,FALSE)</f>
        <v>Purchase Order-Che</v>
      </c>
      <c r="N2396" t="s">
        <v>36</v>
      </c>
      <c r="P2396" s="2">
        <v>6</v>
      </c>
    </row>
    <row r="2397" s="2" customFormat="1" spans="1:16">
      <c r="A2397" s="8"/>
      <c r="B2397" s="9" t="s">
        <v>3649</v>
      </c>
      <c r="C2397" s="10" t="s">
        <v>412</v>
      </c>
      <c r="D2397" s="11">
        <v>1</v>
      </c>
      <c r="E2397" s="12">
        <v>662</v>
      </c>
      <c r="F2397" s="13">
        <v>662</v>
      </c>
      <c r="G2397" s="2">
        <f>VLOOKUP(B2397,'PO with created By ASR'!A:C,3,FALSE)</f>
        <v>45708</v>
      </c>
      <c r="J2397" s="2" t="str">
        <f>VLOOKUP(B2397,'PO with created By ASR'!A:G,4,FALSE)</f>
        <v>Brijesh L  -CR</v>
      </c>
      <c r="K2397" s="2" t="str">
        <f>VLOOKUP(B2397,'PO with created By ASR'!A:I,6,FALSE)</f>
        <v>10025 Brijesh L</v>
      </c>
      <c r="L2397" s="2" t="str">
        <f>VLOOKUP(B2397,'PO with created By ASR'!A:J,7,FALSE)</f>
        <v>C - Chennai</v>
      </c>
      <c r="M2397" s="2" t="str">
        <f>VLOOKUP(B2397,'PO with created By ASR'!A:K,8,FALSE)</f>
        <v>Purchase Order-Che</v>
      </c>
      <c r="N2397" t="s">
        <v>36</v>
      </c>
      <c r="P2397" s="2">
        <v>6</v>
      </c>
    </row>
    <row r="2398" s="2" customFormat="1" spans="1:16">
      <c r="A2398" s="8"/>
      <c r="B2398" s="9" t="s">
        <v>3650</v>
      </c>
      <c r="C2398" s="10" t="s">
        <v>292</v>
      </c>
      <c r="D2398" s="11">
        <v>1</v>
      </c>
      <c r="E2398" s="12">
        <v>18000</v>
      </c>
      <c r="F2398" s="13">
        <v>18000</v>
      </c>
      <c r="G2398" s="2">
        <f>VLOOKUP(B2398,'PO with created By ASR'!A:C,3,FALSE)</f>
        <v>45708</v>
      </c>
      <c r="J2398" s="2" t="str">
        <f>VLOOKUP(B2398,'PO with created By ASR'!A:G,4,FALSE)</f>
        <v>Shanmugam J-Che</v>
      </c>
      <c r="K2398" s="2" t="str">
        <f>VLOOKUP(B2398,'PO with created By ASR'!A:I,6,FALSE)</f>
        <v>12917 Shanmugam J</v>
      </c>
      <c r="L2398" s="2" t="str">
        <f>VLOOKUP(B2398,'PO with created By ASR'!A:J,7,FALSE)</f>
        <v>C - Chennai</v>
      </c>
      <c r="M2398" s="2" t="str">
        <f>VLOOKUP(B2398,'PO with created By ASR'!A:K,8,FALSE)</f>
        <v>Purchase Order-Che</v>
      </c>
      <c r="N2398" t="s">
        <v>36</v>
      </c>
      <c r="P2398" s="2">
        <v>6</v>
      </c>
    </row>
    <row r="2399" s="2" customFormat="1" spans="1:16">
      <c r="A2399" s="8"/>
      <c r="B2399" s="9" t="s">
        <v>3651</v>
      </c>
      <c r="C2399" s="10" t="s">
        <v>126</v>
      </c>
      <c r="D2399" s="11">
        <v>1</v>
      </c>
      <c r="E2399" s="12">
        <v>5161</v>
      </c>
      <c r="F2399" s="13">
        <v>5161</v>
      </c>
      <c r="G2399" s="2">
        <f>VLOOKUP(B2399,'PO with created By ASR'!A:C,3,FALSE)</f>
        <v>45708</v>
      </c>
      <c r="J2399" s="2" t="str">
        <f>VLOOKUP(B2399,'PO with created By ASR'!A:G,4,FALSE)</f>
        <v>Clinton J  for Expense-CR</v>
      </c>
      <c r="K2399" s="2" t="e">
        <f>VLOOKUP(B2399,'PO with created By ASR'!A:I,6,FALSE)</f>
        <v>#N/A</v>
      </c>
      <c r="L2399" s="2" t="str">
        <f>VLOOKUP(B2399,'PO with created By ASR'!A:J,7,FALSE)</f>
        <v>C - Chennai</v>
      </c>
      <c r="M2399" s="2" t="str">
        <f>VLOOKUP(B2399,'PO with created By ASR'!A:K,8,FALSE)</f>
        <v>Purchase Order-Che</v>
      </c>
      <c r="N2399" t="s">
        <v>36</v>
      </c>
      <c r="P2399" s="2">
        <v>6</v>
      </c>
    </row>
    <row r="2400" s="2" customFormat="1" spans="1:16">
      <c r="A2400" s="8"/>
      <c r="B2400" s="9" t="s">
        <v>3651</v>
      </c>
      <c r="C2400" s="10" t="s">
        <v>196</v>
      </c>
      <c r="D2400" s="11">
        <v>1</v>
      </c>
      <c r="E2400" s="12">
        <v>2826</v>
      </c>
      <c r="F2400" s="13">
        <v>2826</v>
      </c>
      <c r="G2400" s="2">
        <f>VLOOKUP(B2400,'PO with created By ASR'!A:C,3,FALSE)</f>
        <v>45708</v>
      </c>
      <c r="J2400" s="2" t="str">
        <f>VLOOKUP(B2400,'PO with created By ASR'!A:G,4,FALSE)</f>
        <v>Clinton J  for Expense-CR</v>
      </c>
      <c r="K2400" s="2" t="e">
        <f>VLOOKUP(B2400,'PO with created By ASR'!A:I,6,FALSE)</f>
        <v>#N/A</v>
      </c>
      <c r="L2400" s="2" t="str">
        <f>VLOOKUP(B2400,'PO with created By ASR'!A:J,7,FALSE)</f>
        <v>C - Chennai</v>
      </c>
      <c r="M2400" s="2" t="str">
        <f>VLOOKUP(B2400,'PO with created By ASR'!A:K,8,FALSE)</f>
        <v>Purchase Order-Che</v>
      </c>
      <c r="N2400" t="s">
        <v>36</v>
      </c>
      <c r="P2400" s="2">
        <v>6</v>
      </c>
    </row>
    <row r="2401" s="2" customFormat="1" spans="1:16">
      <c r="A2401" s="8"/>
      <c r="B2401" s="9" t="s">
        <v>3651</v>
      </c>
      <c r="C2401" s="10" t="s">
        <v>412</v>
      </c>
      <c r="D2401" s="11">
        <v>1</v>
      </c>
      <c r="E2401" s="12">
        <v>2883</v>
      </c>
      <c r="F2401" s="13">
        <v>2883</v>
      </c>
      <c r="G2401" s="2">
        <f>VLOOKUP(B2401,'PO with created By ASR'!A:C,3,FALSE)</f>
        <v>45708</v>
      </c>
      <c r="J2401" s="2" t="str">
        <f>VLOOKUP(B2401,'PO with created By ASR'!A:G,4,FALSE)</f>
        <v>Clinton J  for Expense-CR</v>
      </c>
      <c r="K2401" s="2" t="e">
        <f>VLOOKUP(B2401,'PO with created By ASR'!A:I,6,FALSE)</f>
        <v>#N/A</v>
      </c>
      <c r="L2401" s="2" t="str">
        <f>VLOOKUP(B2401,'PO with created By ASR'!A:J,7,FALSE)</f>
        <v>C - Chennai</v>
      </c>
      <c r="M2401" s="2" t="str">
        <f>VLOOKUP(B2401,'PO with created By ASR'!A:K,8,FALSE)</f>
        <v>Purchase Order-Che</v>
      </c>
      <c r="N2401" t="s">
        <v>36</v>
      </c>
      <c r="P2401" s="2">
        <v>6</v>
      </c>
    </row>
    <row r="2402" s="2" customFormat="1" spans="1:16">
      <c r="A2402" s="8"/>
      <c r="B2402" s="9" t="s">
        <v>3651</v>
      </c>
      <c r="C2402" s="10" t="s">
        <v>233</v>
      </c>
      <c r="D2402" s="11">
        <v>1</v>
      </c>
      <c r="E2402" s="12">
        <v>2040</v>
      </c>
      <c r="F2402" s="13">
        <v>2040</v>
      </c>
      <c r="G2402" s="2">
        <f>VLOOKUP(B2402,'PO with created By ASR'!A:C,3,FALSE)</f>
        <v>45708</v>
      </c>
      <c r="J2402" s="2" t="str">
        <f>VLOOKUP(B2402,'PO with created By ASR'!A:G,4,FALSE)</f>
        <v>Clinton J  for Expense-CR</v>
      </c>
      <c r="K2402" s="2" t="e">
        <f>VLOOKUP(B2402,'PO with created By ASR'!A:I,6,FALSE)</f>
        <v>#N/A</v>
      </c>
      <c r="L2402" s="2" t="str">
        <f>VLOOKUP(B2402,'PO with created By ASR'!A:J,7,FALSE)</f>
        <v>C - Chennai</v>
      </c>
      <c r="M2402" s="2" t="str">
        <f>VLOOKUP(B2402,'PO with created By ASR'!A:K,8,FALSE)</f>
        <v>Purchase Order-Che</v>
      </c>
      <c r="N2402" t="s">
        <v>36</v>
      </c>
      <c r="P2402" s="2">
        <v>6</v>
      </c>
    </row>
    <row r="2403" s="2" customFormat="1" spans="1:16">
      <c r="A2403" s="8"/>
      <c r="B2403" s="9" t="s">
        <v>3651</v>
      </c>
      <c r="C2403" s="10" t="s">
        <v>508</v>
      </c>
      <c r="D2403" s="11">
        <v>1</v>
      </c>
      <c r="E2403" s="12">
        <v>1197</v>
      </c>
      <c r="F2403" s="13">
        <v>1197</v>
      </c>
      <c r="G2403" s="2">
        <f>VLOOKUP(B2403,'PO with created By ASR'!A:C,3,FALSE)</f>
        <v>45708</v>
      </c>
      <c r="J2403" s="2" t="str">
        <f>VLOOKUP(B2403,'PO with created By ASR'!A:G,4,FALSE)</f>
        <v>Clinton J  for Expense-CR</v>
      </c>
      <c r="K2403" s="2" t="e">
        <f>VLOOKUP(B2403,'PO with created By ASR'!A:I,6,FALSE)</f>
        <v>#N/A</v>
      </c>
      <c r="L2403" s="2" t="str">
        <f>VLOOKUP(B2403,'PO with created By ASR'!A:J,7,FALSE)</f>
        <v>C - Chennai</v>
      </c>
      <c r="M2403" s="2" t="str">
        <f>VLOOKUP(B2403,'PO with created By ASR'!A:K,8,FALSE)</f>
        <v>Purchase Order-Che</v>
      </c>
      <c r="N2403" t="s">
        <v>36</v>
      </c>
      <c r="P2403" s="2">
        <v>6</v>
      </c>
    </row>
    <row r="2404" s="2" customFormat="1" spans="1:16">
      <c r="A2404" s="8"/>
      <c r="B2404" s="9" t="s">
        <v>3652</v>
      </c>
      <c r="C2404" s="10" t="s">
        <v>126</v>
      </c>
      <c r="D2404" s="11">
        <v>1</v>
      </c>
      <c r="E2404" s="12">
        <v>2633</v>
      </c>
      <c r="F2404" s="13">
        <v>2633</v>
      </c>
      <c r="G2404" s="2">
        <f>VLOOKUP(B2404,'PO with created By ASR'!A:C,3,FALSE)</f>
        <v>45708</v>
      </c>
      <c r="J2404" s="2" t="str">
        <f>VLOOKUP(B2404,'PO with created By ASR'!A:G,4,FALSE)</f>
        <v>Brijesh L  -CR</v>
      </c>
      <c r="K2404" s="2" t="str">
        <f>VLOOKUP(B2404,'PO with created By ASR'!A:I,6,FALSE)</f>
        <v>10025 Brijesh L</v>
      </c>
      <c r="L2404" s="2" t="str">
        <f>VLOOKUP(B2404,'PO with created By ASR'!A:J,7,FALSE)</f>
        <v>C - Chennai</v>
      </c>
      <c r="M2404" s="2" t="str">
        <f>VLOOKUP(B2404,'PO with created By ASR'!A:K,8,FALSE)</f>
        <v>Purchase Order-Che</v>
      </c>
      <c r="N2404" t="s">
        <v>36</v>
      </c>
      <c r="P2404" s="2">
        <v>6</v>
      </c>
    </row>
    <row r="2405" s="2" customFormat="1" spans="1:16">
      <c r="A2405" s="8"/>
      <c r="B2405" s="9" t="s">
        <v>3652</v>
      </c>
      <c r="C2405" s="10" t="s">
        <v>1055</v>
      </c>
      <c r="D2405" s="11">
        <v>1</v>
      </c>
      <c r="E2405" s="12">
        <v>2500</v>
      </c>
      <c r="F2405" s="13">
        <v>2500</v>
      </c>
      <c r="G2405" s="2">
        <f>VLOOKUP(B2405,'PO with created By ASR'!A:C,3,FALSE)</f>
        <v>45708</v>
      </c>
      <c r="J2405" s="2" t="str">
        <f>VLOOKUP(B2405,'PO with created By ASR'!A:G,4,FALSE)</f>
        <v>Brijesh L  -CR</v>
      </c>
      <c r="K2405" s="2" t="str">
        <f>VLOOKUP(B2405,'PO with created By ASR'!A:I,6,FALSE)</f>
        <v>10025 Brijesh L</v>
      </c>
      <c r="L2405" s="2" t="str">
        <f>VLOOKUP(B2405,'PO with created By ASR'!A:J,7,FALSE)</f>
        <v>C - Chennai</v>
      </c>
      <c r="M2405" s="2" t="str">
        <f>VLOOKUP(B2405,'PO with created By ASR'!A:K,8,FALSE)</f>
        <v>Purchase Order-Che</v>
      </c>
      <c r="N2405" t="s">
        <v>36</v>
      </c>
      <c r="P2405" s="2">
        <v>6</v>
      </c>
    </row>
    <row r="2406" s="2" customFormat="1" spans="1:16">
      <c r="A2406" s="8"/>
      <c r="B2406" s="9" t="s">
        <v>3652</v>
      </c>
      <c r="C2406" s="10" t="s">
        <v>233</v>
      </c>
      <c r="D2406" s="11">
        <v>1</v>
      </c>
      <c r="E2406" s="12">
        <v>8042</v>
      </c>
      <c r="F2406" s="13">
        <v>8042</v>
      </c>
      <c r="G2406" s="2">
        <f>VLOOKUP(B2406,'PO with created By ASR'!A:C,3,FALSE)</f>
        <v>45708</v>
      </c>
      <c r="J2406" s="2" t="str">
        <f>VLOOKUP(B2406,'PO with created By ASR'!A:G,4,FALSE)</f>
        <v>Brijesh L  -CR</v>
      </c>
      <c r="K2406" s="2" t="str">
        <f>VLOOKUP(B2406,'PO with created By ASR'!A:I,6,FALSE)</f>
        <v>10025 Brijesh L</v>
      </c>
      <c r="L2406" s="2" t="str">
        <f>VLOOKUP(B2406,'PO with created By ASR'!A:J,7,FALSE)</f>
        <v>C - Chennai</v>
      </c>
      <c r="M2406" s="2" t="str">
        <f>VLOOKUP(B2406,'PO with created By ASR'!A:K,8,FALSE)</f>
        <v>Purchase Order-Che</v>
      </c>
      <c r="N2406" t="s">
        <v>36</v>
      </c>
      <c r="P2406" s="2">
        <v>6</v>
      </c>
    </row>
    <row r="2407" s="2" customFormat="1" spans="1:16">
      <c r="A2407" s="8"/>
      <c r="B2407" s="9" t="s">
        <v>3652</v>
      </c>
      <c r="C2407" s="10" t="s">
        <v>196</v>
      </c>
      <c r="D2407" s="11">
        <v>1</v>
      </c>
      <c r="E2407" s="12">
        <v>2050</v>
      </c>
      <c r="F2407" s="13">
        <v>2050</v>
      </c>
      <c r="G2407" s="2">
        <f>VLOOKUP(B2407,'PO with created By ASR'!A:C,3,FALSE)</f>
        <v>45708</v>
      </c>
      <c r="J2407" s="2" t="str">
        <f>VLOOKUP(B2407,'PO with created By ASR'!A:G,4,FALSE)</f>
        <v>Brijesh L  -CR</v>
      </c>
      <c r="K2407" s="2" t="str">
        <f>VLOOKUP(B2407,'PO with created By ASR'!A:I,6,FALSE)</f>
        <v>10025 Brijesh L</v>
      </c>
      <c r="L2407" s="2" t="str">
        <f>VLOOKUP(B2407,'PO with created By ASR'!A:J,7,FALSE)</f>
        <v>C - Chennai</v>
      </c>
      <c r="M2407" s="2" t="str">
        <f>VLOOKUP(B2407,'PO with created By ASR'!A:K,8,FALSE)</f>
        <v>Purchase Order-Che</v>
      </c>
      <c r="N2407" t="s">
        <v>36</v>
      </c>
      <c r="P2407" s="2">
        <v>6</v>
      </c>
    </row>
    <row r="2408" s="2" customFormat="1" spans="1:16">
      <c r="A2408" s="8"/>
      <c r="B2408" s="9" t="s">
        <v>3652</v>
      </c>
      <c r="C2408" s="10" t="s">
        <v>412</v>
      </c>
      <c r="D2408" s="11">
        <v>1</v>
      </c>
      <c r="E2408" s="12">
        <v>352</v>
      </c>
      <c r="F2408" s="13">
        <v>352</v>
      </c>
      <c r="G2408" s="2">
        <f>VLOOKUP(B2408,'PO with created By ASR'!A:C,3,FALSE)</f>
        <v>45708</v>
      </c>
      <c r="J2408" s="2" t="str">
        <f>VLOOKUP(B2408,'PO with created By ASR'!A:G,4,FALSE)</f>
        <v>Brijesh L  -CR</v>
      </c>
      <c r="K2408" s="2" t="str">
        <f>VLOOKUP(B2408,'PO with created By ASR'!A:I,6,FALSE)</f>
        <v>10025 Brijesh L</v>
      </c>
      <c r="L2408" s="2" t="str">
        <f>VLOOKUP(B2408,'PO with created By ASR'!A:J,7,FALSE)</f>
        <v>C - Chennai</v>
      </c>
      <c r="M2408" s="2" t="str">
        <f>VLOOKUP(B2408,'PO with created By ASR'!A:K,8,FALSE)</f>
        <v>Purchase Order-Che</v>
      </c>
      <c r="N2408" t="s">
        <v>36</v>
      </c>
      <c r="P2408" s="2">
        <v>6</v>
      </c>
    </row>
    <row r="2409" s="2" customFormat="1" spans="1:16">
      <c r="A2409" s="8"/>
      <c r="B2409" s="9" t="s">
        <v>3653</v>
      </c>
      <c r="C2409" s="10" t="s">
        <v>126</v>
      </c>
      <c r="D2409" s="11">
        <v>1</v>
      </c>
      <c r="E2409" s="12">
        <v>510</v>
      </c>
      <c r="F2409" s="13">
        <v>510</v>
      </c>
      <c r="G2409" s="2">
        <f>VLOOKUP(B2409,'PO with created By ASR'!A:C,3,FALSE)</f>
        <v>45708</v>
      </c>
      <c r="J2409" s="2" t="str">
        <f>VLOOKUP(B2409,'PO with created By ASR'!A:G,4,FALSE)</f>
        <v>Brijesh L  -CR</v>
      </c>
      <c r="K2409" s="2" t="str">
        <f>VLOOKUP(B2409,'PO with created By ASR'!A:I,6,FALSE)</f>
        <v>10025 Brijesh L</v>
      </c>
      <c r="L2409" s="2" t="str">
        <f>VLOOKUP(B2409,'PO with created By ASR'!A:J,7,FALSE)</f>
        <v>C - Chennai</v>
      </c>
      <c r="M2409" s="2" t="str">
        <f>VLOOKUP(B2409,'PO with created By ASR'!A:K,8,FALSE)</f>
        <v>Purchase Order-Che</v>
      </c>
      <c r="N2409" t="s">
        <v>36</v>
      </c>
      <c r="P2409" s="2">
        <v>6</v>
      </c>
    </row>
    <row r="2410" s="2" customFormat="1" spans="1:16">
      <c r="A2410" s="8"/>
      <c r="B2410" s="9" t="s">
        <v>3653</v>
      </c>
      <c r="C2410" s="10" t="s">
        <v>412</v>
      </c>
      <c r="D2410" s="11">
        <v>1</v>
      </c>
      <c r="E2410" s="12">
        <v>225</v>
      </c>
      <c r="F2410" s="13">
        <v>225</v>
      </c>
      <c r="G2410" s="2">
        <f>VLOOKUP(B2410,'PO with created By ASR'!A:C,3,FALSE)</f>
        <v>45708</v>
      </c>
      <c r="J2410" s="2" t="str">
        <f>VLOOKUP(B2410,'PO with created By ASR'!A:G,4,FALSE)</f>
        <v>Brijesh L  -CR</v>
      </c>
      <c r="K2410" s="2" t="str">
        <f>VLOOKUP(B2410,'PO with created By ASR'!A:I,6,FALSE)</f>
        <v>10025 Brijesh L</v>
      </c>
      <c r="L2410" s="2" t="str">
        <f>VLOOKUP(B2410,'PO with created By ASR'!A:J,7,FALSE)</f>
        <v>C - Chennai</v>
      </c>
      <c r="M2410" s="2" t="str">
        <f>VLOOKUP(B2410,'PO with created By ASR'!A:K,8,FALSE)</f>
        <v>Purchase Order-Che</v>
      </c>
      <c r="N2410" t="s">
        <v>36</v>
      </c>
      <c r="P2410" s="2">
        <v>6</v>
      </c>
    </row>
    <row r="2411" s="2" customFormat="1" spans="1:16">
      <c r="A2411" s="8"/>
      <c r="B2411" s="9" t="s">
        <v>3653</v>
      </c>
      <c r="C2411" s="10" t="s">
        <v>233</v>
      </c>
      <c r="D2411" s="11">
        <v>1</v>
      </c>
      <c r="E2411" s="12">
        <v>4200</v>
      </c>
      <c r="F2411" s="13">
        <v>4200</v>
      </c>
      <c r="G2411" s="2">
        <f>VLOOKUP(B2411,'PO with created By ASR'!A:C,3,FALSE)</f>
        <v>45708</v>
      </c>
      <c r="J2411" s="2" t="str">
        <f>VLOOKUP(B2411,'PO with created By ASR'!A:G,4,FALSE)</f>
        <v>Brijesh L  -CR</v>
      </c>
      <c r="K2411" s="2" t="str">
        <f>VLOOKUP(B2411,'PO with created By ASR'!A:I,6,FALSE)</f>
        <v>10025 Brijesh L</v>
      </c>
      <c r="L2411" s="2" t="str">
        <f>VLOOKUP(B2411,'PO with created By ASR'!A:J,7,FALSE)</f>
        <v>C - Chennai</v>
      </c>
      <c r="M2411" s="2" t="str">
        <f>VLOOKUP(B2411,'PO with created By ASR'!A:K,8,FALSE)</f>
        <v>Purchase Order-Che</v>
      </c>
      <c r="N2411" t="s">
        <v>36</v>
      </c>
      <c r="P2411" s="2">
        <v>6</v>
      </c>
    </row>
    <row r="2412" s="2" customFormat="1" spans="1:16">
      <c r="A2412" s="8"/>
      <c r="B2412" s="9" t="s">
        <v>3654</v>
      </c>
      <c r="C2412" s="10" t="s">
        <v>126</v>
      </c>
      <c r="D2412" s="11">
        <v>1</v>
      </c>
      <c r="E2412" s="12">
        <v>1810</v>
      </c>
      <c r="F2412" s="13">
        <v>1810</v>
      </c>
      <c r="G2412" s="2">
        <f>VLOOKUP(B2412,'PO with created By ASR'!A:C,3,FALSE)</f>
        <v>45708</v>
      </c>
      <c r="J2412" s="2" t="str">
        <f>VLOOKUP(B2412,'PO with created By ASR'!A:G,4,FALSE)</f>
        <v>Clinton J  for Expense-CR</v>
      </c>
      <c r="K2412" s="2" t="e">
        <f>VLOOKUP(B2412,'PO with created By ASR'!A:I,6,FALSE)</f>
        <v>#N/A</v>
      </c>
      <c r="L2412" s="2" t="str">
        <f>VLOOKUP(B2412,'PO with created By ASR'!A:J,7,FALSE)</f>
        <v>C - Chennai</v>
      </c>
      <c r="M2412" s="2" t="str">
        <f>VLOOKUP(B2412,'PO with created By ASR'!A:K,8,FALSE)</f>
        <v>Purchase Order-Che</v>
      </c>
      <c r="N2412" t="s">
        <v>36</v>
      </c>
      <c r="P2412" s="2">
        <v>6</v>
      </c>
    </row>
    <row r="2413" s="2" customFormat="1" spans="1:16">
      <c r="A2413" s="8"/>
      <c r="B2413" s="9" t="s">
        <v>3654</v>
      </c>
      <c r="C2413" s="10" t="s">
        <v>412</v>
      </c>
      <c r="D2413" s="11">
        <v>1</v>
      </c>
      <c r="E2413" s="12">
        <v>350</v>
      </c>
      <c r="F2413" s="13">
        <v>350</v>
      </c>
      <c r="G2413" s="2">
        <f>VLOOKUP(B2413,'PO with created By ASR'!A:C,3,FALSE)</f>
        <v>45708</v>
      </c>
      <c r="J2413" s="2" t="str">
        <f>VLOOKUP(B2413,'PO with created By ASR'!A:G,4,FALSE)</f>
        <v>Clinton J  for Expense-CR</v>
      </c>
      <c r="K2413" s="2" t="e">
        <f>VLOOKUP(B2413,'PO with created By ASR'!A:I,6,FALSE)</f>
        <v>#N/A</v>
      </c>
      <c r="L2413" s="2" t="str">
        <f>VLOOKUP(B2413,'PO with created By ASR'!A:J,7,FALSE)</f>
        <v>C - Chennai</v>
      </c>
      <c r="M2413" s="2" t="str">
        <f>VLOOKUP(B2413,'PO with created By ASR'!A:K,8,FALSE)</f>
        <v>Purchase Order-Che</v>
      </c>
      <c r="N2413" t="s">
        <v>36</v>
      </c>
      <c r="P2413" s="2">
        <v>6</v>
      </c>
    </row>
    <row r="2414" s="2" customFormat="1" spans="1:16">
      <c r="A2414" s="8"/>
      <c r="B2414" s="9" t="s">
        <v>3654</v>
      </c>
      <c r="C2414" s="10" t="s">
        <v>196</v>
      </c>
      <c r="D2414" s="11">
        <v>1</v>
      </c>
      <c r="E2414" s="12">
        <v>710</v>
      </c>
      <c r="F2414" s="13">
        <v>710</v>
      </c>
      <c r="G2414" s="2">
        <f>VLOOKUP(B2414,'PO with created By ASR'!A:C,3,FALSE)</f>
        <v>45708</v>
      </c>
      <c r="J2414" s="2" t="str">
        <f>VLOOKUP(B2414,'PO with created By ASR'!A:G,4,FALSE)</f>
        <v>Clinton J  for Expense-CR</v>
      </c>
      <c r="K2414" s="2" t="e">
        <f>VLOOKUP(B2414,'PO with created By ASR'!A:I,6,FALSE)</f>
        <v>#N/A</v>
      </c>
      <c r="L2414" s="2" t="str">
        <f>VLOOKUP(B2414,'PO with created By ASR'!A:J,7,FALSE)</f>
        <v>C - Chennai</v>
      </c>
      <c r="M2414" s="2" t="str">
        <f>VLOOKUP(B2414,'PO with created By ASR'!A:K,8,FALSE)</f>
        <v>Purchase Order-Che</v>
      </c>
      <c r="N2414" t="s">
        <v>36</v>
      </c>
      <c r="P2414" s="2">
        <v>6</v>
      </c>
    </row>
    <row r="2415" s="2" customFormat="1" spans="1:16">
      <c r="A2415" s="8"/>
      <c r="B2415" s="9" t="s">
        <v>3654</v>
      </c>
      <c r="C2415" s="10" t="s">
        <v>1055</v>
      </c>
      <c r="D2415" s="11">
        <v>1</v>
      </c>
      <c r="E2415" s="12">
        <v>2500</v>
      </c>
      <c r="F2415" s="13">
        <v>2500</v>
      </c>
      <c r="G2415" s="2">
        <f>VLOOKUP(B2415,'PO with created By ASR'!A:C,3,FALSE)</f>
        <v>45708</v>
      </c>
      <c r="J2415" s="2" t="str">
        <f>VLOOKUP(B2415,'PO with created By ASR'!A:G,4,FALSE)</f>
        <v>Clinton J  for Expense-CR</v>
      </c>
      <c r="K2415" s="2" t="e">
        <f>VLOOKUP(B2415,'PO with created By ASR'!A:I,6,FALSE)</f>
        <v>#N/A</v>
      </c>
      <c r="L2415" s="2" t="str">
        <f>VLOOKUP(B2415,'PO with created By ASR'!A:J,7,FALSE)</f>
        <v>C - Chennai</v>
      </c>
      <c r="M2415" s="2" t="str">
        <f>VLOOKUP(B2415,'PO with created By ASR'!A:K,8,FALSE)</f>
        <v>Purchase Order-Che</v>
      </c>
      <c r="N2415" t="s">
        <v>36</v>
      </c>
      <c r="P2415" s="2">
        <v>6</v>
      </c>
    </row>
    <row r="2416" s="2" customFormat="1" spans="1:16">
      <c r="A2416" s="8"/>
      <c r="B2416" s="9" t="s">
        <v>3655</v>
      </c>
      <c r="C2416" s="10" t="s">
        <v>126</v>
      </c>
      <c r="D2416" s="11">
        <v>1</v>
      </c>
      <c r="E2416" s="12">
        <v>1535</v>
      </c>
      <c r="F2416" s="13">
        <v>1535</v>
      </c>
      <c r="G2416" s="2">
        <f>VLOOKUP(B2416,'PO with created By ASR'!A:C,3,FALSE)</f>
        <v>45708</v>
      </c>
      <c r="J2416" s="2" t="str">
        <f>VLOOKUP(B2416,'PO with created By ASR'!A:G,4,FALSE)</f>
        <v>Kanupriya Aggarwal  -CR</v>
      </c>
      <c r="K2416" s="2" t="e">
        <f>VLOOKUP(B2416,'PO with created By ASR'!A:I,6,FALSE)</f>
        <v>#N/A</v>
      </c>
      <c r="L2416" s="2" t="str">
        <f>VLOOKUP(B2416,'PO with created By ASR'!A:J,7,FALSE)</f>
        <v>D - Delhi</v>
      </c>
      <c r="M2416" s="2" t="str">
        <f>VLOOKUP(B2416,'PO with created By ASR'!A:K,8,FALSE)</f>
        <v>Purchase Order-Del</v>
      </c>
      <c r="N2416" t="s">
        <v>36</v>
      </c>
      <c r="P2416" s="2">
        <v>6</v>
      </c>
    </row>
    <row r="2417" s="2" customFormat="1" spans="1:16">
      <c r="A2417" s="8"/>
      <c r="B2417" s="9" t="s">
        <v>3655</v>
      </c>
      <c r="C2417" s="10" t="s">
        <v>412</v>
      </c>
      <c r="D2417" s="11">
        <v>1</v>
      </c>
      <c r="E2417" s="12">
        <v>235</v>
      </c>
      <c r="F2417" s="13">
        <v>235</v>
      </c>
      <c r="G2417" s="2">
        <f>VLOOKUP(B2417,'PO with created By ASR'!A:C,3,FALSE)</f>
        <v>45708</v>
      </c>
      <c r="J2417" s="2" t="str">
        <f>VLOOKUP(B2417,'PO with created By ASR'!A:G,4,FALSE)</f>
        <v>Kanupriya Aggarwal  -CR</v>
      </c>
      <c r="K2417" s="2" t="e">
        <f>VLOOKUP(B2417,'PO with created By ASR'!A:I,6,FALSE)</f>
        <v>#N/A</v>
      </c>
      <c r="L2417" s="2" t="str">
        <f>VLOOKUP(B2417,'PO with created By ASR'!A:J,7,FALSE)</f>
        <v>D - Delhi</v>
      </c>
      <c r="M2417" s="2" t="str">
        <f>VLOOKUP(B2417,'PO with created By ASR'!A:K,8,FALSE)</f>
        <v>Purchase Order-Del</v>
      </c>
      <c r="N2417" t="s">
        <v>36</v>
      </c>
      <c r="P2417" s="2">
        <v>6</v>
      </c>
    </row>
    <row r="2418" s="2" customFormat="1" spans="1:16">
      <c r="A2418" s="8"/>
      <c r="B2418" s="9" t="s">
        <v>3656</v>
      </c>
      <c r="C2418" s="10" t="s">
        <v>126</v>
      </c>
      <c r="D2418" s="11">
        <v>1</v>
      </c>
      <c r="E2418" s="12">
        <v>4292</v>
      </c>
      <c r="F2418" s="13">
        <v>4292</v>
      </c>
      <c r="G2418" s="2">
        <f>VLOOKUP(B2418,'PO with created By ASR'!A:C,3,FALSE)</f>
        <v>45708</v>
      </c>
      <c r="J2418" s="2" t="str">
        <f>VLOOKUP(B2418,'PO with created By ASR'!A:G,4,FALSE)</f>
        <v>Ravi.........-CR</v>
      </c>
      <c r="K2418" s="2" t="e">
        <f>VLOOKUP(B2418,'PO with created By ASR'!A:I,6,FALSE)</f>
        <v>#N/A</v>
      </c>
      <c r="L2418" s="2" t="str">
        <f>VLOOKUP(B2418,'PO with created By ASR'!A:J,7,FALSE)</f>
        <v>D - Delhi</v>
      </c>
      <c r="M2418" s="2" t="str">
        <f>VLOOKUP(B2418,'PO with created By ASR'!A:K,8,FALSE)</f>
        <v>Purchase Order-Del</v>
      </c>
      <c r="N2418" t="s">
        <v>36</v>
      </c>
      <c r="P2418" s="2">
        <v>6</v>
      </c>
    </row>
    <row r="2419" s="2" customFormat="1" spans="1:16">
      <c r="A2419" s="8"/>
      <c r="B2419" s="9" t="s">
        <v>3656</v>
      </c>
      <c r="C2419" s="10" t="s">
        <v>412</v>
      </c>
      <c r="D2419" s="11">
        <v>1</v>
      </c>
      <c r="E2419" s="12">
        <v>5688</v>
      </c>
      <c r="F2419" s="13">
        <v>5688</v>
      </c>
      <c r="G2419" s="2">
        <f>VLOOKUP(B2419,'PO with created By ASR'!A:C,3,FALSE)</f>
        <v>45708</v>
      </c>
      <c r="J2419" s="2" t="str">
        <f>VLOOKUP(B2419,'PO with created By ASR'!A:G,4,FALSE)</f>
        <v>Ravi.........-CR</v>
      </c>
      <c r="K2419" s="2" t="e">
        <f>VLOOKUP(B2419,'PO with created By ASR'!A:I,6,FALSE)</f>
        <v>#N/A</v>
      </c>
      <c r="L2419" s="2" t="str">
        <f>VLOOKUP(B2419,'PO with created By ASR'!A:J,7,FALSE)</f>
        <v>D - Delhi</v>
      </c>
      <c r="M2419" s="2" t="str">
        <f>VLOOKUP(B2419,'PO with created By ASR'!A:K,8,FALSE)</f>
        <v>Purchase Order-Del</v>
      </c>
      <c r="N2419" t="s">
        <v>36</v>
      </c>
      <c r="P2419" s="2">
        <v>6</v>
      </c>
    </row>
    <row r="2420" s="2" customFormat="1" spans="1:16">
      <c r="A2420" s="8"/>
      <c r="B2420" s="9" t="s">
        <v>3656</v>
      </c>
      <c r="C2420" s="10" t="s">
        <v>61</v>
      </c>
      <c r="D2420" s="11">
        <v>1</v>
      </c>
      <c r="E2420" s="12">
        <v>13120</v>
      </c>
      <c r="F2420" s="13">
        <v>13120</v>
      </c>
      <c r="G2420" s="2">
        <f>VLOOKUP(B2420,'PO with created By ASR'!A:C,3,FALSE)</f>
        <v>45708</v>
      </c>
      <c r="J2420" s="2" t="str">
        <f>VLOOKUP(B2420,'PO with created By ASR'!A:G,4,FALSE)</f>
        <v>Ravi.........-CR</v>
      </c>
      <c r="K2420" s="2" t="e">
        <f>VLOOKUP(B2420,'PO with created By ASR'!A:I,6,FALSE)</f>
        <v>#N/A</v>
      </c>
      <c r="L2420" s="2" t="str">
        <f>VLOOKUP(B2420,'PO with created By ASR'!A:J,7,FALSE)</f>
        <v>D - Delhi</v>
      </c>
      <c r="M2420" s="2" t="str">
        <f>VLOOKUP(B2420,'PO with created By ASR'!A:K,8,FALSE)</f>
        <v>Purchase Order-Del</v>
      </c>
      <c r="N2420" t="s">
        <v>36</v>
      </c>
      <c r="P2420" s="2">
        <v>6</v>
      </c>
    </row>
    <row r="2421" s="2" customFormat="1" spans="1:16">
      <c r="A2421" s="8"/>
      <c r="B2421" s="9" t="s">
        <v>3656</v>
      </c>
      <c r="C2421" s="10" t="s">
        <v>233</v>
      </c>
      <c r="D2421" s="11">
        <v>1</v>
      </c>
      <c r="E2421" s="12">
        <v>2130</v>
      </c>
      <c r="F2421" s="13">
        <v>2130</v>
      </c>
      <c r="G2421" s="2">
        <f>VLOOKUP(B2421,'PO with created By ASR'!A:C,3,FALSE)</f>
        <v>45708</v>
      </c>
      <c r="J2421" s="2" t="str">
        <f>VLOOKUP(B2421,'PO with created By ASR'!A:G,4,FALSE)</f>
        <v>Ravi.........-CR</v>
      </c>
      <c r="K2421" s="2" t="e">
        <f>VLOOKUP(B2421,'PO with created By ASR'!A:I,6,FALSE)</f>
        <v>#N/A</v>
      </c>
      <c r="L2421" s="2" t="str">
        <f>VLOOKUP(B2421,'PO with created By ASR'!A:J,7,FALSE)</f>
        <v>D - Delhi</v>
      </c>
      <c r="M2421" s="2" t="str">
        <f>VLOOKUP(B2421,'PO with created By ASR'!A:K,8,FALSE)</f>
        <v>Purchase Order-Del</v>
      </c>
      <c r="N2421" t="s">
        <v>36</v>
      </c>
      <c r="P2421" s="2">
        <v>6</v>
      </c>
    </row>
    <row r="2422" s="2" customFormat="1" spans="1:16">
      <c r="A2422" s="8"/>
      <c r="B2422" s="9" t="s">
        <v>3657</v>
      </c>
      <c r="C2422" s="10" t="s">
        <v>126</v>
      </c>
      <c r="D2422" s="11">
        <v>1</v>
      </c>
      <c r="E2422" s="12">
        <v>1320</v>
      </c>
      <c r="F2422" s="13">
        <v>1320</v>
      </c>
      <c r="G2422" s="2">
        <f>VLOOKUP(B2422,'PO with created By ASR'!A:C,3,FALSE)</f>
        <v>45708</v>
      </c>
      <c r="J2422" s="2" t="str">
        <f>VLOOKUP(B2422,'PO with created By ASR'!A:G,4,FALSE)</f>
        <v>Sanjay Dutt Dobriyal  -CR</v>
      </c>
      <c r="K2422" s="2" t="e">
        <f>VLOOKUP(B2422,'PO with created By ASR'!A:I,6,FALSE)</f>
        <v>#N/A</v>
      </c>
      <c r="L2422" s="2" t="str">
        <f>VLOOKUP(B2422,'PO with created By ASR'!A:J,7,FALSE)</f>
        <v>D - Delhi</v>
      </c>
      <c r="M2422" s="2" t="str">
        <f>VLOOKUP(B2422,'PO with created By ASR'!A:K,8,FALSE)</f>
        <v>Purchase Order-Del</v>
      </c>
      <c r="N2422" t="s">
        <v>36</v>
      </c>
      <c r="P2422" s="2">
        <v>6</v>
      </c>
    </row>
    <row r="2423" s="2" customFormat="1" spans="1:16">
      <c r="A2423" s="8"/>
      <c r="B2423" s="9" t="s">
        <v>3657</v>
      </c>
      <c r="C2423" s="10" t="s">
        <v>412</v>
      </c>
      <c r="D2423" s="11">
        <v>1</v>
      </c>
      <c r="E2423" s="12">
        <v>1230</v>
      </c>
      <c r="F2423" s="13">
        <v>1230</v>
      </c>
      <c r="G2423" s="2">
        <f>VLOOKUP(B2423,'PO with created By ASR'!A:C,3,FALSE)</f>
        <v>45708</v>
      </c>
      <c r="J2423" s="2" t="str">
        <f>VLOOKUP(B2423,'PO with created By ASR'!A:G,4,FALSE)</f>
        <v>Sanjay Dutt Dobriyal  -CR</v>
      </c>
      <c r="K2423" s="2" t="e">
        <f>VLOOKUP(B2423,'PO with created By ASR'!A:I,6,FALSE)</f>
        <v>#N/A</v>
      </c>
      <c r="L2423" s="2" t="str">
        <f>VLOOKUP(B2423,'PO with created By ASR'!A:J,7,FALSE)</f>
        <v>D - Delhi</v>
      </c>
      <c r="M2423" s="2" t="str">
        <f>VLOOKUP(B2423,'PO with created By ASR'!A:K,8,FALSE)</f>
        <v>Purchase Order-Del</v>
      </c>
      <c r="N2423" t="s">
        <v>36</v>
      </c>
      <c r="P2423" s="2">
        <v>6</v>
      </c>
    </row>
    <row r="2424" s="2" customFormat="1" spans="1:16">
      <c r="A2424" s="8"/>
      <c r="B2424" s="9" t="s">
        <v>3657</v>
      </c>
      <c r="C2424" s="10" t="s">
        <v>61</v>
      </c>
      <c r="D2424" s="11">
        <v>1</v>
      </c>
      <c r="E2424" s="12">
        <v>4389</v>
      </c>
      <c r="F2424" s="13">
        <v>4389</v>
      </c>
      <c r="G2424" s="2">
        <f>VLOOKUP(B2424,'PO with created By ASR'!A:C,3,FALSE)</f>
        <v>45708</v>
      </c>
      <c r="J2424" s="2" t="str">
        <f>VLOOKUP(B2424,'PO with created By ASR'!A:G,4,FALSE)</f>
        <v>Sanjay Dutt Dobriyal  -CR</v>
      </c>
      <c r="K2424" s="2" t="e">
        <f>VLOOKUP(B2424,'PO with created By ASR'!A:I,6,FALSE)</f>
        <v>#N/A</v>
      </c>
      <c r="L2424" s="2" t="str">
        <f>VLOOKUP(B2424,'PO with created By ASR'!A:J,7,FALSE)</f>
        <v>D - Delhi</v>
      </c>
      <c r="M2424" s="2" t="str">
        <f>VLOOKUP(B2424,'PO with created By ASR'!A:K,8,FALSE)</f>
        <v>Purchase Order-Del</v>
      </c>
      <c r="N2424" t="s">
        <v>36</v>
      </c>
      <c r="P2424" s="2">
        <v>6</v>
      </c>
    </row>
    <row r="2425" s="2" customFormat="1" spans="1:16">
      <c r="A2425" s="8"/>
      <c r="B2425" s="9" t="s">
        <v>3658</v>
      </c>
      <c r="C2425" s="10" t="s">
        <v>233</v>
      </c>
      <c r="D2425" s="11">
        <v>1</v>
      </c>
      <c r="E2425" s="12">
        <v>9165</v>
      </c>
      <c r="F2425" s="13">
        <v>9165</v>
      </c>
      <c r="G2425" s="2">
        <f>VLOOKUP(B2425,'PO with created By ASR'!A:C,3,FALSE)</f>
        <v>45708</v>
      </c>
      <c r="J2425" s="2" t="str">
        <f>VLOOKUP(B2425,'PO with created By ASR'!A:G,4,FALSE)</f>
        <v>Bitu Kumar  -CR</v>
      </c>
      <c r="K2425" s="2" t="e">
        <f>VLOOKUP(B2425,'PO with created By ASR'!A:I,6,FALSE)</f>
        <v>#N/A</v>
      </c>
      <c r="L2425" s="2" t="str">
        <f>VLOOKUP(B2425,'PO with created By ASR'!A:J,7,FALSE)</f>
        <v>D - Delhi</v>
      </c>
      <c r="M2425" s="2" t="str">
        <f>VLOOKUP(B2425,'PO with created By ASR'!A:K,8,FALSE)</f>
        <v>Purchase Order-Del</v>
      </c>
      <c r="N2425" t="s">
        <v>36</v>
      </c>
      <c r="P2425" s="2">
        <v>6</v>
      </c>
    </row>
    <row r="2426" s="2" customFormat="1" spans="1:16">
      <c r="A2426" s="8"/>
      <c r="B2426" s="9" t="s">
        <v>3659</v>
      </c>
      <c r="C2426" s="10" t="s">
        <v>412</v>
      </c>
      <c r="D2426" s="11">
        <v>1</v>
      </c>
      <c r="E2426" s="12">
        <v>3038</v>
      </c>
      <c r="F2426" s="13">
        <v>3038</v>
      </c>
      <c r="G2426" s="2">
        <f>VLOOKUP(B2426,'PO with created By ASR'!A:C,3,FALSE)</f>
        <v>45708</v>
      </c>
      <c r="J2426" s="2" t="str">
        <f>VLOOKUP(B2426,'PO with created By ASR'!A:G,4,FALSE)</f>
        <v>Harshit Jain...............  -CR</v>
      </c>
      <c r="K2426" s="2" t="e">
        <f>VLOOKUP(B2426,'PO with created By ASR'!A:I,6,FALSE)</f>
        <v>#N/A</v>
      </c>
      <c r="L2426" s="2" t="str">
        <f>VLOOKUP(B2426,'PO with created By ASR'!A:J,7,FALSE)</f>
        <v>D - Delhi</v>
      </c>
      <c r="M2426" s="2" t="str">
        <f>VLOOKUP(B2426,'PO with created By ASR'!A:K,8,FALSE)</f>
        <v>Purchase Order-Del</v>
      </c>
      <c r="N2426" t="s">
        <v>36</v>
      </c>
      <c r="P2426" s="2">
        <v>6</v>
      </c>
    </row>
    <row r="2427" s="2" customFormat="1" spans="1:16">
      <c r="A2427" s="8"/>
      <c r="B2427" s="9" t="s">
        <v>3661</v>
      </c>
      <c r="C2427" s="10" t="s">
        <v>412</v>
      </c>
      <c r="D2427" s="11">
        <v>1</v>
      </c>
      <c r="E2427" s="12">
        <v>10295</v>
      </c>
      <c r="F2427" s="13">
        <v>10295</v>
      </c>
      <c r="G2427" s="2">
        <f>VLOOKUP(B2427,'PO with created By ASR'!A:C,3,FALSE)</f>
        <v>45708</v>
      </c>
      <c r="J2427" s="2" t="str">
        <f>VLOOKUP(B2427,'PO with created By ASR'!A:G,4,FALSE)</f>
        <v>Pankaj Kumar Mishra  -CR</v>
      </c>
      <c r="K2427" s="2" t="e">
        <f>VLOOKUP(B2427,'PO with created By ASR'!A:I,6,FALSE)</f>
        <v>#N/A</v>
      </c>
      <c r="L2427" s="2" t="str">
        <f>VLOOKUP(B2427,'PO with created By ASR'!A:J,7,FALSE)</f>
        <v>D - Delhi</v>
      </c>
      <c r="M2427" s="2" t="str">
        <f>VLOOKUP(B2427,'PO with created By ASR'!A:K,8,FALSE)</f>
        <v>Purchase Order-Del</v>
      </c>
      <c r="N2427" t="s">
        <v>36</v>
      </c>
      <c r="P2427" s="2">
        <v>6</v>
      </c>
    </row>
    <row r="2428" s="2" customFormat="1" spans="1:16">
      <c r="A2428" s="8"/>
      <c r="B2428" s="9" t="s">
        <v>3661</v>
      </c>
      <c r="C2428" s="10" t="s">
        <v>233</v>
      </c>
      <c r="D2428" s="11">
        <v>1</v>
      </c>
      <c r="E2428" s="12">
        <v>10033</v>
      </c>
      <c r="F2428" s="13">
        <v>10033</v>
      </c>
      <c r="G2428" s="2">
        <f>VLOOKUP(B2428,'PO with created By ASR'!A:C,3,FALSE)</f>
        <v>45708</v>
      </c>
      <c r="J2428" s="2" t="str">
        <f>VLOOKUP(B2428,'PO with created By ASR'!A:G,4,FALSE)</f>
        <v>Pankaj Kumar Mishra  -CR</v>
      </c>
      <c r="K2428" s="2" t="e">
        <f>VLOOKUP(B2428,'PO with created By ASR'!A:I,6,FALSE)</f>
        <v>#N/A</v>
      </c>
      <c r="L2428" s="2" t="str">
        <f>VLOOKUP(B2428,'PO with created By ASR'!A:J,7,FALSE)</f>
        <v>D - Delhi</v>
      </c>
      <c r="M2428" s="2" t="str">
        <f>VLOOKUP(B2428,'PO with created By ASR'!A:K,8,FALSE)</f>
        <v>Purchase Order-Del</v>
      </c>
      <c r="N2428" t="s">
        <v>36</v>
      </c>
      <c r="P2428" s="2">
        <v>6</v>
      </c>
    </row>
    <row r="2429" s="2" customFormat="1" spans="1:16">
      <c r="A2429" s="8"/>
      <c r="B2429" s="9" t="s">
        <v>3662</v>
      </c>
      <c r="C2429" s="10" t="s">
        <v>126</v>
      </c>
      <c r="D2429" s="11">
        <v>1</v>
      </c>
      <c r="E2429" s="12">
        <v>1499</v>
      </c>
      <c r="F2429" s="13">
        <v>1499</v>
      </c>
      <c r="G2429" s="2">
        <f>VLOOKUP(B2429,'PO with created By ASR'!A:C,3,FALSE)</f>
        <v>45708</v>
      </c>
      <c r="J2429" s="2" t="str">
        <f>VLOOKUP(B2429,'PO with created By ASR'!A:G,4,FALSE)</f>
        <v>Rahul Luthra  -CR</v>
      </c>
      <c r="K2429" s="2" t="e">
        <f>VLOOKUP(B2429,'PO with created By ASR'!A:I,6,FALSE)</f>
        <v>#N/A</v>
      </c>
      <c r="L2429" s="2" t="str">
        <f>VLOOKUP(B2429,'PO with created By ASR'!A:J,7,FALSE)</f>
        <v>D - Delhi</v>
      </c>
      <c r="M2429" s="2" t="str">
        <f>VLOOKUP(B2429,'PO with created By ASR'!A:K,8,FALSE)</f>
        <v>Purchase Order-Del</v>
      </c>
      <c r="N2429" t="s">
        <v>36</v>
      </c>
      <c r="P2429" s="2">
        <v>6</v>
      </c>
    </row>
    <row r="2430" s="2" customFormat="1" spans="1:16">
      <c r="A2430" s="8"/>
      <c r="B2430" s="9" t="s">
        <v>3662</v>
      </c>
      <c r="C2430" s="10" t="s">
        <v>233</v>
      </c>
      <c r="D2430" s="11">
        <v>1</v>
      </c>
      <c r="E2430" s="12">
        <v>27660</v>
      </c>
      <c r="F2430" s="13">
        <v>27660</v>
      </c>
      <c r="G2430" s="2">
        <f>VLOOKUP(B2430,'PO with created By ASR'!A:C,3,FALSE)</f>
        <v>45708</v>
      </c>
      <c r="J2430" s="2" t="str">
        <f>VLOOKUP(B2430,'PO with created By ASR'!A:G,4,FALSE)</f>
        <v>Rahul Luthra  -CR</v>
      </c>
      <c r="K2430" s="2" t="e">
        <f>VLOOKUP(B2430,'PO with created By ASR'!A:I,6,FALSE)</f>
        <v>#N/A</v>
      </c>
      <c r="L2430" s="2" t="str">
        <f>VLOOKUP(B2430,'PO with created By ASR'!A:J,7,FALSE)</f>
        <v>D - Delhi</v>
      </c>
      <c r="M2430" s="2" t="str">
        <f>VLOOKUP(B2430,'PO with created By ASR'!A:K,8,FALSE)</f>
        <v>Purchase Order-Del</v>
      </c>
      <c r="N2430" t="s">
        <v>36</v>
      </c>
      <c r="P2430" s="2">
        <v>6</v>
      </c>
    </row>
    <row r="2431" s="2" customFormat="1" spans="1:16">
      <c r="A2431" s="8"/>
      <c r="B2431" s="9" t="s">
        <v>3662</v>
      </c>
      <c r="C2431" s="10" t="s">
        <v>803</v>
      </c>
      <c r="D2431" s="11">
        <v>1</v>
      </c>
      <c r="E2431" s="12">
        <v>4212</v>
      </c>
      <c r="F2431" s="13">
        <v>4212</v>
      </c>
      <c r="G2431" s="2">
        <f>VLOOKUP(B2431,'PO with created By ASR'!A:C,3,FALSE)</f>
        <v>45708</v>
      </c>
      <c r="J2431" s="2" t="str">
        <f>VLOOKUP(B2431,'PO with created By ASR'!A:G,4,FALSE)</f>
        <v>Rahul Luthra  -CR</v>
      </c>
      <c r="K2431" s="2" t="e">
        <f>VLOOKUP(B2431,'PO with created By ASR'!A:I,6,FALSE)</f>
        <v>#N/A</v>
      </c>
      <c r="L2431" s="2" t="str">
        <f>VLOOKUP(B2431,'PO with created By ASR'!A:J,7,FALSE)</f>
        <v>D - Delhi</v>
      </c>
      <c r="M2431" s="2" t="str">
        <f>VLOOKUP(B2431,'PO with created By ASR'!A:K,8,FALSE)</f>
        <v>Purchase Order-Del</v>
      </c>
      <c r="N2431" t="s">
        <v>36</v>
      </c>
      <c r="P2431" s="2">
        <v>6</v>
      </c>
    </row>
    <row r="2432" s="2" customFormat="1" spans="1:16">
      <c r="A2432" s="8"/>
      <c r="B2432" s="9" t="s">
        <v>3663</v>
      </c>
      <c r="C2432" s="10" t="s">
        <v>233</v>
      </c>
      <c r="D2432" s="11">
        <v>1</v>
      </c>
      <c r="E2432" s="12">
        <v>1425</v>
      </c>
      <c r="F2432" s="13">
        <v>1425</v>
      </c>
      <c r="G2432" s="2">
        <f>VLOOKUP(B2432,'PO with created By ASR'!A:C,3,FALSE)</f>
        <v>45708</v>
      </c>
      <c r="J2432" s="2" t="str">
        <f>VLOOKUP(B2432,'PO with created By ASR'!A:G,4,FALSE)</f>
        <v>Ritu Vohra  -CR</v>
      </c>
      <c r="K2432" s="2" t="e">
        <f>VLOOKUP(B2432,'PO with created By ASR'!A:I,6,FALSE)</f>
        <v>#N/A</v>
      </c>
      <c r="L2432" s="2" t="str">
        <f>VLOOKUP(B2432,'PO with created By ASR'!A:J,7,FALSE)</f>
        <v>D - Delhi</v>
      </c>
      <c r="M2432" s="2" t="str">
        <f>VLOOKUP(B2432,'PO with created By ASR'!A:K,8,FALSE)</f>
        <v>Purchase Order-Del</v>
      </c>
      <c r="N2432" t="s">
        <v>36</v>
      </c>
      <c r="P2432" s="2">
        <v>6</v>
      </c>
    </row>
    <row r="2433" s="2" customFormat="1" spans="1:16">
      <c r="A2433" s="8"/>
      <c r="B2433" s="9" t="s">
        <v>3663</v>
      </c>
      <c r="C2433" s="10" t="s">
        <v>140</v>
      </c>
      <c r="D2433" s="11">
        <v>1</v>
      </c>
      <c r="E2433" s="12">
        <v>5299</v>
      </c>
      <c r="F2433" s="13">
        <v>5299</v>
      </c>
      <c r="G2433" s="2">
        <f>VLOOKUP(B2433,'PO with created By ASR'!A:C,3,FALSE)</f>
        <v>45708</v>
      </c>
      <c r="J2433" s="2" t="str">
        <f>VLOOKUP(B2433,'PO with created By ASR'!A:G,4,FALSE)</f>
        <v>Ritu Vohra  -CR</v>
      </c>
      <c r="K2433" s="2" t="e">
        <f>VLOOKUP(B2433,'PO with created By ASR'!A:I,6,FALSE)</f>
        <v>#N/A</v>
      </c>
      <c r="L2433" s="2" t="str">
        <f>VLOOKUP(B2433,'PO with created By ASR'!A:J,7,FALSE)</f>
        <v>D - Delhi</v>
      </c>
      <c r="M2433" s="2" t="str">
        <f>VLOOKUP(B2433,'PO with created By ASR'!A:K,8,FALSE)</f>
        <v>Purchase Order-Del</v>
      </c>
      <c r="N2433" t="s">
        <v>36</v>
      </c>
      <c r="P2433" s="2">
        <v>6</v>
      </c>
    </row>
    <row r="2434" s="2" customFormat="1" spans="1:16">
      <c r="A2434" s="8"/>
      <c r="B2434" s="9" t="s">
        <v>3667</v>
      </c>
      <c r="C2434" s="10" t="s">
        <v>412</v>
      </c>
      <c r="D2434" s="11">
        <v>1</v>
      </c>
      <c r="E2434" s="12">
        <v>1607</v>
      </c>
      <c r="F2434" s="13">
        <v>1607</v>
      </c>
      <c r="G2434" s="2">
        <f>VLOOKUP(B2434,'PO with created By ASR'!A:C,3,FALSE)</f>
        <v>45708</v>
      </c>
      <c r="J2434" s="2" t="str">
        <f>VLOOKUP(B2434,'PO with created By ASR'!A:G,4,FALSE)</f>
        <v>Sachin Vaid  -CR</v>
      </c>
      <c r="K2434" s="2" t="str">
        <f>VLOOKUP(B2434,'PO with created By ASR'!A:I,6,FALSE)</f>
        <v>12718 Sachin Vaid</v>
      </c>
      <c r="L2434" s="2" t="str">
        <f>VLOOKUP(B2434,'PO with created By ASR'!A:J,7,FALSE)</f>
        <v>D - Delhi</v>
      </c>
      <c r="M2434" s="2" t="str">
        <f>VLOOKUP(B2434,'PO with created By ASR'!A:K,8,FALSE)</f>
        <v>Purchase Order-Del</v>
      </c>
      <c r="N2434" t="s">
        <v>36</v>
      </c>
      <c r="P2434" s="2">
        <v>6</v>
      </c>
    </row>
    <row r="2435" s="2" customFormat="1" spans="1:16">
      <c r="A2435" s="8"/>
      <c r="B2435" s="9" t="s">
        <v>3669</v>
      </c>
      <c r="C2435" s="10" t="s">
        <v>126</v>
      </c>
      <c r="D2435" s="11">
        <v>1</v>
      </c>
      <c r="E2435" s="12">
        <v>2505</v>
      </c>
      <c r="F2435" s="13">
        <v>2505</v>
      </c>
      <c r="G2435" s="2">
        <f>VLOOKUP(B2435,'PO with created By ASR'!A:C,3,FALSE)</f>
        <v>45708</v>
      </c>
      <c r="J2435" s="2" t="str">
        <f>VLOOKUP(B2435,'PO with created By ASR'!A:G,4,FALSE)</f>
        <v>Anil Kumar Singh..........-CR</v>
      </c>
      <c r="K2435" s="2" t="e">
        <f>VLOOKUP(B2435,'PO with created By ASR'!A:I,6,FALSE)</f>
        <v>#N/A</v>
      </c>
      <c r="L2435" s="2" t="str">
        <f>VLOOKUP(B2435,'PO with created By ASR'!A:J,7,FALSE)</f>
        <v>D - Delhi</v>
      </c>
      <c r="M2435" s="2" t="str">
        <f>VLOOKUP(B2435,'PO with created By ASR'!A:K,8,FALSE)</f>
        <v>Purchase Order-Del</v>
      </c>
      <c r="N2435" t="s">
        <v>36</v>
      </c>
      <c r="P2435" s="2">
        <v>6</v>
      </c>
    </row>
    <row r="2436" s="2" customFormat="1" spans="1:16">
      <c r="A2436" s="8"/>
      <c r="B2436" s="9" t="s">
        <v>3669</v>
      </c>
      <c r="C2436" s="10" t="s">
        <v>412</v>
      </c>
      <c r="D2436" s="11">
        <v>1</v>
      </c>
      <c r="E2436" s="12">
        <v>3271</v>
      </c>
      <c r="F2436" s="13">
        <v>3271</v>
      </c>
      <c r="G2436" s="2">
        <f>VLOOKUP(B2436,'PO with created By ASR'!A:C,3,FALSE)</f>
        <v>45708</v>
      </c>
      <c r="J2436" s="2" t="str">
        <f>VLOOKUP(B2436,'PO with created By ASR'!A:G,4,FALSE)</f>
        <v>Anil Kumar Singh..........-CR</v>
      </c>
      <c r="K2436" s="2" t="e">
        <f>VLOOKUP(B2436,'PO with created By ASR'!A:I,6,FALSE)</f>
        <v>#N/A</v>
      </c>
      <c r="L2436" s="2" t="str">
        <f>VLOOKUP(B2436,'PO with created By ASR'!A:J,7,FALSE)</f>
        <v>D - Delhi</v>
      </c>
      <c r="M2436" s="2" t="str">
        <f>VLOOKUP(B2436,'PO with created By ASR'!A:K,8,FALSE)</f>
        <v>Purchase Order-Del</v>
      </c>
      <c r="N2436" t="s">
        <v>36</v>
      </c>
      <c r="P2436" s="2">
        <v>6</v>
      </c>
    </row>
    <row r="2437" s="2" customFormat="1" spans="1:16">
      <c r="A2437" s="8"/>
      <c r="B2437" s="9" t="s">
        <v>3670</v>
      </c>
      <c r="C2437" s="10" t="s">
        <v>1055</v>
      </c>
      <c r="D2437" s="11">
        <v>1</v>
      </c>
      <c r="E2437" s="12">
        <v>5200</v>
      </c>
      <c r="F2437" s="13">
        <v>5200</v>
      </c>
      <c r="G2437" s="2">
        <f>VLOOKUP(B2437,'PO with created By ASR'!A:C,3,FALSE)</f>
        <v>45708</v>
      </c>
      <c r="J2437" s="2" t="str">
        <f>VLOOKUP(B2437,'PO with created By ASR'!A:G,4,FALSE)</f>
        <v>Pankaj Kumar Mishra  -CR</v>
      </c>
      <c r="K2437" s="2" t="e">
        <f>VLOOKUP(B2437,'PO with created By ASR'!A:I,6,FALSE)</f>
        <v>#N/A</v>
      </c>
      <c r="L2437" s="2" t="str">
        <f>VLOOKUP(B2437,'PO with created By ASR'!A:J,7,FALSE)</f>
        <v>D - Delhi</v>
      </c>
      <c r="M2437" s="2" t="str">
        <f>VLOOKUP(B2437,'PO with created By ASR'!A:K,8,FALSE)</f>
        <v>Purchase Order-Del</v>
      </c>
      <c r="N2437" t="s">
        <v>36</v>
      </c>
      <c r="P2437" s="2">
        <v>6</v>
      </c>
    </row>
    <row r="2438" s="2" customFormat="1" spans="1:16">
      <c r="A2438" s="8"/>
      <c r="B2438" s="9" t="s">
        <v>3671</v>
      </c>
      <c r="C2438" s="10" t="s">
        <v>126</v>
      </c>
      <c r="D2438" s="11">
        <v>1</v>
      </c>
      <c r="E2438" s="12">
        <v>1344</v>
      </c>
      <c r="F2438" s="13">
        <v>1344</v>
      </c>
      <c r="G2438" s="2">
        <f>VLOOKUP(B2438,'PO with created By ASR'!A:C,3,FALSE)</f>
        <v>45708</v>
      </c>
      <c r="J2438" s="2" t="str">
        <f>VLOOKUP(B2438,'PO with created By ASR'!A:G,4,FALSE)</f>
        <v>Parvesh Mahalwal............... -CR</v>
      </c>
      <c r="K2438" s="2" t="e">
        <f>VLOOKUP(B2438,'PO with created By ASR'!A:I,6,FALSE)</f>
        <v>#N/A</v>
      </c>
      <c r="L2438" s="2" t="str">
        <f>VLOOKUP(B2438,'PO with created By ASR'!A:J,7,FALSE)</f>
        <v>D - Delhi</v>
      </c>
      <c r="M2438" s="2" t="str">
        <f>VLOOKUP(B2438,'PO with created By ASR'!A:K,8,FALSE)</f>
        <v>Purchase Order-Del</v>
      </c>
      <c r="N2438" t="s">
        <v>36</v>
      </c>
      <c r="P2438" s="2">
        <v>6</v>
      </c>
    </row>
    <row r="2439" s="2" customFormat="1" spans="1:16">
      <c r="A2439" s="8"/>
      <c r="B2439" s="9" t="s">
        <v>3672</v>
      </c>
      <c r="C2439" s="10" t="s">
        <v>126</v>
      </c>
      <c r="D2439" s="11">
        <v>1</v>
      </c>
      <c r="E2439" s="12">
        <v>2438</v>
      </c>
      <c r="F2439" s="13">
        <v>2438</v>
      </c>
      <c r="G2439" s="2">
        <f>VLOOKUP(B2439,'PO with created By ASR'!A:C,3,FALSE)</f>
        <v>45708</v>
      </c>
      <c r="J2439" s="2" t="str">
        <f>VLOOKUP(B2439,'PO with created By ASR'!A:G,4,FALSE)</f>
        <v>Pankaj Kumar Mishra  -CR</v>
      </c>
      <c r="K2439" s="2" t="e">
        <f>VLOOKUP(B2439,'PO with created By ASR'!A:I,6,FALSE)</f>
        <v>#N/A</v>
      </c>
      <c r="L2439" s="2" t="str">
        <f>VLOOKUP(B2439,'PO with created By ASR'!A:J,7,FALSE)</f>
        <v>D - Delhi</v>
      </c>
      <c r="M2439" s="2" t="str">
        <f>VLOOKUP(B2439,'PO with created By ASR'!A:K,8,FALSE)</f>
        <v>Purchase Order-Del</v>
      </c>
      <c r="N2439" t="s">
        <v>36</v>
      </c>
      <c r="P2439" s="2">
        <v>6</v>
      </c>
    </row>
    <row r="2440" s="2" customFormat="1" spans="1:16">
      <c r="A2440" s="8"/>
      <c r="B2440" s="9" t="s">
        <v>3673</v>
      </c>
      <c r="C2440" s="10" t="s">
        <v>151</v>
      </c>
      <c r="D2440" s="11">
        <v>1</v>
      </c>
      <c r="E2440" s="12">
        <v>1100000</v>
      </c>
      <c r="F2440" s="13">
        <v>1100000</v>
      </c>
      <c r="G2440" s="2">
        <f>VLOOKUP(B2440,'PO with created By ASR'!A:C,3,FALSE)</f>
        <v>45708</v>
      </c>
      <c r="J2440" s="2" t="str">
        <f>VLOOKUP(B2440,'PO with created By ASR'!A:G,4,FALSE)</f>
        <v>Dream Factory Pvt. Ltd.-Del</v>
      </c>
      <c r="K2440" s="2" t="e">
        <f>VLOOKUP(B2440,'PO with created By ASR'!A:I,6,FALSE)</f>
        <v>#N/A</v>
      </c>
      <c r="L2440" s="2" t="str">
        <f>VLOOKUP(B2440,'PO with created By ASR'!A:J,7,FALSE)</f>
        <v>D - Delhi</v>
      </c>
      <c r="M2440" s="2" t="str">
        <f>VLOOKUP(B2440,'PO with created By ASR'!A:K,8,FALSE)</f>
        <v>Purchase Order-Del</v>
      </c>
      <c r="N2440" t="s">
        <v>36</v>
      </c>
      <c r="P2440" s="2">
        <v>6</v>
      </c>
    </row>
    <row r="2441" s="2" customFormat="1" spans="1:16">
      <c r="A2441" s="8"/>
      <c r="B2441" s="9" t="s">
        <v>3674</v>
      </c>
      <c r="C2441" s="10" t="s">
        <v>401</v>
      </c>
      <c r="D2441" s="11">
        <v>1</v>
      </c>
      <c r="E2441" s="12">
        <v>75000</v>
      </c>
      <c r="F2441" s="13">
        <v>75000</v>
      </c>
      <c r="G2441" s="2">
        <f>VLOOKUP(B2441,'PO with created By ASR'!A:C,3,FALSE)</f>
        <v>45708</v>
      </c>
      <c r="J2441" s="2" t="str">
        <f>VLOOKUP(B2441,'PO with created By ASR'!A:G,4,FALSE)</f>
        <v>The Adityaraj Production-Del</v>
      </c>
      <c r="K2441" s="2" t="str">
        <f>VLOOKUP(B2441,'PO with created By ASR'!A:I,6,FALSE)</f>
        <v>12503 The Adityaraj Production</v>
      </c>
      <c r="L2441" s="2" t="str">
        <f>VLOOKUP(B2441,'PO with created By ASR'!A:J,7,FALSE)</f>
        <v>D - Delhi</v>
      </c>
      <c r="M2441" s="2" t="str">
        <f>VLOOKUP(B2441,'PO with created By ASR'!A:K,8,FALSE)</f>
        <v>Purchase Order-Del</v>
      </c>
      <c r="N2441" t="s">
        <v>36</v>
      </c>
      <c r="P2441" s="2">
        <v>6</v>
      </c>
    </row>
    <row r="2442" s="2" customFormat="1" spans="1:16">
      <c r="A2442" s="8"/>
      <c r="B2442" s="9" t="s">
        <v>3677</v>
      </c>
      <c r="C2442" s="10" t="s">
        <v>412</v>
      </c>
      <c r="D2442" s="11">
        <v>1</v>
      </c>
      <c r="E2442" s="12">
        <v>16569</v>
      </c>
      <c r="F2442" s="13">
        <v>16569</v>
      </c>
      <c r="G2442" s="2">
        <f>VLOOKUP(B2442,'PO with created By ASR'!A:C,3,FALSE)</f>
        <v>45708</v>
      </c>
      <c r="J2442" s="2" t="str">
        <f>VLOOKUP(B2442,'PO with created By ASR'!A:G,4,FALSE)</f>
        <v>Tribhuvan Kapoor.....-CR</v>
      </c>
      <c r="K2442" s="2" t="e">
        <f>VLOOKUP(B2442,'PO with created By ASR'!A:I,6,FALSE)</f>
        <v>#N/A</v>
      </c>
      <c r="L2442" s="2" t="str">
        <f>VLOOKUP(B2442,'PO with created By ASR'!A:J,7,FALSE)</f>
        <v>D - Delhi</v>
      </c>
      <c r="M2442" s="2" t="str">
        <f>VLOOKUP(B2442,'PO with created By ASR'!A:K,8,FALSE)</f>
        <v>Purchase Order-Del</v>
      </c>
      <c r="N2442" t="s">
        <v>36</v>
      </c>
      <c r="P2442" s="2">
        <v>6</v>
      </c>
    </row>
    <row r="2443" s="2" customFormat="1" spans="1:16">
      <c r="A2443" s="8"/>
      <c r="B2443" s="9" t="s">
        <v>3677</v>
      </c>
      <c r="C2443" s="10" t="s">
        <v>233</v>
      </c>
      <c r="D2443" s="11">
        <v>1</v>
      </c>
      <c r="E2443" s="12">
        <v>8000</v>
      </c>
      <c r="F2443" s="13">
        <v>8000</v>
      </c>
      <c r="G2443" s="2">
        <f>VLOOKUP(B2443,'PO with created By ASR'!A:C,3,FALSE)</f>
        <v>45708</v>
      </c>
      <c r="J2443" s="2" t="str">
        <f>VLOOKUP(B2443,'PO with created By ASR'!A:G,4,FALSE)</f>
        <v>Tribhuvan Kapoor.....-CR</v>
      </c>
      <c r="K2443" s="2" t="e">
        <f>VLOOKUP(B2443,'PO with created By ASR'!A:I,6,FALSE)</f>
        <v>#N/A</v>
      </c>
      <c r="L2443" s="2" t="str">
        <f>VLOOKUP(B2443,'PO with created By ASR'!A:J,7,FALSE)</f>
        <v>D - Delhi</v>
      </c>
      <c r="M2443" s="2" t="str">
        <f>VLOOKUP(B2443,'PO with created By ASR'!A:K,8,FALSE)</f>
        <v>Purchase Order-Del</v>
      </c>
      <c r="N2443" t="s">
        <v>36</v>
      </c>
      <c r="P2443" s="2">
        <v>6</v>
      </c>
    </row>
    <row r="2444" s="2" customFormat="1" spans="1:16">
      <c r="A2444" s="8"/>
      <c r="B2444" s="9" t="s">
        <v>3678</v>
      </c>
      <c r="C2444" s="10" t="s">
        <v>1055</v>
      </c>
      <c r="D2444" s="11">
        <v>1</v>
      </c>
      <c r="E2444" s="12">
        <v>3400</v>
      </c>
      <c r="F2444" s="13">
        <v>3400</v>
      </c>
      <c r="G2444" s="2">
        <f>VLOOKUP(B2444,'PO with created By ASR'!A:C,3,FALSE)</f>
        <v>45708</v>
      </c>
      <c r="J2444" s="2" t="str">
        <f>VLOOKUP(B2444,'PO with created By ASR'!A:G,4,FALSE)</f>
        <v>Pankaj Kumar Mishra  -CR</v>
      </c>
      <c r="K2444" s="2" t="e">
        <f>VLOOKUP(B2444,'PO with created By ASR'!A:I,6,FALSE)</f>
        <v>#N/A</v>
      </c>
      <c r="L2444" s="2" t="str">
        <f>VLOOKUP(B2444,'PO with created By ASR'!A:J,7,FALSE)</f>
        <v>D - Delhi</v>
      </c>
      <c r="M2444" s="2" t="str">
        <f>VLOOKUP(B2444,'PO with created By ASR'!A:K,8,FALSE)</f>
        <v>Purchase Order-Del</v>
      </c>
      <c r="N2444" t="s">
        <v>36</v>
      </c>
      <c r="P2444" s="2">
        <v>6</v>
      </c>
    </row>
    <row r="2445" s="2" customFormat="1" spans="1:16">
      <c r="A2445" s="8"/>
      <c r="B2445" s="9" t="s">
        <v>3679</v>
      </c>
      <c r="C2445" s="10" t="s">
        <v>371</v>
      </c>
      <c r="D2445" s="11">
        <v>1</v>
      </c>
      <c r="E2445" s="12">
        <v>184800</v>
      </c>
      <c r="F2445" s="13">
        <v>184800</v>
      </c>
      <c r="G2445" s="2">
        <f>VLOOKUP(B2445,'PO with created By ASR'!A:C,3,FALSE)</f>
        <v>45708</v>
      </c>
      <c r="J2445" s="2" t="str">
        <f>VLOOKUP(B2445,'PO with created By ASR'!A:G,4,FALSE)</f>
        <v>Rehan Vending &amp; Services-Del</v>
      </c>
      <c r="K2445" s="2" t="str">
        <f>VLOOKUP(B2445,'PO with created By ASR'!A:I,6,FALSE)</f>
        <v>12969 Rehan Vending &amp; Services</v>
      </c>
      <c r="L2445" s="2" t="str">
        <f>VLOOKUP(B2445,'PO with created By ASR'!A:J,7,FALSE)</f>
        <v>D - Delhi</v>
      </c>
      <c r="M2445" s="2" t="str">
        <f>VLOOKUP(B2445,'PO with created By ASR'!A:K,8,FALSE)</f>
        <v>Purchase Order-Del</v>
      </c>
      <c r="N2445" t="s">
        <v>36</v>
      </c>
      <c r="P2445" s="2">
        <v>6</v>
      </c>
    </row>
    <row r="2446" s="2" customFormat="1" spans="1:16">
      <c r="A2446" s="8"/>
      <c r="B2446" s="9" t="s">
        <v>3682</v>
      </c>
      <c r="C2446" s="10" t="s">
        <v>126</v>
      </c>
      <c r="D2446" s="11">
        <v>1</v>
      </c>
      <c r="E2446" s="12">
        <v>975</v>
      </c>
      <c r="F2446" s="13">
        <v>975</v>
      </c>
      <c r="G2446" s="2">
        <f>VLOOKUP(B2446,'PO with created By ASR'!A:C,3,FALSE)</f>
        <v>45708</v>
      </c>
      <c r="J2446" s="2" t="str">
        <f>VLOOKUP(B2446,'PO with created By ASR'!A:G,4,FALSE)</f>
        <v>Jatin Arora  -CR</v>
      </c>
      <c r="K2446" s="2" t="str">
        <f>VLOOKUP(B2446,'PO with created By ASR'!A:I,6,FALSE)</f>
        <v>10683 Jatin Arora</v>
      </c>
      <c r="L2446" s="2" t="str">
        <f>VLOOKUP(B2446,'PO with created By ASR'!A:J,7,FALSE)</f>
        <v>D - Delhi</v>
      </c>
      <c r="M2446" s="2" t="str">
        <f>VLOOKUP(B2446,'PO with created By ASR'!A:K,8,FALSE)</f>
        <v>Purchase Order-Del</v>
      </c>
      <c r="N2446" t="s">
        <v>36</v>
      </c>
      <c r="P2446" s="2">
        <v>6</v>
      </c>
    </row>
    <row r="2447" s="2" customFormat="1" spans="1:16">
      <c r="A2447" s="8"/>
      <c r="B2447" s="9" t="s">
        <v>3682</v>
      </c>
      <c r="C2447" s="10" t="s">
        <v>412</v>
      </c>
      <c r="D2447" s="11">
        <v>1</v>
      </c>
      <c r="E2447" s="12">
        <v>435</v>
      </c>
      <c r="F2447" s="13">
        <v>435</v>
      </c>
      <c r="G2447" s="2">
        <f>VLOOKUP(B2447,'PO with created By ASR'!A:C,3,FALSE)</f>
        <v>45708</v>
      </c>
      <c r="J2447" s="2" t="str">
        <f>VLOOKUP(B2447,'PO with created By ASR'!A:G,4,FALSE)</f>
        <v>Jatin Arora  -CR</v>
      </c>
      <c r="K2447" s="2" t="str">
        <f>VLOOKUP(B2447,'PO with created By ASR'!A:I,6,FALSE)</f>
        <v>10683 Jatin Arora</v>
      </c>
      <c r="L2447" s="2" t="str">
        <f>VLOOKUP(B2447,'PO with created By ASR'!A:J,7,FALSE)</f>
        <v>D - Delhi</v>
      </c>
      <c r="M2447" s="2" t="str">
        <f>VLOOKUP(B2447,'PO with created By ASR'!A:K,8,FALSE)</f>
        <v>Purchase Order-Del</v>
      </c>
      <c r="N2447" t="s">
        <v>36</v>
      </c>
      <c r="P2447" s="2">
        <v>6</v>
      </c>
    </row>
    <row r="2448" s="2" customFormat="1" spans="1:16">
      <c r="A2448" s="8"/>
      <c r="B2448" s="9" t="s">
        <v>3683</v>
      </c>
      <c r="C2448" s="10" t="s">
        <v>126</v>
      </c>
      <c r="D2448" s="11">
        <v>1</v>
      </c>
      <c r="E2448" s="12">
        <v>2729</v>
      </c>
      <c r="F2448" s="13">
        <v>2729</v>
      </c>
      <c r="G2448" s="2">
        <f>VLOOKUP(B2448,'PO with created By ASR'!A:C,3,FALSE)</f>
        <v>45708</v>
      </c>
      <c r="J2448" s="2" t="str">
        <f>VLOOKUP(B2448,'PO with created By ASR'!A:G,4,FALSE)</f>
        <v>Parvesh Mahalwal............... -CR</v>
      </c>
      <c r="K2448" s="2" t="e">
        <f>VLOOKUP(B2448,'PO with created By ASR'!A:I,6,FALSE)</f>
        <v>#N/A</v>
      </c>
      <c r="L2448" s="2" t="str">
        <f>VLOOKUP(B2448,'PO with created By ASR'!A:J,7,FALSE)</f>
        <v>D - Delhi</v>
      </c>
      <c r="M2448" s="2" t="str">
        <f>VLOOKUP(B2448,'PO with created By ASR'!A:K,8,FALSE)</f>
        <v>Purchase Order-Del</v>
      </c>
      <c r="N2448" t="s">
        <v>36</v>
      </c>
      <c r="P2448" s="2">
        <v>6</v>
      </c>
    </row>
    <row r="2449" s="2" customFormat="1" spans="1:16">
      <c r="A2449" s="8"/>
      <c r="B2449" s="9" t="s">
        <v>3683</v>
      </c>
      <c r="C2449" s="10" t="s">
        <v>412</v>
      </c>
      <c r="D2449" s="11">
        <v>1</v>
      </c>
      <c r="E2449" s="12">
        <v>2256</v>
      </c>
      <c r="F2449" s="13">
        <v>2256</v>
      </c>
      <c r="G2449" s="2">
        <f>VLOOKUP(B2449,'PO with created By ASR'!A:C,3,FALSE)</f>
        <v>45708</v>
      </c>
      <c r="J2449" s="2" t="str">
        <f>VLOOKUP(B2449,'PO with created By ASR'!A:G,4,FALSE)</f>
        <v>Parvesh Mahalwal............... -CR</v>
      </c>
      <c r="K2449" s="2" t="e">
        <f>VLOOKUP(B2449,'PO with created By ASR'!A:I,6,FALSE)</f>
        <v>#N/A</v>
      </c>
      <c r="L2449" s="2" t="str">
        <f>VLOOKUP(B2449,'PO with created By ASR'!A:J,7,FALSE)</f>
        <v>D - Delhi</v>
      </c>
      <c r="M2449" s="2" t="str">
        <f>VLOOKUP(B2449,'PO with created By ASR'!A:K,8,FALSE)</f>
        <v>Purchase Order-Del</v>
      </c>
      <c r="N2449" t="s">
        <v>36</v>
      </c>
      <c r="P2449" s="2">
        <v>6</v>
      </c>
    </row>
    <row r="2450" s="2" customFormat="1" spans="1:16">
      <c r="A2450" s="8"/>
      <c r="B2450" s="9" t="s">
        <v>3684</v>
      </c>
      <c r="C2450" s="10" t="s">
        <v>126</v>
      </c>
      <c r="D2450" s="11">
        <v>1</v>
      </c>
      <c r="E2450" s="12">
        <v>839</v>
      </c>
      <c r="F2450" s="13">
        <v>839</v>
      </c>
      <c r="G2450" s="2">
        <f>VLOOKUP(B2450,'PO with created By ASR'!A:C,3,FALSE)</f>
        <v>45708</v>
      </c>
      <c r="J2450" s="2" t="str">
        <f>VLOOKUP(B2450,'PO with created By ASR'!A:G,4,FALSE)</f>
        <v>Seemant Mahalwal  -CR</v>
      </c>
      <c r="K2450" s="2" t="str">
        <f>VLOOKUP(B2450,'PO with created By ASR'!A:I,6,FALSE)</f>
        <v>10899 Seemant Mahalwal</v>
      </c>
      <c r="L2450" s="2" t="str">
        <f>VLOOKUP(B2450,'PO with created By ASR'!A:J,7,FALSE)</f>
        <v>D - Delhi</v>
      </c>
      <c r="M2450" s="2" t="str">
        <f>VLOOKUP(B2450,'PO with created By ASR'!A:K,8,FALSE)</f>
        <v>Purchase Order-Del</v>
      </c>
      <c r="N2450" t="s">
        <v>36</v>
      </c>
      <c r="P2450" s="2">
        <v>6</v>
      </c>
    </row>
    <row r="2451" s="2" customFormat="1" spans="1:16">
      <c r="A2451" s="8"/>
      <c r="B2451" s="9" t="s">
        <v>3684</v>
      </c>
      <c r="C2451" s="10" t="s">
        <v>412</v>
      </c>
      <c r="D2451" s="11">
        <v>1</v>
      </c>
      <c r="E2451" s="12">
        <v>315</v>
      </c>
      <c r="F2451" s="13">
        <v>315</v>
      </c>
      <c r="G2451" s="2">
        <f>VLOOKUP(B2451,'PO with created By ASR'!A:C,3,FALSE)</f>
        <v>45708</v>
      </c>
      <c r="J2451" s="2" t="str">
        <f>VLOOKUP(B2451,'PO with created By ASR'!A:G,4,FALSE)</f>
        <v>Seemant Mahalwal  -CR</v>
      </c>
      <c r="K2451" s="2" t="str">
        <f>VLOOKUP(B2451,'PO with created By ASR'!A:I,6,FALSE)</f>
        <v>10899 Seemant Mahalwal</v>
      </c>
      <c r="L2451" s="2" t="str">
        <f>VLOOKUP(B2451,'PO with created By ASR'!A:J,7,FALSE)</f>
        <v>D - Delhi</v>
      </c>
      <c r="M2451" s="2" t="str">
        <f>VLOOKUP(B2451,'PO with created By ASR'!A:K,8,FALSE)</f>
        <v>Purchase Order-Del</v>
      </c>
      <c r="N2451" t="s">
        <v>36</v>
      </c>
      <c r="P2451" s="2">
        <v>6</v>
      </c>
    </row>
    <row r="2452" s="2" customFormat="1" spans="1:16">
      <c r="A2452" s="8"/>
      <c r="B2452" s="9" t="s">
        <v>3685</v>
      </c>
      <c r="C2452" s="10" t="s">
        <v>126</v>
      </c>
      <c r="D2452" s="11">
        <v>1</v>
      </c>
      <c r="E2452" s="12">
        <v>3027</v>
      </c>
      <c r="F2452" s="13">
        <v>3027</v>
      </c>
      <c r="G2452" s="2">
        <f>VLOOKUP(B2452,'PO with created By ASR'!A:C,3,FALSE)</f>
        <v>45708</v>
      </c>
      <c r="J2452" s="2" t="str">
        <f>VLOOKUP(B2452,'PO with created By ASR'!A:G,4,FALSE)</f>
        <v>Varun Sondhi  -CR</v>
      </c>
      <c r="K2452" s="2" t="e">
        <f>VLOOKUP(B2452,'PO with created By ASR'!A:I,6,FALSE)</f>
        <v>#N/A</v>
      </c>
      <c r="L2452" s="2" t="str">
        <f>VLOOKUP(B2452,'PO with created By ASR'!A:J,7,FALSE)</f>
        <v>D - Delhi</v>
      </c>
      <c r="M2452" s="2" t="str">
        <f>VLOOKUP(B2452,'PO with created By ASR'!A:K,8,FALSE)</f>
        <v>Purchase Order-Del</v>
      </c>
      <c r="N2452" t="s">
        <v>36</v>
      </c>
      <c r="P2452" s="2">
        <v>6</v>
      </c>
    </row>
    <row r="2453" s="2" customFormat="1" spans="1:16">
      <c r="A2453" s="8"/>
      <c r="B2453" s="9" t="s">
        <v>3686</v>
      </c>
      <c r="C2453" s="10" t="s">
        <v>126</v>
      </c>
      <c r="D2453" s="11">
        <v>1</v>
      </c>
      <c r="E2453" s="12">
        <v>675</v>
      </c>
      <c r="F2453" s="13">
        <v>675</v>
      </c>
      <c r="G2453" s="2">
        <f>VLOOKUP(B2453,'PO with created By ASR'!A:C,3,FALSE)</f>
        <v>45708</v>
      </c>
      <c r="J2453" s="2" t="str">
        <f>VLOOKUP(B2453,'PO with created By ASR'!A:G,4,FALSE)</f>
        <v>Anurag Jadli  -CR</v>
      </c>
      <c r="K2453" s="2" t="e">
        <f>VLOOKUP(B2453,'PO with created By ASR'!A:I,6,FALSE)</f>
        <v>#N/A</v>
      </c>
      <c r="L2453" s="2" t="str">
        <f>VLOOKUP(B2453,'PO with created By ASR'!A:J,7,FALSE)</f>
        <v>D - Delhi</v>
      </c>
      <c r="M2453" s="2" t="str">
        <f>VLOOKUP(B2453,'PO with created By ASR'!A:K,8,FALSE)</f>
        <v>Purchase Order-Del</v>
      </c>
      <c r="N2453" t="s">
        <v>36</v>
      </c>
      <c r="P2453" s="2">
        <v>6</v>
      </c>
    </row>
    <row r="2454" s="2" customFormat="1" spans="1:16">
      <c r="A2454" s="8"/>
      <c r="B2454" s="9" t="s">
        <v>3686</v>
      </c>
      <c r="C2454" s="10" t="s">
        <v>412</v>
      </c>
      <c r="D2454" s="11">
        <v>1</v>
      </c>
      <c r="E2454" s="12">
        <v>296</v>
      </c>
      <c r="F2454" s="13">
        <v>296</v>
      </c>
      <c r="G2454" s="2">
        <f>VLOOKUP(B2454,'PO with created By ASR'!A:C,3,FALSE)</f>
        <v>45708</v>
      </c>
      <c r="J2454" s="2" t="str">
        <f>VLOOKUP(B2454,'PO with created By ASR'!A:G,4,FALSE)</f>
        <v>Anurag Jadli  -CR</v>
      </c>
      <c r="K2454" s="2" t="e">
        <f>VLOOKUP(B2454,'PO with created By ASR'!A:I,6,FALSE)</f>
        <v>#N/A</v>
      </c>
      <c r="L2454" s="2" t="str">
        <f>VLOOKUP(B2454,'PO with created By ASR'!A:J,7,FALSE)</f>
        <v>D - Delhi</v>
      </c>
      <c r="M2454" s="2" t="str">
        <f>VLOOKUP(B2454,'PO with created By ASR'!A:K,8,FALSE)</f>
        <v>Purchase Order-Del</v>
      </c>
      <c r="N2454" t="s">
        <v>36</v>
      </c>
      <c r="P2454" s="2">
        <v>6</v>
      </c>
    </row>
    <row r="2455" s="2" customFormat="1" spans="1:16">
      <c r="A2455" s="8"/>
      <c r="B2455" s="9" t="s">
        <v>3687</v>
      </c>
      <c r="C2455" s="10" t="s">
        <v>126</v>
      </c>
      <c r="D2455" s="11">
        <v>1</v>
      </c>
      <c r="E2455" s="12">
        <v>4481</v>
      </c>
      <c r="F2455" s="13">
        <v>4481</v>
      </c>
      <c r="G2455" s="2">
        <f>VLOOKUP(B2455,'PO with created By ASR'!A:C,3,FALSE)</f>
        <v>45708</v>
      </c>
      <c r="J2455" s="2" t="str">
        <f>VLOOKUP(B2455,'PO with created By ASR'!A:G,4,FALSE)</f>
        <v>Garv Aggarwal  -CR</v>
      </c>
      <c r="K2455" s="2" t="e">
        <f>VLOOKUP(B2455,'PO with created By ASR'!A:I,6,FALSE)</f>
        <v>#N/A</v>
      </c>
      <c r="L2455" s="2" t="str">
        <f>VLOOKUP(B2455,'PO with created By ASR'!A:J,7,FALSE)</f>
        <v>D - Delhi</v>
      </c>
      <c r="M2455" s="2" t="str">
        <f>VLOOKUP(B2455,'PO with created By ASR'!A:K,8,FALSE)</f>
        <v>Purchase Order-Del</v>
      </c>
      <c r="N2455" t="s">
        <v>36</v>
      </c>
      <c r="P2455" s="2">
        <v>6</v>
      </c>
    </row>
    <row r="2456" s="2" customFormat="1" spans="1:16">
      <c r="A2456" s="8"/>
      <c r="B2456" s="9" t="s">
        <v>3687</v>
      </c>
      <c r="C2456" s="10" t="s">
        <v>412</v>
      </c>
      <c r="D2456" s="11">
        <v>1</v>
      </c>
      <c r="E2456" s="12">
        <v>3646</v>
      </c>
      <c r="F2456" s="13">
        <v>3646</v>
      </c>
      <c r="G2456" s="2">
        <f>VLOOKUP(B2456,'PO with created By ASR'!A:C,3,FALSE)</f>
        <v>45708</v>
      </c>
      <c r="J2456" s="2" t="str">
        <f>VLOOKUP(B2456,'PO with created By ASR'!A:G,4,FALSE)</f>
        <v>Garv Aggarwal  -CR</v>
      </c>
      <c r="K2456" s="2" t="e">
        <f>VLOOKUP(B2456,'PO with created By ASR'!A:I,6,FALSE)</f>
        <v>#N/A</v>
      </c>
      <c r="L2456" s="2" t="str">
        <f>VLOOKUP(B2456,'PO with created By ASR'!A:J,7,FALSE)</f>
        <v>D - Delhi</v>
      </c>
      <c r="M2456" s="2" t="str">
        <f>VLOOKUP(B2456,'PO with created By ASR'!A:K,8,FALSE)</f>
        <v>Purchase Order-Del</v>
      </c>
      <c r="N2456" t="s">
        <v>36</v>
      </c>
      <c r="P2456" s="2">
        <v>6</v>
      </c>
    </row>
    <row r="2457" s="2" customFormat="1" spans="1:16">
      <c r="A2457" s="8"/>
      <c r="B2457" s="9" t="s">
        <v>3687</v>
      </c>
      <c r="C2457" s="10" t="s">
        <v>61</v>
      </c>
      <c r="D2457" s="11">
        <v>1</v>
      </c>
      <c r="E2457" s="12">
        <v>22060</v>
      </c>
      <c r="F2457" s="13">
        <v>22060</v>
      </c>
      <c r="G2457" s="2">
        <f>VLOOKUP(B2457,'PO with created By ASR'!A:C,3,FALSE)</f>
        <v>45708</v>
      </c>
      <c r="J2457" s="2" t="str">
        <f>VLOOKUP(B2457,'PO with created By ASR'!A:G,4,FALSE)</f>
        <v>Garv Aggarwal  -CR</v>
      </c>
      <c r="K2457" s="2" t="e">
        <f>VLOOKUP(B2457,'PO with created By ASR'!A:I,6,FALSE)</f>
        <v>#N/A</v>
      </c>
      <c r="L2457" s="2" t="str">
        <f>VLOOKUP(B2457,'PO with created By ASR'!A:J,7,FALSE)</f>
        <v>D - Delhi</v>
      </c>
      <c r="M2457" s="2" t="str">
        <f>VLOOKUP(B2457,'PO with created By ASR'!A:K,8,FALSE)</f>
        <v>Purchase Order-Del</v>
      </c>
      <c r="N2457" t="s">
        <v>36</v>
      </c>
      <c r="P2457" s="2">
        <v>6</v>
      </c>
    </row>
    <row r="2458" s="2" customFormat="1" spans="1:16">
      <c r="A2458" s="8"/>
      <c r="B2458" s="9" t="s">
        <v>3687</v>
      </c>
      <c r="C2458" s="10" t="s">
        <v>233</v>
      </c>
      <c r="D2458" s="11">
        <v>1</v>
      </c>
      <c r="E2458" s="12">
        <v>2600</v>
      </c>
      <c r="F2458" s="13">
        <v>2600</v>
      </c>
      <c r="G2458" s="2">
        <f>VLOOKUP(B2458,'PO with created By ASR'!A:C,3,FALSE)</f>
        <v>45708</v>
      </c>
      <c r="J2458" s="2" t="str">
        <f>VLOOKUP(B2458,'PO with created By ASR'!A:G,4,FALSE)</f>
        <v>Garv Aggarwal  -CR</v>
      </c>
      <c r="K2458" s="2" t="e">
        <f>VLOOKUP(B2458,'PO with created By ASR'!A:I,6,FALSE)</f>
        <v>#N/A</v>
      </c>
      <c r="L2458" s="2" t="str">
        <f>VLOOKUP(B2458,'PO with created By ASR'!A:J,7,FALSE)</f>
        <v>D - Delhi</v>
      </c>
      <c r="M2458" s="2" t="str">
        <f>VLOOKUP(B2458,'PO with created By ASR'!A:K,8,FALSE)</f>
        <v>Purchase Order-Del</v>
      </c>
      <c r="N2458" t="s">
        <v>36</v>
      </c>
      <c r="P2458" s="2">
        <v>6</v>
      </c>
    </row>
    <row r="2459" s="2" customFormat="1" spans="1:16">
      <c r="A2459" s="8"/>
      <c r="B2459" s="9" t="s">
        <v>3688</v>
      </c>
      <c r="C2459" s="10" t="s">
        <v>119</v>
      </c>
      <c r="D2459" s="11">
        <v>1</v>
      </c>
      <c r="E2459" s="12">
        <v>33895</v>
      </c>
      <c r="F2459" s="13">
        <v>33895</v>
      </c>
      <c r="G2459" s="2">
        <f>VLOOKUP(B2459,'PO with created By ASR'!A:C,3,FALSE)</f>
        <v>45708</v>
      </c>
      <c r="J2459" s="2" t="str">
        <f>VLOOKUP(B2459,'PO with created By ASR'!A:G,4,FALSE)</f>
        <v>Rastey Commuting Services Pvt Ltd-Del</v>
      </c>
      <c r="K2459" s="2" t="str">
        <f>VLOOKUP(B2459,'PO with created By ASR'!A:I,6,FALSE)</f>
        <v>12319  Rastey Commuting Services Pvt Ltd</v>
      </c>
      <c r="L2459" s="2" t="str">
        <f>VLOOKUP(B2459,'PO with created By ASR'!A:J,7,FALSE)</f>
        <v>D - Delhi</v>
      </c>
      <c r="M2459" s="2" t="str">
        <f>VLOOKUP(B2459,'PO with created By ASR'!A:K,8,FALSE)</f>
        <v>Purchase Order-Del</v>
      </c>
      <c r="N2459" t="s">
        <v>36</v>
      </c>
      <c r="P2459" s="2">
        <v>6</v>
      </c>
    </row>
    <row r="2460" s="2" customFormat="1" spans="1:16">
      <c r="A2460" s="8"/>
      <c r="B2460" s="9" t="s">
        <v>3688</v>
      </c>
      <c r="C2460" s="10" t="s">
        <v>676</v>
      </c>
      <c r="D2460" s="11">
        <v>1</v>
      </c>
      <c r="E2460" s="12">
        <v>847.38</v>
      </c>
      <c r="F2460" s="13">
        <v>847.38</v>
      </c>
      <c r="G2460" s="2">
        <f>VLOOKUP(B2460,'PO with created By ASR'!A:C,3,FALSE)</f>
        <v>45708</v>
      </c>
      <c r="J2460" s="2" t="str">
        <f>VLOOKUP(B2460,'PO with created By ASR'!A:G,4,FALSE)</f>
        <v>Rastey Commuting Services Pvt Ltd-Del</v>
      </c>
      <c r="K2460" s="2" t="str">
        <f>VLOOKUP(B2460,'PO with created By ASR'!A:I,6,FALSE)</f>
        <v>12319  Rastey Commuting Services Pvt Ltd</v>
      </c>
      <c r="L2460" s="2" t="str">
        <f>VLOOKUP(B2460,'PO with created By ASR'!A:J,7,FALSE)</f>
        <v>D - Delhi</v>
      </c>
      <c r="M2460" s="2" t="str">
        <f>VLOOKUP(B2460,'PO with created By ASR'!A:K,8,FALSE)</f>
        <v>Purchase Order-Del</v>
      </c>
      <c r="N2460" t="s">
        <v>36</v>
      </c>
      <c r="P2460" s="2">
        <v>6</v>
      </c>
    </row>
    <row r="2461" s="2" customFormat="1" spans="1:16">
      <c r="A2461" s="8"/>
      <c r="B2461" s="9" t="s">
        <v>3688</v>
      </c>
      <c r="C2461" s="10" t="s">
        <v>4365</v>
      </c>
      <c r="D2461" s="11">
        <v>1</v>
      </c>
      <c r="E2461" s="12">
        <v>847.38</v>
      </c>
      <c r="F2461" s="13">
        <v>847.38</v>
      </c>
      <c r="G2461" s="2">
        <f>VLOOKUP(B2461,'PO with created By ASR'!A:C,3,FALSE)</f>
        <v>45708</v>
      </c>
      <c r="J2461" s="2" t="str">
        <f>VLOOKUP(B2461,'PO with created By ASR'!A:G,4,FALSE)</f>
        <v>Rastey Commuting Services Pvt Ltd-Del</v>
      </c>
      <c r="K2461" s="2" t="str">
        <f>VLOOKUP(B2461,'PO with created By ASR'!A:I,6,FALSE)</f>
        <v>12319  Rastey Commuting Services Pvt Ltd</v>
      </c>
      <c r="L2461" s="2" t="str">
        <f>VLOOKUP(B2461,'PO with created By ASR'!A:J,7,FALSE)</f>
        <v>D - Delhi</v>
      </c>
      <c r="M2461" s="2" t="str">
        <f>VLOOKUP(B2461,'PO with created By ASR'!A:K,8,FALSE)</f>
        <v>Purchase Order-Del</v>
      </c>
      <c r="N2461" t="s">
        <v>36</v>
      </c>
      <c r="P2461" s="2">
        <v>6</v>
      </c>
    </row>
    <row r="2462" s="2" customFormat="1" spans="1:16">
      <c r="A2462" s="8"/>
      <c r="B2462" s="9" t="s">
        <v>3689</v>
      </c>
      <c r="C2462" s="10" t="s">
        <v>126</v>
      </c>
      <c r="D2462" s="11">
        <v>1</v>
      </c>
      <c r="E2462" s="12">
        <v>100</v>
      </c>
      <c r="F2462" s="13">
        <v>100</v>
      </c>
      <c r="G2462" s="2">
        <f>VLOOKUP(B2462,'PO with created By ASR'!A:C,3,FALSE)</f>
        <v>45708</v>
      </c>
      <c r="J2462" s="2" t="str">
        <f>VLOOKUP(B2462,'PO with created By ASR'!A:G,4,FALSE)</f>
        <v>Anil Kumar Singh..........-CR</v>
      </c>
      <c r="K2462" s="2" t="e">
        <f>VLOOKUP(B2462,'PO with created By ASR'!A:I,6,FALSE)</f>
        <v>#N/A</v>
      </c>
      <c r="L2462" s="2" t="str">
        <f>VLOOKUP(B2462,'PO with created By ASR'!A:J,7,FALSE)</f>
        <v>D - Delhi</v>
      </c>
      <c r="M2462" s="2" t="str">
        <f>VLOOKUP(B2462,'PO with created By ASR'!A:K,8,FALSE)</f>
        <v>Purchase Order-Del</v>
      </c>
      <c r="N2462" t="s">
        <v>36</v>
      </c>
      <c r="P2462" s="2">
        <v>6</v>
      </c>
    </row>
    <row r="2463" s="2" customFormat="1" spans="1:16">
      <c r="A2463" s="8"/>
      <c r="B2463" s="9" t="s">
        <v>3689</v>
      </c>
      <c r="C2463" s="10" t="s">
        <v>412</v>
      </c>
      <c r="D2463" s="11">
        <v>1</v>
      </c>
      <c r="E2463" s="12">
        <v>3083</v>
      </c>
      <c r="F2463" s="13">
        <v>3083</v>
      </c>
      <c r="G2463" s="2">
        <f>VLOOKUP(B2463,'PO with created By ASR'!A:C,3,FALSE)</f>
        <v>45708</v>
      </c>
      <c r="J2463" s="2" t="str">
        <f>VLOOKUP(B2463,'PO with created By ASR'!A:G,4,FALSE)</f>
        <v>Anil Kumar Singh..........-CR</v>
      </c>
      <c r="K2463" s="2" t="e">
        <f>VLOOKUP(B2463,'PO with created By ASR'!A:I,6,FALSE)</f>
        <v>#N/A</v>
      </c>
      <c r="L2463" s="2" t="str">
        <f>VLOOKUP(B2463,'PO with created By ASR'!A:J,7,FALSE)</f>
        <v>D - Delhi</v>
      </c>
      <c r="M2463" s="2" t="str">
        <f>VLOOKUP(B2463,'PO with created By ASR'!A:K,8,FALSE)</f>
        <v>Purchase Order-Del</v>
      </c>
      <c r="N2463" t="s">
        <v>36</v>
      </c>
      <c r="P2463" s="2">
        <v>6</v>
      </c>
    </row>
    <row r="2464" s="2" customFormat="1" spans="1:16">
      <c r="A2464" s="8"/>
      <c r="B2464" s="9" t="s">
        <v>3690</v>
      </c>
      <c r="C2464" s="10" t="s">
        <v>126</v>
      </c>
      <c r="D2464" s="11">
        <v>1</v>
      </c>
      <c r="E2464" s="12">
        <v>1889</v>
      </c>
      <c r="F2464" s="13">
        <v>1889</v>
      </c>
      <c r="G2464" s="2">
        <f>VLOOKUP(B2464,'PO with created By ASR'!A:C,3,FALSE)</f>
        <v>45708</v>
      </c>
      <c r="J2464" s="2" t="str">
        <f>VLOOKUP(B2464,'PO with created By ASR'!A:G,4,FALSE)</f>
        <v>Ravi Kiroula -CR</v>
      </c>
      <c r="K2464" s="2" t="e">
        <f>VLOOKUP(B2464,'PO with created By ASR'!A:I,6,FALSE)</f>
        <v>#N/A</v>
      </c>
      <c r="L2464" s="2" t="str">
        <f>VLOOKUP(B2464,'PO with created By ASR'!A:J,7,FALSE)</f>
        <v>D - Delhi</v>
      </c>
      <c r="M2464" s="2" t="str">
        <f>VLOOKUP(B2464,'PO with created By ASR'!A:K,8,FALSE)</f>
        <v>Purchase Order-Del</v>
      </c>
      <c r="N2464" t="s">
        <v>36</v>
      </c>
      <c r="P2464" s="2">
        <v>6</v>
      </c>
    </row>
    <row r="2465" s="2" customFormat="1" spans="1:16">
      <c r="A2465" s="8"/>
      <c r="B2465" s="9" t="s">
        <v>3690</v>
      </c>
      <c r="C2465" s="10" t="s">
        <v>412</v>
      </c>
      <c r="D2465" s="11">
        <v>1</v>
      </c>
      <c r="E2465" s="12">
        <v>578</v>
      </c>
      <c r="F2465" s="13">
        <v>578</v>
      </c>
      <c r="G2465" s="2">
        <f>VLOOKUP(B2465,'PO with created By ASR'!A:C,3,FALSE)</f>
        <v>45708</v>
      </c>
      <c r="J2465" s="2" t="str">
        <f>VLOOKUP(B2465,'PO with created By ASR'!A:G,4,FALSE)</f>
        <v>Ravi Kiroula -CR</v>
      </c>
      <c r="K2465" s="2" t="e">
        <f>VLOOKUP(B2465,'PO with created By ASR'!A:I,6,FALSE)</f>
        <v>#N/A</v>
      </c>
      <c r="L2465" s="2" t="str">
        <f>VLOOKUP(B2465,'PO with created By ASR'!A:J,7,FALSE)</f>
        <v>D - Delhi</v>
      </c>
      <c r="M2465" s="2" t="str">
        <f>VLOOKUP(B2465,'PO with created By ASR'!A:K,8,FALSE)</f>
        <v>Purchase Order-Del</v>
      </c>
      <c r="N2465" t="s">
        <v>36</v>
      </c>
      <c r="P2465" s="2">
        <v>6</v>
      </c>
    </row>
    <row r="2466" s="2" customFormat="1" spans="1:16">
      <c r="A2466" s="8"/>
      <c r="B2466" s="9" t="s">
        <v>3690</v>
      </c>
      <c r="C2466" s="10" t="s">
        <v>61</v>
      </c>
      <c r="D2466" s="11">
        <v>1</v>
      </c>
      <c r="E2466" s="12">
        <v>1800</v>
      </c>
      <c r="F2466" s="13">
        <v>1800</v>
      </c>
      <c r="G2466" s="2">
        <f>VLOOKUP(B2466,'PO with created By ASR'!A:C,3,FALSE)</f>
        <v>45708</v>
      </c>
      <c r="J2466" s="2" t="str">
        <f>VLOOKUP(B2466,'PO with created By ASR'!A:G,4,FALSE)</f>
        <v>Ravi Kiroula -CR</v>
      </c>
      <c r="K2466" s="2" t="e">
        <f>VLOOKUP(B2466,'PO with created By ASR'!A:I,6,FALSE)</f>
        <v>#N/A</v>
      </c>
      <c r="L2466" s="2" t="str">
        <f>VLOOKUP(B2466,'PO with created By ASR'!A:J,7,FALSE)</f>
        <v>D - Delhi</v>
      </c>
      <c r="M2466" s="2" t="str">
        <f>VLOOKUP(B2466,'PO with created By ASR'!A:K,8,FALSE)</f>
        <v>Purchase Order-Del</v>
      </c>
      <c r="N2466" t="s">
        <v>36</v>
      </c>
      <c r="P2466" s="2">
        <v>6</v>
      </c>
    </row>
    <row r="2467" s="2" customFormat="1" spans="1:16">
      <c r="A2467" s="8"/>
      <c r="B2467" s="9" t="s">
        <v>3691</v>
      </c>
      <c r="C2467" s="10" t="s">
        <v>126</v>
      </c>
      <c r="D2467" s="11">
        <v>1</v>
      </c>
      <c r="E2467" s="12">
        <v>780</v>
      </c>
      <c r="F2467" s="13">
        <v>780</v>
      </c>
      <c r="G2467" s="2">
        <f>VLOOKUP(B2467,'PO with created By ASR'!A:C,3,FALSE)</f>
        <v>45708</v>
      </c>
      <c r="J2467" s="2" t="str">
        <f>VLOOKUP(B2467,'PO with created By ASR'!A:G,4,FALSE)</f>
        <v>Seemant Mahalwal  -CR</v>
      </c>
      <c r="K2467" s="2" t="str">
        <f>VLOOKUP(B2467,'PO with created By ASR'!A:I,6,FALSE)</f>
        <v>10899 Seemant Mahalwal</v>
      </c>
      <c r="L2467" s="2" t="str">
        <f>VLOOKUP(B2467,'PO with created By ASR'!A:J,7,FALSE)</f>
        <v>D - Delhi</v>
      </c>
      <c r="M2467" s="2" t="str">
        <f>VLOOKUP(B2467,'PO with created By ASR'!A:K,8,FALSE)</f>
        <v>Purchase Order-Del</v>
      </c>
      <c r="N2467" t="s">
        <v>36</v>
      </c>
      <c r="P2467" s="2">
        <v>6</v>
      </c>
    </row>
    <row r="2468" s="2" customFormat="1" spans="1:16">
      <c r="A2468" s="8"/>
      <c r="B2468" s="9" t="s">
        <v>3691</v>
      </c>
      <c r="C2468" s="10" t="s">
        <v>412</v>
      </c>
      <c r="D2468" s="11">
        <v>1</v>
      </c>
      <c r="E2468" s="12">
        <v>439</v>
      </c>
      <c r="F2468" s="13">
        <v>439</v>
      </c>
      <c r="G2468" s="2">
        <f>VLOOKUP(B2468,'PO with created By ASR'!A:C,3,FALSE)</f>
        <v>45708</v>
      </c>
      <c r="J2468" s="2" t="str">
        <f>VLOOKUP(B2468,'PO with created By ASR'!A:G,4,FALSE)</f>
        <v>Seemant Mahalwal  -CR</v>
      </c>
      <c r="K2468" s="2" t="str">
        <f>VLOOKUP(B2468,'PO with created By ASR'!A:I,6,FALSE)</f>
        <v>10899 Seemant Mahalwal</v>
      </c>
      <c r="L2468" s="2" t="str">
        <f>VLOOKUP(B2468,'PO with created By ASR'!A:J,7,FALSE)</f>
        <v>D - Delhi</v>
      </c>
      <c r="M2468" s="2" t="str">
        <f>VLOOKUP(B2468,'PO with created By ASR'!A:K,8,FALSE)</f>
        <v>Purchase Order-Del</v>
      </c>
      <c r="N2468" t="s">
        <v>36</v>
      </c>
      <c r="P2468" s="2">
        <v>6</v>
      </c>
    </row>
    <row r="2469" s="2" customFormat="1" spans="1:16">
      <c r="A2469" s="8"/>
      <c r="B2469" s="9" t="s">
        <v>3692</v>
      </c>
      <c r="C2469" s="10" t="s">
        <v>126</v>
      </c>
      <c r="D2469" s="11">
        <v>1</v>
      </c>
      <c r="E2469" s="12">
        <v>6060</v>
      </c>
      <c r="F2469" s="13">
        <v>6060</v>
      </c>
      <c r="G2469" s="2">
        <f>VLOOKUP(B2469,'PO with created By ASR'!A:C,3,FALSE)</f>
        <v>45708</v>
      </c>
      <c r="J2469" s="2" t="str">
        <f>VLOOKUP(B2469,'PO with created By ASR'!A:G,4,FALSE)</f>
        <v>Umesh Sharma  -CR</v>
      </c>
      <c r="K2469" s="2" t="e">
        <f>VLOOKUP(B2469,'PO with created By ASR'!A:I,6,FALSE)</f>
        <v>#N/A</v>
      </c>
      <c r="L2469" s="2" t="str">
        <f>VLOOKUP(B2469,'PO with created By ASR'!A:J,7,FALSE)</f>
        <v>D - Delhi</v>
      </c>
      <c r="M2469" s="2" t="str">
        <f>VLOOKUP(B2469,'PO with created By ASR'!A:K,8,FALSE)</f>
        <v>Purchase Order-Del</v>
      </c>
      <c r="N2469" t="s">
        <v>36</v>
      </c>
      <c r="P2469" s="2">
        <v>6</v>
      </c>
    </row>
    <row r="2470" s="2" customFormat="1" spans="1:16">
      <c r="A2470" s="8"/>
      <c r="B2470" s="9" t="s">
        <v>3692</v>
      </c>
      <c r="C2470" s="10" t="s">
        <v>233</v>
      </c>
      <c r="D2470" s="11">
        <v>1</v>
      </c>
      <c r="E2470" s="12">
        <v>5497</v>
      </c>
      <c r="F2470" s="13">
        <v>5497</v>
      </c>
      <c r="G2470" s="2">
        <f>VLOOKUP(B2470,'PO with created By ASR'!A:C,3,FALSE)</f>
        <v>45708</v>
      </c>
      <c r="J2470" s="2" t="str">
        <f>VLOOKUP(B2470,'PO with created By ASR'!A:G,4,FALSE)</f>
        <v>Umesh Sharma  -CR</v>
      </c>
      <c r="K2470" s="2" t="e">
        <f>VLOOKUP(B2470,'PO with created By ASR'!A:I,6,FALSE)</f>
        <v>#N/A</v>
      </c>
      <c r="L2470" s="2" t="str">
        <f>VLOOKUP(B2470,'PO with created By ASR'!A:J,7,FALSE)</f>
        <v>D - Delhi</v>
      </c>
      <c r="M2470" s="2" t="str">
        <f>VLOOKUP(B2470,'PO with created By ASR'!A:K,8,FALSE)</f>
        <v>Purchase Order-Del</v>
      </c>
      <c r="N2470" t="s">
        <v>36</v>
      </c>
      <c r="P2470" s="2">
        <v>6</v>
      </c>
    </row>
    <row r="2471" s="2" customFormat="1" spans="1:16">
      <c r="A2471" s="8"/>
      <c r="B2471" s="9" t="s">
        <v>3694</v>
      </c>
      <c r="C2471" s="10" t="s">
        <v>126</v>
      </c>
      <c r="D2471" s="11">
        <v>1</v>
      </c>
      <c r="E2471" s="12">
        <v>1650</v>
      </c>
      <c r="F2471" s="13">
        <v>1650</v>
      </c>
      <c r="G2471" s="2">
        <f>VLOOKUP(B2471,'PO with created By ASR'!A:C,3,FALSE)</f>
        <v>45708</v>
      </c>
      <c r="J2471" s="2" t="str">
        <f>VLOOKUP(B2471,'PO with created By ASR'!A:G,4,FALSE)</f>
        <v>Ajeet Singh  -CR</v>
      </c>
      <c r="K2471" s="2" t="str">
        <f>VLOOKUP(B2471,'PO with created By ASR'!A:I,6,FALSE)</f>
        <v>10519 Ajeet Singh</v>
      </c>
      <c r="L2471" s="2" t="str">
        <f>VLOOKUP(B2471,'PO with created By ASR'!A:J,7,FALSE)</f>
        <v>D - Delhi</v>
      </c>
      <c r="M2471" s="2" t="str">
        <f>VLOOKUP(B2471,'PO with created By ASR'!A:K,8,FALSE)</f>
        <v>Purchase Order-Del</v>
      </c>
      <c r="N2471" t="s">
        <v>36</v>
      </c>
      <c r="P2471" s="2">
        <v>6</v>
      </c>
    </row>
    <row r="2472" s="2" customFormat="1" spans="1:16">
      <c r="A2472" s="8"/>
      <c r="B2472" s="9" t="s">
        <v>3694</v>
      </c>
      <c r="C2472" s="10" t="s">
        <v>412</v>
      </c>
      <c r="D2472" s="11">
        <v>1</v>
      </c>
      <c r="E2472" s="12">
        <v>312</v>
      </c>
      <c r="F2472" s="13">
        <v>312</v>
      </c>
      <c r="G2472" s="2">
        <f>VLOOKUP(B2472,'PO with created By ASR'!A:C,3,FALSE)</f>
        <v>45708</v>
      </c>
      <c r="J2472" s="2" t="str">
        <f>VLOOKUP(B2472,'PO with created By ASR'!A:G,4,FALSE)</f>
        <v>Ajeet Singh  -CR</v>
      </c>
      <c r="K2472" s="2" t="str">
        <f>VLOOKUP(B2472,'PO with created By ASR'!A:I,6,FALSE)</f>
        <v>10519 Ajeet Singh</v>
      </c>
      <c r="L2472" s="2" t="str">
        <f>VLOOKUP(B2472,'PO with created By ASR'!A:J,7,FALSE)</f>
        <v>D - Delhi</v>
      </c>
      <c r="M2472" s="2" t="str">
        <f>VLOOKUP(B2472,'PO with created By ASR'!A:K,8,FALSE)</f>
        <v>Purchase Order-Del</v>
      </c>
      <c r="N2472" t="s">
        <v>36</v>
      </c>
      <c r="P2472" s="2">
        <v>6</v>
      </c>
    </row>
    <row r="2473" s="2" customFormat="1" spans="1:16">
      <c r="A2473" s="8"/>
      <c r="B2473" s="9" t="s">
        <v>3695</v>
      </c>
      <c r="C2473" s="10" t="s">
        <v>126</v>
      </c>
      <c r="D2473" s="11">
        <v>1</v>
      </c>
      <c r="E2473" s="12">
        <v>10096</v>
      </c>
      <c r="F2473" s="13">
        <v>10096</v>
      </c>
      <c r="G2473" s="2">
        <f>VLOOKUP(B2473,'PO with created By ASR'!A:C,3,FALSE)</f>
        <v>45708</v>
      </c>
      <c r="J2473" s="2" t="str">
        <f>VLOOKUP(B2473,'PO with created By ASR'!A:G,4,FALSE)</f>
        <v>Garv Aggarwal  -CR</v>
      </c>
      <c r="K2473" s="2" t="e">
        <f>VLOOKUP(B2473,'PO with created By ASR'!A:I,6,FALSE)</f>
        <v>#N/A</v>
      </c>
      <c r="L2473" s="2" t="str">
        <f>VLOOKUP(B2473,'PO with created By ASR'!A:J,7,FALSE)</f>
        <v>D - Delhi</v>
      </c>
      <c r="M2473" s="2" t="str">
        <f>VLOOKUP(B2473,'PO with created By ASR'!A:K,8,FALSE)</f>
        <v>Purchase Order-Del</v>
      </c>
      <c r="N2473" t="s">
        <v>36</v>
      </c>
      <c r="P2473" s="2">
        <v>6</v>
      </c>
    </row>
    <row r="2474" s="2" customFormat="1" spans="1:16">
      <c r="A2474" s="8"/>
      <c r="B2474" s="9" t="s">
        <v>3695</v>
      </c>
      <c r="C2474" s="10" t="s">
        <v>412</v>
      </c>
      <c r="D2474" s="11">
        <v>1</v>
      </c>
      <c r="E2474" s="12">
        <v>7788</v>
      </c>
      <c r="F2474" s="13">
        <v>7788</v>
      </c>
      <c r="G2474" s="2">
        <f>VLOOKUP(B2474,'PO with created By ASR'!A:C,3,FALSE)</f>
        <v>45708</v>
      </c>
      <c r="J2474" s="2" t="str">
        <f>VLOOKUP(B2474,'PO with created By ASR'!A:G,4,FALSE)</f>
        <v>Garv Aggarwal  -CR</v>
      </c>
      <c r="K2474" s="2" t="e">
        <f>VLOOKUP(B2474,'PO with created By ASR'!A:I,6,FALSE)</f>
        <v>#N/A</v>
      </c>
      <c r="L2474" s="2" t="str">
        <f>VLOOKUP(B2474,'PO with created By ASR'!A:J,7,FALSE)</f>
        <v>D - Delhi</v>
      </c>
      <c r="M2474" s="2" t="str">
        <f>VLOOKUP(B2474,'PO with created By ASR'!A:K,8,FALSE)</f>
        <v>Purchase Order-Del</v>
      </c>
      <c r="N2474" t="s">
        <v>36</v>
      </c>
      <c r="P2474" s="2">
        <v>6</v>
      </c>
    </row>
    <row r="2475" s="2" customFormat="1" spans="1:16">
      <c r="A2475" s="8"/>
      <c r="B2475" s="9" t="s">
        <v>3696</v>
      </c>
      <c r="C2475" s="10" t="s">
        <v>126</v>
      </c>
      <c r="D2475" s="11">
        <v>1</v>
      </c>
      <c r="E2475" s="12">
        <v>2096</v>
      </c>
      <c r="F2475" s="13">
        <v>2096</v>
      </c>
      <c r="G2475" s="2">
        <f>VLOOKUP(B2475,'PO with created By ASR'!A:C,3,FALSE)</f>
        <v>45708</v>
      </c>
      <c r="J2475" s="2" t="str">
        <f>VLOOKUP(B2475,'PO with created By ASR'!A:G,4,FALSE)</f>
        <v>Karan Nischal......  -CR</v>
      </c>
      <c r="K2475" s="2" t="e">
        <f>VLOOKUP(B2475,'PO with created By ASR'!A:I,6,FALSE)</f>
        <v>#N/A</v>
      </c>
      <c r="L2475" s="2" t="str">
        <f>VLOOKUP(B2475,'PO with created By ASR'!A:J,7,FALSE)</f>
        <v>D - Delhi</v>
      </c>
      <c r="M2475" s="2" t="str">
        <f>VLOOKUP(B2475,'PO with created By ASR'!A:K,8,FALSE)</f>
        <v>Purchase Order-Del</v>
      </c>
      <c r="N2475" t="s">
        <v>36</v>
      </c>
      <c r="P2475" s="2">
        <v>6</v>
      </c>
    </row>
    <row r="2476" s="2" customFormat="1" spans="1:16">
      <c r="A2476" s="8"/>
      <c r="B2476" s="9" t="s">
        <v>3696</v>
      </c>
      <c r="C2476" s="10" t="s">
        <v>412</v>
      </c>
      <c r="D2476" s="11">
        <v>1</v>
      </c>
      <c r="E2476" s="12">
        <v>3074</v>
      </c>
      <c r="F2476" s="13">
        <v>3074</v>
      </c>
      <c r="G2476" s="2">
        <f>VLOOKUP(B2476,'PO with created By ASR'!A:C,3,FALSE)</f>
        <v>45708</v>
      </c>
      <c r="J2476" s="2" t="str">
        <f>VLOOKUP(B2476,'PO with created By ASR'!A:G,4,FALSE)</f>
        <v>Karan Nischal......  -CR</v>
      </c>
      <c r="K2476" s="2" t="e">
        <f>VLOOKUP(B2476,'PO with created By ASR'!A:I,6,FALSE)</f>
        <v>#N/A</v>
      </c>
      <c r="L2476" s="2" t="str">
        <f>VLOOKUP(B2476,'PO with created By ASR'!A:J,7,FALSE)</f>
        <v>D - Delhi</v>
      </c>
      <c r="M2476" s="2" t="str">
        <f>VLOOKUP(B2476,'PO with created By ASR'!A:K,8,FALSE)</f>
        <v>Purchase Order-Del</v>
      </c>
      <c r="N2476" t="s">
        <v>36</v>
      </c>
      <c r="P2476" s="2">
        <v>6</v>
      </c>
    </row>
    <row r="2477" s="2" customFormat="1" spans="1:16">
      <c r="A2477" s="8"/>
      <c r="B2477" s="9" t="s">
        <v>3696</v>
      </c>
      <c r="C2477" s="10" t="s">
        <v>61</v>
      </c>
      <c r="D2477" s="11">
        <v>1</v>
      </c>
      <c r="E2477" s="12">
        <v>9000</v>
      </c>
      <c r="F2477" s="13">
        <v>9000</v>
      </c>
      <c r="G2477" s="2">
        <f>VLOOKUP(B2477,'PO with created By ASR'!A:C,3,FALSE)</f>
        <v>45708</v>
      </c>
      <c r="J2477" s="2" t="str">
        <f>VLOOKUP(B2477,'PO with created By ASR'!A:G,4,FALSE)</f>
        <v>Karan Nischal......  -CR</v>
      </c>
      <c r="K2477" s="2" t="e">
        <f>VLOOKUP(B2477,'PO with created By ASR'!A:I,6,FALSE)</f>
        <v>#N/A</v>
      </c>
      <c r="L2477" s="2" t="str">
        <f>VLOOKUP(B2477,'PO with created By ASR'!A:J,7,FALSE)</f>
        <v>D - Delhi</v>
      </c>
      <c r="M2477" s="2" t="str">
        <f>VLOOKUP(B2477,'PO with created By ASR'!A:K,8,FALSE)</f>
        <v>Purchase Order-Del</v>
      </c>
      <c r="N2477" t="s">
        <v>36</v>
      </c>
      <c r="P2477" s="2">
        <v>6</v>
      </c>
    </row>
    <row r="2478" s="2" customFormat="1" spans="1:16">
      <c r="A2478" s="8"/>
      <c r="B2478" s="9" t="s">
        <v>3697</v>
      </c>
      <c r="C2478" s="10" t="s">
        <v>126</v>
      </c>
      <c r="D2478" s="11">
        <v>1</v>
      </c>
      <c r="E2478" s="12">
        <v>8031</v>
      </c>
      <c r="F2478" s="13">
        <v>8031</v>
      </c>
      <c r="G2478" s="2">
        <f>VLOOKUP(B2478,'PO with created By ASR'!A:C,3,FALSE)</f>
        <v>45708</v>
      </c>
      <c r="J2478" s="2" t="str">
        <f>VLOOKUP(B2478,'PO with created By ASR'!A:G,4,FALSE)</f>
        <v>Karan Nischal......  -CR</v>
      </c>
      <c r="K2478" s="2" t="e">
        <f>VLOOKUP(B2478,'PO with created By ASR'!A:I,6,FALSE)</f>
        <v>#N/A</v>
      </c>
      <c r="L2478" s="2" t="str">
        <f>VLOOKUP(B2478,'PO with created By ASR'!A:J,7,FALSE)</f>
        <v>D - Delhi</v>
      </c>
      <c r="M2478" s="2" t="str">
        <f>VLOOKUP(B2478,'PO with created By ASR'!A:K,8,FALSE)</f>
        <v>Purchase Order-Del</v>
      </c>
      <c r="N2478" t="s">
        <v>36</v>
      </c>
      <c r="P2478" s="2">
        <v>6</v>
      </c>
    </row>
    <row r="2479" s="2" customFormat="1" spans="1:16">
      <c r="A2479" s="8"/>
      <c r="B2479" s="9" t="s">
        <v>3697</v>
      </c>
      <c r="C2479" s="10" t="s">
        <v>412</v>
      </c>
      <c r="D2479" s="11">
        <v>1</v>
      </c>
      <c r="E2479" s="12">
        <v>2977</v>
      </c>
      <c r="F2479" s="13">
        <v>2977</v>
      </c>
      <c r="G2479" s="2">
        <f>VLOOKUP(B2479,'PO with created By ASR'!A:C,3,FALSE)</f>
        <v>45708</v>
      </c>
      <c r="J2479" s="2" t="str">
        <f>VLOOKUP(B2479,'PO with created By ASR'!A:G,4,FALSE)</f>
        <v>Karan Nischal......  -CR</v>
      </c>
      <c r="K2479" s="2" t="e">
        <f>VLOOKUP(B2479,'PO with created By ASR'!A:I,6,FALSE)</f>
        <v>#N/A</v>
      </c>
      <c r="L2479" s="2" t="str">
        <f>VLOOKUP(B2479,'PO with created By ASR'!A:J,7,FALSE)</f>
        <v>D - Delhi</v>
      </c>
      <c r="M2479" s="2" t="str">
        <f>VLOOKUP(B2479,'PO with created By ASR'!A:K,8,FALSE)</f>
        <v>Purchase Order-Del</v>
      </c>
      <c r="N2479" t="s">
        <v>36</v>
      </c>
      <c r="P2479" s="2">
        <v>6</v>
      </c>
    </row>
    <row r="2480" s="2" customFormat="1" spans="1:16">
      <c r="A2480" s="8"/>
      <c r="B2480" s="9" t="s">
        <v>3697</v>
      </c>
      <c r="C2480" s="10" t="s">
        <v>61</v>
      </c>
      <c r="D2480" s="11">
        <v>1</v>
      </c>
      <c r="E2480" s="12">
        <v>1800</v>
      </c>
      <c r="F2480" s="13">
        <v>1800</v>
      </c>
      <c r="G2480" s="2">
        <f>VLOOKUP(B2480,'PO with created By ASR'!A:C,3,FALSE)</f>
        <v>45708</v>
      </c>
      <c r="J2480" s="2" t="str">
        <f>VLOOKUP(B2480,'PO with created By ASR'!A:G,4,FALSE)</f>
        <v>Karan Nischal......  -CR</v>
      </c>
      <c r="K2480" s="2" t="e">
        <f>VLOOKUP(B2480,'PO with created By ASR'!A:I,6,FALSE)</f>
        <v>#N/A</v>
      </c>
      <c r="L2480" s="2" t="str">
        <f>VLOOKUP(B2480,'PO with created By ASR'!A:J,7,FALSE)</f>
        <v>D - Delhi</v>
      </c>
      <c r="M2480" s="2" t="str">
        <f>VLOOKUP(B2480,'PO with created By ASR'!A:K,8,FALSE)</f>
        <v>Purchase Order-Del</v>
      </c>
      <c r="N2480" t="s">
        <v>36</v>
      </c>
      <c r="P2480" s="2">
        <v>6</v>
      </c>
    </row>
    <row r="2481" s="2" customFormat="1" spans="1:16">
      <c r="A2481" s="8"/>
      <c r="B2481" s="9" t="s">
        <v>3697</v>
      </c>
      <c r="C2481" s="10" t="s">
        <v>233</v>
      </c>
      <c r="D2481" s="11">
        <v>1</v>
      </c>
      <c r="E2481" s="12">
        <v>2180</v>
      </c>
      <c r="F2481" s="13">
        <v>2180</v>
      </c>
      <c r="G2481" s="2">
        <f>VLOOKUP(B2481,'PO with created By ASR'!A:C,3,FALSE)</f>
        <v>45708</v>
      </c>
      <c r="J2481" s="2" t="str">
        <f>VLOOKUP(B2481,'PO with created By ASR'!A:G,4,FALSE)</f>
        <v>Karan Nischal......  -CR</v>
      </c>
      <c r="K2481" s="2" t="e">
        <f>VLOOKUP(B2481,'PO with created By ASR'!A:I,6,FALSE)</f>
        <v>#N/A</v>
      </c>
      <c r="L2481" s="2" t="str">
        <f>VLOOKUP(B2481,'PO with created By ASR'!A:J,7,FALSE)</f>
        <v>D - Delhi</v>
      </c>
      <c r="M2481" s="2" t="str">
        <f>VLOOKUP(B2481,'PO with created By ASR'!A:K,8,FALSE)</f>
        <v>Purchase Order-Del</v>
      </c>
      <c r="N2481" t="s">
        <v>36</v>
      </c>
      <c r="P2481" s="2">
        <v>6</v>
      </c>
    </row>
    <row r="2482" s="2" customFormat="1" spans="1:16">
      <c r="A2482" s="8"/>
      <c r="B2482" s="9" t="s">
        <v>3698</v>
      </c>
      <c r="C2482" s="10" t="s">
        <v>126</v>
      </c>
      <c r="D2482" s="11">
        <v>1</v>
      </c>
      <c r="E2482" s="12">
        <v>2921</v>
      </c>
      <c r="F2482" s="13">
        <v>2921</v>
      </c>
      <c r="G2482" s="2">
        <f>VLOOKUP(B2482,'PO with created By ASR'!A:C,3,FALSE)</f>
        <v>45708</v>
      </c>
      <c r="J2482" s="2" t="str">
        <f>VLOOKUP(B2482,'PO with created By ASR'!A:G,4,FALSE)</f>
        <v>Vijender  -CR</v>
      </c>
      <c r="K2482" s="2" t="e">
        <f>VLOOKUP(B2482,'PO with created By ASR'!A:I,6,FALSE)</f>
        <v>#N/A</v>
      </c>
      <c r="L2482" s="2" t="str">
        <f>VLOOKUP(B2482,'PO with created By ASR'!A:J,7,FALSE)</f>
        <v>D - Delhi</v>
      </c>
      <c r="M2482" s="2" t="str">
        <f>VLOOKUP(B2482,'PO with created By ASR'!A:K,8,FALSE)</f>
        <v>Purchase Order-Del</v>
      </c>
      <c r="N2482" t="s">
        <v>36</v>
      </c>
      <c r="P2482" s="2">
        <v>6</v>
      </c>
    </row>
    <row r="2483" s="2" customFormat="1" spans="1:16">
      <c r="A2483" s="8"/>
      <c r="B2483" s="9" t="s">
        <v>3698</v>
      </c>
      <c r="C2483" s="10" t="s">
        <v>412</v>
      </c>
      <c r="D2483" s="11">
        <v>1</v>
      </c>
      <c r="E2483" s="12">
        <v>7743</v>
      </c>
      <c r="F2483" s="13">
        <v>7743</v>
      </c>
      <c r="G2483" s="2">
        <f>VLOOKUP(B2483,'PO with created By ASR'!A:C,3,FALSE)</f>
        <v>45708</v>
      </c>
      <c r="J2483" s="2" t="str">
        <f>VLOOKUP(B2483,'PO with created By ASR'!A:G,4,FALSE)</f>
        <v>Vijender  -CR</v>
      </c>
      <c r="K2483" s="2" t="e">
        <f>VLOOKUP(B2483,'PO with created By ASR'!A:I,6,FALSE)</f>
        <v>#N/A</v>
      </c>
      <c r="L2483" s="2" t="str">
        <f>VLOOKUP(B2483,'PO with created By ASR'!A:J,7,FALSE)</f>
        <v>D - Delhi</v>
      </c>
      <c r="M2483" s="2" t="str">
        <f>VLOOKUP(B2483,'PO with created By ASR'!A:K,8,FALSE)</f>
        <v>Purchase Order-Del</v>
      </c>
      <c r="N2483" t="s">
        <v>36</v>
      </c>
      <c r="P2483" s="2">
        <v>6</v>
      </c>
    </row>
    <row r="2484" s="2" customFormat="1" spans="1:16">
      <c r="A2484" s="8"/>
      <c r="B2484" s="9" t="s">
        <v>3698</v>
      </c>
      <c r="C2484" s="10" t="s">
        <v>233</v>
      </c>
      <c r="D2484" s="11">
        <v>1</v>
      </c>
      <c r="E2484" s="12">
        <v>3846</v>
      </c>
      <c r="F2484" s="13">
        <v>3846</v>
      </c>
      <c r="G2484" s="2">
        <f>VLOOKUP(B2484,'PO with created By ASR'!A:C,3,FALSE)</f>
        <v>45708</v>
      </c>
      <c r="J2484" s="2" t="str">
        <f>VLOOKUP(B2484,'PO with created By ASR'!A:G,4,FALSE)</f>
        <v>Vijender  -CR</v>
      </c>
      <c r="K2484" s="2" t="e">
        <f>VLOOKUP(B2484,'PO with created By ASR'!A:I,6,FALSE)</f>
        <v>#N/A</v>
      </c>
      <c r="L2484" s="2" t="str">
        <f>VLOOKUP(B2484,'PO with created By ASR'!A:J,7,FALSE)</f>
        <v>D - Delhi</v>
      </c>
      <c r="M2484" s="2" t="str">
        <f>VLOOKUP(B2484,'PO with created By ASR'!A:K,8,FALSE)</f>
        <v>Purchase Order-Del</v>
      </c>
      <c r="N2484" t="s">
        <v>36</v>
      </c>
      <c r="P2484" s="2">
        <v>6</v>
      </c>
    </row>
    <row r="2485" s="2" customFormat="1" spans="1:16">
      <c r="A2485" s="8"/>
      <c r="B2485" s="9" t="s">
        <v>3699</v>
      </c>
      <c r="C2485" s="10" t="s">
        <v>233</v>
      </c>
      <c r="D2485" s="11">
        <v>1</v>
      </c>
      <c r="E2485" s="12">
        <v>8940</v>
      </c>
      <c r="F2485" s="13">
        <v>8940</v>
      </c>
      <c r="G2485" s="2">
        <f>VLOOKUP(B2485,'PO with created By ASR'!A:C,3,FALSE)</f>
        <v>45708</v>
      </c>
      <c r="J2485" s="2" t="str">
        <f>VLOOKUP(B2485,'PO with created By ASR'!A:G,4,FALSE)</f>
        <v>Pankaj Kumar Mishra  -CR</v>
      </c>
      <c r="K2485" s="2" t="e">
        <f>VLOOKUP(B2485,'PO with created By ASR'!A:I,6,FALSE)</f>
        <v>#N/A</v>
      </c>
      <c r="L2485" s="2" t="str">
        <f>VLOOKUP(B2485,'PO with created By ASR'!A:J,7,FALSE)</f>
        <v>D - Delhi</v>
      </c>
      <c r="M2485" s="2" t="str">
        <f>VLOOKUP(B2485,'PO with created By ASR'!A:K,8,FALSE)</f>
        <v>Purchase Order-Del</v>
      </c>
      <c r="N2485" t="s">
        <v>36</v>
      </c>
      <c r="P2485" s="2">
        <v>6</v>
      </c>
    </row>
    <row r="2486" s="2" customFormat="1" spans="1:16">
      <c r="A2486" s="8"/>
      <c r="B2486" s="9" t="s">
        <v>3700</v>
      </c>
      <c r="C2486" s="10" t="s">
        <v>126</v>
      </c>
      <c r="D2486" s="11">
        <v>1</v>
      </c>
      <c r="E2486" s="12">
        <v>1488</v>
      </c>
      <c r="F2486" s="13">
        <v>1488</v>
      </c>
      <c r="G2486" s="2">
        <f>VLOOKUP(B2486,'PO with created By ASR'!A:C,3,FALSE)</f>
        <v>45708</v>
      </c>
      <c r="J2486" s="2" t="str">
        <f>VLOOKUP(B2486,'PO with created By ASR'!A:G,4,FALSE)</f>
        <v>Ajeet Singh  -CR</v>
      </c>
      <c r="K2486" s="2" t="str">
        <f>VLOOKUP(B2486,'PO with created By ASR'!A:I,6,FALSE)</f>
        <v>10519 Ajeet Singh</v>
      </c>
      <c r="L2486" s="2" t="str">
        <f>VLOOKUP(B2486,'PO with created By ASR'!A:J,7,FALSE)</f>
        <v>D - Delhi</v>
      </c>
      <c r="M2486" s="2" t="str">
        <f>VLOOKUP(B2486,'PO with created By ASR'!A:K,8,FALSE)</f>
        <v>Purchase Order-Del</v>
      </c>
      <c r="N2486" t="s">
        <v>36</v>
      </c>
      <c r="P2486" s="2">
        <v>6</v>
      </c>
    </row>
    <row r="2487" s="2" customFormat="1" spans="1:16">
      <c r="A2487" s="8"/>
      <c r="B2487" s="9" t="s">
        <v>3701</v>
      </c>
      <c r="C2487" s="10" t="s">
        <v>126</v>
      </c>
      <c r="D2487" s="11">
        <v>1</v>
      </c>
      <c r="E2487" s="12">
        <v>559</v>
      </c>
      <c r="F2487" s="13">
        <v>559</v>
      </c>
      <c r="G2487" s="2">
        <f>VLOOKUP(B2487,'PO with created By ASR'!A:C,3,FALSE)</f>
        <v>45708</v>
      </c>
      <c r="J2487" s="2" t="str">
        <f>VLOOKUP(B2487,'PO with created By ASR'!A:G,4,FALSE)</f>
        <v>Adil Jala  -CR</v>
      </c>
      <c r="K2487" s="2" t="e">
        <f>VLOOKUP(B2487,'PO with created By ASR'!A:I,6,FALSE)</f>
        <v>#N/A</v>
      </c>
      <c r="L2487" s="2" t="str">
        <f>VLOOKUP(B2487,'PO with created By ASR'!A:J,7,FALSE)</f>
        <v>A - Mumbai</v>
      </c>
      <c r="M2487" s="2" t="str">
        <f>VLOOKUP(B2487,'PO with created By ASR'!A:K,8,FALSE)</f>
        <v>Purchase Order-Mum</v>
      </c>
      <c r="N2487" t="s">
        <v>36</v>
      </c>
      <c r="P2487" s="2">
        <v>6</v>
      </c>
    </row>
    <row r="2488" s="2" customFormat="1" spans="1:16">
      <c r="A2488" s="8"/>
      <c r="B2488" s="9" t="s">
        <v>3701</v>
      </c>
      <c r="C2488" s="10" t="s">
        <v>412</v>
      </c>
      <c r="D2488" s="11">
        <v>1</v>
      </c>
      <c r="E2488" s="12">
        <v>487</v>
      </c>
      <c r="F2488" s="13">
        <v>487</v>
      </c>
      <c r="G2488" s="2">
        <f>VLOOKUP(B2488,'PO with created By ASR'!A:C,3,FALSE)</f>
        <v>45708</v>
      </c>
      <c r="J2488" s="2" t="str">
        <f>VLOOKUP(B2488,'PO with created By ASR'!A:G,4,FALSE)</f>
        <v>Adil Jala  -CR</v>
      </c>
      <c r="K2488" s="2" t="e">
        <f>VLOOKUP(B2488,'PO with created By ASR'!A:I,6,FALSE)</f>
        <v>#N/A</v>
      </c>
      <c r="L2488" s="2" t="str">
        <f>VLOOKUP(B2488,'PO with created By ASR'!A:J,7,FALSE)</f>
        <v>A - Mumbai</v>
      </c>
      <c r="M2488" s="2" t="str">
        <f>VLOOKUP(B2488,'PO with created By ASR'!A:K,8,FALSE)</f>
        <v>Purchase Order-Mum</v>
      </c>
      <c r="N2488" t="s">
        <v>36</v>
      </c>
      <c r="P2488" s="2">
        <v>6</v>
      </c>
    </row>
    <row r="2489" s="2" customFormat="1" spans="1:16">
      <c r="A2489" s="8"/>
      <c r="B2489" s="9" t="s">
        <v>3703</v>
      </c>
      <c r="C2489" s="10" t="s">
        <v>317</v>
      </c>
      <c r="D2489" s="11">
        <v>1</v>
      </c>
      <c r="E2489" s="12">
        <v>1442</v>
      </c>
      <c r="F2489" s="13">
        <v>1442</v>
      </c>
      <c r="G2489" s="2">
        <f>VLOOKUP(B2489,'PO with created By ASR'!A:C,3,FALSE)</f>
        <v>45708</v>
      </c>
      <c r="J2489" s="2" t="str">
        <f>VLOOKUP(B2489,'PO with created By ASR'!A:G,4,FALSE)</f>
        <v>Maitree Dang  -CR</v>
      </c>
      <c r="K2489" s="2" t="e">
        <f>VLOOKUP(B2489,'PO with created By ASR'!A:I,6,FALSE)</f>
        <v>#N/A</v>
      </c>
      <c r="L2489" s="2" t="str">
        <f>VLOOKUP(B2489,'PO with created By ASR'!A:J,7,FALSE)</f>
        <v>A - Mumbai</v>
      </c>
      <c r="M2489" s="2" t="str">
        <f>VLOOKUP(B2489,'PO with created By ASR'!A:K,8,FALSE)</f>
        <v>Purchase Order-Mum</v>
      </c>
      <c r="N2489" t="s">
        <v>36</v>
      </c>
      <c r="P2489" s="2">
        <v>6</v>
      </c>
    </row>
    <row r="2490" s="2" customFormat="1" spans="1:16">
      <c r="A2490" s="8"/>
      <c r="B2490" s="9" t="s">
        <v>3703</v>
      </c>
      <c r="C2490" s="10" t="s">
        <v>126</v>
      </c>
      <c r="D2490" s="11">
        <v>1</v>
      </c>
      <c r="E2490" s="12">
        <v>6192</v>
      </c>
      <c r="F2490" s="13">
        <v>6192</v>
      </c>
      <c r="G2490" s="2">
        <f>VLOOKUP(B2490,'PO with created By ASR'!A:C,3,FALSE)</f>
        <v>45708</v>
      </c>
      <c r="J2490" s="2" t="str">
        <f>VLOOKUP(B2490,'PO with created By ASR'!A:G,4,FALSE)</f>
        <v>Maitree Dang  -CR</v>
      </c>
      <c r="K2490" s="2" t="e">
        <f>VLOOKUP(B2490,'PO with created By ASR'!A:I,6,FALSE)</f>
        <v>#N/A</v>
      </c>
      <c r="L2490" s="2" t="str">
        <f>VLOOKUP(B2490,'PO with created By ASR'!A:J,7,FALSE)</f>
        <v>A - Mumbai</v>
      </c>
      <c r="M2490" s="2" t="str">
        <f>VLOOKUP(B2490,'PO with created By ASR'!A:K,8,FALSE)</f>
        <v>Purchase Order-Mum</v>
      </c>
      <c r="N2490" t="s">
        <v>36</v>
      </c>
      <c r="P2490" s="2">
        <v>6</v>
      </c>
    </row>
    <row r="2491" s="2" customFormat="1" spans="1:16">
      <c r="A2491" s="8"/>
      <c r="B2491" s="9" t="s">
        <v>3703</v>
      </c>
      <c r="C2491" s="10" t="s">
        <v>412</v>
      </c>
      <c r="D2491" s="11">
        <v>1</v>
      </c>
      <c r="E2491" s="12">
        <v>5190.31</v>
      </c>
      <c r="F2491" s="13">
        <v>5190.31</v>
      </c>
      <c r="G2491" s="2">
        <f>VLOOKUP(B2491,'PO with created By ASR'!A:C,3,FALSE)</f>
        <v>45708</v>
      </c>
      <c r="J2491" s="2" t="str">
        <f>VLOOKUP(B2491,'PO with created By ASR'!A:G,4,FALSE)</f>
        <v>Maitree Dang  -CR</v>
      </c>
      <c r="K2491" s="2" t="e">
        <f>VLOOKUP(B2491,'PO with created By ASR'!A:I,6,FALSE)</f>
        <v>#N/A</v>
      </c>
      <c r="L2491" s="2" t="str">
        <f>VLOOKUP(B2491,'PO with created By ASR'!A:J,7,FALSE)</f>
        <v>A - Mumbai</v>
      </c>
      <c r="M2491" s="2" t="str">
        <f>VLOOKUP(B2491,'PO with created By ASR'!A:K,8,FALSE)</f>
        <v>Purchase Order-Mum</v>
      </c>
      <c r="N2491" t="s">
        <v>36</v>
      </c>
      <c r="P2491" s="2">
        <v>6</v>
      </c>
    </row>
    <row r="2492" s="2" customFormat="1" spans="1:16">
      <c r="A2492" s="8"/>
      <c r="B2492" s="9" t="s">
        <v>3704</v>
      </c>
      <c r="C2492" s="10" t="s">
        <v>317</v>
      </c>
      <c r="D2492" s="11">
        <v>1</v>
      </c>
      <c r="E2492" s="12">
        <v>1199</v>
      </c>
      <c r="F2492" s="13">
        <v>1199</v>
      </c>
      <c r="G2492" s="2">
        <f>VLOOKUP(B2492,'PO with created By ASR'!A:C,3,FALSE)</f>
        <v>45708</v>
      </c>
      <c r="J2492" s="2" t="str">
        <f>VLOOKUP(B2492,'PO with created By ASR'!A:G,4,FALSE)</f>
        <v>PARESH SURVE ADV FOR EXPENCES-CR</v>
      </c>
      <c r="K2492" s="2" t="e">
        <f>VLOOKUP(B2492,'PO with created By ASR'!A:I,6,FALSE)</f>
        <v>#N/A</v>
      </c>
      <c r="L2492" s="2" t="str">
        <f>VLOOKUP(B2492,'PO with created By ASR'!A:J,7,FALSE)</f>
        <v>A - Mumbai</v>
      </c>
      <c r="M2492" s="2" t="str">
        <f>VLOOKUP(B2492,'PO with created By ASR'!A:K,8,FALSE)</f>
        <v>Purchase Order-Mum</v>
      </c>
      <c r="N2492" t="s">
        <v>36</v>
      </c>
      <c r="P2492" s="2">
        <v>6</v>
      </c>
    </row>
    <row r="2493" s="2" customFormat="1" spans="1:16">
      <c r="A2493" s="8"/>
      <c r="B2493" s="9" t="s">
        <v>3704</v>
      </c>
      <c r="C2493" s="10" t="s">
        <v>61</v>
      </c>
      <c r="D2493" s="11">
        <v>1</v>
      </c>
      <c r="E2493" s="12">
        <v>1800</v>
      </c>
      <c r="F2493" s="13">
        <v>1800</v>
      </c>
      <c r="G2493" s="2">
        <f>VLOOKUP(B2493,'PO with created By ASR'!A:C,3,FALSE)</f>
        <v>45708</v>
      </c>
      <c r="J2493" s="2" t="str">
        <f>VLOOKUP(B2493,'PO with created By ASR'!A:G,4,FALSE)</f>
        <v>PARESH SURVE ADV FOR EXPENCES-CR</v>
      </c>
      <c r="K2493" s="2" t="e">
        <f>VLOOKUP(B2493,'PO with created By ASR'!A:I,6,FALSE)</f>
        <v>#N/A</v>
      </c>
      <c r="L2493" s="2" t="str">
        <f>VLOOKUP(B2493,'PO with created By ASR'!A:J,7,FALSE)</f>
        <v>A - Mumbai</v>
      </c>
      <c r="M2493" s="2" t="str">
        <f>VLOOKUP(B2493,'PO with created By ASR'!A:K,8,FALSE)</f>
        <v>Purchase Order-Mum</v>
      </c>
      <c r="N2493" t="s">
        <v>36</v>
      </c>
      <c r="P2493" s="2">
        <v>6</v>
      </c>
    </row>
    <row r="2494" s="2" customFormat="1" spans="1:16">
      <c r="A2494" s="8"/>
      <c r="B2494" s="9" t="s">
        <v>3704</v>
      </c>
      <c r="C2494" s="10" t="s">
        <v>126</v>
      </c>
      <c r="D2494" s="11">
        <v>1</v>
      </c>
      <c r="E2494" s="12">
        <v>822</v>
      </c>
      <c r="F2494" s="13">
        <v>822</v>
      </c>
      <c r="G2494" s="2">
        <f>VLOOKUP(B2494,'PO with created By ASR'!A:C,3,FALSE)</f>
        <v>45708</v>
      </c>
      <c r="J2494" s="2" t="str">
        <f>VLOOKUP(B2494,'PO with created By ASR'!A:G,4,FALSE)</f>
        <v>PARESH SURVE ADV FOR EXPENCES-CR</v>
      </c>
      <c r="K2494" s="2" t="e">
        <f>VLOOKUP(B2494,'PO with created By ASR'!A:I,6,FALSE)</f>
        <v>#N/A</v>
      </c>
      <c r="L2494" s="2" t="str">
        <f>VLOOKUP(B2494,'PO with created By ASR'!A:J,7,FALSE)</f>
        <v>A - Mumbai</v>
      </c>
      <c r="M2494" s="2" t="str">
        <f>VLOOKUP(B2494,'PO with created By ASR'!A:K,8,FALSE)</f>
        <v>Purchase Order-Mum</v>
      </c>
      <c r="N2494" t="s">
        <v>36</v>
      </c>
      <c r="P2494" s="2">
        <v>6</v>
      </c>
    </row>
    <row r="2495" s="2" customFormat="1" spans="1:16">
      <c r="A2495" s="8"/>
      <c r="B2495" s="9" t="s">
        <v>3704</v>
      </c>
      <c r="C2495" s="10" t="s">
        <v>412</v>
      </c>
      <c r="D2495" s="11">
        <v>1</v>
      </c>
      <c r="E2495" s="12">
        <v>2010</v>
      </c>
      <c r="F2495" s="13">
        <v>2010</v>
      </c>
      <c r="G2495" s="2">
        <f>VLOOKUP(B2495,'PO with created By ASR'!A:C,3,FALSE)</f>
        <v>45708</v>
      </c>
      <c r="J2495" s="2" t="str">
        <f>VLOOKUP(B2495,'PO with created By ASR'!A:G,4,FALSE)</f>
        <v>PARESH SURVE ADV FOR EXPENCES-CR</v>
      </c>
      <c r="K2495" s="2" t="e">
        <f>VLOOKUP(B2495,'PO with created By ASR'!A:I,6,FALSE)</f>
        <v>#N/A</v>
      </c>
      <c r="L2495" s="2" t="str">
        <f>VLOOKUP(B2495,'PO with created By ASR'!A:J,7,FALSE)</f>
        <v>A - Mumbai</v>
      </c>
      <c r="M2495" s="2" t="str">
        <f>VLOOKUP(B2495,'PO with created By ASR'!A:K,8,FALSE)</f>
        <v>Purchase Order-Mum</v>
      </c>
      <c r="N2495" t="s">
        <v>36</v>
      </c>
      <c r="P2495" s="2">
        <v>6</v>
      </c>
    </row>
    <row r="2496" s="2" customFormat="1" spans="1:16">
      <c r="A2496" s="8"/>
      <c r="B2496" s="9" t="s">
        <v>3705</v>
      </c>
      <c r="C2496" s="10" t="s">
        <v>126</v>
      </c>
      <c r="D2496" s="11">
        <v>1</v>
      </c>
      <c r="E2496" s="12">
        <v>31773</v>
      </c>
      <c r="F2496" s="13">
        <v>31773</v>
      </c>
      <c r="G2496" s="2">
        <f>VLOOKUP(B2496,'PO with created By ASR'!A:C,3,FALSE)</f>
        <v>45708</v>
      </c>
      <c r="J2496" s="2" t="str">
        <f>VLOOKUP(B2496,'PO with created By ASR'!A:G,4,FALSE)</f>
        <v>Honey Lalwani  -CR</v>
      </c>
      <c r="K2496" s="2" t="e">
        <f>VLOOKUP(B2496,'PO with created By ASR'!A:I,6,FALSE)</f>
        <v>#N/A</v>
      </c>
      <c r="L2496" s="2" t="str">
        <f>VLOOKUP(B2496,'PO with created By ASR'!A:J,7,FALSE)</f>
        <v>A - Mumbai</v>
      </c>
      <c r="M2496" s="2" t="str">
        <f>VLOOKUP(B2496,'PO with created By ASR'!A:K,8,FALSE)</f>
        <v>Purchase Order-Mum</v>
      </c>
      <c r="N2496" t="s">
        <v>36</v>
      </c>
      <c r="P2496" s="2">
        <v>6</v>
      </c>
    </row>
    <row r="2497" s="2" customFormat="1" spans="1:16">
      <c r="A2497" s="8"/>
      <c r="B2497" s="9" t="s">
        <v>3705</v>
      </c>
      <c r="C2497" s="10" t="s">
        <v>412</v>
      </c>
      <c r="D2497" s="11">
        <v>1</v>
      </c>
      <c r="E2497" s="12">
        <v>10443</v>
      </c>
      <c r="F2497" s="13">
        <v>10443</v>
      </c>
      <c r="G2497" s="2">
        <f>VLOOKUP(B2497,'PO with created By ASR'!A:C,3,FALSE)</f>
        <v>45708</v>
      </c>
      <c r="J2497" s="2" t="str">
        <f>VLOOKUP(B2497,'PO with created By ASR'!A:G,4,FALSE)</f>
        <v>Honey Lalwani  -CR</v>
      </c>
      <c r="K2497" s="2" t="e">
        <f>VLOOKUP(B2497,'PO with created By ASR'!A:I,6,FALSE)</f>
        <v>#N/A</v>
      </c>
      <c r="L2497" s="2" t="str">
        <f>VLOOKUP(B2497,'PO with created By ASR'!A:J,7,FALSE)</f>
        <v>A - Mumbai</v>
      </c>
      <c r="M2497" s="2" t="str">
        <f>VLOOKUP(B2497,'PO with created By ASR'!A:K,8,FALSE)</f>
        <v>Purchase Order-Mum</v>
      </c>
      <c r="N2497" t="s">
        <v>36</v>
      </c>
      <c r="P2497" s="2">
        <v>6</v>
      </c>
    </row>
    <row r="2498" s="2" customFormat="1" spans="1:16">
      <c r="A2498" s="8"/>
      <c r="B2498" s="9" t="s">
        <v>3707</v>
      </c>
      <c r="C2498" s="10" t="s">
        <v>126</v>
      </c>
      <c r="D2498" s="11">
        <v>1</v>
      </c>
      <c r="E2498" s="12">
        <v>850</v>
      </c>
      <c r="F2498" s="13">
        <v>850</v>
      </c>
      <c r="G2498" s="2">
        <f>VLOOKUP(B2498,'PO with created By ASR'!A:C,3,FALSE)</f>
        <v>45708</v>
      </c>
      <c r="J2498" s="2" t="str">
        <f>VLOOKUP(B2498,'PO with created By ASR'!A:G,4,FALSE)</f>
        <v>Sanil Thombare -CR</v>
      </c>
      <c r="K2498" s="2" t="e">
        <f>VLOOKUP(B2498,'PO with created By ASR'!A:I,6,FALSE)</f>
        <v>#N/A</v>
      </c>
      <c r="L2498" s="2" t="str">
        <f>VLOOKUP(B2498,'PO with created By ASR'!A:J,7,FALSE)</f>
        <v>A - Mumbai</v>
      </c>
      <c r="M2498" s="2" t="str">
        <f>VLOOKUP(B2498,'PO with created By ASR'!A:K,8,FALSE)</f>
        <v>Purchase Order-Mum</v>
      </c>
      <c r="N2498" t="s">
        <v>36</v>
      </c>
      <c r="P2498" s="2">
        <v>6</v>
      </c>
    </row>
    <row r="2499" s="2" customFormat="1" spans="1:16">
      <c r="A2499" s="8"/>
      <c r="B2499" s="9" t="s">
        <v>3707</v>
      </c>
      <c r="C2499" s="10" t="s">
        <v>412</v>
      </c>
      <c r="D2499" s="11">
        <v>1</v>
      </c>
      <c r="E2499" s="12">
        <v>150</v>
      </c>
      <c r="F2499" s="13">
        <v>150</v>
      </c>
      <c r="G2499" s="2">
        <f>VLOOKUP(B2499,'PO with created By ASR'!A:C,3,FALSE)</f>
        <v>45708</v>
      </c>
      <c r="J2499" s="2" t="str">
        <f>VLOOKUP(B2499,'PO with created By ASR'!A:G,4,FALSE)</f>
        <v>Sanil Thombare -CR</v>
      </c>
      <c r="K2499" s="2" t="e">
        <f>VLOOKUP(B2499,'PO with created By ASR'!A:I,6,FALSE)</f>
        <v>#N/A</v>
      </c>
      <c r="L2499" s="2" t="str">
        <f>VLOOKUP(B2499,'PO with created By ASR'!A:J,7,FALSE)</f>
        <v>A - Mumbai</v>
      </c>
      <c r="M2499" s="2" t="str">
        <f>VLOOKUP(B2499,'PO with created By ASR'!A:K,8,FALSE)</f>
        <v>Purchase Order-Mum</v>
      </c>
      <c r="N2499" t="s">
        <v>36</v>
      </c>
      <c r="P2499" s="2">
        <v>6</v>
      </c>
    </row>
    <row r="2500" s="2" customFormat="1" spans="1:16">
      <c r="A2500" s="8"/>
      <c r="B2500" s="9" t="s">
        <v>3708</v>
      </c>
      <c r="C2500" s="10" t="s">
        <v>126</v>
      </c>
      <c r="D2500" s="11">
        <v>1</v>
      </c>
      <c r="E2500" s="12">
        <v>5197</v>
      </c>
      <c r="F2500" s="13">
        <v>5197</v>
      </c>
      <c r="G2500" s="2">
        <f>VLOOKUP(B2500,'PO with created By ASR'!A:C,3,FALSE)</f>
        <v>45708</v>
      </c>
      <c r="J2500" s="2" t="str">
        <f>VLOOKUP(B2500,'PO with created By ASR'!A:G,4,FALSE)</f>
        <v>PARESH SURVE ADV FOR EXPENCES-CR</v>
      </c>
      <c r="K2500" s="2" t="e">
        <f>VLOOKUP(B2500,'PO with created By ASR'!A:I,6,FALSE)</f>
        <v>#N/A</v>
      </c>
      <c r="L2500" s="2" t="str">
        <f>VLOOKUP(B2500,'PO with created By ASR'!A:J,7,FALSE)</f>
        <v>A - Mumbai</v>
      </c>
      <c r="M2500" s="2" t="str">
        <f>VLOOKUP(B2500,'PO with created By ASR'!A:K,8,FALSE)</f>
        <v>Purchase Order-Mum</v>
      </c>
      <c r="N2500" t="s">
        <v>36</v>
      </c>
      <c r="P2500" s="2">
        <v>6</v>
      </c>
    </row>
    <row r="2501" s="2" customFormat="1" spans="1:16">
      <c r="A2501" s="8"/>
      <c r="B2501" s="9" t="s">
        <v>3708</v>
      </c>
      <c r="C2501" s="10" t="s">
        <v>412</v>
      </c>
      <c r="D2501" s="11">
        <v>1</v>
      </c>
      <c r="E2501" s="12">
        <v>7300.31</v>
      </c>
      <c r="F2501" s="13">
        <v>7300.31</v>
      </c>
      <c r="G2501" s="2">
        <f>VLOOKUP(B2501,'PO with created By ASR'!A:C,3,FALSE)</f>
        <v>45708</v>
      </c>
      <c r="J2501" s="2" t="str">
        <f>VLOOKUP(B2501,'PO with created By ASR'!A:G,4,FALSE)</f>
        <v>PARESH SURVE ADV FOR EXPENCES-CR</v>
      </c>
      <c r="K2501" s="2" t="e">
        <f>VLOOKUP(B2501,'PO with created By ASR'!A:I,6,FALSE)</f>
        <v>#N/A</v>
      </c>
      <c r="L2501" s="2" t="str">
        <f>VLOOKUP(B2501,'PO with created By ASR'!A:J,7,FALSE)</f>
        <v>A - Mumbai</v>
      </c>
      <c r="M2501" s="2" t="str">
        <f>VLOOKUP(B2501,'PO with created By ASR'!A:K,8,FALSE)</f>
        <v>Purchase Order-Mum</v>
      </c>
      <c r="N2501" t="s">
        <v>36</v>
      </c>
      <c r="P2501" s="2">
        <v>6</v>
      </c>
    </row>
    <row r="2502" s="2" customFormat="1" spans="1:16">
      <c r="A2502" s="8"/>
      <c r="B2502" s="9" t="s">
        <v>3709</v>
      </c>
      <c r="C2502" s="10" t="s">
        <v>126</v>
      </c>
      <c r="D2502" s="11">
        <v>1</v>
      </c>
      <c r="E2502" s="12">
        <v>700</v>
      </c>
      <c r="F2502" s="13">
        <v>700</v>
      </c>
      <c r="G2502" s="2">
        <f>VLOOKUP(B2502,'PO with created By ASR'!A:C,3,FALSE)</f>
        <v>45708</v>
      </c>
      <c r="J2502" s="2" t="str">
        <f>VLOOKUP(B2502,'PO with created By ASR'!A:G,4,FALSE)</f>
        <v>PARESH SURVE ADV FOR EXPENCES-CR</v>
      </c>
      <c r="K2502" s="2" t="e">
        <f>VLOOKUP(B2502,'PO with created By ASR'!A:I,6,FALSE)</f>
        <v>#N/A</v>
      </c>
      <c r="L2502" s="2" t="str">
        <f>VLOOKUP(B2502,'PO with created By ASR'!A:J,7,FALSE)</f>
        <v>A - Mumbai</v>
      </c>
      <c r="M2502" s="2" t="str">
        <f>VLOOKUP(B2502,'PO with created By ASR'!A:K,8,FALSE)</f>
        <v>Purchase Order-Mum</v>
      </c>
      <c r="N2502" t="s">
        <v>36</v>
      </c>
      <c r="P2502" s="2">
        <v>6</v>
      </c>
    </row>
    <row r="2503" s="2" customFormat="1" spans="1:16">
      <c r="A2503" s="8"/>
      <c r="B2503" s="9" t="s">
        <v>3709</v>
      </c>
      <c r="C2503" s="10" t="s">
        <v>412</v>
      </c>
      <c r="D2503" s="11">
        <v>1</v>
      </c>
      <c r="E2503" s="12">
        <v>4862</v>
      </c>
      <c r="F2503" s="13">
        <v>4862</v>
      </c>
      <c r="G2503" s="2">
        <f>VLOOKUP(B2503,'PO with created By ASR'!A:C,3,FALSE)</f>
        <v>45708</v>
      </c>
      <c r="J2503" s="2" t="str">
        <f>VLOOKUP(B2503,'PO with created By ASR'!A:G,4,FALSE)</f>
        <v>PARESH SURVE ADV FOR EXPENCES-CR</v>
      </c>
      <c r="K2503" s="2" t="e">
        <f>VLOOKUP(B2503,'PO with created By ASR'!A:I,6,FALSE)</f>
        <v>#N/A</v>
      </c>
      <c r="L2503" s="2" t="str">
        <f>VLOOKUP(B2503,'PO with created By ASR'!A:J,7,FALSE)</f>
        <v>A - Mumbai</v>
      </c>
      <c r="M2503" s="2" t="str">
        <f>VLOOKUP(B2503,'PO with created By ASR'!A:K,8,FALSE)</f>
        <v>Purchase Order-Mum</v>
      </c>
      <c r="N2503" t="s">
        <v>36</v>
      </c>
      <c r="P2503" s="2">
        <v>6</v>
      </c>
    </row>
    <row r="2504" s="2" customFormat="1" spans="1:16">
      <c r="A2504" s="8"/>
      <c r="B2504" s="9" t="s">
        <v>3710</v>
      </c>
      <c r="C2504" s="10" t="s">
        <v>126</v>
      </c>
      <c r="D2504" s="11">
        <v>1</v>
      </c>
      <c r="E2504" s="12">
        <v>1339</v>
      </c>
      <c r="F2504" s="13">
        <v>1339</v>
      </c>
      <c r="G2504" s="2">
        <f>VLOOKUP(B2504,'PO with created By ASR'!A:C,3,FALSE)</f>
        <v>45708</v>
      </c>
      <c r="J2504" s="2" t="str">
        <f>VLOOKUP(B2504,'PO with created By ASR'!A:G,4,FALSE)</f>
        <v>Mohammad Danish  -CR</v>
      </c>
      <c r="K2504" s="2" t="str">
        <f>VLOOKUP(B2504,'PO with created By ASR'!A:I,6,FALSE)</f>
        <v>10757 Mohammad Danish</v>
      </c>
      <c r="L2504" s="2" t="str">
        <f>VLOOKUP(B2504,'PO with created By ASR'!A:J,7,FALSE)</f>
        <v>A - Mumbai</v>
      </c>
      <c r="M2504" s="2" t="str">
        <f>VLOOKUP(B2504,'PO with created By ASR'!A:K,8,FALSE)</f>
        <v>Purchase Order-Mum</v>
      </c>
      <c r="N2504" t="s">
        <v>36</v>
      </c>
      <c r="P2504" s="2">
        <v>6</v>
      </c>
    </row>
    <row r="2505" s="2" customFormat="1" spans="1:16">
      <c r="A2505" s="8"/>
      <c r="B2505" s="9" t="s">
        <v>3710</v>
      </c>
      <c r="C2505" s="10" t="s">
        <v>412</v>
      </c>
      <c r="D2505" s="11">
        <v>1</v>
      </c>
      <c r="E2505" s="12">
        <v>120</v>
      </c>
      <c r="F2505" s="13">
        <v>120</v>
      </c>
      <c r="G2505" s="2">
        <f>VLOOKUP(B2505,'PO with created By ASR'!A:C,3,FALSE)</f>
        <v>45708</v>
      </c>
      <c r="J2505" s="2" t="str">
        <f>VLOOKUP(B2505,'PO with created By ASR'!A:G,4,FALSE)</f>
        <v>Mohammad Danish  -CR</v>
      </c>
      <c r="K2505" s="2" t="str">
        <f>VLOOKUP(B2505,'PO with created By ASR'!A:I,6,FALSE)</f>
        <v>10757 Mohammad Danish</v>
      </c>
      <c r="L2505" s="2" t="str">
        <f>VLOOKUP(B2505,'PO with created By ASR'!A:J,7,FALSE)</f>
        <v>A - Mumbai</v>
      </c>
      <c r="M2505" s="2" t="str">
        <f>VLOOKUP(B2505,'PO with created By ASR'!A:K,8,FALSE)</f>
        <v>Purchase Order-Mum</v>
      </c>
      <c r="N2505" t="s">
        <v>36</v>
      </c>
      <c r="P2505" s="2">
        <v>6</v>
      </c>
    </row>
    <row r="2506" s="2" customFormat="1" spans="1:16">
      <c r="A2506" s="8"/>
      <c r="B2506" s="9" t="s">
        <v>3711</v>
      </c>
      <c r="C2506" s="10" t="s">
        <v>126</v>
      </c>
      <c r="D2506" s="11">
        <v>1</v>
      </c>
      <c r="E2506" s="12">
        <v>1648</v>
      </c>
      <c r="F2506" s="13">
        <v>1648</v>
      </c>
      <c r="G2506" s="2">
        <f>VLOOKUP(B2506,'PO with created By ASR'!A:C,3,FALSE)</f>
        <v>45708</v>
      </c>
      <c r="J2506" s="2" t="str">
        <f>VLOOKUP(B2506,'PO with created By ASR'!A:G,4,FALSE)</f>
        <v>Asif Khan  -CR</v>
      </c>
      <c r="K2506" s="2" t="e">
        <f>VLOOKUP(B2506,'PO with created By ASR'!A:I,6,FALSE)</f>
        <v>#N/A</v>
      </c>
      <c r="L2506" s="2" t="str">
        <f>VLOOKUP(B2506,'PO with created By ASR'!A:J,7,FALSE)</f>
        <v>A - Mumbai</v>
      </c>
      <c r="M2506" s="2" t="str">
        <f>VLOOKUP(B2506,'PO with created By ASR'!A:K,8,FALSE)</f>
        <v>Purchase Order-Mum</v>
      </c>
      <c r="N2506" t="s">
        <v>36</v>
      </c>
      <c r="P2506" s="2">
        <v>6</v>
      </c>
    </row>
    <row r="2507" s="2" customFormat="1" spans="1:16">
      <c r="A2507" s="8"/>
      <c r="B2507" s="9" t="s">
        <v>3711</v>
      </c>
      <c r="C2507" s="10" t="s">
        <v>412</v>
      </c>
      <c r="D2507" s="11">
        <v>1</v>
      </c>
      <c r="E2507" s="12">
        <v>718</v>
      </c>
      <c r="F2507" s="13">
        <v>718</v>
      </c>
      <c r="G2507" s="2">
        <f>VLOOKUP(B2507,'PO with created By ASR'!A:C,3,FALSE)</f>
        <v>45708</v>
      </c>
      <c r="J2507" s="2" t="str">
        <f>VLOOKUP(B2507,'PO with created By ASR'!A:G,4,FALSE)</f>
        <v>Asif Khan  -CR</v>
      </c>
      <c r="K2507" s="2" t="e">
        <f>VLOOKUP(B2507,'PO with created By ASR'!A:I,6,FALSE)</f>
        <v>#N/A</v>
      </c>
      <c r="L2507" s="2" t="str">
        <f>VLOOKUP(B2507,'PO with created By ASR'!A:J,7,FALSE)</f>
        <v>A - Mumbai</v>
      </c>
      <c r="M2507" s="2" t="str">
        <f>VLOOKUP(B2507,'PO with created By ASR'!A:K,8,FALSE)</f>
        <v>Purchase Order-Mum</v>
      </c>
      <c r="N2507" t="s">
        <v>36</v>
      </c>
      <c r="P2507" s="2">
        <v>6</v>
      </c>
    </row>
    <row r="2508" s="2" customFormat="1" spans="1:16">
      <c r="A2508" s="8"/>
      <c r="B2508" s="9" t="s">
        <v>3712</v>
      </c>
      <c r="C2508" s="10" t="s">
        <v>126</v>
      </c>
      <c r="D2508" s="11">
        <v>1</v>
      </c>
      <c r="E2508" s="12">
        <v>36</v>
      </c>
      <c r="F2508" s="13">
        <v>36</v>
      </c>
      <c r="G2508" s="2">
        <f>VLOOKUP(B2508,'PO with created By ASR'!A:C,3,FALSE)</f>
        <v>45708</v>
      </c>
      <c r="J2508" s="2" t="str">
        <f>VLOOKUP(B2508,'PO with created By ASR'!A:G,4,FALSE)</f>
        <v>Santosh Bhogal Cash  -CR</v>
      </c>
      <c r="K2508" s="2" t="e">
        <f>VLOOKUP(B2508,'PO with created By ASR'!A:I,6,FALSE)</f>
        <v>#N/A</v>
      </c>
      <c r="L2508" s="2" t="str">
        <f>VLOOKUP(B2508,'PO with created By ASR'!A:J,7,FALSE)</f>
        <v>A - Mumbai</v>
      </c>
      <c r="M2508" s="2" t="str">
        <f>VLOOKUP(B2508,'PO with created By ASR'!A:K,8,FALSE)</f>
        <v>Purchase Order-Mum</v>
      </c>
      <c r="N2508" t="s">
        <v>36</v>
      </c>
      <c r="P2508" s="2">
        <v>6</v>
      </c>
    </row>
    <row r="2509" s="2" customFormat="1" spans="1:16">
      <c r="A2509" s="8"/>
      <c r="B2509" s="9" t="s">
        <v>3712</v>
      </c>
      <c r="C2509" s="10" t="s">
        <v>1055</v>
      </c>
      <c r="D2509" s="11">
        <v>1</v>
      </c>
      <c r="E2509" s="12">
        <v>1300</v>
      </c>
      <c r="F2509" s="13">
        <v>1300</v>
      </c>
      <c r="G2509" s="2">
        <f>VLOOKUP(B2509,'PO with created By ASR'!A:C,3,FALSE)</f>
        <v>45708</v>
      </c>
      <c r="J2509" s="2" t="str">
        <f>VLOOKUP(B2509,'PO with created By ASR'!A:G,4,FALSE)</f>
        <v>Santosh Bhogal Cash  -CR</v>
      </c>
      <c r="K2509" s="2" t="e">
        <f>VLOOKUP(B2509,'PO with created By ASR'!A:I,6,FALSE)</f>
        <v>#N/A</v>
      </c>
      <c r="L2509" s="2" t="str">
        <f>VLOOKUP(B2509,'PO with created By ASR'!A:J,7,FALSE)</f>
        <v>A - Mumbai</v>
      </c>
      <c r="M2509" s="2" t="str">
        <f>VLOOKUP(B2509,'PO with created By ASR'!A:K,8,FALSE)</f>
        <v>Purchase Order-Mum</v>
      </c>
      <c r="N2509" t="s">
        <v>36</v>
      </c>
      <c r="P2509" s="2">
        <v>6</v>
      </c>
    </row>
    <row r="2510" s="2" customFormat="1" spans="1:16">
      <c r="A2510" s="8"/>
      <c r="B2510" s="9" t="s">
        <v>3713</v>
      </c>
      <c r="C2510" s="10" t="s">
        <v>126</v>
      </c>
      <c r="D2510" s="11">
        <v>1</v>
      </c>
      <c r="E2510" s="12">
        <v>4468</v>
      </c>
      <c r="F2510" s="13">
        <v>4468</v>
      </c>
      <c r="G2510" s="2">
        <f>VLOOKUP(B2510,'PO with created By ASR'!A:C,3,FALSE)</f>
        <v>45708</v>
      </c>
      <c r="J2510" s="2" t="str">
        <f>VLOOKUP(B2510,'PO with created By ASR'!A:G,4,FALSE)</f>
        <v>Sagar Bamnolikar -CR</v>
      </c>
      <c r="K2510" s="2" t="e">
        <f>VLOOKUP(B2510,'PO with created By ASR'!A:I,6,FALSE)</f>
        <v>#N/A</v>
      </c>
      <c r="L2510" s="2" t="str">
        <f>VLOOKUP(B2510,'PO with created By ASR'!A:J,7,FALSE)</f>
        <v>A - Mumbai</v>
      </c>
      <c r="M2510" s="2" t="str">
        <f>VLOOKUP(B2510,'PO with created By ASR'!A:K,8,FALSE)</f>
        <v>Purchase Order-Mum</v>
      </c>
      <c r="N2510" t="s">
        <v>36</v>
      </c>
      <c r="P2510" s="2">
        <v>6</v>
      </c>
    </row>
    <row r="2511" s="2" customFormat="1" spans="1:16">
      <c r="A2511" s="8"/>
      <c r="B2511" s="9" t="s">
        <v>3713</v>
      </c>
      <c r="C2511" s="10" t="s">
        <v>412</v>
      </c>
      <c r="D2511" s="11">
        <v>1</v>
      </c>
      <c r="E2511" s="12">
        <v>1680</v>
      </c>
      <c r="F2511" s="13">
        <v>1680</v>
      </c>
      <c r="G2511" s="2">
        <f>VLOOKUP(B2511,'PO with created By ASR'!A:C,3,FALSE)</f>
        <v>45708</v>
      </c>
      <c r="J2511" s="2" t="str">
        <f>VLOOKUP(B2511,'PO with created By ASR'!A:G,4,FALSE)</f>
        <v>Sagar Bamnolikar -CR</v>
      </c>
      <c r="K2511" s="2" t="e">
        <f>VLOOKUP(B2511,'PO with created By ASR'!A:I,6,FALSE)</f>
        <v>#N/A</v>
      </c>
      <c r="L2511" s="2" t="str">
        <f>VLOOKUP(B2511,'PO with created By ASR'!A:J,7,FALSE)</f>
        <v>A - Mumbai</v>
      </c>
      <c r="M2511" s="2" t="str">
        <f>VLOOKUP(B2511,'PO with created By ASR'!A:K,8,FALSE)</f>
        <v>Purchase Order-Mum</v>
      </c>
      <c r="N2511" t="s">
        <v>36</v>
      </c>
      <c r="P2511" s="2">
        <v>6</v>
      </c>
    </row>
    <row r="2512" s="2" customFormat="1" spans="1:16">
      <c r="A2512" s="8"/>
      <c r="B2512" s="9" t="s">
        <v>3713</v>
      </c>
      <c r="C2512" s="10" t="s">
        <v>317</v>
      </c>
      <c r="D2512" s="11">
        <v>1</v>
      </c>
      <c r="E2512" s="12">
        <v>4597</v>
      </c>
      <c r="F2512" s="13">
        <v>4597</v>
      </c>
      <c r="G2512" s="2">
        <f>VLOOKUP(B2512,'PO with created By ASR'!A:C,3,FALSE)</f>
        <v>45708</v>
      </c>
      <c r="J2512" s="2" t="str">
        <f>VLOOKUP(B2512,'PO with created By ASR'!A:G,4,FALSE)</f>
        <v>Sagar Bamnolikar -CR</v>
      </c>
      <c r="K2512" s="2" t="e">
        <f>VLOOKUP(B2512,'PO with created By ASR'!A:I,6,FALSE)</f>
        <v>#N/A</v>
      </c>
      <c r="L2512" s="2" t="str">
        <f>VLOOKUP(B2512,'PO with created By ASR'!A:J,7,FALSE)</f>
        <v>A - Mumbai</v>
      </c>
      <c r="M2512" s="2" t="str">
        <f>VLOOKUP(B2512,'PO with created By ASR'!A:K,8,FALSE)</f>
        <v>Purchase Order-Mum</v>
      </c>
      <c r="N2512" t="s">
        <v>36</v>
      </c>
      <c r="P2512" s="2">
        <v>6</v>
      </c>
    </row>
    <row r="2513" s="2" customFormat="1" spans="1:16">
      <c r="A2513" s="8"/>
      <c r="B2513" s="9" t="s">
        <v>3715</v>
      </c>
      <c r="C2513" s="10" t="s">
        <v>317</v>
      </c>
      <c r="D2513" s="11">
        <v>1</v>
      </c>
      <c r="E2513" s="12">
        <v>3450</v>
      </c>
      <c r="F2513" s="13">
        <v>3450</v>
      </c>
      <c r="G2513" s="2">
        <f>VLOOKUP(B2513,'PO with created By ASR'!A:C,3,FALSE)</f>
        <v>45708</v>
      </c>
      <c r="J2513" s="2" t="str">
        <f>VLOOKUP(B2513,'PO with created By ASR'!A:G,4,FALSE)</f>
        <v>Mahendra Mane -CR</v>
      </c>
      <c r="K2513" s="2" t="e">
        <f>VLOOKUP(B2513,'PO with created By ASR'!A:I,6,FALSE)</f>
        <v>#N/A</v>
      </c>
      <c r="L2513" s="2" t="str">
        <f>VLOOKUP(B2513,'PO with created By ASR'!A:J,7,FALSE)</f>
        <v>A - Mumbai</v>
      </c>
      <c r="M2513" s="2" t="str">
        <f>VLOOKUP(B2513,'PO with created By ASR'!A:K,8,FALSE)</f>
        <v>Purchase Order-Mum</v>
      </c>
      <c r="N2513" t="s">
        <v>36</v>
      </c>
      <c r="P2513" s="2">
        <v>6</v>
      </c>
    </row>
    <row r="2514" s="2" customFormat="1" spans="1:16">
      <c r="A2514" s="8"/>
      <c r="B2514" s="9" t="s">
        <v>3716</v>
      </c>
      <c r="C2514" s="10" t="s">
        <v>317</v>
      </c>
      <c r="D2514" s="11">
        <v>1</v>
      </c>
      <c r="E2514" s="12">
        <v>8393.14</v>
      </c>
      <c r="F2514" s="13">
        <v>8393.14</v>
      </c>
      <c r="G2514" s="2">
        <f>VLOOKUP(B2514,'PO with created By ASR'!A:C,3,FALSE)</f>
        <v>45708</v>
      </c>
      <c r="J2514" s="2" t="str">
        <f>VLOOKUP(B2514,'PO with created By ASR'!A:G,4,FALSE)</f>
        <v>Aftab Shaikh  -CR</v>
      </c>
      <c r="K2514" s="2" t="e">
        <f>VLOOKUP(B2514,'PO with created By ASR'!A:I,6,FALSE)</f>
        <v>#N/A</v>
      </c>
      <c r="L2514" s="2" t="str">
        <f>VLOOKUP(B2514,'PO with created By ASR'!A:J,7,FALSE)</f>
        <v>A - Mumbai</v>
      </c>
      <c r="M2514" s="2" t="str">
        <f>VLOOKUP(B2514,'PO with created By ASR'!A:K,8,FALSE)</f>
        <v>Purchase Order-Mum</v>
      </c>
      <c r="N2514" t="s">
        <v>36</v>
      </c>
      <c r="P2514" s="2">
        <v>6</v>
      </c>
    </row>
    <row r="2515" s="2" customFormat="1" spans="1:16">
      <c r="A2515" s="8"/>
      <c r="B2515" s="9" t="s">
        <v>3716</v>
      </c>
      <c r="C2515" s="10" t="s">
        <v>126</v>
      </c>
      <c r="D2515" s="11">
        <v>1</v>
      </c>
      <c r="E2515" s="12">
        <v>2697.56</v>
      </c>
      <c r="F2515" s="13">
        <v>2697.56</v>
      </c>
      <c r="G2515" s="2">
        <f>VLOOKUP(B2515,'PO with created By ASR'!A:C,3,FALSE)</f>
        <v>45708</v>
      </c>
      <c r="J2515" s="2" t="str">
        <f>VLOOKUP(B2515,'PO with created By ASR'!A:G,4,FALSE)</f>
        <v>Aftab Shaikh  -CR</v>
      </c>
      <c r="K2515" s="2" t="e">
        <f>VLOOKUP(B2515,'PO with created By ASR'!A:I,6,FALSE)</f>
        <v>#N/A</v>
      </c>
      <c r="L2515" s="2" t="str">
        <f>VLOOKUP(B2515,'PO with created By ASR'!A:J,7,FALSE)</f>
        <v>A - Mumbai</v>
      </c>
      <c r="M2515" s="2" t="str">
        <f>VLOOKUP(B2515,'PO with created By ASR'!A:K,8,FALSE)</f>
        <v>Purchase Order-Mum</v>
      </c>
      <c r="N2515" t="s">
        <v>36</v>
      </c>
      <c r="P2515" s="2">
        <v>6</v>
      </c>
    </row>
    <row r="2516" s="2" customFormat="1" spans="1:16">
      <c r="A2516" s="8"/>
      <c r="B2516" s="9" t="s">
        <v>3716</v>
      </c>
      <c r="C2516" s="10" t="s">
        <v>412</v>
      </c>
      <c r="D2516" s="11">
        <v>1</v>
      </c>
      <c r="E2516" s="12">
        <v>4414.95</v>
      </c>
      <c r="F2516" s="13">
        <v>4414.95</v>
      </c>
      <c r="G2516" s="2">
        <f>VLOOKUP(B2516,'PO with created By ASR'!A:C,3,FALSE)</f>
        <v>45708</v>
      </c>
      <c r="J2516" s="2" t="str">
        <f>VLOOKUP(B2516,'PO with created By ASR'!A:G,4,FALSE)</f>
        <v>Aftab Shaikh  -CR</v>
      </c>
      <c r="K2516" s="2" t="e">
        <f>VLOOKUP(B2516,'PO with created By ASR'!A:I,6,FALSE)</f>
        <v>#N/A</v>
      </c>
      <c r="L2516" s="2" t="str">
        <f>VLOOKUP(B2516,'PO with created By ASR'!A:J,7,FALSE)</f>
        <v>A - Mumbai</v>
      </c>
      <c r="M2516" s="2" t="str">
        <f>VLOOKUP(B2516,'PO with created By ASR'!A:K,8,FALSE)</f>
        <v>Purchase Order-Mum</v>
      </c>
      <c r="N2516" t="s">
        <v>36</v>
      </c>
      <c r="P2516" s="2">
        <v>6</v>
      </c>
    </row>
    <row r="2517" s="2" customFormat="1" spans="1:16">
      <c r="A2517" s="8"/>
      <c r="B2517" s="9" t="s">
        <v>3716</v>
      </c>
      <c r="C2517" s="10" t="s">
        <v>61</v>
      </c>
      <c r="D2517" s="11">
        <v>1</v>
      </c>
      <c r="E2517" s="12">
        <v>2000</v>
      </c>
      <c r="F2517" s="13">
        <v>2000</v>
      </c>
      <c r="G2517" s="2">
        <f>VLOOKUP(B2517,'PO with created By ASR'!A:C,3,FALSE)</f>
        <v>45708</v>
      </c>
      <c r="J2517" s="2" t="str">
        <f>VLOOKUP(B2517,'PO with created By ASR'!A:G,4,FALSE)</f>
        <v>Aftab Shaikh  -CR</v>
      </c>
      <c r="K2517" s="2" t="e">
        <f>VLOOKUP(B2517,'PO with created By ASR'!A:I,6,FALSE)</f>
        <v>#N/A</v>
      </c>
      <c r="L2517" s="2" t="str">
        <f>VLOOKUP(B2517,'PO with created By ASR'!A:J,7,FALSE)</f>
        <v>A - Mumbai</v>
      </c>
      <c r="M2517" s="2" t="str">
        <f>VLOOKUP(B2517,'PO with created By ASR'!A:K,8,FALSE)</f>
        <v>Purchase Order-Mum</v>
      </c>
      <c r="N2517" t="s">
        <v>36</v>
      </c>
      <c r="P2517" s="2">
        <v>6</v>
      </c>
    </row>
    <row r="2518" s="2" customFormat="1" spans="1:16">
      <c r="A2518" s="8"/>
      <c r="B2518" s="9" t="s">
        <v>3717</v>
      </c>
      <c r="C2518" s="10" t="s">
        <v>317</v>
      </c>
      <c r="D2518" s="11">
        <v>1</v>
      </c>
      <c r="E2518" s="12">
        <v>100000</v>
      </c>
      <c r="F2518" s="13">
        <v>100000</v>
      </c>
      <c r="G2518" s="2">
        <f>VLOOKUP(B2518,'PO with created By ASR'!A:C,3,FALSE)</f>
        <v>45708</v>
      </c>
      <c r="J2518" s="2" t="str">
        <f>VLOOKUP(B2518,'PO with created By ASR'!A:G,4,FALSE)</f>
        <v>Gainskills Business Media Pvt Ltd-Mum</v>
      </c>
      <c r="K2518" s="2" t="str">
        <f>VLOOKUP(B2518,'PO with created By ASR'!A:I,6,FALSE)</f>
        <v>12945  Gainskills Business Media Pvt Ltd</v>
      </c>
      <c r="L2518" s="2" t="str">
        <f>VLOOKUP(B2518,'PO with created By ASR'!A:J,7,FALSE)</f>
        <v>A - Mumbai</v>
      </c>
      <c r="M2518" s="2" t="str">
        <f>VLOOKUP(B2518,'PO with created By ASR'!A:K,8,FALSE)</f>
        <v>Purchase Order-Mum</v>
      </c>
      <c r="N2518" t="s">
        <v>36</v>
      </c>
      <c r="P2518" s="2">
        <v>6</v>
      </c>
    </row>
    <row r="2519" s="2" customFormat="1" spans="1:16">
      <c r="A2519" s="8"/>
      <c r="B2519" s="9" t="s">
        <v>3723</v>
      </c>
      <c r="C2519" s="10" t="s">
        <v>61</v>
      </c>
      <c r="D2519" s="11">
        <v>1</v>
      </c>
      <c r="E2519" s="12">
        <v>17000</v>
      </c>
      <c r="F2519" s="13">
        <v>17000</v>
      </c>
      <c r="G2519" s="2">
        <f>VLOOKUP(B2519,'PO with created By ASR'!A:C,3,FALSE)</f>
        <v>45708</v>
      </c>
      <c r="J2519" s="2" t="str">
        <f>VLOOKUP(B2519,'PO with created By ASR'!A:G,4,FALSE)</f>
        <v>Taj The Trees (Godrej Highrises Properties Pvt Ltd) (Happay)-Mum</v>
      </c>
      <c r="K2519" s="2" t="str">
        <f>VLOOKUP(B2519,'PO with created By ASR'!A:I,6,FALSE)</f>
        <v>12921  Taj The Trees (Godrej Highrises Properties Pvt Ltd) (Happay)</v>
      </c>
      <c r="L2519" s="2" t="str">
        <f>VLOOKUP(B2519,'PO with created By ASR'!A:J,7,FALSE)</f>
        <v>A - Mumbai</v>
      </c>
      <c r="M2519" s="2" t="str">
        <f>VLOOKUP(B2519,'PO with created By ASR'!A:K,8,FALSE)</f>
        <v>Purchase Order-Mum</v>
      </c>
      <c r="N2519" t="s">
        <v>36</v>
      </c>
      <c r="P2519" s="2">
        <v>6</v>
      </c>
    </row>
    <row r="2520" s="2" customFormat="1" spans="1:16">
      <c r="A2520" s="8"/>
      <c r="B2520" s="9" t="s">
        <v>3727</v>
      </c>
      <c r="C2520" s="10" t="s">
        <v>140</v>
      </c>
      <c r="D2520" s="11">
        <v>1</v>
      </c>
      <c r="E2520" s="12">
        <v>137288</v>
      </c>
      <c r="F2520" s="13">
        <v>137288</v>
      </c>
      <c r="G2520" s="2">
        <f>VLOOKUP(B2520,'PO with created By ASR'!A:C,3,FALSE)</f>
        <v>45708</v>
      </c>
      <c r="J2520" s="2" t="str">
        <f>VLOOKUP(B2520,'PO with created By ASR'!A:G,4,FALSE)</f>
        <v>PVR Inox Ltd-Mum</v>
      </c>
      <c r="K2520" s="2" t="str">
        <f>VLOOKUP(B2520,'PO with created By ASR'!A:I,6,FALSE)</f>
        <v>11367  PVR Inox Ltd</v>
      </c>
      <c r="L2520" s="2" t="str">
        <f>VLOOKUP(B2520,'PO with created By ASR'!A:J,7,FALSE)</f>
        <v>A - Mumbai</v>
      </c>
      <c r="M2520" s="2" t="str">
        <f>VLOOKUP(B2520,'PO with created By ASR'!A:K,8,FALSE)</f>
        <v>Purchase Order-Mum</v>
      </c>
      <c r="N2520" t="s">
        <v>36</v>
      </c>
      <c r="P2520" s="2">
        <v>6</v>
      </c>
    </row>
    <row r="2521" s="2" customFormat="1" spans="1:16">
      <c r="A2521" s="8"/>
      <c r="B2521" s="9" t="s">
        <v>3727</v>
      </c>
      <c r="C2521" s="10" t="s">
        <v>276</v>
      </c>
      <c r="D2521" s="11">
        <v>1</v>
      </c>
      <c r="E2521" s="12">
        <v>274286</v>
      </c>
      <c r="F2521" s="13">
        <v>274286</v>
      </c>
      <c r="G2521" s="2">
        <f>VLOOKUP(B2521,'PO with created By ASR'!A:C,3,FALSE)</f>
        <v>45708</v>
      </c>
      <c r="J2521" s="2" t="str">
        <f>VLOOKUP(B2521,'PO with created By ASR'!A:G,4,FALSE)</f>
        <v>PVR Inox Ltd-Mum</v>
      </c>
      <c r="K2521" s="2" t="str">
        <f>VLOOKUP(B2521,'PO with created By ASR'!A:I,6,FALSE)</f>
        <v>11367  PVR Inox Ltd</v>
      </c>
      <c r="L2521" s="2" t="str">
        <f>VLOOKUP(B2521,'PO with created By ASR'!A:J,7,FALSE)</f>
        <v>A - Mumbai</v>
      </c>
      <c r="M2521" s="2" t="str">
        <f>VLOOKUP(B2521,'PO with created By ASR'!A:K,8,FALSE)</f>
        <v>Purchase Order-Mum</v>
      </c>
      <c r="N2521" t="s">
        <v>36</v>
      </c>
      <c r="P2521" s="2">
        <v>6</v>
      </c>
    </row>
    <row r="2522" s="2" customFormat="1" spans="1:16">
      <c r="A2522" s="8"/>
      <c r="B2522" s="9" t="s">
        <v>3727</v>
      </c>
      <c r="C2522" s="10" t="s">
        <v>676</v>
      </c>
      <c r="D2522" s="11">
        <v>1</v>
      </c>
      <c r="E2522" s="12">
        <v>12356</v>
      </c>
      <c r="F2522" s="13">
        <v>12356</v>
      </c>
      <c r="G2522" s="2">
        <f>VLOOKUP(B2522,'PO with created By ASR'!A:C,3,FALSE)</f>
        <v>45708</v>
      </c>
      <c r="J2522" s="2" t="str">
        <f>VLOOKUP(B2522,'PO with created By ASR'!A:G,4,FALSE)</f>
        <v>PVR Inox Ltd-Mum</v>
      </c>
      <c r="K2522" s="2" t="str">
        <f>VLOOKUP(B2522,'PO with created By ASR'!A:I,6,FALSE)</f>
        <v>11367  PVR Inox Ltd</v>
      </c>
      <c r="L2522" s="2" t="str">
        <f>VLOOKUP(B2522,'PO with created By ASR'!A:J,7,FALSE)</f>
        <v>A - Mumbai</v>
      </c>
      <c r="M2522" s="2" t="str">
        <f>VLOOKUP(B2522,'PO with created By ASR'!A:K,8,FALSE)</f>
        <v>Purchase Order-Mum</v>
      </c>
      <c r="N2522" t="s">
        <v>36</v>
      </c>
      <c r="P2522" s="2">
        <v>6</v>
      </c>
    </row>
    <row r="2523" s="2" customFormat="1" spans="1:16">
      <c r="A2523" s="8"/>
      <c r="B2523" s="9" t="s">
        <v>3727</v>
      </c>
      <c r="C2523" s="10" t="s">
        <v>676</v>
      </c>
      <c r="D2523" s="11">
        <v>1</v>
      </c>
      <c r="E2523" s="12">
        <v>6857</v>
      </c>
      <c r="F2523" s="13">
        <v>6857</v>
      </c>
      <c r="G2523" s="2">
        <f>VLOOKUP(B2523,'PO with created By ASR'!A:C,3,FALSE)</f>
        <v>45708</v>
      </c>
      <c r="J2523" s="2" t="str">
        <f>VLOOKUP(B2523,'PO with created By ASR'!A:G,4,FALSE)</f>
        <v>PVR Inox Ltd-Mum</v>
      </c>
      <c r="K2523" s="2" t="str">
        <f>VLOOKUP(B2523,'PO with created By ASR'!A:I,6,FALSE)</f>
        <v>11367  PVR Inox Ltd</v>
      </c>
      <c r="L2523" s="2" t="str">
        <f>VLOOKUP(B2523,'PO with created By ASR'!A:J,7,FALSE)</f>
        <v>A - Mumbai</v>
      </c>
      <c r="M2523" s="2" t="str">
        <f>VLOOKUP(B2523,'PO with created By ASR'!A:K,8,FALSE)</f>
        <v>Purchase Order-Mum</v>
      </c>
      <c r="N2523" t="s">
        <v>36</v>
      </c>
      <c r="P2523" s="2">
        <v>6</v>
      </c>
    </row>
    <row r="2524" s="2" customFormat="1" spans="1:16">
      <c r="A2524" s="8"/>
      <c r="B2524" s="9" t="s">
        <v>3727</v>
      </c>
      <c r="C2524" s="10" t="s">
        <v>4365</v>
      </c>
      <c r="D2524" s="11">
        <v>1</v>
      </c>
      <c r="E2524" s="12">
        <v>12356</v>
      </c>
      <c r="F2524" s="13">
        <v>12356</v>
      </c>
      <c r="G2524" s="2">
        <f>VLOOKUP(B2524,'PO with created By ASR'!A:C,3,FALSE)</f>
        <v>45708</v>
      </c>
      <c r="J2524" s="2" t="str">
        <f>VLOOKUP(B2524,'PO with created By ASR'!A:G,4,FALSE)</f>
        <v>PVR Inox Ltd-Mum</v>
      </c>
      <c r="K2524" s="2" t="str">
        <f>VLOOKUP(B2524,'PO with created By ASR'!A:I,6,FALSE)</f>
        <v>11367  PVR Inox Ltd</v>
      </c>
      <c r="L2524" s="2" t="str">
        <f>VLOOKUP(B2524,'PO with created By ASR'!A:J,7,FALSE)</f>
        <v>A - Mumbai</v>
      </c>
      <c r="M2524" s="2" t="str">
        <f>VLOOKUP(B2524,'PO with created By ASR'!A:K,8,FALSE)</f>
        <v>Purchase Order-Mum</v>
      </c>
      <c r="N2524" t="s">
        <v>36</v>
      </c>
      <c r="P2524" s="2">
        <v>6</v>
      </c>
    </row>
    <row r="2525" s="2" customFormat="1" spans="1:16">
      <c r="A2525" s="8"/>
      <c r="B2525" s="9" t="s">
        <v>3727</v>
      </c>
      <c r="C2525" s="10" t="s">
        <v>4365</v>
      </c>
      <c r="D2525" s="11">
        <v>1</v>
      </c>
      <c r="E2525" s="12">
        <v>6857</v>
      </c>
      <c r="F2525" s="13">
        <v>6857</v>
      </c>
      <c r="G2525" s="2">
        <f>VLOOKUP(B2525,'PO with created By ASR'!A:C,3,FALSE)</f>
        <v>45708</v>
      </c>
      <c r="J2525" s="2" t="str">
        <f>VLOOKUP(B2525,'PO with created By ASR'!A:G,4,FALSE)</f>
        <v>PVR Inox Ltd-Mum</v>
      </c>
      <c r="K2525" s="2" t="str">
        <f>VLOOKUP(B2525,'PO with created By ASR'!A:I,6,FALSE)</f>
        <v>11367  PVR Inox Ltd</v>
      </c>
      <c r="L2525" s="2" t="str">
        <f>VLOOKUP(B2525,'PO with created By ASR'!A:J,7,FALSE)</f>
        <v>A - Mumbai</v>
      </c>
      <c r="M2525" s="2" t="str">
        <f>VLOOKUP(B2525,'PO with created By ASR'!A:K,8,FALSE)</f>
        <v>Purchase Order-Mum</v>
      </c>
      <c r="N2525" t="s">
        <v>36</v>
      </c>
      <c r="P2525" s="2">
        <v>6</v>
      </c>
    </row>
    <row r="2526" s="2" customFormat="1" spans="1:16">
      <c r="A2526" s="8"/>
      <c r="B2526" s="9" t="s">
        <v>3731</v>
      </c>
      <c r="C2526" s="10" t="s">
        <v>140</v>
      </c>
      <c r="D2526" s="11">
        <v>1</v>
      </c>
      <c r="E2526" s="12">
        <v>24559.32</v>
      </c>
      <c r="F2526" s="13">
        <v>24559.32</v>
      </c>
      <c r="G2526" s="2">
        <f>VLOOKUP(B2526,'PO with created By ASR'!A:C,3,FALSE)</f>
        <v>45708</v>
      </c>
      <c r="J2526" s="2" t="str">
        <f>VLOOKUP(B2526,'PO with created By ASR'!A:G,4,FALSE)</f>
        <v>William Penn Pvt Ltd-Mum</v>
      </c>
      <c r="K2526" s="2" t="str">
        <f>VLOOKUP(B2526,'PO with created By ASR'!A:I,6,FALSE)</f>
        <v>12953  William Penn Pvt Ltd</v>
      </c>
      <c r="L2526" s="2" t="str">
        <f>VLOOKUP(B2526,'PO with created By ASR'!A:J,7,FALSE)</f>
        <v>A - Mumbai</v>
      </c>
      <c r="M2526" s="2" t="str">
        <f>VLOOKUP(B2526,'PO with created By ASR'!A:K,8,FALSE)</f>
        <v>Purchase Order-Mum</v>
      </c>
      <c r="N2526" t="s">
        <v>36</v>
      </c>
      <c r="P2526" s="2">
        <v>6</v>
      </c>
    </row>
    <row r="2527" s="2" customFormat="1" spans="1:16">
      <c r="A2527" s="8"/>
      <c r="B2527" s="9" t="s">
        <v>3736</v>
      </c>
      <c r="C2527" s="10" t="s">
        <v>1672</v>
      </c>
      <c r="D2527" s="11">
        <v>1</v>
      </c>
      <c r="E2527" s="12">
        <v>1071053.57</v>
      </c>
      <c r="F2527" s="13">
        <v>1071053.57</v>
      </c>
      <c r="G2527" s="2">
        <f>VLOOKUP(B2527,'PO with created By ASR'!A:C,3,FALSE)</f>
        <v>45708</v>
      </c>
      <c r="J2527" s="2" t="str">
        <f>VLOOKUP(B2527,'PO with created By ASR'!A:G,4,FALSE)</f>
        <v>Westin Hotels &amp; Resorts (The Westin Raleigh-Durham Airport)-Mum</v>
      </c>
      <c r="K2527" s="2" t="e">
        <f>VLOOKUP(B2527,'PO with created By ASR'!A:I,6,FALSE)</f>
        <v>#N/A</v>
      </c>
      <c r="L2527" s="2" t="str">
        <f>VLOOKUP(B2527,'PO with created By ASR'!A:J,7,FALSE)</f>
        <v>A - Mumbai</v>
      </c>
      <c r="M2527" s="2" t="str">
        <f>VLOOKUP(B2527,'PO with created By ASR'!A:K,8,FALSE)</f>
        <v>Purchase Order-Mum</v>
      </c>
      <c r="N2527" t="s">
        <v>36</v>
      </c>
      <c r="P2527" s="2">
        <v>6</v>
      </c>
    </row>
    <row r="2528" s="2" customFormat="1" spans="1:16">
      <c r="A2528" s="8"/>
      <c r="B2528" s="9" t="s">
        <v>3738</v>
      </c>
      <c r="C2528" s="10" t="s">
        <v>317</v>
      </c>
      <c r="D2528" s="11">
        <v>1</v>
      </c>
      <c r="E2528" s="12">
        <v>850000</v>
      </c>
      <c r="F2528" s="13">
        <v>850000</v>
      </c>
      <c r="G2528" s="2">
        <f>VLOOKUP(B2528,'PO with created By ASR'!A:C,3,FALSE)</f>
        <v>45708</v>
      </c>
      <c r="J2528" s="2" t="str">
        <f>VLOOKUP(B2528,'PO with created By ASR'!A:G,4,FALSE)</f>
        <v>Mahesh Borade-Mum</v>
      </c>
      <c r="K2528" s="2" t="str">
        <f>VLOOKUP(B2528,'PO with created By ASR'!A:I,6,FALSE)</f>
        <v>10735 Mahesh Borade</v>
      </c>
      <c r="L2528" s="2" t="str">
        <f>VLOOKUP(B2528,'PO with created By ASR'!A:J,7,FALSE)</f>
        <v>A - Mumbai</v>
      </c>
      <c r="M2528" s="2" t="str">
        <f>VLOOKUP(B2528,'PO with created By ASR'!A:K,8,FALSE)</f>
        <v>Purchase Order-Mum</v>
      </c>
      <c r="N2528" t="s">
        <v>36</v>
      </c>
      <c r="P2528" s="2">
        <v>6</v>
      </c>
    </row>
    <row r="2529" s="2" customFormat="1" spans="1:16">
      <c r="A2529" s="8"/>
      <c r="B2529" s="9" t="s">
        <v>3739</v>
      </c>
      <c r="C2529" s="10" t="s">
        <v>990</v>
      </c>
      <c r="D2529" s="11">
        <v>1</v>
      </c>
      <c r="E2529" s="12">
        <v>3000</v>
      </c>
      <c r="F2529" s="13">
        <v>3000</v>
      </c>
      <c r="G2529" s="2">
        <f>VLOOKUP(B2529,'PO with created By ASR'!A:C,3,FALSE)</f>
        <v>45708</v>
      </c>
      <c r="J2529" s="2" t="str">
        <f>VLOOKUP(B2529,'PO with created By ASR'!A:G,4,FALSE)</f>
        <v>Kompkare-Mum</v>
      </c>
      <c r="K2529" s="2" t="e">
        <f>VLOOKUP(B2529,'PO with created By ASR'!A:I,6,FALSE)</f>
        <v>#N/A</v>
      </c>
      <c r="L2529" s="2" t="str">
        <f>VLOOKUP(B2529,'PO with created By ASR'!A:J,7,FALSE)</f>
        <v>A - Mumbai</v>
      </c>
      <c r="M2529" s="2" t="str">
        <f>VLOOKUP(B2529,'PO with created By ASR'!A:K,8,FALSE)</f>
        <v>Purchase Order-Mum</v>
      </c>
      <c r="N2529" t="s">
        <v>36</v>
      </c>
      <c r="P2529" s="2">
        <v>6</v>
      </c>
    </row>
    <row r="2530" s="2" customFormat="1" spans="1:16">
      <c r="A2530" s="8"/>
      <c r="B2530" s="9" t="s">
        <v>3741</v>
      </c>
      <c r="C2530" s="10" t="s">
        <v>292</v>
      </c>
      <c r="D2530" s="11">
        <v>1</v>
      </c>
      <c r="E2530" s="12">
        <v>38000</v>
      </c>
      <c r="F2530" s="13">
        <v>38000</v>
      </c>
      <c r="G2530" s="2">
        <f>VLOOKUP(B2530,'PO with created By ASR'!A:C,3,FALSE)</f>
        <v>45708</v>
      </c>
      <c r="J2530" s="2" t="str">
        <f>VLOOKUP(B2530,'PO with created By ASR'!A:G,4,FALSE)</f>
        <v>Emblaze Events (Sunita Harihar Sharma)-Mum</v>
      </c>
      <c r="K2530" s="2" t="str">
        <f>VLOOKUP(B2530,'PO with created By ASR'!A:I,6,FALSE)</f>
        <v>11869 Emblaze Events (Sunita Harihar Sharma)</v>
      </c>
      <c r="L2530" s="2" t="str">
        <f>VLOOKUP(B2530,'PO with created By ASR'!A:J,7,FALSE)</f>
        <v>A - Mumbai</v>
      </c>
      <c r="M2530" s="2" t="str">
        <f>VLOOKUP(B2530,'PO with created By ASR'!A:K,8,FALSE)</f>
        <v>Purchase Order-Mum</v>
      </c>
      <c r="N2530" t="s">
        <v>36</v>
      </c>
      <c r="P2530" s="2">
        <v>6</v>
      </c>
    </row>
    <row r="2531" s="2" customFormat="1" spans="1:16">
      <c r="A2531" s="8"/>
      <c r="B2531" s="9" t="s">
        <v>3742</v>
      </c>
      <c r="C2531" s="10" t="s">
        <v>292</v>
      </c>
      <c r="D2531" s="11">
        <v>1</v>
      </c>
      <c r="E2531" s="12">
        <v>40000</v>
      </c>
      <c r="F2531" s="13">
        <v>40000</v>
      </c>
      <c r="G2531" s="2">
        <f>VLOOKUP(B2531,'PO with created By ASR'!A:C,3,FALSE)</f>
        <v>45708</v>
      </c>
      <c r="J2531" s="2" t="str">
        <f>VLOOKUP(B2531,'PO with created By ASR'!A:G,4,FALSE)</f>
        <v>Vibrant Experiences LLP-Mum</v>
      </c>
      <c r="K2531" s="2" t="str">
        <f>VLOOKUP(B2531,'PO with created By ASR'!A:I,6,FALSE)</f>
        <v>12588 Vibrant Experiences LLP</v>
      </c>
      <c r="L2531" s="2" t="str">
        <f>VLOOKUP(B2531,'PO with created By ASR'!A:J,7,FALSE)</f>
        <v>A - Mumbai</v>
      </c>
      <c r="M2531" s="2" t="str">
        <f>VLOOKUP(B2531,'PO with created By ASR'!A:K,8,FALSE)</f>
        <v>Purchase Order-Mum</v>
      </c>
      <c r="N2531" t="s">
        <v>36</v>
      </c>
      <c r="P2531" s="2">
        <v>6</v>
      </c>
    </row>
    <row r="2532" s="2" customFormat="1" spans="1:16">
      <c r="A2532" s="8"/>
      <c r="B2532" s="9" t="s">
        <v>3745</v>
      </c>
      <c r="C2532" s="10" t="s">
        <v>317</v>
      </c>
      <c r="D2532" s="11">
        <v>1</v>
      </c>
      <c r="E2532" s="12">
        <v>642040</v>
      </c>
      <c r="F2532" s="13">
        <v>642040</v>
      </c>
      <c r="G2532" s="2">
        <f>VLOOKUP(B2532,'PO with created By ASR'!A:C,3,FALSE)</f>
        <v>45708</v>
      </c>
      <c r="J2532" s="2" t="str">
        <f>VLOOKUP(B2532,'PO with created By ASR'!A:G,4,FALSE)</f>
        <v>Eventers-Mum</v>
      </c>
      <c r="K2532" s="2" t="e">
        <f>VLOOKUP(B2532,'PO with created By ASR'!A:I,6,FALSE)</f>
        <v>#N/A</v>
      </c>
      <c r="L2532" s="2" t="str">
        <f>VLOOKUP(B2532,'PO with created By ASR'!A:J,7,FALSE)</f>
        <v>A - Mumbai</v>
      </c>
      <c r="M2532" s="2" t="str">
        <f>VLOOKUP(B2532,'PO with created By ASR'!A:K,8,FALSE)</f>
        <v>Purchase Order-Mum</v>
      </c>
      <c r="N2532" t="s">
        <v>36</v>
      </c>
      <c r="P2532" s="2">
        <v>6</v>
      </c>
    </row>
    <row r="2533" s="2" customFormat="1" spans="1:16">
      <c r="A2533" s="8"/>
      <c r="B2533" s="9" t="s">
        <v>3749</v>
      </c>
      <c r="C2533" s="10" t="s">
        <v>256</v>
      </c>
      <c r="D2533" s="11">
        <v>1</v>
      </c>
      <c r="E2533" s="12">
        <v>60000</v>
      </c>
      <c r="F2533" s="13">
        <v>60000</v>
      </c>
      <c r="G2533" s="2">
        <f>VLOOKUP(B2533,'PO with created By ASR'!A:C,3,FALSE)</f>
        <v>45708</v>
      </c>
      <c r="J2533" s="2" t="str">
        <f>VLOOKUP(B2533,'PO with created By ASR'!A:G,4,FALSE)</f>
        <v>The Indian Performing Right Society Ltd.-Mum</v>
      </c>
      <c r="K2533" s="2" t="e">
        <f>VLOOKUP(B2533,'PO with created By ASR'!A:I,6,FALSE)</f>
        <v>#N/A</v>
      </c>
      <c r="L2533" s="2" t="str">
        <f>VLOOKUP(B2533,'PO with created By ASR'!A:J,7,FALSE)</f>
        <v>A - Mumbai</v>
      </c>
      <c r="M2533" s="2" t="str">
        <f>VLOOKUP(B2533,'PO with created By ASR'!A:K,8,FALSE)</f>
        <v>Purchase Order-Mum</v>
      </c>
      <c r="N2533" t="s">
        <v>36</v>
      </c>
      <c r="P2533" s="2">
        <v>6</v>
      </c>
    </row>
    <row r="2534" s="2" customFormat="1" spans="1:16">
      <c r="A2534" s="8"/>
      <c r="B2534" s="9" t="s">
        <v>3750</v>
      </c>
      <c r="C2534" s="10" t="s">
        <v>256</v>
      </c>
      <c r="D2534" s="11">
        <v>1</v>
      </c>
      <c r="E2534" s="12">
        <v>48000</v>
      </c>
      <c r="F2534" s="13">
        <v>48000</v>
      </c>
      <c r="G2534" s="2">
        <f>VLOOKUP(B2534,'PO with created By ASR'!A:C,3,FALSE)</f>
        <v>45708</v>
      </c>
      <c r="J2534" s="2" t="str">
        <f>VLOOKUP(B2534,'PO with created By ASR'!A:G,4,FALSE)</f>
        <v>Phonographic Performance Limited-Mum</v>
      </c>
      <c r="K2534" s="2" t="e">
        <f>VLOOKUP(B2534,'PO with created By ASR'!A:I,6,FALSE)</f>
        <v>#N/A</v>
      </c>
      <c r="L2534" s="2" t="str">
        <f>VLOOKUP(B2534,'PO with created By ASR'!A:J,7,FALSE)</f>
        <v>A - Mumbai</v>
      </c>
      <c r="M2534" s="2" t="str">
        <f>VLOOKUP(B2534,'PO with created By ASR'!A:K,8,FALSE)</f>
        <v>Purchase Order-Mum</v>
      </c>
      <c r="N2534" t="s">
        <v>36</v>
      </c>
      <c r="P2534" s="2">
        <v>6</v>
      </c>
    </row>
    <row r="2535" s="2" customFormat="1" spans="1:16">
      <c r="A2535" s="8"/>
      <c r="B2535" s="9" t="s">
        <v>3751</v>
      </c>
      <c r="C2535" s="10" t="s">
        <v>256</v>
      </c>
      <c r="D2535" s="11">
        <v>1</v>
      </c>
      <c r="E2535" s="12">
        <v>45000</v>
      </c>
      <c r="F2535" s="13">
        <v>45000</v>
      </c>
      <c r="G2535" s="2">
        <f>VLOOKUP(B2535,'PO with created By ASR'!A:C,3,FALSE)</f>
        <v>45708</v>
      </c>
      <c r="J2535" s="2" t="str">
        <f>VLOOKUP(B2535,'PO with created By ASR'!A:G,4,FALSE)</f>
        <v>Novex Communications Pvt. Ltd.-Mum</v>
      </c>
      <c r="K2535" s="2" t="e">
        <f>VLOOKUP(B2535,'PO with created By ASR'!A:I,6,FALSE)</f>
        <v>#N/A</v>
      </c>
      <c r="L2535" s="2" t="str">
        <f>VLOOKUP(B2535,'PO with created By ASR'!A:J,7,FALSE)</f>
        <v>A - Mumbai</v>
      </c>
      <c r="M2535" s="2" t="str">
        <f>VLOOKUP(B2535,'PO with created By ASR'!A:K,8,FALSE)</f>
        <v>Purchase Order-Mum</v>
      </c>
      <c r="N2535" t="s">
        <v>36</v>
      </c>
      <c r="P2535" s="2">
        <v>6</v>
      </c>
    </row>
    <row r="2536" s="2" customFormat="1" spans="1:16">
      <c r="A2536" s="8"/>
      <c r="B2536" s="9" t="s">
        <v>3752</v>
      </c>
      <c r="C2536" s="10" t="s">
        <v>151</v>
      </c>
      <c r="D2536" s="11">
        <v>1</v>
      </c>
      <c r="E2536" s="12">
        <v>130200</v>
      </c>
      <c r="F2536" s="13">
        <v>130200</v>
      </c>
      <c r="G2536" s="2">
        <f>VLOOKUP(B2536,'PO with created By ASR'!A:C,3,FALSE)</f>
        <v>45708</v>
      </c>
      <c r="J2536" s="2" t="str">
        <f>VLOOKUP(B2536,'PO with created By ASR'!A:G,4,FALSE)</f>
        <v>Vivify Productions-Mum</v>
      </c>
      <c r="K2536" s="2" t="str">
        <f>VLOOKUP(B2536,'PO with created By ASR'!A:I,6,FALSE)</f>
        <v>12820 Vivify Productions</v>
      </c>
      <c r="L2536" s="2" t="str">
        <f>VLOOKUP(B2536,'PO with created By ASR'!A:J,7,FALSE)</f>
        <v>A - Mumbai</v>
      </c>
      <c r="M2536" s="2" t="str">
        <f>VLOOKUP(B2536,'PO with created By ASR'!A:K,8,FALSE)</f>
        <v>Purchase Order-Mum</v>
      </c>
      <c r="N2536" t="s">
        <v>36</v>
      </c>
      <c r="P2536" s="2">
        <v>6</v>
      </c>
    </row>
    <row r="2537" s="2" customFormat="1" spans="1:16">
      <c r="A2537" s="8"/>
      <c r="B2537" s="9" t="s">
        <v>3755</v>
      </c>
      <c r="C2537" s="10" t="s">
        <v>196</v>
      </c>
      <c r="D2537" s="11">
        <v>1</v>
      </c>
      <c r="E2537" s="12">
        <v>1800</v>
      </c>
      <c r="F2537" s="13">
        <v>1800</v>
      </c>
      <c r="G2537" s="2">
        <f>VLOOKUP(B2537,'PO with created By ASR'!A:C,3,FALSE)</f>
        <v>45709</v>
      </c>
      <c r="J2537" s="2" t="str">
        <f>VLOOKUP(B2537,'PO with created By ASR'!A:G,4,FALSE)</f>
        <v>New Print House-Blr</v>
      </c>
      <c r="K2537" s="2" t="str">
        <f>VLOOKUP(B2537,'PO with created By ASR'!A:I,6,FALSE)</f>
        <v>12196 New Print House</v>
      </c>
      <c r="L2537" s="2" t="str">
        <f>VLOOKUP(B2537,'PO with created By ASR'!A:J,7,FALSE)</f>
        <v>B - Bangalore</v>
      </c>
      <c r="M2537" s="2" t="str">
        <f>VLOOKUP(B2537,'PO with created By ASR'!A:K,8,FALSE)</f>
        <v>Purchase Order-Blr</v>
      </c>
      <c r="N2537" t="s">
        <v>36</v>
      </c>
      <c r="P2537" s="2">
        <v>6</v>
      </c>
    </row>
    <row r="2538" s="2" customFormat="1" spans="1:16">
      <c r="A2538" s="8"/>
      <c r="B2538" s="9" t="s">
        <v>3757</v>
      </c>
      <c r="C2538" s="10" t="s">
        <v>151</v>
      </c>
      <c r="D2538" s="11">
        <v>1</v>
      </c>
      <c r="E2538" s="12">
        <v>28000</v>
      </c>
      <c r="F2538" s="13">
        <v>28000</v>
      </c>
      <c r="G2538" s="2">
        <f>VLOOKUP(B2538,'PO with created By ASR'!A:C,3,FALSE)</f>
        <v>45709</v>
      </c>
      <c r="J2538" s="2" t="str">
        <f>VLOOKUP(B2538,'PO with created By ASR'!A:G,4,FALSE)</f>
        <v>Narsingh Events Pvt Ltd-Blr</v>
      </c>
      <c r="K2538" s="2" t="str">
        <f>VLOOKUP(B2538,'PO with created By ASR'!A:I,6,FALSE)</f>
        <v>12985  Narsingh Events Pvt Ltd</v>
      </c>
      <c r="L2538" s="2" t="str">
        <f>VLOOKUP(B2538,'PO with created By ASR'!A:J,7,FALSE)</f>
        <v>B - Bangalore</v>
      </c>
      <c r="M2538" s="2" t="str">
        <f>VLOOKUP(B2538,'PO with created By ASR'!A:K,8,FALSE)</f>
        <v>Purchase Order-Blr</v>
      </c>
      <c r="N2538" t="s">
        <v>36</v>
      </c>
      <c r="P2538" s="2">
        <v>6</v>
      </c>
    </row>
    <row r="2539" s="2" customFormat="1" spans="1:16">
      <c r="A2539" s="8"/>
      <c r="B2539" s="9" t="s">
        <v>3758</v>
      </c>
      <c r="C2539" s="10" t="s">
        <v>371</v>
      </c>
      <c r="D2539" s="11">
        <v>1</v>
      </c>
      <c r="E2539" s="12">
        <v>95000</v>
      </c>
      <c r="F2539" s="13">
        <v>95000</v>
      </c>
      <c r="G2539" s="2">
        <f>VLOOKUP(B2539,'PO with created By ASR'!A:C,3,FALSE)</f>
        <v>45709</v>
      </c>
      <c r="J2539" s="2" t="str">
        <f>VLOOKUP(B2539,'PO with created By ASR'!A:G,4,FALSE)</f>
        <v>Sri Gangothri Video-Blr</v>
      </c>
      <c r="K2539" s="2" t="str">
        <f>VLOOKUP(B2539,'PO with created By ASR'!A:I,6,FALSE)</f>
        <v>12443 Sri Gangothri Video</v>
      </c>
      <c r="L2539" s="2" t="str">
        <f>VLOOKUP(B2539,'PO with created By ASR'!A:J,7,FALSE)</f>
        <v>B - Bangalore</v>
      </c>
      <c r="M2539" s="2" t="str">
        <f>VLOOKUP(B2539,'PO with created By ASR'!A:K,8,FALSE)</f>
        <v>Purchase Order-Blr</v>
      </c>
      <c r="N2539" t="s">
        <v>36</v>
      </c>
      <c r="P2539" s="2">
        <v>6</v>
      </c>
    </row>
    <row r="2540" s="2" customFormat="1" spans="1:16">
      <c r="A2540" s="8"/>
      <c r="B2540" s="9" t="s">
        <v>3759</v>
      </c>
      <c r="C2540" s="10" t="s">
        <v>371</v>
      </c>
      <c r="D2540" s="11">
        <v>1</v>
      </c>
      <c r="E2540" s="12">
        <v>28000</v>
      </c>
      <c r="F2540" s="13">
        <v>28000</v>
      </c>
      <c r="G2540" s="2">
        <f>VLOOKUP(B2540,'PO with created By ASR'!A:C,3,FALSE)</f>
        <v>45709</v>
      </c>
      <c r="J2540" s="2" t="str">
        <f>VLOOKUP(B2540,'PO with created By ASR'!A:G,4,FALSE)</f>
        <v>Mass Vision-Blr</v>
      </c>
      <c r="K2540" s="2" t="str">
        <f>VLOOKUP(B2540,'PO with created By ASR'!A:I,6,FALSE)</f>
        <v>12126 Mass Vision</v>
      </c>
      <c r="L2540" s="2" t="str">
        <f>VLOOKUP(B2540,'PO with created By ASR'!A:J,7,FALSE)</f>
        <v>B - Bangalore</v>
      </c>
      <c r="M2540" s="2" t="str">
        <f>VLOOKUP(B2540,'PO with created By ASR'!A:K,8,FALSE)</f>
        <v>Purchase Order-Blr</v>
      </c>
      <c r="N2540" t="s">
        <v>36</v>
      </c>
      <c r="P2540" s="2">
        <v>6</v>
      </c>
    </row>
    <row r="2541" s="2" customFormat="1" spans="1:16">
      <c r="A2541" s="8"/>
      <c r="B2541" s="9" t="s">
        <v>3760</v>
      </c>
      <c r="C2541" s="10" t="s">
        <v>151</v>
      </c>
      <c r="D2541" s="11">
        <v>1</v>
      </c>
      <c r="E2541" s="12">
        <v>12000</v>
      </c>
      <c r="F2541" s="13">
        <v>12000</v>
      </c>
      <c r="G2541" s="2">
        <f>VLOOKUP(B2541,'PO with created By ASR'!A:C,3,FALSE)</f>
        <v>45709</v>
      </c>
      <c r="J2541" s="2" t="str">
        <f>VLOOKUP(B2541,'PO with created By ASR'!A:G,4,FALSE)</f>
        <v>Shabbirs Furnishing Centre-Blr</v>
      </c>
      <c r="K2541" s="2" t="str">
        <f>VLOOKUP(B2541,'PO with created By ASR'!A:I,6,FALSE)</f>
        <v>11053 Shabbirs Furnishing Centre</v>
      </c>
      <c r="L2541" s="2" t="str">
        <f>VLOOKUP(B2541,'PO with created By ASR'!A:J,7,FALSE)</f>
        <v>B - Bangalore</v>
      </c>
      <c r="M2541" s="2" t="str">
        <f>VLOOKUP(B2541,'PO with created By ASR'!A:K,8,FALSE)</f>
        <v>Purchase Order-Blr</v>
      </c>
      <c r="N2541" t="s">
        <v>36</v>
      </c>
      <c r="P2541" s="2">
        <v>6</v>
      </c>
    </row>
    <row r="2542" s="2" customFormat="1" spans="1:16">
      <c r="A2542" s="8"/>
      <c r="B2542" s="9" t="s">
        <v>3761</v>
      </c>
      <c r="C2542" s="10" t="s">
        <v>196</v>
      </c>
      <c r="D2542" s="11">
        <v>1</v>
      </c>
      <c r="E2542" s="12">
        <v>1800</v>
      </c>
      <c r="F2542" s="13">
        <v>1800</v>
      </c>
      <c r="G2542" s="2">
        <f>VLOOKUP(B2542,'PO with created By ASR'!A:C,3,FALSE)</f>
        <v>45709</v>
      </c>
      <c r="J2542" s="2" t="str">
        <f>VLOOKUP(B2542,'PO with created By ASR'!A:G,4,FALSE)</f>
        <v>Kolorkode-Blr</v>
      </c>
      <c r="K2542" s="2" t="e">
        <f>VLOOKUP(B2542,'PO with created By ASR'!A:I,6,FALSE)</f>
        <v>#N/A</v>
      </c>
      <c r="L2542" s="2" t="str">
        <f>VLOOKUP(B2542,'PO with created By ASR'!A:J,7,FALSE)</f>
        <v>B - Bangalore</v>
      </c>
      <c r="M2542" s="2" t="str">
        <f>VLOOKUP(B2542,'PO with created By ASR'!A:K,8,FALSE)</f>
        <v>Purchase Order-Blr</v>
      </c>
      <c r="N2542" t="s">
        <v>36</v>
      </c>
      <c r="P2542" s="2">
        <v>6</v>
      </c>
    </row>
    <row r="2543" s="2" customFormat="1" spans="1:16">
      <c r="A2543" s="8"/>
      <c r="B2543" s="9" t="s">
        <v>3762</v>
      </c>
      <c r="C2543" s="10" t="s">
        <v>205</v>
      </c>
      <c r="D2543" s="11">
        <v>1</v>
      </c>
      <c r="E2543" s="12">
        <v>2150</v>
      </c>
      <c r="F2543" s="13">
        <v>2150</v>
      </c>
      <c r="G2543" s="2">
        <f>VLOOKUP(B2543,'PO with created By ASR'!A:C,3,FALSE)</f>
        <v>45709</v>
      </c>
      <c r="J2543" s="2" t="str">
        <f>VLOOKUP(B2543,'PO with created By ASR'!A:G,4,FALSE)</f>
        <v>Courier International Services-Blr</v>
      </c>
      <c r="K2543" s="2" t="str">
        <f>VLOOKUP(B2543,'PO with created By ASR'!A:I,6,FALSE)</f>
        <v>11795 Courier International Services</v>
      </c>
      <c r="L2543" s="2" t="str">
        <f>VLOOKUP(B2543,'PO with created By ASR'!A:J,7,FALSE)</f>
        <v>B - Bangalore</v>
      </c>
      <c r="M2543" s="2" t="str">
        <f>VLOOKUP(B2543,'PO with created By ASR'!A:K,8,FALSE)</f>
        <v>Purchase Order-Blr</v>
      </c>
      <c r="N2543" t="s">
        <v>36</v>
      </c>
      <c r="P2543" s="2">
        <v>6</v>
      </c>
    </row>
    <row r="2544" s="2" customFormat="1" spans="1:16">
      <c r="A2544" s="8"/>
      <c r="B2544" s="9" t="s">
        <v>3763</v>
      </c>
      <c r="C2544" s="10" t="s">
        <v>196</v>
      </c>
      <c r="D2544" s="11">
        <v>1</v>
      </c>
      <c r="E2544" s="12">
        <v>51400</v>
      </c>
      <c r="F2544" s="13">
        <v>51400</v>
      </c>
      <c r="G2544" s="2">
        <f>VLOOKUP(B2544,'PO with created By ASR'!A:C,3,FALSE)</f>
        <v>45709</v>
      </c>
      <c r="J2544" s="2" t="str">
        <f>VLOOKUP(B2544,'PO with created By ASR'!A:G,4,FALSE)</f>
        <v>Akshar Trading Company-Blr</v>
      </c>
      <c r="K2544" s="2" t="str">
        <f>VLOOKUP(B2544,'PO with created By ASR'!A:I,6,FALSE)</f>
        <v>11651 Akshar Trading Company</v>
      </c>
      <c r="L2544" s="2" t="str">
        <f>VLOOKUP(B2544,'PO with created By ASR'!A:J,7,FALSE)</f>
        <v>B - Bangalore</v>
      </c>
      <c r="M2544" s="2" t="str">
        <f>VLOOKUP(B2544,'PO with created By ASR'!A:K,8,FALSE)</f>
        <v>Purchase Order-Blr</v>
      </c>
      <c r="N2544" t="s">
        <v>36</v>
      </c>
      <c r="P2544" s="2">
        <v>6</v>
      </c>
    </row>
    <row r="2545" s="2" customFormat="1" spans="1:16">
      <c r="A2545" s="8"/>
      <c r="B2545" s="9" t="s">
        <v>3765</v>
      </c>
      <c r="C2545" s="10" t="s">
        <v>276</v>
      </c>
      <c r="D2545" s="11">
        <v>1</v>
      </c>
      <c r="E2545" s="12">
        <v>141050</v>
      </c>
      <c r="F2545" s="13">
        <v>141050</v>
      </c>
      <c r="G2545" s="2">
        <f>VLOOKUP(B2545,'PO with created By ASR'!A:C,3,FALSE)</f>
        <v>45709</v>
      </c>
      <c r="J2545" s="2" t="str">
        <f>VLOOKUP(B2545,'PO with created By ASR'!A:G,4,FALSE)</f>
        <v>Unicorn Food Solution-Blr</v>
      </c>
      <c r="K2545" s="2" t="str">
        <f>VLOOKUP(B2545,'PO with created By ASR'!A:I,6,FALSE)</f>
        <v>12978 Unicorn Food Solution</v>
      </c>
      <c r="L2545" s="2" t="str">
        <f>VLOOKUP(B2545,'PO with created By ASR'!A:J,7,FALSE)</f>
        <v>B - Bangalore</v>
      </c>
      <c r="M2545" s="2" t="str">
        <f>VLOOKUP(B2545,'PO with created By ASR'!A:K,8,FALSE)</f>
        <v>Purchase Order-Blr</v>
      </c>
      <c r="N2545" t="s">
        <v>36</v>
      </c>
      <c r="P2545" s="2">
        <v>6</v>
      </c>
    </row>
    <row r="2546" s="2" customFormat="1" spans="1:16">
      <c r="A2546" s="8"/>
      <c r="B2546" s="9" t="s">
        <v>3765</v>
      </c>
      <c r="C2546" s="10" t="s">
        <v>676</v>
      </c>
      <c r="D2546" s="11">
        <v>1</v>
      </c>
      <c r="E2546" s="12">
        <v>3526.25</v>
      </c>
      <c r="F2546" s="13">
        <v>3526.25</v>
      </c>
      <c r="G2546" s="2">
        <f>VLOOKUP(B2546,'PO with created By ASR'!A:C,3,FALSE)</f>
        <v>45709</v>
      </c>
      <c r="J2546" s="2" t="str">
        <f>VLOOKUP(B2546,'PO with created By ASR'!A:G,4,FALSE)</f>
        <v>Unicorn Food Solution-Blr</v>
      </c>
      <c r="K2546" s="2" t="str">
        <f>VLOOKUP(B2546,'PO with created By ASR'!A:I,6,FALSE)</f>
        <v>12978 Unicorn Food Solution</v>
      </c>
      <c r="L2546" s="2" t="str">
        <f>VLOOKUP(B2546,'PO with created By ASR'!A:J,7,FALSE)</f>
        <v>B - Bangalore</v>
      </c>
      <c r="M2546" s="2" t="str">
        <f>VLOOKUP(B2546,'PO with created By ASR'!A:K,8,FALSE)</f>
        <v>Purchase Order-Blr</v>
      </c>
      <c r="N2546" t="s">
        <v>36</v>
      </c>
      <c r="P2546" s="2">
        <v>6</v>
      </c>
    </row>
    <row r="2547" s="2" customFormat="1" spans="1:16">
      <c r="A2547" s="8"/>
      <c r="B2547" s="9" t="s">
        <v>3765</v>
      </c>
      <c r="C2547" s="10" t="s">
        <v>4365</v>
      </c>
      <c r="D2547" s="11">
        <v>1</v>
      </c>
      <c r="E2547" s="12">
        <v>3526.25</v>
      </c>
      <c r="F2547" s="13">
        <v>3526.25</v>
      </c>
      <c r="G2547" s="2">
        <f>VLOOKUP(B2547,'PO with created By ASR'!A:C,3,FALSE)</f>
        <v>45709</v>
      </c>
      <c r="J2547" s="2" t="str">
        <f>VLOOKUP(B2547,'PO with created By ASR'!A:G,4,FALSE)</f>
        <v>Unicorn Food Solution-Blr</v>
      </c>
      <c r="K2547" s="2" t="str">
        <f>VLOOKUP(B2547,'PO with created By ASR'!A:I,6,FALSE)</f>
        <v>12978 Unicorn Food Solution</v>
      </c>
      <c r="L2547" s="2" t="str">
        <f>VLOOKUP(B2547,'PO with created By ASR'!A:J,7,FALSE)</f>
        <v>B - Bangalore</v>
      </c>
      <c r="M2547" s="2" t="str">
        <f>VLOOKUP(B2547,'PO with created By ASR'!A:K,8,FALSE)</f>
        <v>Purchase Order-Blr</v>
      </c>
      <c r="N2547" t="s">
        <v>36</v>
      </c>
      <c r="P2547" s="2">
        <v>6</v>
      </c>
    </row>
    <row r="2548" s="2" customFormat="1" spans="1:16">
      <c r="A2548" s="8"/>
      <c r="B2548" s="9" t="s">
        <v>3768</v>
      </c>
      <c r="C2548" s="10" t="s">
        <v>119</v>
      </c>
      <c r="D2548" s="11">
        <v>1</v>
      </c>
      <c r="E2548" s="12">
        <v>4600</v>
      </c>
      <c r="F2548" s="13">
        <v>4600</v>
      </c>
      <c r="G2548" s="2">
        <f>VLOOKUP(B2548,'PO with created By ASR'!A:C,3,FALSE)</f>
        <v>45709</v>
      </c>
      <c r="J2548" s="2" t="str">
        <f>VLOOKUP(B2548,'PO with created By ASR'!A:G,4,FALSE)</f>
        <v>Siva Sankar Cabs-Blr</v>
      </c>
      <c r="K2548" s="2" t="str">
        <f>VLOOKUP(B2548,'PO with created By ASR'!A:I,6,FALSE)</f>
        <v>10089 Siva Sankar Cabs</v>
      </c>
      <c r="L2548" s="2" t="str">
        <f>VLOOKUP(B2548,'PO with created By ASR'!A:J,7,FALSE)</f>
        <v>B - Bangalore</v>
      </c>
      <c r="M2548" s="2" t="str">
        <f>VLOOKUP(B2548,'PO with created By ASR'!A:K,8,FALSE)</f>
        <v>Purchase Order-Blr</v>
      </c>
      <c r="N2548" t="s">
        <v>36</v>
      </c>
      <c r="P2548" s="2">
        <v>6</v>
      </c>
    </row>
    <row r="2549" s="2" customFormat="1" spans="1:16">
      <c r="A2549" s="8"/>
      <c r="B2549" s="9" t="s">
        <v>3769</v>
      </c>
      <c r="C2549" s="10" t="s">
        <v>292</v>
      </c>
      <c r="D2549" s="11">
        <v>1</v>
      </c>
      <c r="E2549" s="12">
        <v>4000</v>
      </c>
      <c r="F2549" s="13">
        <v>4000</v>
      </c>
      <c r="G2549" s="2">
        <f>VLOOKUP(B2549,'PO with created By ASR'!A:C,3,FALSE)</f>
        <v>45709</v>
      </c>
      <c r="J2549" s="2" t="str">
        <f>VLOOKUP(B2549,'PO with created By ASR'!A:G,4,FALSE)</f>
        <v>Abdul Rehman -CR</v>
      </c>
      <c r="K2549" s="2" t="e">
        <f>VLOOKUP(B2549,'PO with created By ASR'!A:I,6,FALSE)</f>
        <v>#N/A</v>
      </c>
      <c r="L2549" s="2" t="str">
        <f>VLOOKUP(B2549,'PO with created By ASR'!A:J,7,FALSE)</f>
        <v>B - Bangalore</v>
      </c>
      <c r="M2549" s="2" t="str">
        <f>VLOOKUP(B2549,'PO with created By ASR'!A:K,8,FALSE)</f>
        <v>Purchase Order-Blr</v>
      </c>
      <c r="N2549" t="s">
        <v>36</v>
      </c>
      <c r="P2549" s="2">
        <v>6</v>
      </c>
    </row>
    <row r="2550" s="2" customFormat="1" spans="1:16">
      <c r="A2550" s="8"/>
      <c r="B2550" s="9" t="s">
        <v>3770</v>
      </c>
      <c r="C2550" s="10" t="s">
        <v>292</v>
      </c>
      <c r="D2550" s="11">
        <v>1</v>
      </c>
      <c r="E2550" s="12">
        <v>5000</v>
      </c>
      <c r="F2550" s="13">
        <v>5000</v>
      </c>
      <c r="G2550" s="2">
        <f>VLOOKUP(B2550,'PO with created By ASR'!A:C,3,FALSE)</f>
        <v>45709</v>
      </c>
      <c r="J2550" s="2" t="str">
        <f>VLOOKUP(B2550,'PO with created By ASR'!A:G,4,FALSE)</f>
        <v>Abdul Rehman -CR</v>
      </c>
      <c r="K2550" s="2" t="e">
        <f>VLOOKUP(B2550,'PO with created By ASR'!A:I,6,FALSE)</f>
        <v>#N/A</v>
      </c>
      <c r="L2550" s="2" t="str">
        <f>VLOOKUP(B2550,'PO with created By ASR'!A:J,7,FALSE)</f>
        <v>B - Bangalore</v>
      </c>
      <c r="M2550" s="2" t="str">
        <f>VLOOKUP(B2550,'PO with created By ASR'!A:K,8,FALSE)</f>
        <v>Purchase Order-Blr</v>
      </c>
      <c r="N2550" t="s">
        <v>36</v>
      </c>
      <c r="P2550" s="2">
        <v>6</v>
      </c>
    </row>
    <row r="2551" s="2" customFormat="1" spans="1:16">
      <c r="A2551" s="8"/>
      <c r="B2551" s="9" t="s">
        <v>3771</v>
      </c>
      <c r="C2551" s="10" t="s">
        <v>205</v>
      </c>
      <c r="D2551" s="11">
        <v>1</v>
      </c>
      <c r="E2551" s="12">
        <v>4865</v>
      </c>
      <c r="F2551" s="13">
        <v>4865</v>
      </c>
      <c r="G2551" s="2">
        <f>VLOOKUP(B2551,'PO with created By ASR'!A:C,3,FALSE)</f>
        <v>45709</v>
      </c>
      <c r="J2551" s="2" t="str">
        <f>VLOOKUP(B2551,'PO with created By ASR'!A:G,4,FALSE)</f>
        <v>Sarah Logistics-Blr</v>
      </c>
      <c r="K2551" s="2" t="str">
        <f>VLOOKUP(B2551,'PO with created By ASR'!A:I,6,FALSE)</f>
        <v>10077 Sarah Logistics</v>
      </c>
      <c r="L2551" s="2" t="str">
        <f>VLOOKUP(B2551,'PO with created By ASR'!A:J,7,FALSE)</f>
        <v>B - Bangalore</v>
      </c>
      <c r="M2551" s="2" t="str">
        <f>VLOOKUP(B2551,'PO with created By ASR'!A:K,8,FALSE)</f>
        <v>Purchase Order-Blr</v>
      </c>
      <c r="N2551" t="s">
        <v>36</v>
      </c>
      <c r="P2551" s="2">
        <v>6</v>
      </c>
    </row>
    <row r="2552" s="2" customFormat="1" spans="1:16">
      <c r="A2552" s="8"/>
      <c r="B2552" s="9" t="s">
        <v>3774</v>
      </c>
      <c r="C2552" s="10" t="s">
        <v>196</v>
      </c>
      <c r="D2552" s="11">
        <v>1</v>
      </c>
      <c r="E2552" s="12">
        <v>9210</v>
      </c>
      <c r="F2552" s="13">
        <v>9210</v>
      </c>
      <c r="G2552" s="2">
        <f>VLOOKUP(B2552,'PO with created By ASR'!A:C,3,FALSE)</f>
        <v>45709</v>
      </c>
      <c r="J2552" s="2" t="str">
        <f>VLOOKUP(B2552,'PO with created By ASR'!A:G,4,FALSE)</f>
        <v>Abdul Rehman -CR</v>
      </c>
      <c r="K2552" s="2" t="e">
        <f>VLOOKUP(B2552,'PO with created By ASR'!A:I,6,FALSE)</f>
        <v>#N/A</v>
      </c>
      <c r="L2552" s="2" t="str">
        <f>VLOOKUP(B2552,'PO with created By ASR'!A:J,7,FALSE)</f>
        <v>B - Bangalore</v>
      </c>
      <c r="M2552" s="2" t="str">
        <f>VLOOKUP(B2552,'PO with created By ASR'!A:K,8,FALSE)</f>
        <v>Purchase Order-Blr</v>
      </c>
      <c r="N2552" t="s">
        <v>36</v>
      </c>
      <c r="P2552" s="2">
        <v>6</v>
      </c>
    </row>
    <row r="2553" s="2" customFormat="1" spans="1:16">
      <c r="A2553" s="8"/>
      <c r="B2553" s="9" t="s">
        <v>3775</v>
      </c>
      <c r="C2553" s="10" t="s">
        <v>126</v>
      </c>
      <c r="D2553" s="11">
        <v>1</v>
      </c>
      <c r="E2553" s="12">
        <v>3720</v>
      </c>
      <c r="F2553" s="13">
        <v>3720</v>
      </c>
      <c r="G2553" s="2">
        <f>VLOOKUP(B2553,'PO with created By ASR'!A:C,3,FALSE)</f>
        <v>45709</v>
      </c>
      <c r="J2553" s="2" t="str">
        <f>VLOOKUP(B2553,'PO with created By ASR'!A:G,4,FALSE)</f>
        <v>Abdul Rehman -CR</v>
      </c>
      <c r="K2553" s="2" t="e">
        <f>VLOOKUP(B2553,'PO with created By ASR'!A:I,6,FALSE)</f>
        <v>#N/A</v>
      </c>
      <c r="L2553" s="2" t="str">
        <f>VLOOKUP(B2553,'PO with created By ASR'!A:J,7,FALSE)</f>
        <v>B - Bangalore</v>
      </c>
      <c r="M2553" s="2" t="str">
        <f>VLOOKUP(B2553,'PO with created By ASR'!A:K,8,FALSE)</f>
        <v>Purchase Order-Blr</v>
      </c>
      <c r="N2553" t="s">
        <v>36</v>
      </c>
      <c r="P2553" s="2">
        <v>6</v>
      </c>
    </row>
    <row r="2554" s="2" customFormat="1" spans="1:16">
      <c r="A2554" s="8"/>
      <c r="B2554" s="9" t="s">
        <v>3775</v>
      </c>
      <c r="C2554" s="10" t="s">
        <v>412</v>
      </c>
      <c r="D2554" s="11">
        <v>1</v>
      </c>
      <c r="E2554" s="12">
        <v>903</v>
      </c>
      <c r="F2554" s="13">
        <v>903</v>
      </c>
      <c r="G2554" s="2">
        <f>VLOOKUP(B2554,'PO with created By ASR'!A:C,3,FALSE)</f>
        <v>45709</v>
      </c>
      <c r="J2554" s="2" t="str">
        <f>VLOOKUP(B2554,'PO with created By ASR'!A:G,4,FALSE)</f>
        <v>Abdul Rehman -CR</v>
      </c>
      <c r="K2554" s="2" t="e">
        <f>VLOOKUP(B2554,'PO with created By ASR'!A:I,6,FALSE)</f>
        <v>#N/A</v>
      </c>
      <c r="L2554" s="2" t="str">
        <f>VLOOKUP(B2554,'PO with created By ASR'!A:J,7,FALSE)</f>
        <v>B - Bangalore</v>
      </c>
      <c r="M2554" s="2" t="str">
        <f>VLOOKUP(B2554,'PO with created By ASR'!A:K,8,FALSE)</f>
        <v>Purchase Order-Blr</v>
      </c>
      <c r="N2554" t="s">
        <v>36</v>
      </c>
      <c r="P2554" s="2">
        <v>6</v>
      </c>
    </row>
    <row r="2555" s="2" customFormat="1" spans="1:16">
      <c r="A2555" s="8"/>
      <c r="B2555" s="9" t="s">
        <v>3775</v>
      </c>
      <c r="C2555" s="10" t="s">
        <v>292</v>
      </c>
      <c r="D2555" s="11">
        <v>1</v>
      </c>
      <c r="E2555" s="12">
        <v>3000</v>
      </c>
      <c r="F2555" s="13">
        <v>3000</v>
      </c>
      <c r="G2555" s="2">
        <f>VLOOKUP(B2555,'PO with created By ASR'!A:C,3,FALSE)</f>
        <v>45709</v>
      </c>
      <c r="J2555" s="2" t="str">
        <f>VLOOKUP(B2555,'PO with created By ASR'!A:G,4,FALSE)</f>
        <v>Abdul Rehman -CR</v>
      </c>
      <c r="K2555" s="2" t="e">
        <f>VLOOKUP(B2555,'PO with created By ASR'!A:I,6,FALSE)</f>
        <v>#N/A</v>
      </c>
      <c r="L2555" s="2" t="str">
        <f>VLOOKUP(B2555,'PO with created By ASR'!A:J,7,FALSE)</f>
        <v>B - Bangalore</v>
      </c>
      <c r="M2555" s="2" t="str">
        <f>VLOOKUP(B2555,'PO with created By ASR'!A:K,8,FALSE)</f>
        <v>Purchase Order-Blr</v>
      </c>
      <c r="N2555" t="s">
        <v>36</v>
      </c>
      <c r="P2555" s="2">
        <v>6</v>
      </c>
    </row>
    <row r="2556" s="2" customFormat="1" spans="1:16">
      <c r="A2556" s="8"/>
      <c r="B2556" s="9" t="s">
        <v>3776</v>
      </c>
      <c r="C2556" s="10" t="s">
        <v>126</v>
      </c>
      <c r="D2556" s="11">
        <v>1</v>
      </c>
      <c r="E2556" s="12">
        <v>2340</v>
      </c>
      <c r="F2556" s="13">
        <v>2340</v>
      </c>
      <c r="G2556" s="2">
        <f>VLOOKUP(B2556,'PO with created By ASR'!A:C,3,FALSE)</f>
        <v>45709</v>
      </c>
      <c r="J2556" s="2" t="str">
        <f>VLOOKUP(B2556,'PO with created By ASR'!A:G,4,FALSE)</f>
        <v>Abdul Rehman -CR</v>
      </c>
      <c r="K2556" s="2" t="e">
        <f>VLOOKUP(B2556,'PO with created By ASR'!A:I,6,FALSE)</f>
        <v>#N/A</v>
      </c>
      <c r="L2556" s="2" t="str">
        <f>VLOOKUP(B2556,'PO with created By ASR'!A:J,7,FALSE)</f>
        <v>B - Bangalore</v>
      </c>
      <c r="M2556" s="2" t="str">
        <f>VLOOKUP(B2556,'PO with created By ASR'!A:K,8,FALSE)</f>
        <v>Purchase Order-Blr</v>
      </c>
      <c r="N2556" t="s">
        <v>36</v>
      </c>
      <c r="P2556" s="2">
        <v>6</v>
      </c>
    </row>
    <row r="2557" s="2" customFormat="1" spans="1:16">
      <c r="A2557" s="8"/>
      <c r="B2557" s="9" t="s">
        <v>3776</v>
      </c>
      <c r="C2557" s="10" t="s">
        <v>292</v>
      </c>
      <c r="D2557" s="11">
        <v>1</v>
      </c>
      <c r="E2557" s="12">
        <v>7500</v>
      </c>
      <c r="F2557" s="13">
        <v>7500</v>
      </c>
      <c r="G2557" s="2">
        <f>VLOOKUP(B2557,'PO with created By ASR'!A:C,3,FALSE)</f>
        <v>45709</v>
      </c>
      <c r="J2557" s="2" t="str">
        <f>VLOOKUP(B2557,'PO with created By ASR'!A:G,4,FALSE)</f>
        <v>Abdul Rehman -CR</v>
      </c>
      <c r="K2557" s="2" t="e">
        <f>VLOOKUP(B2557,'PO with created By ASR'!A:I,6,FALSE)</f>
        <v>#N/A</v>
      </c>
      <c r="L2557" s="2" t="str">
        <f>VLOOKUP(B2557,'PO with created By ASR'!A:J,7,FALSE)</f>
        <v>B - Bangalore</v>
      </c>
      <c r="M2557" s="2" t="str">
        <f>VLOOKUP(B2557,'PO with created By ASR'!A:K,8,FALSE)</f>
        <v>Purchase Order-Blr</v>
      </c>
      <c r="N2557" t="s">
        <v>36</v>
      </c>
      <c r="P2557" s="2">
        <v>6</v>
      </c>
    </row>
    <row r="2558" s="2" customFormat="1" spans="1:16">
      <c r="A2558" s="8"/>
      <c r="B2558" s="9" t="s">
        <v>3776</v>
      </c>
      <c r="C2558" s="10" t="s">
        <v>1055</v>
      </c>
      <c r="D2558" s="11">
        <v>1</v>
      </c>
      <c r="E2558" s="12">
        <v>3000</v>
      </c>
      <c r="F2558" s="13">
        <v>3000</v>
      </c>
      <c r="G2558" s="2">
        <f>VLOOKUP(B2558,'PO with created By ASR'!A:C,3,FALSE)</f>
        <v>45709</v>
      </c>
      <c r="J2558" s="2" t="str">
        <f>VLOOKUP(B2558,'PO with created By ASR'!A:G,4,FALSE)</f>
        <v>Abdul Rehman -CR</v>
      </c>
      <c r="K2558" s="2" t="e">
        <f>VLOOKUP(B2558,'PO with created By ASR'!A:I,6,FALSE)</f>
        <v>#N/A</v>
      </c>
      <c r="L2558" s="2" t="str">
        <f>VLOOKUP(B2558,'PO with created By ASR'!A:J,7,FALSE)</f>
        <v>B - Bangalore</v>
      </c>
      <c r="M2558" s="2" t="str">
        <f>VLOOKUP(B2558,'PO with created By ASR'!A:K,8,FALSE)</f>
        <v>Purchase Order-Blr</v>
      </c>
      <c r="N2558" t="s">
        <v>36</v>
      </c>
      <c r="P2558" s="2">
        <v>6</v>
      </c>
    </row>
    <row r="2559" s="2" customFormat="1" spans="1:16">
      <c r="A2559" s="8"/>
      <c r="B2559" s="9" t="s">
        <v>3776</v>
      </c>
      <c r="C2559" s="10" t="s">
        <v>196</v>
      </c>
      <c r="D2559" s="11">
        <v>1</v>
      </c>
      <c r="E2559" s="12">
        <v>11110</v>
      </c>
      <c r="F2559" s="13">
        <v>11110</v>
      </c>
      <c r="G2559" s="2">
        <f>VLOOKUP(B2559,'PO with created By ASR'!A:C,3,FALSE)</f>
        <v>45709</v>
      </c>
      <c r="J2559" s="2" t="str">
        <f>VLOOKUP(B2559,'PO with created By ASR'!A:G,4,FALSE)</f>
        <v>Abdul Rehman -CR</v>
      </c>
      <c r="K2559" s="2" t="e">
        <f>VLOOKUP(B2559,'PO with created By ASR'!A:I,6,FALSE)</f>
        <v>#N/A</v>
      </c>
      <c r="L2559" s="2" t="str">
        <f>VLOOKUP(B2559,'PO with created By ASR'!A:J,7,FALSE)</f>
        <v>B - Bangalore</v>
      </c>
      <c r="M2559" s="2" t="str">
        <f>VLOOKUP(B2559,'PO with created By ASR'!A:K,8,FALSE)</f>
        <v>Purchase Order-Blr</v>
      </c>
      <c r="N2559" t="s">
        <v>36</v>
      </c>
      <c r="P2559" s="2">
        <v>6</v>
      </c>
    </row>
    <row r="2560" s="2" customFormat="1" spans="1:16">
      <c r="A2560" s="8"/>
      <c r="B2560" s="9" t="s">
        <v>3778</v>
      </c>
      <c r="C2560" s="10" t="s">
        <v>140</v>
      </c>
      <c r="D2560" s="11">
        <v>1</v>
      </c>
      <c r="E2560" s="12">
        <v>18000</v>
      </c>
      <c r="F2560" s="13">
        <v>18000</v>
      </c>
      <c r="G2560" s="2">
        <f>VLOOKUP(B2560,'PO with created By ASR'!A:C,3,FALSE)</f>
        <v>45709</v>
      </c>
      <c r="J2560" s="2" t="str">
        <f>VLOOKUP(B2560,'PO with created By ASR'!A:G,4,FALSE)</f>
        <v>Farhan Shariff  -CR</v>
      </c>
      <c r="K2560" s="2" t="e">
        <f>VLOOKUP(B2560,'PO with created By ASR'!A:I,6,FALSE)</f>
        <v>#N/A</v>
      </c>
      <c r="L2560" s="2" t="str">
        <f>VLOOKUP(B2560,'PO with created By ASR'!A:J,7,FALSE)</f>
        <v>B - Bangalore</v>
      </c>
      <c r="M2560" s="2" t="str">
        <f>VLOOKUP(B2560,'PO with created By ASR'!A:K,8,FALSE)</f>
        <v>Purchase Order-Blr</v>
      </c>
      <c r="N2560" t="s">
        <v>36</v>
      </c>
      <c r="P2560" s="2">
        <v>6</v>
      </c>
    </row>
    <row r="2561" s="2" customFormat="1" spans="1:16">
      <c r="A2561" s="8"/>
      <c r="B2561" s="9" t="s">
        <v>3779</v>
      </c>
      <c r="C2561" s="10" t="s">
        <v>134</v>
      </c>
      <c r="D2561" s="11">
        <v>1</v>
      </c>
      <c r="E2561" s="12">
        <v>2292</v>
      </c>
      <c r="F2561" s="13">
        <v>2292</v>
      </c>
      <c r="G2561" s="2">
        <f>VLOOKUP(B2561,'PO with created By ASR'!A:C,3,FALSE)</f>
        <v>45709</v>
      </c>
      <c r="J2561" s="2" t="str">
        <f>VLOOKUP(B2561,'PO with created By ASR'!A:G,4,FALSE)</f>
        <v>Anurama V  -CR</v>
      </c>
      <c r="K2561" s="2" t="e">
        <f>VLOOKUP(B2561,'PO with created By ASR'!A:I,6,FALSE)</f>
        <v>#N/A</v>
      </c>
      <c r="L2561" s="2" t="str">
        <f>VLOOKUP(B2561,'PO with created By ASR'!A:J,7,FALSE)</f>
        <v>B - Bangalore</v>
      </c>
      <c r="M2561" s="2" t="str">
        <f>VLOOKUP(B2561,'PO with created By ASR'!A:K,8,FALSE)</f>
        <v>Purchase Order-Blr</v>
      </c>
      <c r="N2561" t="s">
        <v>36</v>
      </c>
      <c r="P2561" s="2">
        <v>6</v>
      </c>
    </row>
    <row r="2562" s="2" customFormat="1" spans="1:16">
      <c r="A2562" s="8"/>
      <c r="B2562" s="9" t="s">
        <v>3780</v>
      </c>
      <c r="C2562" s="10" t="s">
        <v>119</v>
      </c>
      <c r="D2562" s="11">
        <v>1</v>
      </c>
      <c r="E2562" s="12">
        <v>2350</v>
      </c>
      <c r="F2562" s="13">
        <v>2350</v>
      </c>
      <c r="G2562" s="2">
        <f>VLOOKUP(B2562,'PO with created By ASR'!A:C,3,FALSE)</f>
        <v>45709</v>
      </c>
      <c r="J2562" s="2" t="str">
        <f>VLOOKUP(B2562,'PO with created By ASR'!A:G,4,FALSE)</f>
        <v>Siva Sankar Cabs-Blr</v>
      </c>
      <c r="K2562" s="2" t="str">
        <f>VLOOKUP(B2562,'PO with created By ASR'!A:I,6,FALSE)</f>
        <v>10089 Siva Sankar Cabs</v>
      </c>
      <c r="L2562" s="2" t="str">
        <f>VLOOKUP(B2562,'PO with created By ASR'!A:J,7,FALSE)</f>
        <v>B - Bangalore</v>
      </c>
      <c r="M2562" s="2" t="str">
        <f>VLOOKUP(B2562,'PO with created By ASR'!A:K,8,FALSE)</f>
        <v>Purchase Order-Blr</v>
      </c>
      <c r="N2562" t="s">
        <v>36</v>
      </c>
      <c r="P2562" s="2">
        <v>6</v>
      </c>
    </row>
    <row r="2563" s="2" customFormat="1" spans="1:16">
      <c r="A2563" s="8"/>
      <c r="B2563" s="9" t="s">
        <v>3781</v>
      </c>
      <c r="C2563" s="10" t="s">
        <v>119</v>
      </c>
      <c r="D2563" s="11">
        <v>1</v>
      </c>
      <c r="E2563" s="12">
        <v>2200</v>
      </c>
      <c r="F2563" s="13">
        <v>2200</v>
      </c>
      <c r="G2563" s="2">
        <f>VLOOKUP(B2563,'PO with created By ASR'!A:C,3,FALSE)</f>
        <v>45709</v>
      </c>
      <c r="J2563" s="2" t="str">
        <f>VLOOKUP(B2563,'PO with created By ASR'!A:G,4,FALSE)</f>
        <v>Siva Sankar Cabs-Blr</v>
      </c>
      <c r="K2563" s="2" t="str">
        <f>VLOOKUP(B2563,'PO with created By ASR'!A:I,6,FALSE)</f>
        <v>10089 Siva Sankar Cabs</v>
      </c>
      <c r="L2563" s="2" t="str">
        <f>VLOOKUP(B2563,'PO with created By ASR'!A:J,7,FALSE)</f>
        <v>B - Bangalore</v>
      </c>
      <c r="M2563" s="2" t="str">
        <f>VLOOKUP(B2563,'PO with created By ASR'!A:K,8,FALSE)</f>
        <v>Purchase Order-Blr</v>
      </c>
      <c r="N2563" t="s">
        <v>36</v>
      </c>
      <c r="P2563" s="2">
        <v>6</v>
      </c>
    </row>
    <row r="2564" s="2" customFormat="1" spans="1:16">
      <c r="A2564" s="8"/>
      <c r="B2564" s="9" t="s">
        <v>3782</v>
      </c>
      <c r="C2564" s="10" t="s">
        <v>119</v>
      </c>
      <c r="D2564" s="11">
        <v>1</v>
      </c>
      <c r="E2564" s="12">
        <v>6000</v>
      </c>
      <c r="F2564" s="13">
        <v>6000</v>
      </c>
      <c r="G2564" s="2">
        <f>VLOOKUP(B2564,'PO with created By ASR'!A:C,3,FALSE)</f>
        <v>45709</v>
      </c>
      <c r="J2564" s="2" t="str">
        <f>VLOOKUP(B2564,'PO with created By ASR'!A:G,4,FALSE)</f>
        <v>Siva Sankar Cabs-Blr</v>
      </c>
      <c r="K2564" s="2" t="str">
        <f>VLOOKUP(B2564,'PO with created By ASR'!A:I,6,FALSE)</f>
        <v>10089 Siva Sankar Cabs</v>
      </c>
      <c r="L2564" s="2" t="str">
        <f>VLOOKUP(B2564,'PO with created By ASR'!A:J,7,FALSE)</f>
        <v>B - Bangalore</v>
      </c>
      <c r="M2564" s="2" t="str">
        <f>VLOOKUP(B2564,'PO with created By ASR'!A:K,8,FALSE)</f>
        <v>Purchase Order-Blr</v>
      </c>
      <c r="N2564" t="s">
        <v>36</v>
      </c>
      <c r="P2564" s="2">
        <v>6</v>
      </c>
    </row>
    <row r="2565" s="2" customFormat="1" spans="1:16">
      <c r="A2565" s="8"/>
      <c r="B2565" s="9" t="s">
        <v>3783</v>
      </c>
      <c r="C2565" s="10" t="s">
        <v>371</v>
      </c>
      <c r="D2565" s="11">
        <v>1</v>
      </c>
      <c r="E2565" s="12">
        <v>27000</v>
      </c>
      <c r="F2565" s="13">
        <v>27000</v>
      </c>
      <c r="G2565" s="2">
        <f>VLOOKUP(B2565,'PO with created By ASR'!A:C,3,FALSE)</f>
        <v>45709</v>
      </c>
      <c r="J2565" s="2" t="str">
        <f>VLOOKUP(B2565,'PO with created By ASR'!A:G,4,FALSE)</f>
        <v>Pro Audio Solutions India Pvt Ltd-Che</v>
      </c>
      <c r="K2565" s="2" t="str">
        <f>VLOOKUP(B2565,'PO with created By ASR'!A:I,6,FALSE)</f>
        <v>12288  Pro Audio Solutions India Pvt Ltd</v>
      </c>
      <c r="L2565" s="2" t="str">
        <f>VLOOKUP(B2565,'PO with created By ASR'!A:J,7,FALSE)</f>
        <v>C - Chennai</v>
      </c>
      <c r="M2565" s="2" t="str">
        <f>VLOOKUP(B2565,'PO with created By ASR'!A:K,8,FALSE)</f>
        <v>Purchase Order-Che</v>
      </c>
      <c r="N2565" t="s">
        <v>36</v>
      </c>
      <c r="P2565" s="2">
        <v>6</v>
      </c>
    </row>
    <row r="2566" s="2" customFormat="1" spans="1:16">
      <c r="A2566" s="8"/>
      <c r="B2566" s="9" t="s">
        <v>3784</v>
      </c>
      <c r="C2566" s="10" t="s">
        <v>683</v>
      </c>
      <c r="D2566" s="11">
        <v>1</v>
      </c>
      <c r="E2566" s="12">
        <v>10000</v>
      </c>
      <c r="F2566" s="13">
        <v>10000</v>
      </c>
      <c r="G2566" s="2">
        <f>VLOOKUP(B2566,'PO with created By ASR'!A:C,3,FALSE)</f>
        <v>45709</v>
      </c>
      <c r="J2566" s="2" t="str">
        <f>VLOOKUP(B2566,'PO with created By ASR'!A:G,4,FALSE)</f>
        <v>Color Box-Che</v>
      </c>
      <c r="K2566" s="2" t="str">
        <f>VLOOKUP(B2566,'PO with created By ASR'!A:I,6,FALSE)</f>
        <v>12956 Color Box</v>
      </c>
      <c r="L2566" s="2" t="str">
        <f>VLOOKUP(B2566,'PO with created By ASR'!A:J,7,FALSE)</f>
        <v>C - Chennai</v>
      </c>
      <c r="M2566" s="2" t="str">
        <f>VLOOKUP(B2566,'PO with created By ASR'!A:K,8,FALSE)</f>
        <v>Purchase Order-Che</v>
      </c>
      <c r="N2566" t="s">
        <v>36</v>
      </c>
      <c r="P2566" s="2">
        <v>6</v>
      </c>
    </row>
    <row r="2567" s="2" customFormat="1" spans="1:16">
      <c r="A2567" s="8"/>
      <c r="B2567" s="9" t="s">
        <v>3785</v>
      </c>
      <c r="C2567" s="10" t="s">
        <v>233</v>
      </c>
      <c r="D2567" s="11">
        <v>1</v>
      </c>
      <c r="E2567" s="12">
        <v>6328</v>
      </c>
      <c r="F2567" s="13">
        <v>6328</v>
      </c>
      <c r="G2567" s="2">
        <f>VLOOKUP(B2567,'PO with created By ASR'!A:C,3,FALSE)</f>
        <v>45709</v>
      </c>
      <c r="J2567" s="2" t="str">
        <f>VLOOKUP(B2567,'PO with created By ASR'!A:G,4,FALSE)</f>
        <v>Beena Joseph  -CR</v>
      </c>
      <c r="K2567" s="2" t="e">
        <f>VLOOKUP(B2567,'PO with created By ASR'!A:I,6,FALSE)</f>
        <v>#N/A</v>
      </c>
      <c r="L2567" s="2" t="str">
        <f>VLOOKUP(B2567,'PO with created By ASR'!A:J,7,FALSE)</f>
        <v>C - Chennai</v>
      </c>
      <c r="M2567" s="2" t="str">
        <f>VLOOKUP(B2567,'PO with created By ASR'!A:K,8,FALSE)</f>
        <v>Purchase Order-Che</v>
      </c>
      <c r="N2567" t="s">
        <v>36</v>
      </c>
      <c r="P2567" s="2">
        <v>6</v>
      </c>
    </row>
    <row r="2568" s="2" customFormat="1" spans="1:16">
      <c r="A2568" s="8"/>
      <c r="B2568" s="9" t="s">
        <v>3785</v>
      </c>
      <c r="C2568" s="10" t="s">
        <v>61</v>
      </c>
      <c r="D2568" s="11">
        <v>1</v>
      </c>
      <c r="E2568" s="12">
        <v>3920</v>
      </c>
      <c r="F2568" s="13">
        <v>3920</v>
      </c>
      <c r="G2568" s="2">
        <f>VLOOKUP(B2568,'PO with created By ASR'!A:C,3,FALSE)</f>
        <v>45709</v>
      </c>
      <c r="J2568" s="2" t="str">
        <f>VLOOKUP(B2568,'PO with created By ASR'!A:G,4,FALSE)</f>
        <v>Beena Joseph  -CR</v>
      </c>
      <c r="K2568" s="2" t="e">
        <f>VLOOKUP(B2568,'PO with created By ASR'!A:I,6,FALSE)</f>
        <v>#N/A</v>
      </c>
      <c r="L2568" s="2" t="str">
        <f>VLOOKUP(B2568,'PO with created By ASR'!A:J,7,FALSE)</f>
        <v>C - Chennai</v>
      </c>
      <c r="M2568" s="2" t="str">
        <f>VLOOKUP(B2568,'PO with created By ASR'!A:K,8,FALSE)</f>
        <v>Purchase Order-Che</v>
      </c>
      <c r="N2568" t="s">
        <v>36</v>
      </c>
      <c r="P2568" s="2">
        <v>6</v>
      </c>
    </row>
    <row r="2569" s="2" customFormat="1" spans="1:16">
      <c r="A2569" s="8"/>
      <c r="B2569" s="9" t="s">
        <v>3787</v>
      </c>
      <c r="C2569" s="10" t="s">
        <v>119</v>
      </c>
      <c r="D2569" s="11">
        <v>1</v>
      </c>
      <c r="E2569" s="12">
        <v>3750</v>
      </c>
      <c r="F2569" s="13">
        <v>3750</v>
      </c>
      <c r="G2569" s="2">
        <f>VLOOKUP(B2569,'PO with created By ASR'!A:C,3,FALSE)</f>
        <v>45709</v>
      </c>
      <c r="J2569" s="2" t="str">
        <f>VLOOKUP(B2569,'PO with created By ASR'!A:G,4,FALSE)</f>
        <v>Fiesta Car Rentals &amp; Logistics Pvt Ltd-Che</v>
      </c>
      <c r="K2569" s="2" t="str">
        <f>VLOOKUP(B2569,'PO with created By ASR'!A:I,6,FALSE)</f>
        <v>11915  Fiesta Car Rentals &amp; Logistics Pvt Ltd</v>
      </c>
      <c r="L2569" s="2" t="str">
        <f>VLOOKUP(B2569,'PO with created By ASR'!A:J,7,FALSE)</f>
        <v>C - Chennai</v>
      </c>
      <c r="M2569" s="2" t="str">
        <f>VLOOKUP(B2569,'PO with created By ASR'!A:K,8,FALSE)</f>
        <v>Purchase Order-Che</v>
      </c>
      <c r="N2569" t="s">
        <v>36</v>
      </c>
      <c r="P2569" s="2">
        <v>6</v>
      </c>
    </row>
    <row r="2570" s="2" customFormat="1" spans="1:16">
      <c r="A2570" s="8"/>
      <c r="B2570" s="9" t="s">
        <v>3787</v>
      </c>
      <c r="C2570" s="10" t="s">
        <v>676</v>
      </c>
      <c r="D2570" s="11">
        <v>1</v>
      </c>
      <c r="E2570" s="12">
        <v>93.75</v>
      </c>
      <c r="F2570" s="13">
        <v>93.75</v>
      </c>
      <c r="G2570" s="2">
        <f>VLOOKUP(B2570,'PO with created By ASR'!A:C,3,FALSE)</f>
        <v>45709</v>
      </c>
      <c r="J2570" s="2" t="str">
        <f>VLOOKUP(B2570,'PO with created By ASR'!A:G,4,FALSE)</f>
        <v>Fiesta Car Rentals &amp; Logistics Pvt Ltd-Che</v>
      </c>
      <c r="K2570" s="2" t="str">
        <f>VLOOKUP(B2570,'PO with created By ASR'!A:I,6,FALSE)</f>
        <v>11915  Fiesta Car Rentals &amp; Logistics Pvt Ltd</v>
      </c>
      <c r="L2570" s="2" t="str">
        <f>VLOOKUP(B2570,'PO with created By ASR'!A:J,7,FALSE)</f>
        <v>C - Chennai</v>
      </c>
      <c r="M2570" s="2" t="str">
        <f>VLOOKUP(B2570,'PO with created By ASR'!A:K,8,FALSE)</f>
        <v>Purchase Order-Che</v>
      </c>
      <c r="N2570" t="s">
        <v>36</v>
      </c>
      <c r="P2570" s="2">
        <v>6</v>
      </c>
    </row>
    <row r="2571" s="2" customFormat="1" spans="1:16">
      <c r="A2571" s="8"/>
      <c r="B2571" s="9" t="s">
        <v>3787</v>
      </c>
      <c r="C2571" s="10" t="s">
        <v>4365</v>
      </c>
      <c r="D2571" s="11">
        <v>1</v>
      </c>
      <c r="E2571" s="12">
        <v>93.75</v>
      </c>
      <c r="F2571" s="13">
        <v>93.75</v>
      </c>
      <c r="G2571" s="2">
        <f>VLOOKUP(B2571,'PO with created By ASR'!A:C,3,FALSE)</f>
        <v>45709</v>
      </c>
      <c r="J2571" s="2" t="str">
        <f>VLOOKUP(B2571,'PO with created By ASR'!A:G,4,FALSE)</f>
        <v>Fiesta Car Rentals &amp; Logistics Pvt Ltd-Che</v>
      </c>
      <c r="K2571" s="2" t="str">
        <f>VLOOKUP(B2571,'PO with created By ASR'!A:I,6,FALSE)</f>
        <v>11915  Fiesta Car Rentals &amp; Logistics Pvt Ltd</v>
      </c>
      <c r="L2571" s="2" t="str">
        <f>VLOOKUP(B2571,'PO with created By ASR'!A:J,7,FALSE)</f>
        <v>C - Chennai</v>
      </c>
      <c r="M2571" s="2" t="str">
        <f>VLOOKUP(B2571,'PO with created By ASR'!A:K,8,FALSE)</f>
        <v>Purchase Order-Che</v>
      </c>
      <c r="N2571" t="s">
        <v>36</v>
      </c>
      <c r="P2571" s="2">
        <v>6</v>
      </c>
    </row>
    <row r="2572" s="2" customFormat="1" spans="1:16">
      <c r="A2572" s="8"/>
      <c r="B2572" s="9" t="s">
        <v>3788</v>
      </c>
      <c r="C2572" s="10" t="s">
        <v>119</v>
      </c>
      <c r="D2572" s="11">
        <v>1</v>
      </c>
      <c r="E2572" s="12">
        <v>7420</v>
      </c>
      <c r="F2572" s="13">
        <v>7420</v>
      </c>
      <c r="G2572" s="2">
        <f>VLOOKUP(B2572,'PO with created By ASR'!A:C,3,FALSE)</f>
        <v>45709</v>
      </c>
      <c r="J2572" s="2" t="str">
        <f>VLOOKUP(B2572,'PO with created By ASR'!A:G,4,FALSE)</f>
        <v>Fiesta Car Rentals &amp; Logistics Pvt Ltd-Che</v>
      </c>
      <c r="K2572" s="2" t="str">
        <f>VLOOKUP(B2572,'PO with created By ASR'!A:I,6,FALSE)</f>
        <v>11915  Fiesta Car Rentals &amp; Logistics Pvt Ltd</v>
      </c>
      <c r="L2572" s="2" t="str">
        <f>VLOOKUP(B2572,'PO with created By ASR'!A:J,7,FALSE)</f>
        <v>C - Chennai</v>
      </c>
      <c r="M2572" s="2" t="str">
        <f>VLOOKUP(B2572,'PO with created By ASR'!A:K,8,FALSE)</f>
        <v>Purchase Order-Che</v>
      </c>
      <c r="N2572" t="s">
        <v>36</v>
      </c>
      <c r="P2572" s="2">
        <v>6</v>
      </c>
    </row>
    <row r="2573" s="2" customFormat="1" spans="1:16">
      <c r="A2573" s="8"/>
      <c r="B2573" s="9" t="s">
        <v>3788</v>
      </c>
      <c r="C2573" s="10" t="s">
        <v>676</v>
      </c>
      <c r="D2573" s="11">
        <v>1</v>
      </c>
      <c r="E2573" s="12">
        <v>185.5</v>
      </c>
      <c r="F2573" s="13">
        <v>185.5</v>
      </c>
      <c r="G2573" s="2">
        <f>VLOOKUP(B2573,'PO with created By ASR'!A:C,3,FALSE)</f>
        <v>45709</v>
      </c>
      <c r="J2573" s="2" t="str">
        <f>VLOOKUP(B2573,'PO with created By ASR'!A:G,4,FALSE)</f>
        <v>Fiesta Car Rentals &amp; Logistics Pvt Ltd-Che</v>
      </c>
      <c r="K2573" s="2" t="str">
        <f>VLOOKUP(B2573,'PO with created By ASR'!A:I,6,FALSE)</f>
        <v>11915  Fiesta Car Rentals &amp; Logistics Pvt Ltd</v>
      </c>
      <c r="L2573" s="2" t="str">
        <f>VLOOKUP(B2573,'PO with created By ASR'!A:J,7,FALSE)</f>
        <v>C - Chennai</v>
      </c>
      <c r="M2573" s="2" t="str">
        <f>VLOOKUP(B2573,'PO with created By ASR'!A:K,8,FALSE)</f>
        <v>Purchase Order-Che</v>
      </c>
      <c r="N2573" t="s">
        <v>36</v>
      </c>
      <c r="P2573" s="2">
        <v>6</v>
      </c>
    </row>
    <row r="2574" s="2" customFormat="1" spans="1:16">
      <c r="A2574" s="8"/>
      <c r="B2574" s="9" t="s">
        <v>3788</v>
      </c>
      <c r="C2574" s="10" t="s">
        <v>4365</v>
      </c>
      <c r="D2574" s="11">
        <v>1</v>
      </c>
      <c r="E2574" s="12">
        <v>185.5</v>
      </c>
      <c r="F2574" s="13">
        <v>185.5</v>
      </c>
      <c r="G2574" s="2">
        <f>VLOOKUP(B2574,'PO with created By ASR'!A:C,3,FALSE)</f>
        <v>45709</v>
      </c>
      <c r="J2574" s="2" t="str">
        <f>VLOOKUP(B2574,'PO with created By ASR'!A:G,4,FALSE)</f>
        <v>Fiesta Car Rentals &amp; Logistics Pvt Ltd-Che</v>
      </c>
      <c r="K2574" s="2" t="str">
        <f>VLOOKUP(B2574,'PO with created By ASR'!A:I,6,FALSE)</f>
        <v>11915  Fiesta Car Rentals &amp; Logistics Pvt Ltd</v>
      </c>
      <c r="L2574" s="2" t="str">
        <f>VLOOKUP(B2574,'PO with created By ASR'!A:J,7,FALSE)</f>
        <v>C - Chennai</v>
      </c>
      <c r="M2574" s="2" t="str">
        <f>VLOOKUP(B2574,'PO with created By ASR'!A:K,8,FALSE)</f>
        <v>Purchase Order-Che</v>
      </c>
      <c r="N2574" t="s">
        <v>36</v>
      </c>
      <c r="P2574" s="2">
        <v>6</v>
      </c>
    </row>
    <row r="2575" s="2" customFormat="1" spans="1:16">
      <c r="A2575" s="8"/>
      <c r="B2575" s="9" t="s">
        <v>3789</v>
      </c>
      <c r="C2575" s="10" t="s">
        <v>990</v>
      </c>
      <c r="D2575" s="11">
        <v>1</v>
      </c>
      <c r="E2575" s="12">
        <v>11500</v>
      </c>
      <c r="F2575" s="13">
        <v>11500</v>
      </c>
      <c r="G2575" s="2">
        <f>VLOOKUP(B2575,'PO with created By ASR'!A:C,3,FALSE)</f>
        <v>45709</v>
      </c>
      <c r="J2575" s="2" t="str">
        <f>VLOOKUP(B2575,'PO with created By ASR'!A:G,4,FALSE)</f>
        <v>Win Technologies-Che</v>
      </c>
      <c r="K2575" s="2" t="str">
        <f>VLOOKUP(B2575,'PO with created By ASR'!A:I,6,FALSE)</f>
        <v>12626 Win Technologies</v>
      </c>
      <c r="L2575" s="2" t="str">
        <f>VLOOKUP(B2575,'PO with created By ASR'!A:J,7,FALSE)</f>
        <v>C - Chennai</v>
      </c>
      <c r="M2575" s="2" t="str">
        <f>VLOOKUP(B2575,'PO with created By ASR'!A:K,8,FALSE)</f>
        <v>Purchase Order-Che</v>
      </c>
      <c r="N2575" t="s">
        <v>36</v>
      </c>
      <c r="P2575" s="2">
        <v>6</v>
      </c>
    </row>
    <row r="2576" s="2" customFormat="1" spans="1:16">
      <c r="A2576" s="8"/>
      <c r="B2576" s="9" t="s">
        <v>3790</v>
      </c>
      <c r="C2576" s="10" t="s">
        <v>837</v>
      </c>
      <c r="D2576" s="11">
        <v>1</v>
      </c>
      <c r="E2576" s="12">
        <v>5833</v>
      </c>
      <c r="F2576" s="13">
        <v>5833</v>
      </c>
      <c r="G2576" s="2">
        <f>VLOOKUP(B2576,'PO with created By ASR'!A:C,3,FALSE)</f>
        <v>45709</v>
      </c>
      <c r="J2576" s="2" t="str">
        <f>VLOOKUP(B2576,'PO with created By ASR'!A:G,4,FALSE)</f>
        <v>Sri Jay Enterprises-Che</v>
      </c>
      <c r="K2576" s="2" t="str">
        <f>VLOOKUP(B2576,'PO with created By ASR'!A:I,6,FALSE)</f>
        <v>10010 Sri Jay Enterprises</v>
      </c>
      <c r="L2576" s="2" t="str">
        <f>VLOOKUP(B2576,'PO with created By ASR'!A:J,7,FALSE)</f>
        <v>C - Chennai</v>
      </c>
      <c r="M2576" s="2" t="str">
        <f>VLOOKUP(B2576,'PO with created By ASR'!A:K,8,FALSE)</f>
        <v>Purchase Order-Che</v>
      </c>
      <c r="N2576" t="s">
        <v>36</v>
      </c>
      <c r="P2576" s="2">
        <v>6</v>
      </c>
    </row>
    <row r="2577" s="2" customFormat="1" spans="1:16">
      <c r="A2577" s="8"/>
      <c r="B2577" s="9" t="s">
        <v>3791</v>
      </c>
      <c r="C2577" s="10" t="s">
        <v>683</v>
      </c>
      <c r="D2577" s="11">
        <v>1</v>
      </c>
      <c r="E2577" s="12">
        <v>30000</v>
      </c>
      <c r="F2577" s="13">
        <v>30000</v>
      </c>
      <c r="G2577" s="2">
        <f>VLOOKUP(B2577,'PO with created By ASR'!A:C,3,FALSE)</f>
        <v>45709</v>
      </c>
      <c r="J2577" s="2" t="str">
        <f>VLOOKUP(B2577,'PO with created By ASR'!A:G,4,FALSE)</f>
        <v>Color Box-Che</v>
      </c>
      <c r="K2577" s="2" t="str">
        <f>VLOOKUP(B2577,'PO with created By ASR'!A:I,6,FALSE)</f>
        <v>12956 Color Box</v>
      </c>
      <c r="L2577" s="2" t="str">
        <f>VLOOKUP(B2577,'PO with created By ASR'!A:J,7,FALSE)</f>
        <v>C - Chennai</v>
      </c>
      <c r="M2577" s="2" t="str">
        <f>VLOOKUP(B2577,'PO with created By ASR'!A:K,8,FALSE)</f>
        <v>Purchase Order-Che</v>
      </c>
      <c r="N2577" t="s">
        <v>36</v>
      </c>
      <c r="P2577" s="2">
        <v>6</v>
      </c>
    </row>
    <row r="2578" s="2" customFormat="1" spans="1:16">
      <c r="A2578" s="8"/>
      <c r="B2578" s="9" t="s">
        <v>3793</v>
      </c>
      <c r="C2578" s="10" t="s">
        <v>371</v>
      </c>
      <c r="D2578" s="11">
        <v>1</v>
      </c>
      <c r="E2578" s="12">
        <v>10000</v>
      </c>
      <c r="F2578" s="13">
        <v>10000</v>
      </c>
      <c r="G2578" s="2">
        <f>VLOOKUP(B2578,'PO with created By ASR'!A:C,3,FALSE)</f>
        <v>45709</v>
      </c>
      <c r="J2578" s="2" t="str">
        <f>VLOOKUP(B2578,'PO with created By ASR'!A:G,4,FALSE)</f>
        <v>Translation India-Del</v>
      </c>
      <c r="K2578" s="2" t="str">
        <f>VLOOKUP(B2578,'PO with created By ASR'!A:I,6,FALSE)</f>
        <v>11141 Translation India</v>
      </c>
      <c r="L2578" s="2" t="str">
        <f>VLOOKUP(B2578,'PO with created By ASR'!A:J,7,FALSE)</f>
        <v>D - Delhi</v>
      </c>
      <c r="M2578" s="2" t="str">
        <f>VLOOKUP(B2578,'PO with created By ASR'!A:K,8,FALSE)</f>
        <v>Purchase Order-Del</v>
      </c>
      <c r="N2578" t="s">
        <v>36</v>
      </c>
      <c r="P2578" s="2">
        <v>6</v>
      </c>
    </row>
    <row r="2579" s="2" customFormat="1" spans="1:16">
      <c r="A2579" s="8"/>
      <c r="B2579" s="9" t="s">
        <v>3797</v>
      </c>
      <c r="C2579" s="10" t="s">
        <v>412</v>
      </c>
      <c r="D2579" s="11">
        <v>1</v>
      </c>
      <c r="E2579" s="12">
        <v>18786</v>
      </c>
      <c r="F2579" s="13">
        <v>18786</v>
      </c>
      <c r="G2579" s="2">
        <f>VLOOKUP(B2579,'PO with created By ASR'!A:C,3,FALSE)</f>
        <v>45709</v>
      </c>
      <c r="J2579" s="2" t="str">
        <f>VLOOKUP(B2579,'PO with created By ASR'!A:G,4,FALSE)</f>
        <v>Pankaj Kumar Mishra  -CR</v>
      </c>
      <c r="K2579" s="2" t="e">
        <f>VLOOKUP(B2579,'PO with created By ASR'!A:I,6,FALSE)</f>
        <v>#N/A</v>
      </c>
      <c r="L2579" s="2" t="str">
        <f>VLOOKUP(B2579,'PO with created By ASR'!A:J,7,FALSE)</f>
        <v>D - Delhi</v>
      </c>
      <c r="M2579" s="2" t="str">
        <f>VLOOKUP(B2579,'PO with created By ASR'!A:K,8,FALSE)</f>
        <v>Purchase Order-Del</v>
      </c>
      <c r="N2579" t="s">
        <v>36</v>
      </c>
      <c r="P2579" s="2">
        <v>6</v>
      </c>
    </row>
    <row r="2580" s="2" customFormat="1" spans="1:16">
      <c r="A2580" s="8"/>
      <c r="B2580" s="9" t="s">
        <v>3797</v>
      </c>
      <c r="C2580" s="10" t="s">
        <v>233</v>
      </c>
      <c r="D2580" s="11">
        <v>1</v>
      </c>
      <c r="E2580" s="12">
        <v>8400</v>
      </c>
      <c r="F2580" s="13">
        <v>8400</v>
      </c>
      <c r="G2580" s="2">
        <f>VLOOKUP(B2580,'PO with created By ASR'!A:C,3,FALSE)</f>
        <v>45709</v>
      </c>
      <c r="J2580" s="2" t="str">
        <f>VLOOKUP(B2580,'PO with created By ASR'!A:G,4,FALSE)</f>
        <v>Pankaj Kumar Mishra  -CR</v>
      </c>
      <c r="K2580" s="2" t="e">
        <f>VLOOKUP(B2580,'PO with created By ASR'!A:I,6,FALSE)</f>
        <v>#N/A</v>
      </c>
      <c r="L2580" s="2" t="str">
        <f>VLOOKUP(B2580,'PO with created By ASR'!A:J,7,FALSE)</f>
        <v>D - Delhi</v>
      </c>
      <c r="M2580" s="2" t="str">
        <f>VLOOKUP(B2580,'PO with created By ASR'!A:K,8,FALSE)</f>
        <v>Purchase Order-Del</v>
      </c>
      <c r="N2580" t="s">
        <v>36</v>
      </c>
      <c r="P2580" s="2">
        <v>6</v>
      </c>
    </row>
    <row r="2581" s="2" customFormat="1" spans="1:16">
      <c r="A2581" s="8"/>
      <c r="B2581" s="9" t="s">
        <v>3798</v>
      </c>
      <c r="C2581" s="10" t="s">
        <v>683</v>
      </c>
      <c r="D2581" s="11">
        <v>1</v>
      </c>
      <c r="E2581" s="12">
        <v>400000</v>
      </c>
      <c r="F2581" s="13">
        <v>400000</v>
      </c>
      <c r="G2581" s="2">
        <f>VLOOKUP(B2581,'PO with created By ASR'!A:C,3,FALSE)</f>
        <v>45709</v>
      </c>
      <c r="J2581" s="2" t="str">
        <f>VLOOKUP(B2581,'PO with created By ASR'!A:G,4,FALSE)</f>
        <v>Unbox Cultural Futures LLP-Del</v>
      </c>
      <c r="K2581" s="2" t="str">
        <f>VLOOKUP(B2581,'PO with created By ASR'!A:I,6,FALSE)</f>
        <v>12976 Unbox Cultural Futures LLP</v>
      </c>
      <c r="L2581" s="2" t="str">
        <f>VLOOKUP(B2581,'PO with created By ASR'!A:J,7,FALSE)</f>
        <v>D - Delhi</v>
      </c>
      <c r="M2581" s="2" t="str">
        <f>VLOOKUP(B2581,'PO with created By ASR'!A:K,8,FALSE)</f>
        <v>Purchase Order-Del</v>
      </c>
      <c r="N2581" t="s">
        <v>36</v>
      </c>
      <c r="P2581" s="2">
        <v>6</v>
      </c>
    </row>
    <row r="2582" s="2" customFormat="1" spans="1:16">
      <c r="A2582" s="8"/>
      <c r="B2582" s="9" t="s">
        <v>3802</v>
      </c>
      <c r="C2582" s="10" t="s">
        <v>371</v>
      </c>
      <c r="D2582" s="11">
        <v>1</v>
      </c>
      <c r="E2582" s="12">
        <v>14000</v>
      </c>
      <c r="F2582" s="13">
        <v>14000</v>
      </c>
      <c r="G2582" s="2">
        <f>VLOOKUP(B2582,'PO with created By ASR'!A:C,3,FALSE)</f>
        <v>45709</v>
      </c>
      <c r="J2582" s="2" t="str">
        <f>VLOOKUP(B2582,'PO with created By ASR'!A:G,4,FALSE)</f>
        <v>Powerpro-Del</v>
      </c>
      <c r="K2582" s="2" t="e">
        <f>VLOOKUP(B2582,'PO with created By ASR'!A:I,6,FALSE)</f>
        <v>#N/A</v>
      </c>
      <c r="L2582" s="2" t="str">
        <f>VLOOKUP(B2582,'PO with created By ASR'!A:J,7,FALSE)</f>
        <v>D - Delhi</v>
      </c>
      <c r="M2582" s="2" t="str">
        <f>VLOOKUP(B2582,'PO with created By ASR'!A:K,8,FALSE)</f>
        <v>Purchase Order-Del</v>
      </c>
      <c r="N2582" t="s">
        <v>36</v>
      </c>
      <c r="P2582" s="2">
        <v>6</v>
      </c>
    </row>
    <row r="2583" s="2" customFormat="1" spans="1:16">
      <c r="A2583" s="8"/>
      <c r="B2583" s="9" t="s">
        <v>3803</v>
      </c>
      <c r="C2583" s="10" t="s">
        <v>317</v>
      </c>
      <c r="D2583" s="11">
        <v>1</v>
      </c>
      <c r="E2583" s="12">
        <v>265000</v>
      </c>
      <c r="F2583" s="13">
        <v>265000</v>
      </c>
      <c r="G2583" s="2">
        <f>VLOOKUP(B2583,'PO with created By ASR'!A:C,3,FALSE)</f>
        <v>45709</v>
      </c>
      <c r="J2583" s="2" t="str">
        <f>VLOOKUP(B2583,'PO with created By ASR'!A:G,4,FALSE)</f>
        <v>Lokjat Slv Solutions-Del</v>
      </c>
      <c r="K2583" s="2" t="str">
        <f>VLOOKUP(B2583,'PO with created By ASR'!A:I,6,FALSE)</f>
        <v>12107 Lokjat Slv Solutions</v>
      </c>
      <c r="L2583" s="2" t="str">
        <f>VLOOKUP(B2583,'PO with created By ASR'!A:J,7,FALSE)</f>
        <v>D - Delhi</v>
      </c>
      <c r="M2583" s="2" t="str">
        <f>VLOOKUP(B2583,'PO with created By ASR'!A:K,8,FALSE)</f>
        <v>Purchase Order-Del</v>
      </c>
      <c r="N2583" t="s">
        <v>36</v>
      </c>
      <c r="P2583" s="2">
        <v>6</v>
      </c>
    </row>
    <row r="2584" s="2" customFormat="1" spans="1:16">
      <c r="A2584" s="8"/>
      <c r="B2584" s="9" t="s">
        <v>3804</v>
      </c>
      <c r="C2584" s="10" t="s">
        <v>371</v>
      </c>
      <c r="D2584" s="11">
        <v>1</v>
      </c>
      <c r="E2584" s="12">
        <v>14500</v>
      </c>
      <c r="F2584" s="13">
        <v>14500</v>
      </c>
      <c r="G2584" s="2">
        <f>VLOOKUP(B2584,'PO with created By ASR'!A:C,3,FALSE)</f>
        <v>45709</v>
      </c>
      <c r="J2584" s="2" t="str">
        <f>VLOOKUP(B2584,'PO with created By ASR'!A:G,4,FALSE)</f>
        <v>Powerpro-Del</v>
      </c>
      <c r="K2584" s="2" t="e">
        <f>VLOOKUP(B2584,'PO with created By ASR'!A:I,6,FALSE)</f>
        <v>#N/A</v>
      </c>
      <c r="L2584" s="2" t="str">
        <f>VLOOKUP(B2584,'PO with created By ASR'!A:J,7,FALSE)</f>
        <v>D - Delhi</v>
      </c>
      <c r="M2584" s="2" t="str">
        <f>VLOOKUP(B2584,'PO with created By ASR'!A:K,8,FALSE)</f>
        <v>Purchase Order-Del</v>
      </c>
      <c r="N2584" t="s">
        <v>36</v>
      </c>
      <c r="P2584" s="2">
        <v>6</v>
      </c>
    </row>
    <row r="2585" s="2" customFormat="1" spans="1:16">
      <c r="A2585" s="8"/>
      <c r="B2585" s="9" t="s">
        <v>3805</v>
      </c>
      <c r="C2585" s="10" t="s">
        <v>196</v>
      </c>
      <c r="D2585" s="11">
        <v>1</v>
      </c>
      <c r="E2585" s="12">
        <v>1660</v>
      </c>
      <c r="F2585" s="13">
        <v>1660</v>
      </c>
      <c r="G2585" s="2">
        <f>VLOOKUP(B2585,'PO with created By ASR'!A:C,3,FALSE)</f>
        <v>45709</v>
      </c>
      <c r="J2585" s="2" t="str">
        <f>VLOOKUP(B2585,'PO with created By ASR'!A:G,4,FALSE)</f>
        <v>Pandey Print Services-Del</v>
      </c>
      <c r="K2585" s="2" t="str">
        <f>VLOOKUP(B2585,'PO with created By ASR'!A:I,6,FALSE)</f>
        <v>12236 Pandey Print Services</v>
      </c>
      <c r="L2585" s="2" t="str">
        <f>VLOOKUP(B2585,'PO with created By ASR'!A:J,7,FALSE)</f>
        <v>D - Delhi</v>
      </c>
      <c r="M2585" s="2" t="str">
        <f>VLOOKUP(B2585,'PO with created By ASR'!A:K,8,FALSE)</f>
        <v>Purchase Order-Del</v>
      </c>
      <c r="N2585" t="s">
        <v>36</v>
      </c>
      <c r="P2585" s="2">
        <v>6</v>
      </c>
    </row>
    <row r="2586" s="2" customFormat="1" spans="1:16">
      <c r="A2586" s="8"/>
      <c r="B2586" s="9" t="s">
        <v>3806</v>
      </c>
      <c r="C2586" s="10" t="s">
        <v>292</v>
      </c>
      <c r="D2586" s="11">
        <v>1</v>
      </c>
      <c r="E2586" s="12">
        <v>8800</v>
      </c>
      <c r="F2586" s="13">
        <v>8800</v>
      </c>
      <c r="G2586" s="2">
        <f>VLOOKUP(B2586,'PO with created By ASR'!A:C,3,FALSE)</f>
        <v>45709</v>
      </c>
      <c r="J2586" s="2" t="str">
        <f>VLOOKUP(B2586,'PO with created By ASR'!A:G,4,FALSE)</f>
        <v>Red Carpet Events And Entertainment-Del</v>
      </c>
      <c r="K2586" s="2" t="str">
        <f>VLOOKUP(B2586,'PO with created By ASR'!A:I,6,FALSE)</f>
        <v>12326 Red Carpet Events And Entertainment</v>
      </c>
      <c r="L2586" s="2" t="str">
        <f>VLOOKUP(B2586,'PO with created By ASR'!A:J,7,FALSE)</f>
        <v>D - Delhi</v>
      </c>
      <c r="M2586" s="2" t="str">
        <f>VLOOKUP(B2586,'PO with created By ASR'!A:K,8,FALSE)</f>
        <v>Purchase Order-Del</v>
      </c>
      <c r="N2586" t="s">
        <v>36</v>
      </c>
      <c r="P2586" s="2">
        <v>6</v>
      </c>
    </row>
    <row r="2587" s="2" customFormat="1" spans="1:16">
      <c r="A2587" s="8"/>
      <c r="B2587" s="9" t="s">
        <v>3807</v>
      </c>
      <c r="C2587" s="10" t="s">
        <v>803</v>
      </c>
      <c r="D2587" s="11">
        <v>1</v>
      </c>
      <c r="E2587" s="12">
        <v>193147</v>
      </c>
      <c r="F2587" s="13">
        <v>193147</v>
      </c>
      <c r="G2587" s="2">
        <f>VLOOKUP(B2587,'PO with created By ASR'!A:C,3,FALSE)</f>
        <v>45709</v>
      </c>
      <c r="J2587" s="2" t="str">
        <f>VLOOKUP(B2587,'PO with created By ASR'!A:G,4,FALSE)</f>
        <v>Rahul Luthra  -CR</v>
      </c>
      <c r="K2587" s="2" t="e">
        <f>VLOOKUP(B2587,'PO with created By ASR'!A:I,6,FALSE)</f>
        <v>#N/A</v>
      </c>
      <c r="L2587" s="2" t="str">
        <f>VLOOKUP(B2587,'PO with created By ASR'!A:J,7,FALSE)</f>
        <v>D - Delhi</v>
      </c>
      <c r="M2587" s="2" t="str">
        <f>VLOOKUP(B2587,'PO with created By ASR'!A:K,8,FALSE)</f>
        <v>Purchase Order-Del</v>
      </c>
      <c r="N2587" t="s">
        <v>36</v>
      </c>
      <c r="P2587" s="2">
        <v>6</v>
      </c>
    </row>
    <row r="2588" s="2" customFormat="1" spans="1:16">
      <c r="A2588" s="8"/>
      <c r="B2588" s="9" t="s">
        <v>3807</v>
      </c>
      <c r="C2588" s="10" t="s">
        <v>61</v>
      </c>
      <c r="D2588" s="11">
        <v>1</v>
      </c>
      <c r="E2588" s="12">
        <v>33692</v>
      </c>
      <c r="F2588" s="13">
        <v>33692</v>
      </c>
      <c r="G2588" s="2">
        <f>VLOOKUP(B2588,'PO with created By ASR'!A:C,3,FALSE)</f>
        <v>45709</v>
      </c>
      <c r="J2588" s="2" t="str">
        <f>VLOOKUP(B2588,'PO with created By ASR'!A:G,4,FALSE)</f>
        <v>Rahul Luthra  -CR</v>
      </c>
      <c r="K2588" s="2" t="e">
        <f>VLOOKUP(B2588,'PO with created By ASR'!A:I,6,FALSE)</f>
        <v>#N/A</v>
      </c>
      <c r="L2588" s="2" t="str">
        <f>VLOOKUP(B2588,'PO with created By ASR'!A:J,7,FALSE)</f>
        <v>D - Delhi</v>
      </c>
      <c r="M2588" s="2" t="str">
        <f>VLOOKUP(B2588,'PO with created By ASR'!A:K,8,FALSE)</f>
        <v>Purchase Order-Del</v>
      </c>
      <c r="N2588" t="s">
        <v>36</v>
      </c>
      <c r="P2588" s="2">
        <v>6</v>
      </c>
    </row>
    <row r="2589" s="2" customFormat="1" spans="1:16">
      <c r="A2589" s="8"/>
      <c r="B2589" s="9" t="s">
        <v>3809</v>
      </c>
      <c r="C2589" s="10" t="s">
        <v>803</v>
      </c>
      <c r="D2589" s="11">
        <v>1</v>
      </c>
      <c r="E2589" s="12">
        <v>72617</v>
      </c>
      <c r="F2589" s="13">
        <v>72617</v>
      </c>
      <c r="G2589" s="2">
        <f>VLOOKUP(B2589,'PO with created By ASR'!A:C,3,FALSE)</f>
        <v>45709</v>
      </c>
      <c r="J2589" s="2" t="str">
        <f>VLOOKUP(B2589,'PO with created By ASR'!A:G,4,FALSE)</f>
        <v>Harshit Jain...............  -CR</v>
      </c>
      <c r="K2589" s="2" t="e">
        <f>VLOOKUP(B2589,'PO with created By ASR'!A:I,6,FALSE)</f>
        <v>#N/A</v>
      </c>
      <c r="L2589" s="2" t="str">
        <f>VLOOKUP(B2589,'PO with created By ASR'!A:J,7,FALSE)</f>
        <v>D - Delhi</v>
      </c>
      <c r="M2589" s="2" t="str">
        <f>VLOOKUP(B2589,'PO with created By ASR'!A:K,8,FALSE)</f>
        <v>Purchase Order-Del</v>
      </c>
      <c r="N2589" t="s">
        <v>36</v>
      </c>
      <c r="P2589" s="2">
        <v>6</v>
      </c>
    </row>
    <row r="2590" s="2" customFormat="1" spans="1:16">
      <c r="A2590" s="8"/>
      <c r="B2590" s="9" t="s">
        <v>3810</v>
      </c>
      <c r="C2590" s="10" t="s">
        <v>412</v>
      </c>
      <c r="D2590" s="11">
        <v>1</v>
      </c>
      <c r="E2590" s="12">
        <v>19609</v>
      </c>
      <c r="F2590" s="13">
        <v>19609</v>
      </c>
      <c r="G2590" s="2">
        <f>VLOOKUP(B2590,'PO with created By ASR'!A:C,3,FALSE)</f>
        <v>45709</v>
      </c>
      <c r="J2590" s="2" t="str">
        <f>VLOOKUP(B2590,'PO with created By ASR'!A:G,4,FALSE)</f>
        <v>Praveen Kumar......-CR</v>
      </c>
      <c r="K2590" s="2" t="e">
        <f>VLOOKUP(B2590,'PO with created By ASR'!A:I,6,FALSE)</f>
        <v>#N/A</v>
      </c>
      <c r="L2590" s="2" t="str">
        <f>VLOOKUP(B2590,'PO with created By ASR'!A:J,7,FALSE)</f>
        <v>D - Delhi</v>
      </c>
      <c r="M2590" s="2" t="str">
        <f>VLOOKUP(B2590,'PO with created By ASR'!A:K,8,FALSE)</f>
        <v>Purchase Order-Del</v>
      </c>
      <c r="N2590" t="s">
        <v>36</v>
      </c>
      <c r="P2590" s="2">
        <v>6</v>
      </c>
    </row>
    <row r="2591" s="2" customFormat="1" spans="1:16">
      <c r="A2591" s="8"/>
      <c r="B2591" s="9" t="s">
        <v>3812</v>
      </c>
      <c r="C2591" s="10" t="s">
        <v>803</v>
      </c>
      <c r="D2591" s="11">
        <v>1</v>
      </c>
      <c r="E2591" s="12">
        <v>41576</v>
      </c>
      <c r="F2591" s="13">
        <v>41576</v>
      </c>
      <c r="G2591" s="2">
        <f>VLOOKUP(B2591,'PO with created By ASR'!A:C,3,FALSE)</f>
        <v>45709</v>
      </c>
      <c r="J2591" s="2" t="str">
        <f>VLOOKUP(B2591,'PO with created By ASR'!A:G,4,FALSE)</f>
        <v>Samarth Kapoor  -CR</v>
      </c>
      <c r="K2591" s="2" t="e">
        <f>VLOOKUP(B2591,'PO with created By ASR'!A:I,6,FALSE)</f>
        <v>#N/A</v>
      </c>
      <c r="L2591" s="2" t="str">
        <f>VLOOKUP(B2591,'PO with created By ASR'!A:J,7,FALSE)</f>
        <v>D - Delhi</v>
      </c>
      <c r="M2591" s="2" t="str">
        <f>VLOOKUP(B2591,'PO with created By ASR'!A:K,8,FALSE)</f>
        <v>Purchase Order-Del</v>
      </c>
      <c r="N2591" t="s">
        <v>36</v>
      </c>
      <c r="P2591" s="2">
        <v>6</v>
      </c>
    </row>
    <row r="2592" s="2" customFormat="1" spans="1:16">
      <c r="A2592" s="8"/>
      <c r="B2592" s="9" t="s">
        <v>3812</v>
      </c>
      <c r="C2592" s="10" t="s">
        <v>233</v>
      </c>
      <c r="D2592" s="11">
        <v>1</v>
      </c>
      <c r="E2592" s="12">
        <v>4998</v>
      </c>
      <c r="F2592" s="13">
        <v>4998</v>
      </c>
      <c r="G2592" s="2">
        <f>VLOOKUP(B2592,'PO with created By ASR'!A:C,3,FALSE)</f>
        <v>45709</v>
      </c>
      <c r="J2592" s="2" t="str">
        <f>VLOOKUP(B2592,'PO with created By ASR'!A:G,4,FALSE)</f>
        <v>Samarth Kapoor  -CR</v>
      </c>
      <c r="K2592" s="2" t="e">
        <f>VLOOKUP(B2592,'PO with created By ASR'!A:I,6,FALSE)</f>
        <v>#N/A</v>
      </c>
      <c r="L2592" s="2" t="str">
        <f>VLOOKUP(B2592,'PO with created By ASR'!A:J,7,FALSE)</f>
        <v>D - Delhi</v>
      </c>
      <c r="M2592" s="2" t="str">
        <f>VLOOKUP(B2592,'PO with created By ASR'!A:K,8,FALSE)</f>
        <v>Purchase Order-Del</v>
      </c>
      <c r="N2592" t="s">
        <v>36</v>
      </c>
      <c r="P2592" s="2">
        <v>6</v>
      </c>
    </row>
    <row r="2593" s="2" customFormat="1" spans="1:16">
      <c r="A2593" s="8"/>
      <c r="B2593" s="9" t="s">
        <v>3813</v>
      </c>
      <c r="C2593" s="10" t="s">
        <v>126</v>
      </c>
      <c r="D2593" s="11">
        <v>1</v>
      </c>
      <c r="E2593" s="12">
        <v>4894</v>
      </c>
      <c r="F2593" s="13">
        <v>4894</v>
      </c>
      <c r="G2593" s="2">
        <f>VLOOKUP(B2593,'PO with created By ASR'!A:C,3,FALSE)</f>
        <v>45709</v>
      </c>
      <c r="J2593" s="2" t="str">
        <f>VLOOKUP(B2593,'PO with created By ASR'!A:G,4,FALSE)</f>
        <v>Praveen Kumar......-CR</v>
      </c>
      <c r="K2593" s="2" t="e">
        <f>VLOOKUP(B2593,'PO with created By ASR'!A:I,6,FALSE)</f>
        <v>#N/A</v>
      </c>
      <c r="L2593" s="2" t="str">
        <f>VLOOKUP(B2593,'PO with created By ASR'!A:J,7,FALSE)</f>
        <v>D - Delhi</v>
      </c>
      <c r="M2593" s="2" t="str">
        <f>VLOOKUP(B2593,'PO with created By ASR'!A:K,8,FALSE)</f>
        <v>Purchase Order-Del</v>
      </c>
      <c r="N2593" t="s">
        <v>36</v>
      </c>
      <c r="P2593" s="2">
        <v>6</v>
      </c>
    </row>
    <row r="2594" s="2" customFormat="1" spans="1:16">
      <c r="A2594" s="8"/>
      <c r="B2594" s="9" t="s">
        <v>3813</v>
      </c>
      <c r="C2594" s="10" t="s">
        <v>412</v>
      </c>
      <c r="D2594" s="11">
        <v>1</v>
      </c>
      <c r="E2594" s="12">
        <v>9819</v>
      </c>
      <c r="F2594" s="13">
        <v>9819</v>
      </c>
      <c r="G2594" s="2">
        <f>VLOOKUP(B2594,'PO with created By ASR'!A:C,3,FALSE)</f>
        <v>45709</v>
      </c>
      <c r="J2594" s="2" t="str">
        <f>VLOOKUP(B2594,'PO with created By ASR'!A:G,4,FALSE)</f>
        <v>Praveen Kumar......-CR</v>
      </c>
      <c r="K2594" s="2" t="e">
        <f>VLOOKUP(B2594,'PO with created By ASR'!A:I,6,FALSE)</f>
        <v>#N/A</v>
      </c>
      <c r="L2594" s="2" t="str">
        <f>VLOOKUP(B2594,'PO with created By ASR'!A:J,7,FALSE)</f>
        <v>D - Delhi</v>
      </c>
      <c r="M2594" s="2" t="str">
        <f>VLOOKUP(B2594,'PO with created By ASR'!A:K,8,FALSE)</f>
        <v>Purchase Order-Del</v>
      </c>
      <c r="N2594" t="s">
        <v>36</v>
      </c>
      <c r="P2594" s="2">
        <v>6</v>
      </c>
    </row>
    <row r="2595" s="2" customFormat="1" spans="1:16">
      <c r="A2595" s="8"/>
      <c r="B2595" s="9" t="s">
        <v>3813</v>
      </c>
      <c r="C2595" s="10" t="s">
        <v>412</v>
      </c>
      <c r="D2595" s="11">
        <v>1</v>
      </c>
      <c r="E2595" s="12">
        <v>486</v>
      </c>
      <c r="F2595" s="13">
        <v>486</v>
      </c>
      <c r="G2595" s="2">
        <f>VLOOKUP(B2595,'PO with created By ASR'!A:C,3,FALSE)</f>
        <v>45709</v>
      </c>
      <c r="J2595" s="2" t="str">
        <f>VLOOKUP(B2595,'PO with created By ASR'!A:G,4,FALSE)</f>
        <v>Praveen Kumar......-CR</v>
      </c>
      <c r="K2595" s="2" t="e">
        <f>VLOOKUP(B2595,'PO with created By ASR'!A:I,6,FALSE)</f>
        <v>#N/A</v>
      </c>
      <c r="L2595" s="2" t="str">
        <f>VLOOKUP(B2595,'PO with created By ASR'!A:J,7,FALSE)</f>
        <v>D - Delhi</v>
      </c>
      <c r="M2595" s="2" t="str">
        <f>VLOOKUP(B2595,'PO with created By ASR'!A:K,8,FALSE)</f>
        <v>Purchase Order-Del</v>
      </c>
      <c r="N2595" t="s">
        <v>36</v>
      </c>
      <c r="P2595" s="2">
        <v>6</v>
      </c>
    </row>
    <row r="2596" s="2" customFormat="1" spans="1:16">
      <c r="A2596" s="8"/>
      <c r="B2596" s="9" t="s">
        <v>3813</v>
      </c>
      <c r="C2596" s="10" t="s">
        <v>233</v>
      </c>
      <c r="D2596" s="11">
        <v>1</v>
      </c>
      <c r="E2596" s="12">
        <v>3238</v>
      </c>
      <c r="F2596" s="13">
        <v>3238</v>
      </c>
      <c r="G2596" s="2">
        <f>VLOOKUP(B2596,'PO with created By ASR'!A:C,3,FALSE)</f>
        <v>45709</v>
      </c>
      <c r="J2596" s="2" t="str">
        <f>VLOOKUP(B2596,'PO with created By ASR'!A:G,4,FALSE)</f>
        <v>Praveen Kumar......-CR</v>
      </c>
      <c r="K2596" s="2" t="e">
        <f>VLOOKUP(B2596,'PO with created By ASR'!A:I,6,FALSE)</f>
        <v>#N/A</v>
      </c>
      <c r="L2596" s="2" t="str">
        <f>VLOOKUP(B2596,'PO with created By ASR'!A:J,7,FALSE)</f>
        <v>D - Delhi</v>
      </c>
      <c r="M2596" s="2" t="str">
        <f>VLOOKUP(B2596,'PO with created By ASR'!A:K,8,FALSE)</f>
        <v>Purchase Order-Del</v>
      </c>
      <c r="N2596" t="s">
        <v>36</v>
      </c>
      <c r="P2596" s="2">
        <v>6</v>
      </c>
    </row>
    <row r="2597" s="2" customFormat="1" spans="1:16">
      <c r="A2597" s="8"/>
      <c r="B2597" s="9" t="s">
        <v>3814</v>
      </c>
      <c r="C2597" s="10" t="s">
        <v>233</v>
      </c>
      <c r="D2597" s="11">
        <v>1</v>
      </c>
      <c r="E2597" s="12">
        <v>109900</v>
      </c>
      <c r="F2597" s="13">
        <v>109900</v>
      </c>
      <c r="G2597" s="2">
        <f>VLOOKUP(B2597,'PO with created By ASR'!A:C,3,FALSE)</f>
        <v>45709</v>
      </c>
      <c r="J2597" s="2" t="str">
        <f>VLOOKUP(B2597,'PO with created By ASR'!A:G,4,FALSE)</f>
        <v>Praveen Kumar......-CR</v>
      </c>
      <c r="K2597" s="2" t="e">
        <f>VLOOKUP(B2597,'PO with created By ASR'!A:I,6,FALSE)</f>
        <v>#N/A</v>
      </c>
      <c r="L2597" s="2" t="str">
        <f>VLOOKUP(B2597,'PO with created By ASR'!A:J,7,FALSE)</f>
        <v>D - Delhi</v>
      </c>
      <c r="M2597" s="2" t="str">
        <f>VLOOKUP(B2597,'PO with created By ASR'!A:K,8,FALSE)</f>
        <v>Purchase Order-Del</v>
      </c>
      <c r="N2597" t="s">
        <v>36</v>
      </c>
      <c r="P2597" s="2">
        <v>6</v>
      </c>
    </row>
    <row r="2598" s="2" customFormat="1" spans="1:16">
      <c r="A2598" s="8"/>
      <c r="B2598" s="9" t="s">
        <v>3816</v>
      </c>
      <c r="C2598" s="10" t="s">
        <v>803</v>
      </c>
      <c r="D2598" s="11">
        <v>1</v>
      </c>
      <c r="E2598" s="12">
        <v>17264</v>
      </c>
      <c r="F2598" s="13">
        <v>17264</v>
      </c>
      <c r="G2598" s="2">
        <f>VLOOKUP(B2598,'PO with created By ASR'!A:C,3,FALSE)</f>
        <v>45709</v>
      </c>
      <c r="J2598" s="2" t="str">
        <f>VLOOKUP(B2598,'PO with created By ASR'!A:G,4,FALSE)</f>
        <v>Tribhuvan Kapoor.....-CR</v>
      </c>
      <c r="K2598" s="2" t="e">
        <f>VLOOKUP(B2598,'PO with created By ASR'!A:I,6,FALSE)</f>
        <v>#N/A</v>
      </c>
      <c r="L2598" s="2" t="str">
        <f>VLOOKUP(B2598,'PO with created By ASR'!A:J,7,FALSE)</f>
        <v>D - Delhi</v>
      </c>
      <c r="M2598" s="2" t="str">
        <f>VLOOKUP(B2598,'PO with created By ASR'!A:K,8,FALSE)</f>
        <v>Purchase Order-Del</v>
      </c>
      <c r="N2598" t="s">
        <v>36</v>
      </c>
      <c r="P2598" s="2">
        <v>6</v>
      </c>
    </row>
    <row r="2599" s="2" customFormat="1" spans="1:16">
      <c r="A2599" s="8"/>
      <c r="B2599" s="9" t="s">
        <v>3817</v>
      </c>
      <c r="C2599" s="10" t="s">
        <v>803</v>
      </c>
      <c r="D2599" s="11">
        <v>1</v>
      </c>
      <c r="E2599" s="12">
        <v>699164</v>
      </c>
      <c r="F2599" s="13">
        <v>699164</v>
      </c>
      <c r="G2599" s="2">
        <f>VLOOKUP(B2599,'PO with created By ASR'!A:C,3,FALSE)</f>
        <v>45709</v>
      </c>
      <c r="J2599" s="2" t="str">
        <f>VLOOKUP(B2599,'PO with created By ASR'!A:G,4,FALSE)</f>
        <v>Kundan Badiwal.........-CR</v>
      </c>
      <c r="K2599" s="2" t="e">
        <f>VLOOKUP(B2599,'PO with created By ASR'!A:I,6,FALSE)</f>
        <v>#N/A</v>
      </c>
      <c r="L2599" s="2" t="str">
        <f>VLOOKUP(B2599,'PO with created By ASR'!A:J,7,FALSE)</f>
        <v>D - Delhi</v>
      </c>
      <c r="M2599" s="2" t="str">
        <f>VLOOKUP(B2599,'PO with created By ASR'!A:K,8,FALSE)</f>
        <v>Purchase Order-Del</v>
      </c>
      <c r="N2599" t="s">
        <v>36</v>
      </c>
      <c r="P2599" s="2">
        <v>6</v>
      </c>
    </row>
    <row r="2600" s="2" customFormat="1" spans="1:16">
      <c r="A2600" s="8"/>
      <c r="B2600" s="9" t="s">
        <v>3817</v>
      </c>
      <c r="C2600" s="10" t="s">
        <v>233</v>
      </c>
      <c r="D2600" s="11">
        <v>1</v>
      </c>
      <c r="E2600" s="12">
        <v>36211</v>
      </c>
      <c r="F2600" s="13">
        <v>36211</v>
      </c>
      <c r="G2600" s="2">
        <f>VLOOKUP(B2600,'PO with created By ASR'!A:C,3,FALSE)</f>
        <v>45709</v>
      </c>
      <c r="J2600" s="2" t="str">
        <f>VLOOKUP(B2600,'PO with created By ASR'!A:G,4,FALSE)</f>
        <v>Kundan Badiwal.........-CR</v>
      </c>
      <c r="K2600" s="2" t="e">
        <f>VLOOKUP(B2600,'PO with created By ASR'!A:I,6,FALSE)</f>
        <v>#N/A</v>
      </c>
      <c r="L2600" s="2" t="str">
        <f>VLOOKUP(B2600,'PO with created By ASR'!A:J,7,FALSE)</f>
        <v>D - Delhi</v>
      </c>
      <c r="M2600" s="2" t="str">
        <f>VLOOKUP(B2600,'PO with created By ASR'!A:K,8,FALSE)</f>
        <v>Purchase Order-Del</v>
      </c>
      <c r="N2600" t="s">
        <v>36</v>
      </c>
      <c r="P2600" s="2">
        <v>6</v>
      </c>
    </row>
    <row r="2601" s="2" customFormat="1" spans="1:16">
      <c r="A2601" s="8"/>
      <c r="B2601" s="9" t="s">
        <v>3820</v>
      </c>
      <c r="C2601" s="10" t="s">
        <v>119</v>
      </c>
      <c r="D2601" s="11">
        <v>1</v>
      </c>
      <c r="E2601" s="12">
        <v>92043</v>
      </c>
      <c r="F2601" s="13">
        <v>92043</v>
      </c>
      <c r="G2601" s="2">
        <f>VLOOKUP(B2601,'PO with created By ASR'!A:C,3,FALSE)</f>
        <v>45709</v>
      </c>
      <c r="J2601" s="2" t="str">
        <f>VLOOKUP(B2601,'PO with created By ASR'!A:G,4,FALSE)</f>
        <v>Lamour Voyages Pvt Ltd-Del</v>
      </c>
      <c r="K2601" s="2" t="str">
        <f>VLOOKUP(B2601,'PO with created By ASR'!A:I,6,FALSE)</f>
        <v>10357  Lamour Voyages Pvt Ltd</v>
      </c>
      <c r="L2601" s="2" t="str">
        <f>VLOOKUP(B2601,'PO with created By ASR'!A:J,7,FALSE)</f>
        <v>D - Delhi</v>
      </c>
      <c r="M2601" s="2" t="str">
        <f>VLOOKUP(B2601,'PO with created By ASR'!A:K,8,FALSE)</f>
        <v>Purchase Order-Del</v>
      </c>
      <c r="N2601" t="s">
        <v>36</v>
      </c>
      <c r="P2601" s="2">
        <v>6</v>
      </c>
    </row>
    <row r="2602" s="2" customFormat="1" spans="1:16">
      <c r="A2602" s="8"/>
      <c r="B2602" s="9" t="s">
        <v>3820</v>
      </c>
      <c r="C2602" s="10" t="s">
        <v>764</v>
      </c>
      <c r="D2602" s="11">
        <v>1</v>
      </c>
      <c r="E2602" s="12">
        <v>4602.15</v>
      </c>
      <c r="F2602" s="13">
        <v>4602.15</v>
      </c>
      <c r="G2602" s="2">
        <f>VLOOKUP(B2602,'PO with created By ASR'!A:C,3,FALSE)</f>
        <v>45709</v>
      </c>
      <c r="J2602" s="2" t="str">
        <f>VLOOKUP(B2602,'PO with created By ASR'!A:G,4,FALSE)</f>
        <v>Lamour Voyages Pvt Ltd-Del</v>
      </c>
      <c r="K2602" s="2" t="str">
        <f>VLOOKUP(B2602,'PO with created By ASR'!A:I,6,FALSE)</f>
        <v>10357  Lamour Voyages Pvt Ltd</v>
      </c>
      <c r="L2602" s="2" t="str">
        <f>VLOOKUP(B2602,'PO with created By ASR'!A:J,7,FALSE)</f>
        <v>D - Delhi</v>
      </c>
      <c r="M2602" s="2" t="str">
        <f>VLOOKUP(B2602,'PO with created By ASR'!A:K,8,FALSE)</f>
        <v>Purchase Order-Del</v>
      </c>
      <c r="N2602" t="s">
        <v>36</v>
      </c>
      <c r="P2602" s="2">
        <v>6</v>
      </c>
    </row>
    <row r="2603" s="2" customFormat="1" spans="1:16">
      <c r="A2603" s="8"/>
      <c r="B2603" s="9" t="s">
        <v>3821</v>
      </c>
      <c r="C2603" s="10" t="s">
        <v>126</v>
      </c>
      <c r="D2603" s="11">
        <v>1</v>
      </c>
      <c r="E2603" s="12">
        <v>599</v>
      </c>
      <c r="F2603" s="13">
        <v>599</v>
      </c>
      <c r="G2603" s="2">
        <f>VLOOKUP(B2603,'PO with created By ASR'!A:C,3,FALSE)</f>
        <v>45709</v>
      </c>
      <c r="J2603" s="2" t="str">
        <f>VLOOKUP(B2603,'PO with created By ASR'!A:G,4,FALSE)</f>
        <v>Krisha Chheda  -CR</v>
      </c>
      <c r="K2603" s="2" t="e">
        <f>VLOOKUP(B2603,'PO with created By ASR'!A:I,6,FALSE)</f>
        <v>#N/A</v>
      </c>
      <c r="L2603" s="2" t="str">
        <f>VLOOKUP(B2603,'PO with created By ASR'!A:J,7,FALSE)</f>
        <v>A - Mumbai</v>
      </c>
      <c r="M2603" s="2" t="str">
        <f>VLOOKUP(B2603,'PO with created By ASR'!A:K,8,FALSE)</f>
        <v>Purchase Order-Mum</v>
      </c>
      <c r="N2603" t="s">
        <v>36</v>
      </c>
      <c r="P2603" s="2">
        <v>6</v>
      </c>
    </row>
    <row r="2604" s="2" customFormat="1" spans="1:16">
      <c r="A2604" s="8"/>
      <c r="B2604" s="9" t="s">
        <v>3821</v>
      </c>
      <c r="C2604" s="10" t="s">
        <v>412</v>
      </c>
      <c r="D2604" s="11">
        <v>1</v>
      </c>
      <c r="E2604" s="12">
        <v>231</v>
      </c>
      <c r="F2604" s="13">
        <v>231</v>
      </c>
      <c r="G2604" s="2">
        <f>VLOOKUP(B2604,'PO with created By ASR'!A:C,3,FALSE)</f>
        <v>45709</v>
      </c>
      <c r="J2604" s="2" t="str">
        <f>VLOOKUP(B2604,'PO with created By ASR'!A:G,4,FALSE)</f>
        <v>Krisha Chheda  -CR</v>
      </c>
      <c r="K2604" s="2" t="e">
        <f>VLOOKUP(B2604,'PO with created By ASR'!A:I,6,FALSE)</f>
        <v>#N/A</v>
      </c>
      <c r="L2604" s="2" t="str">
        <f>VLOOKUP(B2604,'PO with created By ASR'!A:J,7,FALSE)</f>
        <v>A - Mumbai</v>
      </c>
      <c r="M2604" s="2" t="str">
        <f>VLOOKUP(B2604,'PO with created By ASR'!A:K,8,FALSE)</f>
        <v>Purchase Order-Mum</v>
      </c>
      <c r="N2604" t="s">
        <v>36</v>
      </c>
      <c r="P2604" s="2">
        <v>6</v>
      </c>
    </row>
    <row r="2605" s="2" customFormat="1" spans="1:16">
      <c r="A2605" s="8"/>
      <c r="B2605" s="9" t="s">
        <v>3822</v>
      </c>
      <c r="C2605" s="10" t="s">
        <v>317</v>
      </c>
      <c r="D2605" s="11">
        <v>1</v>
      </c>
      <c r="E2605" s="12">
        <v>22</v>
      </c>
      <c r="F2605" s="13">
        <v>22</v>
      </c>
      <c r="G2605" s="2">
        <f>VLOOKUP(B2605,'PO with created By ASR'!A:C,3,FALSE)</f>
        <v>45709</v>
      </c>
      <c r="J2605" s="2" t="str">
        <f>VLOOKUP(B2605,'PO with created By ASR'!A:G,4,FALSE)</f>
        <v>Aalhad Bavkar  -CR</v>
      </c>
      <c r="K2605" s="2" t="e">
        <f>VLOOKUP(B2605,'PO with created By ASR'!A:I,6,FALSE)</f>
        <v>#N/A</v>
      </c>
      <c r="L2605" s="2" t="str">
        <f>VLOOKUP(B2605,'PO with created By ASR'!A:J,7,FALSE)</f>
        <v>A - Mumbai</v>
      </c>
      <c r="M2605" s="2" t="str">
        <f>VLOOKUP(B2605,'PO with created By ASR'!A:K,8,FALSE)</f>
        <v>Purchase Order-Mum</v>
      </c>
      <c r="N2605" t="s">
        <v>36</v>
      </c>
      <c r="P2605" s="2">
        <v>6</v>
      </c>
    </row>
    <row r="2606" s="2" customFormat="1" spans="1:16">
      <c r="A2606" s="8"/>
      <c r="B2606" s="9" t="s">
        <v>3822</v>
      </c>
      <c r="C2606" s="10" t="s">
        <v>126</v>
      </c>
      <c r="D2606" s="11">
        <v>1</v>
      </c>
      <c r="E2606" s="12">
        <v>2255</v>
      </c>
      <c r="F2606" s="13">
        <v>2255</v>
      </c>
      <c r="G2606" s="2">
        <f>VLOOKUP(B2606,'PO with created By ASR'!A:C,3,FALSE)</f>
        <v>45709</v>
      </c>
      <c r="J2606" s="2" t="str">
        <f>VLOOKUP(B2606,'PO with created By ASR'!A:G,4,FALSE)</f>
        <v>Aalhad Bavkar  -CR</v>
      </c>
      <c r="K2606" s="2" t="e">
        <f>VLOOKUP(B2606,'PO with created By ASR'!A:I,6,FALSE)</f>
        <v>#N/A</v>
      </c>
      <c r="L2606" s="2" t="str">
        <f>VLOOKUP(B2606,'PO with created By ASR'!A:J,7,FALSE)</f>
        <v>A - Mumbai</v>
      </c>
      <c r="M2606" s="2" t="str">
        <f>VLOOKUP(B2606,'PO with created By ASR'!A:K,8,FALSE)</f>
        <v>Purchase Order-Mum</v>
      </c>
      <c r="N2606" t="s">
        <v>36</v>
      </c>
      <c r="P2606" s="2">
        <v>6</v>
      </c>
    </row>
    <row r="2607" s="2" customFormat="1" spans="1:16">
      <c r="A2607" s="8"/>
      <c r="B2607" s="9" t="s">
        <v>3822</v>
      </c>
      <c r="C2607" s="10" t="s">
        <v>412</v>
      </c>
      <c r="D2607" s="11">
        <v>1</v>
      </c>
      <c r="E2607" s="12">
        <v>2180</v>
      </c>
      <c r="F2607" s="13">
        <v>2180</v>
      </c>
      <c r="G2607" s="2">
        <f>VLOOKUP(B2607,'PO with created By ASR'!A:C,3,FALSE)</f>
        <v>45709</v>
      </c>
      <c r="J2607" s="2" t="str">
        <f>VLOOKUP(B2607,'PO with created By ASR'!A:G,4,FALSE)</f>
        <v>Aalhad Bavkar  -CR</v>
      </c>
      <c r="K2607" s="2" t="e">
        <f>VLOOKUP(B2607,'PO with created By ASR'!A:I,6,FALSE)</f>
        <v>#N/A</v>
      </c>
      <c r="L2607" s="2" t="str">
        <f>VLOOKUP(B2607,'PO with created By ASR'!A:J,7,FALSE)</f>
        <v>A - Mumbai</v>
      </c>
      <c r="M2607" s="2" t="str">
        <f>VLOOKUP(B2607,'PO with created By ASR'!A:K,8,FALSE)</f>
        <v>Purchase Order-Mum</v>
      </c>
      <c r="N2607" t="s">
        <v>36</v>
      </c>
      <c r="P2607" s="2">
        <v>6</v>
      </c>
    </row>
    <row r="2608" s="2" customFormat="1" spans="1:16">
      <c r="A2608" s="8"/>
      <c r="B2608" s="9" t="s">
        <v>3823</v>
      </c>
      <c r="C2608" s="10" t="s">
        <v>151</v>
      </c>
      <c r="D2608" s="11">
        <v>1</v>
      </c>
      <c r="E2608" s="12">
        <v>390000</v>
      </c>
      <c r="F2608" s="13">
        <v>390000</v>
      </c>
      <c r="G2608" s="2">
        <f>VLOOKUP(B2608,'PO with created By ASR'!A:C,3,FALSE)</f>
        <v>45709</v>
      </c>
      <c r="J2608" s="2" t="str">
        <f>VLOOKUP(B2608,'PO with created By ASR'!A:G,4,FALSE)</f>
        <v>Right Angle Productions-Mum</v>
      </c>
      <c r="K2608" s="2" t="str">
        <f>VLOOKUP(B2608,'PO with created By ASR'!A:I,6,FALSE)</f>
        <v>12341 Right Angle Productions</v>
      </c>
      <c r="L2608" s="2" t="str">
        <f>VLOOKUP(B2608,'PO with created By ASR'!A:J,7,FALSE)</f>
        <v>A - Mumbai</v>
      </c>
      <c r="M2608" s="2" t="str">
        <f>VLOOKUP(B2608,'PO with created By ASR'!A:K,8,FALSE)</f>
        <v>Purchase Order-Mum</v>
      </c>
      <c r="N2608" t="s">
        <v>36</v>
      </c>
      <c r="P2608" s="2">
        <v>6</v>
      </c>
    </row>
    <row r="2609" s="2" customFormat="1" spans="1:16">
      <c r="A2609" s="8"/>
      <c r="B2609" s="9" t="s">
        <v>3828</v>
      </c>
      <c r="C2609" s="10" t="s">
        <v>3829</v>
      </c>
      <c r="D2609" s="11">
        <v>1</v>
      </c>
      <c r="E2609" s="12">
        <v>47320</v>
      </c>
      <c r="F2609" s="13">
        <v>47320</v>
      </c>
      <c r="G2609" s="2">
        <f>VLOOKUP(B2609,'PO with created By ASR'!A:C,3,FALSE)</f>
        <v>45709</v>
      </c>
      <c r="J2609" s="2" t="str">
        <f>VLOOKUP(B2609,'PO with created By ASR'!A:G,4,FALSE)</f>
        <v>Sameer Tobaccowala -CR</v>
      </c>
      <c r="K2609" s="2" t="e">
        <f>VLOOKUP(B2609,'PO with created By ASR'!A:I,6,FALSE)</f>
        <v>#N/A</v>
      </c>
      <c r="L2609" s="2" t="str">
        <f>VLOOKUP(B2609,'PO with created By ASR'!A:J,7,FALSE)</f>
        <v>A - Mumbai</v>
      </c>
      <c r="M2609" s="2" t="str">
        <f>VLOOKUP(B2609,'PO with created By ASR'!A:K,8,FALSE)</f>
        <v>Purchase Order-Mum</v>
      </c>
      <c r="N2609" t="s">
        <v>36</v>
      </c>
      <c r="P2609" s="2">
        <v>6</v>
      </c>
    </row>
    <row r="2610" s="2" customFormat="1" spans="1:16">
      <c r="A2610" s="8"/>
      <c r="B2610" s="9" t="s">
        <v>3828</v>
      </c>
      <c r="C2610" s="10" t="s">
        <v>412</v>
      </c>
      <c r="D2610" s="11">
        <v>1</v>
      </c>
      <c r="E2610" s="12">
        <v>39691</v>
      </c>
      <c r="F2610" s="13">
        <v>39691</v>
      </c>
      <c r="G2610" s="2">
        <f>VLOOKUP(B2610,'PO with created By ASR'!A:C,3,FALSE)</f>
        <v>45709</v>
      </c>
      <c r="J2610" s="2" t="str">
        <f>VLOOKUP(B2610,'PO with created By ASR'!A:G,4,FALSE)</f>
        <v>Sameer Tobaccowala -CR</v>
      </c>
      <c r="K2610" s="2" t="e">
        <f>VLOOKUP(B2610,'PO with created By ASR'!A:I,6,FALSE)</f>
        <v>#N/A</v>
      </c>
      <c r="L2610" s="2" t="str">
        <f>VLOOKUP(B2610,'PO with created By ASR'!A:J,7,FALSE)</f>
        <v>A - Mumbai</v>
      </c>
      <c r="M2610" s="2" t="str">
        <f>VLOOKUP(B2610,'PO with created By ASR'!A:K,8,FALSE)</f>
        <v>Purchase Order-Mum</v>
      </c>
      <c r="N2610" t="s">
        <v>36</v>
      </c>
      <c r="P2610" s="2">
        <v>6</v>
      </c>
    </row>
    <row r="2611" s="2" customFormat="1" spans="1:16">
      <c r="A2611" s="8"/>
      <c r="B2611" s="9" t="s">
        <v>3831</v>
      </c>
      <c r="C2611" s="10" t="s">
        <v>126</v>
      </c>
      <c r="D2611" s="11">
        <v>1</v>
      </c>
      <c r="E2611" s="12">
        <v>1366</v>
      </c>
      <c r="F2611" s="13">
        <v>1366</v>
      </c>
      <c r="G2611" s="2">
        <f>VLOOKUP(B2611,'PO with created By ASR'!A:C,3,FALSE)</f>
        <v>45709</v>
      </c>
      <c r="J2611" s="2" t="str">
        <f>VLOOKUP(B2611,'PO with created By ASR'!A:G,4,FALSE)</f>
        <v>Gulfaam Shaikh  -CR</v>
      </c>
      <c r="K2611" s="2" t="e">
        <f>VLOOKUP(B2611,'PO with created By ASR'!A:I,6,FALSE)</f>
        <v>#N/A</v>
      </c>
      <c r="L2611" s="2" t="str">
        <f>VLOOKUP(B2611,'PO with created By ASR'!A:J,7,FALSE)</f>
        <v>A - Mumbai</v>
      </c>
      <c r="M2611" s="2" t="str">
        <f>VLOOKUP(B2611,'PO with created By ASR'!A:K,8,FALSE)</f>
        <v>Purchase Order-Mum</v>
      </c>
      <c r="N2611" t="s">
        <v>36</v>
      </c>
      <c r="P2611" s="2">
        <v>6</v>
      </c>
    </row>
    <row r="2612" s="2" customFormat="1" spans="1:16">
      <c r="A2612" s="8"/>
      <c r="B2612" s="9" t="s">
        <v>3831</v>
      </c>
      <c r="C2612" s="10" t="s">
        <v>412</v>
      </c>
      <c r="D2612" s="11">
        <v>1</v>
      </c>
      <c r="E2612" s="12">
        <v>607</v>
      </c>
      <c r="F2612" s="13">
        <v>607</v>
      </c>
      <c r="G2612" s="2">
        <f>VLOOKUP(B2612,'PO with created By ASR'!A:C,3,FALSE)</f>
        <v>45709</v>
      </c>
      <c r="J2612" s="2" t="str">
        <f>VLOOKUP(B2612,'PO with created By ASR'!A:G,4,FALSE)</f>
        <v>Gulfaam Shaikh  -CR</v>
      </c>
      <c r="K2612" s="2" t="e">
        <f>VLOOKUP(B2612,'PO with created By ASR'!A:I,6,FALSE)</f>
        <v>#N/A</v>
      </c>
      <c r="L2612" s="2" t="str">
        <f>VLOOKUP(B2612,'PO with created By ASR'!A:J,7,FALSE)</f>
        <v>A - Mumbai</v>
      </c>
      <c r="M2612" s="2" t="str">
        <f>VLOOKUP(B2612,'PO with created By ASR'!A:K,8,FALSE)</f>
        <v>Purchase Order-Mum</v>
      </c>
      <c r="N2612" t="s">
        <v>36</v>
      </c>
      <c r="P2612" s="2">
        <v>6</v>
      </c>
    </row>
    <row r="2613" s="2" customFormat="1" spans="1:16">
      <c r="A2613" s="8"/>
      <c r="B2613" s="9" t="s">
        <v>3832</v>
      </c>
      <c r="C2613" s="10" t="s">
        <v>126</v>
      </c>
      <c r="D2613" s="11">
        <v>1</v>
      </c>
      <c r="E2613" s="12">
        <v>1248</v>
      </c>
      <c r="F2613" s="13">
        <v>1248</v>
      </c>
      <c r="G2613" s="2">
        <f>VLOOKUP(B2613,'PO with created By ASR'!A:C,3,FALSE)</f>
        <v>45709</v>
      </c>
      <c r="J2613" s="2" t="str">
        <f>VLOOKUP(B2613,'PO with created By ASR'!A:G,4,FALSE)</f>
        <v>Gulfaam Shaikh  -CR</v>
      </c>
      <c r="K2613" s="2" t="e">
        <f>VLOOKUP(B2613,'PO with created By ASR'!A:I,6,FALSE)</f>
        <v>#N/A</v>
      </c>
      <c r="L2613" s="2" t="str">
        <f>VLOOKUP(B2613,'PO with created By ASR'!A:J,7,FALSE)</f>
        <v>A - Mumbai</v>
      </c>
      <c r="M2613" s="2" t="str">
        <f>VLOOKUP(B2613,'PO with created By ASR'!A:K,8,FALSE)</f>
        <v>Purchase Order-Mum</v>
      </c>
      <c r="N2613" t="s">
        <v>36</v>
      </c>
      <c r="P2613" s="2">
        <v>6</v>
      </c>
    </row>
    <row r="2614" s="2" customFormat="1" spans="1:16">
      <c r="A2614" s="8"/>
      <c r="B2614" s="9" t="s">
        <v>3832</v>
      </c>
      <c r="C2614" s="10" t="s">
        <v>412</v>
      </c>
      <c r="D2614" s="11">
        <v>1</v>
      </c>
      <c r="E2614" s="12">
        <v>959</v>
      </c>
      <c r="F2614" s="13">
        <v>959</v>
      </c>
      <c r="G2614" s="2">
        <f>VLOOKUP(B2614,'PO with created By ASR'!A:C,3,FALSE)</f>
        <v>45709</v>
      </c>
      <c r="J2614" s="2" t="str">
        <f>VLOOKUP(B2614,'PO with created By ASR'!A:G,4,FALSE)</f>
        <v>Gulfaam Shaikh  -CR</v>
      </c>
      <c r="K2614" s="2" t="e">
        <f>VLOOKUP(B2614,'PO with created By ASR'!A:I,6,FALSE)</f>
        <v>#N/A</v>
      </c>
      <c r="L2614" s="2" t="str">
        <f>VLOOKUP(B2614,'PO with created By ASR'!A:J,7,FALSE)</f>
        <v>A - Mumbai</v>
      </c>
      <c r="M2614" s="2" t="str">
        <f>VLOOKUP(B2614,'PO with created By ASR'!A:K,8,FALSE)</f>
        <v>Purchase Order-Mum</v>
      </c>
      <c r="N2614" t="s">
        <v>36</v>
      </c>
      <c r="P2614" s="2">
        <v>6</v>
      </c>
    </row>
    <row r="2615" s="2" customFormat="1" spans="1:16">
      <c r="A2615" s="8"/>
      <c r="B2615" s="9" t="s">
        <v>3833</v>
      </c>
      <c r="C2615" s="10" t="s">
        <v>371</v>
      </c>
      <c r="D2615" s="11">
        <v>1</v>
      </c>
      <c r="E2615" s="12">
        <v>120000</v>
      </c>
      <c r="F2615" s="13">
        <v>120000</v>
      </c>
      <c r="G2615" s="2">
        <f>VLOOKUP(B2615,'PO with created By ASR'!A:C,3,FALSE)</f>
        <v>45709</v>
      </c>
      <c r="J2615" s="2" t="str">
        <f>VLOOKUP(B2615,'PO with created By ASR'!A:G,4,FALSE)</f>
        <v>Videowaves-Mum</v>
      </c>
      <c r="K2615" s="2" t="e">
        <f>VLOOKUP(B2615,'PO with created By ASR'!A:I,6,FALSE)</f>
        <v>#N/A</v>
      </c>
      <c r="L2615" s="2" t="str">
        <f>VLOOKUP(B2615,'PO with created By ASR'!A:J,7,FALSE)</f>
        <v>A - Mumbai</v>
      </c>
      <c r="M2615" s="2" t="str">
        <f>VLOOKUP(B2615,'PO with created By ASR'!A:K,8,FALSE)</f>
        <v>Purchase Order-Mum</v>
      </c>
      <c r="N2615" t="s">
        <v>36</v>
      </c>
      <c r="P2615" s="2">
        <v>6</v>
      </c>
    </row>
    <row r="2616" s="2" customFormat="1" spans="1:16">
      <c r="A2616" s="8"/>
      <c r="B2616" s="9" t="s">
        <v>3834</v>
      </c>
      <c r="C2616" s="10" t="s">
        <v>371</v>
      </c>
      <c r="D2616" s="11">
        <v>1</v>
      </c>
      <c r="E2616" s="12">
        <v>60000</v>
      </c>
      <c r="F2616" s="13">
        <v>60000</v>
      </c>
      <c r="G2616" s="2">
        <f>VLOOKUP(B2616,'PO with created By ASR'!A:C,3,FALSE)</f>
        <v>45709</v>
      </c>
      <c r="J2616" s="2" t="str">
        <f>VLOOKUP(B2616,'PO with created By ASR'!A:G,4,FALSE)</f>
        <v>S T Sound System-Mum</v>
      </c>
      <c r="K2616" s="2" t="str">
        <f>VLOOKUP(B2616,'PO with created By ASR'!A:I,6,FALSE)</f>
        <v>11137 S T Sound System</v>
      </c>
      <c r="L2616" s="2" t="str">
        <f>VLOOKUP(B2616,'PO with created By ASR'!A:J,7,FALSE)</f>
        <v>A - Mumbai</v>
      </c>
      <c r="M2616" s="2" t="str">
        <f>VLOOKUP(B2616,'PO with created By ASR'!A:K,8,FALSE)</f>
        <v>Purchase Order-Mum</v>
      </c>
      <c r="N2616" t="s">
        <v>36</v>
      </c>
      <c r="P2616" s="2">
        <v>6</v>
      </c>
    </row>
    <row r="2617" s="2" customFormat="1" spans="1:16">
      <c r="A2617" s="8"/>
      <c r="B2617" s="9" t="s">
        <v>3835</v>
      </c>
      <c r="C2617" s="10" t="s">
        <v>371</v>
      </c>
      <c r="D2617" s="11">
        <v>1</v>
      </c>
      <c r="E2617" s="12">
        <v>65000</v>
      </c>
      <c r="F2617" s="13">
        <v>65000</v>
      </c>
      <c r="G2617" s="2">
        <f>VLOOKUP(B2617,'PO with created By ASR'!A:C,3,FALSE)</f>
        <v>45709</v>
      </c>
      <c r="J2617" s="2" t="str">
        <f>VLOOKUP(B2617,'PO with created By ASR'!A:G,4,FALSE)</f>
        <v>Shiv Shakti Enterprises-Mum</v>
      </c>
      <c r="K2617" s="2" t="str">
        <f>VLOOKUP(B2617,'PO with created By ASR'!A:I,6,FALSE)</f>
        <v>11130 Shiv Shakti Enterprises</v>
      </c>
      <c r="L2617" s="2" t="str">
        <f>VLOOKUP(B2617,'PO with created By ASR'!A:J,7,FALSE)</f>
        <v>A - Mumbai</v>
      </c>
      <c r="M2617" s="2" t="str">
        <f>VLOOKUP(B2617,'PO with created By ASR'!A:K,8,FALSE)</f>
        <v>Purchase Order-Mum</v>
      </c>
      <c r="N2617" t="s">
        <v>36</v>
      </c>
      <c r="P2617" s="2">
        <v>6</v>
      </c>
    </row>
    <row r="2618" s="2" customFormat="1" spans="1:16">
      <c r="A2618" s="8"/>
      <c r="B2618" s="9" t="s">
        <v>3836</v>
      </c>
      <c r="C2618" s="10" t="s">
        <v>371</v>
      </c>
      <c r="D2618" s="11">
        <v>1</v>
      </c>
      <c r="E2618" s="12">
        <v>8000</v>
      </c>
      <c r="F2618" s="13">
        <v>8000</v>
      </c>
      <c r="G2618" s="2">
        <f>VLOOKUP(B2618,'PO with created By ASR'!A:C,3,FALSE)</f>
        <v>45709</v>
      </c>
      <c r="J2618" s="2" t="str">
        <f>VLOOKUP(B2618,'PO with created By ASR'!A:G,4,FALSE)</f>
        <v>Oriana Communications-Mum</v>
      </c>
      <c r="K2618" s="2" t="str">
        <f>VLOOKUP(B2618,'PO with created By ASR'!A:I,6,FALSE)</f>
        <v>11121 Oriana Communications</v>
      </c>
      <c r="L2618" s="2" t="str">
        <f>VLOOKUP(B2618,'PO with created By ASR'!A:J,7,FALSE)</f>
        <v>A - Mumbai</v>
      </c>
      <c r="M2618" s="2" t="str">
        <f>VLOOKUP(B2618,'PO with created By ASR'!A:K,8,FALSE)</f>
        <v>Purchase Order-Mum</v>
      </c>
      <c r="N2618" t="s">
        <v>36</v>
      </c>
      <c r="P2618" s="2">
        <v>6</v>
      </c>
    </row>
    <row r="2619" s="2" customFormat="1" spans="1:16">
      <c r="A2619" s="8"/>
      <c r="B2619" s="9" t="s">
        <v>3837</v>
      </c>
      <c r="C2619" s="10" t="s">
        <v>371</v>
      </c>
      <c r="D2619" s="11">
        <v>1</v>
      </c>
      <c r="E2619" s="12">
        <v>6000</v>
      </c>
      <c r="F2619" s="13">
        <v>6000</v>
      </c>
      <c r="G2619" s="2">
        <f>VLOOKUP(B2619,'PO with created By ASR'!A:C,3,FALSE)</f>
        <v>45709</v>
      </c>
      <c r="J2619" s="2" t="str">
        <f>VLOOKUP(B2619,'PO with created By ASR'!A:G,4,FALSE)</f>
        <v>A S Teleprompters-Mum</v>
      </c>
      <c r="K2619" s="2" t="str">
        <f>VLOOKUP(B2619,'PO with created By ASR'!A:I,6,FALSE)</f>
        <v>10124 A S Teleprompters</v>
      </c>
      <c r="L2619" s="2" t="str">
        <f>VLOOKUP(B2619,'PO with created By ASR'!A:J,7,FALSE)</f>
        <v>A - Mumbai</v>
      </c>
      <c r="M2619" s="2" t="str">
        <f>VLOOKUP(B2619,'PO with created By ASR'!A:K,8,FALSE)</f>
        <v>Purchase Order-Mum</v>
      </c>
      <c r="N2619" t="s">
        <v>36</v>
      </c>
      <c r="P2619" s="2">
        <v>6</v>
      </c>
    </row>
    <row r="2620" s="2" customFormat="1" spans="1:16">
      <c r="A2620" s="8"/>
      <c r="B2620" s="9" t="s">
        <v>3840</v>
      </c>
      <c r="C2620" s="10" t="s">
        <v>990</v>
      </c>
      <c r="D2620" s="11">
        <v>1</v>
      </c>
      <c r="E2620" s="12">
        <v>3400</v>
      </c>
      <c r="F2620" s="13">
        <v>3400</v>
      </c>
      <c r="G2620" s="2">
        <f>VLOOKUP(B2620,'PO with created By ASR'!A:C,3,FALSE)</f>
        <v>45709</v>
      </c>
      <c r="J2620" s="2" t="str">
        <f>VLOOKUP(B2620,'PO with created By ASR'!A:G,4,FALSE)</f>
        <v>Shree Vision-Mum</v>
      </c>
      <c r="K2620" s="2" t="str">
        <f>VLOOKUP(B2620,'PO with created By ASR'!A:I,6,FALSE)</f>
        <v>12401 Shree Vision</v>
      </c>
      <c r="L2620" s="2" t="str">
        <f>VLOOKUP(B2620,'PO with created By ASR'!A:J,7,FALSE)</f>
        <v>A - Mumbai</v>
      </c>
      <c r="M2620" s="2" t="str">
        <f>VLOOKUP(B2620,'PO with created By ASR'!A:K,8,FALSE)</f>
        <v>Purchase Order-Mum</v>
      </c>
      <c r="N2620" t="s">
        <v>36</v>
      </c>
      <c r="P2620" s="2">
        <v>6</v>
      </c>
    </row>
    <row r="2621" s="2" customFormat="1" spans="1:16">
      <c r="A2621" s="8"/>
      <c r="B2621" s="9" t="s">
        <v>3841</v>
      </c>
      <c r="C2621" s="10" t="s">
        <v>151</v>
      </c>
      <c r="D2621" s="11">
        <v>1</v>
      </c>
      <c r="E2621" s="12">
        <v>16000</v>
      </c>
      <c r="F2621" s="13">
        <v>16000</v>
      </c>
      <c r="G2621" s="2">
        <f>VLOOKUP(B2621,'PO with created By ASR'!A:C,3,FALSE)</f>
        <v>45709</v>
      </c>
      <c r="J2621" s="2" t="str">
        <f>VLOOKUP(B2621,'PO with created By ASR'!A:G,4,FALSE)</f>
        <v>Woodcraft Production-Mum</v>
      </c>
      <c r="K2621" s="2" t="str">
        <f>VLOOKUP(B2621,'PO with created By ASR'!A:I,6,FALSE)</f>
        <v>12630 Woodcraft Production</v>
      </c>
      <c r="L2621" s="2" t="str">
        <f>VLOOKUP(B2621,'PO with created By ASR'!A:J,7,FALSE)</f>
        <v>A - Mumbai</v>
      </c>
      <c r="M2621" s="2" t="str">
        <f>VLOOKUP(B2621,'PO with created By ASR'!A:K,8,FALSE)</f>
        <v>Purchase Order-Mum</v>
      </c>
      <c r="N2621" t="s">
        <v>36</v>
      </c>
      <c r="P2621" s="2">
        <v>6</v>
      </c>
    </row>
    <row r="2622" s="2" customFormat="1" spans="1:16">
      <c r="A2622" s="8"/>
      <c r="B2622" s="9" t="s">
        <v>3842</v>
      </c>
      <c r="C2622" s="10" t="s">
        <v>151</v>
      </c>
      <c r="D2622" s="11">
        <v>1</v>
      </c>
      <c r="E2622" s="12">
        <v>5000</v>
      </c>
      <c r="F2622" s="13">
        <v>5000</v>
      </c>
      <c r="G2622" s="2">
        <f>VLOOKUP(B2622,'PO with created By ASR'!A:C,3,FALSE)</f>
        <v>45709</v>
      </c>
      <c r="J2622" s="2" t="str">
        <f>VLOOKUP(B2622,'PO with created By ASR'!A:G,4,FALSE)</f>
        <v>Adapt Affairs Solutions LLP (New)-Mum</v>
      </c>
      <c r="K2622" s="2" t="str">
        <f>VLOOKUP(B2622,'PO with created By ASR'!A:I,6,FALSE)</f>
        <v>11641 Adapt Affairs Solutions LLP (New)</v>
      </c>
      <c r="L2622" s="2" t="str">
        <f>VLOOKUP(B2622,'PO with created By ASR'!A:J,7,FALSE)</f>
        <v>A - Mumbai</v>
      </c>
      <c r="M2622" s="2" t="str">
        <f>VLOOKUP(B2622,'PO with created By ASR'!A:K,8,FALSE)</f>
        <v>Purchase Order-Mum</v>
      </c>
      <c r="N2622" t="s">
        <v>36</v>
      </c>
      <c r="P2622" s="2">
        <v>6</v>
      </c>
    </row>
    <row r="2623" s="2" customFormat="1" spans="1:16">
      <c r="A2623" s="8"/>
      <c r="B2623" s="9" t="s">
        <v>3845</v>
      </c>
      <c r="C2623" s="10" t="s">
        <v>347</v>
      </c>
      <c r="D2623" s="11">
        <v>1</v>
      </c>
      <c r="E2623" s="12">
        <v>246000</v>
      </c>
      <c r="F2623" s="13">
        <v>246000</v>
      </c>
      <c r="G2623" s="2">
        <f>VLOOKUP(B2623,'PO with created By ASR'!A:C,3,FALSE)</f>
        <v>45709</v>
      </c>
      <c r="J2623" s="2" t="str">
        <f>VLOOKUP(B2623,'PO with created By ASR'!A:G,4,FALSE)</f>
        <v>Stonks Studios LLP (CR)-Mum</v>
      </c>
      <c r="K2623" s="2" t="e">
        <f>VLOOKUP(B2623,'PO with created By ASR'!A:I,6,FALSE)</f>
        <v>#N/A</v>
      </c>
      <c r="L2623" s="2" t="str">
        <f>VLOOKUP(B2623,'PO with created By ASR'!A:J,7,FALSE)</f>
        <v>A - Mumbai</v>
      </c>
      <c r="M2623" s="2" t="str">
        <f>VLOOKUP(B2623,'PO with created By ASR'!A:K,8,FALSE)</f>
        <v>Purchase Order-Mum</v>
      </c>
      <c r="N2623" t="s">
        <v>36</v>
      </c>
      <c r="P2623" s="2">
        <v>6</v>
      </c>
    </row>
    <row r="2624" s="2" customFormat="1" spans="1:16">
      <c r="A2624" s="8"/>
      <c r="B2624" s="9" t="s">
        <v>3847</v>
      </c>
      <c r="C2624" s="10" t="s">
        <v>61</v>
      </c>
      <c r="D2624" s="11">
        <v>1</v>
      </c>
      <c r="E2624" s="12">
        <v>145350</v>
      </c>
      <c r="F2624" s="13">
        <v>145350</v>
      </c>
      <c r="G2624" s="2">
        <f>VLOOKUP(B2624,'PO with created By ASR'!A:C,3,FALSE)</f>
        <v>45709</v>
      </c>
      <c r="J2624" s="2" t="str">
        <f>VLOOKUP(B2624,'PO with created By ASR'!A:G,4,FALSE)</f>
        <v>Trident Nariman Point-Mum</v>
      </c>
      <c r="K2624" s="2" t="str">
        <f>VLOOKUP(B2624,'PO with created By ASR'!A:I,6,FALSE)</f>
        <v>12925  Trident Nariman Point</v>
      </c>
      <c r="L2624" s="2" t="str">
        <f>VLOOKUP(B2624,'PO with created By ASR'!A:J,7,FALSE)</f>
        <v>A - Mumbai</v>
      </c>
      <c r="M2624" s="2" t="str">
        <f>VLOOKUP(B2624,'PO with created By ASR'!A:K,8,FALSE)</f>
        <v>Purchase Order-Mum</v>
      </c>
      <c r="N2624" t="s">
        <v>36</v>
      </c>
      <c r="P2624" s="2">
        <v>6</v>
      </c>
    </row>
    <row r="2625" s="2" customFormat="1" spans="1:16">
      <c r="A2625" s="8"/>
      <c r="B2625" s="9" t="s">
        <v>3851</v>
      </c>
      <c r="C2625" s="10" t="s">
        <v>317</v>
      </c>
      <c r="D2625" s="11">
        <v>1</v>
      </c>
      <c r="E2625" s="12">
        <v>50000</v>
      </c>
      <c r="F2625" s="13">
        <v>50000</v>
      </c>
      <c r="G2625" s="2">
        <f>VLOOKUP(B2625,'PO with created By ASR'!A:C,3,FALSE)</f>
        <v>45709</v>
      </c>
      <c r="J2625" s="2" t="str">
        <f>VLOOKUP(B2625,'PO with created By ASR'!A:G,4,FALSE)</f>
        <v>KG Movie-Mum</v>
      </c>
      <c r="K2625" s="2" t="str">
        <f>VLOOKUP(B2625,'PO with created By ASR'!A:I,6,FALSE)</f>
        <v>12076 KG Movie</v>
      </c>
      <c r="L2625" s="2" t="str">
        <f>VLOOKUP(B2625,'PO with created By ASR'!A:J,7,FALSE)</f>
        <v>A - Mumbai</v>
      </c>
      <c r="M2625" s="2" t="str">
        <f>VLOOKUP(B2625,'PO with created By ASR'!A:K,8,FALSE)</f>
        <v>Purchase Order-Mum</v>
      </c>
      <c r="N2625" t="s">
        <v>36</v>
      </c>
      <c r="P2625" s="2">
        <v>6</v>
      </c>
    </row>
    <row r="2626" s="2" customFormat="1" spans="1:16">
      <c r="A2626" s="8"/>
      <c r="B2626" s="9" t="s">
        <v>3852</v>
      </c>
      <c r="C2626" s="10" t="s">
        <v>347</v>
      </c>
      <c r="D2626" s="11">
        <v>1</v>
      </c>
      <c r="E2626" s="12">
        <v>3000000</v>
      </c>
      <c r="F2626" s="13">
        <v>3000000</v>
      </c>
      <c r="G2626" s="2">
        <f>VLOOKUP(B2626,'PO with created By ASR'!A:C,3,FALSE)</f>
        <v>45709</v>
      </c>
      <c r="J2626" s="2" t="str">
        <f>VLOOKUP(B2626,'PO with created By ASR'!A:G,4,FALSE)</f>
        <v>Ravishankar Shastri-Mum</v>
      </c>
      <c r="K2626" s="2" t="str">
        <f>VLOOKUP(B2626,'PO with created By ASR'!A:I,6,FALSE)</f>
        <v>12933 Ravishankar Shastri</v>
      </c>
      <c r="L2626" s="2" t="str">
        <f>VLOOKUP(B2626,'PO with created By ASR'!A:J,7,FALSE)</f>
        <v>A - Mumbai</v>
      </c>
      <c r="M2626" s="2" t="str">
        <f>VLOOKUP(B2626,'PO with created By ASR'!A:K,8,FALSE)</f>
        <v>Purchase Order-Mum</v>
      </c>
      <c r="N2626" t="s">
        <v>36</v>
      </c>
      <c r="P2626" s="2">
        <v>6</v>
      </c>
    </row>
    <row r="2627" s="2" customFormat="1" spans="1:16">
      <c r="A2627" s="8"/>
      <c r="B2627" s="9" t="s">
        <v>3855</v>
      </c>
      <c r="C2627" s="10" t="s">
        <v>317</v>
      </c>
      <c r="D2627" s="11">
        <v>1</v>
      </c>
      <c r="E2627" s="12">
        <v>502000</v>
      </c>
      <c r="F2627" s="13">
        <v>502000</v>
      </c>
      <c r="G2627" s="2">
        <f>VLOOKUP(B2627,'PO with created By ASR'!A:C,3,FALSE)</f>
        <v>45709</v>
      </c>
      <c r="J2627" s="2" t="str">
        <f>VLOOKUP(B2627,'PO with created By ASR'!A:G,4,FALSE)</f>
        <v>Padma Wedding Decor (OTV)-Mum</v>
      </c>
      <c r="K2627" s="2" t="str">
        <f>VLOOKUP(B2627,'PO with created By ASR'!A:I,6,FALSE)</f>
        <v>12916 Padma Wedding Decor (OTV)</v>
      </c>
      <c r="L2627" s="2" t="str">
        <f>VLOOKUP(B2627,'PO with created By ASR'!A:J,7,FALSE)</f>
        <v>A - Mumbai</v>
      </c>
      <c r="M2627" s="2" t="str">
        <f>VLOOKUP(B2627,'PO with created By ASR'!A:K,8,FALSE)</f>
        <v>Purchase Order-Mum</v>
      </c>
      <c r="N2627" t="s">
        <v>36</v>
      </c>
      <c r="P2627" s="2">
        <v>6</v>
      </c>
    </row>
    <row r="2628" s="2" customFormat="1" spans="1:16">
      <c r="A2628" s="8"/>
      <c r="B2628" s="9" t="s">
        <v>3858</v>
      </c>
      <c r="C2628" s="10" t="s">
        <v>317</v>
      </c>
      <c r="D2628" s="11">
        <v>1</v>
      </c>
      <c r="E2628" s="12">
        <v>90000</v>
      </c>
      <c r="F2628" s="13">
        <v>90000</v>
      </c>
      <c r="G2628" s="2">
        <f>VLOOKUP(B2628,'PO with created By ASR'!A:C,3,FALSE)</f>
        <v>45709</v>
      </c>
      <c r="J2628" s="2" t="str">
        <f>VLOOKUP(B2628,'PO with created By ASR'!A:G,4,FALSE)</f>
        <v>Diya Event and Promotions-Mum</v>
      </c>
      <c r="K2628" s="2" t="str">
        <f>VLOOKUP(B2628,'PO with created By ASR'!A:I,6,FALSE)</f>
        <v>11833 Diya Event and Promotions</v>
      </c>
      <c r="L2628" s="2" t="str">
        <f>VLOOKUP(B2628,'PO with created By ASR'!A:J,7,FALSE)</f>
        <v>A - Mumbai</v>
      </c>
      <c r="M2628" s="2" t="str">
        <f>VLOOKUP(B2628,'PO with created By ASR'!A:K,8,FALSE)</f>
        <v>Purchase Order-Mum</v>
      </c>
      <c r="N2628" t="s">
        <v>36</v>
      </c>
      <c r="P2628" s="2">
        <v>6</v>
      </c>
    </row>
    <row r="2629" s="2" customFormat="1" spans="1:16">
      <c r="A2629" s="8"/>
      <c r="B2629" s="9" t="s">
        <v>3859</v>
      </c>
      <c r="C2629" s="10" t="s">
        <v>140</v>
      </c>
      <c r="D2629" s="11">
        <v>1</v>
      </c>
      <c r="E2629" s="12">
        <v>380100</v>
      </c>
      <c r="F2629" s="13">
        <v>380100</v>
      </c>
      <c r="G2629" s="2">
        <f>VLOOKUP(B2629,'PO with created By ASR'!A:C,3,FALSE)</f>
        <v>45712</v>
      </c>
      <c r="J2629" s="2" t="str">
        <f>VLOOKUP(B2629,'PO with created By ASR'!A:G,4,FALSE)</f>
        <v>Idesign Awards &amp; Trophies Pvt Ltd-Blr</v>
      </c>
      <c r="K2629" s="2" t="str">
        <f>VLOOKUP(B2629,'PO with created By ASR'!A:I,6,FALSE)</f>
        <v>10159  Idesign Awards &amp; Trophies Pvt Ltd</v>
      </c>
      <c r="L2629" s="2" t="str">
        <f>VLOOKUP(B2629,'PO with created By ASR'!A:J,7,FALSE)</f>
        <v>B - Bangalore</v>
      </c>
      <c r="M2629" s="2" t="str">
        <f>VLOOKUP(B2629,'PO with created By ASR'!A:K,8,FALSE)</f>
        <v>Purchase Order-Blr</v>
      </c>
      <c r="N2629" t="s">
        <v>36</v>
      </c>
      <c r="P2629" s="2">
        <v>6</v>
      </c>
    </row>
    <row r="2630" s="2" customFormat="1" spans="1:16">
      <c r="A2630" s="8"/>
      <c r="B2630" s="9" t="s">
        <v>3860</v>
      </c>
      <c r="C2630" s="10" t="s">
        <v>140</v>
      </c>
      <c r="D2630" s="11">
        <v>1</v>
      </c>
      <c r="E2630" s="12">
        <v>180360</v>
      </c>
      <c r="F2630" s="13">
        <v>180360</v>
      </c>
      <c r="G2630" s="2">
        <f>VLOOKUP(B2630,'PO with created By ASR'!A:C,3,FALSE)</f>
        <v>45712</v>
      </c>
      <c r="J2630" s="2" t="str">
        <f>VLOOKUP(B2630,'PO with created By ASR'!A:G,4,FALSE)</f>
        <v>Ace Print Pack-Blr</v>
      </c>
      <c r="K2630" s="2" t="str">
        <f>VLOOKUP(B2630,'PO with created By ASR'!A:I,6,FALSE)</f>
        <v>11637 Ace Print Pack</v>
      </c>
      <c r="L2630" s="2" t="str">
        <f>VLOOKUP(B2630,'PO with created By ASR'!A:J,7,FALSE)</f>
        <v>B - Bangalore</v>
      </c>
      <c r="M2630" s="2" t="str">
        <f>VLOOKUP(B2630,'PO with created By ASR'!A:K,8,FALSE)</f>
        <v>Purchase Order-Blr</v>
      </c>
      <c r="N2630" t="s">
        <v>36</v>
      </c>
      <c r="P2630" s="2">
        <v>6</v>
      </c>
    </row>
    <row r="2631" s="2" customFormat="1" spans="1:16">
      <c r="A2631" s="8"/>
      <c r="B2631" s="9" t="s">
        <v>3863</v>
      </c>
      <c r="C2631" s="10" t="s">
        <v>292</v>
      </c>
      <c r="D2631" s="11">
        <v>1</v>
      </c>
      <c r="E2631" s="12">
        <v>47200</v>
      </c>
      <c r="F2631" s="13">
        <v>47200</v>
      </c>
      <c r="G2631" s="2">
        <f>VLOOKUP(B2631,'PO with created By ASR'!A:C,3,FALSE)</f>
        <v>45712</v>
      </c>
      <c r="J2631" s="2" t="str">
        <f>VLOOKUP(B2631,'PO with created By ASR'!A:G,4,FALSE)</f>
        <v>Skypillars Manpower Agency-Blr</v>
      </c>
      <c r="K2631" s="2" t="str">
        <f>VLOOKUP(B2631,'PO with created By ASR'!A:I,6,FALSE)</f>
        <v>12418 Skypillars Manpower Agency</v>
      </c>
      <c r="L2631" s="2" t="str">
        <f>VLOOKUP(B2631,'PO with created By ASR'!A:J,7,FALSE)</f>
        <v>B - Bangalore</v>
      </c>
      <c r="M2631" s="2" t="str">
        <f>VLOOKUP(B2631,'PO with created By ASR'!A:K,8,FALSE)</f>
        <v>Purchase Order-Blr</v>
      </c>
      <c r="N2631" t="s">
        <v>36</v>
      </c>
      <c r="P2631" s="2">
        <v>6</v>
      </c>
    </row>
    <row r="2632" s="2" customFormat="1" spans="1:16">
      <c r="A2632" s="8"/>
      <c r="B2632" s="9" t="s">
        <v>3864</v>
      </c>
      <c r="C2632" s="10" t="s">
        <v>412</v>
      </c>
      <c r="D2632" s="11">
        <v>1</v>
      </c>
      <c r="E2632" s="12">
        <v>5024</v>
      </c>
      <c r="F2632" s="13">
        <v>5024</v>
      </c>
      <c r="G2632" s="2">
        <f>VLOOKUP(B2632,'PO with created By ASR'!A:C,3,FALSE)</f>
        <v>45712</v>
      </c>
      <c r="J2632" s="2" t="str">
        <f>VLOOKUP(B2632,'PO with created By ASR'!A:G,4,FALSE)</f>
        <v>Vishal Chandran  -CR</v>
      </c>
      <c r="K2632" s="2" t="e">
        <f>VLOOKUP(B2632,'PO with created By ASR'!A:I,6,FALSE)</f>
        <v>#N/A</v>
      </c>
      <c r="L2632" s="2" t="str">
        <f>VLOOKUP(B2632,'PO with created By ASR'!A:J,7,FALSE)</f>
        <v>B - Bangalore</v>
      </c>
      <c r="M2632" s="2" t="str">
        <f>VLOOKUP(B2632,'PO with created By ASR'!A:K,8,FALSE)</f>
        <v>Purchase Order-Blr</v>
      </c>
      <c r="N2632" t="s">
        <v>36</v>
      </c>
      <c r="P2632" s="2">
        <v>6</v>
      </c>
    </row>
    <row r="2633" s="2" customFormat="1" spans="1:16">
      <c r="A2633" s="8"/>
      <c r="B2633" s="9" t="s">
        <v>3868</v>
      </c>
      <c r="C2633" s="10" t="s">
        <v>126</v>
      </c>
      <c r="D2633" s="11">
        <v>1</v>
      </c>
      <c r="E2633" s="12">
        <v>904</v>
      </c>
      <c r="F2633" s="13">
        <v>904</v>
      </c>
      <c r="G2633" s="2">
        <f>VLOOKUP(B2633,'PO with created By ASR'!A:C,3,FALSE)</f>
        <v>45712</v>
      </c>
      <c r="J2633" s="2" t="str">
        <f>VLOOKUP(B2633,'PO with created By ASR'!A:G,4,FALSE)</f>
        <v>Shiva Shankar  -CR</v>
      </c>
      <c r="K2633" s="2" t="e">
        <f>VLOOKUP(B2633,'PO with created By ASR'!A:I,6,FALSE)</f>
        <v>#N/A</v>
      </c>
      <c r="L2633" s="2" t="str">
        <f>VLOOKUP(B2633,'PO with created By ASR'!A:J,7,FALSE)</f>
        <v>B - Bangalore</v>
      </c>
      <c r="M2633" s="2" t="str">
        <f>VLOOKUP(B2633,'PO with created By ASR'!A:K,8,FALSE)</f>
        <v>Purchase Order-Blr</v>
      </c>
      <c r="N2633" t="s">
        <v>36</v>
      </c>
      <c r="P2633" s="2">
        <v>6</v>
      </c>
    </row>
    <row r="2634" s="2" customFormat="1" spans="1:16">
      <c r="A2634" s="8"/>
      <c r="B2634" s="9" t="s">
        <v>3868</v>
      </c>
      <c r="C2634" s="10" t="s">
        <v>1055</v>
      </c>
      <c r="D2634" s="11">
        <v>1</v>
      </c>
      <c r="E2634" s="12">
        <v>290</v>
      </c>
      <c r="F2634" s="13">
        <v>290</v>
      </c>
      <c r="G2634" s="2">
        <f>VLOOKUP(B2634,'PO with created By ASR'!A:C,3,FALSE)</f>
        <v>45712</v>
      </c>
      <c r="J2634" s="2" t="str">
        <f>VLOOKUP(B2634,'PO with created By ASR'!A:G,4,FALSE)</f>
        <v>Shiva Shankar  -CR</v>
      </c>
      <c r="K2634" s="2" t="e">
        <f>VLOOKUP(B2634,'PO with created By ASR'!A:I,6,FALSE)</f>
        <v>#N/A</v>
      </c>
      <c r="L2634" s="2" t="str">
        <f>VLOOKUP(B2634,'PO with created By ASR'!A:J,7,FALSE)</f>
        <v>B - Bangalore</v>
      </c>
      <c r="M2634" s="2" t="str">
        <f>VLOOKUP(B2634,'PO with created By ASR'!A:K,8,FALSE)</f>
        <v>Purchase Order-Blr</v>
      </c>
      <c r="N2634" t="s">
        <v>36</v>
      </c>
      <c r="P2634" s="2">
        <v>6</v>
      </c>
    </row>
    <row r="2635" s="2" customFormat="1" spans="1:16">
      <c r="A2635" s="8"/>
      <c r="B2635" s="9" t="s">
        <v>3868</v>
      </c>
      <c r="C2635" s="10" t="s">
        <v>412</v>
      </c>
      <c r="D2635" s="11">
        <v>1</v>
      </c>
      <c r="E2635" s="12">
        <v>1066</v>
      </c>
      <c r="F2635" s="13">
        <v>1066</v>
      </c>
      <c r="G2635" s="2">
        <f>VLOOKUP(B2635,'PO with created By ASR'!A:C,3,FALSE)</f>
        <v>45712</v>
      </c>
      <c r="J2635" s="2" t="str">
        <f>VLOOKUP(B2635,'PO with created By ASR'!A:G,4,FALSE)</f>
        <v>Shiva Shankar  -CR</v>
      </c>
      <c r="K2635" s="2" t="e">
        <f>VLOOKUP(B2635,'PO with created By ASR'!A:I,6,FALSE)</f>
        <v>#N/A</v>
      </c>
      <c r="L2635" s="2" t="str">
        <f>VLOOKUP(B2635,'PO with created By ASR'!A:J,7,FALSE)</f>
        <v>B - Bangalore</v>
      </c>
      <c r="M2635" s="2" t="str">
        <f>VLOOKUP(B2635,'PO with created By ASR'!A:K,8,FALSE)</f>
        <v>Purchase Order-Blr</v>
      </c>
      <c r="N2635" t="s">
        <v>36</v>
      </c>
      <c r="P2635" s="2">
        <v>6</v>
      </c>
    </row>
    <row r="2636" s="2" customFormat="1" spans="1:16">
      <c r="A2636" s="8"/>
      <c r="B2636" s="9" t="s">
        <v>3869</v>
      </c>
      <c r="C2636" s="10" t="s">
        <v>233</v>
      </c>
      <c r="D2636" s="11">
        <v>1</v>
      </c>
      <c r="E2636" s="12">
        <v>10000</v>
      </c>
      <c r="F2636" s="13">
        <v>10000</v>
      </c>
      <c r="G2636" s="2">
        <f>VLOOKUP(B2636,'PO with created By ASR'!A:C,3,FALSE)</f>
        <v>45712</v>
      </c>
      <c r="J2636" s="2" t="str">
        <f>VLOOKUP(B2636,'PO with created By ASR'!A:G,4,FALSE)</f>
        <v>Smartping AI Pvt Ltd (OTV)-Blr</v>
      </c>
      <c r="K2636" s="2" t="str">
        <f>VLOOKUP(B2636,'PO with created By ASR'!A:I,6,FALSE)</f>
        <v>12974  Smartping AI Pvt Ltd (OTV)</v>
      </c>
      <c r="L2636" s="2" t="str">
        <f>VLOOKUP(B2636,'PO with created By ASR'!A:J,7,FALSE)</f>
        <v>B - Bangalore</v>
      </c>
      <c r="M2636" s="2" t="str">
        <f>VLOOKUP(B2636,'PO with created By ASR'!A:K,8,FALSE)</f>
        <v>Purchase Order-Blr</v>
      </c>
      <c r="N2636" t="s">
        <v>36</v>
      </c>
      <c r="P2636" s="2">
        <v>6</v>
      </c>
    </row>
    <row r="2637" s="2" customFormat="1" spans="1:16">
      <c r="A2637" s="8"/>
      <c r="B2637" s="9" t="s">
        <v>3873</v>
      </c>
      <c r="C2637" s="10" t="s">
        <v>126</v>
      </c>
      <c r="D2637" s="11">
        <v>1</v>
      </c>
      <c r="E2637" s="12">
        <v>6370</v>
      </c>
      <c r="F2637" s="13">
        <v>6370</v>
      </c>
      <c r="G2637" s="2">
        <f>VLOOKUP(B2637,'PO with created By ASR'!A:C,3,FALSE)</f>
        <v>45712</v>
      </c>
      <c r="J2637" s="2" t="str">
        <f>VLOOKUP(B2637,'PO with created By ASR'!A:G,4,FALSE)</f>
        <v>Nandini Nair -CR</v>
      </c>
      <c r="K2637" s="2" t="e">
        <f>VLOOKUP(B2637,'PO with created By ASR'!A:I,6,FALSE)</f>
        <v>#N/A</v>
      </c>
      <c r="L2637" s="2" t="str">
        <f>VLOOKUP(B2637,'PO with created By ASR'!A:J,7,FALSE)</f>
        <v>B - Bangalore</v>
      </c>
      <c r="M2637" s="2" t="str">
        <f>VLOOKUP(B2637,'PO with created By ASR'!A:K,8,FALSE)</f>
        <v>Purchase Order-Blr</v>
      </c>
      <c r="N2637" t="s">
        <v>36</v>
      </c>
      <c r="P2637" s="2">
        <v>6</v>
      </c>
    </row>
    <row r="2638" s="2" customFormat="1" spans="1:16">
      <c r="A2638" s="8"/>
      <c r="B2638" s="9" t="s">
        <v>3873</v>
      </c>
      <c r="C2638" s="10" t="s">
        <v>412</v>
      </c>
      <c r="D2638" s="11">
        <v>1</v>
      </c>
      <c r="E2638" s="12">
        <v>300</v>
      </c>
      <c r="F2638" s="13">
        <v>300</v>
      </c>
      <c r="G2638" s="2">
        <f>VLOOKUP(B2638,'PO with created By ASR'!A:C,3,FALSE)</f>
        <v>45712</v>
      </c>
      <c r="J2638" s="2" t="str">
        <f>VLOOKUP(B2638,'PO with created By ASR'!A:G,4,FALSE)</f>
        <v>Nandini Nair -CR</v>
      </c>
      <c r="K2638" s="2" t="e">
        <f>VLOOKUP(B2638,'PO with created By ASR'!A:I,6,FALSE)</f>
        <v>#N/A</v>
      </c>
      <c r="L2638" s="2" t="str">
        <f>VLOOKUP(B2638,'PO with created By ASR'!A:J,7,FALSE)</f>
        <v>B - Bangalore</v>
      </c>
      <c r="M2638" s="2" t="str">
        <f>VLOOKUP(B2638,'PO with created By ASR'!A:K,8,FALSE)</f>
        <v>Purchase Order-Blr</v>
      </c>
      <c r="N2638" t="s">
        <v>36</v>
      </c>
      <c r="P2638" s="2">
        <v>6</v>
      </c>
    </row>
    <row r="2639" s="2" customFormat="1" spans="1:16">
      <c r="A2639" s="8"/>
      <c r="B2639" s="9" t="s">
        <v>3874</v>
      </c>
      <c r="C2639" s="10" t="s">
        <v>126</v>
      </c>
      <c r="D2639" s="11">
        <v>1</v>
      </c>
      <c r="E2639" s="12">
        <v>1608</v>
      </c>
      <c r="F2639" s="13">
        <v>1608</v>
      </c>
      <c r="G2639" s="2">
        <f>VLOOKUP(B2639,'PO with created By ASR'!A:C,3,FALSE)</f>
        <v>45712</v>
      </c>
      <c r="J2639" s="2" t="str">
        <f>VLOOKUP(B2639,'PO with created By ASR'!A:G,4,FALSE)</f>
        <v>Mahesh D  -CR</v>
      </c>
      <c r="K2639" s="2" t="e">
        <f>VLOOKUP(B2639,'PO with created By ASR'!A:I,6,FALSE)</f>
        <v>#N/A</v>
      </c>
      <c r="L2639" s="2" t="str">
        <f>VLOOKUP(B2639,'PO with created By ASR'!A:J,7,FALSE)</f>
        <v>B - Bangalore</v>
      </c>
      <c r="M2639" s="2" t="str">
        <f>VLOOKUP(B2639,'PO with created By ASR'!A:K,8,FALSE)</f>
        <v>Purchase Order-Blr</v>
      </c>
      <c r="N2639" t="s">
        <v>36</v>
      </c>
      <c r="P2639" s="2">
        <v>6</v>
      </c>
    </row>
    <row r="2640" s="2" customFormat="1" spans="1:16">
      <c r="A2640" s="8"/>
      <c r="B2640" s="9" t="s">
        <v>3874</v>
      </c>
      <c r="C2640" s="10" t="s">
        <v>412</v>
      </c>
      <c r="D2640" s="11">
        <v>1</v>
      </c>
      <c r="E2640" s="12">
        <v>8832</v>
      </c>
      <c r="F2640" s="13">
        <v>8832</v>
      </c>
      <c r="G2640" s="2">
        <f>VLOOKUP(B2640,'PO with created By ASR'!A:C,3,FALSE)</f>
        <v>45712</v>
      </c>
      <c r="J2640" s="2" t="str">
        <f>VLOOKUP(B2640,'PO with created By ASR'!A:G,4,FALSE)</f>
        <v>Mahesh D  -CR</v>
      </c>
      <c r="K2640" s="2" t="e">
        <f>VLOOKUP(B2640,'PO with created By ASR'!A:I,6,FALSE)</f>
        <v>#N/A</v>
      </c>
      <c r="L2640" s="2" t="str">
        <f>VLOOKUP(B2640,'PO with created By ASR'!A:J,7,FALSE)</f>
        <v>B - Bangalore</v>
      </c>
      <c r="M2640" s="2" t="str">
        <f>VLOOKUP(B2640,'PO with created By ASR'!A:K,8,FALSE)</f>
        <v>Purchase Order-Blr</v>
      </c>
      <c r="N2640" t="s">
        <v>36</v>
      </c>
      <c r="P2640" s="2">
        <v>6</v>
      </c>
    </row>
    <row r="2641" s="2" customFormat="1" spans="1:16">
      <c r="A2641" s="8"/>
      <c r="B2641" s="9" t="s">
        <v>3874</v>
      </c>
      <c r="C2641" s="10" t="s">
        <v>61</v>
      </c>
      <c r="D2641" s="11">
        <v>1</v>
      </c>
      <c r="E2641" s="12">
        <v>3500</v>
      </c>
      <c r="F2641" s="13">
        <v>3500</v>
      </c>
      <c r="G2641" s="2">
        <f>VLOOKUP(B2641,'PO with created By ASR'!A:C,3,FALSE)</f>
        <v>45712</v>
      </c>
      <c r="J2641" s="2" t="str">
        <f>VLOOKUP(B2641,'PO with created By ASR'!A:G,4,FALSE)</f>
        <v>Mahesh D  -CR</v>
      </c>
      <c r="K2641" s="2" t="e">
        <f>VLOOKUP(B2641,'PO with created By ASR'!A:I,6,FALSE)</f>
        <v>#N/A</v>
      </c>
      <c r="L2641" s="2" t="str">
        <f>VLOOKUP(B2641,'PO with created By ASR'!A:J,7,FALSE)</f>
        <v>B - Bangalore</v>
      </c>
      <c r="M2641" s="2" t="str">
        <f>VLOOKUP(B2641,'PO with created By ASR'!A:K,8,FALSE)</f>
        <v>Purchase Order-Blr</v>
      </c>
      <c r="N2641" t="s">
        <v>36</v>
      </c>
      <c r="P2641" s="2">
        <v>6</v>
      </c>
    </row>
    <row r="2642" s="2" customFormat="1" spans="1:16">
      <c r="A2642" s="8"/>
      <c r="B2642" s="9" t="s">
        <v>3874</v>
      </c>
      <c r="C2642" s="10" t="s">
        <v>1055</v>
      </c>
      <c r="D2642" s="11">
        <v>1</v>
      </c>
      <c r="E2642" s="12">
        <v>232</v>
      </c>
      <c r="F2642" s="13">
        <v>232</v>
      </c>
      <c r="G2642" s="2">
        <f>VLOOKUP(B2642,'PO with created By ASR'!A:C,3,FALSE)</f>
        <v>45712</v>
      </c>
      <c r="J2642" s="2" t="str">
        <f>VLOOKUP(B2642,'PO with created By ASR'!A:G,4,FALSE)</f>
        <v>Mahesh D  -CR</v>
      </c>
      <c r="K2642" s="2" t="e">
        <f>VLOOKUP(B2642,'PO with created By ASR'!A:I,6,FALSE)</f>
        <v>#N/A</v>
      </c>
      <c r="L2642" s="2" t="str">
        <f>VLOOKUP(B2642,'PO with created By ASR'!A:J,7,FALSE)</f>
        <v>B - Bangalore</v>
      </c>
      <c r="M2642" s="2" t="str">
        <f>VLOOKUP(B2642,'PO with created By ASR'!A:K,8,FALSE)</f>
        <v>Purchase Order-Blr</v>
      </c>
      <c r="N2642" t="s">
        <v>36</v>
      </c>
      <c r="P2642" s="2">
        <v>6</v>
      </c>
    </row>
    <row r="2643" s="2" customFormat="1" spans="1:16">
      <c r="A2643" s="8"/>
      <c r="B2643" s="9" t="s">
        <v>3874</v>
      </c>
      <c r="C2643" s="10" t="s">
        <v>292</v>
      </c>
      <c r="D2643" s="11">
        <v>1</v>
      </c>
      <c r="E2643" s="12">
        <v>1200</v>
      </c>
      <c r="F2643" s="13">
        <v>1200</v>
      </c>
      <c r="G2643" s="2">
        <f>VLOOKUP(B2643,'PO with created By ASR'!A:C,3,FALSE)</f>
        <v>45712</v>
      </c>
      <c r="J2643" s="2" t="str">
        <f>VLOOKUP(B2643,'PO with created By ASR'!A:G,4,FALSE)</f>
        <v>Mahesh D  -CR</v>
      </c>
      <c r="K2643" s="2" t="e">
        <f>VLOOKUP(B2643,'PO with created By ASR'!A:I,6,FALSE)</f>
        <v>#N/A</v>
      </c>
      <c r="L2643" s="2" t="str">
        <f>VLOOKUP(B2643,'PO with created By ASR'!A:J,7,FALSE)</f>
        <v>B - Bangalore</v>
      </c>
      <c r="M2643" s="2" t="str">
        <f>VLOOKUP(B2643,'PO with created By ASR'!A:K,8,FALSE)</f>
        <v>Purchase Order-Blr</v>
      </c>
      <c r="N2643" t="s">
        <v>36</v>
      </c>
      <c r="P2643" s="2">
        <v>6</v>
      </c>
    </row>
    <row r="2644" s="2" customFormat="1" spans="1:16">
      <c r="A2644" s="8"/>
      <c r="B2644" s="9" t="s">
        <v>3875</v>
      </c>
      <c r="C2644" s="10" t="s">
        <v>126</v>
      </c>
      <c r="D2644" s="11">
        <v>1</v>
      </c>
      <c r="E2644" s="12">
        <v>324</v>
      </c>
      <c r="F2644" s="13">
        <v>324</v>
      </c>
      <c r="G2644" s="2">
        <f>VLOOKUP(B2644,'PO with created By ASR'!A:C,3,FALSE)</f>
        <v>45712</v>
      </c>
      <c r="J2644" s="2" t="str">
        <f>VLOOKUP(B2644,'PO with created By ASR'!A:G,4,FALSE)</f>
        <v>Mahesh D  -CR</v>
      </c>
      <c r="K2644" s="2" t="e">
        <f>VLOOKUP(B2644,'PO with created By ASR'!A:I,6,FALSE)</f>
        <v>#N/A</v>
      </c>
      <c r="L2644" s="2" t="str">
        <f>VLOOKUP(B2644,'PO with created By ASR'!A:J,7,FALSE)</f>
        <v>B - Bangalore</v>
      </c>
      <c r="M2644" s="2" t="str">
        <f>VLOOKUP(B2644,'PO with created By ASR'!A:K,8,FALSE)</f>
        <v>Purchase Order-Blr</v>
      </c>
      <c r="N2644" t="s">
        <v>36</v>
      </c>
      <c r="P2644" s="2">
        <v>6</v>
      </c>
    </row>
    <row r="2645" s="2" customFormat="1" spans="1:16">
      <c r="A2645" s="8"/>
      <c r="B2645" s="9" t="s">
        <v>3875</v>
      </c>
      <c r="C2645" s="10" t="s">
        <v>412</v>
      </c>
      <c r="D2645" s="11">
        <v>1</v>
      </c>
      <c r="E2645" s="12">
        <v>394</v>
      </c>
      <c r="F2645" s="13">
        <v>394</v>
      </c>
      <c r="G2645" s="2">
        <f>VLOOKUP(B2645,'PO with created By ASR'!A:C,3,FALSE)</f>
        <v>45712</v>
      </c>
      <c r="J2645" s="2" t="str">
        <f>VLOOKUP(B2645,'PO with created By ASR'!A:G,4,FALSE)</f>
        <v>Mahesh D  -CR</v>
      </c>
      <c r="K2645" s="2" t="e">
        <f>VLOOKUP(B2645,'PO with created By ASR'!A:I,6,FALSE)</f>
        <v>#N/A</v>
      </c>
      <c r="L2645" s="2" t="str">
        <f>VLOOKUP(B2645,'PO with created By ASR'!A:J,7,FALSE)</f>
        <v>B - Bangalore</v>
      </c>
      <c r="M2645" s="2" t="str">
        <f>VLOOKUP(B2645,'PO with created By ASR'!A:K,8,FALSE)</f>
        <v>Purchase Order-Blr</v>
      </c>
      <c r="N2645" t="s">
        <v>36</v>
      </c>
      <c r="P2645" s="2">
        <v>6</v>
      </c>
    </row>
    <row r="2646" s="2" customFormat="1" spans="1:16">
      <c r="A2646" s="8"/>
      <c r="B2646" s="9" t="s">
        <v>3875</v>
      </c>
      <c r="C2646" s="10" t="s">
        <v>1055</v>
      </c>
      <c r="D2646" s="11">
        <v>1</v>
      </c>
      <c r="E2646" s="12">
        <v>2354</v>
      </c>
      <c r="F2646" s="13">
        <v>2354</v>
      </c>
      <c r="G2646" s="2">
        <f>VLOOKUP(B2646,'PO with created By ASR'!A:C,3,FALSE)</f>
        <v>45712</v>
      </c>
      <c r="J2646" s="2" t="str">
        <f>VLOOKUP(B2646,'PO with created By ASR'!A:G,4,FALSE)</f>
        <v>Mahesh D  -CR</v>
      </c>
      <c r="K2646" s="2" t="e">
        <f>VLOOKUP(B2646,'PO with created By ASR'!A:I,6,FALSE)</f>
        <v>#N/A</v>
      </c>
      <c r="L2646" s="2" t="str">
        <f>VLOOKUP(B2646,'PO with created By ASR'!A:J,7,FALSE)</f>
        <v>B - Bangalore</v>
      </c>
      <c r="M2646" s="2" t="str">
        <f>VLOOKUP(B2646,'PO with created By ASR'!A:K,8,FALSE)</f>
        <v>Purchase Order-Blr</v>
      </c>
      <c r="N2646" t="s">
        <v>36</v>
      </c>
      <c r="P2646" s="2">
        <v>6</v>
      </c>
    </row>
    <row r="2647" s="2" customFormat="1" spans="1:16">
      <c r="A2647" s="8"/>
      <c r="B2647" s="9" t="s">
        <v>3876</v>
      </c>
      <c r="C2647" s="10" t="s">
        <v>126</v>
      </c>
      <c r="D2647" s="11">
        <v>1</v>
      </c>
      <c r="E2647" s="12">
        <v>720</v>
      </c>
      <c r="F2647" s="13">
        <v>720</v>
      </c>
      <c r="G2647" s="2">
        <f>VLOOKUP(B2647,'PO with created By ASR'!A:C,3,FALSE)</f>
        <v>45712</v>
      </c>
      <c r="J2647" s="2" t="str">
        <f>VLOOKUP(B2647,'PO with created By ASR'!A:G,4,FALSE)</f>
        <v>Abdul Rehman -CR</v>
      </c>
      <c r="K2647" s="2" t="e">
        <f>VLOOKUP(B2647,'PO with created By ASR'!A:I,6,FALSE)</f>
        <v>#N/A</v>
      </c>
      <c r="L2647" s="2" t="str">
        <f>VLOOKUP(B2647,'PO with created By ASR'!A:J,7,FALSE)</f>
        <v>B - Bangalore</v>
      </c>
      <c r="M2647" s="2" t="str">
        <f>VLOOKUP(B2647,'PO with created By ASR'!A:K,8,FALSE)</f>
        <v>Purchase Order-Blr</v>
      </c>
      <c r="N2647" t="s">
        <v>36</v>
      </c>
      <c r="P2647" s="2">
        <v>6</v>
      </c>
    </row>
    <row r="2648" s="2" customFormat="1" spans="1:16">
      <c r="A2648" s="8"/>
      <c r="B2648" s="9" t="s">
        <v>3876</v>
      </c>
      <c r="C2648" s="10" t="s">
        <v>233</v>
      </c>
      <c r="D2648" s="11">
        <v>1</v>
      </c>
      <c r="E2648" s="12">
        <v>8110</v>
      </c>
      <c r="F2648" s="13">
        <v>8110</v>
      </c>
      <c r="G2648" s="2">
        <f>VLOOKUP(B2648,'PO with created By ASR'!A:C,3,FALSE)</f>
        <v>45712</v>
      </c>
      <c r="J2648" s="2" t="str">
        <f>VLOOKUP(B2648,'PO with created By ASR'!A:G,4,FALSE)</f>
        <v>Abdul Rehman -CR</v>
      </c>
      <c r="K2648" s="2" t="e">
        <f>VLOOKUP(B2648,'PO with created By ASR'!A:I,6,FALSE)</f>
        <v>#N/A</v>
      </c>
      <c r="L2648" s="2" t="str">
        <f>VLOOKUP(B2648,'PO with created By ASR'!A:J,7,FALSE)</f>
        <v>B - Bangalore</v>
      </c>
      <c r="M2648" s="2" t="str">
        <f>VLOOKUP(B2648,'PO with created By ASR'!A:K,8,FALSE)</f>
        <v>Purchase Order-Blr</v>
      </c>
      <c r="N2648" t="s">
        <v>36</v>
      </c>
      <c r="P2648" s="2">
        <v>6</v>
      </c>
    </row>
    <row r="2649" s="2" customFormat="1" spans="1:16">
      <c r="A2649" s="8"/>
      <c r="B2649" s="9" t="s">
        <v>3876</v>
      </c>
      <c r="C2649" s="10" t="s">
        <v>1055</v>
      </c>
      <c r="D2649" s="11">
        <v>1</v>
      </c>
      <c r="E2649" s="12">
        <v>3500</v>
      </c>
      <c r="F2649" s="13">
        <v>3500</v>
      </c>
      <c r="G2649" s="2">
        <f>VLOOKUP(B2649,'PO with created By ASR'!A:C,3,FALSE)</f>
        <v>45712</v>
      </c>
      <c r="J2649" s="2" t="str">
        <f>VLOOKUP(B2649,'PO with created By ASR'!A:G,4,FALSE)</f>
        <v>Abdul Rehman -CR</v>
      </c>
      <c r="K2649" s="2" t="e">
        <f>VLOOKUP(B2649,'PO with created By ASR'!A:I,6,FALSE)</f>
        <v>#N/A</v>
      </c>
      <c r="L2649" s="2" t="str">
        <f>VLOOKUP(B2649,'PO with created By ASR'!A:J,7,FALSE)</f>
        <v>B - Bangalore</v>
      </c>
      <c r="M2649" s="2" t="str">
        <f>VLOOKUP(B2649,'PO with created By ASR'!A:K,8,FALSE)</f>
        <v>Purchase Order-Blr</v>
      </c>
      <c r="N2649" t="s">
        <v>36</v>
      </c>
      <c r="P2649" s="2">
        <v>6</v>
      </c>
    </row>
    <row r="2650" s="2" customFormat="1" spans="1:16">
      <c r="A2650" s="8"/>
      <c r="B2650" s="9" t="s">
        <v>3876</v>
      </c>
      <c r="C2650" s="10" t="s">
        <v>292</v>
      </c>
      <c r="D2650" s="11">
        <v>1</v>
      </c>
      <c r="E2650" s="12">
        <v>4000</v>
      </c>
      <c r="F2650" s="13">
        <v>4000</v>
      </c>
      <c r="G2650" s="2">
        <f>VLOOKUP(B2650,'PO with created By ASR'!A:C,3,FALSE)</f>
        <v>45712</v>
      </c>
      <c r="J2650" s="2" t="str">
        <f>VLOOKUP(B2650,'PO with created By ASR'!A:G,4,FALSE)</f>
        <v>Abdul Rehman -CR</v>
      </c>
      <c r="K2650" s="2" t="e">
        <f>VLOOKUP(B2650,'PO with created By ASR'!A:I,6,FALSE)</f>
        <v>#N/A</v>
      </c>
      <c r="L2650" s="2" t="str">
        <f>VLOOKUP(B2650,'PO with created By ASR'!A:J,7,FALSE)</f>
        <v>B - Bangalore</v>
      </c>
      <c r="M2650" s="2" t="str">
        <f>VLOOKUP(B2650,'PO with created By ASR'!A:K,8,FALSE)</f>
        <v>Purchase Order-Blr</v>
      </c>
      <c r="N2650" t="s">
        <v>36</v>
      </c>
      <c r="P2650" s="2">
        <v>6</v>
      </c>
    </row>
    <row r="2651" s="2" customFormat="1" spans="1:16">
      <c r="A2651" s="8"/>
      <c r="B2651" s="9" t="s">
        <v>3877</v>
      </c>
      <c r="C2651" s="10" t="s">
        <v>292</v>
      </c>
      <c r="D2651" s="11">
        <v>1</v>
      </c>
      <c r="E2651" s="12">
        <v>5000</v>
      </c>
      <c r="F2651" s="13">
        <v>5000</v>
      </c>
      <c r="G2651" s="2">
        <f>VLOOKUP(B2651,'PO with created By ASR'!A:C,3,FALSE)</f>
        <v>45712</v>
      </c>
      <c r="J2651" s="2" t="str">
        <f>VLOOKUP(B2651,'PO with created By ASR'!A:G,4,FALSE)</f>
        <v>Abdul Rehman -CR</v>
      </c>
      <c r="K2651" s="2" t="e">
        <f>VLOOKUP(B2651,'PO with created By ASR'!A:I,6,FALSE)</f>
        <v>#N/A</v>
      </c>
      <c r="L2651" s="2" t="str">
        <f>VLOOKUP(B2651,'PO with created By ASR'!A:J,7,FALSE)</f>
        <v>B - Bangalore</v>
      </c>
      <c r="M2651" s="2" t="str">
        <f>VLOOKUP(B2651,'PO with created By ASR'!A:K,8,FALSE)</f>
        <v>Purchase Order-Blr</v>
      </c>
      <c r="N2651" t="s">
        <v>36</v>
      </c>
      <c r="P2651" s="2">
        <v>6</v>
      </c>
    </row>
    <row r="2652" s="2" customFormat="1" spans="1:16">
      <c r="A2652" s="8"/>
      <c r="B2652" s="9" t="s">
        <v>3878</v>
      </c>
      <c r="C2652" s="10" t="s">
        <v>126</v>
      </c>
      <c r="D2652" s="11">
        <v>1</v>
      </c>
      <c r="E2652" s="12">
        <v>1065</v>
      </c>
      <c r="F2652" s="13">
        <v>1065</v>
      </c>
      <c r="G2652" s="2">
        <f>VLOOKUP(B2652,'PO with created By ASR'!A:C,3,FALSE)</f>
        <v>45712</v>
      </c>
      <c r="J2652" s="2" t="str">
        <f>VLOOKUP(B2652,'PO with created By ASR'!A:G,4,FALSE)</f>
        <v>Farhan Shariff  -CR</v>
      </c>
      <c r="K2652" s="2" t="e">
        <f>VLOOKUP(B2652,'PO with created By ASR'!A:I,6,FALSE)</f>
        <v>#N/A</v>
      </c>
      <c r="L2652" s="2" t="str">
        <f>VLOOKUP(B2652,'PO with created By ASR'!A:J,7,FALSE)</f>
        <v>B - Bangalore</v>
      </c>
      <c r="M2652" s="2" t="str">
        <f>VLOOKUP(B2652,'PO with created By ASR'!A:K,8,FALSE)</f>
        <v>Purchase Order-Blr</v>
      </c>
      <c r="N2652" t="s">
        <v>36</v>
      </c>
      <c r="P2652" s="2">
        <v>6</v>
      </c>
    </row>
    <row r="2653" s="2" customFormat="1" spans="1:16">
      <c r="A2653" s="8"/>
      <c r="B2653" s="9" t="s">
        <v>3878</v>
      </c>
      <c r="C2653" s="10" t="s">
        <v>412</v>
      </c>
      <c r="D2653" s="11">
        <v>1</v>
      </c>
      <c r="E2653" s="12">
        <v>1881</v>
      </c>
      <c r="F2653" s="13">
        <v>1881</v>
      </c>
      <c r="G2653" s="2">
        <f>VLOOKUP(B2653,'PO with created By ASR'!A:C,3,FALSE)</f>
        <v>45712</v>
      </c>
      <c r="J2653" s="2" t="str">
        <f>VLOOKUP(B2653,'PO with created By ASR'!A:G,4,FALSE)</f>
        <v>Farhan Shariff  -CR</v>
      </c>
      <c r="K2653" s="2" t="e">
        <f>VLOOKUP(B2653,'PO with created By ASR'!A:I,6,FALSE)</f>
        <v>#N/A</v>
      </c>
      <c r="L2653" s="2" t="str">
        <f>VLOOKUP(B2653,'PO with created By ASR'!A:J,7,FALSE)</f>
        <v>B - Bangalore</v>
      </c>
      <c r="M2653" s="2" t="str">
        <f>VLOOKUP(B2653,'PO with created By ASR'!A:K,8,FALSE)</f>
        <v>Purchase Order-Blr</v>
      </c>
      <c r="N2653" t="s">
        <v>36</v>
      </c>
      <c r="P2653" s="2">
        <v>6</v>
      </c>
    </row>
    <row r="2654" s="2" customFormat="1" spans="1:16">
      <c r="A2654" s="8"/>
      <c r="B2654" s="9" t="s">
        <v>3878</v>
      </c>
      <c r="C2654" s="10" t="s">
        <v>61</v>
      </c>
      <c r="D2654" s="11">
        <v>1</v>
      </c>
      <c r="E2654" s="12">
        <v>9215</v>
      </c>
      <c r="F2654" s="13">
        <v>9215</v>
      </c>
      <c r="G2654" s="2">
        <f>VLOOKUP(B2654,'PO with created By ASR'!A:C,3,FALSE)</f>
        <v>45712</v>
      </c>
      <c r="J2654" s="2" t="str">
        <f>VLOOKUP(B2654,'PO with created By ASR'!A:G,4,FALSE)</f>
        <v>Farhan Shariff  -CR</v>
      </c>
      <c r="K2654" s="2" t="e">
        <f>VLOOKUP(B2654,'PO with created By ASR'!A:I,6,FALSE)</f>
        <v>#N/A</v>
      </c>
      <c r="L2654" s="2" t="str">
        <f>VLOOKUP(B2654,'PO with created By ASR'!A:J,7,FALSE)</f>
        <v>B - Bangalore</v>
      </c>
      <c r="M2654" s="2" t="str">
        <f>VLOOKUP(B2654,'PO with created By ASR'!A:K,8,FALSE)</f>
        <v>Purchase Order-Blr</v>
      </c>
      <c r="N2654" t="s">
        <v>36</v>
      </c>
      <c r="P2654" s="2">
        <v>6</v>
      </c>
    </row>
    <row r="2655" s="2" customFormat="1" spans="1:16">
      <c r="A2655" s="8"/>
      <c r="B2655" s="9" t="s">
        <v>3878</v>
      </c>
      <c r="C2655" s="10" t="s">
        <v>196</v>
      </c>
      <c r="D2655" s="11">
        <v>1</v>
      </c>
      <c r="E2655" s="12">
        <v>1500</v>
      </c>
      <c r="F2655" s="13">
        <v>1500</v>
      </c>
      <c r="G2655" s="2">
        <f>VLOOKUP(B2655,'PO with created By ASR'!A:C,3,FALSE)</f>
        <v>45712</v>
      </c>
      <c r="J2655" s="2" t="str">
        <f>VLOOKUP(B2655,'PO with created By ASR'!A:G,4,FALSE)</f>
        <v>Farhan Shariff  -CR</v>
      </c>
      <c r="K2655" s="2" t="e">
        <f>VLOOKUP(B2655,'PO with created By ASR'!A:I,6,FALSE)</f>
        <v>#N/A</v>
      </c>
      <c r="L2655" s="2" t="str">
        <f>VLOOKUP(B2655,'PO with created By ASR'!A:J,7,FALSE)</f>
        <v>B - Bangalore</v>
      </c>
      <c r="M2655" s="2" t="str">
        <f>VLOOKUP(B2655,'PO with created By ASR'!A:K,8,FALSE)</f>
        <v>Purchase Order-Blr</v>
      </c>
      <c r="N2655" t="s">
        <v>36</v>
      </c>
      <c r="P2655" s="2">
        <v>6</v>
      </c>
    </row>
    <row r="2656" s="2" customFormat="1" spans="1:16">
      <c r="A2656" s="8"/>
      <c r="B2656" s="9" t="s">
        <v>3879</v>
      </c>
      <c r="C2656" s="10" t="s">
        <v>140</v>
      </c>
      <c r="D2656" s="11">
        <v>1</v>
      </c>
      <c r="E2656" s="12">
        <v>22000</v>
      </c>
      <c r="F2656" s="13">
        <v>22000</v>
      </c>
      <c r="G2656" s="2">
        <f>VLOOKUP(B2656,'PO with created By ASR'!A:C,3,FALSE)</f>
        <v>45712</v>
      </c>
      <c r="J2656" s="2" t="str">
        <f>VLOOKUP(B2656,'PO with created By ASR'!A:G,4,FALSE)</f>
        <v>Farhan Shariff  -CR</v>
      </c>
      <c r="K2656" s="2" t="e">
        <f>VLOOKUP(B2656,'PO with created By ASR'!A:I,6,FALSE)</f>
        <v>#N/A</v>
      </c>
      <c r="L2656" s="2" t="str">
        <f>VLOOKUP(B2656,'PO with created By ASR'!A:J,7,FALSE)</f>
        <v>B - Bangalore</v>
      </c>
      <c r="M2656" s="2" t="str">
        <f>VLOOKUP(B2656,'PO with created By ASR'!A:K,8,FALSE)</f>
        <v>Purchase Order-Blr</v>
      </c>
      <c r="N2656" t="s">
        <v>36</v>
      </c>
      <c r="P2656" s="2">
        <v>6</v>
      </c>
    </row>
    <row r="2657" s="2" customFormat="1" spans="1:16">
      <c r="A2657" s="8"/>
      <c r="B2657" s="9" t="s">
        <v>3879</v>
      </c>
      <c r="C2657" s="10" t="s">
        <v>412</v>
      </c>
      <c r="D2657" s="11">
        <v>1</v>
      </c>
      <c r="E2657" s="12">
        <v>1110</v>
      </c>
      <c r="F2657" s="13">
        <v>1110</v>
      </c>
      <c r="G2657" s="2">
        <f>VLOOKUP(B2657,'PO with created By ASR'!A:C,3,FALSE)</f>
        <v>45712</v>
      </c>
      <c r="J2657" s="2" t="str">
        <f>VLOOKUP(B2657,'PO with created By ASR'!A:G,4,FALSE)</f>
        <v>Farhan Shariff  -CR</v>
      </c>
      <c r="K2657" s="2" t="e">
        <f>VLOOKUP(B2657,'PO with created By ASR'!A:I,6,FALSE)</f>
        <v>#N/A</v>
      </c>
      <c r="L2657" s="2" t="str">
        <f>VLOOKUP(B2657,'PO with created By ASR'!A:J,7,FALSE)</f>
        <v>B - Bangalore</v>
      </c>
      <c r="M2657" s="2" t="str">
        <f>VLOOKUP(B2657,'PO with created By ASR'!A:K,8,FALSE)</f>
        <v>Purchase Order-Blr</v>
      </c>
      <c r="N2657" t="s">
        <v>36</v>
      </c>
      <c r="P2657" s="2">
        <v>6</v>
      </c>
    </row>
    <row r="2658" s="2" customFormat="1" spans="1:16">
      <c r="A2658" s="8"/>
      <c r="B2658" s="9" t="s">
        <v>3880</v>
      </c>
      <c r="C2658" s="10" t="s">
        <v>412</v>
      </c>
      <c r="D2658" s="11">
        <v>1</v>
      </c>
      <c r="E2658" s="12">
        <v>2671.25</v>
      </c>
      <c r="F2658" s="13">
        <v>2671.25</v>
      </c>
      <c r="G2658" s="2">
        <f>VLOOKUP(B2658,'PO with created By ASR'!A:C,3,FALSE)</f>
        <v>45712</v>
      </c>
      <c r="J2658" s="2" t="str">
        <f>VLOOKUP(B2658,'PO with created By ASR'!A:G,4,FALSE)</f>
        <v>Kapeel Parmekar -Cr</v>
      </c>
      <c r="K2658" s="2" t="e">
        <f>VLOOKUP(B2658,'PO with created By ASR'!A:I,6,FALSE)</f>
        <v>#N/A</v>
      </c>
      <c r="L2658" s="2" t="str">
        <f>VLOOKUP(B2658,'PO with created By ASR'!A:J,7,FALSE)</f>
        <v>B - Bangalore</v>
      </c>
      <c r="M2658" s="2" t="str">
        <f>VLOOKUP(B2658,'PO with created By ASR'!A:K,8,FALSE)</f>
        <v>Purchase Order-Blr</v>
      </c>
      <c r="N2658" t="s">
        <v>36</v>
      </c>
      <c r="P2658" s="2">
        <v>6</v>
      </c>
    </row>
    <row r="2659" s="2" customFormat="1" spans="1:16">
      <c r="A2659" s="8"/>
      <c r="B2659" s="9" t="s">
        <v>3880</v>
      </c>
      <c r="C2659" s="10" t="s">
        <v>276</v>
      </c>
      <c r="D2659" s="11">
        <v>1</v>
      </c>
      <c r="E2659" s="12">
        <v>48072</v>
      </c>
      <c r="F2659" s="13">
        <v>48072</v>
      </c>
      <c r="G2659" s="2">
        <f>VLOOKUP(B2659,'PO with created By ASR'!A:C,3,FALSE)</f>
        <v>45712</v>
      </c>
      <c r="J2659" s="2" t="str">
        <f>VLOOKUP(B2659,'PO with created By ASR'!A:G,4,FALSE)</f>
        <v>Kapeel Parmekar -Cr</v>
      </c>
      <c r="K2659" s="2" t="e">
        <f>VLOOKUP(B2659,'PO with created By ASR'!A:I,6,FALSE)</f>
        <v>#N/A</v>
      </c>
      <c r="L2659" s="2" t="str">
        <f>VLOOKUP(B2659,'PO with created By ASR'!A:J,7,FALSE)</f>
        <v>B - Bangalore</v>
      </c>
      <c r="M2659" s="2" t="str">
        <f>VLOOKUP(B2659,'PO with created By ASR'!A:K,8,FALSE)</f>
        <v>Purchase Order-Blr</v>
      </c>
      <c r="N2659" t="s">
        <v>36</v>
      </c>
      <c r="P2659" s="2">
        <v>6</v>
      </c>
    </row>
    <row r="2660" s="2" customFormat="1" spans="1:16">
      <c r="A2660" s="8"/>
      <c r="B2660" s="9" t="s">
        <v>3882</v>
      </c>
      <c r="C2660" s="10" t="s">
        <v>371</v>
      </c>
      <c r="D2660" s="11">
        <v>1</v>
      </c>
      <c r="E2660" s="12">
        <v>20000</v>
      </c>
      <c r="F2660" s="13">
        <v>20000</v>
      </c>
      <c r="G2660" s="2">
        <f>VLOOKUP(B2660,'PO with created By ASR'!A:C,3,FALSE)</f>
        <v>45712</v>
      </c>
      <c r="J2660" s="2" t="str">
        <f>VLOOKUP(B2660,'PO with created By ASR'!A:G,4,FALSE)</f>
        <v>Reverb Sound And Light Studio-Blr</v>
      </c>
      <c r="K2660" s="2" t="str">
        <f>VLOOKUP(B2660,'PO with created By ASR'!A:I,6,FALSE)</f>
        <v>11379 Reverb Sound And Light Studio</v>
      </c>
      <c r="L2660" s="2" t="str">
        <f>VLOOKUP(B2660,'PO with created By ASR'!A:J,7,FALSE)</f>
        <v>B - Bangalore</v>
      </c>
      <c r="M2660" s="2" t="str">
        <f>VLOOKUP(B2660,'PO with created By ASR'!A:K,8,FALSE)</f>
        <v>Purchase Order-Blr</v>
      </c>
      <c r="N2660" t="s">
        <v>36</v>
      </c>
      <c r="P2660" s="2">
        <v>6</v>
      </c>
    </row>
    <row r="2661" s="2" customFormat="1" spans="1:16">
      <c r="A2661" s="8"/>
      <c r="B2661" s="9" t="s">
        <v>3883</v>
      </c>
      <c r="C2661" s="10" t="s">
        <v>233</v>
      </c>
      <c r="D2661" s="11">
        <v>1</v>
      </c>
      <c r="E2661" s="12">
        <v>20200</v>
      </c>
      <c r="F2661" s="13">
        <v>20200</v>
      </c>
      <c r="G2661" s="2">
        <f>VLOOKUP(B2661,'PO with created By ASR'!A:C,3,FALSE)</f>
        <v>45712</v>
      </c>
      <c r="J2661" s="2" t="str">
        <f>VLOOKUP(B2661,'PO with created By ASR'!A:G,4,FALSE)</f>
        <v>Shanmugam J-Che</v>
      </c>
      <c r="K2661" s="2" t="str">
        <f>VLOOKUP(B2661,'PO with created By ASR'!A:I,6,FALSE)</f>
        <v>12917 Shanmugam J</v>
      </c>
      <c r="L2661" s="2" t="str">
        <f>VLOOKUP(B2661,'PO with created By ASR'!A:J,7,FALSE)</f>
        <v>C - Chennai</v>
      </c>
      <c r="M2661" s="2" t="str">
        <f>VLOOKUP(B2661,'PO with created By ASR'!A:K,8,FALSE)</f>
        <v>Purchase Order-Che</v>
      </c>
      <c r="N2661" t="s">
        <v>36</v>
      </c>
      <c r="P2661" s="2">
        <v>6</v>
      </c>
    </row>
    <row r="2662" s="2" customFormat="1" spans="1:16">
      <c r="A2662" s="8"/>
      <c r="B2662" s="9" t="s">
        <v>3885</v>
      </c>
      <c r="C2662" s="10" t="s">
        <v>683</v>
      </c>
      <c r="D2662" s="11">
        <v>1</v>
      </c>
      <c r="E2662" s="12">
        <v>5000</v>
      </c>
      <c r="F2662" s="13">
        <v>5000</v>
      </c>
      <c r="G2662" s="2">
        <f>VLOOKUP(B2662,'PO with created By ASR'!A:C,3,FALSE)</f>
        <v>45712</v>
      </c>
      <c r="J2662" s="2" t="str">
        <f>VLOOKUP(B2662,'PO with created By ASR'!A:G,4,FALSE)</f>
        <v>Beena Joseph  -CR</v>
      </c>
      <c r="K2662" s="2" t="e">
        <f>VLOOKUP(B2662,'PO with created By ASR'!A:I,6,FALSE)</f>
        <v>#N/A</v>
      </c>
      <c r="L2662" s="2" t="str">
        <f>VLOOKUP(B2662,'PO with created By ASR'!A:J,7,FALSE)</f>
        <v>C - Chennai</v>
      </c>
      <c r="M2662" s="2" t="str">
        <f>VLOOKUP(B2662,'PO with created By ASR'!A:K,8,FALSE)</f>
        <v>Purchase Order-Che</v>
      </c>
      <c r="N2662" t="s">
        <v>36</v>
      </c>
      <c r="P2662" s="2">
        <v>6</v>
      </c>
    </row>
    <row r="2663" s="2" customFormat="1" spans="1:16">
      <c r="A2663" s="8"/>
      <c r="B2663" s="9" t="s">
        <v>3886</v>
      </c>
      <c r="C2663" s="10" t="s">
        <v>119</v>
      </c>
      <c r="D2663" s="11">
        <v>1</v>
      </c>
      <c r="E2663" s="12">
        <v>1833</v>
      </c>
      <c r="F2663" s="13">
        <v>1833</v>
      </c>
      <c r="G2663" s="2">
        <f>VLOOKUP(B2663,'PO with created By ASR'!A:C,3,FALSE)</f>
        <v>45712</v>
      </c>
      <c r="J2663" s="2" t="str">
        <f>VLOOKUP(B2663,'PO with created By ASR'!A:G,4,FALSE)</f>
        <v>Beena Joseph  -CR</v>
      </c>
      <c r="K2663" s="2" t="e">
        <f>VLOOKUP(B2663,'PO with created By ASR'!A:I,6,FALSE)</f>
        <v>#N/A</v>
      </c>
      <c r="L2663" s="2" t="str">
        <f>VLOOKUP(B2663,'PO with created By ASR'!A:J,7,FALSE)</f>
        <v>C - Chennai</v>
      </c>
      <c r="M2663" s="2" t="str">
        <f>VLOOKUP(B2663,'PO with created By ASR'!A:K,8,FALSE)</f>
        <v>Purchase Order-Che</v>
      </c>
      <c r="N2663" t="s">
        <v>36</v>
      </c>
      <c r="P2663" s="2">
        <v>6</v>
      </c>
    </row>
    <row r="2664" s="2" customFormat="1" spans="1:16">
      <c r="A2664" s="8"/>
      <c r="B2664" s="9" t="s">
        <v>3887</v>
      </c>
      <c r="C2664" s="10" t="s">
        <v>233</v>
      </c>
      <c r="D2664" s="11">
        <v>1</v>
      </c>
      <c r="E2664" s="12">
        <v>600</v>
      </c>
      <c r="F2664" s="13">
        <v>600</v>
      </c>
      <c r="G2664" s="2">
        <f>VLOOKUP(B2664,'PO with created By ASR'!A:C,3,FALSE)</f>
        <v>45712</v>
      </c>
      <c r="J2664" s="2" t="str">
        <f>VLOOKUP(B2664,'PO with created By ASR'!A:G,4,FALSE)</f>
        <v>Brijesh L  -CR</v>
      </c>
      <c r="K2664" s="2" t="str">
        <f>VLOOKUP(B2664,'PO with created By ASR'!A:I,6,FALSE)</f>
        <v>10025 Brijesh L</v>
      </c>
      <c r="L2664" s="2" t="str">
        <f>VLOOKUP(B2664,'PO with created By ASR'!A:J,7,FALSE)</f>
        <v>C - Chennai</v>
      </c>
      <c r="M2664" s="2" t="str">
        <f>VLOOKUP(B2664,'PO with created By ASR'!A:K,8,FALSE)</f>
        <v>Purchase Order-Che</v>
      </c>
      <c r="N2664" t="s">
        <v>36</v>
      </c>
      <c r="P2664" s="2">
        <v>6</v>
      </c>
    </row>
    <row r="2665" s="2" customFormat="1" spans="1:16">
      <c r="A2665" s="8"/>
      <c r="B2665" s="9" t="s">
        <v>3887</v>
      </c>
      <c r="C2665" s="10" t="s">
        <v>292</v>
      </c>
      <c r="D2665" s="11">
        <v>1</v>
      </c>
      <c r="E2665" s="12">
        <v>4000</v>
      </c>
      <c r="F2665" s="13">
        <v>4000</v>
      </c>
      <c r="G2665" s="2">
        <f>VLOOKUP(B2665,'PO with created By ASR'!A:C,3,FALSE)</f>
        <v>45712</v>
      </c>
      <c r="J2665" s="2" t="str">
        <f>VLOOKUP(B2665,'PO with created By ASR'!A:G,4,FALSE)</f>
        <v>Brijesh L  -CR</v>
      </c>
      <c r="K2665" s="2" t="str">
        <f>VLOOKUP(B2665,'PO with created By ASR'!A:I,6,FALSE)</f>
        <v>10025 Brijesh L</v>
      </c>
      <c r="L2665" s="2" t="str">
        <f>VLOOKUP(B2665,'PO with created By ASR'!A:J,7,FALSE)</f>
        <v>C - Chennai</v>
      </c>
      <c r="M2665" s="2" t="str">
        <f>VLOOKUP(B2665,'PO with created By ASR'!A:K,8,FALSE)</f>
        <v>Purchase Order-Che</v>
      </c>
      <c r="N2665" t="s">
        <v>36</v>
      </c>
      <c r="P2665" s="2">
        <v>6</v>
      </c>
    </row>
    <row r="2666" s="2" customFormat="1" spans="1:16">
      <c r="A2666" s="8"/>
      <c r="B2666" s="9" t="s">
        <v>3888</v>
      </c>
      <c r="C2666" s="10" t="s">
        <v>140</v>
      </c>
      <c r="D2666" s="11">
        <v>1</v>
      </c>
      <c r="E2666" s="12">
        <v>56250</v>
      </c>
      <c r="F2666" s="13">
        <v>56250</v>
      </c>
      <c r="G2666" s="2">
        <f>VLOOKUP(B2666,'PO with created By ASR'!A:C,3,FALSE)</f>
        <v>45712</v>
      </c>
      <c r="J2666" s="2" t="str">
        <f>VLOOKUP(B2666,'PO with created By ASR'!A:G,4,FALSE)</f>
        <v>Benson Trophies And Awards-Del</v>
      </c>
      <c r="K2666" s="2" t="str">
        <f>VLOOKUP(B2666,'PO with created By ASR'!A:I,6,FALSE)</f>
        <v>11719 Benson Trophies And Awards</v>
      </c>
      <c r="L2666" s="2" t="str">
        <f>VLOOKUP(B2666,'PO with created By ASR'!A:J,7,FALSE)</f>
        <v>D - Delhi</v>
      </c>
      <c r="M2666" s="2" t="str">
        <f>VLOOKUP(B2666,'PO with created By ASR'!A:K,8,FALSE)</f>
        <v>Purchase Order-Del</v>
      </c>
      <c r="N2666" t="s">
        <v>36</v>
      </c>
      <c r="P2666" s="2">
        <v>6</v>
      </c>
    </row>
    <row r="2667" s="2" customFormat="1" spans="1:16">
      <c r="A2667" s="8"/>
      <c r="B2667" s="9" t="s">
        <v>3889</v>
      </c>
      <c r="C2667" s="10" t="s">
        <v>233</v>
      </c>
      <c r="D2667" s="11">
        <v>1</v>
      </c>
      <c r="E2667" s="12">
        <v>20000</v>
      </c>
      <c r="F2667" s="13">
        <v>20000</v>
      </c>
      <c r="G2667" s="2">
        <f>VLOOKUP(B2667,'PO with created By ASR'!A:C,3,FALSE)</f>
        <v>45712</v>
      </c>
      <c r="J2667" s="2" t="str">
        <f>VLOOKUP(B2667,'PO with created By ASR'!A:G,4,FALSE)</f>
        <v>Datagen Internet Services Pvt Ltd-Del</v>
      </c>
      <c r="K2667" s="2" t="str">
        <f>VLOOKUP(B2667,'PO with created By ASR'!A:I,6,FALSE)</f>
        <v>11815  Datagen Internet Services Pvt Ltd</v>
      </c>
      <c r="L2667" s="2" t="str">
        <f>VLOOKUP(B2667,'PO with created By ASR'!A:J,7,FALSE)</f>
        <v>D - Delhi</v>
      </c>
      <c r="M2667" s="2" t="str">
        <f>VLOOKUP(B2667,'PO with created By ASR'!A:K,8,FALSE)</f>
        <v>Purchase Order-Del</v>
      </c>
      <c r="N2667" t="s">
        <v>36</v>
      </c>
      <c r="P2667" s="2">
        <v>6</v>
      </c>
    </row>
    <row r="2668" s="2" customFormat="1" spans="1:16">
      <c r="A2668" s="8"/>
      <c r="B2668" s="9" t="s">
        <v>3892</v>
      </c>
      <c r="C2668" s="10" t="s">
        <v>412</v>
      </c>
      <c r="D2668" s="11">
        <v>1</v>
      </c>
      <c r="E2668" s="12">
        <v>1299</v>
      </c>
      <c r="F2668" s="13">
        <v>1299</v>
      </c>
      <c r="G2668" s="2">
        <f>VLOOKUP(B2668,'PO with created By ASR'!A:C,3,FALSE)</f>
        <v>45712</v>
      </c>
      <c r="J2668" s="2" t="str">
        <f>VLOOKUP(B2668,'PO with created By ASR'!A:G,4,FALSE)</f>
        <v>Parvesh Mahalwal............... -CR</v>
      </c>
      <c r="K2668" s="2" t="e">
        <f>VLOOKUP(B2668,'PO with created By ASR'!A:I,6,FALSE)</f>
        <v>#N/A</v>
      </c>
      <c r="L2668" s="2" t="str">
        <f>VLOOKUP(B2668,'PO with created By ASR'!A:J,7,FALSE)</f>
        <v>D - Delhi</v>
      </c>
      <c r="M2668" s="2" t="str">
        <f>VLOOKUP(B2668,'PO with created By ASR'!A:K,8,FALSE)</f>
        <v>Purchase Order-Del</v>
      </c>
      <c r="N2668" t="s">
        <v>36</v>
      </c>
      <c r="P2668" s="2">
        <v>6</v>
      </c>
    </row>
    <row r="2669" s="2" customFormat="1" spans="1:16">
      <c r="A2669" s="8"/>
      <c r="B2669" s="9" t="s">
        <v>3892</v>
      </c>
      <c r="C2669" s="10" t="s">
        <v>126</v>
      </c>
      <c r="D2669" s="11">
        <v>1</v>
      </c>
      <c r="E2669" s="12">
        <v>1176</v>
      </c>
      <c r="F2669" s="13">
        <v>1176</v>
      </c>
      <c r="G2669" s="2">
        <f>VLOOKUP(B2669,'PO with created By ASR'!A:C,3,FALSE)</f>
        <v>45712</v>
      </c>
      <c r="J2669" s="2" t="str">
        <f>VLOOKUP(B2669,'PO with created By ASR'!A:G,4,FALSE)</f>
        <v>Parvesh Mahalwal............... -CR</v>
      </c>
      <c r="K2669" s="2" t="e">
        <f>VLOOKUP(B2669,'PO with created By ASR'!A:I,6,FALSE)</f>
        <v>#N/A</v>
      </c>
      <c r="L2669" s="2" t="str">
        <f>VLOOKUP(B2669,'PO with created By ASR'!A:J,7,FALSE)</f>
        <v>D - Delhi</v>
      </c>
      <c r="M2669" s="2" t="str">
        <f>VLOOKUP(B2669,'PO with created By ASR'!A:K,8,FALSE)</f>
        <v>Purchase Order-Del</v>
      </c>
      <c r="N2669" t="s">
        <v>36</v>
      </c>
      <c r="P2669" s="2">
        <v>6</v>
      </c>
    </row>
    <row r="2670" s="2" customFormat="1" spans="1:16">
      <c r="A2670" s="8"/>
      <c r="B2670" s="9" t="s">
        <v>3893</v>
      </c>
      <c r="C2670" s="10" t="s">
        <v>311</v>
      </c>
      <c r="D2670" s="11">
        <v>1</v>
      </c>
      <c r="E2670" s="12">
        <v>20000</v>
      </c>
      <c r="F2670" s="13">
        <v>20000</v>
      </c>
      <c r="G2670" s="2">
        <f>VLOOKUP(B2670,'PO with created By ASR'!A:C,3,FALSE)</f>
        <v>45712</v>
      </c>
      <c r="J2670" s="2" t="str">
        <f>VLOOKUP(B2670,'PO with created By ASR'!A:G,4,FALSE)</f>
        <v>Datagen Internet Services Pvt Ltd-Del</v>
      </c>
      <c r="K2670" s="2" t="str">
        <f>VLOOKUP(B2670,'PO with created By ASR'!A:I,6,FALSE)</f>
        <v>11815  Datagen Internet Services Pvt Ltd</v>
      </c>
      <c r="L2670" s="2" t="str">
        <f>VLOOKUP(B2670,'PO with created By ASR'!A:J,7,FALSE)</f>
        <v>D - Delhi</v>
      </c>
      <c r="M2670" s="2" t="str">
        <f>VLOOKUP(B2670,'PO with created By ASR'!A:K,8,FALSE)</f>
        <v>Purchase Order-Del</v>
      </c>
      <c r="N2670" t="s">
        <v>36</v>
      </c>
      <c r="P2670" s="2">
        <v>6</v>
      </c>
    </row>
    <row r="2671" s="2" customFormat="1" spans="1:16">
      <c r="A2671" s="8"/>
      <c r="B2671" s="9" t="s">
        <v>3894</v>
      </c>
      <c r="C2671" s="10" t="s">
        <v>126</v>
      </c>
      <c r="D2671" s="11">
        <v>1</v>
      </c>
      <c r="E2671" s="12">
        <v>3720</v>
      </c>
      <c r="F2671" s="13">
        <v>3720</v>
      </c>
      <c r="G2671" s="2">
        <f>VLOOKUP(B2671,'PO with created By ASR'!A:C,3,FALSE)</f>
        <v>45712</v>
      </c>
      <c r="J2671" s="2" t="str">
        <f>VLOOKUP(B2671,'PO with created By ASR'!A:G,4,FALSE)</f>
        <v>Puneet Kumar ........... -CR</v>
      </c>
      <c r="K2671" s="2" t="e">
        <f>VLOOKUP(B2671,'PO with created By ASR'!A:I,6,FALSE)</f>
        <v>#N/A</v>
      </c>
      <c r="L2671" s="2" t="str">
        <f>VLOOKUP(B2671,'PO with created By ASR'!A:J,7,FALSE)</f>
        <v>D - Delhi</v>
      </c>
      <c r="M2671" s="2" t="str">
        <f>VLOOKUP(B2671,'PO with created By ASR'!A:K,8,FALSE)</f>
        <v>Purchase Order-Del</v>
      </c>
      <c r="N2671" t="s">
        <v>36</v>
      </c>
      <c r="P2671" s="2">
        <v>6</v>
      </c>
    </row>
    <row r="2672" s="2" customFormat="1" spans="1:16">
      <c r="A2672" s="8"/>
      <c r="B2672" s="9" t="s">
        <v>3894</v>
      </c>
      <c r="C2672" s="10" t="s">
        <v>412</v>
      </c>
      <c r="D2672" s="11">
        <v>1</v>
      </c>
      <c r="E2672" s="12">
        <v>10211</v>
      </c>
      <c r="F2672" s="13">
        <v>10211</v>
      </c>
      <c r="G2672" s="2">
        <f>VLOOKUP(B2672,'PO with created By ASR'!A:C,3,FALSE)</f>
        <v>45712</v>
      </c>
      <c r="J2672" s="2" t="str">
        <f>VLOOKUP(B2672,'PO with created By ASR'!A:G,4,FALSE)</f>
        <v>Puneet Kumar ........... -CR</v>
      </c>
      <c r="K2672" s="2" t="e">
        <f>VLOOKUP(B2672,'PO with created By ASR'!A:I,6,FALSE)</f>
        <v>#N/A</v>
      </c>
      <c r="L2672" s="2" t="str">
        <f>VLOOKUP(B2672,'PO with created By ASR'!A:J,7,FALSE)</f>
        <v>D - Delhi</v>
      </c>
      <c r="M2672" s="2" t="str">
        <f>VLOOKUP(B2672,'PO with created By ASR'!A:K,8,FALSE)</f>
        <v>Purchase Order-Del</v>
      </c>
      <c r="N2672" t="s">
        <v>36</v>
      </c>
      <c r="P2672" s="2">
        <v>6</v>
      </c>
    </row>
    <row r="2673" s="2" customFormat="1" spans="1:16">
      <c r="A2673" s="8"/>
      <c r="B2673" s="9" t="s">
        <v>3895</v>
      </c>
      <c r="C2673" s="10" t="s">
        <v>126</v>
      </c>
      <c r="D2673" s="11">
        <v>1</v>
      </c>
      <c r="E2673" s="12">
        <v>1995</v>
      </c>
      <c r="F2673" s="13">
        <v>1995</v>
      </c>
      <c r="G2673" s="2">
        <f>VLOOKUP(B2673,'PO with created By ASR'!A:C,3,FALSE)</f>
        <v>45712</v>
      </c>
      <c r="J2673" s="2" t="str">
        <f>VLOOKUP(B2673,'PO with created By ASR'!A:G,4,FALSE)</f>
        <v>Tribhuvan Kapoor.....-CR</v>
      </c>
      <c r="K2673" s="2" t="e">
        <f>VLOOKUP(B2673,'PO with created By ASR'!A:I,6,FALSE)</f>
        <v>#N/A</v>
      </c>
      <c r="L2673" s="2" t="str">
        <f>VLOOKUP(B2673,'PO with created By ASR'!A:J,7,FALSE)</f>
        <v>D - Delhi</v>
      </c>
      <c r="M2673" s="2" t="str">
        <f>VLOOKUP(B2673,'PO with created By ASR'!A:K,8,FALSE)</f>
        <v>Purchase Order-Del</v>
      </c>
      <c r="N2673" t="s">
        <v>36</v>
      </c>
      <c r="P2673" s="2">
        <v>6</v>
      </c>
    </row>
    <row r="2674" s="2" customFormat="1" spans="1:16">
      <c r="A2674" s="8"/>
      <c r="B2674" s="9" t="s">
        <v>3895</v>
      </c>
      <c r="C2674" s="10" t="s">
        <v>412</v>
      </c>
      <c r="D2674" s="11">
        <v>1</v>
      </c>
      <c r="E2674" s="12">
        <v>1477</v>
      </c>
      <c r="F2674" s="13">
        <v>1477</v>
      </c>
      <c r="G2674" s="2">
        <f>VLOOKUP(B2674,'PO with created By ASR'!A:C,3,FALSE)</f>
        <v>45712</v>
      </c>
      <c r="J2674" s="2" t="str">
        <f>VLOOKUP(B2674,'PO with created By ASR'!A:G,4,FALSE)</f>
        <v>Tribhuvan Kapoor.....-CR</v>
      </c>
      <c r="K2674" s="2" t="e">
        <f>VLOOKUP(B2674,'PO with created By ASR'!A:I,6,FALSE)</f>
        <v>#N/A</v>
      </c>
      <c r="L2674" s="2" t="str">
        <f>VLOOKUP(B2674,'PO with created By ASR'!A:J,7,FALSE)</f>
        <v>D - Delhi</v>
      </c>
      <c r="M2674" s="2" t="str">
        <f>VLOOKUP(B2674,'PO with created By ASR'!A:K,8,FALSE)</f>
        <v>Purchase Order-Del</v>
      </c>
      <c r="N2674" t="s">
        <v>36</v>
      </c>
      <c r="P2674" s="2">
        <v>6</v>
      </c>
    </row>
    <row r="2675" s="2" customFormat="1" spans="1:16">
      <c r="A2675" s="8"/>
      <c r="B2675" s="9" t="s">
        <v>3895</v>
      </c>
      <c r="C2675" s="10" t="s">
        <v>61</v>
      </c>
      <c r="D2675" s="11">
        <v>1</v>
      </c>
      <c r="E2675" s="12">
        <v>11800</v>
      </c>
      <c r="F2675" s="13">
        <v>11800</v>
      </c>
      <c r="G2675" s="2">
        <f>VLOOKUP(B2675,'PO with created By ASR'!A:C,3,FALSE)</f>
        <v>45712</v>
      </c>
      <c r="J2675" s="2" t="str">
        <f>VLOOKUP(B2675,'PO with created By ASR'!A:G,4,FALSE)</f>
        <v>Tribhuvan Kapoor.....-CR</v>
      </c>
      <c r="K2675" s="2" t="e">
        <f>VLOOKUP(B2675,'PO with created By ASR'!A:I,6,FALSE)</f>
        <v>#N/A</v>
      </c>
      <c r="L2675" s="2" t="str">
        <f>VLOOKUP(B2675,'PO with created By ASR'!A:J,7,FALSE)</f>
        <v>D - Delhi</v>
      </c>
      <c r="M2675" s="2" t="str">
        <f>VLOOKUP(B2675,'PO with created By ASR'!A:K,8,FALSE)</f>
        <v>Purchase Order-Del</v>
      </c>
      <c r="N2675" t="s">
        <v>36</v>
      </c>
      <c r="P2675" s="2">
        <v>6</v>
      </c>
    </row>
    <row r="2676" s="2" customFormat="1" spans="1:16">
      <c r="A2676" s="8"/>
      <c r="B2676" s="9" t="s">
        <v>3897</v>
      </c>
      <c r="C2676" s="10" t="s">
        <v>233</v>
      </c>
      <c r="D2676" s="11">
        <v>1</v>
      </c>
      <c r="E2676" s="12">
        <v>1179</v>
      </c>
      <c r="F2676" s="13">
        <v>1179</v>
      </c>
      <c r="G2676" s="2">
        <f>VLOOKUP(B2676,'PO with created By ASR'!A:C,3,FALSE)</f>
        <v>45712</v>
      </c>
      <c r="J2676" s="2" t="str">
        <f>VLOOKUP(B2676,'PO with created By ASR'!A:G,4,FALSE)</f>
        <v>Puneet Kumar ........... -CR</v>
      </c>
      <c r="K2676" s="2" t="e">
        <f>VLOOKUP(B2676,'PO with created By ASR'!A:I,6,FALSE)</f>
        <v>#N/A</v>
      </c>
      <c r="L2676" s="2" t="str">
        <f>VLOOKUP(B2676,'PO with created By ASR'!A:J,7,FALSE)</f>
        <v>D - Delhi</v>
      </c>
      <c r="M2676" s="2" t="str">
        <f>VLOOKUP(B2676,'PO with created By ASR'!A:K,8,FALSE)</f>
        <v>Purchase Order-Del</v>
      </c>
      <c r="N2676" t="s">
        <v>36</v>
      </c>
      <c r="P2676" s="2">
        <v>6</v>
      </c>
    </row>
    <row r="2677" s="2" customFormat="1" spans="1:16">
      <c r="A2677" s="8"/>
      <c r="B2677" s="9" t="s">
        <v>3898</v>
      </c>
      <c r="C2677" s="10" t="s">
        <v>151</v>
      </c>
      <c r="D2677" s="11">
        <v>1</v>
      </c>
      <c r="E2677" s="12">
        <v>1300000</v>
      </c>
      <c r="F2677" s="13">
        <v>1300000</v>
      </c>
      <c r="G2677" s="2">
        <f>VLOOKUP(B2677,'PO with created By ASR'!A:C,3,FALSE)</f>
        <v>45712</v>
      </c>
      <c r="J2677" s="2" t="str">
        <f>VLOOKUP(B2677,'PO with created By ASR'!A:G,4,FALSE)</f>
        <v>Dream Factory Pvt. Ltd.-Del</v>
      </c>
      <c r="K2677" s="2" t="e">
        <f>VLOOKUP(B2677,'PO with created By ASR'!A:I,6,FALSE)</f>
        <v>#N/A</v>
      </c>
      <c r="L2677" s="2" t="str">
        <f>VLOOKUP(B2677,'PO with created By ASR'!A:J,7,FALSE)</f>
        <v>D - Delhi</v>
      </c>
      <c r="M2677" s="2" t="str">
        <f>VLOOKUP(B2677,'PO with created By ASR'!A:K,8,FALSE)</f>
        <v>Purchase Order-Del</v>
      </c>
      <c r="N2677" t="s">
        <v>36</v>
      </c>
      <c r="P2677" s="2">
        <v>6</v>
      </c>
    </row>
    <row r="2678" s="2" customFormat="1" spans="1:16">
      <c r="A2678" s="8"/>
      <c r="B2678" s="9" t="s">
        <v>3899</v>
      </c>
      <c r="C2678" s="10" t="s">
        <v>151</v>
      </c>
      <c r="D2678" s="11">
        <v>1</v>
      </c>
      <c r="E2678" s="12">
        <v>130000</v>
      </c>
      <c r="F2678" s="13">
        <v>130000</v>
      </c>
      <c r="G2678" s="2">
        <f>VLOOKUP(B2678,'PO with created By ASR'!A:C,3,FALSE)</f>
        <v>45712</v>
      </c>
      <c r="J2678" s="2" t="str">
        <f>VLOOKUP(B2678,'PO with created By ASR'!A:G,4,FALSE)</f>
        <v>Clear Span Events Pvt Ltd-Del</v>
      </c>
      <c r="K2678" s="2" t="str">
        <f>VLOOKUP(B2678,'PO with created By ASR'!A:I,6,FALSE)</f>
        <v>11772  Clear Span Events Pvt Ltd</v>
      </c>
      <c r="L2678" s="2" t="str">
        <f>VLOOKUP(B2678,'PO with created By ASR'!A:J,7,FALSE)</f>
        <v>D - Delhi</v>
      </c>
      <c r="M2678" s="2" t="str">
        <f>VLOOKUP(B2678,'PO with created By ASR'!A:K,8,FALSE)</f>
        <v>Purchase Order-Del</v>
      </c>
      <c r="N2678" t="s">
        <v>36</v>
      </c>
      <c r="P2678" s="2">
        <v>6</v>
      </c>
    </row>
    <row r="2679" s="2" customFormat="1" spans="1:16">
      <c r="A2679" s="8"/>
      <c r="B2679" s="9" t="s">
        <v>3900</v>
      </c>
      <c r="C2679" s="10" t="s">
        <v>84</v>
      </c>
      <c r="D2679" s="11">
        <v>1</v>
      </c>
      <c r="E2679" s="12">
        <v>35000</v>
      </c>
      <c r="F2679" s="13">
        <v>35000</v>
      </c>
      <c r="G2679" s="2">
        <f>VLOOKUP(B2679,'PO with created By ASR'!A:C,3,FALSE)</f>
        <v>45712</v>
      </c>
      <c r="J2679" s="2" t="str">
        <f>VLOOKUP(B2679,'PO with created By ASR'!A:G,4,FALSE)</f>
        <v>Aaa Rental Llp-Mum</v>
      </c>
      <c r="K2679" s="2" t="str">
        <f>VLOOKUP(B2679,'PO with created By ASR'!A:I,6,FALSE)</f>
        <v>11626 Aaa Rental Llp</v>
      </c>
      <c r="L2679" s="2" t="str">
        <f>VLOOKUP(B2679,'PO with created By ASR'!A:J,7,FALSE)</f>
        <v>D - Delhi</v>
      </c>
      <c r="M2679" s="2" t="str">
        <f>VLOOKUP(B2679,'PO with created By ASR'!A:K,8,FALSE)</f>
        <v>Purchase Order-Del</v>
      </c>
      <c r="N2679" t="s">
        <v>36</v>
      </c>
      <c r="P2679" s="2">
        <v>6</v>
      </c>
    </row>
    <row r="2680" s="2" customFormat="1" spans="1:16">
      <c r="A2680" s="8"/>
      <c r="B2680" s="9" t="s">
        <v>3901</v>
      </c>
      <c r="C2680" s="10" t="s">
        <v>126</v>
      </c>
      <c r="D2680" s="11">
        <v>1</v>
      </c>
      <c r="E2680" s="12">
        <v>1900</v>
      </c>
      <c r="F2680" s="13">
        <v>1900</v>
      </c>
      <c r="G2680" s="2">
        <f>VLOOKUP(B2680,'PO with created By ASR'!A:C,3,FALSE)</f>
        <v>45712</v>
      </c>
      <c r="J2680" s="2" t="str">
        <f>VLOOKUP(B2680,'PO with created By ASR'!A:G,4,FALSE)</f>
        <v>Ajeet Singh  -CR</v>
      </c>
      <c r="K2680" s="2" t="str">
        <f>VLOOKUP(B2680,'PO with created By ASR'!A:I,6,FALSE)</f>
        <v>10519 Ajeet Singh</v>
      </c>
      <c r="L2680" s="2" t="str">
        <f>VLOOKUP(B2680,'PO with created By ASR'!A:J,7,FALSE)</f>
        <v>D - Delhi</v>
      </c>
      <c r="M2680" s="2" t="str">
        <f>VLOOKUP(B2680,'PO with created By ASR'!A:K,8,FALSE)</f>
        <v>Purchase Order-Del</v>
      </c>
      <c r="N2680" t="s">
        <v>36</v>
      </c>
      <c r="P2680" s="2">
        <v>6</v>
      </c>
    </row>
    <row r="2681" s="2" customFormat="1" spans="1:16">
      <c r="A2681" s="8"/>
      <c r="B2681" s="9" t="s">
        <v>3903</v>
      </c>
      <c r="C2681" s="10" t="s">
        <v>126</v>
      </c>
      <c r="D2681" s="11">
        <v>1</v>
      </c>
      <c r="E2681" s="12">
        <v>1158</v>
      </c>
      <c r="F2681" s="13">
        <v>1158</v>
      </c>
      <c r="G2681" s="2">
        <f>VLOOKUP(B2681,'PO with created By ASR'!A:C,3,FALSE)</f>
        <v>45712</v>
      </c>
      <c r="J2681" s="2" t="str">
        <f>VLOOKUP(B2681,'PO with created By ASR'!A:G,4,FALSE)</f>
        <v>Jatin Arora  -CR</v>
      </c>
      <c r="K2681" s="2" t="str">
        <f>VLOOKUP(B2681,'PO with created By ASR'!A:I,6,FALSE)</f>
        <v>10683 Jatin Arora</v>
      </c>
      <c r="L2681" s="2" t="str">
        <f>VLOOKUP(B2681,'PO with created By ASR'!A:J,7,FALSE)</f>
        <v>D - Delhi</v>
      </c>
      <c r="M2681" s="2" t="str">
        <f>VLOOKUP(B2681,'PO with created By ASR'!A:K,8,FALSE)</f>
        <v>Purchase Order-Del</v>
      </c>
      <c r="N2681" t="s">
        <v>36</v>
      </c>
      <c r="P2681" s="2">
        <v>6</v>
      </c>
    </row>
    <row r="2682" s="2" customFormat="1" spans="1:16">
      <c r="A2682" s="8"/>
      <c r="B2682" s="9" t="s">
        <v>3903</v>
      </c>
      <c r="C2682" s="10" t="s">
        <v>412</v>
      </c>
      <c r="D2682" s="11">
        <v>1</v>
      </c>
      <c r="E2682" s="12">
        <v>1740</v>
      </c>
      <c r="F2682" s="13">
        <v>1740</v>
      </c>
      <c r="G2682" s="2">
        <f>VLOOKUP(B2682,'PO with created By ASR'!A:C,3,FALSE)</f>
        <v>45712</v>
      </c>
      <c r="J2682" s="2" t="str">
        <f>VLOOKUP(B2682,'PO with created By ASR'!A:G,4,FALSE)</f>
        <v>Jatin Arora  -CR</v>
      </c>
      <c r="K2682" s="2" t="str">
        <f>VLOOKUP(B2682,'PO with created By ASR'!A:I,6,FALSE)</f>
        <v>10683 Jatin Arora</v>
      </c>
      <c r="L2682" s="2" t="str">
        <f>VLOOKUP(B2682,'PO with created By ASR'!A:J,7,FALSE)</f>
        <v>D - Delhi</v>
      </c>
      <c r="M2682" s="2" t="str">
        <f>VLOOKUP(B2682,'PO with created By ASR'!A:K,8,FALSE)</f>
        <v>Purchase Order-Del</v>
      </c>
      <c r="N2682" t="s">
        <v>36</v>
      </c>
      <c r="P2682" s="2">
        <v>6</v>
      </c>
    </row>
    <row r="2683" s="2" customFormat="1" spans="1:16">
      <c r="A2683" s="8"/>
      <c r="B2683" s="9" t="s">
        <v>3905</v>
      </c>
      <c r="C2683" s="10" t="s">
        <v>292</v>
      </c>
      <c r="D2683" s="11">
        <v>1</v>
      </c>
      <c r="E2683" s="12">
        <v>64500</v>
      </c>
      <c r="F2683" s="13">
        <v>64500</v>
      </c>
      <c r="G2683" s="2">
        <f>VLOOKUP(B2683,'PO with created By ASR'!A:C,3,FALSE)</f>
        <v>45712</v>
      </c>
      <c r="J2683" s="2" t="str">
        <f>VLOOKUP(B2683,'PO with created By ASR'!A:G,4,FALSE)</f>
        <v>Red Carpet Events And Entertainment-Del</v>
      </c>
      <c r="K2683" s="2" t="str">
        <f>VLOOKUP(B2683,'PO with created By ASR'!A:I,6,FALSE)</f>
        <v>12326 Red Carpet Events And Entertainment</v>
      </c>
      <c r="L2683" s="2" t="str">
        <f>VLOOKUP(B2683,'PO with created By ASR'!A:J,7,FALSE)</f>
        <v>D - Delhi</v>
      </c>
      <c r="M2683" s="2" t="str">
        <f>VLOOKUP(B2683,'PO with created By ASR'!A:K,8,FALSE)</f>
        <v>Purchase Order-Del</v>
      </c>
      <c r="N2683" t="s">
        <v>36</v>
      </c>
      <c r="P2683" s="2">
        <v>6</v>
      </c>
    </row>
    <row r="2684" s="2" customFormat="1" spans="1:16">
      <c r="A2684" s="8"/>
      <c r="B2684" s="9" t="s">
        <v>3906</v>
      </c>
      <c r="C2684" s="10" t="s">
        <v>119</v>
      </c>
      <c r="D2684" s="11">
        <v>1</v>
      </c>
      <c r="E2684" s="12">
        <v>119060</v>
      </c>
      <c r="F2684" s="13">
        <v>119060</v>
      </c>
      <c r="G2684" s="2">
        <f>VLOOKUP(B2684,'PO with created By ASR'!A:C,3,FALSE)</f>
        <v>45712</v>
      </c>
      <c r="J2684" s="2" t="str">
        <f>VLOOKUP(B2684,'PO with created By ASR'!A:G,4,FALSE)</f>
        <v>Complete Solutions Tour And Travels Pvt Ltd-Del</v>
      </c>
      <c r="K2684" s="2" t="str">
        <f>VLOOKUP(B2684,'PO with created By ASR'!A:I,6,FALSE)</f>
        <v>11780  Complete Solutions Tour And Travels Pvt Ltd</v>
      </c>
      <c r="L2684" s="2" t="str">
        <f>VLOOKUP(B2684,'PO with created By ASR'!A:J,7,FALSE)</f>
        <v>D - Delhi</v>
      </c>
      <c r="M2684" s="2" t="str">
        <f>VLOOKUP(B2684,'PO with created By ASR'!A:K,8,FALSE)</f>
        <v>Purchase Order-Del</v>
      </c>
      <c r="N2684" t="s">
        <v>36</v>
      </c>
      <c r="P2684" s="2">
        <v>6</v>
      </c>
    </row>
    <row r="2685" s="2" customFormat="1" spans="1:16">
      <c r="A2685" s="8"/>
      <c r="B2685" s="9" t="s">
        <v>3906</v>
      </c>
      <c r="C2685" s="10" t="s">
        <v>764</v>
      </c>
      <c r="D2685" s="11">
        <v>1</v>
      </c>
      <c r="E2685" s="12">
        <v>5953</v>
      </c>
      <c r="F2685" s="13">
        <v>5953</v>
      </c>
      <c r="G2685" s="2">
        <f>VLOOKUP(B2685,'PO with created By ASR'!A:C,3,FALSE)</f>
        <v>45712</v>
      </c>
      <c r="J2685" s="2" t="str">
        <f>VLOOKUP(B2685,'PO with created By ASR'!A:G,4,FALSE)</f>
        <v>Complete Solutions Tour And Travels Pvt Ltd-Del</v>
      </c>
      <c r="K2685" s="2" t="str">
        <f>VLOOKUP(B2685,'PO with created By ASR'!A:I,6,FALSE)</f>
        <v>11780  Complete Solutions Tour And Travels Pvt Ltd</v>
      </c>
      <c r="L2685" s="2" t="str">
        <f>VLOOKUP(B2685,'PO with created By ASR'!A:J,7,FALSE)</f>
        <v>D - Delhi</v>
      </c>
      <c r="M2685" s="2" t="str">
        <f>VLOOKUP(B2685,'PO with created By ASR'!A:K,8,FALSE)</f>
        <v>Purchase Order-Del</v>
      </c>
      <c r="N2685" t="s">
        <v>36</v>
      </c>
      <c r="P2685" s="2">
        <v>6</v>
      </c>
    </row>
    <row r="2686" s="2" customFormat="1" spans="1:16">
      <c r="A2686" s="8"/>
      <c r="B2686" s="9" t="s">
        <v>3907</v>
      </c>
      <c r="C2686" s="10" t="s">
        <v>151</v>
      </c>
      <c r="D2686" s="11">
        <v>1</v>
      </c>
      <c r="E2686" s="12">
        <v>274600</v>
      </c>
      <c r="F2686" s="13">
        <v>274600</v>
      </c>
      <c r="G2686" s="2">
        <f>VLOOKUP(B2686,'PO with created By ASR'!A:C,3,FALSE)</f>
        <v>45712</v>
      </c>
      <c r="J2686" s="2" t="str">
        <f>VLOOKUP(B2686,'PO with created By ASR'!A:G,4,FALSE)</f>
        <v>The Stage Factory-Del</v>
      </c>
      <c r="K2686" s="2" t="str">
        <f>VLOOKUP(B2686,'PO with created By ASR'!A:I,6,FALSE)</f>
        <v>12530 The Stage Factory</v>
      </c>
      <c r="L2686" s="2" t="str">
        <f>VLOOKUP(B2686,'PO with created By ASR'!A:J,7,FALSE)</f>
        <v>D - Delhi</v>
      </c>
      <c r="M2686" s="2" t="str">
        <f>VLOOKUP(B2686,'PO with created By ASR'!A:K,8,FALSE)</f>
        <v>Purchase Order-Del</v>
      </c>
      <c r="N2686" t="s">
        <v>36</v>
      </c>
      <c r="P2686" s="2">
        <v>6</v>
      </c>
    </row>
    <row r="2687" s="2" customFormat="1" spans="1:16">
      <c r="A2687" s="8"/>
      <c r="B2687" s="9" t="s">
        <v>3908</v>
      </c>
      <c r="C2687" s="10" t="s">
        <v>371</v>
      </c>
      <c r="D2687" s="11">
        <v>1</v>
      </c>
      <c r="E2687" s="12">
        <v>150000</v>
      </c>
      <c r="F2687" s="13">
        <v>150000</v>
      </c>
      <c r="G2687" s="2">
        <f>VLOOKUP(B2687,'PO with created By ASR'!A:C,3,FALSE)</f>
        <v>45712</v>
      </c>
      <c r="J2687" s="2" t="str">
        <f>VLOOKUP(B2687,'PO with created By ASR'!A:G,4,FALSE)</f>
        <v>Shivam Video Pvt.Ltd.-Del</v>
      </c>
      <c r="K2687" s="2" t="e">
        <f>VLOOKUP(B2687,'PO with created By ASR'!A:I,6,FALSE)</f>
        <v>#N/A</v>
      </c>
      <c r="L2687" s="2" t="str">
        <f>VLOOKUP(B2687,'PO with created By ASR'!A:J,7,FALSE)</f>
        <v>D - Delhi</v>
      </c>
      <c r="M2687" s="2" t="str">
        <f>VLOOKUP(B2687,'PO with created By ASR'!A:K,8,FALSE)</f>
        <v>Purchase Order-Del</v>
      </c>
      <c r="N2687" t="s">
        <v>36</v>
      </c>
      <c r="P2687" s="2">
        <v>6</v>
      </c>
    </row>
    <row r="2688" s="2" customFormat="1" spans="1:16">
      <c r="A2688" s="8"/>
      <c r="B2688" s="9" t="s">
        <v>3909</v>
      </c>
      <c r="C2688" s="10" t="s">
        <v>140</v>
      </c>
      <c r="D2688" s="11">
        <v>1</v>
      </c>
      <c r="E2688" s="12">
        <v>510800</v>
      </c>
      <c r="F2688" s="13">
        <v>510800</v>
      </c>
      <c r="G2688" s="2">
        <f>VLOOKUP(B2688,'PO with created By ASR'!A:C,3,FALSE)</f>
        <v>45712</v>
      </c>
      <c r="J2688" s="2" t="str">
        <f>VLOOKUP(B2688,'PO with created By ASR'!A:G,4,FALSE)</f>
        <v>Studio Merchandise Pvt Ltd-Del</v>
      </c>
      <c r="K2688" s="2" t="str">
        <f>VLOOKUP(B2688,'PO with created By ASR'!A:I,6,FALSE)</f>
        <v>12464  Studio Merchandise Pvt Ltd</v>
      </c>
      <c r="L2688" s="2" t="str">
        <f>VLOOKUP(B2688,'PO with created By ASR'!A:J,7,FALSE)</f>
        <v>D - Delhi</v>
      </c>
      <c r="M2688" s="2" t="str">
        <f>VLOOKUP(B2688,'PO with created By ASR'!A:K,8,FALSE)</f>
        <v>Purchase Order-Del</v>
      </c>
      <c r="N2688" t="s">
        <v>36</v>
      </c>
      <c r="P2688" s="2">
        <v>6</v>
      </c>
    </row>
    <row r="2689" s="2" customFormat="1" spans="1:16">
      <c r="A2689" s="8"/>
      <c r="B2689" s="9" t="s">
        <v>3909</v>
      </c>
      <c r="C2689" s="10" t="s">
        <v>140</v>
      </c>
      <c r="D2689" s="11">
        <v>1</v>
      </c>
      <c r="E2689" s="12">
        <v>127000</v>
      </c>
      <c r="F2689" s="13">
        <v>127000</v>
      </c>
      <c r="G2689" s="2">
        <f>VLOOKUP(B2689,'PO with created By ASR'!A:C,3,FALSE)</f>
        <v>45712</v>
      </c>
      <c r="J2689" s="2" t="str">
        <f>VLOOKUP(B2689,'PO with created By ASR'!A:G,4,FALSE)</f>
        <v>Studio Merchandise Pvt Ltd-Del</v>
      </c>
      <c r="K2689" s="2" t="str">
        <f>VLOOKUP(B2689,'PO with created By ASR'!A:I,6,FALSE)</f>
        <v>12464  Studio Merchandise Pvt Ltd</v>
      </c>
      <c r="L2689" s="2" t="str">
        <f>VLOOKUP(B2689,'PO with created By ASR'!A:J,7,FALSE)</f>
        <v>D - Delhi</v>
      </c>
      <c r="M2689" s="2" t="str">
        <f>VLOOKUP(B2689,'PO with created By ASR'!A:K,8,FALSE)</f>
        <v>Purchase Order-Del</v>
      </c>
      <c r="N2689" t="s">
        <v>36</v>
      </c>
      <c r="P2689" s="2">
        <v>6</v>
      </c>
    </row>
    <row r="2690" s="2" customFormat="1" spans="1:16">
      <c r="A2690" s="8"/>
      <c r="B2690" s="9" t="s">
        <v>3911</v>
      </c>
      <c r="C2690" s="10" t="s">
        <v>371</v>
      </c>
      <c r="D2690" s="11">
        <v>1</v>
      </c>
      <c r="E2690" s="12">
        <v>131000</v>
      </c>
      <c r="F2690" s="13">
        <v>131000</v>
      </c>
      <c r="G2690" s="2">
        <f>VLOOKUP(B2690,'PO with created By ASR'!A:C,3,FALSE)</f>
        <v>45712</v>
      </c>
      <c r="J2690" s="2" t="str">
        <f>VLOOKUP(B2690,'PO with created By ASR'!A:G,4,FALSE)</f>
        <v>Powerpro-Del</v>
      </c>
      <c r="K2690" s="2" t="e">
        <f>VLOOKUP(B2690,'PO with created By ASR'!A:I,6,FALSE)</f>
        <v>#N/A</v>
      </c>
      <c r="L2690" s="2" t="str">
        <f>VLOOKUP(B2690,'PO with created By ASR'!A:J,7,FALSE)</f>
        <v>D - Delhi</v>
      </c>
      <c r="M2690" s="2" t="str">
        <f>VLOOKUP(B2690,'PO with created By ASR'!A:K,8,FALSE)</f>
        <v>Purchase Order-Del</v>
      </c>
      <c r="N2690" t="s">
        <v>36</v>
      </c>
      <c r="P2690" s="2">
        <v>6</v>
      </c>
    </row>
    <row r="2691" s="2" customFormat="1" spans="1:16">
      <c r="A2691" s="8"/>
      <c r="B2691" s="9" t="s">
        <v>3912</v>
      </c>
      <c r="C2691" s="10" t="s">
        <v>292</v>
      </c>
      <c r="D2691" s="11">
        <v>1</v>
      </c>
      <c r="E2691" s="12">
        <v>140000</v>
      </c>
      <c r="F2691" s="13">
        <v>140000</v>
      </c>
      <c r="G2691" s="2">
        <f>VLOOKUP(B2691,'PO with created By ASR'!A:C,3,FALSE)</f>
        <v>45712</v>
      </c>
      <c r="J2691" s="2" t="str">
        <f>VLOOKUP(B2691,'PO with created By ASR'!A:G,4,FALSE)</f>
        <v>Red Carpet Events And Entertainment-Del</v>
      </c>
      <c r="K2691" s="2" t="str">
        <f>VLOOKUP(B2691,'PO with created By ASR'!A:I,6,FALSE)</f>
        <v>12326 Red Carpet Events And Entertainment</v>
      </c>
      <c r="L2691" s="2" t="str">
        <f>VLOOKUP(B2691,'PO with created By ASR'!A:J,7,FALSE)</f>
        <v>D - Delhi</v>
      </c>
      <c r="M2691" s="2" t="str">
        <f>VLOOKUP(B2691,'PO with created By ASR'!A:K,8,FALSE)</f>
        <v>Purchase Order-Del</v>
      </c>
      <c r="N2691" t="s">
        <v>36</v>
      </c>
      <c r="P2691" s="2">
        <v>6</v>
      </c>
    </row>
    <row r="2692" s="2" customFormat="1" spans="1:16">
      <c r="A2692" s="8"/>
      <c r="B2692" s="9" t="s">
        <v>3913</v>
      </c>
      <c r="C2692" s="10" t="s">
        <v>151</v>
      </c>
      <c r="D2692" s="11">
        <v>1</v>
      </c>
      <c r="E2692" s="12">
        <v>30000</v>
      </c>
      <c r="F2692" s="13">
        <v>30000</v>
      </c>
      <c r="G2692" s="2">
        <f>VLOOKUP(B2692,'PO with created By ASR'!A:C,3,FALSE)</f>
        <v>45712</v>
      </c>
      <c r="J2692" s="2" t="str">
        <f>VLOOKUP(B2692,'PO with created By ASR'!A:G,4,FALSE)</f>
        <v>Clear Span Events Pvt Ltd-Del</v>
      </c>
      <c r="K2692" s="2" t="str">
        <f>VLOOKUP(B2692,'PO with created By ASR'!A:I,6,FALSE)</f>
        <v>11772  Clear Span Events Pvt Ltd</v>
      </c>
      <c r="L2692" s="2" t="str">
        <f>VLOOKUP(B2692,'PO with created By ASR'!A:J,7,FALSE)</f>
        <v>D - Delhi</v>
      </c>
      <c r="M2692" s="2" t="str">
        <f>VLOOKUP(B2692,'PO with created By ASR'!A:K,8,FALSE)</f>
        <v>Purchase Order-Del</v>
      </c>
      <c r="N2692" t="s">
        <v>36</v>
      </c>
      <c r="P2692" s="2">
        <v>6</v>
      </c>
    </row>
    <row r="2693" s="2" customFormat="1" spans="1:16">
      <c r="A2693" s="8"/>
      <c r="B2693" s="9" t="s">
        <v>3914</v>
      </c>
      <c r="C2693" s="10" t="s">
        <v>151</v>
      </c>
      <c r="D2693" s="11">
        <v>1</v>
      </c>
      <c r="E2693" s="12">
        <v>30000</v>
      </c>
      <c r="F2693" s="13">
        <v>30000</v>
      </c>
      <c r="G2693" s="2">
        <f>VLOOKUP(B2693,'PO with created By ASR'!A:C,3,FALSE)</f>
        <v>45712</v>
      </c>
      <c r="J2693" s="2" t="str">
        <f>VLOOKUP(B2693,'PO with created By ASR'!A:G,4,FALSE)</f>
        <v>Edge Decor Llp-Del</v>
      </c>
      <c r="K2693" s="2" t="str">
        <f>VLOOKUP(B2693,'PO with created By ASR'!A:I,6,FALSE)</f>
        <v>11030 Edge Decor Llp</v>
      </c>
      <c r="L2693" s="2" t="str">
        <f>VLOOKUP(B2693,'PO with created By ASR'!A:J,7,FALSE)</f>
        <v>D - Delhi</v>
      </c>
      <c r="M2693" s="2" t="str">
        <f>VLOOKUP(B2693,'PO with created By ASR'!A:K,8,FALSE)</f>
        <v>Purchase Order-Del</v>
      </c>
      <c r="N2693" t="s">
        <v>36</v>
      </c>
      <c r="P2693" s="2">
        <v>6</v>
      </c>
    </row>
    <row r="2694" s="2" customFormat="1" spans="1:16">
      <c r="A2694" s="8"/>
      <c r="B2694" s="9" t="s">
        <v>3915</v>
      </c>
      <c r="C2694" s="10" t="s">
        <v>151</v>
      </c>
      <c r="D2694" s="11">
        <v>1</v>
      </c>
      <c r="E2694" s="12">
        <v>3600</v>
      </c>
      <c r="F2694" s="13">
        <v>3600</v>
      </c>
      <c r="G2694" s="2">
        <f>VLOOKUP(B2694,'PO with created By ASR'!A:C,3,FALSE)</f>
        <v>45712</v>
      </c>
      <c r="J2694" s="2" t="str">
        <f>VLOOKUP(B2694,'PO with created By ASR'!A:G,4,FALSE)</f>
        <v>Edge Decor Llp-Del</v>
      </c>
      <c r="K2694" s="2" t="str">
        <f>VLOOKUP(B2694,'PO with created By ASR'!A:I,6,FALSE)</f>
        <v>11030 Edge Decor Llp</v>
      </c>
      <c r="L2694" s="2" t="str">
        <f>VLOOKUP(B2694,'PO with created By ASR'!A:J,7,FALSE)</f>
        <v>D - Delhi</v>
      </c>
      <c r="M2694" s="2" t="str">
        <f>VLOOKUP(B2694,'PO with created By ASR'!A:K,8,FALSE)</f>
        <v>Purchase Order-Del</v>
      </c>
      <c r="N2694" t="s">
        <v>36</v>
      </c>
      <c r="P2694" s="2">
        <v>6</v>
      </c>
    </row>
    <row r="2695" s="2" customFormat="1" spans="1:16">
      <c r="A2695" s="8"/>
      <c r="B2695" s="9" t="s">
        <v>3917</v>
      </c>
      <c r="C2695" s="10" t="s">
        <v>347</v>
      </c>
      <c r="D2695" s="11">
        <v>1</v>
      </c>
      <c r="E2695" s="12">
        <v>47500</v>
      </c>
      <c r="F2695" s="13">
        <v>47500</v>
      </c>
      <c r="G2695" s="2">
        <f>VLOOKUP(B2695,'PO with created By ASR'!A:C,3,FALSE)</f>
        <v>45712</v>
      </c>
      <c r="J2695" s="2" t="str">
        <f>VLOOKUP(B2695,'PO with created By ASR'!A:G,4,FALSE)</f>
        <v>Yana Hospitality Inc-Del</v>
      </c>
      <c r="K2695" s="2" t="str">
        <f>VLOOKUP(B2695,'PO with created By ASR'!A:I,6,FALSE)</f>
        <v>10104 Yana Hospitality Inc</v>
      </c>
      <c r="L2695" s="2" t="str">
        <f>VLOOKUP(B2695,'PO with created By ASR'!A:J,7,FALSE)</f>
        <v>D - Delhi</v>
      </c>
      <c r="M2695" s="2" t="str">
        <f>VLOOKUP(B2695,'PO with created By ASR'!A:K,8,FALSE)</f>
        <v>Purchase Order-Del</v>
      </c>
      <c r="N2695" t="s">
        <v>36</v>
      </c>
      <c r="P2695" s="2">
        <v>6</v>
      </c>
    </row>
    <row r="2696" s="2" customFormat="1" spans="1:16">
      <c r="A2696" s="8"/>
      <c r="B2696" s="9" t="s">
        <v>3920</v>
      </c>
      <c r="C2696" s="10" t="s">
        <v>126</v>
      </c>
      <c r="D2696" s="11">
        <v>1</v>
      </c>
      <c r="E2696" s="12">
        <v>2581</v>
      </c>
      <c r="F2696" s="13">
        <v>2581</v>
      </c>
      <c r="G2696" s="2">
        <f>VLOOKUP(B2696,'PO with created By ASR'!A:C,3,FALSE)</f>
        <v>45712</v>
      </c>
      <c r="J2696" s="2" t="str">
        <f>VLOOKUP(B2696,'PO with created By ASR'!A:G,4,FALSE)</f>
        <v>Bitu Kumar  -CR</v>
      </c>
      <c r="K2696" s="2" t="e">
        <f>VLOOKUP(B2696,'PO with created By ASR'!A:I,6,FALSE)</f>
        <v>#N/A</v>
      </c>
      <c r="L2696" s="2" t="str">
        <f>VLOOKUP(B2696,'PO with created By ASR'!A:J,7,FALSE)</f>
        <v>D - Delhi</v>
      </c>
      <c r="M2696" s="2" t="str">
        <f>VLOOKUP(B2696,'PO with created By ASR'!A:K,8,FALSE)</f>
        <v>Purchase Order-Del</v>
      </c>
      <c r="N2696" t="s">
        <v>36</v>
      </c>
      <c r="P2696" s="2">
        <v>6</v>
      </c>
    </row>
    <row r="2697" s="2" customFormat="1" spans="1:16">
      <c r="A2697" s="8"/>
      <c r="B2697" s="9" t="s">
        <v>3920</v>
      </c>
      <c r="C2697" s="10" t="s">
        <v>412</v>
      </c>
      <c r="D2697" s="11">
        <v>1</v>
      </c>
      <c r="E2697" s="12">
        <v>1548</v>
      </c>
      <c r="F2697" s="13">
        <v>1548</v>
      </c>
      <c r="G2697" s="2">
        <f>VLOOKUP(B2697,'PO with created By ASR'!A:C,3,FALSE)</f>
        <v>45712</v>
      </c>
      <c r="J2697" s="2" t="str">
        <f>VLOOKUP(B2697,'PO with created By ASR'!A:G,4,FALSE)</f>
        <v>Bitu Kumar  -CR</v>
      </c>
      <c r="K2697" s="2" t="e">
        <f>VLOOKUP(B2697,'PO with created By ASR'!A:I,6,FALSE)</f>
        <v>#N/A</v>
      </c>
      <c r="L2697" s="2" t="str">
        <f>VLOOKUP(B2697,'PO with created By ASR'!A:J,7,FALSE)</f>
        <v>D - Delhi</v>
      </c>
      <c r="M2697" s="2" t="str">
        <f>VLOOKUP(B2697,'PO with created By ASR'!A:K,8,FALSE)</f>
        <v>Purchase Order-Del</v>
      </c>
      <c r="N2697" t="s">
        <v>36</v>
      </c>
      <c r="P2697" s="2">
        <v>6</v>
      </c>
    </row>
    <row r="2698" s="2" customFormat="1" spans="1:16">
      <c r="A2698" s="8"/>
      <c r="B2698" s="9" t="s">
        <v>3921</v>
      </c>
      <c r="C2698" s="10" t="s">
        <v>126</v>
      </c>
      <c r="D2698" s="11">
        <v>1</v>
      </c>
      <c r="E2698" s="12">
        <v>2187</v>
      </c>
      <c r="F2698" s="13">
        <v>2187</v>
      </c>
      <c r="G2698" s="2">
        <f>VLOOKUP(B2698,'PO with created By ASR'!A:C,3,FALSE)</f>
        <v>45712</v>
      </c>
      <c r="J2698" s="2" t="str">
        <f>VLOOKUP(B2698,'PO with created By ASR'!A:G,4,FALSE)</f>
        <v>Naveen Mandal  -CR</v>
      </c>
      <c r="K2698" s="2" t="str">
        <f>VLOOKUP(B2698,'PO with created By ASR'!A:I,6,FALSE)</f>
        <v>10765 Naveen Mandal</v>
      </c>
      <c r="L2698" s="2" t="str">
        <f>VLOOKUP(B2698,'PO with created By ASR'!A:J,7,FALSE)</f>
        <v>D - Delhi</v>
      </c>
      <c r="M2698" s="2" t="str">
        <f>VLOOKUP(B2698,'PO with created By ASR'!A:K,8,FALSE)</f>
        <v>Purchase Order-Del</v>
      </c>
      <c r="N2698" t="s">
        <v>36</v>
      </c>
      <c r="P2698" s="2">
        <v>6</v>
      </c>
    </row>
    <row r="2699" s="2" customFormat="1" spans="1:16">
      <c r="A2699" s="8"/>
      <c r="B2699" s="9" t="s">
        <v>3921</v>
      </c>
      <c r="C2699" s="10" t="s">
        <v>412</v>
      </c>
      <c r="D2699" s="11">
        <v>1</v>
      </c>
      <c r="E2699" s="12">
        <v>520</v>
      </c>
      <c r="F2699" s="13">
        <v>520</v>
      </c>
      <c r="G2699" s="2">
        <f>VLOOKUP(B2699,'PO with created By ASR'!A:C,3,FALSE)</f>
        <v>45712</v>
      </c>
      <c r="J2699" s="2" t="str">
        <f>VLOOKUP(B2699,'PO with created By ASR'!A:G,4,FALSE)</f>
        <v>Naveen Mandal  -CR</v>
      </c>
      <c r="K2699" s="2" t="str">
        <f>VLOOKUP(B2699,'PO with created By ASR'!A:I,6,FALSE)</f>
        <v>10765 Naveen Mandal</v>
      </c>
      <c r="L2699" s="2" t="str">
        <f>VLOOKUP(B2699,'PO with created By ASR'!A:J,7,FALSE)</f>
        <v>D - Delhi</v>
      </c>
      <c r="M2699" s="2" t="str">
        <f>VLOOKUP(B2699,'PO with created By ASR'!A:K,8,FALSE)</f>
        <v>Purchase Order-Del</v>
      </c>
      <c r="N2699" t="s">
        <v>36</v>
      </c>
      <c r="P2699" s="2">
        <v>6</v>
      </c>
    </row>
    <row r="2700" s="2" customFormat="1" spans="1:16">
      <c r="A2700" s="8"/>
      <c r="B2700" s="9" t="s">
        <v>3922</v>
      </c>
      <c r="C2700" s="10" t="s">
        <v>126</v>
      </c>
      <c r="D2700" s="11">
        <v>1</v>
      </c>
      <c r="E2700" s="12">
        <v>1604</v>
      </c>
      <c r="F2700" s="13">
        <v>1604</v>
      </c>
      <c r="G2700" s="2">
        <f>VLOOKUP(B2700,'PO with created By ASR'!A:C,3,FALSE)</f>
        <v>45712</v>
      </c>
      <c r="J2700" s="2" t="str">
        <f>VLOOKUP(B2700,'PO with created By ASR'!A:G,4,FALSE)</f>
        <v>Varun Sondhi  -CR</v>
      </c>
      <c r="K2700" s="2" t="e">
        <f>VLOOKUP(B2700,'PO with created By ASR'!A:I,6,FALSE)</f>
        <v>#N/A</v>
      </c>
      <c r="L2700" s="2" t="str">
        <f>VLOOKUP(B2700,'PO with created By ASR'!A:J,7,FALSE)</f>
        <v>D - Delhi</v>
      </c>
      <c r="M2700" s="2" t="str">
        <f>VLOOKUP(B2700,'PO with created By ASR'!A:K,8,FALSE)</f>
        <v>Purchase Order-Del</v>
      </c>
      <c r="N2700" t="s">
        <v>36</v>
      </c>
      <c r="P2700" s="2">
        <v>6</v>
      </c>
    </row>
    <row r="2701" s="2" customFormat="1" spans="1:16">
      <c r="A2701" s="8"/>
      <c r="B2701" s="9" t="s">
        <v>3923</v>
      </c>
      <c r="C2701" s="10" t="s">
        <v>126</v>
      </c>
      <c r="D2701" s="11">
        <v>1</v>
      </c>
      <c r="E2701" s="12">
        <v>1121</v>
      </c>
      <c r="F2701" s="13">
        <v>1121</v>
      </c>
      <c r="G2701" s="2">
        <f>VLOOKUP(B2701,'PO with created By ASR'!A:C,3,FALSE)</f>
        <v>45712</v>
      </c>
      <c r="J2701" s="2" t="str">
        <f>VLOOKUP(B2701,'PO with created By ASR'!A:G,4,FALSE)</f>
        <v>Naveen Mandal  -CR</v>
      </c>
      <c r="K2701" s="2" t="str">
        <f>VLOOKUP(B2701,'PO with created By ASR'!A:I,6,FALSE)</f>
        <v>10765 Naveen Mandal</v>
      </c>
      <c r="L2701" s="2" t="str">
        <f>VLOOKUP(B2701,'PO with created By ASR'!A:J,7,FALSE)</f>
        <v>D - Delhi</v>
      </c>
      <c r="M2701" s="2" t="str">
        <f>VLOOKUP(B2701,'PO with created By ASR'!A:K,8,FALSE)</f>
        <v>Purchase Order-Del</v>
      </c>
      <c r="N2701" t="s">
        <v>36</v>
      </c>
      <c r="P2701" s="2">
        <v>6</v>
      </c>
    </row>
    <row r="2702" s="2" customFormat="1" spans="1:16">
      <c r="A2702" s="8"/>
      <c r="B2702" s="9" t="s">
        <v>3924</v>
      </c>
      <c r="C2702" s="10" t="s">
        <v>233</v>
      </c>
      <c r="D2702" s="11">
        <v>1</v>
      </c>
      <c r="E2702" s="12">
        <v>24002</v>
      </c>
      <c r="F2702" s="13">
        <v>24002</v>
      </c>
      <c r="G2702" s="2">
        <f>VLOOKUP(B2702,'PO with created By ASR'!A:C,3,FALSE)</f>
        <v>45712</v>
      </c>
      <c r="J2702" s="2" t="str">
        <f>VLOOKUP(B2702,'PO with created By ASR'!A:G,4,FALSE)</f>
        <v>Amarpreet Singh........... -CR</v>
      </c>
      <c r="K2702" s="2" t="e">
        <f>VLOOKUP(B2702,'PO with created By ASR'!A:I,6,FALSE)</f>
        <v>#N/A</v>
      </c>
      <c r="L2702" s="2" t="str">
        <f>VLOOKUP(B2702,'PO with created By ASR'!A:J,7,FALSE)</f>
        <v>D - Delhi</v>
      </c>
      <c r="M2702" s="2" t="str">
        <f>VLOOKUP(B2702,'PO with created By ASR'!A:K,8,FALSE)</f>
        <v>Purchase Order-Del</v>
      </c>
      <c r="N2702" t="s">
        <v>36</v>
      </c>
      <c r="P2702" s="2">
        <v>6</v>
      </c>
    </row>
    <row r="2703" s="2" customFormat="1" spans="1:16">
      <c r="A2703" s="8"/>
      <c r="B2703" s="9" t="s">
        <v>3925</v>
      </c>
      <c r="C2703" s="10" t="s">
        <v>126</v>
      </c>
      <c r="D2703" s="11">
        <v>1</v>
      </c>
      <c r="E2703" s="12">
        <v>5707</v>
      </c>
      <c r="F2703" s="13">
        <v>5707</v>
      </c>
      <c r="G2703" s="2">
        <f>VLOOKUP(B2703,'PO with created By ASR'!A:C,3,FALSE)</f>
        <v>45712</v>
      </c>
      <c r="J2703" s="2" t="str">
        <f>VLOOKUP(B2703,'PO with created By ASR'!A:G,4,FALSE)</f>
        <v>Bharat Sharma  -CR</v>
      </c>
      <c r="K2703" s="2" t="e">
        <f>VLOOKUP(B2703,'PO with created By ASR'!A:I,6,FALSE)</f>
        <v>#N/A</v>
      </c>
      <c r="L2703" s="2" t="str">
        <f>VLOOKUP(B2703,'PO with created By ASR'!A:J,7,FALSE)</f>
        <v>D - Delhi</v>
      </c>
      <c r="M2703" s="2" t="str">
        <f>VLOOKUP(B2703,'PO with created By ASR'!A:K,8,FALSE)</f>
        <v>Purchase Order-Del</v>
      </c>
      <c r="N2703" t="s">
        <v>36</v>
      </c>
      <c r="P2703" s="2">
        <v>6</v>
      </c>
    </row>
    <row r="2704" s="2" customFormat="1" spans="1:16">
      <c r="A2704" s="8"/>
      <c r="B2704" s="9" t="s">
        <v>3925</v>
      </c>
      <c r="C2704" s="10" t="s">
        <v>412</v>
      </c>
      <c r="D2704" s="11">
        <v>1</v>
      </c>
      <c r="E2704" s="12">
        <v>6573</v>
      </c>
      <c r="F2704" s="13">
        <v>6573</v>
      </c>
      <c r="G2704" s="2">
        <f>VLOOKUP(B2704,'PO with created By ASR'!A:C,3,FALSE)</f>
        <v>45712</v>
      </c>
      <c r="J2704" s="2" t="str">
        <f>VLOOKUP(B2704,'PO with created By ASR'!A:G,4,FALSE)</f>
        <v>Bharat Sharma  -CR</v>
      </c>
      <c r="K2704" s="2" t="e">
        <f>VLOOKUP(B2704,'PO with created By ASR'!A:I,6,FALSE)</f>
        <v>#N/A</v>
      </c>
      <c r="L2704" s="2" t="str">
        <f>VLOOKUP(B2704,'PO with created By ASR'!A:J,7,FALSE)</f>
        <v>D - Delhi</v>
      </c>
      <c r="M2704" s="2" t="str">
        <f>VLOOKUP(B2704,'PO with created By ASR'!A:K,8,FALSE)</f>
        <v>Purchase Order-Del</v>
      </c>
      <c r="N2704" t="s">
        <v>36</v>
      </c>
      <c r="P2704" s="2">
        <v>6</v>
      </c>
    </row>
    <row r="2705" s="2" customFormat="1" spans="1:16">
      <c r="A2705" s="8"/>
      <c r="B2705" s="9" t="s">
        <v>3925</v>
      </c>
      <c r="C2705" s="10" t="s">
        <v>61</v>
      </c>
      <c r="D2705" s="11">
        <v>1</v>
      </c>
      <c r="E2705" s="12">
        <v>10995</v>
      </c>
      <c r="F2705" s="13">
        <v>10995</v>
      </c>
      <c r="G2705" s="2">
        <f>VLOOKUP(B2705,'PO with created By ASR'!A:C,3,FALSE)</f>
        <v>45712</v>
      </c>
      <c r="J2705" s="2" t="str">
        <f>VLOOKUP(B2705,'PO with created By ASR'!A:G,4,FALSE)</f>
        <v>Bharat Sharma  -CR</v>
      </c>
      <c r="K2705" s="2" t="e">
        <f>VLOOKUP(B2705,'PO with created By ASR'!A:I,6,FALSE)</f>
        <v>#N/A</v>
      </c>
      <c r="L2705" s="2" t="str">
        <f>VLOOKUP(B2705,'PO with created By ASR'!A:J,7,FALSE)</f>
        <v>D - Delhi</v>
      </c>
      <c r="M2705" s="2" t="str">
        <f>VLOOKUP(B2705,'PO with created By ASR'!A:K,8,FALSE)</f>
        <v>Purchase Order-Del</v>
      </c>
      <c r="N2705" t="s">
        <v>36</v>
      </c>
      <c r="P2705" s="2">
        <v>6</v>
      </c>
    </row>
    <row r="2706" s="2" customFormat="1" spans="1:16">
      <c r="A2706" s="8"/>
      <c r="B2706" s="9" t="s">
        <v>3925</v>
      </c>
      <c r="C2706" s="10" t="s">
        <v>233</v>
      </c>
      <c r="D2706" s="11">
        <v>1</v>
      </c>
      <c r="E2706" s="12">
        <v>848</v>
      </c>
      <c r="F2706" s="13">
        <v>848</v>
      </c>
      <c r="G2706" s="2">
        <f>VLOOKUP(B2706,'PO with created By ASR'!A:C,3,FALSE)</f>
        <v>45712</v>
      </c>
      <c r="J2706" s="2" t="str">
        <f>VLOOKUP(B2706,'PO with created By ASR'!A:G,4,FALSE)</f>
        <v>Bharat Sharma  -CR</v>
      </c>
      <c r="K2706" s="2" t="e">
        <f>VLOOKUP(B2706,'PO with created By ASR'!A:I,6,FALSE)</f>
        <v>#N/A</v>
      </c>
      <c r="L2706" s="2" t="str">
        <f>VLOOKUP(B2706,'PO with created By ASR'!A:J,7,FALSE)</f>
        <v>D - Delhi</v>
      </c>
      <c r="M2706" s="2" t="str">
        <f>VLOOKUP(B2706,'PO with created By ASR'!A:K,8,FALSE)</f>
        <v>Purchase Order-Del</v>
      </c>
      <c r="N2706" t="s">
        <v>36</v>
      </c>
      <c r="P2706" s="2">
        <v>6</v>
      </c>
    </row>
    <row r="2707" s="2" customFormat="1" spans="1:16">
      <c r="A2707" s="8"/>
      <c r="B2707" s="9" t="s">
        <v>3926</v>
      </c>
      <c r="C2707" s="10" t="s">
        <v>126</v>
      </c>
      <c r="D2707" s="11">
        <v>1</v>
      </c>
      <c r="E2707" s="12">
        <v>4710</v>
      </c>
      <c r="F2707" s="13">
        <v>4710</v>
      </c>
      <c r="G2707" s="2">
        <f>VLOOKUP(B2707,'PO with created By ASR'!A:C,3,FALSE)</f>
        <v>45712</v>
      </c>
      <c r="J2707" s="2" t="str">
        <f>VLOOKUP(B2707,'PO with created By ASR'!A:G,4,FALSE)</f>
        <v>Naveen Mandal  -CR</v>
      </c>
      <c r="K2707" s="2" t="str">
        <f>VLOOKUP(B2707,'PO with created By ASR'!A:I,6,FALSE)</f>
        <v>10765 Naveen Mandal</v>
      </c>
      <c r="L2707" s="2" t="str">
        <f>VLOOKUP(B2707,'PO with created By ASR'!A:J,7,FALSE)</f>
        <v>D - Delhi</v>
      </c>
      <c r="M2707" s="2" t="str">
        <f>VLOOKUP(B2707,'PO with created By ASR'!A:K,8,FALSE)</f>
        <v>Purchase Order-Del</v>
      </c>
      <c r="N2707" t="s">
        <v>36</v>
      </c>
      <c r="P2707" s="2">
        <v>6</v>
      </c>
    </row>
    <row r="2708" s="2" customFormat="1" spans="1:16">
      <c r="A2708" s="8"/>
      <c r="B2708" s="9" t="s">
        <v>3926</v>
      </c>
      <c r="C2708" s="10" t="s">
        <v>412</v>
      </c>
      <c r="D2708" s="11">
        <v>1</v>
      </c>
      <c r="E2708" s="12">
        <v>11162</v>
      </c>
      <c r="F2708" s="13">
        <v>11162</v>
      </c>
      <c r="G2708" s="2">
        <f>VLOOKUP(B2708,'PO with created By ASR'!A:C,3,FALSE)</f>
        <v>45712</v>
      </c>
      <c r="J2708" s="2" t="str">
        <f>VLOOKUP(B2708,'PO with created By ASR'!A:G,4,FALSE)</f>
        <v>Naveen Mandal  -CR</v>
      </c>
      <c r="K2708" s="2" t="str">
        <f>VLOOKUP(B2708,'PO with created By ASR'!A:I,6,FALSE)</f>
        <v>10765 Naveen Mandal</v>
      </c>
      <c r="L2708" s="2" t="str">
        <f>VLOOKUP(B2708,'PO with created By ASR'!A:J,7,FALSE)</f>
        <v>D - Delhi</v>
      </c>
      <c r="M2708" s="2" t="str">
        <f>VLOOKUP(B2708,'PO with created By ASR'!A:K,8,FALSE)</f>
        <v>Purchase Order-Del</v>
      </c>
      <c r="N2708" t="s">
        <v>36</v>
      </c>
      <c r="P2708" s="2">
        <v>6</v>
      </c>
    </row>
    <row r="2709" s="2" customFormat="1" spans="1:16">
      <c r="A2709" s="8"/>
      <c r="B2709" s="9" t="s">
        <v>3926</v>
      </c>
      <c r="C2709" s="10" t="s">
        <v>61</v>
      </c>
      <c r="D2709" s="11">
        <v>1</v>
      </c>
      <c r="E2709" s="12">
        <v>15054</v>
      </c>
      <c r="F2709" s="13">
        <v>15054</v>
      </c>
      <c r="G2709" s="2">
        <f>VLOOKUP(B2709,'PO with created By ASR'!A:C,3,FALSE)</f>
        <v>45712</v>
      </c>
      <c r="J2709" s="2" t="str">
        <f>VLOOKUP(B2709,'PO with created By ASR'!A:G,4,FALSE)</f>
        <v>Naveen Mandal  -CR</v>
      </c>
      <c r="K2709" s="2" t="str">
        <f>VLOOKUP(B2709,'PO with created By ASR'!A:I,6,FALSE)</f>
        <v>10765 Naveen Mandal</v>
      </c>
      <c r="L2709" s="2" t="str">
        <f>VLOOKUP(B2709,'PO with created By ASR'!A:J,7,FALSE)</f>
        <v>D - Delhi</v>
      </c>
      <c r="M2709" s="2" t="str">
        <f>VLOOKUP(B2709,'PO with created By ASR'!A:K,8,FALSE)</f>
        <v>Purchase Order-Del</v>
      </c>
      <c r="N2709" t="s">
        <v>36</v>
      </c>
      <c r="P2709" s="2">
        <v>6</v>
      </c>
    </row>
    <row r="2710" s="2" customFormat="1" spans="1:16">
      <c r="A2710" s="8"/>
      <c r="B2710" s="9" t="s">
        <v>3926</v>
      </c>
      <c r="C2710" s="10" t="s">
        <v>233</v>
      </c>
      <c r="D2710" s="11">
        <v>1</v>
      </c>
      <c r="E2710" s="12">
        <v>385</v>
      </c>
      <c r="F2710" s="13">
        <v>385</v>
      </c>
      <c r="G2710" s="2">
        <f>VLOOKUP(B2710,'PO with created By ASR'!A:C,3,FALSE)</f>
        <v>45712</v>
      </c>
      <c r="J2710" s="2" t="str">
        <f>VLOOKUP(B2710,'PO with created By ASR'!A:G,4,FALSE)</f>
        <v>Naveen Mandal  -CR</v>
      </c>
      <c r="K2710" s="2" t="str">
        <f>VLOOKUP(B2710,'PO with created By ASR'!A:I,6,FALSE)</f>
        <v>10765 Naveen Mandal</v>
      </c>
      <c r="L2710" s="2" t="str">
        <f>VLOOKUP(B2710,'PO with created By ASR'!A:J,7,FALSE)</f>
        <v>D - Delhi</v>
      </c>
      <c r="M2710" s="2" t="str">
        <f>VLOOKUP(B2710,'PO with created By ASR'!A:K,8,FALSE)</f>
        <v>Purchase Order-Del</v>
      </c>
      <c r="N2710" t="s">
        <v>36</v>
      </c>
      <c r="P2710" s="2">
        <v>6</v>
      </c>
    </row>
    <row r="2711" s="2" customFormat="1" spans="1:16">
      <c r="A2711" s="8"/>
      <c r="B2711" s="9" t="s">
        <v>3927</v>
      </c>
      <c r="C2711" s="10" t="s">
        <v>126</v>
      </c>
      <c r="D2711" s="11">
        <v>1</v>
      </c>
      <c r="E2711" s="12">
        <v>780</v>
      </c>
      <c r="F2711" s="13">
        <v>780</v>
      </c>
      <c r="G2711" s="2">
        <f>VLOOKUP(B2711,'PO with created By ASR'!A:C,3,FALSE)</f>
        <v>45712</v>
      </c>
      <c r="J2711" s="2" t="str">
        <f>VLOOKUP(B2711,'PO with created By ASR'!A:G,4,FALSE)</f>
        <v>Puneet Kumar ........... -CR</v>
      </c>
      <c r="K2711" s="2" t="e">
        <f>VLOOKUP(B2711,'PO with created By ASR'!A:I,6,FALSE)</f>
        <v>#N/A</v>
      </c>
      <c r="L2711" s="2" t="str">
        <f>VLOOKUP(B2711,'PO with created By ASR'!A:J,7,FALSE)</f>
        <v>D - Delhi</v>
      </c>
      <c r="M2711" s="2" t="str">
        <f>VLOOKUP(B2711,'PO with created By ASR'!A:K,8,FALSE)</f>
        <v>Purchase Order-Del</v>
      </c>
      <c r="N2711" t="s">
        <v>36</v>
      </c>
      <c r="P2711" s="2">
        <v>6</v>
      </c>
    </row>
    <row r="2712" s="2" customFormat="1" spans="1:16">
      <c r="A2712" s="8"/>
      <c r="B2712" s="9" t="s">
        <v>3928</v>
      </c>
      <c r="C2712" s="10" t="s">
        <v>126</v>
      </c>
      <c r="D2712" s="11">
        <v>1</v>
      </c>
      <c r="E2712" s="12">
        <v>3175</v>
      </c>
      <c r="F2712" s="13">
        <v>3175</v>
      </c>
      <c r="G2712" s="2">
        <f>VLOOKUP(B2712,'PO with created By ASR'!A:C,3,FALSE)</f>
        <v>45712</v>
      </c>
      <c r="J2712" s="2" t="str">
        <f>VLOOKUP(B2712,'PO with created By ASR'!A:G,4,FALSE)</f>
        <v>Anil Kumar Singh..........-CR</v>
      </c>
      <c r="K2712" s="2" t="e">
        <f>VLOOKUP(B2712,'PO with created By ASR'!A:I,6,FALSE)</f>
        <v>#N/A</v>
      </c>
      <c r="L2712" s="2" t="str">
        <f>VLOOKUP(B2712,'PO with created By ASR'!A:J,7,FALSE)</f>
        <v>D - Delhi</v>
      </c>
      <c r="M2712" s="2" t="str">
        <f>VLOOKUP(B2712,'PO with created By ASR'!A:K,8,FALSE)</f>
        <v>Purchase Order-Del</v>
      </c>
      <c r="N2712" t="s">
        <v>36</v>
      </c>
      <c r="P2712" s="2">
        <v>6</v>
      </c>
    </row>
    <row r="2713" s="2" customFormat="1" spans="1:16">
      <c r="A2713" s="8"/>
      <c r="B2713" s="9" t="s">
        <v>3930</v>
      </c>
      <c r="C2713" s="10" t="s">
        <v>126</v>
      </c>
      <c r="D2713" s="11">
        <v>1</v>
      </c>
      <c r="E2713" s="12">
        <v>1185</v>
      </c>
      <c r="F2713" s="13">
        <v>1185</v>
      </c>
      <c r="G2713" s="2">
        <f>VLOOKUP(B2713,'PO with created By ASR'!A:C,3,FALSE)</f>
        <v>45712</v>
      </c>
      <c r="J2713" s="2" t="str">
        <f>VLOOKUP(B2713,'PO with created By ASR'!A:G,4,FALSE)</f>
        <v>Bitu Kumar  -CR</v>
      </c>
      <c r="K2713" s="2" t="e">
        <f>VLOOKUP(B2713,'PO with created By ASR'!A:I,6,FALSE)</f>
        <v>#N/A</v>
      </c>
      <c r="L2713" s="2" t="str">
        <f>VLOOKUP(B2713,'PO with created By ASR'!A:J,7,FALSE)</f>
        <v>D - Delhi</v>
      </c>
      <c r="M2713" s="2" t="str">
        <f>VLOOKUP(B2713,'PO with created By ASR'!A:K,8,FALSE)</f>
        <v>Purchase Order-Del</v>
      </c>
      <c r="N2713" t="s">
        <v>36</v>
      </c>
      <c r="P2713" s="2">
        <v>6</v>
      </c>
    </row>
    <row r="2714" s="2" customFormat="1" spans="1:16">
      <c r="A2714" s="8"/>
      <c r="B2714" s="9" t="s">
        <v>3930</v>
      </c>
      <c r="C2714" s="10" t="s">
        <v>412</v>
      </c>
      <c r="D2714" s="11">
        <v>1</v>
      </c>
      <c r="E2714" s="12">
        <v>634</v>
      </c>
      <c r="F2714" s="13">
        <v>634</v>
      </c>
      <c r="G2714" s="2">
        <f>VLOOKUP(B2714,'PO with created By ASR'!A:C,3,FALSE)</f>
        <v>45712</v>
      </c>
      <c r="J2714" s="2" t="str">
        <f>VLOOKUP(B2714,'PO with created By ASR'!A:G,4,FALSE)</f>
        <v>Bitu Kumar  -CR</v>
      </c>
      <c r="K2714" s="2" t="e">
        <f>VLOOKUP(B2714,'PO with created By ASR'!A:I,6,FALSE)</f>
        <v>#N/A</v>
      </c>
      <c r="L2714" s="2" t="str">
        <f>VLOOKUP(B2714,'PO with created By ASR'!A:J,7,FALSE)</f>
        <v>D - Delhi</v>
      </c>
      <c r="M2714" s="2" t="str">
        <f>VLOOKUP(B2714,'PO with created By ASR'!A:K,8,FALSE)</f>
        <v>Purchase Order-Del</v>
      </c>
      <c r="N2714" t="s">
        <v>36</v>
      </c>
      <c r="P2714" s="2">
        <v>6</v>
      </c>
    </row>
    <row r="2715" s="2" customFormat="1" spans="1:16">
      <c r="A2715" s="8"/>
      <c r="B2715" s="9" t="s">
        <v>3930</v>
      </c>
      <c r="C2715" s="10" t="s">
        <v>233</v>
      </c>
      <c r="D2715" s="11">
        <v>1</v>
      </c>
      <c r="E2715" s="12">
        <v>1170</v>
      </c>
      <c r="F2715" s="13">
        <v>1170</v>
      </c>
      <c r="G2715" s="2">
        <f>VLOOKUP(B2715,'PO with created By ASR'!A:C,3,FALSE)</f>
        <v>45712</v>
      </c>
      <c r="J2715" s="2" t="str">
        <f>VLOOKUP(B2715,'PO with created By ASR'!A:G,4,FALSE)</f>
        <v>Bitu Kumar  -CR</v>
      </c>
      <c r="K2715" s="2" t="e">
        <f>VLOOKUP(B2715,'PO with created By ASR'!A:I,6,FALSE)</f>
        <v>#N/A</v>
      </c>
      <c r="L2715" s="2" t="str">
        <f>VLOOKUP(B2715,'PO with created By ASR'!A:J,7,FALSE)</f>
        <v>D - Delhi</v>
      </c>
      <c r="M2715" s="2" t="str">
        <f>VLOOKUP(B2715,'PO with created By ASR'!A:K,8,FALSE)</f>
        <v>Purchase Order-Del</v>
      </c>
      <c r="N2715" t="s">
        <v>36</v>
      </c>
      <c r="P2715" s="2">
        <v>6</v>
      </c>
    </row>
    <row r="2716" s="2" customFormat="1" spans="1:16">
      <c r="A2716" s="8"/>
      <c r="B2716" s="9" t="s">
        <v>3931</v>
      </c>
      <c r="C2716" s="10" t="s">
        <v>126</v>
      </c>
      <c r="D2716" s="11">
        <v>1</v>
      </c>
      <c r="E2716" s="12">
        <v>830</v>
      </c>
      <c r="F2716" s="13">
        <v>830</v>
      </c>
      <c r="G2716" s="2">
        <f>VLOOKUP(B2716,'PO with created By ASR'!A:C,3,FALSE)</f>
        <v>45712</v>
      </c>
      <c r="J2716" s="2" t="str">
        <f>VLOOKUP(B2716,'PO with created By ASR'!A:G,4,FALSE)</f>
        <v>Puneet Kumar ........... -CR</v>
      </c>
      <c r="K2716" s="2" t="e">
        <f>VLOOKUP(B2716,'PO with created By ASR'!A:I,6,FALSE)</f>
        <v>#N/A</v>
      </c>
      <c r="L2716" s="2" t="str">
        <f>VLOOKUP(B2716,'PO with created By ASR'!A:J,7,FALSE)</f>
        <v>D - Delhi</v>
      </c>
      <c r="M2716" s="2" t="str">
        <f>VLOOKUP(B2716,'PO with created By ASR'!A:K,8,FALSE)</f>
        <v>Purchase Order-Del</v>
      </c>
      <c r="N2716" t="s">
        <v>36</v>
      </c>
      <c r="P2716" s="2">
        <v>6</v>
      </c>
    </row>
    <row r="2717" s="2" customFormat="1" spans="1:16">
      <c r="A2717" s="8"/>
      <c r="B2717" s="9" t="s">
        <v>3931</v>
      </c>
      <c r="C2717" s="10" t="s">
        <v>412</v>
      </c>
      <c r="D2717" s="11">
        <v>1</v>
      </c>
      <c r="E2717" s="12">
        <v>5008</v>
      </c>
      <c r="F2717" s="13">
        <v>5008</v>
      </c>
      <c r="G2717" s="2">
        <f>VLOOKUP(B2717,'PO with created By ASR'!A:C,3,FALSE)</f>
        <v>45712</v>
      </c>
      <c r="J2717" s="2" t="str">
        <f>VLOOKUP(B2717,'PO with created By ASR'!A:G,4,FALSE)</f>
        <v>Puneet Kumar ........... -CR</v>
      </c>
      <c r="K2717" s="2" t="e">
        <f>VLOOKUP(B2717,'PO with created By ASR'!A:I,6,FALSE)</f>
        <v>#N/A</v>
      </c>
      <c r="L2717" s="2" t="str">
        <f>VLOOKUP(B2717,'PO with created By ASR'!A:J,7,FALSE)</f>
        <v>D - Delhi</v>
      </c>
      <c r="M2717" s="2" t="str">
        <f>VLOOKUP(B2717,'PO with created By ASR'!A:K,8,FALSE)</f>
        <v>Purchase Order-Del</v>
      </c>
      <c r="N2717" t="s">
        <v>36</v>
      </c>
      <c r="P2717" s="2">
        <v>6</v>
      </c>
    </row>
    <row r="2718" s="2" customFormat="1" spans="1:16">
      <c r="A2718" s="8"/>
      <c r="B2718" s="9" t="s">
        <v>3932</v>
      </c>
      <c r="C2718" s="10" t="s">
        <v>126</v>
      </c>
      <c r="D2718" s="11">
        <v>1</v>
      </c>
      <c r="E2718" s="12">
        <v>1760</v>
      </c>
      <c r="F2718" s="13">
        <v>1760</v>
      </c>
      <c r="G2718" s="2">
        <f>VLOOKUP(B2718,'PO with created By ASR'!A:C,3,FALSE)</f>
        <v>45712</v>
      </c>
      <c r="J2718" s="2" t="str">
        <f>VLOOKUP(B2718,'PO with created By ASR'!A:G,4,FALSE)</f>
        <v>Amarpreet Singh........... -CR</v>
      </c>
      <c r="K2718" s="2" t="e">
        <f>VLOOKUP(B2718,'PO with created By ASR'!A:I,6,FALSE)</f>
        <v>#N/A</v>
      </c>
      <c r="L2718" s="2" t="str">
        <f>VLOOKUP(B2718,'PO with created By ASR'!A:J,7,FALSE)</f>
        <v>D - Delhi</v>
      </c>
      <c r="M2718" s="2" t="str">
        <f>VLOOKUP(B2718,'PO with created By ASR'!A:K,8,FALSE)</f>
        <v>Purchase Order-Del</v>
      </c>
      <c r="N2718" t="s">
        <v>36</v>
      </c>
      <c r="P2718" s="2">
        <v>6</v>
      </c>
    </row>
    <row r="2719" s="2" customFormat="1" spans="1:16">
      <c r="A2719" s="8"/>
      <c r="B2719" s="9" t="s">
        <v>3932</v>
      </c>
      <c r="C2719" s="10" t="s">
        <v>412</v>
      </c>
      <c r="D2719" s="11">
        <v>1</v>
      </c>
      <c r="E2719" s="12">
        <v>2110</v>
      </c>
      <c r="F2719" s="13">
        <v>2110</v>
      </c>
      <c r="G2719" s="2">
        <f>VLOOKUP(B2719,'PO with created By ASR'!A:C,3,FALSE)</f>
        <v>45712</v>
      </c>
      <c r="J2719" s="2" t="str">
        <f>VLOOKUP(B2719,'PO with created By ASR'!A:G,4,FALSE)</f>
        <v>Amarpreet Singh........... -CR</v>
      </c>
      <c r="K2719" s="2" t="e">
        <f>VLOOKUP(B2719,'PO with created By ASR'!A:I,6,FALSE)</f>
        <v>#N/A</v>
      </c>
      <c r="L2719" s="2" t="str">
        <f>VLOOKUP(B2719,'PO with created By ASR'!A:J,7,FALSE)</f>
        <v>D - Delhi</v>
      </c>
      <c r="M2719" s="2" t="str">
        <f>VLOOKUP(B2719,'PO with created By ASR'!A:K,8,FALSE)</f>
        <v>Purchase Order-Del</v>
      </c>
      <c r="N2719" t="s">
        <v>36</v>
      </c>
      <c r="P2719" s="2">
        <v>6</v>
      </c>
    </row>
    <row r="2720" s="2" customFormat="1" spans="1:16">
      <c r="A2720" s="8"/>
      <c r="B2720" s="9" t="s">
        <v>3932</v>
      </c>
      <c r="C2720" s="10" t="s">
        <v>233</v>
      </c>
      <c r="D2720" s="11">
        <v>1</v>
      </c>
      <c r="E2720" s="12">
        <v>4248</v>
      </c>
      <c r="F2720" s="13">
        <v>4248</v>
      </c>
      <c r="G2720" s="2">
        <f>VLOOKUP(B2720,'PO with created By ASR'!A:C,3,FALSE)</f>
        <v>45712</v>
      </c>
      <c r="J2720" s="2" t="str">
        <f>VLOOKUP(B2720,'PO with created By ASR'!A:G,4,FALSE)</f>
        <v>Amarpreet Singh........... -CR</v>
      </c>
      <c r="K2720" s="2" t="e">
        <f>VLOOKUP(B2720,'PO with created By ASR'!A:I,6,FALSE)</f>
        <v>#N/A</v>
      </c>
      <c r="L2720" s="2" t="str">
        <f>VLOOKUP(B2720,'PO with created By ASR'!A:J,7,FALSE)</f>
        <v>D - Delhi</v>
      </c>
      <c r="M2720" s="2" t="str">
        <f>VLOOKUP(B2720,'PO with created By ASR'!A:K,8,FALSE)</f>
        <v>Purchase Order-Del</v>
      </c>
      <c r="N2720" t="s">
        <v>36</v>
      </c>
      <c r="P2720" s="2">
        <v>6</v>
      </c>
    </row>
    <row r="2721" s="2" customFormat="1" spans="1:16">
      <c r="A2721" s="8"/>
      <c r="B2721" s="9" t="s">
        <v>3933</v>
      </c>
      <c r="C2721" s="10" t="s">
        <v>412</v>
      </c>
      <c r="D2721" s="11">
        <v>1</v>
      </c>
      <c r="E2721" s="12">
        <v>11000</v>
      </c>
      <c r="F2721" s="13">
        <v>11000</v>
      </c>
      <c r="G2721" s="2">
        <f>VLOOKUP(B2721,'PO with created By ASR'!A:C,3,FALSE)</f>
        <v>45712</v>
      </c>
      <c r="J2721" s="2" t="str">
        <f>VLOOKUP(B2721,'PO with created By ASR'!A:G,4,FALSE)</f>
        <v>Raghav Bhardwaj  -CR</v>
      </c>
      <c r="K2721" s="2" t="e">
        <f>VLOOKUP(B2721,'PO with created By ASR'!A:I,6,FALSE)</f>
        <v>#N/A</v>
      </c>
      <c r="L2721" s="2" t="str">
        <f>VLOOKUP(B2721,'PO with created By ASR'!A:J,7,FALSE)</f>
        <v>D - Delhi</v>
      </c>
      <c r="M2721" s="2" t="str">
        <f>VLOOKUP(B2721,'PO with created By ASR'!A:K,8,FALSE)</f>
        <v>Purchase Order-Del</v>
      </c>
      <c r="N2721" t="s">
        <v>36</v>
      </c>
      <c r="P2721" s="2">
        <v>6</v>
      </c>
    </row>
    <row r="2722" s="2" customFormat="1" spans="1:16">
      <c r="A2722" s="8"/>
      <c r="B2722" s="9" t="s">
        <v>3934</v>
      </c>
      <c r="C2722" s="10" t="s">
        <v>126</v>
      </c>
      <c r="D2722" s="11">
        <v>1</v>
      </c>
      <c r="E2722" s="12">
        <v>5049</v>
      </c>
      <c r="F2722" s="13">
        <v>5049</v>
      </c>
      <c r="G2722" s="2">
        <f>VLOOKUP(B2722,'PO with created By ASR'!A:C,3,FALSE)</f>
        <v>45712</v>
      </c>
      <c r="J2722" s="2" t="str">
        <f>VLOOKUP(B2722,'PO with created By ASR'!A:G,4,FALSE)</f>
        <v>Ghanshyam ........  -CR</v>
      </c>
      <c r="K2722" s="2" t="e">
        <f>VLOOKUP(B2722,'PO with created By ASR'!A:I,6,FALSE)</f>
        <v>#N/A</v>
      </c>
      <c r="L2722" s="2" t="str">
        <f>VLOOKUP(B2722,'PO with created By ASR'!A:J,7,FALSE)</f>
        <v>D - Delhi</v>
      </c>
      <c r="M2722" s="2" t="str">
        <f>VLOOKUP(B2722,'PO with created By ASR'!A:K,8,FALSE)</f>
        <v>Purchase Order-Del</v>
      </c>
      <c r="N2722" t="s">
        <v>36</v>
      </c>
      <c r="P2722" s="2">
        <v>6</v>
      </c>
    </row>
    <row r="2723" s="2" customFormat="1" spans="1:16">
      <c r="A2723" s="8"/>
      <c r="B2723" s="9" t="s">
        <v>3934</v>
      </c>
      <c r="C2723" s="10" t="s">
        <v>412</v>
      </c>
      <c r="D2723" s="11">
        <v>1</v>
      </c>
      <c r="E2723" s="12">
        <v>180</v>
      </c>
      <c r="F2723" s="13">
        <v>180</v>
      </c>
      <c r="G2723" s="2">
        <f>VLOOKUP(B2723,'PO with created By ASR'!A:C,3,FALSE)</f>
        <v>45712</v>
      </c>
      <c r="J2723" s="2" t="str">
        <f>VLOOKUP(B2723,'PO with created By ASR'!A:G,4,FALSE)</f>
        <v>Ghanshyam ........  -CR</v>
      </c>
      <c r="K2723" s="2" t="e">
        <f>VLOOKUP(B2723,'PO with created By ASR'!A:I,6,FALSE)</f>
        <v>#N/A</v>
      </c>
      <c r="L2723" s="2" t="str">
        <f>VLOOKUP(B2723,'PO with created By ASR'!A:J,7,FALSE)</f>
        <v>D - Delhi</v>
      </c>
      <c r="M2723" s="2" t="str">
        <f>VLOOKUP(B2723,'PO with created By ASR'!A:K,8,FALSE)</f>
        <v>Purchase Order-Del</v>
      </c>
      <c r="N2723" t="s">
        <v>36</v>
      </c>
      <c r="P2723" s="2">
        <v>6</v>
      </c>
    </row>
    <row r="2724" s="2" customFormat="1" spans="1:16">
      <c r="A2724" s="8"/>
      <c r="B2724" s="9" t="s">
        <v>3937</v>
      </c>
      <c r="C2724" s="10" t="s">
        <v>126</v>
      </c>
      <c r="D2724" s="11">
        <v>1</v>
      </c>
      <c r="E2724" s="12">
        <v>8186</v>
      </c>
      <c r="F2724" s="13">
        <v>8186</v>
      </c>
      <c r="G2724" s="2">
        <f>VLOOKUP(B2724,'PO with created By ASR'!A:C,3,FALSE)</f>
        <v>45712</v>
      </c>
      <c r="J2724" s="2" t="str">
        <f>VLOOKUP(B2724,'PO with created By ASR'!A:G,4,FALSE)</f>
        <v>Ishwar Adhikari  -CR</v>
      </c>
      <c r="K2724" s="2" t="e">
        <f>VLOOKUP(B2724,'PO with created By ASR'!A:I,6,FALSE)</f>
        <v>#N/A</v>
      </c>
      <c r="L2724" s="2" t="str">
        <f>VLOOKUP(B2724,'PO with created By ASR'!A:J,7,FALSE)</f>
        <v>D - Delhi</v>
      </c>
      <c r="M2724" s="2" t="str">
        <f>VLOOKUP(B2724,'PO with created By ASR'!A:K,8,FALSE)</f>
        <v>Purchase Order-Del</v>
      </c>
      <c r="N2724" t="s">
        <v>36</v>
      </c>
      <c r="P2724" s="2">
        <v>6</v>
      </c>
    </row>
    <row r="2725" s="2" customFormat="1" spans="1:16">
      <c r="A2725" s="8"/>
      <c r="B2725" s="9" t="s">
        <v>3941</v>
      </c>
      <c r="C2725" s="10" t="s">
        <v>126</v>
      </c>
      <c r="D2725" s="11">
        <v>1</v>
      </c>
      <c r="E2725" s="12">
        <v>1248</v>
      </c>
      <c r="F2725" s="13">
        <v>1248</v>
      </c>
      <c r="G2725" s="2">
        <f>VLOOKUP(B2725,'PO with created By ASR'!A:C,3,FALSE)</f>
        <v>45712</v>
      </c>
      <c r="J2725" s="2" t="str">
        <f>VLOOKUP(B2725,'PO with created By ASR'!A:G,4,FALSE)</f>
        <v>Yogesh Kumar Bansal  -CR</v>
      </c>
      <c r="K2725" s="2" t="e">
        <f>VLOOKUP(B2725,'PO with created By ASR'!A:I,6,FALSE)</f>
        <v>#N/A</v>
      </c>
      <c r="L2725" s="2" t="str">
        <f>VLOOKUP(B2725,'PO with created By ASR'!A:J,7,FALSE)</f>
        <v>D - Delhi</v>
      </c>
      <c r="M2725" s="2" t="str">
        <f>VLOOKUP(B2725,'PO with created By ASR'!A:K,8,FALSE)</f>
        <v>Purchase Order-Del</v>
      </c>
      <c r="N2725" t="s">
        <v>36</v>
      </c>
      <c r="P2725" s="2">
        <v>6</v>
      </c>
    </row>
    <row r="2726" s="2" customFormat="1" spans="1:16">
      <c r="A2726" s="8"/>
      <c r="B2726" s="9" t="s">
        <v>3943</v>
      </c>
      <c r="C2726" s="10" t="s">
        <v>126</v>
      </c>
      <c r="D2726" s="11">
        <v>1</v>
      </c>
      <c r="E2726" s="12">
        <v>2493</v>
      </c>
      <c r="F2726" s="13">
        <v>2493</v>
      </c>
      <c r="G2726" s="2">
        <f>VLOOKUP(B2726,'PO with created By ASR'!A:C,3,FALSE)</f>
        <v>45712</v>
      </c>
      <c r="J2726" s="2" t="str">
        <f>VLOOKUP(B2726,'PO with created By ASR'!A:G,4,FALSE)</f>
        <v>Nitin Kumar ...........  -CR</v>
      </c>
      <c r="K2726" s="2" t="e">
        <f>VLOOKUP(B2726,'PO with created By ASR'!A:I,6,FALSE)</f>
        <v>#N/A</v>
      </c>
      <c r="L2726" s="2" t="str">
        <f>VLOOKUP(B2726,'PO with created By ASR'!A:J,7,FALSE)</f>
        <v>D - Delhi</v>
      </c>
      <c r="M2726" s="2" t="str">
        <f>VLOOKUP(B2726,'PO with created By ASR'!A:K,8,FALSE)</f>
        <v>Purchase Order-Del</v>
      </c>
      <c r="N2726" t="s">
        <v>36</v>
      </c>
      <c r="P2726" s="2">
        <v>6</v>
      </c>
    </row>
    <row r="2727" s="2" customFormat="1" spans="1:16">
      <c r="A2727" s="8"/>
      <c r="B2727" s="9" t="s">
        <v>3943</v>
      </c>
      <c r="C2727" s="10" t="s">
        <v>412</v>
      </c>
      <c r="D2727" s="11">
        <v>1</v>
      </c>
      <c r="E2727" s="12">
        <v>2872</v>
      </c>
      <c r="F2727" s="13">
        <v>2872</v>
      </c>
      <c r="G2727" s="2">
        <f>VLOOKUP(B2727,'PO with created By ASR'!A:C,3,FALSE)</f>
        <v>45712</v>
      </c>
      <c r="J2727" s="2" t="str">
        <f>VLOOKUP(B2727,'PO with created By ASR'!A:G,4,FALSE)</f>
        <v>Nitin Kumar ...........  -CR</v>
      </c>
      <c r="K2727" s="2" t="e">
        <f>VLOOKUP(B2727,'PO with created By ASR'!A:I,6,FALSE)</f>
        <v>#N/A</v>
      </c>
      <c r="L2727" s="2" t="str">
        <f>VLOOKUP(B2727,'PO with created By ASR'!A:J,7,FALSE)</f>
        <v>D - Delhi</v>
      </c>
      <c r="M2727" s="2" t="str">
        <f>VLOOKUP(B2727,'PO with created By ASR'!A:K,8,FALSE)</f>
        <v>Purchase Order-Del</v>
      </c>
      <c r="N2727" t="s">
        <v>36</v>
      </c>
      <c r="P2727" s="2">
        <v>6</v>
      </c>
    </row>
    <row r="2728" s="2" customFormat="1" spans="1:16">
      <c r="A2728" s="8"/>
      <c r="B2728" s="9" t="s">
        <v>3945</v>
      </c>
      <c r="C2728" s="10" t="s">
        <v>704</v>
      </c>
      <c r="D2728" s="11">
        <v>1</v>
      </c>
      <c r="E2728" s="12">
        <v>4800</v>
      </c>
      <c r="F2728" s="13">
        <v>4800</v>
      </c>
      <c r="G2728" s="2">
        <f>VLOOKUP(B2728,'PO with created By ASR'!A:C,3,FALSE)</f>
        <v>45712</v>
      </c>
      <c r="J2728" s="2" t="str">
        <f>VLOOKUP(B2728,'PO with created By ASR'!A:G,4,FALSE)</f>
        <v>Shree Ram Computers-Del</v>
      </c>
      <c r="K2728" s="2" t="str">
        <f>VLOOKUP(B2728,'PO with created By ASR'!A:I,6,FALSE)</f>
        <v>11132 Shree Ram Computers</v>
      </c>
      <c r="L2728" s="2" t="str">
        <f>VLOOKUP(B2728,'PO with created By ASR'!A:J,7,FALSE)</f>
        <v>D - Delhi</v>
      </c>
      <c r="M2728" s="2" t="str">
        <f>VLOOKUP(B2728,'PO with created By ASR'!A:K,8,FALSE)</f>
        <v>Purchase Order-Del</v>
      </c>
      <c r="N2728" t="s">
        <v>36</v>
      </c>
      <c r="P2728" s="2">
        <v>6</v>
      </c>
    </row>
    <row r="2729" s="2" customFormat="1" spans="1:16">
      <c r="A2729" s="8"/>
      <c r="B2729" s="9" t="s">
        <v>3946</v>
      </c>
      <c r="C2729" s="10" t="s">
        <v>151</v>
      </c>
      <c r="D2729" s="11">
        <v>1</v>
      </c>
      <c r="E2729" s="12">
        <v>176000</v>
      </c>
      <c r="F2729" s="13">
        <v>176000</v>
      </c>
      <c r="G2729" s="2">
        <f>VLOOKUP(B2729,'PO with created By ASR'!A:C,3,FALSE)</f>
        <v>45712</v>
      </c>
      <c r="J2729" s="2" t="str">
        <f>VLOOKUP(B2729,'PO with created By ASR'!A:G,4,FALSE)</f>
        <v>Classic Fur1044835 Neetu Prakash Poojaryres-Del</v>
      </c>
      <c r="K2729" s="2" t="str">
        <f>VLOOKUP(B2729,'PO with created By ASR'!A:I,6,FALSE)</f>
        <v>11771 Classic Fur1044835 Neetu Prakash Poojaryres</v>
      </c>
      <c r="L2729" s="2" t="str">
        <f>VLOOKUP(B2729,'PO with created By ASR'!A:J,7,FALSE)</f>
        <v>D - Delhi</v>
      </c>
      <c r="M2729" s="2" t="str">
        <f>VLOOKUP(B2729,'PO with created By ASR'!A:K,8,FALSE)</f>
        <v>Purchase Order-Del</v>
      </c>
      <c r="N2729" t="s">
        <v>36</v>
      </c>
      <c r="P2729" s="2">
        <v>6</v>
      </c>
    </row>
    <row r="2730" s="2" customFormat="1" spans="1:16">
      <c r="A2730" s="8"/>
      <c r="B2730" s="9" t="s">
        <v>3949</v>
      </c>
      <c r="C2730" s="10" t="s">
        <v>276</v>
      </c>
      <c r="D2730" s="11">
        <v>1</v>
      </c>
      <c r="E2730" s="12">
        <v>133402</v>
      </c>
      <c r="F2730" s="13">
        <v>133402</v>
      </c>
      <c r="G2730" s="2">
        <f>VLOOKUP(B2730,'PO with created By ASR'!A:C,3,FALSE)</f>
        <v>45712</v>
      </c>
      <c r="J2730" s="2" t="str">
        <f>VLOOKUP(B2730,'PO with created By ASR'!A:G,4,FALSE)</f>
        <v>Mazai Tours and Travels LLP-Del</v>
      </c>
      <c r="K2730" s="2" t="str">
        <f>VLOOKUP(B2730,'PO with created By ASR'!A:I,6,FALSE)</f>
        <v>12130 Mazai Tours and Travels LLP</v>
      </c>
      <c r="L2730" s="2" t="str">
        <f>VLOOKUP(B2730,'PO with created By ASR'!A:J,7,FALSE)</f>
        <v>D - Delhi</v>
      </c>
      <c r="M2730" s="2" t="str">
        <f>VLOOKUP(B2730,'PO with created By ASR'!A:K,8,FALSE)</f>
        <v>Purchase Order-Del</v>
      </c>
      <c r="N2730" t="s">
        <v>36</v>
      </c>
      <c r="P2730" s="2">
        <v>6</v>
      </c>
    </row>
    <row r="2731" s="2" customFormat="1" spans="1:16">
      <c r="A2731" s="8"/>
      <c r="B2731" s="9" t="s">
        <v>3952</v>
      </c>
      <c r="C2731" s="10" t="s">
        <v>777</v>
      </c>
      <c r="D2731" s="11">
        <v>1</v>
      </c>
      <c r="E2731" s="12">
        <v>24544.58</v>
      </c>
      <c r="F2731" s="13">
        <v>24544.58</v>
      </c>
      <c r="G2731" s="2">
        <f>VLOOKUP(B2731,'PO with created By ASR'!A:C,3,FALSE)</f>
        <v>45712</v>
      </c>
      <c r="J2731" s="2" t="str">
        <f>VLOOKUP(B2731,'PO with created By ASR'!A:G,4,FALSE)</f>
        <v>Login Enterprises-Mum</v>
      </c>
      <c r="K2731" s="2" t="str">
        <f>VLOOKUP(B2731,'PO with created By ASR'!A:I,6,FALSE)</f>
        <v>12106 Login  Enterprises</v>
      </c>
      <c r="L2731" s="2" t="str">
        <f>VLOOKUP(B2731,'PO with created By ASR'!A:J,7,FALSE)</f>
        <v>A - Mumbai</v>
      </c>
      <c r="M2731" s="2" t="str">
        <f>VLOOKUP(B2731,'PO with created By ASR'!A:K,8,FALSE)</f>
        <v>Purchase Order(Gen)-Mum</v>
      </c>
      <c r="N2731" t="s">
        <v>36</v>
      </c>
      <c r="P2731" s="2">
        <v>6</v>
      </c>
    </row>
    <row r="2732" s="2" customFormat="1" spans="1:16">
      <c r="A2732" s="8"/>
      <c r="B2732" s="9" t="s">
        <v>3955</v>
      </c>
      <c r="C2732" s="10" t="s">
        <v>317</v>
      </c>
      <c r="D2732" s="11">
        <v>1</v>
      </c>
      <c r="E2732" s="12">
        <v>8913</v>
      </c>
      <c r="F2732" s="13">
        <v>8913</v>
      </c>
      <c r="G2732" s="2">
        <f>VLOOKUP(B2732,'PO with created By ASR'!A:C,3,FALSE)</f>
        <v>45712</v>
      </c>
      <c r="J2732" s="2" t="str">
        <f>VLOOKUP(B2732,'PO with created By ASR'!A:G,4,FALSE)</f>
        <v>Sanil Thombare -CR</v>
      </c>
      <c r="K2732" s="2" t="e">
        <f>VLOOKUP(B2732,'PO with created By ASR'!A:I,6,FALSE)</f>
        <v>#N/A</v>
      </c>
      <c r="L2732" s="2" t="str">
        <f>VLOOKUP(B2732,'PO with created By ASR'!A:J,7,FALSE)</f>
        <v>A - Mumbai</v>
      </c>
      <c r="M2732" s="2" t="str">
        <f>VLOOKUP(B2732,'PO with created By ASR'!A:K,8,FALSE)</f>
        <v>Purchase Order-Mum</v>
      </c>
      <c r="N2732" t="s">
        <v>36</v>
      </c>
      <c r="P2732" s="2">
        <v>6</v>
      </c>
    </row>
    <row r="2733" s="2" customFormat="1" spans="1:16">
      <c r="A2733" s="8"/>
      <c r="B2733" s="9" t="s">
        <v>3955</v>
      </c>
      <c r="C2733" s="10" t="s">
        <v>126</v>
      </c>
      <c r="D2733" s="11">
        <v>1</v>
      </c>
      <c r="E2733" s="12">
        <v>3773</v>
      </c>
      <c r="F2733" s="13">
        <v>3773</v>
      </c>
      <c r="G2733" s="2">
        <f>VLOOKUP(B2733,'PO with created By ASR'!A:C,3,FALSE)</f>
        <v>45712</v>
      </c>
      <c r="J2733" s="2" t="str">
        <f>VLOOKUP(B2733,'PO with created By ASR'!A:G,4,FALSE)</f>
        <v>Sanil Thombare -CR</v>
      </c>
      <c r="K2733" s="2" t="e">
        <f>VLOOKUP(B2733,'PO with created By ASR'!A:I,6,FALSE)</f>
        <v>#N/A</v>
      </c>
      <c r="L2733" s="2" t="str">
        <f>VLOOKUP(B2733,'PO with created By ASR'!A:J,7,FALSE)</f>
        <v>A - Mumbai</v>
      </c>
      <c r="M2733" s="2" t="str">
        <f>VLOOKUP(B2733,'PO with created By ASR'!A:K,8,FALSE)</f>
        <v>Purchase Order-Mum</v>
      </c>
      <c r="N2733" t="s">
        <v>36</v>
      </c>
      <c r="P2733" s="2">
        <v>6</v>
      </c>
    </row>
    <row r="2734" s="2" customFormat="1" spans="1:16">
      <c r="A2734" s="8"/>
      <c r="B2734" s="9" t="s">
        <v>3955</v>
      </c>
      <c r="C2734" s="10" t="s">
        <v>1055</v>
      </c>
      <c r="D2734" s="11">
        <v>1</v>
      </c>
      <c r="E2734" s="12">
        <v>3800</v>
      </c>
      <c r="F2734" s="13">
        <v>3800</v>
      </c>
      <c r="G2734" s="2">
        <f>VLOOKUP(B2734,'PO with created By ASR'!A:C,3,FALSE)</f>
        <v>45712</v>
      </c>
      <c r="J2734" s="2" t="str">
        <f>VLOOKUP(B2734,'PO with created By ASR'!A:G,4,FALSE)</f>
        <v>Sanil Thombare -CR</v>
      </c>
      <c r="K2734" s="2" t="e">
        <f>VLOOKUP(B2734,'PO with created By ASR'!A:I,6,FALSE)</f>
        <v>#N/A</v>
      </c>
      <c r="L2734" s="2" t="str">
        <f>VLOOKUP(B2734,'PO with created By ASR'!A:J,7,FALSE)</f>
        <v>A - Mumbai</v>
      </c>
      <c r="M2734" s="2" t="str">
        <f>VLOOKUP(B2734,'PO with created By ASR'!A:K,8,FALSE)</f>
        <v>Purchase Order-Mum</v>
      </c>
      <c r="N2734" t="s">
        <v>36</v>
      </c>
      <c r="P2734" s="2">
        <v>6</v>
      </c>
    </row>
    <row r="2735" s="2" customFormat="1" spans="1:16">
      <c r="A2735" s="8"/>
      <c r="B2735" s="9" t="s">
        <v>3955</v>
      </c>
      <c r="C2735" s="10" t="s">
        <v>412</v>
      </c>
      <c r="D2735" s="11">
        <v>1</v>
      </c>
      <c r="E2735" s="12">
        <v>497</v>
      </c>
      <c r="F2735" s="13">
        <v>497</v>
      </c>
      <c r="G2735" s="2">
        <f>VLOOKUP(B2735,'PO with created By ASR'!A:C,3,FALSE)</f>
        <v>45712</v>
      </c>
      <c r="J2735" s="2" t="str">
        <f>VLOOKUP(B2735,'PO with created By ASR'!A:G,4,FALSE)</f>
        <v>Sanil Thombare -CR</v>
      </c>
      <c r="K2735" s="2" t="e">
        <f>VLOOKUP(B2735,'PO with created By ASR'!A:I,6,FALSE)</f>
        <v>#N/A</v>
      </c>
      <c r="L2735" s="2" t="str">
        <f>VLOOKUP(B2735,'PO with created By ASR'!A:J,7,FALSE)</f>
        <v>A - Mumbai</v>
      </c>
      <c r="M2735" s="2" t="str">
        <f>VLOOKUP(B2735,'PO with created By ASR'!A:K,8,FALSE)</f>
        <v>Purchase Order-Mum</v>
      </c>
      <c r="N2735" t="s">
        <v>36</v>
      </c>
      <c r="P2735" s="2">
        <v>6</v>
      </c>
    </row>
    <row r="2736" s="2" customFormat="1" spans="1:16">
      <c r="A2736" s="8"/>
      <c r="B2736" s="9" t="s">
        <v>3956</v>
      </c>
      <c r="C2736" s="10" t="s">
        <v>126</v>
      </c>
      <c r="D2736" s="11">
        <v>1</v>
      </c>
      <c r="E2736" s="12">
        <v>2467</v>
      </c>
      <c r="F2736" s="13">
        <v>2467</v>
      </c>
      <c r="G2736" s="2">
        <f>VLOOKUP(B2736,'PO with created By ASR'!A:C,3,FALSE)</f>
        <v>45712</v>
      </c>
      <c r="J2736" s="2" t="str">
        <f>VLOOKUP(B2736,'PO with created By ASR'!A:G,4,FALSE)</f>
        <v>Sameer Doshi  -CR</v>
      </c>
      <c r="K2736" s="2" t="e">
        <f>VLOOKUP(B2736,'PO with created By ASR'!A:I,6,FALSE)</f>
        <v>#N/A</v>
      </c>
      <c r="L2736" s="2" t="str">
        <f>VLOOKUP(B2736,'PO with created By ASR'!A:J,7,FALSE)</f>
        <v>A - Mumbai</v>
      </c>
      <c r="M2736" s="2" t="str">
        <f>VLOOKUP(B2736,'PO with created By ASR'!A:K,8,FALSE)</f>
        <v>Purchase Order-Mum</v>
      </c>
      <c r="N2736" t="s">
        <v>36</v>
      </c>
      <c r="P2736" s="2">
        <v>6</v>
      </c>
    </row>
    <row r="2737" s="2" customFormat="1" spans="1:16">
      <c r="A2737" s="8"/>
      <c r="B2737" s="9" t="s">
        <v>3956</v>
      </c>
      <c r="C2737" s="10" t="s">
        <v>412</v>
      </c>
      <c r="D2737" s="11">
        <v>1</v>
      </c>
      <c r="E2737" s="12">
        <v>1207</v>
      </c>
      <c r="F2737" s="13">
        <v>1207</v>
      </c>
      <c r="G2737" s="2">
        <f>VLOOKUP(B2737,'PO with created By ASR'!A:C,3,FALSE)</f>
        <v>45712</v>
      </c>
      <c r="J2737" s="2" t="str">
        <f>VLOOKUP(B2737,'PO with created By ASR'!A:G,4,FALSE)</f>
        <v>Sameer Doshi  -CR</v>
      </c>
      <c r="K2737" s="2" t="e">
        <f>VLOOKUP(B2737,'PO with created By ASR'!A:I,6,FALSE)</f>
        <v>#N/A</v>
      </c>
      <c r="L2737" s="2" t="str">
        <f>VLOOKUP(B2737,'PO with created By ASR'!A:J,7,FALSE)</f>
        <v>A - Mumbai</v>
      </c>
      <c r="M2737" s="2" t="str">
        <f>VLOOKUP(B2737,'PO with created By ASR'!A:K,8,FALSE)</f>
        <v>Purchase Order-Mum</v>
      </c>
      <c r="N2737" t="s">
        <v>36</v>
      </c>
      <c r="P2737" s="2">
        <v>6</v>
      </c>
    </row>
    <row r="2738" s="2" customFormat="1" spans="1:16">
      <c r="A2738" s="8"/>
      <c r="B2738" s="9" t="s">
        <v>3957</v>
      </c>
      <c r="C2738" s="10" t="s">
        <v>126</v>
      </c>
      <c r="D2738" s="11">
        <v>1</v>
      </c>
      <c r="E2738" s="12">
        <v>3339</v>
      </c>
      <c r="F2738" s="13">
        <v>3339</v>
      </c>
      <c r="G2738" s="2">
        <f>VLOOKUP(B2738,'PO with created By ASR'!A:C,3,FALSE)</f>
        <v>45712</v>
      </c>
      <c r="J2738" s="2" t="str">
        <f>VLOOKUP(B2738,'PO with created By ASR'!A:G,4,FALSE)</f>
        <v>Anita Singh  -CR</v>
      </c>
      <c r="K2738" s="2" t="e">
        <f>VLOOKUP(B2738,'PO with created By ASR'!A:I,6,FALSE)</f>
        <v>#N/A</v>
      </c>
      <c r="L2738" s="2" t="str">
        <f>VLOOKUP(B2738,'PO with created By ASR'!A:J,7,FALSE)</f>
        <v>A - Mumbai</v>
      </c>
      <c r="M2738" s="2" t="str">
        <f>VLOOKUP(B2738,'PO with created By ASR'!A:K,8,FALSE)</f>
        <v>Purchase Order-Mum</v>
      </c>
      <c r="N2738" t="s">
        <v>36</v>
      </c>
      <c r="P2738" s="2">
        <v>6</v>
      </c>
    </row>
    <row r="2739" s="2" customFormat="1" spans="1:16">
      <c r="A2739" s="8"/>
      <c r="B2739" s="9" t="s">
        <v>3957</v>
      </c>
      <c r="C2739" s="10" t="s">
        <v>412</v>
      </c>
      <c r="D2739" s="11">
        <v>1</v>
      </c>
      <c r="E2739" s="12">
        <v>1612.5</v>
      </c>
      <c r="F2739" s="13">
        <v>1612.5</v>
      </c>
      <c r="G2739" s="2">
        <f>VLOOKUP(B2739,'PO with created By ASR'!A:C,3,FALSE)</f>
        <v>45712</v>
      </c>
      <c r="J2739" s="2" t="str">
        <f>VLOOKUP(B2739,'PO with created By ASR'!A:G,4,FALSE)</f>
        <v>Anita Singh  -CR</v>
      </c>
      <c r="K2739" s="2" t="e">
        <f>VLOOKUP(B2739,'PO with created By ASR'!A:I,6,FALSE)</f>
        <v>#N/A</v>
      </c>
      <c r="L2739" s="2" t="str">
        <f>VLOOKUP(B2739,'PO with created By ASR'!A:J,7,FALSE)</f>
        <v>A - Mumbai</v>
      </c>
      <c r="M2739" s="2" t="str">
        <f>VLOOKUP(B2739,'PO with created By ASR'!A:K,8,FALSE)</f>
        <v>Purchase Order-Mum</v>
      </c>
      <c r="N2739" t="s">
        <v>36</v>
      </c>
      <c r="P2739" s="2">
        <v>6</v>
      </c>
    </row>
    <row r="2740" s="2" customFormat="1" spans="1:16">
      <c r="A2740" s="8"/>
      <c r="B2740" s="9" t="s">
        <v>3958</v>
      </c>
      <c r="C2740" s="10" t="s">
        <v>126</v>
      </c>
      <c r="D2740" s="11">
        <v>1</v>
      </c>
      <c r="E2740" s="12">
        <v>468</v>
      </c>
      <c r="F2740" s="13">
        <v>468</v>
      </c>
      <c r="G2740" s="2">
        <f>VLOOKUP(B2740,'PO with created By ASR'!A:C,3,FALSE)</f>
        <v>45712</v>
      </c>
      <c r="J2740" s="2" t="str">
        <f>VLOOKUP(B2740,'PO with created By ASR'!A:G,4,FALSE)</f>
        <v>Santosh Bhogal Cash  -CR</v>
      </c>
      <c r="K2740" s="2" t="e">
        <f>VLOOKUP(B2740,'PO with created By ASR'!A:I,6,FALSE)</f>
        <v>#N/A</v>
      </c>
      <c r="L2740" s="2" t="str">
        <f>VLOOKUP(B2740,'PO with created By ASR'!A:J,7,FALSE)</f>
        <v>A - Mumbai</v>
      </c>
      <c r="M2740" s="2" t="str">
        <f>VLOOKUP(B2740,'PO with created By ASR'!A:K,8,FALSE)</f>
        <v>Purchase Order-Mum</v>
      </c>
      <c r="N2740" t="s">
        <v>36</v>
      </c>
      <c r="P2740" s="2">
        <v>6</v>
      </c>
    </row>
    <row r="2741" s="2" customFormat="1" spans="1:16">
      <c r="A2741" s="8"/>
      <c r="B2741" s="9" t="s">
        <v>3958</v>
      </c>
      <c r="C2741" s="10" t="s">
        <v>412</v>
      </c>
      <c r="D2741" s="11">
        <v>1</v>
      </c>
      <c r="E2741" s="12">
        <v>150</v>
      </c>
      <c r="F2741" s="13">
        <v>150</v>
      </c>
      <c r="G2741" s="2">
        <f>VLOOKUP(B2741,'PO with created By ASR'!A:C,3,FALSE)</f>
        <v>45712</v>
      </c>
      <c r="J2741" s="2" t="str">
        <f>VLOOKUP(B2741,'PO with created By ASR'!A:G,4,FALSE)</f>
        <v>Santosh Bhogal Cash  -CR</v>
      </c>
      <c r="K2741" s="2" t="e">
        <f>VLOOKUP(B2741,'PO with created By ASR'!A:I,6,FALSE)</f>
        <v>#N/A</v>
      </c>
      <c r="L2741" s="2" t="str">
        <f>VLOOKUP(B2741,'PO with created By ASR'!A:J,7,FALSE)</f>
        <v>A - Mumbai</v>
      </c>
      <c r="M2741" s="2" t="str">
        <f>VLOOKUP(B2741,'PO with created By ASR'!A:K,8,FALSE)</f>
        <v>Purchase Order-Mum</v>
      </c>
      <c r="N2741" t="s">
        <v>36</v>
      </c>
      <c r="P2741" s="2">
        <v>6</v>
      </c>
    </row>
    <row r="2742" s="2" customFormat="1" spans="1:16">
      <c r="A2742" s="8"/>
      <c r="B2742" s="9" t="s">
        <v>3959</v>
      </c>
      <c r="C2742" s="10" t="s">
        <v>126</v>
      </c>
      <c r="D2742" s="11">
        <v>1</v>
      </c>
      <c r="E2742" s="12">
        <v>539</v>
      </c>
      <c r="F2742" s="13">
        <v>539</v>
      </c>
      <c r="G2742" s="2">
        <f>VLOOKUP(B2742,'PO with created By ASR'!A:C,3,FALSE)</f>
        <v>45712</v>
      </c>
      <c r="J2742" s="2" t="str">
        <f>VLOOKUP(B2742,'PO with created By ASR'!A:G,4,FALSE)</f>
        <v>Padmakar Jadhav -CR</v>
      </c>
      <c r="K2742" s="2" t="e">
        <f>VLOOKUP(B2742,'PO with created By ASR'!A:I,6,FALSE)</f>
        <v>#N/A</v>
      </c>
      <c r="L2742" s="2" t="str">
        <f>VLOOKUP(B2742,'PO with created By ASR'!A:J,7,FALSE)</f>
        <v>A - Mumbai</v>
      </c>
      <c r="M2742" s="2" t="str">
        <f>VLOOKUP(B2742,'PO with created By ASR'!A:K,8,FALSE)</f>
        <v>Purchase Order-Mum</v>
      </c>
      <c r="N2742" t="s">
        <v>36</v>
      </c>
      <c r="P2742" s="2">
        <v>6</v>
      </c>
    </row>
    <row r="2743" s="2" customFormat="1" spans="1:16">
      <c r="A2743" s="8"/>
      <c r="B2743" s="9" t="s">
        <v>3959</v>
      </c>
      <c r="C2743" s="10" t="s">
        <v>412</v>
      </c>
      <c r="D2743" s="11">
        <v>1</v>
      </c>
      <c r="E2743" s="12">
        <v>150</v>
      </c>
      <c r="F2743" s="13">
        <v>150</v>
      </c>
      <c r="G2743" s="2">
        <f>VLOOKUP(B2743,'PO with created By ASR'!A:C,3,FALSE)</f>
        <v>45712</v>
      </c>
      <c r="J2743" s="2" t="str">
        <f>VLOOKUP(B2743,'PO with created By ASR'!A:G,4,FALSE)</f>
        <v>Padmakar Jadhav -CR</v>
      </c>
      <c r="K2743" s="2" t="e">
        <f>VLOOKUP(B2743,'PO with created By ASR'!A:I,6,FALSE)</f>
        <v>#N/A</v>
      </c>
      <c r="L2743" s="2" t="str">
        <f>VLOOKUP(B2743,'PO with created By ASR'!A:J,7,FALSE)</f>
        <v>A - Mumbai</v>
      </c>
      <c r="M2743" s="2" t="str">
        <f>VLOOKUP(B2743,'PO with created By ASR'!A:K,8,FALSE)</f>
        <v>Purchase Order-Mum</v>
      </c>
      <c r="N2743" t="s">
        <v>36</v>
      </c>
      <c r="P2743" s="2">
        <v>6</v>
      </c>
    </row>
    <row r="2744" s="2" customFormat="1" spans="1:16">
      <c r="A2744" s="8"/>
      <c r="B2744" s="9" t="s">
        <v>3960</v>
      </c>
      <c r="C2744" s="10" t="s">
        <v>126</v>
      </c>
      <c r="D2744" s="11">
        <v>1</v>
      </c>
      <c r="E2744" s="12">
        <v>287</v>
      </c>
      <c r="F2744" s="13">
        <v>287</v>
      </c>
      <c r="G2744" s="2">
        <f>VLOOKUP(B2744,'PO with created By ASR'!A:C,3,FALSE)</f>
        <v>45712</v>
      </c>
      <c r="J2744" s="2" t="str">
        <f>VLOOKUP(B2744,'PO with created By ASR'!A:G,4,FALSE)</f>
        <v>Padmakar Jadhav -CR</v>
      </c>
      <c r="K2744" s="2" t="e">
        <f>VLOOKUP(B2744,'PO with created By ASR'!A:I,6,FALSE)</f>
        <v>#N/A</v>
      </c>
      <c r="L2744" s="2" t="str">
        <f>VLOOKUP(B2744,'PO with created By ASR'!A:J,7,FALSE)</f>
        <v>A - Mumbai</v>
      </c>
      <c r="M2744" s="2" t="str">
        <f>VLOOKUP(B2744,'PO with created By ASR'!A:K,8,FALSE)</f>
        <v>Purchase Order-Mum</v>
      </c>
      <c r="N2744" t="s">
        <v>36</v>
      </c>
      <c r="P2744" s="2">
        <v>6</v>
      </c>
    </row>
    <row r="2745" s="2" customFormat="1" spans="1:16">
      <c r="A2745" s="8"/>
      <c r="B2745" s="9" t="s">
        <v>3961</v>
      </c>
      <c r="C2745" s="10" t="s">
        <v>1055</v>
      </c>
      <c r="D2745" s="11">
        <v>1</v>
      </c>
      <c r="E2745" s="12">
        <v>1800</v>
      </c>
      <c r="F2745" s="13">
        <v>1800</v>
      </c>
      <c r="G2745" s="2">
        <f>VLOOKUP(B2745,'PO with created By ASR'!A:C,3,FALSE)</f>
        <v>45712</v>
      </c>
      <c r="J2745" s="2" t="str">
        <f>VLOOKUP(B2745,'PO with created By ASR'!A:G,4,FALSE)</f>
        <v>Sachin Jadhav -CR</v>
      </c>
      <c r="K2745" s="2" t="e">
        <f>VLOOKUP(B2745,'PO with created By ASR'!A:I,6,FALSE)</f>
        <v>#N/A</v>
      </c>
      <c r="L2745" s="2" t="str">
        <f>VLOOKUP(B2745,'PO with created By ASR'!A:J,7,FALSE)</f>
        <v>A - Mumbai</v>
      </c>
      <c r="M2745" s="2" t="str">
        <f>VLOOKUP(B2745,'PO with created By ASR'!A:K,8,FALSE)</f>
        <v>Purchase Order-Mum</v>
      </c>
      <c r="N2745" t="s">
        <v>36</v>
      </c>
      <c r="P2745" s="2">
        <v>6</v>
      </c>
    </row>
    <row r="2746" s="2" customFormat="1" spans="1:16">
      <c r="A2746" s="8"/>
      <c r="B2746" s="9" t="s">
        <v>3961</v>
      </c>
      <c r="C2746" s="10" t="s">
        <v>126</v>
      </c>
      <c r="D2746" s="11">
        <v>1</v>
      </c>
      <c r="E2746" s="12">
        <v>48</v>
      </c>
      <c r="F2746" s="13">
        <v>48</v>
      </c>
      <c r="G2746" s="2">
        <f>VLOOKUP(B2746,'PO with created By ASR'!A:C,3,FALSE)</f>
        <v>45712</v>
      </c>
      <c r="J2746" s="2" t="str">
        <f>VLOOKUP(B2746,'PO with created By ASR'!A:G,4,FALSE)</f>
        <v>Sachin Jadhav -CR</v>
      </c>
      <c r="K2746" s="2" t="e">
        <f>VLOOKUP(B2746,'PO with created By ASR'!A:I,6,FALSE)</f>
        <v>#N/A</v>
      </c>
      <c r="L2746" s="2" t="str">
        <f>VLOOKUP(B2746,'PO with created By ASR'!A:J,7,FALSE)</f>
        <v>A - Mumbai</v>
      </c>
      <c r="M2746" s="2" t="str">
        <f>VLOOKUP(B2746,'PO with created By ASR'!A:K,8,FALSE)</f>
        <v>Purchase Order-Mum</v>
      </c>
      <c r="N2746" t="s">
        <v>36</v>
      </c>
      <c r="P2746" s="2">
        <v>6</v>
      </c>
    </row>
    <row r="2747" s="2" customFormat="1" spans="1:16">
      <c r="A2747" s="8"/>
      <c r="B2747" s="9" t="s">
        <v>3962</v>
      </c>
      <c r="C2747" s="10" t="s">
        <v>126</v>
      </c>
      <c r="D2747" s="11">
        <v>1</v>
      </c>
      <c r="E2747" s="12">
        <v>98</v>
      </c>
      <c r="F2747" s="13">
        <v>98</v>
      </c>
      <c r="G2747" s="2">
        <f>VLOOKUP(B2747,'PO with created By ASR'!A:C,3,FALSE)</f>
        <v>45712</v>
      </c>
      <c r="J2747" s="2" t="str">
        <f>VLOOKUP(B2747,'PO with created By ASR'!A:G,4,FALSE)</f>
        <v>Santosh Bhogal Cash  -CR</v>
      </c>
      <c r="K2747" s="2" t="e">
        <f>VLOOKUP(B2747,'PO with created By ASR'!A:I,6,FALSE)</f>
        <v>#N/A</v>
      </c>
      <c r="L2747" s="2" t="str">
        <f>VLOOKUP(B2747,'PO with created By ASR'!A:J,7,FALSE)</f>
        <v>A - Mumbai</v>
      </c>
      <c r="M2747" s="2" t="str">
        <f>VLOOKUP(B2747,'PO with created By ASR'!A:K,8,FALSE)</f>
        <v>Purchase Order-Mum</v>
      </c>
      <c r="N2747" t="s">
        <v>36</v>
      </c>
      <c r="P2747" s="2">
        <v>6</v>
      </c>
    </row>
    <row r="2748" s="2" customFormat="1" spans="1:16">
      <c r="A2748" s="8"/>
      <c r="B2748" s="9" t="s">
        <v>3962</v>
      </c>
      <c r="C2748" s="10" t="s">
        <v>1055</v>
      </c>
      <c r="D2748" s="11">
        <v>1</v>
      </c>
      <c r="E2748" s="12">
        <v>3400</v>
      </c>
      <c r="F2748" s="13">
        <v>3400</v>
      </c>
      <c r="G2748" s="2">
        <f>VLOOKUP(B2748,'PO with created By ASR'!A:C,3,FALSE)</f>
        <v>45712</v>
      </c>
      <c r="J2748" s="2" t="str">
        <f>VLOOKUP(B2748,'PO with created By ASR'!A:G,4,FALSE)</f>
        <v>Santosh Bhogal Cash  -CR</v>
      </c>
      <c r="K2748" s="2" t="e">
        <f>VLOOKUP(B2748,'PO with created By ASR'!A:I,6,FALSE)</f>
        <v>#N/A</v>
      </c>
      <c r="L2748" s="2" t="str">
        <f>VLOOKUP(B2748,'PO with created By ASR'!A:J,7,FALSE)</f>
        <v>A - Mumbai</v>
      </c>
      <c r="M2748" s="2" t="str">
        <f>VLOOKUP(B2748,'PO with created By ASR'!A:K,8,FALSE)</f>
        <v>Purchase Order-Mum</v>
      </c>
      <c r="N2748" t="s">
        <v>36</v>
      </c>
      <c r="P2748" s="2">
        <v>6</v>
      </c>
    </row>
    <row r="2749" s="2" customFormat="1" spans="1:16">
      <c r="A2749" s="8"/>
      <c r="B2749" s="9" t="s">
        <v>3963</v>
      </c>
      <c r="C2749" s="10" t="s">
        <v>317</v>
      </c>
      <c r="D2749" s="11">
        <v>1</v>
      </c>
      <c r="E2749" s="12">
        <v>412</v>
      </c>
      <c r="F2749" s="13">
        <v>412</v>
      </c>
      <c r="G2749" s="2">
        <f>VLOOKUP(B2749,'PO with created By ASR'!A:C,3,FALSE)</f>
        <v>45712</v>
      </c>
      <c r="J2749" s="2" t="str">
        <f>VLOOKUP(B2749,'PO with created By ASR'!A:G,4,FALSE)</f>
        <v>Santosh Singh -CR</v>
      </c>
      <c r="K2749" s="2" t="e">
        <f>VLOOKUP(B2749,'PO with created By ASR'!A:I,6,FALSE)</f>
        <v>#N/A</v>
      </c>
      <c r="L2749" s="2" t="str">
        <f>VLOOKUP(B2749,'PO with created By ASR'!A:J,7,FALSE)</f>
        <v>A - Mumbai</v>
      </c>
      <c r="M2749" s="2" t="str">
        <f>VLOOKUP(B2749,'PO with created By ASR'!A:K,8,FALSE)</f>
        <v>Purchase Order-Mum</v>
      </c>
      <c r="N2749" t="s">
        <v>36</v>
      </c>
      <c r="P2749" s="2">
        <v>6</v>
      </c>
    </row>
    <row r="2750" s="2" customFormat="1" spans="1:16">
      <c r="A2750" s="8"/>
      <c r="B2750" s="9" t="s">
        <v>3963</v>
      </c>
      <c r="C2750" s="10" t="s">
        <v>126</v>
      </c>
      <c r="D2750" s="11">
        <v>1</v>
      </c>
      <c r="E2750" s="12">
        <v>5445.5</v>
      </c>
      <c r="F2750" s="13">
        <v>5445.5</v>
      </c>
      <c r="G2750" s="2">
        <f>VLOOKUP(B2750,'PO with created By ASR'!A:C,3,FALSE)</f>
        <v>45712</v>
      </c>
      <c r="J2750" s="2" t="str">
        <f>VLOOKUP(B2750,'PO with created By ASR'!A:G,4,FALSE)</f>
        <v>Santosh Singh -CR</v>
      </c>
      <c r="K2750" s="2" t="e">
        <f>VLOOKUP(B2750,'PO with created By ASR'!A:I,6,FALSE)</f>
        <v>#N/A</v>
      </c>
      <c r="L2750" s="2" t="str">
        <f>VLOOKUP(B2750,'PO with created By ASR'!A:J,7,FALSE)</f>
        <v>A - Mumbai</v>
      </c>
      <c r="M2750" s="2" t="str">
        <f>VLOOKUP(B2750,'PO with created By ASR'!A:K,8,FALSE)</f>
        <v>Purchase Order-Mum</v>
      </c>
      <c r="N2750" t="s">
        <v>36</v>
      </c>
      <c r="P2750" s="2">
        <v>6</v>
      </c>
    </row>
    <row r="2751" s="2" customFormat="1" spans="1:16">
      <c r="A2751" s="8"/>
      <c r="B2751" s="9" t="s">
        <v>3963</v>
      </c>
      <c r="C2751" s="10" t="s">
        <v>412</v>
      </c>
      <c r="D2751" s="11">
        <v>1</v>
      </c>
      <c r="E2751" s="12">
        <v>290</v>
      </c>
      <c r="F2751" s="13">
        <v>290</v>
      </c>
      <c r="G2751" s="2">
        <f>VLOOKUP(B2751,'PO with created By ASR'!A:C,3,FALSE)</f>
        <v>45712</v>
      </c>
      <c r="J2751" s="2" t="str">
        <f>VLOOKUP(B2751,'PO with created By ASR'!A:G,4,FALSE)</f>
        <v>Santosh Singh -CR</v>
      </c>
      <c r="K2751" s="2" t="e">
        <f>VLOOKUP(B2751,'PO with created By ASR'!A:I,6,FALSE)</f>
        <v>#N/A</v>
      </c>
      <c r="L2751" s="2" t="str">
        <f>VLOOKUP(B2751,'PO with created By ASR'!A:J,7,FALSE)</f>
        <v>A - Mumbai</v>
      </c>
      <c r="M2751" s="2" t="str">
        <f>VLOOKUP(B2751,'PO with created By ASR'!A:K,8,FALSE)</f>
        <v>Purchase Order-Mum</v>
      </c>
      <c r="N2751" t="s">
        <v>36</v>
      </c>
      <c r="P2751" s="2">
        <v>6</v>
      </c>
    </row>
    <row r="2752" s="2" customFormat="1" spans="1:16">
      <c r="A2752" s="8"/>
      <c r="B2752" s="9" t="s">
        <v>3965</v>
      </c>
      <c r="C2752" s="10" t="s">
        <v>126</v>
      </c>
      <c r="D2752" s="11">
        <v>1</v>
      </c>
      <c r="E2752" s="12">
        <v>939</v>
      </c>
      <c r="F2752" s="13">
        <v>939</v>
      </c>
      <c r="G2752" s="2">
        <f>VLOOKUP(B2752,'PO with created By ASR'!A:C,3,FALSE)</f>
        <v>45712</v>
      </c>
      <c r="J2752" s="2" t="str">
        <f>VLOOKUP(B2752,'PO with created By ASR'!A:G,4,FALSE)</f>
        <v>Rutika Dhotre  -CR</v>
      </c>
      <c r="K2752" s="2" t="e">
        <f>VLOOKUP(B2752,'PO with created By ASR'!A:I,6,FALSE)</f>
        <v>#N/A</v>
      </c>
      <c r="L2752" s="2" t="str">
        <f>VLOOKUP(B2752,'PO with created By ASR'!A:J,7,FALSE)</f>
        <v>A - Mumbai</v>
      </c>
      <c r="M2752" s="2" t="str">
        <f>VLOOKUP(B2752,'PO with created By ASR'!A:K,8,FALSE)</f>
        <v>Purchase Order-Mum</v>
      </c>
      <c r="N2752" t="s">
        <v>36</v>
      </c>
      <c r="P2752" s="2">
        <v>6</v>
      </c>
    </row>
    <row r="2753" s="2" customFormat="1" spans="1:16">
      <c r="A2753" s="8"/>
      <c r="B2753" s="9" t="s">
        <v>3966</v>
      </c>
      <c r="C2753" s="10" t="s">
        <v>61</v>
      </c>
      <c r="D2753" s="11">
        <v>1</v>
      </c>
      <c r="E2753" s="12">
        <v>11858</v>
      </c>
      <c r="F2753" s="13">
        <v>11858</v>
      </c>
      <c r="G2753" s="2">
        <f>VLOOKUP(B2753,'PO with created By ASR'!A:C,3,FALSE)</f>
        <v>45712</v>
      </c>
      <c r="J2753" s="2" t="str">
        <f>VLOOKUP(B2753,'PO with created By ASR'!A:G,4,FALSE)</f>
        <v>Harshal Ghadigaonkar -CR</v>
      </c>
      <c r="K2753" s="2" t="e">
        <f>VLOOKUP(B2753,'PO with created By ASR'!A:I,6,FALSE)</f>
        <v>#N/A</v>
      </c>
      <c r="L2753" s="2" t="str">
        <f>VLOOKUP(B2753,'PO with created By ASR'!A:J,7,FALSE)</f>
        <v>A - Mumbai</v>
      </c>
      <c r="M2753" s="2" t="str">
        <f>VLOOKUP(B2753,'PO with created By ASR'!A:K,8,FALSE)</f>
        <v>Purchase Order-Mum</v>
      </c>
      <c r="N2753" t="s">
        <v>36</v>
      </c>
      <c r="P2753" s="2">
        <v>6</v>
      </c>
    </row>
    <row r="2754" s="2" customFormat="1" spans="1:16">
      <c r="A2754" s="8"/>
      <c r="B2754" s="9" t="s">
        <v>3966</v>
      </c>
      <c r="C2754" s="10" t="s">
        <v>126</v>
      </c>
      <c r="D2754" s="11">
        <v>1</v>
      </c>
      <c r="E2754" s="12">
        <v>10997.31</v>
      </c>
      <c r="F2754" s="13">
        <v>10997.31</v>
      </c>
      <c r="G2754" s="2">
        <f>VLOOKUP(B2754,'PO with created By ASR'!A:C,3,FALSE)</f>
        <v>45712</v>
      </c>
      <c r="J2754" s="2" t="str">
        <f>VLOOKUP(B2754,'PO with created By ASR'!A:G,4,FALSE)</f>
        <v>Harshal Ghadigaonkar -CR</v>
      </c>
      <c r="K2754" s="2" t="e">
        <f>VLOOKUP(B2754,'PO with created By ASR'!A:I,6,FALSE)</f>
        <v>#N/A</v>
      </c>
      <c r="L2754" s="2" t="str">
        <f>VLOOKUP(B2754,'PO with created By ASR'!A:J,7,FALSE)</f>
        <v>A - Mumbai</v>
      </c>
      <c r="M2754" s="2" t="str">
        <f>VLOOKUP(B2754,'PO with created By ASR'!A:K,8,FALSE)</f>
        <v>Purchase Order-Mum</v>
      </c>
      <c r="N2754" t="s">
        <v>36</v>
      </c>
      <c r="P2754" s="2">
        <v>6</v>
      </c>
    </row>
    <row r="2755" s="2" customFormat="1" spans="1:16">
      <c r="A2755" s="8"/>
      <c r="B2755" s="9" t="s">
        <v>3966</v>
      </c>
      <c r="C2755" s="10" t="s">
        <v>412</v>
      </c>
      <c r="D2755" s="11">
        <v>1</v>
      </c>
      <c r="E2755" s="12">
        <v>15894.02</v>
      </c>
      <c r="F2755" s="13">
        <v>15894.02</v>
      </c>
      <c r="G2755" s="2">
        <f>VLOOKUP(B2755,'PO with created By ASR'!A:C,3,FALSE)</f>
        <v>45712</v>
      </c>
      <c r="J2755" s="2" t="str">
        <f>VLOOKUP(B2755,'PO with created By ASR'!A:G,4,FALSE)</f>
        <v>Harshal Ghadigaonkar -CR</v>
      </c>
      <c r="K2755" s="2" t="e">
        <f>VLOOKUP(B2755,'PO with created By ASR'!A:I,6,FALSE)</f>
        <v>#N/A</v>
      </c>
      <c r="L2755" s="2" t="str">
        <f>VLOOKUP(B2755,'PO with created By ASR'!A:J,7,FALSE)</f>
        <v>A - Mumbai</v>
      </c>
      <c r="M2755" s="2" t="str">
        <f>VLOOKUP(B2755,'PO with created By ASR'!A:K,8,FALSE)</f>
        <v>Purchase Order-Mum</v>
      </c>
      <c r="N2755" t="s">
        <v>36</v>
      </c>
      <c r="P2755" s="2">
        <v>6</v>
      </c>
    </row>
    <row r="2756" s="2" customFormat="1" spans="1:16">
      <c r="A2756" s="8"/>
      <c r="B2756" s="9" t="s">
        <v>3968</v>
      </c>
      <c r="C2756" s="10" t="s">
        <v>61</v>
      </c>
      <c r="D2756" s="11">
        <v>1</v>
      </c>
      <c r="E2756" s="12">
        <v>7248</v>
      </c>
      <c r="F2756" s="13">
        <v>7248</v>
      </c>
      <c r="G2756" s="2">
        <f>VLOOKUP(B2756,'PO with created By ASR'!A:C,3,FALSE)</f>
        <v>45712</v>
      </c>
      <c r="J2756" s="2" t="str">
        <f>VLOOKUP(B2756,'PO with created By ASR'!A:G,4,FALSE)</f>
        <v>Harsh Mudliyar  -CR</v>
      </c>
      <c r="K2756" s="2" t="e">
        <f>VLOOKUP(B2756,'PO with created By ASR'!A:I,6,FALSE)</f>
        <v>#N/A</v>
      </c>
      <c r="L2756" s="2" t="str">
        <f>VLOOKUP(B2756,'PO with created By ASR'!A:J,7,FALSE)</f>
        <v>A - Mumbai</v>
      </c>
      <c r="M2756" s="2" t="str">
        <f>VLOOKUP(B2756,'PO with created By ASR'!A:K,8,FALSE)</f>
        <v>Purchase Order-Mum</v>
      </c>
      <c r="N2756" t="s">
        <v>36</v>
      </c>
      <c r="P2756" s="2">
        <v>6</v>
      </c>
    </row>
    <row r="2757" s="2" customFormat="1" spans="1:16">
      <c r="A2757" s="8"/>
      <c r="B2757" s="9" t="s">
        <v>3968</v>
      </c>
      <c r="C2757" s="10" t="s">
        <v>126</v>
      </c>
      <c r="D2757" s="11">
        <v>1</v>
      </c>
      <c r="E2757" s="12">
        <v>9581</v>
      </c>
      <c r="F2757" s="13">
        <v>9581</v>
      </c>
      <c r="G2757" s="2">
        <f>VLOOKUP(B2757,'PO with created By ASR'!A:C,3,FALSE)</f>
        <v>45712</v>
      </c>
      <c r="J2757" s="2" t="str">
        <f>VLOOKUP(B2757,'PO with created By ASR'!A:G,4,FALSE)</f>
        <v>Harsh Mudliyar  -CR</v>
      </c>
      <c r="K2757" s="2" t="e">
        <f>VLOOKUP(B2757,'PO with created By ASR'!A:I,6,FALSE)</f>
        <v>#N/A</v>
      </c>
      <c r="L2757" s="2" t="str">
        <f>VLOOKUP(B2757,'PO with created By ASR'!A:J,7,FALSE)</f>
        <v>A - Mumbai</v>
      </c>
      <c r="M2757" s="2" t="str">
        <f>VLOOKUP(B2757,'PO with created By ASR'!A:K,8,FALSE)</f>
        <v>Purchase Order-Mum</v>
      </c>
      <c r="N2757" t="s">
        <v>36</v>
      </c>
      <c r="P2757" s="2">
        <v>6</v>
      </c>
    </row>
    <row r="2758" s="2" customFormat="1" spans="1:16">
      <c r="A2758" s="8"/>
      <c r="B2758" s="9" t="s">
        <v>3968</v>
      </c>
      <c r="C2758" s="10" t="s">
        <v>412</v>
      </c>
      <c r="D2758" s="11">
        <v>1</v>
      </c>
      <c r="E2758" s="12">
        <v>7030.49</v>
      </c>
      <c r="F2758" s="13">
        <v>7030.49</v>
      </c>
      <c r="G2758" s="2">
        <f>VLOOKUP(B2758,'PO with created By ASR'!A:C,3,FALSE)</f>
        <v>45712</v>
      </c>
      <c r="J2758" s="2" t="str">
        <f>VLOOKUP(B2758,'PO with created By ASR'!A:G,4,FALSE)</f>
        <v>Harsh Mudliyar  -CR</v>
      </c>
      <c r="K2758" s="2" t="e">
        <f>VLOOKUP(B2758,'PO with created By ASR'!A:I,6,FALSE)</f>
        <v>#N/A</v>
      </c>
      <c r="L2758" s="2" t="str">
        <f>VLOOKUP(B2758,'PO with created By ASR'!A:J,7,FALSE)</f>
        <v>A - Mumbai</v>
      </c>
      <c r="M2758" s="2" t="str">
        <f>VLOOKUP(B2758,'PO with created By ASR'!A:K,8,FALSE)</f>
        <v>Purchase Order-Mum</v>
      </c>
      <c r="N2758" t="s">
        <v>36</v>
      </c>
      <c r="P2758" s="2">
        <v>6</v>
      </c>
    </row>
    <row r="2759" s="2" customFormat="1" spans="1:16">
      <c r="A2759" s="8"/>
      <c r="B2759" s="9" t="s">
        <v>3969</v>
      </c>
      <c r="C2759" s="10" t="s">
        <v>126</v>
      </c>
      <c r="D2759" s="11">
        <v>1</v>
      </c>
      <c r="E2759" s="12">
        <v>747</v>
      </c>
      <c r="F2759" s="13">
        <v>747</v>
      </c>
      <c r="G2759" s="2">
        <f>VLOOKUP(B2759,'PO with created By ASR'!A:C,3,FALSE)</f>
        <v>45712</v>
      </c>
      <c r="J2759" s="2" t="str">
        <f>VLOOKUP(B2759,'PO with created By ASR'!A:G,4,FALSE)</f>
        <v>Adil Jala  -CR</v>
      </c>
      <c r="K2759" s="2" t="e">
        <f>VLOOKUP(B2759,'PO with created By ASR'!A:I,6,FALSE)</f>
        <v>#N/A</v>
      </c>
      <c r="L2759" s="2" t="str">
        <f>VLOOKUP(B2759,'PO with created By ASR'!A:J,7,FALSE)</f>
        <v>A - Mumbai</v>
      </c>
      <c r="M2759" s="2" t="str">
        <f>VLOOKUP(B2759,'PO with created By ASR'!A:K,8,FALSE)</f>
        <v>Purchase Order-Mum</v>
      </c>
      <c r="N2759" t="s">
        <v>36</v>
      </c>
      <c r="P2759" s="2">
        <v>6</v>
      </c>
    </row>
    <row r="2760" s="2" customFormat="1" spans="1:16">
      <c r="A2760" s="8"/>
      <c r="B2760" s="9" t="s">
        <v>3969</v>
      </c>
      <c r="C2760" s="10" t="s">
        <v>412</v>
      </c>
      <c r="D2760" s="11">
        <v>1</v>
      </c>
      <c r="E2760" s="12">
        <v>2112</v>
      </c>
      <c r="F2760" s="13">
        <v>2112</v>
      </c>
      <c r="G2760" s="2">
        <f>VLOOKUP(B2760,'PO with created By ASR'!A:C,3,FALSE)</f>
        <v>45712</v>
      </c>
      <c r="J2760" s="2" t="str">
        <f>VLOOKUP(B2760,'PO with created By ASR'!A:G,4,FALSE)</f>
        <v>Adil Jala  -CR</v>
      </c>
      <c r="K2760" s="2" t="e">
        <f>VLOOKUP(B2760,'PO with created By ASR'!A:I,6,FALSE)</f>
        <v>#N/A</v>
      </c>
      <c r="L2760" s="2" t="str">
        <f>VLOOKUP(B2760,'PO with created By ASR'!A:J,7,FALSE)</f>
        <v>A - Mumbai</v>
      </c>
      <c r="M2760" s="2" t="str">
        <f>VLOOKUP(B2760,'PO with created By ASR'!A:K,8,FALSE)</f>
        <v>Purchase Order-Mum</v>
      </c>
      <c r="N2760" t="s">
        <v>36</v>
      </c>
      <c r="P2760" s="2">
        <v>6</v>
      </c>
    </row>
    <row r="2761" s="2" customFormat="1" spans="1:16">
      <c r="A2761" s="8"/>
      <c r="B2761" s="9" t="s">
        <v>3970</v>
      </c>
      <c r="C2761" s="10" t="s">
        <v>126</v>
      </c>
      <c r="D2761" s="11">
        <v>1</v>
      </c>
      <c r="E2761" s="12">
        <v>406</v>
      </c>
      <c r="F2761" s="13">
        <v>406</v>
      </c>
      <c r="G2761" s="2">
        <f>VLOOKUP(B2761,'PO with created By ASR'!A:C,3,FALSE)</f>
        <v>45712</v>
      </c>
      <c r="J2761" s="2" t="str">
        <f>VLOOKUP(B2761,'PO with created By ASR'!A:G,4,FALSE)</f>
        <v>Santosh Bhogal Cash  -CR</v>
      </c>
      <c r="K2761" s="2" t="e">
        <f>VLOOKUP(B2761,'PO with created By ASR'!A:I,6,FALSE)</f>
        <v>#N/A</v>
      </c>
      <c r="L2761" s="2" t="str">
        <f>VLOOKUP(B2761,'PO with created By ASR'!A:J,7,FALSE)</f>
        <v>A - Mumbai</v>
      </c>
      <c r="M2761" s="2" t="str">
        <f>VLOOKUP(B2761,'PO with created By ASR'!A:K,8,FALSE)</f>
        <v>Purchase Order-Mum</v>
      </c>
      <c r="N2761" t="s">
        <v>36</v>
      </c>
      <c r="P2761" s="2">
        <v>6</v>
      </c>
    </row>
    <row r="2762" s="2" customFormat="1" spans="1:16">
      <c r="A2762" s="8"/>
      <c r="B2762" s="9" t="s">
        <v>3971</v>
      </c>
      <c r="C2762" s="10" t="s">
        <v>126</v>
      </c>
      <c r="D2762" s="11">
        <v>1</v>
      </c>
      <c r="E2762" s="12">
        <v>976</v>
      </c>
      <c r="F2762" s="13">
        <v>976</v>
      </c>
      <c r="G2762" s="2">
        <f>VLOOKUP(B2762,'PO with created By ASR'!A:C,3,FALSE)</f>
        <v>45712</v>
      </c>
      <c r="J2762" s="2" t="str">
        <f>VLOOKUP(B2762,'PO with created By ASR'!A:G,4,FALSE)</f>
        <v>Sudhakar Sawant   -CR</v>
      </c>
      <c r="K2762" s="2" t="e">
        <f>VLOOKUP(B2762,'PO with created By ASR'!A:I,6,FALSE)</f>
        <v>#N/A</v>
      </c>
      <c r="L2762" s="2" t="str">
        <f>VLOOKUP(B2762,'PO with created By ASR'!A:J,7,FALSE)</f>
        <v>A - Mumbai</v>
      </c>
      <c r="M2762" s="2" t="str">
        <f>VLOOKUP(B2762,'PO with created By ASR'!A:K,8,FALSE)</f>
        <v>Purchase Order-Mum</v>
      </c>
      <c r="N2762" t="s">
        <v>36</v>
      </c>
      <c r="P2762" s="2">
        <v>6</v>
      </c>
    </row>
    <row r="2763" s="2" customFormat="1" spans="1:16">
      <c r="A2763" s="8"/>
      <c r="B2763" s="9" t="s">
        <v>3971</v>
      </c>
      <c r="C2763" s="10" t="s">
        <v>412</v>
      </c>
      <c r="D2763" s="11">
        <v>1</v>
      </c>
      <c r="E2763" s="12">
        <v>125</v>
      </c>
      <c r="F2763" s="13">
        <v>125</v>
      </c>
      <c r="G2763" s="2">
        <f>VLOOKUP(B2763,'PO with created By ASR'!A:C,3,FALSE)</f>
        <v>45712</v>
      </c>
      <c r="J2763" s="2" t="str">
        <f>VLOOKUP(B2763,'PO with created By ASR'!A:G,4,FALSE)</f>
        <v>Sudhakar Sawant   -CR</v>
      </c>
      <c r="K2763" s="2" t="e">
        <f>VLOOKUP(B2763,'PO with created By ASR'!A:I,6,FALSE)</f>
        <v>#N/A</v>
      </c>
      <c r="L2763" s="2" t="str">
        <f>VLOOKUP(B2763,'PO with created By ASR'!A:J,7,FALSE)</f>
        <v>A - Mumbai</v>
      </c>
      <c r="M2763" s="2" t="str">
        <f>VLOOKUP(B2763,'PO with created By ASR'!A:K,8,FALSE)</f>
        <v>Purchase Order-Mum</v>
      </c>
      <c r="N2763" t="s">
        <v>36</v>
      </c>
      <c r="P2763" s="2">
        <v>6</v>
      </c>
    </row>
    <row r="2764" s="2" customFormat="1" spans="1:16">
      <c r="A2764" s="8"/>
      <c r="B2764" s="9" t="s">
        <v>3972</v>
      </c>
      <c r="C2764" s="10" t="s">
        <v>317</v>
      </c>
      <c r="D2764" s="11">
        <v>1</v>
      </c>
      <c r="E2764" s="12">
        <v>14283</v>
      </c>
      <c r="F2764" s="13">
        <v>14283</v>
      </c>
      <c r="G2764" s="2">
        <f>VLOOKUP(B2764,'PO with created By ASR'!A:C,3,FALSE)</f>
        <v>45712</v>
      </c>
      <c r="J2764" s="2" t="str">
        <f>VLOOKUP(B2764,'PO with created By ASR'!A:G,4,FALSE)</f>
        <v>Rajaram Shinde Cash -CR</v>
      </c>
      <c r="K2764" s="2" t="e">
        <f>VLOOKUP(B2764,'PO with created By ASR'!A:I,6,FALSE)</f>
        <v>#N/A</v>
      </c>
      <c r="L2764" s="2" t="str">
        <f>VLOOKUP(B2764,'PO with created By ASR'!A:J,7,FALSE)</f>
        <v>A - Mumbai</v>
      </c>
      <c r="M2764" s="2" t="str">
        <f>VLOOKUP(B2764,'PO with created By ASR'!A:K,8,FALSE)</f>
        <v>Purchase Order-Mum</v>
      </c>
      <c r="N2764" t="s">
        <v>36</v>
      </c>
      <c r="P2764" s="2">
        <v>6</v>
      </c>
    </row>
    <row r="2765" s="2" customFormat="1" spans="1:16">
      <c r="A2765" s="8"/>
      <c r="B2765" s="9" t="s">
        <v>3972</v>
      </c>
      <c r="C2765" s="10" t="s">
        <v>126</v>
      </c>
      <c r="D2765" s="11">
        <v>1</v>
      </c>
      <c r="E2765" s="12">
        <v>300</v>
      </c>
      <c r="F2765" s="13">
        <v>300</v>
      </c>
      <c r="G2765" s="2">
        <f>VLOOKUP(B2765,'PO with created By ASR'!A:C,3,FALSE)</f>
        <v>45712</v>
      </c>
      <c r="J2765" s="2" t="str">
        <f>VLOOKUP(B2765,'PO with created By ASR'!A:G,4,FALSE)</f>
        <v>Rajaram Shinde Cash -CR</v>
      </c>
      <c r="K2765" s="2" t="e">
        <f>VLOOKUP(B2765,'PO with created By ASR'!A:I,6,FALSE)</f>
        <v>#N/A</v>
      </c>
      <c r="L2765" s="2" t="str">
        <f>VLOOKUP(B2765,'PO with created By ASR'!A:J,7,FALSE)</f>
        <v>A - Mumbai</v>
      </c>
      <c r="M2765" s="2" t="str">
        <f>VLOOKUP(B2765,'PO with created By ASR'!A:K,8,FALSE)</f>
        <v>Purchase Order-Mum</v>
      </c>
      <c r="N2765" t="s">
        <v>36</v>
      </c>
      <c r="P2765" s="2">
        <v>6</v>
      </c>
    </row>
    <row r="2766" s="2" customFormat="1" spans="1:16">
      <c r="A2766" s="8"/>
      <c r="B2766" s="9" t="s">
        <v>3973</v>
      </c>
      <c r="C2766" s="10" t="s">
        <v>256</v>
      </c>
      <c r="D2766" s="11">
        <v>1</v>
      </c>
      <c r="E2766" s="12">
        <v>75000</v>
      </c>
      <c r="F2766" s="13">
        <v>75000</v>
      </c>
      <c r="G2766" s="2">
        <f>VLOOKUP(B2766,'PO with created By ASR'!A:C,3,FALSE)</f>
        <v>45712</v>
      </c>
      <c r="J2766" s="2" t="str">
        <f>VLOOKUP(B2766,'PO with created By ASR'!A:G,4,FALSE)</f>
        <v>The Indian Performing Right Society Ltd.-Mum</v>
      </c>
      <c r="K2766" s="2" t="e">
        <f>VLOOKUP(B2766,'PO with created By ASR'!A:I,6,FALSE)</f>
        <v>#N/A</v>
      </c>
      <c r="L2766" s="2" t="str">
        <f>VLOOKUP(B2766,'PO with created By ASR'!A:J,7,FALSE)</f>
        <v>A - Mumbai</v>
      </c>
      <c r="M2766" s="2" t="str">
        <f>VLOOKUP(B2766,'PO with created By ASR'!A:K,8,FALSE)</f>
        <v>Purchase Order-Mum</v>
      </c>
      <c r="N2766" t="s">
        <v>36</v>
      </c>
      <c r="P2766" s="2">
        <v>6</v>
      </c>
    </row>
    <row r="2767" s="2" customFormat="1" spans="1:16">
      <c r="A2767" s="8"/>
      <c r="B2767" s="9" t="s">
        <v>3973</v>
      </c>
      <c r="C2767" s="10" t="s">
        <v>256</v>
      </c>
      <c r="D2767" s="11">
        <v>1</v>
      </c>
      <c r="E2767" s="12">
        <v>75000</v>
      </c>
      <c r="F2767" s="13">
        <v>75000</v>
      </c>
      <c r="G2767" s="2">
        <f>VLOOKUP(B2767,'PO with created By ASR'!A:C,3,FALSE)</f>
        <v>45712</v>
      </c>
      <c r="J2767" s="2" t="str">
        <f>VLOOKUP(B2767,'PO with created By ASR'!A:G,4,FALSE)</f>
        <v>The Indian Performing Right Society Ltd.-Mum</v>
      </c>
      <c r="K2767" s="2" t="e">
        <f>VLOOKUP(B2767,'PO with created By ASR'!A:I,6,FALSE)</f>
        <v>#N/A</v>
      </c>
      <c r="L2767" s="2" t="str">
        <f>VLOOKUP(B2767,'PO with created By ASR'!A:J,7,FALSE)</f>
        <v>A - Mumbai</v>
      </c>
      <c r="M2767" s="2" t="str">
        <f>VLOOKUP(B2767,'PO with created By ASR'!A:K,8,FALSE)</f>
        <v>Purchase Order-Mum</v>
      </c>
      <c r="N2767" t="s">
        <v>36</v>
      </c>
      <c r="P2767" s="2">
        <v>6</v>
      </c>
    </row>
    <row r="2768" s="2" customFormat="1" spans="1:16">
      <c r="A2768" s="8"/>
      <c r="B2768" s="9" t="s">
        <v>3973</v>
      </c>
      <c r="C2768" s="10" t="s">
        <v>256</v>
      </c>
      <c r="D2768" s="11">
        <v>1</v>
      </c>
      <c r="E2768" s="12">
        <v>75000</v>
      </c>
      <c r="F2768" s="13">
        <v>75000</v>
      </c>
      <c r="G2768" s="2">
        <f>VLOOKUP(B2768,'PO with created By ASR'!A:C,3,FALSE)</f>
        <v>45712</v>
      </c>
      <c r="J2768" s="2" t="str">
        <f>VLOOKUP(B2768,'PO with created By ASR'!A:G,4,FALSE)</f>
        <v>The Indian Performing Right Society Ltd.-Mum</v>
      </c>
      <c r="K2768" s="2" t="e">
        <f>VLOOKUP(B2768,'PO with created By ASR'!A:I,6,FALSE)</f>
        <v>#N/A</v>
      </c>
      <c r="L2768" s="2" t="str">
        <f>VLOOKUP(B2768,'PO with created By ASR'!A:J,7,FALSE)</f>
        <v>A - Mumbai</v>
      </c>
      <c r="M2768" s="2" t="str">
        <f>VLOOKUP(B2768,'PO with created By ASR'!A:K,8,FALSE)</f>
        <v>Purchase Order-Mum</v>
      </c>
      <c r="N2768" t="s">
        <v>36</v>
      </c>
      <c r="P2768" s="2">
        <v>6</v>
      </c>
    </row>
    <row r="2769" s="2" customFormat="1" spans="1:16">
      <c r="A2769" s="8"/>
      <c r="B2769" s="9" t="s">
        <v>3974</v>
      </c>
      <c r="C2769" s="10" t="s">
        <v>256</v>
      </c>
      <c r="D2769" s="11">
        <v>1</v>
      </c>
      <c r="E2769" s="12">
        <v>171125</v>
      </c>
      <c r="F2769" s="13">
        <v>171125</v>
      </c>
      <c r="G2769" s="2">
        <f>VLOOKUP(B2769,'PO with created By ASR'!A:C,3,FALSE)</f>
        <v>45712</v>
      </c>
      <c r="J2769" s="2" t="str">
        <f>VLOOKUP(B2769,'PO with created By ASR'!A:G,4,FALSE)</f>
        <v>Phonographic Performance Limited-Mum</v>
      </c>
      <c r="K2769" s="2" t="e">
        <f>VLOOKUP(B2769,'PO with created By ASR'!A:I,6,FALSE)</f>
        <v>#N/A</v>
      </c>
      <c r="L2769" s="2" t="str">
        <f>VLOOKUP(B2769,'PO with created By ASR'!A:J,7,FALSE)</f>
        <v>A - Mumbai</v>
      </c>
      <c r="M2769" s="2" t="str">
        <f>VLOOKUP(B2769,'PO with created By ASR'!A:K,8,FALSE)</f>
        <v>Purchase Order-Mum</v>
      </c>
      <c r="N2769" t="s">
        <v>36</v>
      </c>
      <c r="P2769" s="2">
        <v>6</v>
      </c>
    </row>
    <row r="2770" s="2" customFormat="1" spans="1:16">
      <c r="A2770" s="8"/>
      <c r="B2770" s="9" t="s">
        <v>3974</v>
      </c>
      <c r="C2770" s="10" t="s">
        <v>256</v>
      </c>
      <c r="D2770" s="11">
        <v>1</v>
      </c>
      <c r="E2770" s="12">
        <v>171125</v>
      </c>
      <c r="F2770" s="13">
        <v>171125</v>
      </c>
      <c r="G2770" s="2">
        <f>VLOOKUP(B2770,'PO with created By ASR'!A:C,3,FALSE)</f>
        <v>45712</v>
      </c>
      <c r="J2770" s="2" t="str">
        <f>VLOOKUP(B2770,'PO with created By ASR'!A:G,4,FALSE)</f>
        <v>Phonographic Performance Limited-Mum</v>
      </c>
      <c r="K2770" s="2" t="e">
        <f>VLOOKUP(B2770,'PO with created By ASR'!A:I,6,FALSE)</f>
        <v>#N/A</v>
      </c>
      <c r="L2770" s="2" t="str">
        <f>VLOOKUP(B2770,'PO with created By ASR'!A:J,7,FALSE)</f>
        <v>A - Mumbai</v>
      </c>
      <c r="M2770" s="2" t="str">
        <f>VLOOKUP(B2770,'PO with created By ASR'!A:K,8,FALSE)</f>
        <v>Purchase Order-Mum</v>
      </c>
      <c r="N2770" t="s">
        <v>36</v>
      </c>
      <c r="P2770" s="2">
        <v>6</v>
      </c>
    </row>
    <row r="2771" s="2" customFormat="1" spans="1:16">
      <c r="A2771" s="8"/>
      <c r="B2771" s="9" t="s">
        <v>3974</v>
      </c>
      <c r="C2771" s="10" t="s">
        <v>256</v>
      </c>
      <c r="D2771" s="11">
        <v>1</v>
      </c>
      <c r="E2771" s="12">
        <v>171125</v>
      </c>
      <c r="F2771" s="13">
        <v>171125</v>
      </c>
      <c r="G2771" s="2">
        <f>VLOOKUP(B2771,'PO with created By ASR'!A:C,3,FALSE)</f>
        <v>45712</v>
      </c>
      <c r="J2771" s="2" t="str">
        <f>VLOOKUP(B2771,'PO with created By ASR'!A:G,4,FALSE)</f>
        <v>Phonographic Performance Limited-Mum</v>
      </c>
      <c r="K2771" s="2" t="e">
        <f>VLOOKUP(B2771,'PO with created By ASR'!A:I,6,FALSE)</f>
        <v>#N/A</v>
      </c>
      <c r="L2771" s="2" t="str">
        <f>VLOOKUP(B2771,'PO with created By ASR'!A:J,7,FALSE)</f>
        <v>A - Mumbai</v>
      </c>
      <c r="M2771" s="2" t="str">
        <f>VLOOKUP(B2771,'PO with created By ASR'!A:K,8,FALSE)</f>
        <v>Purchase Order-Mum</v>
      </c>
      <c r="N2771" t="s">
        <v>36</v>
      </c>
      <c r="P2771" s="2">
        <v>6</v>
      </c>
    </row>
    <row r="2772" s="2" customFormat="1" spans="1:16">
      <c r="A2772" s="8"/>
      <c r="B2772" s="9" t="s">
        <v>3975</v>
      </c>
      <c r="C2772" s="10" t="s">
        <v>256</v>
      </c>
      <c r="D2772" s="11">
        <v>1</v>
      </c>
      <c r="E2772" s="12">
        <v>185250</v>
      </c>
      <c r="F2772" s="13">
        <v>185250</v>
      </c>
      <c r="G2772" s="2">
        <f>VLOOKUP(B2772,'PO with created By ASR'!A:C,3,FALSE)</f>
        <v>45712</v>
      </c>
      <c r="J2772" s="2" t="str">
        <f>VLOOKUP(B2772,'PO with created By ASR'!A:G,4,FALSE)</f>
        <v>Novex Communications Pvt. Ltd.-Mum</v>
      </c>
      <c r="K2772" s="2" t="e">
        <f>VLOOKUP(B2772,'PO with created By ASR'!A:I,6,FALSE)</f>
        <v>#N/A</v>
      </c>
      <c r="L2772" s="2" t="str">
        <f>VLOOKUP(B2772,'PO with created By ASR'!A:J,7,FALSE)</f>
        <v>A - Mumbai</v>
      </c>
      <c r="M2772" s="2" t="str">
        <f>VLOOKUP(B2772,'PO with created By ASR'!A:K,8,FALSE)</f>
        <v>Purchase Order-Mum</v>
      </c>
      <c r="N2772" t="s">
        <v>36</v>
      </c>
      <c r="P2772" s="2">
        <v>6</v>
      </c>
    </row>
    <row r="2773" s="2" customFormat="1" spans="1:16">
      <c r="A2773" s="8"/>
      <c r="B2773" s="9" t="s">
        <v>3975</v>
      </c>
      <c r="C2773" s="10" t="s">
        <v>256</v>
      </c>
      <c r="D2773" s="11">
        <v>1</v>
      </c>
      <c r="E2773" s="12">
        <v>185250</v>
      </c>
      <c r="F2773" s="13">
        <v>185250</v>
      </c>
      <c r="G2773" s="2">
        <f>VLOOKUP(B2773,'PO with created By ASR'!A:C,3,FALSE)</f>
        <v>45712</v>
      </c>
      <c r="J2773" s="2" t="str">
        <f>VLOOKUP(B2773,'PO with created By ASR'!A:G,4,FALSE)</f>
        <v>Novex Communications Pvt. Ltd.-Mum</v>
      </c>
      <c r="K2773" s="2" t="e">
        <f>VLOOKUP(B2773,'PO with created By ASR'!A:I,6,FALSE)</f>
        <v>#N/A</v>
      </c>
      <c r="L2773" s="2" t="str">
        <f>VLOOKUP(B2773,'PO with created By ASR'!A:J,7,FALSE)</f>
        <v>A - Mumbai</v>
      </c>
      <c r="M2773" s="2" t="str">
        <f>VLOOKUP(B2773,'PO with created By ASR'!A:K,8,FALSE)</f>
        <v>Purchase Order-Mum</v>
      </c>
      <c r="N2773" t="s">
        <v>36</v>
      </c>
      <c r="P2773" s="2">
        <v>6</v>
      </c>
    </row>
    <row r="2774" s="2" customFormat="1" spans="1:16">
      <c r="A2774" s="8"/>
      <c r="B2774" s="9" t="s">
        <v>3975</v>
      </c>
      <c r="C2774" s="10" t="s">
        <v>256</v>
      </c>
      <c r="D2774" s="11">
        <v>1</v>
      </c>
      <c r="E2774" s="12">
        <v>185250</v>
      </c>
      <c r="F2774" s="13">
        <v>185250</v>
      </c>
      <c r="G2774" s="2">
        <f>VLOOKUP(B2774,'PO with created By ASR'!A:C,3,FALSE)</f>
        <v>45712</v>
      </c>
      <c r="J2774" s="2" t="str">
        <f>VLOOKUP(B2774,'PO with created By ASR'!A:G,4,FALSE)</f>
        <v>Novex Communications Pvt. Ltd.-Mum</v>
      </c>
      <c r="K2774" s="2" t="e">
        <f>VLOOKUP(B2774,'PO with created By ASR'!A:I,6,FALSE)</f>
        <v>#N/A</v>
      </c>
      <c r="L2774" s="2" t="str">
        <f>VLOOKUP(B2774,'PO with created By ASR'!A:J,7,FALSE)</f>
        <v>A - Mumbai</v>
      </c>
      <c r="M2774" s="2" t="str">
        <f>VLOOKUP(B2774,'PO with created By ASR'!A:K,8,FALSE)</f>
        <v>Purchase Order-Mum</v>
      </c>
      <c r="N2774" t="s">
        <v>36</v>
      </c>
      <c r="P2774" s="2">
        <v>6</v>
      </c>
    </row>
    <row r="2775" s="2" customFormat="1" spans="1:16">
      <c r="A2775" s="8"/>
      <c r="B2775" s="9" t="s">
        <v>3976</v>
      </c>
      <c r="C2775" s="10" t="s">
        <v>317</v>
      </c>
      <c r="D2775" s="11">
        <v>1</v>
      </c>
      <c r="E2775" s="12">
        <v>241000</v>
      </c>
      <c r="F2775" s="13">
        <v>241000</v>
      </c>
      <c r="G2775" s="2">
        <f>VLOOKUP(B2775,'PO with created By ASR'!A:C,3,FALSE)</f>
        <v>45712</v>
      </c>
      <c r="J2775" s="2" t="str">
        <f>VLOOKUP(B2775,'PO with created By ASR'!A:G,4,FALSE)</f>
        <v>KG Movie-Mum</v>
      </c>
      <c r="K2775" s="2" t="str">
        <f>VLOOKUP(B2775,'PO with created By ASR'!A:I,6,FALSE)</f>
        <v>12076 KG Movie</v>
      </c>
      <c r="L2775" s="2" t="str">
        <f>VLOOKUP(B2775,'PO with created By ASR'!A:J,7,FALSE)</f>
        <v>A - Mumbai</v>
      </c>
      <c r="M2775" s="2" t="str">
        <f>VLOOKUP(B2775,'PO with created By ASR'!A:K,8,FALSE)</f>
        <v>Purchase Order-Mum</v>
      </c>
      <c r="N2775" t="s">
        <v>36</v>
      </c>
      <c r="P2775" s="2">
        <v>6</v>
      </c>
    </row>
    <row r="2776" s="2" customFormat="1" spans="1:16">
      <c r="A2776" s="8"/>
      <c r="B2776" s="9" t="s">
        <v>3978</v>
      </c>
      <c r="C2776" s="10" t="s">
        <v>250</v>
      </c>
      <c r="D2776" s="11">
        <v>1</v>
      </c>
      <c r="E2776" s="12">
        <v>200000</v>
      </c>
      <c r="F2776" s="13">
        <v>200000</v>
      </c>
      <c r="G2776" s="2">
        <f>VLOOKUP(B2776,'PO with created By ASR'!A:C,3,FALSE)</f>
        <v>45712</v>
      </c>
      <c r="J2776" s="2" t="str">
        <f>VLOOKUP(B2776,'PO with created By ASR'!A:G,4,FALSE)</f>
        <v>Black Hat Talent Solutions &amp; Consulting Pvt Ltd-Mum</v>
      </c>
      <c r="K2776" s="2" t="str">
        <f>VLOOKUP(B2776,'PO with created By ASR'!A:I,6,FALSE)</f>
        <v>10572  Black Hat Talent Solutions &amp; Consulting Pvt Ltd</v>
      </c>
      <c r="L2776" s="2" t="str">
        <f>VLOOKUP(B2776,'PO with created By ASR'!A:J,7,FALSE)</f>
        <v>A - Mumbai</v>
      </c>
      <c r="M2776" s="2" t="str">
        <f>VLOOKUP(B2776,'PO with created By ASR'!A:K,8,FALSE)</f>
        <v>Purchase Order-Mum</v>
      </c>
      <c r="N2776" t="s">
        <v>36</v>
      </c>
      <c r="P2776" s="2">
        <v>6</v>
      </c>
    </row>
    <row r="2777" s="2" customFormat="1" spans="1:16">
      <c r="A2777" s="8"/>
      <c r="B2777" s="9" t="s">
        <v>3980</v>
      </c>
      <c r="C2777" s="10" t="s">
        <v>212</v>
      </c>
      <c r="D2777" s="11">
        <v>1</v>
      </c>
      <c r="E2777" s="12">
        <v>7200</v>
      </c>
      <c r="F2777" s="13">
        <v>7200</v>
      </c>
      <c r="G2777" s="2">
        <f>VLOOKUP(B2777,'PO with created By ASR'!A:C,3,FALSE)</f>
        <v>45712</v>
      </c>
      <c r="J2777" s="2" t="str">
        <f>VLOOKUP(B2777,'PO with created By ASR'!A:G,4,FALSE)</f>
        <v>Omkara Securitas Pvt Ltd-Mum</v>
      </c>
      <c r="K2777" s="2" t="str">
        <f>VLOOKUP(B2777,'PO with created By ASR'!A:I,6,FALSE)</f>
        <v>12987  Omkara Securitas Pvt Ltd</v>
      </c>
      <c r="L2777" s="2" t="str">
        <f>VLOOKUP(B2777,'PO with created By ASR'!A:J,7,FALSE)</f>
        <v>A - Mumbai</v>
      </c>
      <c r="M2777" s="2" t="str">
        <f>VLOOKUP(B2777,'PO with created By ASR'!A:K,8,FALSE)</f>
        <v>Purchase Order-Mum</v>
      </c>
      <c r="N2777" t="s">
        <v>36</v>
      </c>
      <c r="P2777" s="2">
        <v>6</v>
      </c>
    </row>
    <row r="2778" s="2" customFormat="1" spans="1:16">
      <c r="A2778" s="8"/>
      <c r="B2778" s="9" t="s">
        <v>3983</v>
      </c>
      <c r="C2778" s="10" t="s">
        <v>292</v>
      </c>
      <c r="D2778" s="11">
        <v>1</v>
      </c>
      <c r="E2778" s="12">
        <v>56850</v>
      </c>
      <c r="F2778" s="13">
        <v>56850</v>
      </c>
      <c r="G2778" s="2">
        <f>VLOOKUP(B2778,'PO with created By ASR'!A:C,3,FALSE)</f>
        <v>45712</v>
      </c>
      <c r="J2778" s="2" t="str">
        <f>VLOOKUP(B2778,'PO with created By ASR'!A:G,4,FALSE)</f>
        <v>Emblaze Events (Sunita Harihar Sharma)-Mum</v>
      </c>
      <c r="K2778" s="2" t="str">
        <f>VLOOKUP(B2778,'PO with created By ASR'!A:I,6,FALSE)</f>
        <v>11869 Emblaze Events (Sunita Harihar Sharma)</v>
      </c>
      <c r="L2778" s="2" t="str">
        <f>VLOOKUP(B2778,'PO with created By ASR'!A:J,7,FALSE)</f>
        <v>A - Mumbai</v>
      </c>
      <c r="M2778" s="2" t="str">
        <f>VLOOKUP(B2778,'PO with created By ASR'!A:K,8,FALSE)</f>
        <v>Purchase Order-Mum</v>
      </c>
      <c r="N2778" t="s">
        <v>36</v>
      </c>
      <c r="P2778" s="2">
        <v>6</v>
      </c>
    </row>
    <row r="2779" s="2" customFormat="1" spans="1:16">
      <c r="A2779" s="8"/>
      <c r="B2779" s="9" t="s">
        <v>3984</v>
      </c>
      <c r="C2779" s="10" t="s">
        <v>140</v>
      </c>
      <c r="D2779" s="11">
        <v>1</v>
      </c>
      <c r="E2779" s="12">
        <v>24250</v>
      </c>
      <c r="F2779" s="13">
        <v>24250</v>
      </c>
      <c r="G2779" s="2">
        <f>VLOOKUP(B2779,'PO with created By ASR'!A:C,3,FALSE)</f>
        <v>45712</v>
      </c>
      <c r="J2779" s="2" t="str">
        <f>VLOOKUP(B2779,'PO with created By ASR'!A:G,4,FALSE)</f>
        <v>Alishan Trophies And Gifts-Mum</v>
      </c>
      <c r="K2779" s="2" t="str">
        <f>VLOOKUP(B2779,'PO with created By ASR'!A:I,6,FALSE)</f>
        <v>12955 Alishan Trophies And Gifts</v>
      </c>
      <c r="L2779" s="2" t="str">
        <f>VLOOKUP(B2779,'PO with created By ASR'!A:J,7,FALSE)</f>
        <v>A - Mumbai</v>
      </c>
      <c r="M2779" s="2" t="str">
        <f>VLOOKUP(B2779,'PO with created By ASR'!A:K,8,FALSE)</f>
        <v>Purchase Order-Mum</v>
      </c>
      <c r="N2779" t="s">
        <v>36</v>
      </c>
      <c r="P2779" s="2">
        <v>6</v>
      </c>
    </row>
    <row r="2780" s="2" customFormat="1" spans="1:16">
      <c r="A2780" s="8"/>
      <c r="B2780" s="9" t="s">
        <v>3987</v>
      </c>
      <c r="C2780" s="10" t="s">
        <v>196</v>
      </c>
      <c r="D2780" s="11">
        <v>1</v>
      </c>
      <c r="E2780" s="12">
        <v>57685.9</v>
      </c>
      <c r="F2780" s="13">
        <v>57685.9</v>
      </c>
      <c r="G2780" s="2">
        <f>VLOOKUP(B2780,'PO with created By ASR'!A:C,3,FALSE)</f>
        <v>45712</v>
      </c>
      <c r="J2780" s="2" t="str">
        <f>VLOOKUP(B2780,'PO with created By ASR'!A:G,4,FALSE)</f>
        <v>Login Enterprises-Mum</v>
      </c>
      <c r="K2780" s="2" t="str">
        <f>VLOOKUP(B2780,'PO with created By ASR'!A:I,6,FALSE)</f>
        <v>12106 Login  Enterprises</v>
      </c>
      <c r="L2780" s="2" t="str">
        <f>VLOOKUP(B2780,'PO with created By ASR'!A:J,7,FALSE)</f>
        <v>A - Mumbai</v>
      </c>
      <c r="M2780" s="2" t="str">
        <f>VLOOKUP(B2780,'PO with created By ASR'!A:K,8,FALSE)</f>
        <v>Purchase Order-Mum</v>
      </c>
      <c r="N2780" t="s">
        <v>36</v>
      </c>
      <c r="P2780" s="2">
        <v>6</v>
      </c>
    </row>
    <row r="2781" s="2" customFormat="1" spans="1:16">
      <c r="A2781" s="8"/>
      <c r="B2781" s="9" t="s">
        <v>3989</v>
      </c>
      <c r="C2781" s="10" t="s">
        <v>250</v>
      </c>
      <c r="D2781" s="11">
        <v>1</v>
      </c>
      <c r="E2781" s="12">
        <v>1297000</v>
      </c>
      <c r="F2781" s="13">
        <v>1297000</v>
      </c>
      <c r="G2781" s="2">
        <f>VLOOKUP(B2781,'PO with created By ASR'!A:C,3,FALSE)</f>
        <v>45712</v>
      </c>
      <c r="J2781" s="2" t="str">
        <f>VLOOKUP(B2781,'PO with created By ASR'!A:G,4,FALSE)</f>
        <v>Black Hat Talent Solutions &amp; Consulting Pvt Ltd-Mum</v>
      </c>
      <c r="K2781" s="2" t="str">
        <f>VLOOKUP(B2781,'PO with created By ASR'!A:I,6,FALSE)</f>
        <v>10572  Black Hat Talent Solutions &amp; Consulting Pvt Ltd</v>
      </c>
      <c r="L2781" s="2" t="str">
        <f>VLOOKUP(B2781,'PO with created By ASR'!A:J,7,FALSE)</f>
        <v>A - Mumbai</v>
      </c>
      <c r="M2781" s="2" t="str">
        <f>VLOOKUP(B2781,'PO with created By ASR'!A:K,8,FALSE)</f>
        <v>Purchase Order-Mum</v>
      </c>
      <c r="N2781" t="s">
        <v>36</v>
      </c>
      <c r="P2781" s="2">
        <v>6</v>
      </c>
    </row>
    <row r="2782" s="2" customFormat="1" spans="1:16">
      <c r="A2782" s="8"/>
      <c r="B2782" s="9" t="s">
        <v>3989</v>
      </c>
      <c r="C2782" s="10" t="s">
        <v>250</v>
      </c>
      <c r="D2782" s="11">
        <v>1</v>
      </c>
      <c r="E2782" s="12">
        <v>306000</v>
      </c>
      <c r="F2782" s="13">
        <v>306000</v>
      </c>
      <c r="G2782" s="2">
        <f>VLOOKUP(B2782,'PO with created By ASR'!A:C,3,FALSE)</f>
        <v>45712</v>
      </c>
      <c r="J2782" s="2" t="str">
        <f>VLOOKUP(B2782,'PO with created By ASR'!A:G,4,FALSE)</f>
        <v>Black Hat Talent Solutions &amp; Consulting Pvt Ltd-Mum</v>
      </c>
      <c r="K2782" s="2" t="str">
        <f>VLOOKUP(B2782,'PO with created By ASR'!A:I,6,FALSE)</f>
        <v>10572  Black Hat Talent Solutions &amp; Consulting Pvt Ltd</v>
      </c>
      <c r="L2782" s="2" t="str">
        <f>VLOOKUP(B2782,'PO with created By ASR'!A:J,7,FALSE)</f>
        <v>A - Mumbai</v>
      </c>
      <c r="M2782" s="2" t="str">
        <f>VLOOKUP(B2782,'PO with created By ASR'!A:K,8,FALSE)</f>
        <v>Purchase Order-Mum</v>
      </c>
      <c r="N2782" t="s">
        <v>36</v>
      </c>
      <c r="P2782" s="2">
        <v>6</v>
      </c>
    </row>
    <row r="2783" s="2" customFormat="1" spans="1:16">
      <c r="A2783" s="8"/>
      <c r="B2783" s="9" t="s">
        <v>3989</v>
      </c>
      <c r="C2783" s="10" t="s">
        <v>250</v>
      </c>
      <c r="D2783" s="11">
        <v>1</v>
      </c>
      <c r="E2783" s="12">
        <v>960000</v>
      </c>
      <c r="F2783" s="13">
        <v>960000</v>
      </c>
      <c r="G2783" s="2">
        <f>VLOOKUP(B2783,'PO with created By ASR'!A:C,3,FALSE)</f>
        <v>45712</v>
      </c>
      <c r="J2783" s="2" t="str">
        <f>VLOOKUP(B2783,'PO with created By ASR'!A:G,4,FALSE)</f>
        <v>Black Hat Talent Solutions &amp; Consulting Pvt Ltd-Mum</v>
      </c>
      <c r="K2783" s="2" t="str">
        <f>VLOOKUP(B2783,'PO with created By ASR'!A:I,6,FALSE)</f>
        <v>10572  Black Hat Talent Solutions &amp; Consulting Pvt Ltd</v>
      </c>
      <c r="L2783" s="2" t="str">
        <f>VLOOKUP(B2783,'PO with created By ASR'!A:J,7,FALSE)</f>
        <v>A - Mumbai</v>
      </c>
      <c r="M2783" s="2" t="str">
        <f>VLOOKUP(B2783,'PO with created By ASR'!A:K,8,FALSE)</f>
        <v>Purchase Order-Mum</v>
      </c>
      <c r="N2783" t="s">
        <v>36</v>
      </c>
      <c r="P2783" s="2">
        <v>6</v>
      </c>
    </row>
    <row r="2784" s="2" customFormat="1" spans="1:16">
      <c r="A2784" s="8"/>
      <c r="B2784" s="9" t="s">
        <v>3989</v>
      </c>
      <c r="C2784" s="10" t="s">
        <v>250</v>
      </c>
      <c r="D2784" s="11">
        <v>1</v>
      </c>
      <c r="E2784" s="12">
        <v>1462000</v>
      </c>
      <c r="F2784" s="13">
        <v>1462000</v>
      </c>
      <c r="G2784" s="2">
        <f>VLOOKUP(B2784,'PO with created By ASR'!A:C,3,FALSE)</f>
        <v>45712</v>
      </c>
      <c r="J2784" s="2" t="str">
        <f>VLOOKUP(B2784,'PO with created By ASR'!A:G,4,FALSE)</f>
        <v>Black Hat Talent Solutions &amp; Consulting Pvt Ltd-Mum</v>
      </c>
      <c r="K2784" s="2" t="str">
        <f>VLOOKUP(B2784,'PO with created By ASR'!A:I,6,FALSE)</f>
        <v>10572  Black Hat Talent Solutions &amp; Consulting Pvt Ltd</v>
      </c>
      <c r="L2784" s="2" t="str">
        <f>VLOOKUP(B2784,'PO with created By ASR'!A:J,7,FALSE)</f>
        <v>A - Mumbai</v>
      </c>
      <c r="M2784" s="2" t="str">
        <f>VLOOKUP(B2784,'PO with created By ASR'!A:K,8,FALSE)</f>
        <v>Purchase Order-Mum</v>
      </c>
      <c r="N2784" t="s">
        <v>36</v>
      </c>
      <c r="P2784" s="2">
        <v>6</v>
      </c>
    </row>
    <row r="2785" s="2" customFormat="1" spans="1:16">
      <c r="A2785" s="8"/>
      <c r="B2785" s="9" t="s">
        <v>3990</v>
      </c>
      <c r="C2785" s="10" t="s">
        <v>140</v>
      </c>
      <c r="D2785" s="11">
        <v>1</v>
      </c>
      <c r="E2785" s="12">
        <v>82950</v>
      </c>
      <c r="F2785" s="13">
        <v>82950</v>
      </c>
      <c r="G2785" s="2">
        <f>VLOOKUP(B2785,'PO with created By ASR'!A:C,3,FALSE)</f>
        <v>45712</v>
      </c>
      <c r="J2785" s="2" t="str">
        <f>VLOOKUP(B2785,'PO with created By ASR'!A:G,4,FALSE)</f>
        <v>Bappa Creation-Mum</v>
      </c>
      <c r="K2785" s="2" t="str">
        <f>VLOOKUP(B2785,'PO with created By ASR'!A:I,6,FALSE)</f>
        <v>12645 Bappa Creation</v>
      </c>
      <c r="L2785" s="2" t="str">
        <f>VLOOKUP(B2785,'PO with created By ASR'!A:J,7,FALSE)</f>
        <v>A - Mumbai</v>
      </c>
      <c r="M2785" s="2" t="str">
        <f>VLOOKUP(B2785,'PO with created By ASR'!A:K,8,FALSE)</f>
        <v>Purchase Order-Mum</v>
      </c>
      <c r="N2785" t="s">
        <v>36</v>
      </c>
      <c r="P2785" s="2">
        <v>6</v>
      </c>
    </row>
    <row r="2786" s="2" customFormat="1" spans="1:16">
      <c r="A2786" s="8"/>
      <c r="B2786" s="9" t="s">
        <v>3991</v>
      </c>
      <c r="C2786" s="10" t="s">
        <v>196</v>
      </c>
      <c r="D2786" s="11">
        <v>1</v>
      </c>
      <c r="E2786" s="12">
        <v>7100</v>
      </c>
      <c r="F2786" s="13">
        <v>7100</v>
      </c>
      <c r="G2786" s="2">
        <f>VLOOKUP(B2786,'PO with created By ASR'!A:C,3,FALSE)</f>
        <v>45712</v>
      </c>
      <c r="J2786" s="2" t="str">
        <f>VLOOKUP(B2786,'PO with created By ASR'!A:G,4,FALSE)</f>
        <v>Metro Enterprises (Viral Hirabhai Patel)-Mum</v>
      </c>
      <c r="K2786" s="2" t="str">
        <f>VLOOKUP(B2786,'PO with created By ASR'!A:I,6,FALSE)</f>
        <v>12141 Metro Enterprises (Viral Hirabhai Patel)</v>
      </c>
      <c r="L2786" s="2" t="str">
        <f>VLOOKUP(B2786,'PO with created By ASR'!A:J,7,FALSE)</f>
        <v>A - Mumbai</v>
      </c>
      <c r="M2786" s="2" t="str">
        <f>VLOOKUP(B2786,'PO with created By ASR'!A:K,8,FALSE)</f>
        <v>Purchase Order-Mum</v>
      </c>
      <c r="N2786" t="s">
        <v>36</v>
      </c>
      <c r="P2786" s="2">
        <v>6</v>
      </c>
    </row>
    <row r="2787" s="2" customFormat="1" spans="1:16">
      <c r="A2787" s="8"/>
      <c r="B2787" s="9" t="s">
        <v>3992</v>
      </c>
      <c r="C2787" s="10" t="s">
        <v>196</v>
      </c>
      <c r="D2787" s="11">
        <v>1</v>
      </c>
      <c r="E2787" s="12">
        <v>1960</v>
      </c>
      <c r="F2787" s="13">
        <v>1960</v>
      </c>
      <c r="G2787" s="2">
        <f>VLOOKUP(B2787,'PO with created By ASR'!A:C,3,FALSE)</f>
        <v>45712</v>
      </c>
      <c r="J2787" s="2" t="str">
        <f>VLOOKUP(B2787,'PO with created By ASR'!A:G,4,FALSE)</f>
        <v>Metro Enterprises (Viral Hirabhai Patel)-Mum</v>
      </c>
      <c r="K2787" s="2" t="str">
        <f>VLOOKUP(B2787,'PO with created By ASR'!A:I,6,FALSE)</f>
        <v>12141 Metro Enterprises (Viral Hirabhai Patel)</v>
      </c>
      <c r="L2787" s="2" t="str">
        <f>VLOOKUP(B2787,'PO with created By ASR'!A:J,7,FALSE)</f>
        <v>A - Mumbai</v>
      </c>
      <c r="M2787" s="2" t="str">
        <f>VLOOKUP(B2787,'PO with created By ASR'!A:K,8,FALSE)</f>
        <v>Purchase Order-Mum</v>
      </c>
      <c r="N2787" t="s">
        <v>36</v>
      </c>
      <c r="P2787" s="2">
        <v>6</v>
      </c>
    </row>
    <row r="2788" s="2" customFormat="1" spans="1:16">
      <c r="A2788" s="8"/>
      <c r="B2788" s="9" t="s">
        <v>3993</v>
      </c>
      <c r="C2788" s="10" t="s">
        <v>250</v>
      </c>
      <c r="D2788" s="11">
        <v>1</v>
      </c>
      <c r="E2788" s="12">
        <v>225000</v>
      </c>
      <c r="F2788" s="13">
        <v>225000</v>
      </c>
      <c r="G2788" s="2">
        <f>VLOOKUP(B2788,'PO with created By ASR'!A:C,3,FALSE)</f>
        <v>45712</v>
      </c>
      <c r="J2788" s="2" t="str">
        <f>VLOOKUP(B2788,'PO with created By ASR'!A:G,4,FALSE)</f>
        <v>Black Hat Talent Solutions &amp; Consulting Pvt Ltd-Mum</v>
      </c>
      <c r="K2788" s="2" t="str">
        <f>VLOOKUP(B2788,'PO with created By ASR'!A:I,6,FALSE)</f>
        <v>10572  Black Hat Talent Solutions &amp; Consulting Pvt Ltd</v>
      </c>
      <c r="L2788" s="2" t="str">
        <f>VLOOKUP(B2788,'PO with created By ASR'!A:J,7,FALSE)</f>
        <v>A - Mumbai</v>
      </c>
      <c r="M2788" s="2" t="str">
        <f>VLOOKUP(B2788,'PO with created By ASR'!A:K,8,FALSE)</f>
        <v>Purchase Order-Mum</v>
      </c>
      <c r="N2788" t="s">
        <v>36</v>
      </c>
      <c r="P2788" s="2">
        <v>6</v>
      </c>
    </row>
    <row r="2789" s="2" customFormat="1" spans="1:16">
      <c r="A2789" s="8"/>
      <c r="B2789" s="9" t="s">
        <v>3995</v>
      </c>
      <c r="C2789" s="10" t="s">
        <v>196</v>
      </c>
      <c r="D2789" s="11">
        <v>1</v>
      </c>
      <c r="E2789" s="12">
        <v>7200</v>
      </c>
      <c r="F2789" s="13">
        <v>7200</v>
      </c>
      <c r="G2789" s="2">
        <f>VLOOKUP(B2789,'PO with created By ASR'!A:C,3,FALSE)</f>
        <v>45712</v>
      </c>
      <c r="J2789" s="2" t="str">
        <f>VLOOKUP(B2789,'PO with created By ASR'!A:G,4,FALSE)</f>
        <v>Metro Enterprises (Viral Hirabhai Patel)-Mum</v>
      </c>
      <c r="K2789" s="2" t="str">
        <f>VLOOKUP(B2789,'PO with created By ASR'!A:I,6,FALSE)</f>
        <v>12141 Metro Enterprises (Viral Hirabhai Patel)</v>
      </c>
      <c r="L2789" s="2" t="str">
        <f>VLOOKUP(B2789,'PO with created By ASR'!A:J,7,FALSE)</f>
        <v>A - Mumbai</v>
      </c>
      <c r="M2789" s="2" t="str">
        <f>VLOOKUP(B2789,'PO with created By ASR'!A:K,8,FALSE)</f>
        <v>Purchase Order-Mum</v>
      </c>
      <c r="N2789" t="s">
        <v>36</v>
      </c>
      <c r="P2789" s="2">
        <v>6</v>
      </c>
    </row>
    <row r="2790" s="2" customFormat="1" spans="1:16">
      <c r="A2790" s="8"/>
      <c r="B2790" s="9" t="s">
        <v>3996</v>
      </c>
      <c r="C2790" s="10" t="s">
        <v>140</v>
      </c>
      <c r="D2790" s="11">
        <v>1</v>
      </c>
      <c r="E2790" s="12">
        <v>190050</v>
      </c>
      <c r="F2790" s="13">
        <v>190050</v>
      </c>
      <c r="G2790" s="2">
        <f>VLOOKUP(B2790,'PO with created By ASR'!A:C,3,FALSE)</f>
        <v>45712</v>
      </c>
      <c r="J2790" s="2" t="str">
        <f>VLOOKUP(B2790,'PO with created By ASR'!A:G,4,FALSE)</f>
        <v>Shivam Gift &amp; Novelties-Mum</v>
      </c>
      <c r="K2790" s="2" t="str">
        <f>VLOOKUP(B2790,'PO with created By ASR'!A:I,6,FALSE)</f>
        <v>12973 Shivam Gift &amp; Novelties</v>
      </c>
      <c r="L2790" s="2" t="str">
        <f>VLOOKUP(B2790,'PO with created By ASR'!A:J,7,FALSE)</f>
        <v>A - Mumbai</v>
      </c>
      <c r="M2790" s="2" t="str">
        <f>VLOOKUP(B2790,'PO with created By ASR'!A:K,8,FALSE)</f>
        <v>Purchase Order-Mum</v>
      </c>
      <c r="N2790" t="s">
        <v>36</v>
      </c>
      <c r="P2790" s="2">
        <v>6</v>
      </c>
    </row>
    <row r="2791" s="2" customFormat="1" spans="1:16">
      <c r="A2791" s="8"/>
      <c r="B2791" s="9" t="s">
        <v>3999</v>
      </c>
      <c r="C2791" s="10" t="s">
        <v>151</v>
      </c>
      <c r="D2791" s="11">
        <v>1</v>
      </c>
      <c r="E2791" s="12">
        <v>380000</v>
      </c>
      <c r="F2791" s="13">
        <v>380000</v>
      </c>
      <c r="G2791" s="2">
        <f>VLOOKUP(B2791,'PO with created By ASR'!A:C,3,FALSE)</f>
        <v>45712</v>
      </c>
      <c r="J2791" s="2" t="str">
        <f>VLOOKUP(B2791,'PO with created By ASR'!A:G,4,FALSE)</f>
        <v>Pyramid Production-Mum</v>
      </c>
      <c r="K2791" s="2" t="str">
        <f>VLOOKUP(B2791,'PO with created By ASR'!A:I,6,FALSE)</f>
        <v>12299 Pyramid Production</v>
      </c>
      <c r="L2791" s="2" t="str">
        <f>VLOOKUP(B2791,'PO with created By ASR'!A:J,7,FALSE)</f>
        <v>A - Mumbai</v>
      </c>
      <c r="M2791" s="2" t="str">
        <f>VLOOKUP(B2791,'PO with created By ASR'!A:K,8,FALSE)</f>
        <v>Purchase Order-Mum</v>
      </c>
      <c r="N2791" t="s">
        <v>36</v>
      </c>
      <c r="P2791" s="2">
        <v>6</v>
      </c>
    </row>
    <row r="2792" s="2" customFormat="1" spans="1:16">
      <c r="A2792" s="8"/>
      <c r="B2792" s="9" t="s">
        <v>4000</v>
      </c>
      <c r="C2792" s="10" t="s">
        <v>292</v>
      </c>
      <c r="D2792" s="11">
        <v>1</v>
      </c>
      <c r="E2792" s="12">
        <v>28800</v>
      </c>
      <c r="F2792" s="13">
        <v>28800</v>
      </c>
      <c r="G2792" s="2">
        <f>VLOOKUP(B2792,'PO with created By ASR'!A:C,3,FALSE)</f>
        <v>45712</v>
      </c>
      <c r="J2792" s="2" t="str">
        <f>VLOOKUP(B2792,'PO with created By ASR'!A:G,4,FALSE)</f>
        <v>Emblaze Events (Sunita Harihar Sharma)-Mum</v>
      </c>
      <c r="K2792" s="2" t="str">
        <f>VLOOKUP(B2792,'PO with created By ASR'!A:I,6,FALSE)</f>
        <v>11869 Emblaze Events (Sunita Harihar Sharma)</v>
      </c>
      <c r="L2792" s="2" t="str">
        <f>VLOOKUP(B2792,'PO with created By ASR'!A:J,7,FALSE)</f>
        <v>A - Mumbai</v>
      </c>
      <c r="M2792" s="2" t="str">
        <f>VLOOKUP(B2792,'PO with created By ASR'!A:K,8,FALSE)</f>
        <v>Purchase Order-Mum</v>
      </c>
      <c r="N2792" t="s">
        <v>36</v>
      </c>
      <c r="P2792" s="2">
        <v>6</v>
      </c>
    </row>
    <row r="2793" s="2" customFormat="1" spans="1:16">
      <c r="A2793" s="8"/>
      <c r="B2793" s="9" t="s">
        <v>4001</v>
      </c>
      <c r="C2793" s="10" t="s">
        <v>292</v>
      </c>
      <c r="D2793" s="11">
        <v>1</v>
      </c>
      <c r="E2793" s="12">
        <v>78450</v>
      </c>
      <c r="F2793" s="13">
        <v>78450</v>
      </c>
      <c r="G2793" s="2">
        <f>VLOOKUP(B2793,'PO with created By ASR'!A:C,3,FALSE)</f>
        <v>45712</v>
      </c>
      <c r="J2793" s="2" t="str">
        <f>VLOOKUP(B2793,'PO with created By ASR'!A:G,4,FALSE)</f>
        <v>Emblaze Events (Sunita Harihar Sharma)-Mum</v>
      </c>
      <c r="K2793" s="2" t="str">
        <f>VLOOKUP(B2793,'PO with created By ASR'!A:I,6,FALSE)</f>
        <v>11869 Emblaze Events (Sunita Harihar Sharma)</v>
      </c>
      <c r="L2793" s="2" t="str">
        <f>VLOOKUP(B2793,'PO with created By ASR'!A:J,7,FALSE)</f>
        <v>A - Mumbai</v>
      </c>
      <c r="M2793" s="2" t="str">
        <f>VLOOKUP(B2793,'PO with created By ASR'!A:K,8,FALSE)</f>
        <v>Purchase Order-Mum</v>
      </c>
      <c r="N2793" t="s">
        <v>36</v>
      </c>
      <c r="P2793" s="2">
        <v>6</v>
      </c>
    </row>
    <row r="2794" s="2" customFormat="1" spans="1:16">
      <c r="A2794" s="8"/>
      <c r="B2794" s="9" t="s">
        <v>4003</v>
      </c>
      <c r="C2794" s="10" t="s">
        <v>196</v>
      </c>
      <c r="D2794" s="11">
        <v>1</v>
      </c>
      <c r="E2794" s="12">
        <v>6370</v>
      </c>
      <c r="F2794" s="13">
        <v>6370</v>
      </c>
      <c r="G2794" s="2">
        <f>VLOOKUP(B2794,'PO with created By ASR'!A:C,3,FALSE)</f>
        <v>45712</v>
      </c>
      <c r="J2794" s="2" t="str">
        <f>VLOOKUP(B2794,'PO with created By ASR'!A:G,4,FALSE)</f>
        <v>Noaman Digital Partnership Firm-Mum</v>
      </c>
      <c r="K2794" s="2" t="e">
        <f>VLOOKUP(B2794,'PO with created By ASR'!A:I,6,FALSE)</f>
        <v>#N/A</v>
      </c>
      <c r="L2794" s="2" t="str">
        <f>VLOOKUP(B2794,'PO with created By ASR'!A:J,7,FALSE)</f>
        <v>A - Mumbai</v>
      </c>
      <c r="M2794" s="2" t="str">
        <f>VLOOKUP(B2794,'PO with created By ASR'!A:K,8,FALSE)</f>
        <v>Purchase Order-Mum</v>
      </c>
      <c r="N2794" t="s">
        <v>36</v>
      </c>
      <c r="P2794" s="2">
        <v>6</v>
      </c>
    </row>
    <row r="2795" s="2" customFormat="1" spans="1:16">
      <c r="A2795" s="8"/>
      <c r="B2795" s="9" t="s">
        <v>4004</v>
      </c>
      <c r="C2795" s="10" t="s">
        <v>196</v>
      </c>
      <c r="D2795" s="11">
        <v>1</v>
      </c>
      <c r="E2795" s="12">
        <v>25140</v>
      </c>
      <c r="F2795" s="13">
        <v>25140</v>
      </c>
      <c r="G2795" s="2">
        <f>VLOOKUP(B2795,'PO with created By ASR'!A:C,3,FALSE)</f>
        <v>45712</v>
      </c>
      <c r="J2795" s="2" t="str">
        <f>VLOOKUP(B2795,'PO with created By ASR'!A:G,4,FALSE)</f>
        <v>Noaman Digital Partnership Firm-Mum</v>
      </c>
      <c r="K2795" s="2" t="e">
        <f>VLOOKUP(B2795,'PO with created By ASR'!A:I,6,FALSE)</f>
        <v>#N/A</v>
      </c>
      <c r="L2795" s="2" t="str">
        <f>VLOOKUP(B2795,'PO with created By ASR'!A:J,7,FALSE)</f>
        <v>A - Mumbai</v>
      </c>
      <c r="M2795" s="2" t="str">
        <f>VLOOKUP(B2795,'PO with created By ASR'!A:K,8,FALSE)</f>
        <v>Purchase Order-Mum</v>
      </c>
      <c r="N2795" t="s">
        <v>36</v>
      </c>
      <c r="P2795" s="2">
        <v>6</v>
      </c>
    </row>
    <row r="2796" s="2" customFormat="1" spans="1:16">
      <c r="A2796" s="8"/>
      <c r="B2796" s="9" t="s">
        <v>4005</v>
      </c>
      <c r="C2796" s="10" t="s">
        <v>151</v>
      </c>
      <c r="D2796" s="11">
        <v>1</v>
      </c>
      <c r="E2796" s="12">
        <v>48000</v>
      </c>
      <c r="F2796" s="13">
        <v>48000</v>
      </c>
      <c r="G2796" s="2">
        <f>VLOOKUP(B2796,'PO with created By ASR'!A:C,3,FALSE)</f>
        <v>45712</v>
      </c>
      <c r="J2796" s="2" t="str">
        <f>VLOOKUP(B2796,'PO with created By ASR'!A:G,4,FALSE)</f>
        <v>Fabrile Productions-Mum</v>
      </c>
      <c r="K2796" s="2" t="str">
        <f>VLOOKUP(B2796,'PO with created By ASR'!A:I,6,FALSE)</f>
        <v>11909 Fabrile Productions</v>
      </c>
      <c r="L2796" s="2" t="str">
        <f>VLOOKUP(B2796,'PO with created By ASR'!A:J,7,FALSE)</f>
        <v>A - Mumbai</v>
      </c>
      <c r="M2796" s="2" t="str">
        <f>VLOOKUP(B2796,'PO with created By ASR'!A:K,8,FALSE)</f>
        <v>Purchase Order-Mum</v>
      </c>
      <c r="N2796" t="s">
        <v>36</v>
      </c>
      <c r="P2796" s="2">
        <v>6</v>
      </c>
    </row>
    <row r="2797" s="2" customFormat="1" spans="1:16">
      <c r="A2797" s="8"/>
      <c r="B2797" s="9" t="s">
        <v>4007</v>
      </c>
      <c r="C2797" s="10" t="s">
        <v>371</v>
      </c>
      <c r="D2797" s="11">
        <v>1</v>
      </c>
      <c r="E2797" s="12">
        <v>14500</v>
      </c>
      <c r="F2797" s="13">
        <v>14500</v>
      </c>
      <c r="G2797" s="2">
        <f>VLOOKUP(B2797,'PO with created By ASR'!A:C,3,FALSE)</f>
        <v>45712</v>
      </c>
      <c r="J2797" s="2" t="str">
        <f>VLOOKUP(B2797,'PO with created By ASR'!A:G,4,FALSE)</f>
        <v>Videowaves-Mum</v>
      </c>
      <c r="K2797" s="2" t="e">
        <f>VLOOKUP(B2797,'PO with created By ASR'!A:I,6,FALSE)</f>
        <v>#N/A</v>
      </c>
      <c r="L2797" s="2" t="str">
        <f>VLOOKUP(B2797,'PO with created By ASR'!A:J,7,FALSE)</f>
        <v>A - Mumbai</v>
      </c>
      <c r="M2797" s="2" t="str">
        <f>VLOOKUP(B2797,'PO with created By ASR'!A:K,8,FALSE)</f>
        <v>Purchase Order-Mum</v>
      </c>
      <c r="N2797" t="s">
        <v>36</v>
      </c>
      <c r="P2797" s="2">
        <v>6</v>
      </c>
    </row>
    <row r="2798" s="2" customFormat="1" spans="1:16">
      <c r="A2798" s="8"/>
      <c r="B2798" s="9" t="s">
        <v>4008</v>
      </c>
      <c r="C2798" s="10" t="s">
        <v>151</v>
      </c>
      <c r="D2798" s="11">
        <v>1</v>
      </c>
      <c r="E2798" s="12">
        <v>3900</v>
      </c>
      <c r="F2798" s="13">
        <v>3900</v>
      </c>
      <c r="G2798" s="2">
        <f>VLOOKUP(B2798,'PO with created By ASR'!A:C,3,FALSE)</f>
        <v>45712</v>
      </c>
      <c r="J2798" s="2" t="str">
        <f>VLOOKUP(B2798,'PO with created By ASR'!A:G,4,FALSE)</f>
        <v>M K Interior-Mum</v>
      </c>
      <c r="K2798" s="2" t="str">
        <f>VLOOKUP(B2798,'PO with created By ASR'!A:I,6,FALSE)</f>
        <v>11041 M K Interior</v>
      </c>
      <c r="L2798" s="2" t="str">
        <f>VLOOKUP(B2798,'PO with created By ASR'!A:J,7,FALSE)</f>
        <v>A - Mumbai</v>
      </c>
      <c r="M2798" s="2" t="str">
        <f>VLOOKUP(B2798,'PO with created By ASR'!A:K,8,FALSE)</f>
        <v>Purchase Order-Mum</v>
      </c>
      <c r="N2798" t="s">
        <v>36</v>
      </c>
      <c r="P2798" s="2">
        <v>6</v>
      </c>
    </row>
    <row r="2799" s="2" customFormat="1" spans="1:16">
      <c r="A2799" s="8"/>
      <c r="B2799" s="9" t="s">
        <v>4009</v>
      </c>
      <c r="C2799" s="10" t="s">
        <v>347</v>
      </c>
      <c r="D2799" s="11">
        <v>1</v>
      </c>
      <c r="E2799" s="12">
        <v>27000</v>
      </c>
      <c r="F2799" s="13">
        <v>27000</v>
      </c>
      <c r="G2799" s="2">
        <f>VLOOKUP(B2799,'PO with created By ASR'!A:C,3,FALSE)</f>
        <v>45712</v>
      </c>
      <c r="J2799" s="2" t="str">
        <f>VLOOKUP(B2799,'PO with created By ASR'!A:G,4,FALSE)</f>
        <v>Mahendra Kamble-Mum</v>
      </c>
      <c r="K2799" s="2" t="str">
        <f>VLOOKUP(B2799,'PO with created By ASR'!A:I,6,FALSE)</f>
        <v>10734 Mahendra Kamble</v>
      </c>
      <c r="L2799" s="2" t="str">
        <f>VLOOKUP(B2799,'PO with created By ASR'!A:J,7,FALSE)</f>
        <v>A - Mumbai</v>
      </c>
      <c r="M2799" s="2" t="str">
        <f>VLOOKUP(B2799,'PO with created By ASR'!A:K,8,FALSE)</f>
        <v>Purchase Order-Mum</v>
      </c>
      <c r="N2799" t="s">
        <v>36</v>
      </c>
      <c r="P2799" s="2">
        <v>6</v>
      </c>
    </row>
    <row r="2800" s="2" customFormat="1" spans="1:16">
      <c r="A2800" s="8"/>
      <c r="B2800" s="9" t="s">
        <v>4012</v>
      </c>
      <c r="C2800" s="10" t="s">
        <v>317</v>
      </c>
      <c r="D2800" s="11">
        <v>1</v>
      </c>
      <c r="E2800" s="12">
        <v>325000</v>
      </c>
      <c r="F2800" s="13">
        <v>325000</v>
      </c>
      <c r="G2800" s="2">
        <f>VLOOKUP(B2800,'PO with created By ASR'!A:C,3,FALSE)</f>
        <v>45712</v>
      </c>
      <c r="J2800" s="2" t="str">
        <f>VLOOKUP(B2800,'PO with created By ASR'!A:G,4,FALSE)</f>
        <v>Kalasiddha Creations-Mum</v>
      </c>
      <c r="K2800" s="2" t="str">
        <f>VLOOKUP(B2800,'PO with created By ASR'!A:I,6,FALSE)</f>
        <v>12070 Kalasiddha Creations</v>
      </c>
      <c r="L2800" s="2" t="str">
        <f>VLOOKUP(B2800,'PO with created By ASR'!A:J,7,FALSE)</f>
        <v>A - Mumbai</v>
      </c>
      <c r="M2800" s="2" t="str">
        <f>VLOOKUP(B2800,'PO with created By ASR'!A:K,8,FALSE)</f>
        <v>Purchase Order-Mum</v>
      </c>
      <c r="N2800" t="s">
        <v>36</v>
      </c>
      <c r="P2800" s="2">
        <v>6</v>
      </c>
    </row>
    <row r="2801" s="2" customFormat="1" spans="1:16">
      <c r="A2801" s="8"/>
      <c r="B2801" s="9" t="s">
        <v>4014</v>
      </c>
      <c r="C2801" s="10" t="s">
        <v>151</v>
      </c>
      <c r="D2801" s="11">
        <v>1</v>
      </c>
      <c r="E2801" s="12">
        <v>240000</v>
      </c>
      <c r="F2801" s="13">
        <v>240000</v>
      </c>
      <c r="G2801" s="2">
        <f>VLOOKUP(B2801,'PO with created By ASR'!A:C,3,FALSE)</f>
        <v>45712</v>
      </c>
      <c r="J2801" s="2" t="str">
        <f>VLOOKUP(B2801,'PO with created By ASR'!A:G,4,FALSE)</f>
        <v>A A Fur1044835 Neetu Prakash Poojaryre(Abbas Abdul Hussain Ujjainwala)-Mum</v>
      </c>
      <c r="K2801" s="2" t="str">
        <f>VLOOKUP(B2801,'PO with created By ASR'!A:I,6,FALSE)</f>
        <v>11018 A A Fur1044835 Neetu Prakash Poojaryre (Abbas Abdul Hussain Ujjainwala)</v>
      </c>
      <c r="L2801" s="2" t="str">
        <f>VLOOKUP(B2801,'PO with created By ASR'!A:J,7,FALSE)</f>
        <v>A - Mumbai</v>
      </c>
      <c r="M2801" s="2" t="str">
        <f>VLOOKUP(B2801,'PO with created By ASR'!A:K,8,FALSE)</f>
        <v>Purchase Order-Mum</v>
      </c>
      <c r="N2801" t="s">
        <v>36</v>
      </c>
      <c r="P2801" s="2">
        <v>6</v>
      </c>
    </row>
    <row r="2802" s="2" customFormat="1" spans="1:16">
      <c r="A2802" s="8"/>
      <c r="B2802" s="9" t="s">
        <v>4015</v>
      </c>
      <c r="C2802" s="10" t="s">
        <v>151</v>
      </c>
      <c r="D2802" s="11">
        <v>1</v>
      </c>
      <c r="E2802" s="12">
        <v>380000</v>
      </c>
      <c r="F2802" s="13">
        <v>380000</v>
      </c>
      <c r="G2802" s="2">
        <f>VLOOKUP(B2802,'PO with created By ASR'!A:C,3,FALSE)</f>
        <v>45712</v>
      </c>
      <c r="J2802" s="2" t="str">
        <f>VLOOKUP(B2802,'PO with created By ASR'!A:G,4,FALSE)</f>
        <v>Right Angle Productions LLP-Mum</v>
      </c>
      <c r="K2802" s="2" t="str">
        <f>VLOOKUP(B2802,'PO with created By ASR'!A:I,6,FALSE)</f>
        <v>12810 Right Angle Productions LLP</v>
      </c>
      <c r="L2802" s="2" t="str">
        <f>VLOOKUP(B2802,'PO with created By ASR'!A:J,7,FALSE)</f>
        <v>A - Mumbai</v>
      </c>
      <c r="M2802" s="2" t="str">
        <f>VLOOKUP(B2802,'PO with created By ASR'!A:K,8,FALSE)</f>
        <v>Purchase Order-Mum</v>
      </c>
      <c r="N2802" t="s">
        <v>36</v>
      </c>
      <c r="P2802" s="2">
        <v>6</v>
      </c>
    </row>
    <row r="2803" s="2" customFormat="1" spans="1:16">
      <c r="A2803" s="8"/>
      <c r="B2803" s="9" t="s">
        <v>4016</v>
      </c>
      <c r="C2803" s="10" t="s">
        <v>371</v>
      </c>
      <c r="D2803" s="11">
        <v>1</v>
      </c>
      <c r="E2803" s="12">
        <v>112000</v>
      </c>
      <c r="F2803" s="13">
        <v>112000</v>
      </c>
      <c r="G2803" s="2">
        <f>VLOOKUP(B2803,'PO with created By ASR'!A:C,3,FALSE)</f>
        <v>45712</v>
      </c>
      <c r="J2803" s="2" t="str">
        <f>VLOOKUP(B2803,'PO with created By ASR'!A:G,4,FALSE)</f>
        <v>Sound Decisions.Com-Mum</v>
      </c>
      <c r="K2803" s="2" t="str">
        <f>VLOOKUP(B2803,'PO with created By ASR'!A:I,6,FALSE)</f>
        <v>11133 Sound Decisions.Com</v>
      </c>
      <c r="L2803" s="2" t="str">
        <f>VLOOKUP(B2803,'PO with created By ASR'!A:J,7,FALSE)</f>
        <v>A - Mumbai</v>
      </c>
      <c r="M2803" s="2" t="str">
        <f>VLOOKUP(B2803,'PO with created By ASR'!A:K,8,FALSE)</f>
        <v>Purchase Order-Mum</v>
      </c>
      <c r="N2803" t="s">
        <v>36</v>
      </c>
      <c r="P2803" s="2">
        <v>6</v>
      </c>
    </row>
    <row r="2804" s="2" customFormat="1" spans="1:16">
      <c r="A2804" s="8"/>
      <c r="B2804" s="9" t="s">
        <v>4017</v>
      </c>
      <c r="C2804" s="10" t="s">
        <v>371</v>
      </c>
      <c r="D2804" s="11">
        <v>1</v>
      </c>
      <c r="E2804" s="12">
        <v>9600</v>
      </c>
      <c r="F2804" s="13">
        <v>9600</v>
      </c>
      <c r="G2804" s="2">
        <f>VLOOKUP(B2804,'PO with created By ASR'!A:C,3,FALSE)</f>
        <v>45712</v>
      </c>
      <c r="J2804" s="2" t="str">
        <f>VLOOKUP(B2804,'PO with created By ASR'!A:G,4,FALSE)</f>
        <v>Oriana Communications-Mum</v>
      </c>
      <c r="K2804" s="2" t="str">
        <f>VLOOKUP(B2804,'PO with created By ASR'!A:I,6,FALSE)</f>
        <v>11121 Oriana Communications</v>
      </c>
      <c r="L2804" s="2" t="str">
        <f>VLOOKUP(B2804,'PO with created By ASR'!A:J,7,FALSE)</f>
        <v>A - Mumbai</v>
      </c>
      <c r="M2804" s="2" t="str">
        <f>VLOOKUP(B2804,'PO with created By ASR'!A:K,8,FALSE)</f>
        <v>Purchase Order-Mum</v>
      </c>
      <c r="N2804" t="s">
        <v>36</v>
      </c>
      <c r="P2804" s="2">
        <v>6</v>
      </c>
    </row>
    <row r="2805" s="2" customFormat="1" spans="1:16">
      <c r="A2805" s="8"/>
      <c r="B2805" s="9" t="s">
        <v>4018</v>
      </c>
      <c r="C2805" s="10" t="s">
        <v>371</v>
      </c>
      <c r="D2805" s="11">
        <v>1</v>
      </c>
      <c r="E2805" s="12">
        <v>150000</v>
      </c>
      <c r="F2805" s="13">
        <v>150000</v>
      </c>
      <c r="G2805" s="2">
        <f>VLOOKUP(B2805,'PO with created By ASR'!A:C,3,FALSE)</f>
        <v>45712</v>
      </c>
      <c r="J2805" s="2" t="str">
        <f>VLOOKUP(B2805,'PO with created By ASR'!A:G,4,FALSE)</f>
        <v>Videowaves-Mum</v>
      </c>
      <c r="K2805" s="2" t="e">
        <f>VLOOKUP(B2805,'PO with created By ASR'!A:I,6,FALSE)</f>
        <v>#N/A</v>
      </c>
      <c r="L2805" s="2" t="str">
        <f>VLOOKUP(B2805,'PO with created By ASR'!A:J,7,FALSE)</f>
        <v>A - Mumbai</v>
      </c>
      <c r="M2805" s="2" t="str">
        <f>VLOOKUP(B2805,'PO with created By ASR'!A:K,8,FALSE)</f>
        <v>Purchase Order-Mum</v>
      </c>
      <c r="N2805" t="s">
        <v>36</v>
      </c>
      <c r="P2805" s="2">
        <v>6</v>
      </c>
    </row>
    <row r="2806" s="2" customFormat="1" spans="1:16">
      <c r="A2806" s="8"/>
      <c r="B2806" s="9" t="s">
        <v>4019</v>
      </c>
      <c r="C2806" s="10" t="s">
        <v>990</v>
      </c>
      <c r="D2806" s="11">
        <v>1</v>
      </c>
      <c r="E2806" s="12">
        <v>7000</v>
      </c>
      <c r="F2806" s="13">
        <v>7000</v>
      </c>
      <c r="G2806" s="2">
        <f>VLOOKUP(B2806,'PO with created By ASR'!A:C,3,FALSE)</f>
        <v>45712</v>
      </c>
      <c r="J2806" s="2" t="str">
        <f>VLOOKUP(B2806,'PO with created By ASR'!A:G,4,FALSE)</f>
        <v>Shree Vision-Mum</v>
      </c>
      <c r="K2806" s="2" t="str">
        <f>VLOOKUP(B2806,'PO with created By ASR'!A:I,6,FALSE)</f>
        <v>12401 Shree Vision</v>
      </c>
      <c r="L2806" s="2" t="str">
        <f>VLOOKUP(B2806,'PO with created By ASR'!A:J,7,FALSE)</f>
        <v>A - Mumbai</v>
      </c>
      <c r="M2806" s="2" t="str">
        <f>VLOOKUP(B2806,'PO with created By ASR'!A:K,8,FALSE)</f>
        <v>Purchase Order-Mum</v>
      </c>
      <c r="N2806" t="s">
        <v>36</v>
      </c>
      <c r="P2806" s="2">
        <v>6</v>
      </c>
    </row>
    <row r="2807" s="2" customFormat="1" spans="1:16">
      <c r="A2807" s="8"/>
      <c r="B2807" s="9" t="s">
        <v>4020</v>
      </c>
      <c r="C2807" s="10" t="s">
        <v>371</v>
      </c>
      <c r="D2807" s="11">
        <v>1</v>
      </c>
      <c r="E2807" s="12">
        <v>100000</v>
      </c>
      <c r="F2807" s="13">
        <v>100000</v>
      </c>
      <c r="G2807" s="2">
        <f>VLOOKUP(B2807,'PO with created By ASR'!A:C,3,FALSE)</f>
        <v>45712</v>
      </c>
      <c r="J2807" s="2" t="str">
        <f>VLOOKUP(B2807,'PO with created By ASR'!A:G,4,FALSE)</f>
        <v>Shiv Shakti Enterprises-Mum</v>
      </c>
      <c r="K2807" s="2" t="str">
        <f>VLOOKUP(B2807,'PO with created By ASR'!A:I,6,FALSE)</f>
        <v>11130 Shiv Shakti Enterprises</v>
      </c>
      <c r="L2807" s="2" t="str">
        <f>VLOOKUP(B2807,'PO with created By ASR'!A:J,7,FALSE)</f>
        <v>A - Mumbai</v>
      </c>
      <c r="M2807" s="2" t="str">
        <f>VLOOKUP(B2807,'PO with created By ASR'!A:K,8,FALSE)</f>
        <v>Purchase Order-Mum</v>
      </c>
      <c r="N2807" t="s">
        <v>36</v>
      </c>
      <c r="P2807" s="2">
        <v>6</v>
      </c>
    </row>
    <row r="2808" s="2" customFormat="1" spans="1:16">
      <c r="A2808" s="8"/>
      <c r="B2808" s="9" t="s">
        <v>4021</v>
      </c>
      <c r="C2808" s="10" t="s">
        <v>371</v>
      </c>
      <c r="D2808" s="11">
        <v>1</v>
      </c>
      <c r="E2808" s="12">
        <v>107500</v>
      </c>
      <c r="F2808" s="13">
        <v>107500</v>
      </c>
      <c r="G2808" s="2">
        <f>VLOOKUP(B2808,'PO with created By ASR'!A:C,3,FALSE)</f>
        <v>45712</v>
      </c>
      <c r="J2808" s="2" t="str">
        <f>VLOOKUP(B2808,'PO with created By ASR'!A:G,4,FALSE)</f>
        <v>Events Power-Mum</v>
      </c>
      <c r="K2808" s="2" t="str">
        <f>VLOOKUP(B2808,'PO with created By ASR'!A:I,6,FALSE)</f>
        <v>11895 Events Power</v>
      </c>
      <c r="L2808" s="2" t="str">
        <f>VLOOKUP(B2808,'PO with created By ASR'!A:J,7,FALSE)</f>
        <v>A - Mumbai</v>
      </c>
      <c r="M2808" s="2" t="str">
        <f>VLOOKUP(B2808,'PO with created By ASR'!A:K,8,FALSE)</f>
        <v>Purchase Order-Mum</v>
      </c>
      <c r="N2808" t="s">
        <v>36</v>
      </c>
      <c r="P2808" s="2">
        <v>6</v>
      </c>
    </row>
    <row r="2809" s="2" customFormat="1" spans="1:16">
      <c r="A2809" s="8"/>
      <c r="B2809" s="9" t="s">
        <v>4022</v>
      </c>
      <c r="C2809" s="10" t="s">
        <v>347</v>
      </c>
      <c r="D2809" s="11">
        <v>1</v>
      </c>
      <c r="E2809" s="12">
        <v>16000</v>
      </c>
      <c r="F2809" s="13">
        <v>16000</v>
      </c>
      <c r="G2809" s="2">
        <f>VLOOKUP(B2809,'PO with created By ASR'!A:C,3,FALSE)</f>
        <v>45712</v>
      </c>
      <c r="J2809" s="2" t="str">
        <f>VLOOKUP(B2809,'PO with created By ASR'!A:G,4,FALSE)</f>
        <v>Mahendra Kamble-Mum</v>
      </c>
      <c r="K2809" s="2" t="str">
        <f>VLOOKUP(B2809,'PO with created By ASR'!A:I,6,FALSE)</f>
        <v>10734 Mahendra Kamble</v>
      </c>
      <c r="L2809" s="2" t="str">
        <f>VLOOKUP(B2809,'PO with created By ASR'!A:J,7,FALSE)</f>
        <v>A - Mumbai</v>
      </c>
      <c r="M2809" s="2" t="str">
        <f>VLOOKUP(B2809,'PO with created By ASR'!A:K,8,FALSE)</f>
        <v>Purchase Order-Mum</v>
      </c>
      <c r="N2809" t="s">
        <v>36</v>
      </c>
      <c r="P2809" s="2">
        <v>6</v>
      </c>
    </row>
    <row r="2810" s="2" customFormat="1" spans="1:16">
      <c r="A2810" s="8"/>
      <c r="B2810" s="9" t="s">
        <v>4023</v>
      </c>
      <c r="C2810" s="10" t="s">
        <v>256</v>
      </c>
      <c r="D2810" s="11">
        <v>1</v>
      </c>
      <c r="E2810" s="12">
        <v>30000</v>
      </c>
      <c r="F2810" s="13">
        <v>30000</v>
      </c>
      <c r="G2810" s="2">
        <f>VLOOKUP(B2810,'PO with created By ASR'!A:C,3,FALSE)</f>
        <v>45712</v>
      </c>
      <c r="J2810" s="2" t="str">
        <f>VLOOKUP(B2810,'PO with created By ASR'!A:G,4,FALSE)</f>
        <v>The Indian Performing Right Society Ltd.-Mum</v>
      </c>
      <c r="K2810" s="2" t="e">
        <f>VLOOKUP(B2810,'PO with created By ASR'!A:I,6,FALSE)</f>
        <v>#N/A</v>
      </c>
      <c r="L2810" s="2" t="str">
        <f>VLOOKUP(B2810,'PO with created By ASR'!A:J,7,FALSE)</f>
        <v>A - Mumbai</v>
      </c>
      <c r="M2810" s="2" t="str">
        <f>VLOOKUP(B2810,'PO with created By ASR'!A:K,8,FALSE)</f>
        <v>Purchase Order-Mum</v>
      </c>
      <c r="N2810" t="s">
        <v>36</v>
      </c>
      <c r="P2810" s="2">
        <v>6</v>
      </c>
    </row>
    <row r="2811" s="2" customFormat="1" spans="1:16">
      <c r="A2811" s="8"/>
      <c r="B2811" s="9" t="s">
        <v>4024</v>
      </c>
      <c r="C2811" s="10" t="s">
        <v>256</v>
      </c>
      <c r="D2811" s="11">
        <v>1</v>
      </c>
      <c r="E2811" s="12">
        <v>69375</v>
      </c>
      <c r="F2811" s="13">
        <v>69375</v>
      </c>
      <c r="G2811" s="2">
        <f>VLOOKUP(B2811,'PO with created By ASR'!A:C,3,FALSE)</f>
        <v>45712</v>
      </c>
      <c r="J2811" s="2" t="str">
        <f>VLOOKUP(B2811,'PO with created By ASR'!A:G,4,FALSE)</f>
        <v>Phonographic Performance Limited-Mum</v>
      </c>
      <c r="K2811" s="2" t="e">
        <f>VLOOKUP(B2811,'PO with created By ASR'!A:I,6,FALSE)</f>
        <v>#N/A</v>
      </c>
      <c r="L2811" s="2" t="str">
        <f>VLOOKUP(B2811,'PO with created By ASR'!A:J,7,FALSE)</f>
        <v>A - Mumbai</v>
      </c>
      <c r="M2811" s="2" t="str">
        <f>VLOOKUP(B2811,'PO with created By ASR'!A:K,8,FALSE)</f>
        <v>Purchase Order-Mum</v>
      </c>
      <c r="N2811" t="s">
        <v>36</v>
      </c>
      <c r="P2811" s="2">
        <v>6</v>
      </c>
    </row>
    <row r="2812" s="2" customFormat="1" spans="1:16">
      <c r="A2812" s="8"/>
      <c r="B2812" s="9" t="s">
        <v>4025</v>
      </c>
      <c r="C2812" s="10" t="s">
        <v>256</v>
      </c>
      <c r="D2812" s="11">
        <v>1</v>
      </c>
      <c r="E2812" s="12">
        <v>60000</v>
      </c>
      <c r="F2812" s="13">
        <v>60000</v>
      </c>
      <c r="G2812" s="2">
        <f>VLOOKUP(B2812,'PO with created By ASR'!A:C,3,FALSE)</f>
        <v>45712</v>
      </c>
      <c r="J2812" s="2" t="str">
        <f>VLOOKUP(B2812,'PO with created By ASR'!A:G,4,FALSE)</f>
        <v>Novex Communications Pvt. Ltd.-Mum</v>
      </c>
      <c r="K2812" s="2" t="e">
        <f>VLOOKUP(B2812,'PO with created By ASR'!A:I,6,FALSE)</f>
        <v>#N/A</v>
      </c>
      <c r="L2812" s="2" t="str">
        <f>VLOOKUP(B2812,'PO with created By ASR'!A:J,7,FALSE)</f>
        <v>A - Mumbai</v>
      </c>
      <c r="M2812" s="2" t="str">
        <f>VLOOKUP(B2812,'PO with created By ASR'!A:K,8,FALSE)</f>
        <v>Purchase Order-Mum</v>
      </c>
      <c r="N2812" t="s">
        <v>36</v>
      </c>
      <c r="P2812" s="2">
        <v>6</v>
      </c>
    </row>
    <row r="2813" s="2" customFormat="1" spans="1:16">
      <c r="A2813" s="8"/>
      <c r="B2813" s="9" t="s">
        <v>4026</v>
      </c>
      <c r="C2813" s="10" t="s">
        <v>119</v>
      </c>
      <c r="D2813" s="11">
        <v>1</v>
      </c>
      <c r="E2813" s="12">
        <v>186000</v>
      </c>
      <c r="F2813" s="13">
        <v>186000</v>
      </c>
      <c r="G2813" s="2">
        <f>VLOOKUP(B2813,'PO with created By ASR'!A:C,3,FALSE)</f>
        <v>45712</v>
      </c>
      <c r="J2813" s="2" t="str">
        <f>VLOOKUP(B2813,'PO with created By ASR'!A:G,4,FALSE)</f>
        <v>Wheel Deal-Mum</v>
      </c>
      <c r="K2813" s="2" t="str">
        <f>VLOOKUP(B2813,'PO with created By ASR'!A:I,6,FALSE)</f>
        <v>12981 Wheel Deal</v>
      </c>
      <c r="L2813" s="2" t="str">
        <f>VLOOKUP(B2813,'PO with created By ASR'!A:J,7,FALSE)</f>
        <v>A - Mumbai</v>
      </c>
      <c r="M2813" s="2" t="str">
        <f>VLOOKUP(B2813,'PO with created By ASR'!A:K,8,FALSE)</f>
        <v>Purchase Order-Mum</v>
      </c>
      <c r="N2813" t="s">
        <v>36</v>
      </c>
      <c r="P2813" s="2">
        <v>6</v>
      </c>
    </row>
    <row r="2814" s="2" customFormat="1" spans="1:16">
      <c r="A2814" s="8"/>
      <c r="B2814" s="9" t="s">
        <v>4029</v>
      </c>
      <c r="C2814" s="10" t="s">
        <v>151</v>
      </c>
      <c r="D2814" s="11">
        <v>1</v>
      </c>
      <c r="E2814" s="12">
        <v>100000</v>
      </c>
      <c r="F2814" s="13">
        <v>100000</v>
      </c>
      <c r="G2814" s="2">
        <f>VLOOKUP(B2814,'PO with created By ASR'!A:C,3,FALSE)</f>
        <v>45712</v>
      </c>
      <c r="J2814" s="2" t="str">
        <f>VLOOKUP(B2814,'PO with created By ASR'!A:G,4,FALSE)</f>
        <v>Om Screen Art Events-Mum</v>
      </c>
      <c r="K2814" s="2" t="str">
        <f>VLOOKUP(B2814,'PO with created By ASR'!A:I,6,FALSE)</f>
        <v>12222 Om Screen Art Events</v>
      </c>
      <c r="L2814" s="2" t="str">
        <f>VLOOKUP(B2814,'PO with created By ASR'!A:J,7,FALSE)</f>
        <v>A - Mumbai</v>
      </c>
      <c r="M2814" s="2" t="str">
        <f>VLOOKUP(B2814,'PO with created By ASR'!A:K,8,FALSE)</f>
        <v>Purchase Order-Mum</v>
      </c>
      <c r="N2814" t="s">
        <v>36</v>
      </c>
      <c r="P2814" s="2">
        <v>6</v>
      </c>
    </row>
    <row r="2815" s="2" customFormat="1" spans="1:16">
      <c r="A2815" s="8"/>
      <c r="B2815" s="9" t="s">
        <v>4030</v>
      </c>
      <c r="C2815" s="10" t="s">
        <v>151</v>
      </c>
      <c r="D2815" s="11">
        <v>1</v>
      </c>
      <c r="E2815" s="12">
        <v>263000</v>
      </c>
      <c r="F2815" s="13">
        <v>263000</v>
      </c>
      <c r="G2815" s="2">
        <f>VLOOKUP(B2815,'PO with created By ASR'!A:C,3,FALSE)</f>
        <v>45712</v>
      </c>
      <c r="J2815" s="2" t="str">
        <f>VLOOKUP(B2815,'PO with created By ASR'!A:G,4,FALSE)</f>
        <v>Woodcraft Production-Mum</v>
      </c>
      <c r="K2815" s="2" t="str">
        <f>VLOOKUP(B2815,'PO with created By ASR'!A:I,6,FALSE)</f>
        <v>12630 Woodcraft Production</v>
      </c>
      <c r="L2815" s="2" t="str">
        <f>VLOOKUP(B2815,'PO with created By ASR'!A:J,7,FALSE)</f>
        <v>A - Mumbai</v>
      </c>
      <c r="M2815" s="2" t="str">
        <f>VLOOKUP(B2815,'PO with created By ASR'!A:K,8,FALSE)</f>
        <v>Purchase Order-Mum</v>
      </c>
      <c r="N2815" t="s">
        <v>36</v>
      </c>
      <c r="P2815" s="2">
        <v>6</v>
      </c>
    </row>
    <row r="2816" s="2" customFormat="1" spans="1:16">
      <c r="A2816" s="8"/>
      <c r="B2816" s="9" t="s">
        <v>4031</v>
      </c>
      <c r="C2816" s="10" t="s">
        <v>151</v>
      </c>
      <c r="D2816" s="11">
        <v>1</v>
      </c>
      <c r="E2816" s="12">
        <v>42800</v>
      </c>
      <c r="F2816" s="13">
        <v>42800</v>
      </c>
      <c r="G2816" s="2">
        <f>VLOOKUP(B2816,'PO with created By ASR'!A:C,3,FALSE)</f>
        <v>45712</v>
      </c>
      <c r="J2816" s="2" t="str">
        <f>VLOOKUP(B2816,'PO with created By ASR'!A:G,4,FALSE)</f>
        <v>A A Fur1044835 Neetu Prakash Poojaryre(Abbas Abdul Hussain Ujjainwala)-Mum</v>
      </c>
      <c r="K2816" s="2" t="str">
        <f>VLOOKUP(B2816,'PO with created By ASR'!A:I,6,FALSE)</f>
        <v>11018 A A Fur1044835 Neetu Prakash Poojaryre (Abbas Abdul Hussain Ujjainwala)</v>
      </c>
      <c r="L2816" s="2" t="str">
        <f>VLOOKUP(B2816,'PO with created By ASR'!A:J,7,FALSE)</f>
        <v>A - Mumbai</v>
      </c>
      <c r="M2816" s="2" t="str">
        <f>VLOOKUP(B2816,'PO with created By ASR'!A:K,8,FALSE)</f>
        <v>Purchase Order-Mum</v>
      </c>
      <c r="N2816" t="s">
        <v>36</v>
      </c>
      <c r="P2816" s="2">
        <v>6</v>
      </c>
    </row>
    <row r="2817" s="2" customFormat="1" spans="1:16">
      <c r="A2817" s="8"/>
      <c r="B2817" s="9" t="s">
        <v>4032</v>
      </c>
      <c r="C2817" s="10" t="s">
        <v>151</v>
      </c>
      <c r="D2817" s="11">
        <v>1</v>
      </c>
      <c r="E2817" s="12">
        <v>14550</v>
      </c>
      <c r="F2817" s="13">
        <v>14550</v>
      </c>
      <c r="G2817" s="2">
        <f>VLOOKUP(B2817,'PO with created By ASR'!A:C,3,FALSE)</f>
        <v>45712</v>
      </c>
      <c r="J2817" s="2" t="str">
        <f>VLOOKUP(B2817,'PO with created By ASR'!A:G,4,FALSE)</f>
        <v>Rentastic-Mum</v>
      </c>
      <c r="K2817" s="2" t="e">
        <f>VLOOKUP(B2817,'PO with created By ASR'!A:I,6,FALSE)</f>
        <v>#N/A</v>
      </c>
      <c r="L2817" s="2" t="str">
        <f>VLOOKUP(B2817,'PO with created By ASR'!A:J,7,FALSE)</f>
        <v>A - Mumbai</v>
      </c>
      <c r="M2817" s="2" t="str">
        <f>VLOOKUP(B2817,'PO with created By ASR'!A:K,8,FALSE)</f>
        <v>Purchase Order-Mum</v>
      </c>
      <c r="N2817" t="s">
        <v>36</v>
      </c>
      <c r="P2817" s="2">
        <v>6</v>
      </c>
    </row>
    <row r="2818" s="2" customFormat="1" spans="1:16">
      <c r="A2818" s="8"/>
      <c r="B2818" s="9" t="s">
        <v>4033</v>
      </c>
      <c r="C2818" s="10" t="s">
        <v>151</v>
      </c>
      <c r="D2818" s="11">
        <v>1</v>
      </c>
      <c r="E2818" s="12">
        <v>28000</v>
      </c>
      <c r="F2818" s="13">
        <v>28000</v>
      </c>
      <c r="G2818" s="2">
        <f>VLOOKUP(B2818,'PO with created By ASR'!A:C,3,FALSE)</f>
        <v>45712</v>
      </c>
      <c r="J2818" s="2" t="str">
        <f>VLOOKUP(B2818,'PO with created By ASR'!A:G,4,FALSE)</f>
        <v>Celebrity Decorator (Ashok Dudhnath Chawan)-Mum</v>
      </c>
      <c r="K2818" s="2" t="str">
        <f>VLOOKUP(B2818,'PO with created By ASR'!A:I,6,FALSE)</f>
        <v>11756 Celebrity Decorator (Ashok Dudhnath Chawan)</v>
      </c>
      <c r="L2818" s="2" t="str">
        <f>VLOOKUP(B2818,'PO with created By ASR'!A:J,7,FALSE)</f>
        <v>A - Mumbai</v>
      </c>
      <c r="M2818" s="2" t="str">
        <f>VLOOKUP(B2818,'PO with created By ASR'!A:K,8,FALSE)</f>
        <v>Purchase Order-Mum</v>
      </c>
      <c r="N2818" t="s">
        <v>36</v>
      </c>
      <c r="P2818" s="2">
        <v>6</v>
      </c>
    </row>
    <row r="2819" s="2" customFormat="1" spans="1:16">
      <c r="A2819" s="8"/>
      <c r="B2819" s="9" t="s">
        <v>4036</v>
      </c>
      <c r="C2819" s="10" t="s">
        <v>371</v>
      </c>
      <c r="D2819" s="11">
        <v>1</v>
      </c>
      <c r="E2819" s="12">
        <v>202500</v>
      </c>
      <c r="F2819" s="13">
        <v>202500</v>
      </c>
      <c r="G2819" s="2">
        <f>VLOOKUP(B2819,'PO with created By ASR'!A:C,3,FALSE)</f>
        <v>45712</v>
      </c>
      <c r="J2819" s="2" t="str">
        <f>VLOOKUP(B2819,'PO with created By ASR'!A:G,4,FALSE)</f>
        <v>Global Production Services-Mum</v>
      </c>
      <c r="K2819" s="2" t="str">
        <f>VLOOKUP(B2819,'PO with created By ASR'!A:I,6,FALSE)</f>
        <v>11958 Global Production  Services</v>
      </c>
      <c r="L2819" s="2" t="str">
        <f>VLOOKUP(B2819,'PO with created By ASR'!A:J,7,FALSE)</f>
        <v>A - Mumbai</v>
      </c>
      <c r="M2819" s="2" t="str">
        <f>VLOOKUP(B2819,'PO with created By ASR'!A:K,8,FALSE)</f>
        <v>Purchase Order-Mum</v>
      </c>
      <c r="N2819" t="s">
        <v>36</v>
      </c>
      <c r="P2819" s="2">
        <v>6</v>
      </c>
    </row>
    <row r="2820" s="2" customFormat="1" spans="1:16">
      <c r="A2820" s="8"/>
      <c r="B2820" s="9" t="s">
        <v>4037</v>
      </c>
      <c r="C2820" s="10" t="s">
        <v>371</v>
      </c>
      <c r="D2820" s="11">
        <v>1</v>
      </c>
      <c r="E2820" s="12">
        <v>225000</v>
      </c>
      <c r="F2820" s="13">
        <v>225000</v>
      </c>
      <c r="G2820" s="2">
        <f>VLOOKUP(B2820,'PO with created By ASR'!A:C,3,FALSE)</f>
        <v>45712</v>
      </c>
      <c r="J2820" s="2" t="str">
        <f>VLOOKUP(B2820,'PO with created By ASR'!A:G,4,FALSE)</f>
        <v>Shiv Shakti Enterprises-Mum</v>
      </c>
      <c r="K2820" s="2" t="str">
        <f>VLOOKUP(B2820,'PO with created By ASR'!A:I,6,FALSE)</f>
        <v>11130 Shiv Shakti Enterprises</v>
      </c>
      <c r="L2820" s="2" t="str">
        <f>VLOOKUP(B2820,'PO with created By ASR'!A:J,7,FALSE)</f>
        <v>A - Mumbai</v>
      </c>
      <c r="M2820" s="2" t="str">
        <f>VLOOKUP(B2820,'PO with created By ASR'!A:K,8,FALSE)</f>
        <v>Purchase Order-Mum</v>
      </c>
      <c r="N2820" t="s">
        <v>36</v>
      </c>
      <c r="P2820" s="2">
        <v>6</v>
      </c>
    </row>
    <row r="2821" s="2" customFormat="1" spans="1:16">
      <c r="A2821" s="8"/>
      <c r="B2821" s="9" t="s">
        <v>4038</v>
      </c>
      <c r="C2821" s="10" t="s">
        <v>371</v>
      </c>
      <c r="D2821" s="11">
        <v>1</v>
      </c>
      <c r="E2821" s="12">
        <v>200000</v>
      </c>
      <c r="F2821" s="13">
        <v>200000</v>
      </c>
      <c r="G2821" s="2">
        <f>VLOOKUP(B2821,'PO with created By ASR'!A:C,3,FALSE)</f>
        <v>45712</v>
      </c>
      <c r="J2821" s="2" t="str">
        <f>VLOOKUP(B2821,'PO with created By ASR'!A:G,4,FALSE)</f>
        <v>Om Audio Visual India-Niral Mehul Mehta-Mum</v>
      </c>
      <c r="K2821" s="2" t="e">
        <f>VLOOKUP(B2821,'PO with created By ASR'!A:I,6,FALSE)</f>
        <v>#N/A</v>
      </c>
      <c r="L2821" s="2" t="str">
        <f>VLOOKUP(B2821,'PO with created By ASR'!A:J,7,FALSE)</f>
        <v>A - Mumbai</v>
      </c>
      <c r="M2821" s="2" t="str">
        <f>VLOOKUP(B2821,'PO with created By ASR'!A:K,8,FALSE)</f>
        <v>Purchase Order-Mum</v>
      </c>
      <c r="N2821" t="s">
        <v>36</v>
      </c>
      <c r="P2821" s="2">
        <v>6</v>
      </c>
    </row>
    <row r="2822" s="2" customFormat="1" spans="1:16">
      <c r="A2822" s="8"/>
      <c r="B2822" s="9" t="s">
        <v>4039</v>
      </c>
      <c r="C2822" s="10" t="s">
        <v>371</v>
      </c>
      <c r="D2822" s="11">
        <v>1</v>
      </c>
      <c r="E2822" s="12">
        <v>32000</v>
      </c>
      <c r="F2822" s="13">
        <v>32000</v>
      </c>
      <c r="G2822" s="2">
        <f>VLOOKUP(B2822,'PO with created By ASR'!A:C,3,FALSE)</f>
        <v>45712</v>
      </c>
      <c r="J2822" s="2" t="str">
        <f>VLOOKUP(B2822,'PO with created By ASR'!A:G,4,FALSE)</f>
        <v>Bizzaro Event-Mum</v>
      </c>
      <c r="K2822" s="2" t="str">
        <f>VLOOKUP(B2822,'PO with created By ASR'!A:I,6,FALSE)</f>
        <v>11733 Bizzaro Event</v>
      </c>
      <c r="L2822" s="2" t="str">
        <f>VLOOKUP(B2822,'PO with created By ASR'!A:J,7,FALSE)</f>
        <v>A - Mumbai</v>
      </c>
      <c r="M2822" s="2" t="str">
        <f>VLOOKUP(B2822,'PO with created By ASR'!A:K,8,FALSE)</f>
        <v>Purchase Order-Mum</v>
      </c>
      <c r="N2822" t="s">
        <v>36</v>
      </c>
      <c r="P2822" s="2">
        <v>6</v>
      </c>
    </row>
    <row r="2823" s="2" customFormat="1" spans="1:16">
      <c r="A2823" s="8"/>
      <c r="B2823" s="9" t="s">
        <v>4040</v>
      </c>
      <c r="C2823" s="10" t="s">
        <v>401</v>
      </c>
      <c r="D2823" s="11">
        <v>1</v>
      </c>
      <c r="E2823" s="12">
        <v>26000</v>
      </c>
      <c r="F2823" s="13">
        <v>26000</v>
      </c>
      <c r="G2823" s="2">
        <f>VLOOKUP(B2823,'PO with created By ASR'!A:C,3,FALSE)</f>
        <v>45712</v>
      </c>
      <c r="J2823" s="2" t="str">
        <f>VLOOKUP(B2823,'PO with created By ASR'!A:G,4,FALSE)</f>
        <v>Vinit Video Vision-Mum</v>
      </c>
      <c r="K2823" s="2" t="str">
        <f>VLOOKUP(B2823,'PO with created By ASR'!A:I,6,FALSE)</f>
        <v>10235 Vinit Video Vision</v>
      </c>
      <c r="L2823" s="2" t="str">
        <f>VLOOKUP(B2823,'PO with created By ASR'!A:J,7,FALSE)</f>
        <v>A - Mumbai</v>
      </c>
      <c r="M2823" s="2" t="str">
        <f>VLOOKUP(B2823,'PO with created By ASR'!A:K,8,FALSE)</f>
        <v>Purchase Order-Mum</v>
      </c>
      <c r="N2823" t="s">
        <v>36</v>
      </c>
      <c r="P2823" s="2">
        <v>6</v>
      </c>
    </row>
    <row r="2824" s="2" customFormat="1" spans="1:16">
      <c r="A2824" s="8"/>
      <c r="B2824" s="9" t="s">
        <v>4041</v>
      </c>
      <c r="C2824" s="10" t="s">
        <v>371</v>
      </c>
      <c r="D2824" s="11">
        <v>1</v>
      </c>
      <c r="E2824" s="12">
        <v>15000</v>
      </c>
      <c r="F2824" s="13">
        <v>15000</v>
      </c>
      <c r="G2824" s="2">
        <f>VLOOKUP(B2824,'PO with created By ASR'!A:C,3,FALSE)</f>
        <v>45712</v>
      </c>
      <c r="J2824" s="2" t="str">
        <f>VLOOKUP(B2824,'PO with created By ASR'!A:G,4,FALSE)</f>
        <v>Sudesh Patankar-Mum</v>
      </c>
      <c r="K2824" s="2" t="str">
        <f>VLOOKUP(B2824,'PO with created By ASR'!A:I,6,FALSE)</f>
        <v>10941 Sudesh Patankar</v>
      </c>
      <c r="L2824" s="2" t="str">
        <f>VLOOKUP(B2824,'PO with created By ASR'!A:J,7,FALSE)</f>
        <v>A - Mumbai</v>
      </c>
      <c r="M2824" s="2" t="str">
        <f>VLOOKUP(B2824,'PO with created By ASR'!A:K,8,FALSE)</f>
        <v>Purchase Order-Mum</v>
      </c>
      <c r="N2824" t="s">
        <v>36</v>
      </c>
      <c r="P2824" s="2">
        <v>6</v>
      </c>
    </row>
    <row r="2825" s="2" customFormat="1" spans="1:16">
      <c r="A2825" s="8"/>
      <c r="B2825" s="9" t="s">
        <v>4042</v>
      </c>
      <c r="C2825" s="10" t="s">
        <v>371</v>
      </c>
      <c r="D2825" s="11">
        <v>1</v>
      </c>
      <c r="E2825" s="12">
        <v>22500</v>
      </c>
      <c r="F2825" s="13">
        <v>22500</v>
      </c>
      <c r="G2825" s="2">
        <f>VLOOKUP(B2825,'PO with created By ASR'!A:C,3,FALSE)</f>
        <v>45712</v>
      </c>
      <c r="J2825" s="2" t="str">
        <f>VLOOKUP(B2825,'PO with created By ASR'!A:G,4,FALSE)</f>
        <v>A S Teleprompters-Mum</v>
      </c>
      <c r="K2825" s="2" t="str">
        <f>VLOOKUP(B2825,'PO with created By ASR'!A:I,6,FALSE)</f>
        <v>10124 A S Teleprompters</v>
      </c>
      <c r="L2825" s="2" t="str">
        <f>VLOOKUP(B2825,'PO with created By ASR'!A:J,7,FALSE)</f>
        <v>A - Mumbai</v>
      </c>
      <c r="M2825" s="2" t="str">
        <f>VLOOKUP(B2825,'PO with created By ASR'!A:K,8,FALSE)</f>
        <v>Purchase Order-Mum</v>
      </c>
      <c r="N2825" t="s">
        <v>36</v>
      </c>
      <c r="P2825" s="2">
        <v>6</v>
      </c>
    </row>
    <row r="2826" s="2" customFormat="1" spans="1:16">
      <c r="A2826" s="8"/>
      <c r="B2826" s="9" t="s">
        <v>4043</v>
      </c>
      <c r="C2826" s="10" t="s">
        <v>292</v>
      </c>
      <c r="D2826" s="11">
        <v>1</v>
      </c>
      <c r="E2826" s="12">
        <v>2000</v>
      </c>
      <c r="F2826" s="13">
        <v>2000</v>
      </c>
      <c r="G2826" s="2">
        <f>VLOOKUP(B2826,'PO with created By ASR'!A:C,3,FALSE)</f>
        <v>45712</v>
      </c>
      <c r="J2826" s="2" t="str">
        <f>VLOOKUP(B2826,'PO with created By ASR'!A:G,4,FALSE)</f>
        <v>Aditya Sawant Photography-Mum</v>
      </c>
      <c r="K2826" s="2" t="str">
        <f>VLOOKUP(B2826,'PO with created By ASR'!A:I,6,FALSE)</f>
        <v>12988 Aditya Sawant Photography</v>
      </c>
      <c r="L2826" s="2" t="str">
        <f>VLOOKUP(B2826,'PO with created By ASR'!A:J,7,FALSE)</f>
        <v>A - Mumbai</v>
      </c>
      <c r="M2826" s="2" t="str">
        <f>VLOOKUP(B2826,'PO with created By ASR'!A:K,8,FALSE)</f>
        <v>Purchase Order-Mum</v>
      </c>
      <c r="N2826" t="s">
        <v>36</v>
      </c>
      <c r="P2826" s="2">
        <v>6</v>
      </c>
    </row>
    <row r="2827" s="2" customFormat="1" spans="1:16">
      <c r="A2827" s="8"/>
      <c r="B2827" s="9" t="s">
        <v>4046</v>
      </c>
      <c r="C2827" s="10" t="s">
        <v>371</v>
      </c>
      <c r="D2827" s="11">
        <v>1</v>
      </c>
      <c r="E2827" s="12">
        <v>6500</v>
      </c>
      <c r="F2827" s="13">
        <v>6500</v>
      </c>
      <c r="G2827" s="2">
        <f>VLOOKUP(B2827,'PO with created By ASR'!A:C,3,FALSE)</f>
        <v>45712</v>
      </c>
      <c r="J2827" s="2" t="str">
        <f>VLOOKUP(B2827,'PO with created By ASR'!A:G,4,FALSE)</f>
        <v>Oriana Communications-Mum</v>
      </c>
      <c r="K2827" s="2" t="str">
        <f>VLOOKUP(B2827,'PO with created By ASR'!A:I,6,FALSE)</f>
        <v>11121 Oriana Communications</v>
      </c>
      <c r="L2827" s="2" t="str">
        <f>VLOOKUP(B2827,'PO with created By ASR'!A:J,7,FALSE)</f>
        <v>A - Mumbai</v>
      </c>
      <c r="M2827" s="2" t="str">
        <f>VLOOKUP(B2827,'PO with created By ASR'!A:K,8,FALSE)</f>
        <v>Purchase Order-Mum</v>
      </c>
      <c r="N2827" t="s">
        <v>36</v>
      </c>
      <c r="P2827" s="2">
        <v>6</v>
      </c>
    </row>
    <row r="2828" s="2" customFormat="1" spans="1:16">
      <c r="A2828" s="8"/>
      <c r="B2828" s="9" t="s">
        <v>4047</v>
      </c>
      <c r="C2828" s="10" t="s">
        <v>990</v>
      </c>
      <c r="D2828" s="11">
        <v>1</v>
      </c>
      <c r="E2828" s="12">
        <v>6000</v>
      </c>
      <c r="F2828" s="13">
        <v>6000</v>
      </c>
      <c r="G2828" s="2">
        <f>VLOOKUP(B2828,'PO with created By ASR'!A:C,3,FALSE)</f>
        <v>45712</v>
      </c>
      <c r="J2828" s="2" t="str">
        <f>VLOOKUP(B2828,'PO with created By ASR'!A:G,4,FALSE)</f>
        <v>Shree Vision-Mum</v>
      </c>
      <c r="K2828" s="2" t="str">
        <f>VLOOKUP(B2828,'PO with created By ASR'!A:I,6,FALSE)</f>
        <v>12401 Shree Vision</v>
      </c>
      <c r="L2828" s="2" t="str">
        <f>VLOOKUP(B2828,'PO with created By ASR'!A:J,7,FALSE)</f>
        <v>A - Mumbai</v>
      </c>
      <c r="M2828" s="2" t="str">
        <f>VLOOKUP(B2828,'PO with created By ASR'!A:K,8,FALSE)</f>
        <v>Purchase Order-Mum</v>
      </c>
      <c r="N2828" t="s">
        <v>36</v>
      </c>
      <c r="P2828" s="2">
        <v>6</v>
      </c>
    </row>
    <row r="2829" s="2" customFormat="1" spans="1:16">
      <c r="A2829" s="8"/>
      <c r="B2829" s="9" t="s">
        <v>4048</v>
      </c>
      <c r="C2829" s="10" t="s">
        <v>371</v>
      </c>
      <c r="D2829" s="11">
        <v>1</v>
      </c>
      <c r="E2829" s="12">
        <v>20000</v>
      </c>
      <c r="F2829" s="13">
        <v>20000</v>
      </c>
      <c r="G2829" s="2">
        <f>VLOOKUP(B2829,'PO with created By ASR'!A:C,3,FALSE)</f>
        <v>45712</v>
      </c>
      <c r="J2829" s="2" t="str">
        <f>VLOOKUP(B2829,'PO with created By ASR'!A:G,4,FALSE)</f>
        <v>Ultimate Source-Mum</v>
      </c>
      <c r="K2829" s="2" t="str">
        <f>VLOOKUP(B2829,'PO with created By ASR'!A:I,6,FALSE)</f>
        <v>12568 Ultimate Source</v>
      </c>
      <c r="L2829" s="2" t="str">
        <f>VLOOKUP(B2829,'PO with created By ASR'!A:J,7,FALSE)</f>
        <v>A - Mumbai</v>
      </c>
      <c r="M2829" s="2" t="str">
        <f>VLOOKUP(B2829,'PO with created By ASR'!A:K,8,FALSE)</f>
        <v>Purchase Order-Mum</v>
      </c>
      <c r="N2829" t="s">
        <v>36</v>
      </c>
      <c r="P2829" s="2">
        <v>6</v>
      </c>
    </row>
    <row r="2830" s="2" customFormat="1" spans="1:16">
      <c r="A2830" s="8"/>
      <c r="B2830" s="9" t="s">
        <v>4049</v>
      </c>
      <c r="C2830" s="10" t="s">
        <v>1176</v>
      </c>
      <c r="D2830" s="11">
        <v>1</v>
      </c>
      <c r="E2830" s="12">
        <v>138275</v>
      </c>
      <c r="F2830" s="13">
        <v>138275</v>
      </c>
      <c r="G2830" s="2">
        <f>VLOOKUP(B2830,'PO with created By ASR'!A:C,3,FALSE)</f>
        <v>45712</v>
      </c>
      <c r="J2830" s="2" t="str">
        <f>VLOOKUP(B2830,'PO with created By ASR'!A:G,4,FALSE)</f>
        <v>The Westin Mumbai Powai Lake (Chalet Hotels Ltd)-Mum</v>
      </c>
      <c r="K2830" s="2" t="str">
        <f>VLOOKUP(B2830,'PO with created By ASR'!A:I,6,FALSE)</f>
        <v>10471  The Westin Mumbai Powai Lake (Chalet Hotels Ltd)</v>
      </c>
      <c r="L2830" s="2" t="str">
        <f>VLOOKUP(B2830,'PO with created By ASR'!A:J,7,FALSE)</f>
        <v>A - Mumbai</v>
      </c>
      <c r="M2830" s="2" t="str">
        <f>VLOOKUP(B2830,'PO with created By ASR'!A:K,8,FALSE)</f>
        <v>Purchase Order-Mum</v>
      </c>
      <c r="N2830" t="s">
        <v>36</v>
      </c>
      <c r="P2830" s="2">
        <v>6</v>
      </c>
    </row>
    <row r="2831" s="2" customFormat="1" spans="1:16">
      <c r="A2831" s="8"/>
      <c r="B2831" s="9" t="s">
        <v>4049</v>
      </c>
      <c r="C2831" s="10" t="s">
        <v>276</v>
      </c>
      <c r="D2831" s="11">
        <v>1</v>
      </c>
      <c r="E2831" s="12">
        <v>2227605</v>
      </c>
      <c r="F2831" s="13">
        <v>2227605</v>
      </c>
      <c r="G2831" s="2">
        <f>VLOOKUP(B2831,'PO with created By ASR'!A:C,3,FALSE)</f>
        <v>45712</v>
      </c>
      <c r="J2831" s="2" t="str">
        <f>VLOOKUP(B2831,'PO with created By ASR'!A:G,4,FALSE)</f>
        <v>The Westin Mumbai Powai Lake (Chalet Hotels Ltd)-Mum</v>
      </c>
      <c r="K2831" s="2" t="str">
        <f>VLOOKUP(B2831,'PO with created By ASR'!A:I,6,FALSE)</f>
        <v>10471  The Westin Mumbai Powai Lake (Chalet Hotels Ltd)</v>
      </c>
      <c r="L2831" s="2" t="str">
        <f>VLOOKUP(B2831,'PO with created By ASR'!A:J,7,FALSE)</f>
        <v>A - Mumbai</v>
      </c>
      <c r="M2831" s="2" t="str">
        <f>VLOOKUP(B2831,'PO with created By ASR'!A:K,8,FALSE)</f>
        <v>Purchase Order-Mum</v>
      </c>
      <c r="N2831" t="s">
        <v>36</v>
      </c>
      <c r="P2831" s="2">
        <v>6</v>
      </c>
    </row>
    <row r="2832" s="2" customFormat="1" spans="1:16">
      <c r="A2832" s="8"/>
      <c r="B2832" s="9" t="s">
        <v>4049</v>
      </c>
      <c r="C2832" s="10" t="s">
        <v>276</v>
      </c>
      <c r="D2832" s="11">
        <v>1</v>
      </c>
      <c r="E2832" s="12">
        <v>328080</v>
      </c>
      <c r="F2832" s="13">
        <v>328080</v>
      </c>
      <c r="G2832" s="2">
        <f>VLOOKUP(B2832,'PO with created By ASR'!A:C,3,FALSE)</f>
        <v>45712</v>
      </c>
      <c r="J2832" s="2" t="str">
        <f>VLOOKUP(B2832,'PO with created By ASR'!A:G,4,FALSE)</f>
        <v>The Westin Mumbai Powai Lake (Chalet Hotels Ltd)-Mum</v>
      </c>
      <c r="K2832" s="2" t="str">
        <f>VLOOKUP(B2832,'PO with created By ASR'!A:I,6,FALSE)</f>
        <v>10471  The Westin Mumbai Powai Lake (Chalet Hotels Ltd)</v>
      </c>
      <c r="L2832" s="2" t="str">
        <f>VLOOKUP(B2832,'PO with created By ASR'!A:J,7,FALSE)</f>
        <v>A - Mumbai</v>
      </c>
      <c r="M2832" s="2" t="str">
        <f>VLOOKUP(B2832,'PO with created By ASR'!A:K,8,FALSE)</f>
        <v>Purchase Order-Mum</v>
      </c>
      <c r="N2832" t="s">
        <v>36</v>
      </c>
      <c r="P2832" s="2">
        <v>6</v>
      </c>
    </row>
    <row r="2833" s="2" customFormat="1" spans="1:16">
      <c r="A2833" s="8"/>
      <c r="B2833" s="9" t="s">
        <v>4049</v>
      </c>
      <c r="C2833" s="10" t="s">
        <v>1239</v>
      </c>
      <c r="D2833" s="11">
        <v>1</v>
      </c>
      <c r="E2833" s="12">
        <v>733000</v>
      </c>
      <c r="F2833" s="13">
        <v>733000</v>
      </c>
      <c r="G2833" s="2">
        <f>VLOOKUP(B2833,'PO with created By ASR'!A:C,3,FALSE)</f>
        <v>45712</v>
      </c>
      <c r="J2833" s="2" t="str">
        <f>VLOOKUP(B2833,'PO with created By ASR'!A:G,4,FALSE)</f>
        <v>The Westin Mumbai Powai Lake (Chalet Hotels Ltd)-Mum</v>
      </c>
      <c r="K2833" s="2" t="str">
        <f>VLOOKUP(B2833,'PO with created By ASR'!A:I,6,FALSE)</f>
        <v>10471  The Westin Mumbai Powai Lake (Chalet Hotels Ltd)</v>
      </c>
      <c r="L2833" s="2" t="str">
        <f>VLOOKUP(B2833,'PO with created By ASR'!A:J,7,FALSE)</f>
        <v>A - Mumbai</v>
      </c>
      <c r="M2833" s="2" t="str">
        <f>VLOOKUP(B2833,'PO with created By ASR'!A:K,8,FALSE)</f>
        <v>Purchase Order-Mum</v>
      </c>
      <c r="N2833" t="s">
        <v>36</v>
      </c>
      <c r="P2833" s="2">
        <v>6</v>
      </c>
    </row>
    <row r="2834" s="2" customFormat="1" spans="1:16">
      <c r="A2834" s="8"/>
      <c r="B2834" s="9" t="s">
        <v>4049</v>
      </c>
      <c r="C2834" s="10" t="s">
        <v>119</v>
      </c>
      <c r="D2834" s="11">
        <v>1</v>
      </c>
      <c r="E2834" s="12">
        <v>7935</v>
      </c>
      <c r="F2834" s="13">
        <v>7935</v>
      </c>
      <c r="G2834" s="2">
        <f>VLOOKUP(B2834,'PO with created By ASR'!A:C,3,FALSE)</f>
        <v>45712</v>
      </c>
      <c r="J2834" s="2" t="str">
        <f>VLOOKUP(B2834,'PO with created By ASR'!A:G,4,FALSE)</f>
        <v>The Westin Mumbai Powai Lake (Chalet Hotels Ltd)-Mum</v>
      </c>
      <c r="K2834" s="2" t="str">
        <f>VLOOKUP(B2834,'PO with created By ASR'!A:I,6,FALSE)</f>
        <v>10471  The Westin Mumbai Powai Lake (Chalet Hotels Ltd)</v>
      </c>
      <c r="L2834" s="2" t="str">
        <f>VLOOKUP(B2834,'PO with created By ASR'!A:J,7,FALSE)</f>
        <v>A - Mumbai</v>
      </c>
      <c r="M2834" s="2" t="str">
        <f>VLOOKUP(B2834,'PO with created By ASR'!A:K,8,FALSE)</f>
        <v>Purchase Order-Mum</v>
      </c>
      <c r="N2834" t="s">
        <v>36</v>
      </c>
      <c r="P2834" s="2">
        <v>6</v>
      </c>
    </row>
    <row r="2835" s="2" customFormat="1" spans="1:16">
      <c r="A2835" s="8"/>
      <c r="B2835" s="9" t="s">
        <v>4049</v>
      </c>
      <c r="C2835" s="10" t="s">
        <v>676</v>
      </c>
      <c r="D2835" s="11">
        <v>1</v>
      </c>
      <c r="E2835" s="12">
        <v>476.1</v>
      </c>
      <c r="F2835" s="13">
        <v>476.1</v>
      </c>
      <c r="G2835" s="2">
        <f>VLOOKUP(B2835,'PO with created By ASR'!A:C,3,FALSE)</f>
        <v>45712</v>
      </c>
      <c r="J2835" s="2" t="str">
        <f>VLOOKUP(B2835,'PO with created By ASR'!A:G,4,FALSE)</f>
        <v>The Westin Mumbai Powai Lake (Chalet Hotels Ltd)-Mum</v>
      </c>
      <c r="K2835" s="2" t="str">
        <f>VLOOKUP(B2835,'PO with created By ASR'!A:I,6,FALSE)</f>
        <v>10471  The Westin Mumbai Powai Lake (Chalet Hotels Ltd)</v>
      </c>
      <c r="L2835" s="2" t="str">
        <f>VLOOKUP(B2835,'PO with created By ASR'!A:J,7,FALSE)</f>
        <v>A - Mumbai</v>
      </c>
      <c r="M2835" s="2" t="str">
        <f>VLOOKUP(B2835,'PO with created By ASR'!A:K,8,FALSE)</f>
        <v>Purchase Order-Mum</v>
      </c>
      <c r="N2835" t="s">
        <v>36</v>
      </c>
      <c r="P2835" s="2">
        <v>6</v>
      </c>
    </row>
    <row r="2836" s="2" customFormat="1" spans="1:16">
      <c r="A2836" s="8"/>
      <c r="B2836" s="9" t="s">
        <v>4049</v>
      </c>
      <c r="C2836" s="10" t="s">
        <v>4365</v>
      </c>
      <c r="D2836" s="11">
        <v>1</v>
      </c>
      <c r="E2836" s="12">
        <v>476.1</v>
      </c>
      <c r="F2836" s="13">
        <v>476.1</v>
      </c>
      <c r="G2836" s="2">
        <f>VLOOKUP(B2836,'PO with created By ASR'!A:C,3,FALSE)</f>
        <v>45712</v>
      </c>
      <c r="J2836" s="2" t="str">
        <f>VLOOKUP(B2836,'PO with created By ASR'!A:G,4,FALSE)</f>
        <v>The Westin Mumbai Powai Lake (Chalet Hotels Ltd)-Mum</v>
      </c>
      <c r="K2836" s="2" t="str">
        <f>VLOOKUP(B2836,'PO with created By ASR'!A:I,6,FALSE)</f>
        <v>10471  The Westin Mumbai Powai Lake (Chalet Hotels Ltd)</v>
      </c>
      <c r="L2836" s="2" t="str">
        <f>VLOOKUP(B2836,'PO with created By ASR'!A:J,7,FALSE)</f>
        <v>A - Mumbai</v>
      </c>
      <c r="M2836" s="2" t="str">
        <f>VLOOKUP(B2836,'PO with created By ASR'!A:K,8,FALSE)</f>
        <v>Purchase Order-Mum</v>
      </c>
      <c r="N2836" t="s">
        <v>36</v>
      </c>
      <c r="P2836" s="2">
        <v>6</v>
      </c>
    </row>
    <row r="2837" s="2" customFormat="1" spans="1:16">
      <c r="A2837" s="8"/>
      <c r="B2837" s="9" t="s">
        <v>4053</v>
      </c>
      <c r="C2837" s="10" t="s">
        <v>1176</v>
      </c>
      <c r="D2837" s="11">
        <v>1</v>
      </c>
      <c r="E2837" s="12">
        <v>215000</v>
      </c>
      <c r="F2837" s="13">
        <v>215000</v>
      </c>
      <c r="G2837" s="2">
        <f>VLOOKUP(B2837,'PO with created By ASR'!A:C,3,FALSE)</f>
        <v>45712</v>
      </c>
      <c r="J2837" s="2" t="str">
        <f>VLOOKUP(B2837,'PO with created By ASR'!A:G,4,FALSE)</f>
        <v>JW Marriott, Chandigarh (Lok Priya Buildwell Pvt Ltd)-Mum</v>
      </c>
      <c r="K2837" s="2" t="e">
        <f>VLOOKUP(B2837,'PO with created By ASR'!A:I,6,FALSE)</f>
        <v>#N/A</v>
      </c>
      <c r="L2837" s="2" t="str">
        <f>VLOOKUP(B2837,'PO with created By ASR'!A:J,7,FALSE)</f>
        <v>A - Mumbai</v>
      </c>
      <c r="M2837" s="2" t="str">
        <f>VLOOKUP(B2837,'PO with created By ASR'!A:K,8,FALSE)</f>
        <v>Purchase Order-Mum</v>
      </c>
      <c r="N2837" t="s">
        <v>36</v>
      </c>
      <c r="P2837" s="2">
        <v>6</v>
      </c>
    </row>
    <row r="2838" s="2" customFormat="1" spans="1:16">
      <c r="A2838" s="8"/>
      <c r="B2838" s="9" t="s">
        <v>4053</v>
      </c>
      <c r="C2838" s="10" t="s">
        <v>61</v>
      </c>
      <c r="D2838" s="11">
        <v>1</v>
      </c>
      <c r="E2838" s="12">
        <v>48000</v>
      </c>
      <c r="F2838" s="13">
        <v>48000</v>
      </c>
      <c r="G2838" s="2">
        <f>VLOOKUP(B2838,'PO with created By ASR'!A:C,3,FALSE)</f>
        <v>45712</v>
      </c>
      <c r="J2838" s="2" t="str">
        <f>VLOOKUP(B2838,'PO with created By ASR'!A:G,4,FALSE)</f>
        <v>JW Marriott, Chandigarh (Lok Priya Buildwell Pvt Ltd)-Mum</v>
      </c>
      <c r="K2838" s="2" t="e">
        <f>VLOOKUP(B2838,'PO with created By ASR'!A:I,6,FALSE)</f>
        <v>#N/A</v>
      </c>
      <c r="L2838" s="2" t="str">
        <f>VLOOKUP(B2838,'PO with created By ASR'!A:J,7,FALSE)</f>
        <v>A - Mumbai</v>
      </c>
      <c r="M2838" s="2" t="str">
        <f>VLOOKUP(B2838,'PO with created By ASR'!A:K,8,FALSE)</f>
        <v>Purchase Order-Mum</v>
      </c>
      <c r="N2838" t="s">
        <v>36</v>
      </c>
      <c r="P2838" s="2">
        <v>6</v>
      </c>
    </row>
    <row r="2839" s="2" customFormat="1" spans="1:16">
      <c r="A2839" s="8"/>
      <c r="B2839" s="9" t="s">
        <v>4053</v>
      </c>
      <c r="C2839" s="10" t="s">
        <v>764</v>
      </c>
      <c r="D2839" s="11">
        <v>1</v>
      </c>
      <c r="E2839" s="12">
        <v>47340</v>
      </c>
      <c r="F2839" s="13">
        <v>47340</v>
      </c>
      <c r="G2839" s="2">
        <f>VLOOKUP(B2839,'PO with created By ASR'!A:C,3,FALSE)</f>
        <v>45712</v>
      </c>
      <c r="J2839" s="2" t="str">
        <f>VLOOKUP(B2839,'PO with created By ASR'!A:G,4,FALSE)</f>
        <v>JW Marriott, Chandigarh (Lok Priya Buildwell Pvt Ltd)-Mum</v>
      </c>
      <c r="K2839" s="2" t="e">
        <f>VLOOKUP(B2839,'PO with created By ASR'!A:I,6,FALSE)</f>
        <v>#N/A</v>
      </c>
      <c r="L2839" s="2" t="str">
        <f>VLOOKUP(B2839,'PO with created By ASR'!A:J,7,FALSE)</f>
        <v>A - Mumbai</v>
      </c>
      <c r="M2839" s="2" t="str">
        <f>VLOOKUP(B2839,'PO with created By ASR'!A:K,8,FALSE)</f>
        <v>Purchase Order-Mum</v>
      </c>
      <c r="N2839" t="s">
        <v>36</v>
      </c>
      <c r="P2839" s="2">
        <v>6</v>
      </c>
    </row>
    <row r="2840" s="2" customFormat="1" spans="1:16">
      <c r="A2840" s="8"/>
      <c r="B2840" s="9" t="s">
        <v>4053</v>
      </c>
      <c r="C2840" s="10" t="s">
        <v>764</v>
      </c>
      <c r="D2840" s="11">
        <v>1</v>
      </c>
      <c r="E2840" s="12">
        <v>832.5</v>
      </c>
      <c r="F2840" s="13">
        <v>832.5</v>
      </c>
      <c r="G2840" s="2">
        <f>VLOOKUP(B2840,'PO with created By ASR'!A:C,3,FALSE)</f>
        <v>45712</v>
      </c>
      <c r="J2840" s="2" t="str">
        <f>VLOOKUP(B2840,'PO with created By ASR'!A:G,4,FALSE)</f>
        <v>JW Marriott, Chandigarh (Lok Priya Buildwell Pvt Ltd)-Mum</v>
      </c>
      <c r="K2840" s="2" t="e">
        <f>VLOOKUP(B2840,'PO with created By ASR'!A:I,6,FALSE)</f>
        <v>#N/A</v>
      </c>
      <c r="L2840" s="2" t="str">
        <f>VLOOKUP(B2840,'PO with created By ASR'!A:J,7,FALSE)</f>
        <v>A - Mumbai</v>
      </c>
      <c r="M2840" s="2" t="str">
        <f>VLOOKUP(B2840,'PO with created By ASR'!A:K,8,FALSE)</f>
        <v>Purchase Order-Mum</v>
      </c>
      <c r="N2840" t="s">
        <v>36</v>
      </c>
      <c r="P2840" s="2">
        <v>6</v>
      </c>
    </row>
    <row r="2841" s="2" customFormat="1" spans="1:16">
      <c r="A2841" s="8"/>
      <c r="B2841" s="9" t="s">
        <v>4053</v>
      </c>
      <c r="C2841" s="10" t="s">
        <v>276</v>
      </c>
      <c r="D2841" s="11">
        <v>1</v>
      </c>
      <c r="E2841" s="12">
        <v>4625</v>
      </c>
      <c r="F2841" s="13">
        <v>4625</v>
      </c>
      <c r="G2841" s="2">
        <f>VLOOKUP(B2841,'PO with created By ASR'!A:C,3,FALSE)</f>
        <v>45712</v>
      </c>
      <c r="J2841" s="2" t="str">
        <f>VLOOKUP(B2841,'PO with created By ASR'!A:G,4,FALSE)</f>
        <v>JW Marriott, Chandigarh (Lok Priya Buildwell Pvt Ltd)-Mum</v>
      </c>
      <c r="K2841" s="2" t="e">
        <f>VLOOKUP(B2841,'PO with created By ASR'!A:I,6,FALSE)</f>
        <v>#N/A</v>
      </c>
      <c r="L2841" s="2" t="str">
        <f>VLOOKUP(B2841,'PO with created By ASR'!A:J,7,FALSE)</f>
        <v>A - Mumbai</v>
      </c>
      <c r="M2841" s="2" t="str">
        <f>VLOOKUP(B2841,'PO with created By ASR'!A:K,8,FALSE)</f>
        <v>Purchase Order-Mum</v>
      </c>
      <c r="N2841" t="s">
        <v>36</v>
      </c>
      <c r="P2841" s="2">
        <v>6</v>
      </c>
    </row>
    <row r="2842" s="2" customFormat="1" spans="1:16">
      <c r="A2842" s="8"/>
      <c r="B2842" s="9" t="s">
        <v>4057</v>
      </c>
      <c r="C2842" s="10" t="s">
        <v>151</v>
      </c>
      <c r="D2842" s="11">
        <v>1</v>
      </c>
      <c r="E2842" s="12">
        <v>7700</v>
      </c>
      <c r="F2842" s="13">
        <v>7700</v>
      </c>
      <c r="G2842" s="2">
        <f>VLOOKUP(B2842,'PO with created By ASR'!A:C,3,FALSE)</f>
        <v>45712</v>
      </c>
      <c r="J2842" s="2" t="str">
        <f>VLOOKUP(B2842,'PO with created By ASR'!A:G,4,FALSE)</f>
        <v>Rentastic-Mum</v>
      </c>
      <c r="K2842" s="2" t="e">
        <f>VLOOKUP(B2842,'PO with created By ASR'!A:I,6,FALSE)</f>
        <v>#N/A</v>
      </c>
      <c r="L2842" s="2" t="str">
        <f>VLOOKUP(B2842,'PO with created By ASR'!A:J,7,FALSE)</f>
        <v>A - Mumbai</v>
      </c>
      <c r="M2842" s="2" t="str">
        <f>VLOOKUP(B2842,'PO with created By ASR'!A:K,8,FALSE)</f>
        <v>Purchase Order-Mum</v>
      </c>
      <c r="N2842" t="s">
        <v>36</v>
      </c>
      <c r="P2842" s="2">
        <v>6</v>
      </c>
    </row>
    <row r="2843" s="2" customFormat="1" spans="1:16">
      <c r="A2843" s="8"/>
      <c r="B2843" s="9" t="s">
        <v>4058</v>
      </c>
      <c r="C2843" s="10" t="s">
        <v>371</v>
      </c>
      <c r="D2843" s="11">
        <v>1</v>
      </c>
      <c r="E2843" s="12">
        <v>70200</v>
      </c>
      <c r="F2843" s="13">
        <v>70200</v>
      </c>
      <c r="G2843" s="2">
        <f>VLOOKUP(B2843,'PO with created By ASR'!A:C,3,FALSE)</f>
        <v>45713</v>
      </c>
      <c r="J2843" s="2" t="str">
        <f>VLOOKUP(B2843,'PO with created By ASR'!A:G,4,FALSE)</f>
        <v>Ashik Mobile Generator-Blr</v>
      </c>
      <c r="K2843" s="2" t="str">
        <f>VLOOKUP(B2843,'PO with created By ASR'!A:I,6,FALSE)</f>
        <v>11685 Ashik Mobile Generator</v>
      </c>
      <c r="L2843" s="2" t="str">
        <f>VLOOKUP(B2843,'PO with created By ASR'!A:J,7,FALSE)</f>
        <v>B - Bangalore</v>
      </c>
      <c r="M2843" s="2" t="str">
        <f>VLOOKUP(B2843,'PO with created By ASR'!A:K,8,FALSE)</f>
        <v>Purchase Order-Blr</v>
      </c>
      <c r="N2843" t="s">
        <v>36</v>
      </c>
      <c r="P2843" s="2">
        <v>6</v>
      </c>
    </row>
    <row r="2844" s="2" customFormat="1" spans="1:16">
      <c r="A2844" s="8"/>
      <c r="B2844" s="9" t="s">
        <v>4059</v>
      </c>
      <c r="C2844" s="10" t="s">
        <v>347</v>
      </c>
      <c r="D2844" s="11">
        <v>1</v>
      </c>
      <c r="E2844" s="12">
        <v>150000</v>
      </c>
      <c r="F2844" s="13">
        <v>150000</v>
      </c>
      <c r="G2844" s="2">
        <f>VLOOKUP(B2844,'PO with created By ASR'!A:C,3,FALSE)</f>
        <v>45713</v>
      </c>
      <c r="J2844" s="2" t="str">
        <f>VLOOKUP(B2844,'PO with created By ASR'!A:G,4,FALSE)</f>
        <v>Sridevi Rao-Blr</v>
      </c>
      <c r="K2844" s="2" t="str">
        <f>VLOOKUP(B2844,'PO with created By ASR'!A:I,6,FALSE)</f>
        <v>12937 Sridevi Rao</v>
      </c>
      <c r="L2844" s="2" t="str">
        <f>VLOOKUP(B2844,'PO with created By ASR'!A:J,7,FALSE)</f>
        <v>B - Bangalore</v>
      </c>
      <c r="M2844" s="2" t="str">
        <f>VLOOKUP(B2844,'PO with created By ASR'!A:K,8,FALSE)</f>
        <v>Purchase Order-Blr</v>
      </c>
      <c r="N2844" t="s">
        <v>36</v>
      </c>
      <c r="P2844" s="2">
        <v>6</v>
      </c>
    </row>
    <row r="2845" s="2" customFormat="1" spans="1:16">
      <c r="A2845" s="8"/>
      <c r="B2845" s="9" t="s">
        <v>4065</v>
      </c>
      <c r="C2845" s="10" t="s">
        <v>276</v>
      </c>
      <c r="D2845" s="11">
        <v>1</v>
      </c>
      <c r="E2845" s="12">
        <v>249925</v>
      </c>
      <c r="F2845" s="13">
        <v>249925</v>
      </c>
      <c r="G2845" s="2">
        <f>VLOOKUP(B2845,'PO with created By ASR'!A:C,3,FALSE)</f>
        <v>45713</v>
      </c>
      <c r="J2845" s="2" t="str">
        <f>VLOOKUP(B2845,'PO with created By ASR'!A:G,4,FALSE)</f>
        <v>The Ritz-Carlton, Bangalore.-Blr</v>
      </c>
      <c r="K2845" s="2" t="e">
        <f>VLOOKUP(B2845,'PO with created By ASR'!A:I,6,FALSE)</f>
        <v>#N/A</v>
      </c>
      <c r="L2845" s="2" t="str">
        <f>VLOOKUP(B2845,'PO with created By ASR'!A:J,7,FALSE)</f>
        <v>B - Bangalore</v>
      </c>
      <c r="M2845" s="2" t="str">
        <f>VLOOKUP(B2845,'PO with created By ASR'!A:K,8,FALSE)</f>
        <v>Purchase Order-Blr</v>
      </c>
      <c r="N2845" t="s">
        <v>36</v>
      </c>
      <c r="P2845" s="2">
        <v>6</v>
      </c>
    </row>
    <row r="2846" s="2" customFormat="1" spans="1:16">
      <c r="A2846" s="8"/>
      <c r="B2846" s="9" t="s">
        <v>4065</v>
      </c>
      <c r="C2846" s="10" t="s">
        <v>276</v>
      </c>
      <c r="D2846" s="11">
        <v>1</v>
      </c>
      <c r="E2846" s="12">
        <v>37875</v>
      </c>
      <c r="F2846" s="13">
        <v>37875</v>
      </c>
      <c r="G2846" s="2">
        <f>VLOOKUP(B2846,'PO with created By ASR'!A:C,3,FALSE)</f>
        <v>45713</v>
      </c>
      <c r="J2846" s="2" t="str">
        <f>VLOOKUP(B2846,'PO with created By ASR'!A:G,4,FALSE)</f>
        <v>The Ritz-Carlton, Bangalore.-Blr</v>
      </c>
      <c r="K2846" s="2" t="e">
        <f>VLOOKUP(B2846,'PO with created By ASR'!A:I,6,FALSE)</f>
        <v>#N/A</v>
      </c>
      <c r="L2846" s="2" t="str">
        <f>VLOOKUP(B2846,'PO with created By ASR'!A:J,7,FALSE)</f>
        <v>B - Bangalore</v>
      </c>
      <c r="M2846" s="2" t="str">
        <f>VLOOKUP(B2846,'PO with created By ASR'!A:K,8,FALSE)</f>
        <v>Purchase Order-Blr</v>
      </c>
      <c r="N2846" t="s">
        <v>36</v>
      </c>
      <c r="P2846" s="2">
        <v>6</v>
      </c>
    </row>
    <row r="2847" s="2" customFormat="1" spans="1:16">
      <c r="A2847" s="8"/>
      <c r="B2847" s="9" t="s">
        <v>4068</v>
      </c>
      <c r="C2847" s="10" t="s">
        <v>196</v>
      </c>
      <c r="D2847" s="11">
        <v>1</v>
      </c>
      <c r="E2847" s="12">
        <v>7330</v>
      </c>
      <c r="F2847" s="13">
        <v>7330</v>
      </c>
      <c r="G2847" s="2">
        <f>VLOOKUP(B2847,'PO with created By ASR'!A:C,3,FALSE)</f>
        <v>45713</v>
      </c>
      <c r="J2847" s="2" t="str">
        <f>VLOOKUP(B2847,'PO with created By ASR'!A:G,4,FALSE)</f>
        <v>Abdul Rehman -CR</v>
      </c>
      <c r="K2847" s="2" t="e">
        <f>VLOOKUP(B2847,'PO with created By ASR'!A:I,6,FALSE)</f>
        <v>#N/A</v>
      </c>
      <c r="L2847" s="2" t="str">
        <f>VLOOKUP(B2847,'PO with created By ASR'!A:J,7,FALSE)</f>
        <v>B - Bangalore</v>
      </c>
      <c r="M2847" s="2" t="str">
        <f>VLOOKUP(B2847,'PO with created By ASR'!A:K,8,FALSE)</f>
        <v>Purchase Order-Blr</v>
      </c>
      <c r="N2847" t="s">
        <v>36</v>
      </c>
      <c r="P2847" s="2">
        <v>6</v>
      </c>
    </row>
    <row r="2848" s="2" customFormat="1" spans="1:16">
      <c r="A2848" s="8"/>
      <c r="B2848" s="9" t="s">
        <v>4068</v>
      </c>
      <c r="C2848" s="10" t="s">
        <v>126</v>
      </c>
      <c r="D2848" s="11">
        <v>1</v>
      </c>
      <c r="E2848" s="12">
        <v>3120</v>
      </c>
      <c r="F2848" s="13">
        <v>3120</v>
      </c>
      <c r="G2848" s="2">
        <f>VLOOKUP(B2848,'PO with created By ASR'!A:C,3,FALSE)</f>
        <v>45713</v>
      </c>
      <c r="J2848" s="2" t="str">
        <f>VLOOKUP(B2848,'PO with created By ASR'!A:G,4,FALSE)</f>
        <v>Abdul Rehman -CR</v>
      </c>
      <c r="K2848" s="2" t="e">
        <f>VLOOKUP(B2848,'PO with created By ASR'!A:I,6,FALSE)</f>
        <v>#N/A</v>
      </c>
      <c r="L2848" s="2" t="str">
        <f>VLOOKUP(B2848,'PO with created By ASR'!A:J,7,FALSE)</f>
        <v>B - Bangalore</v>
      </c>
      <c r="M2848" s="2" t="str">
        <f>VLOOKUP(B2848,'PO with created By ASR'!A:K,8,FALSE)</f>
        <v>Purchase Order-Blr</v>
      </c>
      <c r="N2848" t="s">
        <v>36</v>
      </c>
      <c r="P2848" s="2">
        <v>6</v>
      </c>
    </row>
    <row r="2849" s="2" customFormat="1" spans="1:16">
      <c r="A2849" s="8"/>
      <c r="B2849" s="9" t="s">
        <v>4068</v>
      </c>
      <c r="C2849" s="10" t="s">
        <v>1055</v>
      </c>
      <c r="D2849" s="11">
        <v>1</v>
      </c>
      <c r="E2849" s="12">
        <v>3000</v>
      </c>
      <c r="F2849" s="13">
        <v>3000</v>
      </c>
      <c r="G2849" s="2">
        <f>VLOOKUP(B2849,'PO with created By ASR'!A:C,3,FALSE)</f>
        <v>45713</v>
      </c>
      <c r="J2849" s="2" t="str">
        <f>VLOOKUP(B2849,'PO with created By ASR'!A:G,4,FALSE)</f>
        <v>Abdul Rehman -CR</v>
      </c>
      <c r="K2849" s="2" t="e">
        <f>VLOOKUP(B2849,'PO with created By ASR'!A:I,6,FALSE)</f>
        <v>#N/A</v>
      </c>
      <c r="L2849" s="2" t="str">
        <f>VLOOKUP(B2849,'PO with created By ASR'!A:J,7,FALSE)</f>
        <v>B - Bangalore</v>
      </c>
      <c r="M2849" s="2" t="str">
        <f>VLOOKUP(B2849,'PO with created By ASR'!A:K,8,FALSE)</f>
        <v>Purchase Order-Blr</v>
      </c>
      <c r="N2849" t="s">
        <v>36</v>
      </c>
      <c r="P2849" s="2">
        <v>6</v>
      </c>
    </row>
    <row r="2850" s="2" customFormat="1" spans="1:16">
      <c r="A2850" s="8"/>
      <c r="B2850" s="9" t="s">
        <v>4068</v>
      </c>
      <c r="C2850" s="10" t="s">
        <v>292</v>
      </c>
      <c r="D2850" s="11">
        <v>1</v>
      </c>
      <c r="E2850" s="12">
        <v>4000</v>
      </c>
      <c r="F2850" s="13">
        <v>4000</v>
      </c>
      <c r="G2850" s="2">
        <f>VLOOKUP(B2850,'PO with created By ASR'!A:C,3,FALSE)</f>
        <v>45713</v>
      </c>
      <c r="J2850" s="2" t="str">
        <f>VLOOKUP(B2850,'PO with created By ASR'!A:G,4,FALSE)</f>
        <v>Abdul Rehman -CR</v>
      </c>
      <c r="K2850" s="2" t="e">
        <f>VLOOKUP(B2850,'PO with created By ASR'!A:I,6,FALSE)</f>
        <v>#N/A</v>
      </c>
      <c r="L2850" s="2" t="str">
        <f>VLOOKUP(B2850,'PO with created By ASR'!A:J,7,FALSE)</f>
        <v>B - Bangalore</v>
      </c>
      <c r="M2850" s="2" t="str">
        <f>VLOOKUP(B2850,'PO with created By ASR'!A:K,8,FALSE)</f>
        <v>Purchase Order-Blr</v>
      </c>
      <c r="N2850" t="s">
        <v>36</v>
      </c>
      <c r="P2850" s="2">
        <v>6</v>
      </c>
    </row>
    <row r="2851" s="2" customFormat="1" spans="1:16">
      <c r="A2851" s="8"/>
      <c r="B2851" s="9" t="s">
        <v>4069</v>
      </c>
      <c r="C2851" s="10" t="s">
        <v>61</v>
      </c>
      <c r="D2851" s="11">
        <v>1</v>
      </c>
      <c r="E2851" s="12">
        <v>59280</v>
      </c>
      <c r="F2851" s="13">
        <v>59280</v>
      </c>
      <c r="G2851" s="2">
        <f>VLOOKUP(B2851,'PO with created By ASR'!A:C,3,FALSE)</f>
        <v>45713</v>
      </c>
      <c r="J2851" s="2" t="str">
        <f>VLOOKUP(B2851,'PO with created By ASR'!A:G,4,FALSE)</f>
        <v>Thirtha Patil  -CR
</v>
      </c>
      <c r="K2851" s="2" t="e">
        <f>VLOOKUP(B2851,'PO with created By ASR'!A:I,6,FALSE)</f>
        <v>#N/A</v>
      </c>
      <c r="L2851" s="2" t="str">
        <f>VLOOKUP(B2851,'PO with created By ASR'!A:J,7,FALSE)</f>
        <v>B - Bangalore</v>
      </c>
      <c r="M2851" s="2" t="str">
        <f>VLOOKUP(B2851,'PO with created By ASR'!A:K,8,FALSE)</f>
        <v>Purchase Order-Blr</v>
      </c>
      <c r="N2851" t="s">
        <v>36</v>
      </c>
      <c r="P2851" s="2">
        <v>6</v>
      </c>
    </row>
    <row r="2852" s="2" customFormat="1" spans="1:16">
      <c r="A2852" s="8"/>
      <c r="B2852" s="9" t="s">
        <v>4070</v>
      </c>
      <c r="C2852" s="10" t="s">
        <v>151</v>
      </c>
      <c r="D2852" s="11">
        <v>1</v>
      </c>
      <c r="E2852" s="12">
        <v>63000</v>
      </c>
      <c r="F2852" s="13">
        <v>63000</v>
      </c>
      <c r="G2852" s="2">
        <f>VLOOKUP(B2852,'PO with created By ASR'!A:C,3,FALSE)</f>
        <v>45713</v>
      </c>
      <c r="J2852" s="2" t="str">
        <f>VLOOKUP(B2852,'PO with created By ASR'!A:G,4,FALSE)</f>
        <v>Pgm party links-Blr</v>
      </c>
      <c r="K2852" s="2" t="str">
        <f>VLOOKUP(B2852,'PO with created By ASR'!A:I,6,FALSE)</f>
        <v>12252 Pgm Party Links</v>
      </c>
      <c r="L2852" s="2" t="str">
        <f>VLOOKUP(B2852,'PO with created By ASR'!A:J,7,FALSE)</f>
        <v>B - Bangalore</v>
      </c>
      <c r="M2852" s="2" t="str">
        <f>VLOOKUP(B2852,'PO with created By ASR'!A:K,8,FALSE)</f>
        <v>Purchase Order-Blr</v>
      </c>
      <c r="N2852" t="s">
        <v>36</v>
      </c>
      <c r="P2852" s="2">
        <v>6</v>
      </c>
    </row>
    <row r="2853" s="2" customFormat="1" spans="1:16">
      <c r="A2853" s="8"/>
      <c r="B2853" s="9" t="s">
        <v>4073</v>
      </c>
      <c r="C2853" s="10" t="s">
        <v>250</v>
      </c>
      <c r="D2853" s="11">
        <v>1</v>
      </c>
      <c r="E2853" s="12">
        <v>30000</v>
      </c>
      <c r="F2853" s="13">
        <v>30000</v>
      </c>
      <c r="G2853" s="2">
        <f>VLOOKUP(B2853,'PO with created By ASR'!A:C,3,FALSE)</f>
        <v>45713</v>
      </c>
      <c r="J2853" s="2" t="str">
        <f>VLOOKUP(B2853,'PO with created By ASR'!A:G,4,FALSE)</f>
        <v>Umme Salma-Blr</v>
      </c>
      <c r="K2853" s="2" t="str">
        <f>VLOOKUP(B2853,'PO with created By ASR'!A:I,6,FALSE)</f>
        <v>10984 Umme Salma</v>
      </c>
      <c r="L2853" s="2" t="str">
        <f>VLOOKUP(B2853,'PO with created By ASR'!A:J,7,FALSE)</f>
        <v>B - Bangalore</v>
      </c>
      <c r="M2853" s="2" t="str">
        <f>VLOOKUP(B2853,'PO with created By ASR'!A:K,8,FALSE)</f>
        <v>Purchase Order-Blr</v>
      </c>
      <c r="N2853" t="s">
        <v>36</v>
      </c>
      <c r="P2853" s="2">
        <v>6</v>
      </c>
    </row>
    <row r="2854" s="2" customFormat="1" spans="1:16">
      <c r="A2854" s="8"/>
      <c r="B2854" s="9" t="s">
        <v>4077</v>
      </c>
      <c r="C2854" s="10" t="s">
        <v>371</v>
      </c>
      <c r="D2854" s="11">
        <v>1</v>
      </c>
      <c r="E2854" s="12">
        <v>85000</v>
      </c>
      <c r="F2854" s="13">
        <v>85000</v>
      </c>
      <c r="G2854" s="2">
        <f>VLOOKUP(B2854,'PO with created By ASR'!A:C,3,FALSE)</f>
        <v>45713</v>
      </c>
      <c r="J2854" s="2" t="str">
        <f>VLOOKUP(B2854,'PO with created By ASR'!A:G,4,FALSE)</f>
        <v>Reverb Sound And Light Studio-Blr</v>
      </c>
      <c r="K2854" s="2" t="str">
        <f>VLOOKUP(B2854,'PO with created By ASR'!A:I,6,FALSE)</f>
        <v>11379 Reverb Sound And Light Studio</v>
      </c>
      <c r="L2854" s="2" t="str">
        <f>VLOOKUP(B2854,'PO with created By ASR'!A:J,7,FALSE)</f>
        <v>B - Bangalore</v>
      </c>
      <c r="M2854" s="2" t="str">
        <f>VLOOKUP(B2854,'PO with created By ASR'!A:K,8,FALSE)</f>
        <v>Purchase Order-Blr</v>
      </c>
      <c r="N2854" t="s">
        <v>36</v>
      </c>
      <c r="P2854" s="2">
        <v>6</v>
      </c>
    </row>
    <row r="2855" s="2" customFormat="1" spans="1:16">
      <c r="A2855" s="8"/>
      <c r="B2855" s="9" t="s">
        <v>4078</v>
      </c>
      <c r="C2855" s="10" t="s">
        <v>140</v>
      </c>
      <c r="D2855" s="11">
        <v>1</v>
      </c>
      <c r="E2855" s="12">
        <v>27250</v>
      </c>
      <c r="F2855" s="13">
        <v>27250</v>
      </c>
      <c r="G2855" s="2">
        <f>VLOOKUP(B2855,'PO with created By ASR'!A:C,3,FALSE)</f>
        <v>45713</v>
      </c>
      <c r="J2855" s="2" t="str">
        <f>VLOOKUP(B2855,'PO with created By ASR'!A:G,4,FALSE)</f>
        <v>Yash Gifts-Blr</v>
      </c>
      <c r="K2855" s="2" t="str">
        <f>VLOOKUP(B2855,'PO with created By ASR'!A:I,6,FALSE)</f>
        <v>12634 Yash  Gifts</v>
      </c>
      <c r="L2855" s="2" t="str">
        <f>VLOOKUP(B2855,'PO with created By ASR'!A:J,7,FALSE)</f>
        <v>B - Bangalore</v>
      </c>
      <c r="M2855" s="2" t="str">
        <f>VLOOKUP(B2855,'PO with created By ASR'!A:K,8,FALSE)</f>
        <v>Purchase Order-Blr</v>
      </c>
      <c r="N2855" t="s">
        <v>36</v>
      </c>
      <c r="P2855" s="2">
        <v>6</v>
      </c>
    </row>
    <row r="2856" s="2" customFormat="1" spans="1:16">
      <c r="A2856" s="8"/>
      <c r="B2856" s="9" t="s">
        <v>4079</v>
      </c>
      <c r="C2856" s="10" t="s">
        <v>140</v>
      </c>
      <c r="D2856" s="11">
        <v>1</v>
      </c>
      <c r="E2856" s="12">
        <v>13750</v>
      </c>
      <c r="F2856" s="13">
        <v>13750</v>
      </c>
      <c r="G2856" s="2">
        <f>VLOOKUP(B2856,'PO with created By ASR'!A:C,3,FALSE)</f>
        <v>45713</v>
      </c>
      <c r="J2856" s="2" t="str">
        <f>VLOOKUP(B2856,'PO with created By ASR'!A:G,4,FALSE)</f>
        <v>New Print House-Blr</v>
      </c>
      <c r="K2856" s="2" t="str">
        <f>VLOOKUP(B2856,'PO with created By ASR'!A:I,6,FALSE)</f>
        <v>12196 New Print House</v>
      </c>
      <c r="L2856" s="2" t="str">
        <f>VLOOKUP(B2856,'PO with created By ASR'!A:J,7,FALSE)</f>
        <v>B - Bangalore</v>
      </c>
      <c r="M2856" s="2" t="str">
        <f>VLOOKUP(B2856,'PO with created By ASR'!A:K,8,FALSE)</f>
        <v>Purchase Order-Blr</v>
      </c>
      <c r="N2856" t="s">
        <v>36</v>
      </c>
      <c r="P2856" s="2">
        <v>6</v>
      </c>
    </row>
    <row r="2857" s="2" customFormat="1" spans="1:16">
      <c r="A2857" s="8"/>
      <c r="B2857" s="9" t="s">
        <v>4080</v>
      </c>
      <c r="C2857" s="10" t="s">
        <v>401</v>
      </c>
      <c r="D2857" s="11">
        <v>1</v>
      </c>
      <c r="E2857" s="12">
        <v>12000</v>
      </c>
      <c r="F2857" s="13">
        <v>12000</v>
      </c>
      <c r="G2857" s="2">
        <f>VLOOKUP(B2857,'PO with created By ASR'!A:C,3,FALSE)</f>
        <v>45713</v>
      </c>
      <c r="J2857" s="2" t="str">
        <f>VLOOKUP(B2857,'PO with created By ASR'!A:G,4,FALSE)</f>
        <v>Rea Studio-Blr</v>
      </c>
      <c r="K2857" s="2" t="str">
        <f>VLOOKUP(B2857,'PO with created By ASR'!A:I,6,FALSE)</f>
        <v>10074 Rea Studio</v>
      </c>
      <c r="L2857" s="2" t="str">
        <f>VLOOKUP(B2857,'PO with created By ASR'!A:J,7,FALSE)</f>
        <v>B - Bangalore</v>
      </c>
      <c r="M2857" s="2" t="str">
        <f>VLOOKUP(B2857,'PO with created By ASR'!A:K,8,FALSE)</f>
        <v>Purchase Order-Blr</v>
      </c>
      <c r="N2857" t="s">
        <v>36</v>
      </c>
      <c r="P2857" s="2">
        <v>6</v>
      </c>
    </row>
    <row r="2858" s="2" customFormat="1" spans="1:16">
      <c r="A2858" s="8"/>
      <c r="B2858" s="9" t="s">
        <v>4081</v>
      </c>
      <c r="C2858" s="10" t="s">
        <v>250</v>
      </c>
      <c r="D2858" s="11">
        <v>1</v>
      </c>
      <c r="E2858" s="12">
        <v>70000</v>
      </c>
      <c r="F2858" s="13">
        <v>70000</v>
      </c>
      <c r="G2858" s="2">
        <f>VLOOKUP(B2858,'PO with created By ASR'!A:C,3,FALSE)</f>
        <v>45713</v>
      </c>
      <c r="J2858" s="2" t="str">
        <f>VLOOKUP(B2858,'PO with created By ASR'!A:G,4,FALSE)</f>
        <v>Bharatesh N S (DJ Bobby)-Blr</v>
      </c>
      <c r="K2858" s="2" t="str">
        <f>VLOOKUP(B2858,'PO with created By ASR'!A:I,6,FALSE)</f>
        <v>12989 Bharatesh N S (DJ Bobby)</v>
      </c>
      <c r="L2858" s="2" t="str">
        <f>VLOOKUP(B2858,'PO with created By ASR'!A:J,7,FALSE)</f>
        <v>B - Bangalore</v>
      </c>
      <c r="M2858" s="2" t="str">
        <f>VLOOKUP(B2858,'PO with created By ASR'!A:K,8,FALSE)</f>
        <v>Purchase Order-Blr</v>
      </c>
      <c r="N2858" t="s">
        <v>36</v>
      </c>
      <c r="P2858" s="2">
        <v>6</v>
      </c>
    </row>
    <row r="2859" s="2" customFormat="1" spans="1:16">
      <c r="A2859" s="8"/>
      <c r="B2859" s="9" t="s">
        <v>4084</v>
      </c>
      <c r="C2859" s="10" t="s">
        <v>292</v>
      </c>
      <c r="D2859" s="11">
        <v>1</v>
      </c>
      <c r="E2859" s="12">
        <v>15000</v>
      </c>
      <c r="F2859" s="13">
        <v>15000</v>
      </c>
      <c r="G2859" s="2">
        <f>VLOOKUP(B2859,'PO with created By ASR'!A:C,3,FALSE)</f>
        <v>45713</v>
      </c>
      <c r="J2859" s="2" t="str">
        <f>VLOOKUP(B2859,'PO with created By ASR'!A:G,4,FALSE)</f>
        <v>Blue Gem Entertainment and Events-Blr</v>
      </c>
      <c r="K2859" s="2" t="str">
        <f>VLOOKUP(B2859,'PO with created By ASR'!A:I,6,FALSE)</f>
        <v>11737 Blue Gem Entertainment and Events</v>
      </c>
      <c r="L2859" s="2" t="str">
        <f>VLOOKUP(B2859,'PO with created By ASR'!A:J,7,FALSE)</f>
        <v>B - Bangalore</v>
      </c>
      <c r="M2859" s="2" t="str">
        <f>VLOOKUP(B2859,'PO with created By ASR'!A:K,8,FALSE)</f>
        <v>Purchase Order-Blr</v>
      </c>
      <c r="N2859" t="s">
        <v>36</v>
      </c>
      <c r="P2859" s="2">
        <v>6</v>
      </c>
    </row>
    <row r="2860" s="2" customFormat="1" spans="1:16">
      <c r="A2860" s="8"/>
      <c r="B2860" s="9" t="s">
        <v>4085</v>
      </c>
      <c r="C2860" s="10" t="s">
        <v>276</v>
      </c>
      <c r="D2860" s="11">
        <v>1</v>
      </c>
      <c r="E2860" s="12">
        <v>17000</v>
      </c>
      <c r="F2860" s="13">
        <v>17000</v>
      </c>
      <c r="G2860" s="2">
        <f>VLOOKUP(B2860,'PO with created By ASR'!A:C,3,FALSE)</f>
        <v>45713</v>
      </c>
      <c r="J2860" s="2" t="str">
        <f>VLOOKUP(B2860,'PO with created By ASR'!A:G,4,FALSE)</f>
        <v>Brijesh L  -CR</v>
      </c>
      <c r="K2860" s="2" t="str">
        <f>VLOOKUP(B2860,'PO with created By ASR'!A:I,6,FALSE)</f>
        <v>10025 Brijesh L</v>
      </c>
      <c r="L2860" s="2" t="str">
        <f>VLOOKUP(B2860,'PO with created By ASR'!A:J,7,FALSE)</f>
        <v>C - Chennai</v>
      </c>
      <c r="M2860" s="2" t="str">
        <f>VLOOKUP(B2860,'PO with created By ASR'!A:K,8,FALSE)</f>
        <v>Purchase Order-Che</v>
      </c>
      <c r="N2860" t="s">
        <v>36</v>
      </c>
      <c r="P2860" s="2">
        <v>6</v>
      </c>
    </row>
    <row r="2861" s="2" customFormat="1" spans="1:16">
      <c r="A2861" s="8"/>
      <c r="B2861" s="9" t="s">
        <v>4086</v>
      </c>
      <c r="C2861" s="10" t="s">
        <v>126</v>
      </c>
      <c r="D2861" s="11">
        <v>1</v>
      </c>
      <c r="E2861" s="12">
        <v>1450</v>
      </c>
      <c r="F2861" s="13">
        <v>1450</v>
      </c>
      <c r="G2861" s="2">
        <f>VLOOKUP(B2861,'PO with created By ASR'!A:C,3,FALSE)</f>
        <v>45713</v>
      </c>
      <c r="J2861" s="2" t="str">
        <f>VLOOKUP(B2861,'PO with created By ASR'!A:G,4,FALSE)</f>
        <v>Clinton J  for Expense-CR</v>
      </c>
      <c r="K2861" s="2" t="e">
        <f>VLOOKUP(B2861,'PO with created By ASR'!A:I,6,FALSE)</f>
        <v>#N/A</v>
      </c>
      <c r="L2861" s="2" t="str">
        <f>VLOOKUP(B2861,'PO with created By ASR'!A:J,7,FALSE)</f>
        <v>C - Chennai</v>
      </c>
      <c r="M2861" s="2" t="str">
        <f>VLOOKUP(B2861,'PO with created By ASR'!A:K,8,FALSE)</f>
        <v>Purchase Order-Che</v>
      </c>
      <c r="N2861" t="s">
        <v>36</v>
      </c>
      <c r="P2861" s="2">
        <v>6</v>
      </c>
    </row>
    <row r="2862" s="2" customFormat="1" spans="1:16">
      <c r="A2862" s="8"/>
      <c r="B2862" s="9" t="s">
        <v>4086</v>
      </c>
      <c r="C2862" s="10" t="s">
        <v>412</v>
      </c>
      <c r="D2862" s="11">
        <v>1</v>
      </c>
      <c r="E2862" s="12">
        <v>200</v>
      </c>
      <c r="F2862" s="13">
        <v>200</v>
      </c>
      <c r="G2862" s="2">
        <f>VLOOKUP(B2862,'PO with created By ASR'!A:C,3,FALSE)</f>
        <v>45713</v>
      </c>
      <c r="J2862" s="2" t="str">
        <f>VLOOKUP(B2862,'PO with created By ASR'!A:G,4,FALSE)</f>
        <v>Clinton J  for Expense-CR</v>
      </c>
      <c r="K2862" s="2" t="e">
        <f>VLOOKUP(B2862,'PO with created By ASR'!A:I,6,FALSE)</f>
        <v>#N/A</v>
      </c>
      <c r="L2862" s="2" t="str">
        <f>VLOOKUP(B2862,'PO with created By ASR'!A:J,7,FALSE)</f>
        <v>C - Chennai</v>
      </c>
      <c r="M2862" s="2" t="str">
        <f>VLOOKUP(B2862,'PO with created By ASR'!A:K,8,FALSE)</f>
        <v>Purchase Order-Che</v>
      </c>
      <c r="N2862" t="s">
        <v>36</v>
      </c>
      <c r="P2862" s="2">
        <v>6</v>
      </c>
    </row>
    <row r="2863" s="2" customFormat="1" spans="1:16">
      <c r="A2863" s="8"/>
      <c r="B2863" s="9" t="s">
        <v>4086</v>
      </c>
      <c r="C2863" s="10" t="s">
        <v>1055</v>
      </c>
      <c r="D2863" s="11">
        <v>1</v>
      </c>
      <c r="E2863" s="12">
        <v>706</v>
      </c>
      <c r="F2863" s="13">
        <v>706</v>
      </c>
      <c r="G2863" s="2">
        <f>VLOOKUP(B2863,'PO with created By ASR'!A:C,3,FALSE)</f>
        <v>45713</v>
      </c>
      <c r="J2863" s="2" t="str">
        <f>VLOOKUP(B2863,'PO with created By ASR'!A:G,4,FALSE)</f>
        <v>Clinton J  for Expense-CR</v>
      </c>
      <c r="K2863" s="2" t="e">
        <f>VLOOKUP(B2863,'PO with created By ASR'!A:I,6,FALSE)</f>
        <v>#N/A</v>
      </c>
      <c r="L2863" s="2" t="str">
        <f>VLOOKUP(B2863,'PO with created By ASR'!A:J,7,FALSE)</f>
        <v>C - Chennai</v>
      </c>
      <c r="M2863" s="2" t="str">
        <f>VLOOKUP(B2863,'PO with created By ASR'!A:K,8,FALSE)</f>
        <v>Purchase Order-Che</v>
      </c>
      <c r="N2863" t="s">
        <v>36</v>
      </c>
      <c r="P2863" s="2">
        <v>6</v>
      </c>
    </row>
    <row r="2864" s="2" customFormat="1" spans="1:16">
      <c r="A2864" s="8"/>
      <c r="B2864" s="9" t="s">
        <v>4088</v>
      </c>
      <c r="C2864" s="10" t="s">
        <v>126</v>
      </c>
      <c r="D2864" s="11">
        <v>1</v>
      </c>
      <c r="E2864" s="12">
        <v>8962</v>
      </c>
      <c r="F2864" s="13">
        <v>8962</v>
      </c>
      <c r="G2864" s="2">
        <f>VLOOKUP(B2864,'PO with created By ASR'!A:C,3,FALSE)</f>
        <v>45713</v>
      </c>
      <c r="J2864" s="2" t="str">
        <f>VLOOKUP(B2864,'PO with created By ASR'!A:G,4,FALSE)</f>
        <v>Saiyam  Dhamija  -CR</v>
      </c>
      <c r="K2864" s="2" t="e">
        <f>VLOOKUP(B2864,'PO with created By ASR'!A:I,6,FALSE)</f>
        <v>#N/A</v>
      </c>
      <c r="L2864" s="2" t="str">
        <f>VLOOKUP(B2864,'PO with created By ASR'!A:J,7,FALSE)</f>
        <v>D - Delhi</v>
      </c>
      <c r="M2864" s="2" t="str">
        <f>VLOOKUP(B2864,'PO with created By ASR'!A:K,8,FALSE)</f>
        <v>Purchase Order-Del</v>
      </c>
      <c r="N2864" t="s">
        <v>36</v>
      </c>
      <c r="P2864" s="2">
        <v>6</v>
      </c>
    </row>
    <row r="2865" s="2" customFormat="1" spans="1:16">
      <c r="A2865" s="8"/>
      <c r="B2865" s="9" t="s">
        <v>4092</v>
      </c>
      <c r="C2865" s="10" t="s">
        <v>126</v>
      </c>
      <c r="D2865" s="11">
        <v>1</v>
      </c>
      <c r="E2865" s="12">
        <v>4518</v>
      </c>
      <c r="F2865" s="13">
        <v>4518</v>
      </c>
      <c r="G2865" s="2">
        <f>VLOOKUP(B2865,'PO with created By ASR'!A:C,3,FALSE)</f>
        <v>45713</v>
      </c>
      <c r="J2865" s="2" t="str">
        <f>VLOOKUP(B2865,'PO with created By ASR'!A:G,4,FALSE)</f>
        <v>Subdev Raj Bhagat  -CR</v>
      </c>
      <c r="K2865" s="2" t="e">
        <f>VLOOKUP(B2865,'PO with created By ASR'!A:I,6,FALSE)</f>
        <v>#N/A</v>
      </c>
      <c r="L2865" s="2" t="str">
        <f>VLOOKUP(B2865,'PO with created By ASR'!A:J,7,FALSE)</f>
        <v>D - Delhi</v>
      </c>
      <c r="M2865" s="2" t="str">
        <f>VLOOKUP(B2865,'PO with created By ASR'!A:K,8,FALSE)</f>
        <v>Purchase Order-Del</v>
      </c>
      <c r="N2865" t="s">
        <v>36</v>
      </c>
      <c r="P2865" s="2">
        <v>6</v>
      </c>
    </row>
    <row r="2866" s="2" customFormat="1" spans="1:16">
      <c r="A2866" s="8"/>
      <c r="B2866" s="9" t="s">
        <v>4095</v>
      </c>
      <c r="C2866" s="10" t="s">
        <v>126</v>
      </c>
      <c r="D2866" s="11">
        <v>1</v>
      </c>
      <c r="E2866" s="12">
        <v>2652</v>
      </c>
      <c r="F2866" s="13">
        <v>2652</v>
      </c>
      <c r="G2866" s="2">
        <f>VLOOKUP(B2866,'PO with created By ASR'!A:C,3,FALSE)</f>
        <v>45713</v>
      </c>
      <c r="J2866" s="2" t="str">
        <f>VLOOKUP(B2866,'PO with created By ASR'!A:G,4,FALSE)</f>
        <v>Sunny Kapoor........ -CR</v>
      </c>
      <c r="K2866" s="2" t="e">
        <f>VLOOKUP(B2866,'PO with created By ASR'!A:I,6,FALSE)</f>
        <v>#N/A</v>
      </c>
      <c r="L2866" s="2" t="str">
        <f>VLOOKUP(B2866,'PO with created By ASR'!A:J,7,FALSE)</f>
        <v>D - Delhi</v>
      </c>
      <c r="M2866" s="2" t="str">
        <f>VLOOKUP(B2866,'PO with created By ASR'!A:K,8,FALSE)</f>
        <v>Purchase Order-Del</v>
      </c>
      <c r="N2866" t="s">
        <v>36</v>
      </c>
      <c r="P2866" s="2">
        <v>6</v>
      </c>
    </row>
    <row r="2867" s="2" customFormat="1" spans="1:16">
      <c r="A2867" s="8"/>
      <c r="B2867" s="9" t="s">
        <v>4095</v>
      </c>
      <c r="C2867" s="10" t="s">
        <v>412</v>
      </c>
      <c r="D2867" s="11">
        <v>1</v>
      </c>
      <c r="E2867" s="12">
        <v>350</v>
      </c>
      <c r="F2867" s="13">
        <v>350</v>
      </c>
      <c r="G2867" s="2">
        <f>VLOOKUP(B2867,'PO with created By ASR'!A:C,3,FALSE)</f>
        <v>45713</v>
      </c>
      <c r="J2867" s="2" t="str">
        <f>VLOOKUP(B2867,'PO with created By ASR'!A:G,4,FALSE)</f>
        <v>Sunny Kapoor........ -CR</v>
      </c>
      <c r="K2867" s="2" t="e">
        <f>VLOOKUP(B2867,'PO with created By ASR'!A:I,6,FALSE)</f>
        <v>#N/A</v>
      </c>
      <c r="L2867" s="2" t="str">
        <f>VLOOKUP(B2867,'PO with created By ASR'!A:J,7,FALSE)</f>
        <v>D - Delhi</v>
      </c>
      <c r="M2867" s="2" t="str">
        <f>VLOOKUP(B2867,'PO with created By ASR'!A:K,8,FALSE)</f>
        <v>Purchase Order-Del</v>
      </c>
      <c r="N2867" t="s">
        <v>36</v>
      </c>
      <c r="P2867" s="2">
        <v>6</v>
      </c>
    </row>
    <row r="2868" s="2" customFormat="1" spans="1:16">
      <c r="A2868" s="8"/>
      <c r="B2868" s="9" t="s">
        <v>4099</v>
      </c>
      <c r="C2868" s="10" t="s">
        <v>233</v>
      </c>
      <c r="D2868" s="11">
        <v>1</v>
      </c>
      <c r="E2868" s="12">
        <v>37500</v>
      </c>
      <c r="F2868" s="13">
        <v>37500</v>
      </c>
      <c r="G2868" s="2">
        <f>VLOOKUP(B2868,'PO with created By ASR'!A:C,3,FALSE)</f>
        <v>45713</v>
      </c>
      <c r="J2868" s="2" t="str">
        <f>VLOOKUP(B2868,'PO with created By ASR'!A:G,4,FALSE)</f>
        <v>Varun Sondhi  -CR</v>
      </c>
      <c r="K2868" s="2" t="e">
        <f>VLOOKUP(B2868,'PO with created By ASR'!A:I,6,FALSE)</f>
        <v>#N/A</v>
      </c>
      <c r="L2868" s="2" t="str">
        <f>VLOOKUP(B2868,'PO with created By ASR'!A:J,7,FALSE)</f>
        <v>D - Delhi</v>
      </c>
      <c r="M2868" s="2" t="str">
        <f>VLOOKUP(B2868,'PO with created By ASR'!A:K,8,FALSE)</f>
        <v>Purchase Order-Del</v>
      </c>
      <c r="N2868" t="s">
        <v>36</v>
      </c>
      <c r="P2868" s="2">
        <v>6</v>
      </c>
    </row>
    <row r="2869" s="2" customFormat="1" spans="1:16">
      <c r="A2869" s="8"/>
      <c r="B2869" s="9" t="s">
        <v>4100</v>
      </c>
      <c r="C2869" s="10" t="s">
        <v>126</v>
      </c>
      <c r="D2869" s="11">
        <v>1</v>
      </c>
      <c r="E2869" s="12">
        <v>3783</v>
      </c>
      <c r="F2869" s="13">
        <v>3783</v>
      </c>
      <c r="G2869" s="2">
        <f>VLOOKUP(B2869,'PO with created By ASR'!A:C,3,FALSE)</f>
        <v>45713</v>
      </c>
      <c r="J2869" s="2" t="str">
        <f>VLOOKUP(B2869,'PO with created By ASR'!A:G,4,FALSE)</f>
        <v>Nidansh Kaul  -CR</v>
      </c>
      <c r="K2869" s="2" t="e">
        <f>VLOOKUP(B2869,'PO with created By ASR'!A:I,6,FALSE)</f>
        <v>#N/A</v>
      </c>
      <c r="L2869" s="2" t="str">
        <f>VLOOKUP(B2869,'PO with created By ASR'!A:J,7,FALSE)</f>
        <v>D - Delhi</v>
      </c>
      <c r="M2869" s="2" t="str">
        <f>VLOOKUP(B2869,'PO with created By ASR'!A:K,8,FALSE)</f>
        <v>Purchase Order-Del</v>
      </c>
      <c r="N2869" t="s">
        <v>36</v>
      </c>
      <c r="P2869" s="2">
        <v>6</v>
      </c>
    </row>
    <row r="2870" s="2" customFormat="1" spans="1:16">
      <c r="A2870" s="8"/>
      <c r="B2870" s="9" t="s">
        <v>4100</v>
      </c>
      <c r="C2870" s="10" t="s">
        <v>412</v>
      </c>
      <c r="D2870" s="11">
        <v>1</v>
      </c>
      <c r="E2870" s="12">
        <v>1043</v>
      </c>
      <c r="F2870" s="13">
        <v>1043</v>
      </c>
      <c r="G2870" s="2">
        <f>VLOOKUP(B2870,'PO with created By ASR'!A:C,3,FALSE)</f>
        <v>45713</v>
      </c>
      <c r="J2870" s="2" t="str">
        <f>VLOOKUP(B2870,'PO with created By ASR'!A:G,4,FALSE)</f>
        <v>Nidansh Kaul  -CR</v>
      </c>
      <c r="K2870" s="2" t="e">
        <f>VLOOKUP(B2870,'PO with created By ASR'!A:I,6,FALSE)</f>
        <v>#N/A</v>
      </c>
      <c r="L2870" s="2" t="str">
        <f>VLOOKUP(B2870,'PO with created By ASR'!A:J,7,FALSE)</f>
        <v>D - Delhi</v>
      </c>
      <c r="M2870" s="2" t="str">
        <f>VLOOKUP(B2870,'PO with created By ASR'!A:K,8,FALSE)</f>
        <v>Purchase Order-Del</v>
      </c>
      <c r="N2870" t="s">
        <v>36</v>
      </c>
      <c r="P2870" s="2">
        <v>6</v>
      </c>
    </row>
    <row r="2871" s="2" customFormat="1" spans="1:16">
      <c r="A2871" s="8"/>
      <c r="B2871" s="9" t="s">
        <v>4100</v>
      </c>
      <c r="C2871" s="10" t="s">
        <v>233</v>
      </c>
      <c r="D2871" s="11">
        <v>1</v>
      </c>
      <c r="E2871" s="12">
        <v>537</v>
      </c>
      <c r="F2871" s="13">
        <v>537</v>
      </c>
      <c r="G2871" s="2">
        <f>VLOOKUP(B2871,'PO with created By ASR'!A:C,3,FALSE)</f>
        <v>45713</v>
      </c>
      <c r="J2871" s="2" t="str">
        <f>VLOOKUP(B2871,'PO with created By ASR'!A:G,4,FALSE)</f>
        <v>Nidansh Kaul  -CR</v>
      </c>
      <c r="K2871" s="2" t="e">
        <f>VLOOKUP(B2871,'PO with created By ASR'!A:I,6,FALSE)</f>
        <v>#N/A</v>
      </c>
      <c r="L2871" s="2" t="str">
        <f>VLOOKUP(B2871,'PO with created By ASR'!A:J,7,FALSE)</f>
        <v>D - Delhi</v>
      </c>
      <c r="M2871" s="2" t="str">
        <f>VLOOKUP(B2871,'PO with created By ASR'!A:K,8,FALSE)</f>
        <v>Purchase Order-Del</v>
      </c>
      <c r="N2871" t="s">
        <v>36</v>
      </c>
      <c r="P2871" s="2">
        <v>6</v>
      </c>
    </row>
    <row r="2872" s="2" customFormat="1" spans="1:16">
      <c r="A2872" s="8"/>
      <c r="B2872" s="9" t="s">
        <v>4104</v>
      </c>
      <c r="C2872" s="10" t="s">
        <v>126</v>
      </c>
      <c r="D2872" s="11">
        <v>1</v>
      </c>
      <c r="E2872" s="12">
        <v>3600</v>
      </c>
      <c r="F2872" s="13">
        <v>3600</v>
      </c>
      <c r="G2872" s="2">
        <f>VLOOKUP(B2872,'PO with created By ASR'!A:C,3,FALSE)</f>
        <v>45713</v>
      </c>
      <c r="J2872" s="2" t="str">
        <f>VLOOKUP(B2872,'PO with created By ASR'!A:G,4,FALSE)</f>
        <v>Sachin Kumar  -CR</v>
      </c>
      <c r="K2872" s="2" t="e">
        <f>VLOOKUP(B2872,'PO with created By ASR'!A:I,6,FALSE)</f>
        <v>#N/A</v>
      </c>
      <c r="L2872" s="2" t="str">
        <f>VLOOKUP(B2872,'PO with created By ASR'!A:J,7,FALSE)</f>
        <v>D - Delhi</v>
      </c>
      <c r="M2872" s="2" t="str">
        <f>VLOOKUP(B2872,'PO with created By ASR'!A:K,8,FALSE)</f>
        <v>Purchase Order-Del</v>
      </c>
      <c r="N2872" t="s">
        <v>36</v>
      </c>
      <c r="P2872" s="2">
        <v>6</v>
      </c>
    </row>
    <row r="2873" s="2" customFormat="1" spans="1:16">
      <c r="A2873" s="8"/>
      <c r="B2873" s="9" t="s">
        <v>4108</v>
      </c>
      <c r="C2873" s="10" t="s">
        <v>126</v>
      </c>
      <c r="D2873" s="11">
        <v>1</v>
      </c>
      <c r="E2873" s="12">
        <v>1633</v>
      </c>
      <c r="F2873" s="13">
        <v>1633</v>
      </c>
      <c r="G2873" s="2">
        <f>VLOOKUP(B2873,'PO with created By ASR'!A:C,3,FALSE)</f>
        <v>45713</v>
      </c>
      <c r="J2873" s="2" t="str">
        <f>VLOOKUP(B2873,'PO with created By ASR'!A:G,4,FALSE)</f>
        <v>Komal Vajpai  -CR</v>
      </c>
      <c r="K2873" s="2" t="e">
        <f>VLOOKUP(B2873,'PO with created By ASR'!A:I,6,FALSE)</f>
        <v>#N/A</v>
      </c>
      <c r="L2873" s="2" t="str">
        <f>VLOOKUP(B2873,'PO with created By ASR'!A:J,7,FALSE)</f>
        <v>D - Delhi</v>
      </c>
      <c r="M2873" s="2" t="str">
        <f>VLOOKUP(B2873,'PO with created By ASR'!A:K,8,FALSE)</f>
        <v>Purchase Order-Del</v>
      </c>
      <c r="N2873" t="s">
        <v>36</v>
      </c>
      <c r="P2873" s="2">
        <v>6</v>
      </c>
    </row>
    <row r="2874" s="2" customFormat="1" spans="1:16">
      <c r="A2874" s="8"/>
      <c r="B2874" s="9" t="s">
        <v>4108</v>
      </c>
      <c r="C2874" s="10" t="s">
        <v>412</v>
      </c>
      <c r="D2874" s="11">
        <v>1</v>
      </c>
      <c r="E2874" s="12">
        <v>186</v>
      </c>
      <c r="F2874" s="13">
        <v>186</v>
      </c>
      <c r="G2874" s="2">
        <f>VLOOKUP(B2874,'PO with created By ASR'!A:C,3,FALSE)</f>
        <v>45713</v>
      </c>
      <c r="J2874" s="2" t="str">
        <f>VLOOKUP(B2874,'PO with created By ASR'!A:G,4,FALSE)</f>
        <v>Komal Vajpai  -CR</v>
      </c>
      <c r="K2874" s="2" t="e">
        <f>VLOOKUP(B2874,'PO with created By ASR'!A:I,6,FALSE)</f>
        <v>#N/A</v>
      </c>
      <c r="L2874" s="2" t="str">
        <f>VLOOKUP(B2874,'PO with created By ASR'!A:J,7,FALSE)</f>
        <v>D - Delhi</v>
      </c>
      <c r="M2874" s="2" t="str">
        <f>VLOOKUP(B2874,'PO with created By ASR'!A:K,8,FALSE)</f>
        <v>Purchase Order-Del</v>
      </c>
      <c r="N2874" t="s">
        <v>36</v>
      </c>
      <c r="P2874" s="2">
        <v>6</v>
      </c>
    </row>
    <row r="2875" s="2" customFormat="1" spans="1:16">
      <c r="A2875" s="8"/>
      <c r="B2875" s="9" t="s">
        <v>4112</v>
      </c>
      <c r="C2875" s="10" t="s">
        <v>734</v>
      </c>
      <c r="D2875" s="11">
        <v>1</v>
      </c>
      <c r="E2875" s="12">
        <v>28369</v>
      </c>
      <c r="F2875" s="13">
        <v>28369</v>
      </c>
      <c r="G2875" s="2">
        <f>VLOOKUP(B2875,'PO with created By ASR'!A:C,3,FALSE)</f>
        <v>45713</v>
      </c>
      <c r="J2875" s="2" t="str">
        <f>VLOOKUP(B2875,'PO with created By ASR'!A:G,4,FALSE)</f>
        <v>Travelnama-Del</v>
      </c>
      <c r="K2875" s="2" t="e">
        <f>VLOOKUP(B2875,'PO with created By ASR'!A:I,6,FALSE)</f>
        <v>#N/A</v>
      </c>
      <c r="L2875" s="2" t="str">
        <f>VLOOKUP(B2875,'PO with created By ASR'!A:J,7,FALSE)</f>
        <v>D - Delhi</v>
      </c>
      <c r="M2875" s="2" t="str">
        <f>VLOOKUP(B2875,'PO with created By ASR'!A:K,8,FALSE)</f>
        <v>Purchase Order-Del</v>
      </c>
      <c r="N2875" t="s">
        <v>36</v>
      </c>
      <c r="P2875" s="2">
        <v>6</v>
      </c>
    </row>
    <row r="2876" s="2" customFormat="1" spans="1:16">
      <c r="A2876" s="8"/>
      <c r="B2876" s="9" t="s">
        <v>4112</v>
      </c>
      <c r="C2876" s="10" t="s">
        <v>734</v>
      </c>
      <c r="D2876" s="11">
        <v>1</v>
      </c>
      <c r="E2876" s="12">
        <v>551075</v>
      </c>
      <c r="F2876" s="13">
        <v>551075</v>
      </c>
      <c r="G2876" s="2">
        <f>VLOOKUP(B2876,'PO with created By ASR'!A:C,3,FALSE)</f>
        <v>45713</v>
      </c>
      <c r="J2876" s="2" t="str">
        <f>VLOOKUP(B2876,'PO with created By ASR'!A:G,4,FALSE)</f>
        <v>Travelnama-Del</v>
      </c>
      <c r="K2876" s="2" t="e">
        <f>VLOOKUP(B2876,'PO with created By ASR'!A:I,6,FALSE)</f>
        <v>#N/A</v>
      </c>
      <c r="L2876" s="2" t="str">
        <f>VLOOKUP(B2876,'PO with created By ASR'!A:J,7,FALSE)</f>
        <v>D - Delhi</v>
      </c>
      <c r="M2876" s="2" t="str">
        <f>VLOOKUP(B2876,'PO with created By ASR'!A:K,8,FALSE)</f>
        <v>Purchase Order-Del</v>
      </c>
      <c r="N2876" t="s">
        <v>36</v>
      </c>
      <c r="P2876" s="2">
        <v>6</v>
      </c>
    </row>
    <row r="2877" s="2" customFormat="1" spans="1:16">
      <c r="A2877" s="8"/>
      <c r="B2877" s="9" t="s">
        <v>4113</v>
      </c>
      <c r="C2877" s="10" t="s">
        <v>126</v>
      </c>
      <c r="D2877" s="11">
        <v>1</v>
      </c>
      <c r="E2877" s="12">
        <v>3393</v>
      </c>
      <c r="F2877" s="13">
        <v>3393</v>
      </c>
      <c r="G2877" s="2">
        <f>VLOOKUP(B2877,'PO with created By ASR'!A:C,3,FALSE)</f>
        <v>45713</v>
      </c>
      <c r="J2877" s="2" t="str">
        <f>VLOOKUP(B2877,'PO with created By ASR'!A:G,4,FALSE)</f>
        <v>Rohan Oberoi  -CR</v>
      </c>
      <c r="K2877" s="2" t="e">
        <f>VLOOKUP(B2877,'PO with created By ASR'!A:I,6,FALSE)</f>
        <v>#N/A</v>
      </c>
      <c r="L2877" s="2" t="str">
        <f>VLOOKUP(B2877,'PO with created By ASR'!A:J,7,FALSE)</f>
        <v>D - Delhi</v>
      </c>
      <c r="M2877" s="2" t="str">
        <f>VLOOKUP(B2877,'PO with created By ASR'!A:K,8,FALSE)</f>
        <v>Purchase Order-Del</v>
      </c>
      <c r="N2877" t="s">
        <v>36</v>
      </c>
      <c r="P2877" s="2">
        <v>6</v>
      </c>
    </row>
    <row r="2878" s="2" customFormat="1" spans="1:16">
      <c r="A2878" s="8"/>
      <c r="B2878" s="9" t="s">
        <v>4113</v>
      </c>
      <c r="C2878" s="10" t="s">
        <v>412</v>
      </c>
      <c r="D2878" s="11">
        <v>1</v>
      </c>
      <c r="E2878" s="12">
        <v>164</v>
      </c>
      <c r="F2878" s="13">
        <v>164</v>
      </c>
      <c r="G2878" s="2">
        <f>VLOOKUP(B2878,'PO with created By ASR'!A:C,3,FALSE)</f>
        <v>45713</v>
      </c>
      <c r="J2878" s="2" t="str">
        <f>VLOOKUP(B2878,'PO with created By ASR'!A:G,4,FALSE)</f>
        <v>Rohan Oberoi  -CR</v>
      </c>
      <c r="K2878" s="2" t="e">
        <f>VLOOKUP(B2878,'PO with created By ASR'!A:I,6,FALSE)</f>
        <v>#N/A</v>
      </c>
      <c r="L2878" s="2" t="str">
        <f>VLOOKUP(B2878,'PO with created By ASR'!A:J,7,FALSE)</f>
        <v>D - Delhi</v>
      </c>
      <c r="M2878" s="2" t="str">
        <f>VLOOKUP(B2878,'PO with created By ASR'!A:K,8,FALSE)</f>
        <v>Purchase Order-Del</v>
      </c>
      <c r="N2878" t="s">
        <v>36</v>
      </c>
      <c r="P2878" s="2">
        <v>6</v>
      </c>
    </row>
    <row r="2879" s="2" customFormat="1" spans="1:16">
      <c r="A2879" s="8"/>
      <c r="B2879" s="9" t="s">
        <v>4117</v>
      </c>
      <c r="C2879" s="10" t="s">
        <v>126</v>
      </c>
      <c r="D2879" s="11">
        <v>1</v>
      </c>
      <c r="E2879" s="12">
        <v>1191</v>
      </c>
      <c r="F2879" s="13">
        <v>1191</v>
      </c>
      <c r="G2879" s="2">
        <f>VLOOKUP(B2879,'PO with created By ASR'!A:C,3,FALSE)</f>
        <v>45713</v>
      </c>
      <c r="J2879" s="2" t="str">
        <f>VLOOKUP(B2879,'PO with created By ASR'!A:G,4,FALSE)</f>
        <v>Pradeep Singh Rawat  -CR</v>
      </c>
      <c r="K2879" s="2" t="e">
        <f>VLOOKUP(B2879,'PO with created By ASR'!A:I,6,FALSE)</f>
        <v>#N/A</v>
      </c>
      <c r="L2879" s="2" t="str">
        <f>VLOOKUP(B2879,'PO with created By ASR'!A:J,7,FALSE)</f>
        <v>D - Delhi</v>
      </c>
      <c r="M2879" s="2" t="str">
        <f>VLOOKUP(B2879,'PO with created By ASR'!A:K,8,FALSE)</f>
        <v>Purchase Order-Del</v>
      </c>
      <c r="N2879" t="s">
        <v>36</v>
      </c>
      <c r="P2879" s="2">
        <v>6</v>
      </c>
    </row>
    <row r="2880" s="2" customFormat="1" spans="1:16">
      <c r="A2880" s="8"/>
      <c r="B2880" s="9" t="s">
        <v>4120</v>
      </c>
      <c r="C2880" s="10" t="s">
        <v>803</v>
      </c>
      <c r="D2880" s="11">
        <v>1</v>
      </c>
      <c r="E2880" s="12">
        <v>74637</v>
      </c>
      <c r="F2880" s="13">
        <v>74637</v>
      </c>
      <c r="G2880" s="2">
        <f>VLOOKUP(B2880,'PO with created By ASR'!A:C,3,FALSE)</f>
        <v>45713</v>
      </c>
      <c r="J2880" s="2" t="str">
        <f>VLOOKUP(B2880,'PO with created By ASR'!A:G,4,FALSE)</f>
        <v>Puja Myne  -CR</v>
      </c>
      <c r="K2880" s="2" t="e">
        <f>VLOOKUP(B2880,'PO with created By ASR'!A:I,6,FALSE)</f>
        <v>#N/A</v>
      </c>
      <c r="L2880" s="2" t="str">
        <f>VLOOKUP(B2880,'PO with created By ASR'!A:J,7,FALSE)</f>
        <v>D - Delhi</v>
      </c>
      <c r="M2880" s="2" t="str">
        <f>VLOOKUP(B2880,'PO with created By ASR'!A:K,8,FALSE)</f>
        <v>Purchase Order-Del</v>
      </c>
      <c r="N2880" t="s">
        <v>36</v>
      </c>
      <c r="P2880" s="2">
        <v>6</v>
      </c>
    </row>
    <row r="2881" s="2" customFormat="1" spans="1:16">
      <c r="A2881" s="8"/>
      <c r="B2881" s="9" t="s">
        <v>4124</v>
      </c>
      <c r="C2881" s="10" t="s">
        <v>126</v>
      </c>
      <c r="D2881" s="11">
        <v>1</v>
      </c>
      <c r="E2881" s="12">
        <v>1274</v>
      </c>
      <c r="F2881" s="13">
        <v>1274</v>
      </c>
      <c r="G2881" s="2">
        <f>VLOOKUP(B2881,'PO with created By ASR'!A:C,3,FALSE)</f>
        <v>45713</v>
      </c>
      <c r="J2881" s="2" t="str">
        <f>VLOOKUP(B2881,'PO with created By ASR'!A:G,4,FALSE)</f>
        <v>Puja Myne  -CR</v>
      </c>
      <c r="K2881" s="2" t="e">
        <f>VLOOKUP(B2881,'PO with created By ASR'!A:I,6,FALSE)</f>
        <v>#N/A</v>
      </c>
      <c r="L2881" s="2" t="str">
        <f>VLOOKUP(B2881,'PO with created By ASR'!A:J,7,FALSE)</f>
        <v>D - Delhi</v>
      </c>
      <c r="M2881" s="2" t="str">
        <f>VLOOKUP(B2881,'PO with created By ASR'!A:K,8,FALSE)</f>
        <v>Purchase Order-Del</v>
      </c>
      <c r="N2881" t="s">
        <v>36</v>
      </c>
      <c r="P2881" s="2">
        <v>6</v>
      </c>
    </row>
    <row r="2882" s="2" customFormat="1" spans="1:16">
      <c r="A2882" s="8"/>
      <c r="B2882" s="9" t="s">
        <v>4124</v>
      </c>
      <c r="C2882" s="10" t="s">
        <v>233</v>
      </c>
      <c r="D2882" s="11">
        <v>1</v>
      </c>
      <c r="E2882" s="12">
        <v>11090</v>
      </c>
      <c r="F2882" s="13">
        <v>11090</v>
      </c>
      <c r="G2882" s="2">
        <f>VLOOKUP(B2882,'PO with created By ASR'!A:C,3,FALSE)</f>
        <v>45713</v>
      </c>
      <c r="J2882" s="2" t="str">
        <f>VLOOKUP(B2882,'PO with created By ASR'!A:G,4,FALSE)</f>
        <v>Puja Myne  -CR</v>
      </c>
      <c r="K2882" s="2" t="e">
        <f>VLOOKUP(B2882,'PO with created By ASR'!A:I,6,FALSE)</f>
        <v>#N/A</v>
      </c>
      <c r="L2882" s="2" t="str">
        <f>VLOOKUP(B2882,'PO with created By ASR'!A:J,7,FALSE)</f>
        <v>D - Delhi</v>
      </c>
      <c r="M2882" s="2" t="str">
        <f>VLOOKUP(B2882,'PO with created By ASR'!A:K,8,FALSE)</f>
        <v>Purchase Order-Del</v>
      </c>
      <c r="N2882" t="s">
        <v>36</v>
      </c>
      <c r="P2882" s="2">
        <v>6</v>
      </c>
    </row>
    <row r="2883" s="2" customFormat="1" spans="1:16">
      <c r="A2883" s="8"/>
      <c r="B2883" s="9" t="s">
        <v>4125</v>
      </c>
      <c r="C2883" s="10" t="s">
        <v>126</v>
      </c>
      <c r="D2883" s="11">
        <v>1</v>
      </c>
      <c r="E2883" s="12">
        <v>3922</v>
      </c>
      <c r="F2883" s="13">
        <v>3922</v>
      </c>
      <c r="G2883" s="2">
        <f>VLOOKUP(B2883,'PO with created By ASR'!A:C,3,FALSE)</f>
        <v>45713</v>
      </c>
      <c r="J2883" s="2" t="str">
        <f>VLOOKUP(B2883,'PO with created By ASR'!A:G,4,FALSE)</f>
        <v>Sajid Khan  -CR</v>
      </c>
      <c r="K2883" s="2" t="e">
        <f>VLOOKUP(B2883,'PO with created By ASR'!A:I,6,FALSE)</f>
        <v>#N/A</v>
      </c>
      <c r="L2883" s="2" t="str">
        <f>VLOOKUP(B2883,'PO with created By ASR'!A:J,7,FALSE)</f>
        <v>D - Delhi</v>
      </c>
      <c r="M2883" s="2" t="str">
        <f>VLOOKUP(B2883,'PO with created By ASR'!A:K,8,FALSE)</f>
        <v>Purchase Order-Del</v>
      </c>
      <c r="N2883" t="s">
        <v>36</v>
      </c>
      <c r="P2883" s="2">
        <v>6</v>
      </c>
    </row>
    <row r="2884" s="2" customFormat="1" spans="1:16">
      <c r="A2884" s="8"/>
      <c r="B2884" s="9" t="s">
        <v>4125</v>
      </c>
      <c r="C2884" s="10" t="s">
        <v>412</v>
      </c>
      <c r="D2884" s="11">
        <v>1</v>
      </c>
      <c r="E2884" s="12">
        <v>811</v>
      </c>
      <c r="F2884" s="13">
        <v>811</v>
      </c>
      <c r="G2884" s="2">
        <f>VLOOKUP(B2884,'PO with created By ASR'!A:C,3,FALSE)</f>
        <v>45713</v>
      </c>
      <c r="J2884" s="2" t="str">
        <f>VLOOKUP(B2884,'PO with created By ASR'!A:G,4,FALSE)</f>
        <v>Sajid Khan  -CR</v>
      </c>
      <c r="K2884" s="2" t="e">
        <f>VLOOKUP(B2884,'PO with created By ASR'!A:I,6,FALSE)</f>
        <v>#N/A</v>
      </c>
      <c r="L2884" s="2" t="str">
        <f>VLOOKUP(B2884,'PO with created By ASR'!A:J,7,FALSE)</f>
        <v>D - Delhi</v>
      </c>
      <c r="M2884" s="2" t="str">
        <f>VLOOKUP(B2884,'PO with created By ASR'!A:K,8,FALSE)</f>
        <v>Purchase Order-Del</v>
      </c>
      <c r="N2884" t="s">
        <v>36</v>
      </c>
      <c r="P2884" s="2">
        <v>6</v>
      </c>
    </row>
    <row r="2885" s="2" customFormat="1" spans="1:16">
      <c r="A2885" s="8"/>
      <c r="B2885" s="9" t="s">
        <v>4127</v>
      </c>
      <c r="C2885" s="10" t="s">
        <v>126</v>
      </c>
      <c r="D2885" s="11">
        <v>1</v>
      </c>
      <c r="E2885" s="12">
        <v>5238</v>
      </c>
      <c r="F2885" s="13">
        <v>5238</v>
      </c>
      <c r="G2885" s="2">
        <f>VLOOKUP(B2885,'PO with created By ASR'!A:C,3,FALSE)</f>
        <v>45713</v>
      </c>
      <c r="J2885" s="2" t="str">
        <f>VLOOKUP(B2885,'PO with created By ASR'!A:G,4,FALSE)</f>
        <v>Ananya Mall  -CR</v>
      </c>
      <c r="K2885" s="2" t="e">
        <f>VLOOKUP(B2885,'PO with created By ASR'!A:I,6,FALSE)</f>
        <v>#N/A</v>
      </c>
      <c r="L2885" s="2" t="str">
        <f>VLOOKUP(B2885,'PO with created By ASR'!A:J,7,FALSE)</f>
        <v>D - Delhi</v>
      </c>
      <c r="M2885" s="2" t="str">
        <f>VLOOKUP(B2885,'PO with created By ASR'!A:K,8,FALSE)</f>
        <v>Purchase Order-Del</v>
      </c>
      <c r="N2885" t="s">
        <v>36</v>
      </c>
      <c r="P2885" s="2">
        <v>6</v>
      </c>
    </row>
    <row r="2886" s="2" customFormat="1" spans="1:16">
      <c r="A2886" s="8"/>
      <c r="B2886" s="9" t="s">
        <v>4127</v>
      </c>
      <c r="C2886" s="10" t="s">
        <v>412</v>
      </c>
      <c r="D2886" s="11">
        <v>1</v>
      </c>
      <c r="E2886" s="12">
        <v>1579</v>
      </c>
      <c r="F2886" s="13">
        <v>1579</v>
      </c>
      <c r="G2886" s="2">
        <f>VLOOKUP(B2886,'PO with created By ASR'!A:C,3,FALSE)</f>
        <v>45713</v>
      </c>
      <c r="J2886" s="2" t="str">
        <f>VLOOKUP(B2886,'PO with created By ASR'!A:G,4,FALSE)</f>
        <v>Ananya Mall  -CR</v>
      </c>
      <c r="K2886" s="2" t="e">
        <f>VLOOKUP(B2886,'PO with created By ASR'!A:I,6,FALSE)</f>
        <v>#N/A</v>
      </c>
      <c r="L2886" s="2" t="str">
        <f>VLOOKUP(B2886,'PO with created By ASR'!A:J,7,FALSE)</f>
        <v>D - Delhi</v>
      </c>
      <c r="M2886" s="2" t="str">
        <f>VLOOKUP(B2886,'PO with created By ASR'!A:K,8,FALSE)</f>
        <v>Purchase Order-Del</v>
      </c>
      <c r="N2886" t="s">
        <v>36</v>
      </c>
      <c r="P2886" s="2">
        <v>6</v>
      </c>
    </row>
    <row r="2887" s="2" customFormat="1" spans="1:16">
      <c r="A2887" s="8"/>
      <c r="B2887" s="9" t="s">
        <v>4129</v>
      </c>
      <c r="C2887" s="10" t="s">
        <v>803</v>
      </c>
      <c r="D2887" s="11">
        <v>1</v>
      </c>
      <c r="E2887" s="12">
        <v>3726</v>
      </c>
      <c r="F2887" s="13">
        <v>3726</v>
      </c>
      <c r="G2887" s="2">
        <f>VLOOKUP(B2887,'PO with created By ASR'!A:C,3,FALSE)</f>
        <v>45713</v>
      </c>
      <c r="J2887" s="2" t="str">
        <f>VLOOKUP(B2887,'PO with created By ASR'!A:G,4,FALSE)</f>
        <v>Anurag Jadli  -CR</v>
      </c>
      <c r="K2887" s="2" t="e">
        <f>VLOOKUP(B2887,'PO with created By ASR'!A:I,6,FALSE)</f>
        <v>#N/A</v>
      </c>
      <c r="L2887" s="2" t="str">
        <f>VLOOKUP(B2887,'PO with created By ASR'!A:J,7,FALSE)</f>
        <v>D - Delhi</v>
      </c>
      <c r="M2887" s="2" t="str">
        <f>VLOOKUP(B2887,'PO with created By ASR'!A:K,8,FALSE)</f>
        <v>Purchase Order-Del</v>
      </c>
      <c r="N2887" t="s">
        <v>36</v>
      </c>
      <c r="P2887" s="2">
        <v>6</v>
      </c>
    </row>
    <row r="2888" s="2" customFormat="1" spans="1:16">
      <c r="A2888" s="8"/>
      <c r="B2888" s="9" t="s">
        <v>4130</v>
      </c>
      <c r="C2888" s="10" t="s">
        <v>233</v>
      </c>
      <c r="D2888" s="11">
        <v>1</v>
      </c>
      <c r="E2888" s="12">
        <v>4718</v>
      </c>
      <c r="F2888" s="13">
        <v>4718</v>
      </c>
      <c r="G2888" s="2">
        <f>VLOOKUP(B2888,'PO with created By ASR'!A:C,3,FALSE)</f>
        <v>45713</v>
      </c>
      <c r="J2888" s="2" t="str">
        <f>VLOOKUP(B2888,'PO with created By ASR'!A:G,4,FALSE)</f>
        <v>Anurag Jadli  -CR</v>
      </c>
      <c r="K2888" s="2" t="e">
        <f>VLOOKUP(B2888,'PO with created By ASR'!A:I,6,FALSE)</f>
        <v>#N/A</v>
      </c>
      <c r="L2888" s="2" t="str">
        <f>VLOOKUP(B2888,'PO with created By ASR'!A:J,7,FALSE)</f>
        <v>D - Delhi</v>
      </c>
      <c r="M2888" s="2" t="str">
        <f>VLOOKUP(B2888,'PO with created By ASR'!A:K,8,FALSE)</f>
        <v>Purchase Order-Del</v>
      </c>
      <c r="N2888" t="s">
        <v>36</v>
      </c>
      <c r="P2888" s="2">
        <v>6</v>
      </c>
    </row>
    <row r="2889" s="2" customFormat="1" spans="1:16">
      <c r="A2889" s="8"/>
      <c r="B2889" s="9" t="s">
        <v>4131</v>
      </c>
      <c r="C2889" s="10" t="s">
        <v>347</v>
      </c>
      <c r="D2889" s="11">
        <v>1</v>
      </c>
      <c r="E2889" s="12">
        <v>45000</v>
      </c>
      <c r="F2889" s="13">
        <v>45000</v>
      </c>
      <c r="G2889" s="2">
        <f>VLOOKUP(B2889,'PO with created By ASR'!A:C,3,FALSE)</f>
        <v>45713</v>
      </c>
      <c r="J2889" s="2" t="str">
        <f>VLOOKUP(B2889,'PO with created By ASR'!A:G,4,FALSE)</f>
        <v>Pindrop Voices Pvt Ltd-Del</v>
      </c>
      <c r="K2889" s="2" t="str">
        <f>VLOOKUP(B2889,'PO with created By ASR'!A:I,6,FALSE)</f>
        <v>10807  Pindrop Voices Pvt Ltd</v>
      </c>
      <c r="L2889" s="2" t="str">
        <f>VLOOKUP(B2889,'PO with created By ASR'!A:J,7,FALSE)</f>
        <v>D - Delhi</v>
      </c>
      <c r="M2889" s="2" t="str">
        <f>VLOOKUP(B2889,'PO with created By ASR'!A:K,8,FALSE)</f>
        <v>Purchase Order-Del</v>
      </c>
      <c r="N2889" t="s">
        <v>36</v>
      </c>
      <c r="P2889" s="2">
        <v>6</v>
      </c>
    </row>
    <row r="2890" s="2" customFormat="1" spans="1:16">
      <c r="A2890" s="8"/>
      <c r="B2890" s="9" t="s">
        <v>4134</v>
      </c>
      <c r="C2890" s="10" t="s">
        <v>347</v>
      </c>
      <c r="D2890" s="11">
        <v>1</v>
      </c>
      <c r="E2890" s="12">
        <v>30000</v>
      </c>
      <c r="F2890" s="13">
        <v>30000</v>
      </c>
      <c r="G2890" s="2">
        <f>VLOOKUP(B2890,'PO with created By ASR'!A:C,3,FALSE)</f>
        <v>45713</v>
      </c>
      <c r="J2890" s="2" t="str">
        <f>VLOOKUP(B2890,'PO with created By ASR'!A:G,4,FALSE)</f>
        <v>Pindrop Voices Pvt Ltd-Del</v>
      </c>
      <c r="K2890" s="2" t="str">
        <f>VLOOKUP(B2890,'PO with created By ASR'!A:I,6,FALSE)</f>
        <v>10807  Pindrop Voices Pvt Ltd</v>
      </c>
      <c r="L2890" s="2" t="str">
        <f>VLOOKUP(B2890,'PO with created By ASR'!A:J,7,FALSE)</f>
        <v>D - Delhi</v>
      </c>
      <c r="M2890" s="2" t="str">
        <f>VLOOKUP(B2890,'PO with created By ASR'!A:K,8,FALSE)</f>
        <v>Purchase Order-Del</v>
      </c>
      <c r="N2890" t="s">
        <v>36</v>
      </c>
      <c r="P2890" s="2">
        <v>6</v>
      </c>
    </row>
    <row r="2891" s="2" customFormat="1" spans="1:16">
      <c r="A2891" s="8"/>
      <c r="B2891" s="9" t="s">
        <v>4135</v>
      </c>
      <c r="C2891" s="10" t="s">
        <v>803</v>
      </c>
      <c r="D2891" s="11">
        <v>1</v>
      </c>
      <c r="E2891" s="12">
        <v>63875</v>
      </c>
      <c r="F2891" s="13">
        <v>63875</v>
      </c>
      <c r="G2891" s="2">
        <f>VLOOKUP(B2891,'PO with created By ASR'!A:C,3,FALSE)</f>
        <v>45713</v>
      </c>
      <c r="J2891" s="2" t="str">
        <f>VLOOKUP(B2891,'PO with created By ASR'!A:G,4,FALSE)</f>
        <v>Sidhant Saxena.....-CR</v>
      </c>
      <c r="K2891" s="2" t="e">
        <f>VLOOKUP(B2891,'PO with created By ASR'!A:I,6,FALSE)</f>
        <v>#N/A</v>
      </c>
      <c r="L2891" s="2" t="str">
        <f>VLOOKUP(B2891,'PO with created By ASR'!A:J,7,FALSE)</f>
        <v>D - Delhi</v>
      </c>
      <c r="M2891" s="2" t="str">
        <f>VLOOKUP(B2891,'PO with created By ASR'!A:K,8,FALSE)</f>
        <v>Purchase Order-Del</v>
      </c>
      <c r="N2891" t="s">
        <v>36</v>
      </c>
      <c r="P2891" s="2">
        <v>6</v>
      </c>
    </row>
    <row r="2892" s="2" customFormat="1" spans="1:16">
      <c r="A2892" s="8"/>
      <c r="B2892" s="9" t="s">
        <v>4137</v>
      </c>
      <c r="C2892" s="10" t="s">
        <v>803</v>
      </c>
      <c r="D2892" s="11">
        <v>1</v>
      </c>
      <c r="E2892" s="12">
        <v>97338</v>
      </c>
      <c r="F2892" s="13">
        <v>97338</v>
      </c>
      <c r="G2892" s="2">
        <f>VLOOKUP(B2892,'PO with created By ASR'!A:C,3,FALSE)</f>
        <v>45713</v>
      </c>
      <c r="J2892" s="2" t="str">
        <f>VLOOKUP(B2892,'PO with created By ASR'!A:G,4,FALSE)</f>
        <v>Jatin Arora  -CR</v>
      </c>
      <c r="K2892" s="2" t="str">
        <f>VLOOKUP(B2892,'PO with created By ASR'!A:I,6,FALSE)</f>
        <v>10683 Jatin Arora</v>
      </c>
      <c r="L2892" s="2" t="str">
        <f>VLOOKUP(B2892,'PO with created By ASR'!A:J,7,FALSE)</f>
        <v>D - Delhi</v>
      </c>
      <c r="M2892" s="2" t="str">
        <f>VLOOKUP(B2892,'PO with created By ASR'!A:K,8,FALSE)</f>
        <v>Purchase Order-Del</v>
      </c>
      <c r="N2892" t="s">
        <v>36</v>
      </c>
      <c r="P2892" s="2">
        <v>6</v>
      </c>
    </row>
    <row r="2893" s="2" customFormat="1" spans="1:16">
      <c r="A2893" s="8"/>
      <c r="B2893" s="9" t="s">
        <v>4138</v>
      </c>
      <c r="C2893" s="10" t="s">
        <v>140</v>
      </c>
      <c r="D2893" s="11">
        <v>1</v>
      </c>
      <c r="E2893" s="12">
        <v>124800</v>
      </c>
      <c r="F2893" s="13">
        <v>124800</v>
      </c>
      <c r="G2893" s="2">
        <f>VLOOKUP(B2893,'PO with created By ASR'!A:C,3,FALSE)</f>
        <v>45713</v>
      </c>
      <c r="J2893" s="2" t="str">
        <f>VLOOKUP(B2893,'PO with created By ASR'!A:G,4,FALSE)</f>
        <v>Studio Merchandise Pvt Ltd-Del</v>
      </c>
      <c r="K2893" s="2" t="str">
        <f>VLOOKUP(B2893,'PO with created By ASR'!A:I,6,FALSE)</f>
        <v>12464  Studio Merchandise Pvt Ltd</v>
      </c>
      <c r="L2893" s="2" t="str">
        <f>VLOOKUP(B2893,'PO with created By ASR'!A:J,7,FALSE)</f>
        <v>D - Delhi</v>
      </c>
      <c r="M2893" s="2" t="str">
        <f>VLOOKUP(B2893,'PO with created By ASR'!A:K,8,FALSE)</f>
        <v>Purchase Order-Del</v>
      </c>
      <c r="N2893" t="s">
        <v>36</v>
      </c>
      <c r="P2893" s="2">
        <v>6</v>
      </c>
    </row>
    <row r="2894" s="2" customFormat="1" spans="1:16">
      <c r="A2894" s="8"/>
      <c r="B2894" s="9" t="s">
        <v>4138</v>
      </c>
      <c r="C2894" s="10" t="s">
        <v>140</v>
      </c>
      <c r="D2894" s="11">
        <v>1</v>
      </c>
      <c r="E2894" s="12">
        <v>124800</v>
      </c>
      <c r="F2894" s="13">
        <v>124800</v>
      </c>
      <c r="G2894" s="2">
        <f>VLOOKUP(B2894,'PO with created By ASR'!A:C,3,FALSE)</f>
        <v>45713</v>
      </c>
      <c r="J2894" s="2" t="str">
        <f>VLOOKUP(B2894,'PO with created By ASR'!A:G,4,FALSE)</f>
        <v>Studio Merchandise Pvt Ltd-Del</v>
      </c>
      <c r="K2894" s="2" t="str">
        <f>VLOOKUP(B2894,'PO with created By ASR'!A:I,6,FALSE)</f>
        <v>12464  Studio Merchandise Pvt Ltd</v>
      </c>
      <c r="L2894" s="2" t="str">
        <f>VLOOKUP(B2894,'PO with created By ASR'!A:J,7,FALSE)</f>
        <v>D - Delhi</v>
      </c>
      <c r="M2894" s="2" t="str">
        <f>VLOOKUP(B2894,'PO with created By ASR'!A:K,8,FALSE)</f>
        <v>Purchase Order-Del</v>
      </c>
      <c r="N2894" t="s">
        <v>36</v>
      </c>
      <c r="P2894" s="2">
        <v>6</v>
      </c>
    </row>
    <row r="2895" s="2" customFormat="1" spans="1:16">
      <c r="A2895" s="8"/>
      <c r="B2895" s="9" t="s">
        <v>4138</v>
      </c>
      <c r="C2895" s="10" t="s">
        <v>140</v>
      </c>
      <c r="D2895" s="11">
        <v>1</v>
      </c>
      <c r="E2895" s="12">
        <v>124800</v>
      </c>
      <c r="F2895" s="13">
        <v>124800</v>
      </c>
      <c r="G2895" s="2">
        <f>VLOOKUP(B2895,'PO with created By ASR'!A:C,3,FALSE)</f>
        <v>45713</v>
      </c>
      <c r="J2895" s="2" t="str">
        <f>VLOOKUP(B2895,'PO with created By ASR'!A:G,4,FALSE)</f>
        <v>Studio Merchandise Pvt Ltd-Del</v>
      </c>
      <c r="K2895" s="2" t="str">
        <f>VLOOKUP(B2895,'PO with created By ASR'!A:I,6,FALSE)</f>
        <v>12464  Studio Merchandise Pvt Ltd</v>
      </c>
      <c r="L2895" s="2" t="str">
        <f>VLOOKUP(B2895,'PO with created By ASR'!A:J,7,FALSE)</f>
        <v>D - Delhi</v>
      </c>
      <c r="M2895" s="2" t="str">
        <f>VLOOKUP(B2895,'PO with created By ASR'!A:K,8,FALSE)</f>
        <v>Purchase Order-Del</v>
      </c>
      <c r="N2895" t="s">
        <v>36</v>
      </c>
      <c r="P2895" s="2">
        <v>6</v>
      </c>
    </row>
    <row r="2896" s="2" customFormat="1" spans="1:16">
      <c r="A2896" s="8"/>
      <c r="B2896" s="9" t="s">
        <v>4139</v>
      </c>
      <c r="C2896" s="10" t="s">
        <v>371</v>
      </c>
      <c r="D2896" s="11">
        <v>1</v>
      </c>
      <c r="E2896" s="12">
        <v>28400</v>
      </c>
      <c r="F2896" s="13">
        <v>28400</v>
      </c>
      <c r="G2896" s="2">
        <f>VLOOKUP(B2896,'PO with created By ASR'!A:C,3,FALSE)</f>
        <v>45713</v>
      </c>
      <c r="J2896" s="2" t="str">
        <f>VLOOKUP(B2896,'PO with created By ASR'!A:G,4,FALSE)</f>
        <v>H V Communication Pvt Ltd-Del</v>
      </c>
      <c r="K2896" s="2" t="e">
        <f>VLOOKUP(B2896,'PO with created By ASR'!A:I,6,FALSE)</f>
        <v>#N/A</v>
      </c>
      <c r="L2896" s="2" t="str">
        <f>VLOOKUP(B2896,'PO with created By ASR'!A:J,7,FALSE)</f>
        <v>D - Delhi</v>
      </c>
      <c r="M2896" s="2" t="str">
        <f>VLOOKUP(B2896,'PO with created By ASR'!A:K,8,FALSE)</f>
        <v>Purchase Order-Del</v>
      </c>
      <c r="N2896" t="s">
        <v>36</v>
      </c>
      <c r="P2896" s="2">
        <v>6</v>
      </c>
    </row>
    <row r="2897" s="2" customFormat="1" spans="1:16">
      <c r="A2897" s="8"/>
      <c r="B2897" s="9" t="s">
        <v>4140</v>
      </c>
      <c r="C2897" s="10" t="s">
        <v>233</v>
      </c>
      <c r="D2897" s="11">
        <v>1</v>
      </c>
      <c r="E2897" s="12">
        <v>3552</v>
      </c>
      <c r="F2897" s="13">
        <v>3552</v>
      </c>
      <c r="G2897" s="2">
        <f>VLOOKUP(B2897,'PO with created By ASR'!A:C,3,FALSE)</f>
        <v>45713</v>
      </c>
      <c r="J2897" s="2" t="str">
        <f>VLOOKUP(B2897,'PO with created By ASR'!A:G,4,FALSE)</f>
        <v>Jatin Arora  -CR</v>
      </c>
      <c r="K2897" s="2" t="str">
        <f>VLOOKUP(B2897,'PO with created By ASR'!A:I,6,FALSE)</f>
        <v>10683 Jatin Arora</v>
      </c>
      <c r="L2897" s="2" t="str">
        <f>VLOOKUP(B2897,'PO with created By ASR'!A:J,7,FALSE)</f>
        <v>D - Delhi</v>
      </c>
      <c r="M2897" s="2" t="str">
        <f>VLOOKUP(B2897,'PO with created By ASR'!A:K,8,FALSE)</f>
        <v>Purchase Order-Del</v>
      </c>
      <c r="N2897" t="s">
        <v>36</v>
      </c>
      <c r="P2897" s="2">
        <v>6</v>
      </c>
    </row>
    <row r="2898" s="2" customFormat="1" spans="1:16">
      <c r="A2898" s="8"/>
      <c r="B2898" s="9" t="s">
        <v>4141</v>
      </c>
      <c r="C2898" s="10" t="s">
        <v>126</v>
      </c>
      <c r="D2898" s="11">
        <v>1</v>
      </c>
      <c r="E2898" s="12">
        <v>1812</v>
      </c>
      <c r="F2898" s="13">
        <v>1812</v>
      </c>
      <c r="G2898" s="2">
        <f>VLOOKUP(B2898,'PO with created By ASR'!A:C,3,FALSE)</f>
        <v>45713</v>
      </c>
      <c r="J2898" s="2" t="str">
        <f>VLOOKUP(B2898,'PO with created By ASR'!A:G,4,FALSE)</f>
        <v>Jatin Arora  -CR</v>
      </c>
      <c r="K2898" s="2" t="str">
        <f>VLOOKUP(B2898,'PO with created By ASR'!A:I,6,FALSE)</f>
        <v>10683 Jatin Arora</v>
      </c>
      <c r="L2898" s="2" t="str">
        <f>VLOOKUP(B2898,'PO with created By ASR'!A:J,7,FALSE)</f>
        <v>D - Delhi</v>
      </c>
      <c r="M2898" s="2" t="str">
        <f>VLOOKUP(B2898,'PO with created By ASR'!A:K,8,FALSE)</f>
        <v>Purchase Order-Del</v>
      </c>
      <c r="N2898" t="s">
        <v>36</v>
      </c>
      <c r="P2898" s="2">
        <v>6</v>
      </c>
    </row>
    <row r="2899" s="2" customFormat="1" spans="1:16">
      <c r="A2899" s="8"/>
      <c r="B2899" s="9" t="s">
        <v>4141</v>
      </c>
      <c r="C2899" s="10" t="s">
        <v>412</v>
      </c>
      <c r="D2899" s="11">
        <v>1</v>
      </c>
      <c r="E2899" s="12">
        <v>1288</v>
      </c>
      <c r="F2899" s="13">
        <v>1288</v>
      </c>
      <c r="G2899" s="2">
        <f>VLOOKUP(B2899,'PO with created By ASR'!A:C,3,FALSE)</f>
        <v>45713</v>
      </c>
      <c r="J2899" s="2" t="str">
        <f>VLOOKUP(B2899,'PO with created By ASR'!A:G,4,FALSE)</f>
        <v>Jatin Arora  -CR</v>
      </c>
      <c r="K2899" s="2" t="str">
        <f>VLOOKUP(B2899,'PO with created By ASR'!A:I,6,FALSE)</f>
        <v>10683 Jatin Arora</v>
      </c>
      <c r="L2899" s="2" t="str">
        <f>VLOOKUP(B2899,'PO with created By ASR'!A:J,7,FALSE)</f>
        <v>D - Delhi</v>
      </c>
      <c r="M2899" s="2" t="str">
        <f>VLOOKUP(B2899,'PO with created By ASR'!A:K,8,FALSE)</f>
        <v>Purchase Order-Del</v>
      </c>
      <c r="N2899" t="s">
        <v>36</v>
      </c>
      <c r="P2899" s="2">
        <v>6</v>
      </c>
    </row>
    <row r="2900" s="2" customFormat="1" spans="1:16">
      <c r="A2900" s="8"/>
      <c r="B2900" s="9" t="s">
        <v>4141</v>
      </c>
      <c r="C2900" s="10" t="s">
        <v>61</v>
      </c>
      <c r="D2900" s="11">
        <v>1</v>
      </c>
      <c r="E2900" s="12">
        <v>10404</v>
      </c>
      <c r="F2900" s="13">
        <v>10404</v>
      </c>
      <c r="G2900" s="2">
        <f>VLOOKUP(B2900,'PO with created By ASR'!A:C,3,FALSE)</f>
        <v>45713</v>
      </c>
      <c r="J2900" s="2" t="str">
        <f>VLOOKUP(B2900,'PO with created By ASR'!A:G,4,FALSE)</f>
        <v>Jatin Arora  -CR</v>
      </c>
      <c r="K2900" s="2" t="str">
        <f>VLOOKUP(B2900,'PO with created By ASR'!A:I,6,FALSE)</f>
        <v>10683 Jatin Arora</v>
      </c>
      <c r="L2900" s="2" t="str">
        <f>VLOOKUP(B2900,'PO with created By ASR'!A:J,7,FALSE)</f>
        <v>D - Delhi</v>
      </c>
      <c r="M2900" s="2" t="str">
        <f>VLOOKUP(B2900,'PO with created By ASR'!A:K,8,FALSE)</f>
        <v>Purchase Order-Del</v>
      </c>
      <c r="N2900" t="s">
        <v>36</v>
      </c>
      <c r="P2900" s="2">
        <v>6</v>
      </c>
    </row>
    <row r="2901" s="2" customFormat="1" spans="1:16">
      <c r="A2901" s="8"/>
      <c r="B2901" s="9" t="s">
        <v>4142</v>
      </c>
      <c r="C2901" s="10" t="s">
        <v>1271</v>
      </c>
      <c r="D2901" s="14">
        <v>1</v>
      </c>
      <c r="E2901" s="15">
        <v>130240</v>
      </c>
      <c r="F2901" s="13">
        <v>130240</v>
      </c>
      <c r="G2901" s="2">
        <f>VLOOKUP(B2901,'PO with created By ASR'!A:C,3,FALSE)</f>
        <v>45713</v>
      </c>
      <c r="J2901" s="2" t="str">
        <f>VLOOKUP(B2901,'PO with created By ASR'!A:G,4,FALSE)</f>
        <v>Dell International Services India Pvt Ltd (CR)-Mum</v>
      </c>
      <c r="K2901" s="2" t="e">
        <f>VLOOKUP(B2901,'PO with created By ASR'!A:I,6,FALSE)</f>
        <v>#N/A</v>
      </c>
      <c r="L2901" s="2" t="str">
        <f>VLOOKUP(B2901,'PO with created By ASR'!A:J,7,FALSE)</f>
        <v>A - Mumbai</v>
      </c>
      <c r="M2901" s="2" t="str">
        <f>VLOOKUP(B2901,'PO with created By ASR'!A:K,8,FALSE)</f>
        <v>Purchase Order(Gen)-Mum</v>
      </c>
      <c r="N2901" t="s">
        <v>36</v>
      </c>
      <c r="P2901" s="2">
        <v>6</v>
      </c>
    </row>
    <row r="2902" s="2" customFormat="1" spans="1:16">
      <c r="A2902" s="8"/>
      <c r="B2902" s="9" t="s">
        <v>4143</v>
      </c>
      <c r="C2902" s="10" t="s">
        <v>126</v>
      </c>
      <c r="D2902" s="11">
        <v>1</v>
      </c>
      <c r="E2902" s="12">
        <v>146</v>
      </c>
      <c r="F2902" s="13">
        <v>146</v>
      </c>
      <c r="G2902" s="2">
        <f>VLOOKUP(B2902,'PO with created By ASR'!A:C,3,FALSE)</f>
        <v>45713</v>
      </c>
      <c r="J2902" s="2" t="str">
        <f>VLOOKUP(B2902,'PO with created By ASR'!A:G,4,FALSE)</f>
        <v>Padmakar Jadhav -CR</v>
      </c>
      <c r="K2902" s="2" t="e">
        <f>VLOOKUP(B2902,'PO with created By ASR'!A:I,6,FALSE)</f>
        <v>#N/A</v>
      </c>
      <c r="L2902" s="2" t="str">
        <f>VLOOKUP(B2902,'PO with created By ASR'!A:J,7,FALSE)</f>
        <v>A - Mumbai</v>
      </c>
      <c r="M2902" s="2" t="str">
        <f>VLOOKUP(B2902,'PO with created By ASR'!A:K,8,FALSE)</f>
        <v>Purchase Order-Mum</v>
      </c>
      <c r="N2902" t="s">
        <v>36</v>
      </c>
      <c r="P2902" s="2">
        <v>6</v>
      </c>
    </row>
    <row r="2903" s="2" customFormat="1" spans="1:16">
      <c r="A2903" s="8"/>
      <c r="B2903" s="9" t="s">
        <v>4144</v>
      </c>
      <c r="C2903" s="10" t="s">
        <v>126</v>
      </c>
      <c r="D2903" s="11">
        <v>1</v>
      </c>
      <c r="E2903" s="12">
        <v>1057</v>
      </c>
      <c r="F2903" s="13">
        <v>1057</v>
      </c>
      <c r="G2903" s="2">
        <f>VLOOKUP(B2903,'PO with created By ASR'!A:C,3,FALSE)</f>
        <v>45713</v>
      </c>
      <c r="J2903" s="2" t="str">
        <f>VLOOKUP(B2903,'PO with created By ASR'!A:G,4,FALSE)</f>
        <v>Raj Ansari  -CR</v>
      </c>
      <c r="K2903" s="2" t="e">
        <f>VLOOKUP(B2903,'PO with created By ASR'!A:I,6,FALSE)</f>
        <v>#N/A</v>
      </c>
      <c r="L2903" s="2" t="str">
        <f>VLOOKUP(B2903,'PO with created By ASR'!A:J,7,FALSE)</f>
        <v>A - Mumbai</v>
      </c>
      <c r="M2903" s="2" t="str">
        <f>VLOOKUP(B2903,'PO with created By ASR'!A:K,8,FALSE)</f>
        <v>Purchase Order-Mum</v>
      </c>
      <c r="N2903" t="s">
        <v>36</v>
      </c>
      <c r="P2903" s="2">
        <v>6</v>
      </c>
    </row>
    <row r="2904" s="2" customFormat="1" spans="1:16">
      <c r="A2904" s="8"/>
      <c r="B2904" s="9" t="s">
        <v>4144</v>
      </c>
      <c r="C2904" s="10" t="s">
        <v>412</v>
      </c>
      <c r="D2904" s="11">
        <v>1</v>
      </c>
      <c r="E2904" s="12">
        <v>342</v>
      </c>
      <c r="F2904" s="13">
        <v>342</v>
      </c>
      <c r="G2904" s="2">
        <f>VLOOKUP(B2904,'PO with created By ASR'!A:C,3,FALSE)</f>
        <v>45713</v>
      </c>
      <c r="J2904" s="2" t="str">
        <f>VLOOKUP(B2904,'PO with created By ASR'!A:G,4,FALSE)</f>
        <v>Raj Ansari  -CR</v>
      </c>
      <c r="K2904" s="2" t="e">
        <f>VLOOKUP(B2904,'PO with created By ASR'!A:I,6,FALSE)</f>
        <v>#N/A</v>
      </c>
      <c r="L2904" s="2" t="str">
        <f>VLOOKUP(B2904,'PO with created By ASR'!A:J,7,FALSE)</f>
        <v>A - Mumbai</v>
      </c>
      <c r="M2904" s="2" t="str">
        <f>VLOOKUP(B2904,'PO with created By ASR'!A:K,8,FALSE)</f>
        <v>Purchase Order-Mum</v>
      </c>
      <c r="N2904" t="s">
        <v>36</v>
      </c>
      <c r="P2904" s="2">
        <v>6</v>
      </c>
    </row>
    <row r="2905" s="2" customFormat="1" spans="1:16">
      <c r="A2905" s="8"/>
      <c r="B2905" s="9" t="s">
        <v>4146</v>
      </c>
      <c r="C2905" s="10" t="s">
        <v>412</v>
      </c>
      <c r="D2905" s="11">
        <v>1</v>
      </c>
      <c r="E2905" s="12">
        <v>1336</v>
      </c>
      <c r="F2905" s="13">
        <v>1336</v>
      </c>
      <c r="G2905" s="2">
        <f>VLOOKUP(B2905,'PO with created By ASR'!A:C,3,FALSE)</f>
        <v>45713</v>
      </c>
      <c r="J2905" s="2" t="str">
        <f>VLOOKUP(B2905,'PO with created By ASR'!A:G,4,FALSE)</f>
        <v>Abhishek Jadhav  -CR</v>
      </c>
      <c r="K2905" s="2" t="e">
        <f>VLOOKUP(B2905,'PO with created By ASR'!A:I,6,FALSE)</f>
        <v>#N/A</v>
      </c>
      <c r="L2905" s="2" t="str">
        <f>VLOOKUP(B2905,'PO with created By ASR'!A:J,7,FALSE)</f>
        <v>A - Mumbai</v>
      </c>
      <c r="M2905" s="2" t="str">
        <f>VLOOKUP(B2905,'PO with created By ASR'!A:K,8,FALSE)</f>
        <v>Purchase Order-Mum</v>
      </c>
      <c r="N2905" t="s">
        <v>36</v>
      </c>
      <c r="P2905" s="2">
        <v>6</v>
      </c>
    </row>
    <row r="2906" s="2" customFormat="1" spans="1:16">
      <c r="A2906" s="8"/>
      <c r="B2906" s="9" t="s">
        <v>4146</v>
      </c>
      <c r="C2906" s="10" t="s">
        <v>126</v>
      </c>
      <c r="D2906" s="11">
        <v>1</v>
      </c>
      <c r="E2906" s="12">
        <v>4584</v>
      </c>
      <c r="F2906" s="13">
        <v>4584</v>
      </c>
      <c r="G2906" s="2">
        <f>VLOOKUP(B2906,'PO with created By ASR'!A:C,3,FALSE)</f>
        <v>45713</v>
      </c>
      <c r="J2906" s="2" t="str">
        <f>VLOOKUP(B2906,'PO with created By ASR'!A:G,4,FALSE)</f>
        <v>Abhishek Jadhav  -CR</v>
      </c>
      <c r="K2906" s="2" t="e">
        <f>VLOOKUP(B2906,'PO with created By ASR'!A:I,6,FALSE)</f>
        <v>#N/A</v>
      </c>
      <c r="L2906" s="2" t="str">
        <f>VLOOKUP(B2906,'PO with created By ASR'!A:J,7,FALSE)</f>
        <v>A - Mumbai</v>
      </c>
      <c r="M2906" s="2" t="str">
        <f>VLOOKUP(B2906,'PO with created By ASR'!A:K,8,FALSE)</f>
        <v>Purchase Order-Mum</v>
      </c>
      <c r="N2906" t="s">
        <v>36</v>
      </c>
      <c r="P2906" s="2">
        <v>6</v>
      </c>
    </row>
    <row r="2907" s="2" customFormat="1" spans="1:16">
      <c r="A2907" s="8"/>
      <c r="B2907" s="9" t="s">
        <v>4147</v>
      </c>
      <c r="C2907" s="10" t="s">
        <v>317</v>
      </c>
      <c r="D2907" s="11">
        <v>1</v>
      </c>
      <c r="E2907" s="12">
        <v>1875</v>
      </c>
      <c r="F2907" s="13">
        <v>1875</v>
      </c>
      <c r="G2907" s="2">
        <f>VLOOKUP(B2907,'PO with created By ASR'!A:C,3,FALSE)</f>
        <v>45713</v>
      </c>
      <c r="J2907" s="2" t="str">
        <f>VLOOKUP(B2907,'PO with created By ASR'!A:G,4,FALSE)</f>
        <v>Mahendra Mane -CR</v>
      </c>
      <c r="K2907" s="2" t="e">
        <f>VLOOKUP(B2907,'PO with created By ASR'!A:I,6,FALSE)</f>
        <v>#N/A</v>
      </c>
      <c r="L2907" s="2" t="str">
        <f>VLOOKUP(B2907,'PO with created By ASR'!A:J,7,FALSE)</f>
        <v>A - Mumbai</v>
      </c>
      <c r="M2907" s="2" t="str">
        <f>VLOOKUP(B2907,'PO with created By ASR'!A:K,8,FALSE)</f>
        <v>Purchase Order-Mum</v>
      </c>
      <c r="N2907" t="s">
        <v>36</v>
      </c>
      <c r="P2907" s="2">
        <v>6</v>
      </c>
    </row>
    <row r="2908" s="2" customFormat="1" spans="1:16">
      <c r="A2908" s="8"/>
      <c r="B2908" s="9" t="s">
        <v>4147</v>
      </c>
      <c r="C2908" s="10" t="s">
        <v>126</v>
      </c>
      <c r="D2908" s="11">
        <v>1</v>
      </c>
      <c r="E2908" s="12">
        <v>154</v>
      </c>
      <c r="F2908" s="13">
        <v>154</v>
      </c>
      <c r="G2908" s="2">
        <f>VLOOKUP(B2908,'PO with created By ASR'!A:C,3,FALSE)</f>
        <v>45713</v>
      </c>
      <c r="J2908" s="2" t="str">
        <f>VLOOKUP(B2908,'PO with created By ASR'!A:G,4,FALSE)</f>
        <v>Mahendra Mane -CR</v>
      </c>
      <c r="K2908" s="2" t="e">
        <f>VLOOKUP(B2908,'PO with created By ASR'!A:I,6,FALSE)</f>
        <v>#N/A</v>
      </c>
      <c r="L2908" s="2" t="str">
        <f>VLOOKUP(B2908,'PO with created By ASR'!A:J,7,FALSE)</f>
        <v>A - Mumbai</v>
      </c>
      <c r="M2908" s="2" t="str">
        <f>VLOOKUP(B2908,'PO with created By ASR'!A:K,8,FALSE)</f>
        <v>Purchase Order-Mum</v>
      </c>
      <c r="N2908" t="s">
        <v>36</v>
      </c>
      <c r="P2908" s="2">
        <v>6</v>
      </c>
    </row>
    <row r="2909" s="2" customFormat="1" spans="1:16">
      <c r="A2909" s="8"/>
      <c r="B2909" s="9" t="s">
        <v>4147</v>
      </c>
      <c r="C2909" s="10" t="s">
        <v>412</v>
      </c>
      <c r="D2909" s="11">
        <v>1</v>
      </c>
      <c r="E2909" s="12">
        <v>150</v>
      </c>
      <c r="F2909" s="13">
        <v>150</v>
      </c>
      <c r="G2909" s="2">
        <f>VLOOKUP(B2909,'PO with created By ASR'!A:C,3,FALSE)</f>
        <v>45713</v>
      </c>
      <c r="J2909" s="2" t="str">
        <f>VLOOKUP(B2909,'PO with created By ASR'!A:G,4,FALSE)</f>
        <v>Mahendra Mane -CR</v>
      </c>
      <c r="K2909" s="2" t="e">
        <f>VLOOKUP(B2909,'PO with created By ASR'!A:I,6,FALSE)</f>
        <v>#N/A</v>
      </c>
      <c r="L2909" s="2" t="str">
        <f>VLOOKUP(B2909,'PO with created By ASR'!A:J,7,FALSE)</f>
        <v>A - Mumbai</v>
      </c>
      <c r="M2909" s="2" t="str">
        <f>VLOOKUP(B2909,'PO with created By ASR'!A:K,8,FALSE)</f>
        <v>Purchase Order-Mum</v>
      </c>
      <c r="N2909" t="s">
        <v>36</v>
      </c>
      <c r="P2909" s="2">
        <v>6</v>
      </c>
    </row>
    <row r="2910" s="2" customFormat="1" spans="1:16">
      <c r="A2910" s="8"/>
      <c r="B2910" s="9" t="s">
        <v>4148</v>
      </c>
      <c r="C2910" s="10" t="s">
        <v>196</v>
      </c>
      <c r="D2910" s="11">
        <v>1</v>
      </c>
      <c r="E2910" s="12">
        <v>365536.25</v>
      </c>
      <c r="F2910" s="13">
        <v>365536.25</v>
      </c>
      <c r="G2910" s="2">
        <f>VLOOKUP(B2910,'PO with created By ASR'!A:C,3,FALSE)</f>
        <v>45713</v>
      </c>
      <c r="J2910" s="2" t="str">
        <f>VLOOKUP(B2910,'PO with created By ASR'!A:G,4,FALSE)</f>
        <v>Noaman Digital Partnership Firm-Mum</v>
      </c>
      <c r="K2910" s="2" t="e">
        <f>VLOOKUP(B2910,'PO with created By ASR'!A:I,6,FALSE)</f>
        <v>#N/A</v>
      </c>
      <c r="L2910" s="2" t="str">
        <f>VLOOKUP(B2910,'PO with created By ASR'!A:J,7,FALSE)</f>
        <v>A - Mumbai</v>
      </c>
      <c r="M2910" s="2" t="str">
        <f>VLOOKUP(B2910,'PO with created By ASR'!A:K,8,FALSE)</f>
        <v>Purchase Order-Mum</v>
      </c>
      <c r="N2910" t="s">
        <v>36</v>
      </c>
      <c r="P2910" s="2">
        <v>6</v>
      </c>
    </row>
    <row r="2911" s="2" customFormat="1" spans="1:16">
      <c r="A2911" s="8"/>
      <c r="B2911" s="9" t="s">
        <v>4149</v>
      </c>
      <c r="C2911" s="10" t="s">
        <v>126</v>
      </c>
      <c r="D2911" s="11">
        <v>1</v>
      </c>
      <c r="E2911" s="12">
        <v>1374</v>
      </c>
      <c r="F2911" s="13">
        <v>1374</v>
      </c>
      <c r="G2911" s="2">
        <f>VLOOKUP(B2911,'PO with created By ASR'!A:C,3,FALSE)</f>
        <v>45713</v>
      </c>
      <c r="J2911" s="2" t="str">
        <f>VLOOKUP(B2911,'PO with created By ASR'!A:G,4,FALSE)</f>
        <v>Omar Khan  -CR</v>
      </c>
      <c r="K2911" s="2" t="e">
        <f>VLOOKUP(B2911,'PO with created By ASR'!A:I,6,FALSE)</f>
        <v>#N/A</v>
      </c>
      <c r="L2911" s="2" t="str">
        <f>VLOOKUP(B2911,'PO with created By ASR'!A:J,7,FALSE)</f>
        <v>A - Mumbai</v>
      </c>
      <c r="M2911" s="2" t="str">
        <f>VLOOKUP(B2911,'PO with created By ASR'!A:K,8,FALSE)</f>
        <v>Purchase Order-Mum</v>
      </c>
      <c r="N2911" t="s">
        <v>36</v>
      </c>
      <c r="P2911" s="2">
        <v>6</v>
      </c>
    </row>
    <row r="2912" s="2" customFormat="1" spans="1:16">
      <c r="A2912" s="8"/>
      <c r="B2912" s="9" t="s">
        <v>4151</v>
      </c>
      <c r="C2912" s="10" t="s">
        <v>126</v>
      </c>
      <c r="D2912" s="11">
        <v>1</v>
      </c>
      <c r="E2912" s="12">
        <v>3859</v>
      </c>
      <c r="F2912" s="13">
        <v>3859</v>
      </c>
      <c r="G2912" s="2">
        <f>VLOOKUP(B2912,'PO with created By ASR'!A:C,3,FALSE)</f>
        <v>45713</v>
      </c>
      <c r="J2912" s="2" t="str">
        <f>VLOOKUP(B2912,'PO with created By ASR'!A:G,4,FALSE)</f>
        <v>Mehraan Shaikh  -CR</v>
      </c>
      <c r="K2912" s="2" t="e">
        <f>VLOOKUP(B2912,'PO with created By ASR'!A:I,6,FALSE)</f>
        <v>#N/A</v>
      </c>
      <c r="L2912" s="2" t="str">
        <f>VLOOKUP(B2912,'PO with created By ASR'!A:J,7,FALSE)</f>
        <v>A - Mumbai</v>
      </c>
      <c r="M2912" s="2" t="str">
        <f>VLOOKUP(B2912,'PO with created By ASR'!A:K,8,FALSE)</f>
        <v>Purchase Order-Mum</v>
      </c>
      <c r="N2912" t="s">
        <v>36</v>
      </c>
      <c r="P2912" s="2">
        <v>6</v>
      </c>
    </row>
    <row r="2913" s="2" customFormat="1" spans="1:16">
      <c r="A2913" s="8"/>
      <c r="B2913" s="9" t="s">
        <v>4151</v>
      </c>
      <c r="C2913" s="10" t="s">
        <v>412</v>
      </c>
      <c r="D2913" s="11">
        <v>1</v>
      </c>
      <c r="E2913" s="12">
        <v>1680</v>
      </c>
      <c r="F2913" s="13">
        <v>1680</v>
      </c>
      <c r="G2913" s="2">
        <f>VLOOKUP(B2913,'PO with created By ASR'!A:C,3,FALSE)</f>
        <v>45713</v>
      </c>
      <c r="J2913" s="2" t="str">
        <f>VLOOKUP(B2913,'PO with created By ASR'!A:G,4,FALSE)</f>
        <v>Mehraan Shaikh  -CR</v>
      </c>
      <c r="K2913" s="2" t="e">
        <f>VLOOKUP(B2913,'PO with created By ASR'!A:I,6,FALSE)</f>
        <v>#N/A</v>
      </c>
      <c r="L2913" s="2" t="str">
        <f>VLOOKUP(B2913,'PO with created By ASR'!A:J,7,FALSE)</f>
        <v>A - Mumbai</v>
      </c>
      <c r="M2913" s="2" t="str">
        <f>VLOOKUP(B2913,'PO with created By ASR'!A:K,8,FALSE)</f>
        <v>Purchase Order-Mum</v>
      </c>
      <c r="N2913" t="s">
        <v>36</v>
      </c>
      <c r="P2913" s="2">
        <v>6</v>
      </c>
    </row>
    <row r="2914" s="2" customFormat="1" spans="1:16">
      <c r="A2914" s="8"/>
      <c r="B2914" s="9" t="s">
        <v>4152</v>
      </c>
      <c r="C2914" s="10" t="s">
        <v>126</v>
      </c>
      <c r="D2914" s="11">
        <v>1</v>
      </c>
      <c r="E2914" s="12">
        <v>3486.41</v>
      </c>
      <c r="F2914" s="13">
        <v>3486.41</v>
      </c>
      <c r="G2914" s="2">
        <f>VLOOKUP(B2914,'PO with created By ASR'!A:C,3,FALSE)</f>
        <v>45713</v>
      </c>
      <c r="J2914" s="2" t="str">
        <f>VLOOKUP(B2914,'PO with created By ASR'!A:G,4,FALSE)</f>
        <v>Hemanshu Sawant  -CR</v>
      </c>
      <c r="K2914" s="2" t="e">
        <f>VLOOKUP(B2914,'PO with created By ASR'!A:I,6,FALSE)</f>
        <v>#N/A</v>
      </c>
      <c r="L2914" s="2" t="str">
        <f>VLOOKUP(B2914,'PO with created By ASR'!A:J,7,FALSE)</f>
        <v>A - Mumbai</v>
      </c>
      <c r="M2914" s="2" t="str">
        <f>VLOOKUP(B2914,'PO with created By ASR'!A:K,8,FALSE)</f>
        <v>Purchase Order-Mum</v>
      </c>
      <c r="N2914" t="s">
        <v>36</v>
      </c>
      <c r="P2914" s="2">
        <v>6</v>
      </c>
    </row>
    <row r="2915" s="2" customFormat="1" spans="1:16">
      <c r="A2915" s="8"/>
      <c r="B2915" s="9" t="s">
        <v>4152</v>
      </c>
      <c r="C2915" s="10" t="s">
        <v>412</v>
      </c>
      <c r="D2915" s="11">
        <v>1</v>
      </c>
      <c r="E2915" s="12">
        <v>20539.38</v>
      </c>
      <c r="F2915" s="13">
        <v>20539.38</v>
      </c>
      <c r="G2915" s="2">
        <f>VLOOKUP(B2915,'PO with created By ASR'!A:C,3,FALSE)</f>
        <v>45713</v>
      </c>
      <c r="J2915" s="2" t="str">
        <f>VLOOKUP(B2915,'PO with created By ASR'!A:G,4,FALSE)</f>
        <v>Hemanshu Sawant  -CR</v>
      </c>
      <c r="K2915" s="2" t="e">
        <f>VLOOKUP(B2915,'PO with created By ASR'!A:I,6,FALSE)</f>
        <v>#N/A</v>
      </c>
      <c r="L2915" s="2" t="str">
        <f>VLOOKUP(B2915,'PO with created By ASR'!A:J,7,FALSE)</f>
        <v>A - Mumbai</v>
      </c>
      <c r="M2915" s="2" t="str">
        <f>VLOOKUP(B2915,'PO with created By ASR'!A:K,8,FALSE)</f>
        <v>Purchase Order-Mum</v>
      </c>
      <c r="N2915" t="s">
        <v>36</v>
      </c>
      <c r="P2915" s="2">
        <v>6</v>
      </c>
    </row>
    <row r="2916" s="2" customFormat="1" spans="1:16">
      <c r="A2916" s="8"/>
      <c r="B2916" s="9" t="s">
        <v>4153</v>
      </c>
      <c r="C2916" s="10" t="s">
        <v>126</v>
      </c>
      <c r="D2916" s="11">
        <v>1</v>
      </c>
      <c r="E2916" s="12">
        <v>550</v>
      </c>
      <c r="F2916" s="13">
        <v>550</v>
      </c>
      <c r="G2916" s="2">
        <f>VLOOKUP(B2916,'PO with created By ASR'!A:C,3,FALSE)</f>
        <v>45713</v>
      </c>
      <c r="J2916" s="2" t="str">
        <f>VLOOKUP(B2916,'PO with created By ASR'!A:G,4,FALSE)</f>
        <v>Mahendra Mane -CR</v>
      </c>
      <c r="K2916" s="2" t="e">
        <f>VLOOKUP(B2916,'PO with created By ASR'!A:I,6,FALSE)</f>
        <v>#N/A</v>
      </c>
      <c r="L2916" s="2" t="str">
        <f>VLOOKUP(B2916,'PO with created By ASR'!A:J,7,FALSE)</f>
        <v>A - Mumbai</v>
      </c>
      <c r="M2916" s="2" t="str">
        <f>VLOOKUP(B2916,'PO with created By ASR'!A:K,8,FALSE)</f>
        <v>Purchase Order-Mum</v>
      </c>
      <c r="N2916" t="s">
        <v>36</v>
      </c>
      <c r="P2916" s="2">
        <v>6</v>
      </c>
    </row>
    <row r="2917" s="2" customFormat="1" spans="1:16">
      <c r="A2917" s="8"/>
      <c r="B2917" s="9" t="s">
        <v>4154</v>
      </c>
      <c r="C2917" s="10" t="s">
        <v>126</v>
      </c>
      <c r="D2917" s="11">
        <v>1</v>
      </c>
      <c r="E2917" s="12">
        <v>88</v>
      </c>
      <c r="F2917" s="13">
        <v>88</v>
      </c>
      <c r="G2917" s="2">
        <f>VLOOKUP(B2917,'PO with created By ASR'!A:C,3,FALSE)</f>
        <v>45713</v>
      </c>
      <c r="J2917" s="2" t="str">
        <f>VLOOKUP(B2917,'PO with created By ASR'!A:G,4,FALSE)</f>
        <v>Suresh Pardhle  -CR</v>
      </c>
      <c r="K2917" s="2" t="e">
        <f>VLOOKUP(B2917,'PO with created By ASR'!A:I,6,FALSE)</f>
        <v>#N/A</v>
      </c>
      <c r="L2917" s="2" t="str">
        <f>VLOOKUP(B2917,'PO with created By ASR'!A:J,7,FALSE)</f>
        <v>A - Mumbai</v>
      </c>
      <c r="M2917" s="2" t="str">
        <f>VLOOKUP(B2917,'PO with created By ASR'!A:K,8,FALSE)</f>
        <v>Purchase Order-Mum</v>
      </c>
      <c r="N2917" t="s">
        <v>36</v>
      </c>
      <c r="P2917" s="2">
        <v>6</v>
      </c>
    </row>
    <row r="2918" s="2" customFormat="1" spans="1:16">
      <c r="A2918" s="8"/>
      <c r="B2918" s="9" t="s">
        <v>4154</v>
      </c>
      <c r="C2918" s="10" t="s">
        <v>317</v>
      </c>
      <c r="D2918" s="11">
        <v>1</v>
      </c>
      <c r="E2918" s="12">
        <v>400</v>
      </c>
      <c r="F2918" s="13">
        <v>400</v>
      </c>
      <c r="G2918" s="2">
        <f>VLOOKUP(B2918,'PO with created By ASR'!A:C,3,FALSE)</f>
        <v>45713</v>
      </c>
      <c r="J2918" s="2" t="str">
        <f>VLOOKUP(B2918,'PO with created By ASR'!A:G,4,FALSE)</f>
        <v>Suresh Pardhle  -CR</v>
      </c>
      <c r="K2918" s="2" t="e">
        <f>VLOOKUP(B2918,'PO with created By ASR'!A:I,6,FALSE)</f>
        <v>#N/A</v>
      </c>
      <c r="L2918" s="2" t="str">
        <f>VLOOKUP(B2918,'PO with created By ASR'!A:J,7,FALSE)</f>
        <v>A - Mumbai</v>
      </c>
      <c r="M2918" s="2" t="str">
        <f>VLOOKUP(B2918,'PO with created By ASR'!A:K,8,FALSE)</f>
        <v>Purchase Order-Mum</v>
      </c>
      <c r="N2918" t="s">
        <v>36</v>
      </c>
      <c r="P2918" s="2">
        <v>6</v>
      </c>
    </row>
    <row r="2919" s="2" customFormat="1" spans="1:16">
      <c r="A2919" s="8"/>
      <c r="B2919" s="9" t="s">
        <v>4155</v>
      </c>
      <c r="C2919" s="10" t="s">
        <v>317</v>
      </c>
      <c r="D2919" s="11">
        <v>1</v>
      </c>
      <c r="E2919" s="12">
        <v>1105</v>
      </c>
      <c r="F2919" s="13">
        <v>1105</v>
      </c>
      <c r="G2919" s="2">
        <f>VLOOKUP(B2919,'PO with created By ASR'!A:C,3,FALSE)</f>
        <v>45713</v>
      </c>
      <c r="J2919" s="2" t="str">
        <f>VLOOKUP(B2919,'PO with created By ASR'!A:G,4,FALSE)</f>
        <v>Sanil Thombare -CR</v>
      </c>
      <c r="K2919" s="2" t="e">
        <f>VLOOKUP(B2919,'PO with created By ASR'!A:I,6,FALSE)</f>
        <v>#N/A</v>
      </c>
      <c r="L2919" s="2" t="str">
        <f>VLOOKUP(B2919,'PO with created By ASR'!A:J,7,FALSE)</f>
        <v>A - Mumbai</v>
      </c>
      <c r="M2919" s="2" t="str">
        <f>VLOOKUP(B2919,'PO with created By ASR'!A:K,8,FALSE)</f>
        <v>Purchase Order-Mum</v>
      </c>
      <c r="N2919" t="s">
        <v>36</v>
      </c>
      <c r="P2919" s="2">
        <v>6</v>
      </c>
    </row>
    <row r="2920" s="2" customFormat="1" spans="1:16">
      <c r="A2920" s="8"/>
      <c r="B2920" s="9" t="s">
        <v>4155</v>
      </c>
      <c r="C2920" s="10" t="s">
        <v>1055</v>
      </c>
      <c r="D2920" s="11">
        <v>1</v>
      </c>
      <c r="E2920" s="12">
        <v>2500</v>
      </c>
      <c r="F2920" s="13">
        <v>2500</v>
      </c>
      <c r="G2920" s="2">
        <f>VLOOKUP(B2920,'PO with created By ASR'!A:C,3,FALSE)</f>
        <v>45713</v>
      </c>
      <c r="J2920" s="2" t="str">
        <f>VLOOKUP(B2920,'PO with created By ASR'!A:G,4,FALSE)</f>
        <v>Sanil Thombare -CR</v>
      </c>
      <c r="K2920" s="2" t="e">
        <f>VLOOKUP(B2920,'PO with created By ASR'!A:I,6,FALSE)</f>
        <v>#N/A</v>
      </c>
      <c r="L2920" s="2" t="str">
        <f>VLOOKUP(B2920,'PO with created By ASR'!A:J,7,FALSE)</f>
        <v>A - Mumbai</v>
      </c>
      <c r="M2920" s="2" t="str">
        <f>VLOOKUP(B2920,'PO with created By ASR'!A:K,8,FALSE)</f>
        <v>Purchase Order-Mum</v>
      </c>
      <c r="N2920" t="s">
        <v>36</v>
      </c>
      <c r="P2920" s="2">
        <v>6</v>
      </c>
    </row>
    <row r="2921" s="2" customFormat="1" spans="1:16">
      <c r="A2921" s="8"/>
      <c r="B2921" s="9" t="s">
        <v>4155</v>
      </c>
      <c r="C2921" s="10" t="s">
        <v>126</v>
      </c>
      <c r="D2921" s="11">
        <v>1</v>
      </c>
      <c r="E2921" s="12">
        <v>595</v>
      </c>
      <c r="F2921" s="13">
        <v>595</v>
      </c>
      <c r="G2921" s="2">
        <f>VLOOKUP(B2921,'PO with created By ASR'!A:C,3,FALSE)</f>
        <v>45713</v>
      </c>
      <c r="J2921" s="2" t="str">
        <f>VLOOKUP(B2921,'PO with created By ASR'!A:G,4,FALSE)</f>
        <v>Sanil Thombare -CR</v>
      </c>
      <c r="K2921" s="2" t="e">
        <f>VLOOKUP(B2921,'PO with created By ASR'!A:I,6,FALSE)</f>
        <v>#N/A</v>
      </c>
      <c r="L2921" s="2" t="str">
        <f>VLOOKUP(B2921,'PO with created By ASR'!A:J,7,FALSE)</f>
        <v>A - Mumbai</v>
      </c>
      <c r="M2921" s="2" t="str">
        <f>VLOOKUP(B2921,'PO with created By ASR'!A:K,8,FALSE)</f>
        <v>Purchase Order-Mum</v>
      </c>
      <c r="N2921" t="s">
        <v>36</v>
      </c>
      <c r="P2921" s="2">
        <v>6</v>
      </c>
    </row>
    <row r="2922" s="2" customFormat="1" spans="1:16">
      <c r="A2922" s="8"/>
      <c r="B2922" s="9" t="s">
        <v>4156</v>
      </c>
      <c r="C2922" s="10" t="s">
        <v>126</v>
      </c>
      <c r="D2922" s="11">
        <v>1</v>
      </c>
      <c r="E2922" s="12">
        <v>100</v>
      </c>
      <c r="F2922" s="13">
        <v>100</v>
      </c>
      <c r="G2922" s="2">
        <f>VLOOKUP(B2922,'PO with created By ASR'!A:C,3,FALSE)</f>
        <v>45713</v>
      </c>
      <c r="J2922" s="2" t="str">
        <f>VLOOKUP(B2922,'PO with created By ASR'!A:G,4,FALSE)</f>
        <v>Suresh Pardhle  -CR</v>
      </c>
      <c r="K2922" s="2" t="e">
        <f>VLOOKUP(B2922,'PO with created By ASR'!A:I,6,FALSE)</f>
        <v>#N/A</v>
      </c>
      <c r="L2922" s="2" t="str">
        <f>VLOOKUP(B2922,'PO with created By ASR'!A:J,7,FALSE)</f>
        <v>A - Mumbai</v>
      </c>
      <c r="M2922" s="2" t="str">
        <f>VLOOKUP(B2922,'PO with created By ASR'!A:K,8,FALSE)</f>
        <v>Purchase Order-Mum</v>
      </c>
      <c r="N2922" t="s">
        <v>36</v>
      </c>
      <c r="P2922" s="2">
        <v>6</v>
      </c>
    </row>
    <row r="2923" s="2" customFormat="1" spans="1:16">
      <c r="A2923" s="8"/>
      <c r="B2923" s="9" t="s">
        <v>4158</v>
      </c>
      <c r="C2923" s="10" t="s">
        <v>317</v>
      </c>
      <c r="D2923" s="11">
        <v>1</v>
      </c>
      <c r="E2923" s="12">
        <v>1500</v>
      </c>
      <c r="F2923" s="13">
        <v>1500</v>
      </c>
      <c r="G2923" s="2">
        <f>VLOOKUP(B2923,'PO with created By ASR'!A:C,3,FALSE)</f>
        <v>45713</v>
      </c>
      <c r="J2923" s="2" t="str">
        <f>VLOOKUP(B2923,'PO with created By ASR'!A:G,4,FALSE)</f>
        <v>Padmakar Jadhav -CR</v>
      </c>
      <c r="K2923" s="2" t="e">
        <f>VLOOKUP(B2923,'PO with created By ASR'!A:I,6,FALSE)</f>
        <v>#N/A</v>
      </c>
      <c r="L2923" s="2" t="str">
        <f>VLOOKUP(B2923,'PO with created By ASR'!A:J,7,FALSE)</f>
        <v>A - Mumbai</v>
      </c>
      <c r="M2923" s="2" t="str">
        <f>VLOOKUP(B2923,'PO with created By ASR'!A:K,8,FALSE)</f>
        <v>Purchase Order-Mum</v>
      </c>
      <c r="N2923" t="s">
        <v>36</v>
      </c>
      <c r="P2923" s="2">
        <v>6</v>
      </c>
    </row>
    <row r="2924" s="2" customFormat="1" spans="1:16">
      <c r="A2924" s="8"/>
      <c r="B2924" s="9" t="s">
        <v>4158</v>
      </c>
      <c r="C2924" s="10" t="s">
        <v>126</v>
      </c>
      <c r="D2924" s="11">
        <v>1</v>
      </c>
      <c r="E2924" s="12">
        <v>1652</v>
      </c>
      <c r="F2924" s="13">
        <v>1652</v>
      </c>
      <c r="G2924" s="2">
        <f>VLOOKUP(B2924,'PO with created By ASR'!A:C,3,FALSE)</f>
        <v>45713</v>
      </c>
      <c r="J2924" s="2" t="str">
        <f>VLOOKUP(B2924,'PO with created By ASR'!A:G,4,FALSE)</f>
        <v>Padmakar Jadhav -CR</v>
      </c>
      <c r="K2924" s="2" t="e">
        <f>VLOOKUP(B2924,'PO with created By ASR'!A:I,6,FALSE)</f>
        <v>#N/A</v>
      </c>
      <c r="L2924" s="2" t="str">
        <f>VLOOKUP(B2924,'PO with created By ASR'!A:J,7,FALSE)</f>
        <v>A - Mumbai</v>
      </c>
      <c r="M2924" s="2" t="str">
        <f>VLOOKUP(B2924,'PO with created By ASR'!A:K,8,FALSE)</f>
        <v>Purchase Order-Mum</v>
      </c>
      <c r="N2924" t="s">
        <v>36</v>
      </c>
      <c r="P2924" s="2">
        <v>6</v>
      </c>
    </row>
    <row r="2925" s="2" customFormat="1" spans="1:16">
      <c r="A2925" s="8"/>
      <c r="B2925" s="9" t="s">
        <v>4158</v>
      </c>
      <c r="C2925" s="10" t="s">
        <v>412</v>
      </c>
      <c r="D2925" s="11">
        <v>1</v>
      </c>
      <c r="E2925" s="12">
        <v>150</v>
      </c>
      <c r="F2925" s="13">
        <v>150</v>
      </c>
      <c r="G2925" s="2">
        <f>VLOOKUP(B2925,'PO with created By ASR'!A:C,3,FALSE)</f>
        <v>45713</v>
      </c>
      <c r="J2925" s="2" t="str">
        <f>VLOOKUP(B2925,'PO with created By ASR'!A:G,4,FALSE)</f>
        <v>Padmakar Jadhav -CR</v>
      </c>
      <c r="K2925" s="2" t="e">
        <f>VLOOKUP(B2925,'PO with created By ASR'!A:I,6,FALSE)</f>
        <v>#N/A</v>
      </c>
      <c r="L2925" s="2" t="str">
        <f>VLOOKUP(B2925,'PO with created By ASR'!A:J,7,FALSE)</f>
        <v>A - Mumbai</v>
      </c>
      <c r="M2925" s="2" t="str">
        <f>VLOOKUP(B2925,'PO with created By ASR'!A:K,8,FALSE)</f>
        <v>Purchase Order-Mum</v>
      </c>
      <c r="N2925" t="s">
        <v>36</v>
      </c>
      <c r="P2925" s="2">
        <v>6</v>
      </c>
    </row>
    <row r="2926" s="2" customFormat="1" spans="1:16">
      <c r="A2926" s="8"/>
      <c r="B2926" s="9" t="s">
        <v>4159</v>
      </c>
      <c r="C2926" s="10" t="s">
        <v>205</v>
      </c>
      <c r="D2926" s="11">
        <v>1</v>
      </c>
      <c r="E2926" s="12">
        <v>550</v>
      </c>
      <c r="F2926" s="13">
        <v>550</v>
      </c>
      <c r="G2926" s="2">
        <f>VLOOKUP(B2926,'PO with created By ASR'!A:C,3,FALSE)</f>
        <v>45713</v>
      </c>
      <c r="J2926" s="2" t="str">
        <f>VLOOKUP(B2926,'PO with created By ASR'!A:G,4,FALSE)</f>
        <v>Padmakar Jadhav -CR</v>
      </c>
      <c r="K2926" s="2" t="e">
        <f>VLOOKUP(B2926,'PO with created By ASR'!A:I,6,FALSE)</f>
        <v>#N/A</v>
      </c>
      <c r="L2926" s="2" t="str">
        <f>VLOOKUP(B2926,'PO with created By ASR'!A:J,7,FALSE)</f>
        <v>A - Mumbai</v>
      </c>
      <c r="M2926" s="2" t="str">
        <f>VLOOKUP(B2926,'PO with created By ASR'!A:K,8,FALSE)</f>
        <v>Purchase Order-Mum</v>
      </c>
      <c r="N2926" t="s">
        <v>36</v>
      </c>
      <c r="P2926" s="2">
        <v>6</v>
      </c>
    </row>
    <row r="2927" s="2" customFormat="1" spans="1:16">
      <c r="A2927" s="8"/>
      <c r="B2927" s="9" t="s">
        <v>4160</v>
      </c>
      <c r="C2927" s="10" t="s">
        <v>317</v>
      </c>
      <c r="D2927" s="11">
        <v>1</v>
      </c>
      <c r="E2927" s="12">
        <v>3200</v>
      </c>
      <c r="F2927" s="13">
        <v>3200</v>
      </c>
      <c r="G2927" s="2">
        <f>VLOOKUP(B2927,'PO with created By ASR'!A:C,3,FALSE)</f>
        <v>45713</v>
      </c>
      <c r="J2927" s="2" t="str">
        <f>VLOOKUP(B2927,'PO with created By ASR'!A:G,4,FALSE)</f>
        <v>Padmakar Jadhav -CR</v>
      </c>
      <c r="K2927" s="2" t="e">
        <f>VLOOKUP(B2927,'PO with created By ASR'!A:I,6,FALSE)</f>
        <v>#N/A</v>
      </c>
      <c r="L2927" s="2" t="str">
        <f>VLOOKUP(B2927,'PO with created By ASR'!A:J,7,FALSE)</f>
        <v>A - Mumbai</v>
      </c>
      <c r="M2927" s="2" t="str">
        <f>VLOOKUP(B2927,'PO with created By ASR'!A:K,8,FALSE)</f>
        <v>Purchase Order-Mum</v>
      </c>
      <c r="N2927" t="s">
        <v>36</v>
      </c>
      <c r="P2927" s="2">
        <v>6</v>
      </c>
    </row>
    <row r="2928" s="2" customFormat="1" spans="1:16">
      <c r="A2928" s="8"/>
      <c r="B2928" s="9" t="s">
        <v>4160</v>
      </c>
      <c r="C2928" s="10" t="s">
        <v>126</v>
      </c>
      <c r="D2928" s="11">
        <v>1</v>
      </c>
      <c r="E2928" s="12">
        <v>979</v>
      </c>
      <c r="F2928" s="13">
        <v>979</v>
      </c>
      <c r="G2928" s="2">
        <f>VLOOKUP(B2928,'PO with created By ASR'!A:C,3,FALSE)</f>
        <v>45713</v>
      </c>
      <c r="J2928" s="2" t="str">
        <f>VLOOKUP(B2928,'PO with created By ASR'!A:G,4,FALSE)</f>
        <v>Padmakar Jadhav -CR</v>
      </c>
      <c r="K2928" s="2" t="e">
        <f>VLOOKUP(B2928,'PO with created By ASR'!A:I,6,FALSE)</f>
        <v>#N/A</v>
      </c>
      <c r="L2928" s="2" t="str">
        <f>VLOOKUP(B2928,'PO with created By ASR'!A:J,7,FALSE)</f>
        <v>A - Mumbai</v>
      </c>
      <c r="M2928" s="2" t="str">
        <f>VLOOKUP(B2928,'PO with created By ASR'!A:K,8,FALSE)</f>
        <v>Purchase Order-Mum</v>
      </c>
      <c r="N2928" t="s">
        <v>36</v>
      </c>
      <c r="P2928" s="2">
        <v>6</v>
      </c>
    </row>
    <row r="2929" s="2" customFormat="1" spans="1:16">
      <c r="A2929" s="8"/>
      <c r="B2929" s="9" t="s">
        <v>4161</v>
      </c>
      <c r="C2929" s="10" t="s">
        <v>1055</v>
      </c>
      <c r="D2929" s="11">
        <v>1</v>
      </c>
      <c r="E2929" s="12">
        <v>2500</v>
      </c>
      <c r="F2929" s="13">
        <v>2500</v>
      </c>
      <c r="G2929" s="2">
        <f>VLOOKUP(B2929,'PO with created By ASR'!A:C,3,FALSE)</f>
        <v>45713</v>
      </c>
      <c r="J2929" s="2" t="str">
        <f>VLOOKUP(B2929,'PO with created By ASR'!A:G,4,FALSE)</f>
        <v>Mahendra Mane -CR</v>
      </c>
      <c r="K2929" s="2" t="e">
        <f>VLOOKUP(B2929,'PO with created By ASR'!A:I,6,FALSE)</f>
        <v>#N/A</v>
      </c>
      <c r="L2929" s="2" t="str">
        <f>VLOOKUP(B2929,'PO with created By ASR'!A:J,7,FALSE)</f>
        <v>A - Mumbai</v>
      </c>
      <c r="M2929" s="2" t="str">
        <f>VLOOKUP(B2929,'PO with created By ASR'!A:K,8,FALSE)</f>
        <v>Purchase Order-Mum</v>
      </c>
      <c r="N2929" t="s">
        <v>36</v>
      </c>
      <c r="P2929" s="2">
        <v>6</v>
      </c>
    </row>
    <row r="2930" s="2" customFormat="1" spans="1:16">
      <c r="A2930" s="8"/>
      <c r="B2930" s="9" t="s">
        <v>4161</v>
      </c>
      <c r="C2930" s="10" t="s">
        <v>126</v>
      </c>
      <c r="D2930" s="11">
        <v>1</v>
      </c>
      <c r="E2930" s="12">
        <v>115</v>
      </c>
      <c r="F2930" s="13">
        <v>115</v>
      </c>
      <c r="G2930" s="2">
        <f>VLOOKUP(B2930,'PO with created By ASR'!A:C,3,FALSE)</f>
        <v>45713</v>
      </c>
      <c r="J2930" s="2" t="str">
        <f>VLOOKUP(B2930,'PO with created By ASR'!A:G,4,FALSE)</f>
        <v>Mahendra Mane -CR</v>
      </c>
      <c r="K2930" s="2" t="e">
        <f>VLOOKUP(B2930,'PO with created By ASR'!A:I,6,FALSE)</f>
        <v>#N/A</v>
      </c>
      <c r="L2930" s="2" t="str">
        <f>VLOOKUP(B2930,'PO with created By ASR'!A:J,7,FALSE)</f>
        <v>A - Mumbai</v>
      </c>
      <c r="M2930" s="2" t="str">
        <f>VLOOKUP(B2930,'PO with created By ASR'!A:K,8,FALSE)</f>
        <v>Purchase Order-Mum</v>
      </c>
      <c r="N2930" t="s">
        <v>36</v>
      </c>
      <c r="P2930" s="2">
        <v>6</v>
      </c>
    </row>
    <row r="2931" s="2" customFormat="1" spans="1:16">
      <c r="A2931" s="8"/>
      <c r="B2931" s="9" t="s">
        <v>4162</v>
      </c>
      <c r="C2931" s="10" t="s">
        <v>151</v>
      </c>
      <c r="D2931" s="11">
        <v>1</v>
      </c>
      <c r="E2931" s="12">
        <v>26600</v>
      </c>
      <c r="F2931" s="13">
        <v>26600</v>
      </c>
      <c r="G2931" s="2">
        <f>VLOOKUP(B2931,'PO with created By ASR'!A:C,3,FALSE)</f>
        <v>45713</v>
      </c>
      <c r="J2931" s="2" t="str">
        <f>VLOOKUP(B2931,'PO with created By ASR'!A:G,4,FALSE)</f>
        <v>Navin Enterprises-Mum</v>
      </c>
      <c r="K2931" s="2" t="str">
        <f>VLOOKUP(B2931,'PO with created By ASR'!A:I,6,FALSE)</f>
        <v>12189 Navin Enterprises</v>
      </c>
      <c r="L2931" s="2" t="str">
        <f>VLOOKUP(B2931,'PO with created By ASR'!A:J,7,FALSE)</f>
        <v>A - Mumbai</v>
      </c>
      <c r="M2931" s="2" t="str">
        <f>VLOOKUP(B2931,'PO with created By ASR'!A:K,8,FALSE)</f>
        <v>Purchase Order-Mum</v>
      </c>
      <c r="N2931" t="s">
        <v>36</v>
      </c>
      <c r="P2931" s="2">
        <v>6</v>
      </c>
    </row>
    <row r="2932" s="2" customFormat="1" spans="1:16">
      <c r="A2932" s="8"/>
      <c r="B2932" s="9" t="s">
        <v>4167</v>
      </c>
      <c r="C2932" s="10" t="s">
        <v>196</v>
      </c>
      <c r="D2932" s="11">
        <v>1</v>
      </c>
      <c r="E2932" s="12">
        <v>73225</v>
      </c>
      <c r="F2932" s="13">
        <v>73225</v>
      </c>
      <c r="G2932" s="2">
        <f>VLOOKUP(B2932,'PO with created By ASR'!A:C,3,FALSE)</f>
        <v>45713</v>
      </c>
      <c r="J2932" s="2" t="str">
        <f>VLOOKUP(B2932,'PO with created By ASR'!A:G,4,FALSE)</f>
        <v>Noaman Digital Partnership Firm-Mum</v>
      </c>
      <c r="K2932" s="2" t="e">
        <f>VLOOKUP(B2932,'PO with created By ASR'!A:I,6,FALSE)</f>
        <v>#N/A</v>
      </c>
      <c r="L2932" s="2" t="str">
        <f>VLOOKUP(B2932,'PO with created By ASR'!A:J,7,FALSE)</f>
        <v>A - Mumbai</v>
      </c>
      <c r="M2932" s="2" t="str">
        <f>VLOOKUP(B2932,'PO with created By ASR'!A:K,8,FALSE)</f>
        <v>Purchase Order-Mum</v>
      </c>
      <c r="N2932" t="s">
        <v>36</v>
      </c>
      <c r="P2932" s="2">
        <v>6</v>
      </c>
    </row>
    <row r="2933" s="2" customFormat="1" spans="1:16">
      <c r="A2933" s="8"/>
      <c r="B2933" s="9" t="s">
        <v>4168</v>
      </c>
      <c r="C2933" s="10" t="s">
        <v>347</v>
      </c>
      <c r="D2933" s="11">
        <v>1</v>
      </c>
      <c r="E2933" s="12">
        <v>15000</v>
      </c>
      <c r="F2933" s="13">
        <v>15000</v>
      </c>
      <c r="G2933" s="2">
        <f>VLOOKUP(B2933,'PO with created By ASR'!A:C,3,FALSE)</f>
        <v>45713</v>
      </c>
      <c r="J2933" s="2" t="str">
        <f>VLOOKUP(B2933,'PO with created By ASR'!A:G,4,FALSE)</f>
        <v>Yash Shah-Mum</v>
      </c>
      <c r="K2933" s="2" t="str">
        <f>VLOOKUP(B2933,'PO with created By ASR'!A:I,6,FALSE)</f>
        <v>11004 Yash Shah</v>
      </c>
      <c r="L2933" s="2" t="str">
        <f>VLOOKUP(B2933,'PO with created By ASR'!A:J,7,FALSE)</f>
        <v>A - Mumbai</v>
      </c>
      <c r="M2933" s="2" t="str">
        <f>VLOOKUP(B2933,'PO with created By ASR'!A:K,8,FALSE)</f>
        <v>Purchase Order-Mum</v>
      </c>
      <c r="N2933" t="s">
        <v>36</v>
      </c>
      <c r="P2933" s="2">
        <v>6</v>
      </c>
    </row>
    <row r="2934" s="2" customFormat="1" spans="1:16">
      <c r="A2934" s="8"/>
      <c r="B2934" s="9" t="s">
        <v>4169</v>
      </c>
      <c r="C2934" s="10" t="s">
        <v>734</v>
      </c>
      <c r="D2934" s="11">
        <v>1</v>
      </c>
      <c r="E2934" s="12">
        <v>1193870</v>
      </c>
      <c r="F2934" s="13">
        <v>1193870</v>
      </c>
      <c r="G2934" s="2">
        <f>VLOOKUP(B2934,'PO with created By ASR'!A:C,3,FALSE)</f>
        <v>45713</v>
      </c>
      <c r="J2934" s="2" t="str">
        <f>VLOOKUP(B2934,'PO with created By ASR'!A:G,4,FALSE)</f>
        <v>Musafir.Com India Pvt Ltd-Mum</v>
      </c>
      <c r="K2934" s="2" t="str">
        <f>VLOOKUP(B2934,'PO with created By ASR'!A:I,6,FALSE)</f>
        <v>10060  Musafir.Com India Pvt Ltd</v>
      </c>
      <c r="L2934" s="2" t="str">
        <f>VLOOKUP(B2934,'PO with created By ASR'!A:J,7,FALSE)</f>
        <v>A - Mumbai</v>
      </c>
      <c r="M2934" s="2" t="str">
        <f>VLOOKUP(B2934,'PO with created By ASR'!A:K,8,FALSE)</f>
        <v>Purchase Order-Mum</v>
      </c>
      <c r="N2934" t="s">
        <v>36</v>
      </c>
      <c r="P2934" s="2">
        <v>6</v>
      </c>
    </row>
    <row r="2935" s="2" customFormat="1" spans="1:16">
      <c r="A2935" s="8"/>
      <c r="B2935" s="9" t="s">
        <v>4169</v>
      </c>
      <c r="C2935" s="10" t="s">
        <v>1808</v>
      </c>
      <c r="D2935" s="11">
        <v>1</v>
      </c>
      <c r="E2935" s="12">
        <v>24850</v>
      </c>
      <c r="F2935" s="13">
        <v>24850</v>
      </c>
      <c r="G2935" s="2">
        <f>VLOOKUP(B2935,'PO with created By ASR'!A:C,3,FALSE)</f>
        <v>45713</v>
      </c>
      <c r="J2935" s="2" t="str">
        <f>VLOOKUP(B2935,'PO with created By ASR'!A:G,4,FALSE)</f>
        <v>Musafir.Com India Pvt Ltd-Mum</v>
      </c>
      <c r="K2935" s="2" t="str">
        <f>VLOOKUP(B2935,'PO with created By ASR'!A:I,6,FALSE)</f>
        <v>10060  Musafir.Com India Pvt Ltd</v>
      </c>
      <c r="L2935" s="2" t="str">
        <f>VLOOKUP(B2935,'PO with created By ASR'!A:J,7,FALSE)</f>
        <v>A - Mumbai</v>
      </c>
      <c r="M2935" s="2" t="str">
        <f>VLOOKUP(B2935,'PO with created By ASR'!A:K,8,FALSE)</f>
        <v>Purchase Order-Mum</v>
      </c>
      <c r="N2935" t="s">
        <v>36</v>
      </c>
      <c r="P2935" s="2">
        <v>6</v>
      </c>
    </row>
    <row r="2936" s="2" customFormat="1" spans="1:16">
      <c r="A2936" s="8"/>
      <c r="B2936" s="9" t="s">
        <v>4170</v>
      </c>
      <c r="C2936" s="10" t="s">
        <v>401</v>
      </c>
      <c r="D2936" s="11">
        <v>1</v>
      </c>
      <c r="E2936" s="12">
        <v>45000</v>
      </c>
      <c r="F2936" s="13">
        <v>45000</v>
      </c>
      <c r="G2936" s="2">
        <f>VLOOKUP(B2936,'PO with created By ASR'!A:C,3,FALSE)</f>
        <v>45713</v>
      </c>
      <c r="J2936" s="2" t="str">
        <f>VLOOKUP(B2936,'PO with created By ASR'!A:G,4,FALSE)</f>
        <v>Blushfox Studios LLP-Mum</v>
      </c>
      <c r="K2936" s="2" t="str">
        <f>VLOOKUP(B2936,'PO with created By ASR'!A:I,6,FALSE)</f>
        <v>12984 Blushfox Studios LLP</v>
      </c>
      <c r="L2936" s="2" t="str">
        <f>VLOOKUP(B2936,'PO with created By ASR'!A:J,7,FALSE)</f>
        <v>A - Mumbai</v>
      </c>
      <c r="M2936" s="2" t="str">
        <f>VLOOKUP(B2936,'PO with created By ASR'!A:K,8,FALSE)</f>
        <v>Purchase Order-Mum</v>
      </c>
      <c r="N2936" t="s">
        <v>36</v>
      </c>
      <c r="P2936" s="2">
        <v>6</v>
      </c>
    </row>
    <row r="2937" s="2" customFormat="1" spans="1:16">
      <c r="A2937" s="8"/>
      <c r="B2937" s="9" t="s">
        <v>4171</v>
      </c>
      <c r="C2937" s="10" t="s">
        <v>196</v>
      </c>
      <c r="D2937" s="11">
        <v>1</v>
      </c>
      <c r="E2937" s="12">
        <v>97173.75</v>
      </c>
      <c r="F2937" s="13">
        <v>97173.75</v>
      </c>
      <c r="G2937" s="2">
        <f>VLOOKUP(B2937,'PO with created By ASR'!A:C,3,FALSE)</f>
        <v>45713</v>
      </c>
      <c r="J2937" s="2" t="str">
        <f>VLOOKUP(B2937,'PO with created By ASR'!A:G,4,FALSE)</f>
        <v>Noaman Digital Partnership Firm-Mum</v>
      </c>
      <c r="K2937" s="2" t="e">
        <f>VLOOKUP(B2937,'PO with created By ASR'!A:I,6,FALSE)</f>
        <v>#N/A</v>
      </c>
      <c r="L2937" s="2" t="str">
        <f>VLOOKUP(B2937,'PO with created By ASR'!A:J,7,FALSE)</f>
        <v>A - Mumbai</v>
      </c>
      <c r="M2937" s="2" t="str">
        <f>VLOOKUP(B2937,'PO with created By ASR'!A:K,8,FALSE)</f>
        <v>Purchase Order-Mum</v>
      </c>
      <c r="N2937" t="s">
        <v>36</v>
      </c>
      <c r="P2937" s="2">
        <v>6</v>
      </c>
    </row>
    <row r="2938" s="2" customFormat="1" spans="1:16">
      <c r="A2938" s="8"/>
      <c r="B2938" s="9" t="s">
        <v>4172</v>
      </c>
      <c r="C2938" s="10" t="s">
        <v>196</v>
      </c>
      <c r="D2938" s="11">
        <v>1</v>
      </c>
      <c r="E2938" s="12">
        <v>50975</v>
      </c>
      <c r="F2938" s="13">
        <v>50975</v>
      </c>
      <c r="G2938" s="2">
        <f>VLOOKUP(B2938,'PO with created By ASR'!A:C,3,FALSE)</f>
        <v>45713</v>
      </c>
      <c r="J2938" s="2" t="str">
        <f>VLOOKUP(B2938,'PO with created By ASR'!A:G,4,FALSE)</f>
        <v>Noaman Digital Partnership Firm-Mum</v>
      </c>
      <c r="K2938" s="2" t="e">
        <f>VLOOKUP(B2938,'PO with created By ASR'!A:I,6,FALSE)</f>
        <v>#N/A</v>
      </c>
      <c r="L2938" s="2" t="str">
        <f>VLOOKUP(B2938,'PO with created By ASR'!A:J,7,FALSE)</f>
        <v>A - Mumbai</v>
      </c>
      <c r="M2938" s="2" t="str">
        <f>VLOOKUP(B2938,'PO with created By ASR'!A:K,8,FALSE)</f>
        <v>Purchase Order-Mum</v>
      </c>
      <c r="N2938" t="s">
        <v>36</v>
      </c>
      <c r="P2938" s="2">
        <v>6</v>
      </c>
    </row>
    <row r="2939" s="2" customFormat="1" spans="1:16">
      <c r="A2939" s="8"/>
      <c r="B2939" s="9" t="s">
        <v>4173</v>
      </c>
      <c r="C2939" s="10" t="s">
        <v>292</v>
      </c>
      <c r="D2939" s="11">
        <v>1</v>
      </c>
      <c r="E2939" s="12">
        <v>18600</v>
      </c>
      <c r="F2939" s="13">
        <v>18600</v>
      </c>
      <c r="G2939" s="2">
        <f>VLOOKUP(B2939,'PO with created By ASR'!A:C,3,FALSE)</f>
        <v>45713</v>
      </c>
      <c r="J2939" s="2" t="str">
        <f>VLOOKUP(B2939,'PO with created By ASR'!A:G,4,FALSE)</f>
        <v>Emblaze Events (Sunita Harihar Sharma)-Mum</v>
      </c>
      <c r="K2939" s="2" t="str">
        <f>VLOOKUP(B2939,'PO with created By ASR'!A:I,6,FALSE)</f>
        <v>11869 Emblaze Events (Sunita Harihar Sharma)</v>
      </c>
      <c r="L2939" s="2" t="str">
        <f>VLOOKUP(B2939,'PO with created By ASR'!A:J,7,FALSE)</f>
        <v>A - Mumbai</v>
      </c>
      <c r="M2939" s="2" t="str">
        <f>VLOOKUP(B2939,'PO with created By ASR'!A:K,8,FALSE)</f>
        <v>Purchase Order-Mum</v>
      </c>
      <c r="N2939" t="s">
        <v>36</v>
      </c>
      <c r="P2939" s="2">
        <v>6</v>
      </c>
    </row>
    <row r="2940" s="2" customFormat="1" spans="1:16">
      <c r="A2940" s="8"/>
      <c r="B2940" s="9" t="s">
        <v>4174</v>
      </c>
      <c r="C2940" s="10" t="s">
        <v>292</v>
      </c>
      <c r="D2940" s="11">
        <v>1</v>
      </c>
      <c r="E2940" s="12">
        <v>36140</v>
      </c>
      <c r="F2940" s="13">
        <v>36140</v>
      </c>
      <c r="G2940" s="2">
        <f>VLOOKUP(B2940,'PO with created By ASR'!A:C,3,FALSE)</f>
        <v>45713</v>
      </c>
      <c r="J2940" s="2" t="str">
        <f>VLOOKUP(B2940,'PO with created By ASR'!A:G,4,FALSE)</f>
        <v>Emblaze Events (Sunita Harihar Sharma)-Mum</v>
      </c>
      <c r="K2940" s="2" t="str">
        <f>VLOOKUP(B2940,'PO with created By ASR'!A:I,6,FALSE)</f>
        <v>11869 Emblaze Events (Sunita Harihar Sharma)</v>
      </c>
      <c r="L2940" s="2" t="str">
        <f>VLOOKUP(B2940,'PO with created By ASR'!A:J,7,FALSE)</f>
        <v>A - Mumbai</v>
      </c>
      <c r="M2940" s="2" t="str">
        <f>VLOOKUP(B2940,'PO with created By ASR'!A:K,8,FALSE)</f>
        <v>Purchase Order-Mum</v>
      </c>
      <c r="N2940" t="s">
        <v>36</v>
      </c>
      <c r="P2940" s="2">
        <v>6</v>
      </c>
    </row>
    <row r="2941" s="2" customFormat="1" spans="1:16">
      <c r="A2941" s="8"/>
      <c r="B2941" s="9" t="s">
        <v>4175</v>
      </c>
      <c r="C2941" s="10" t="s">
        <v>683</v>
      </c>
      <c r="D2941" s="11">
        <v>1</v>
      </c>
      <c r="E2941" s="12">
        <v>8000</v>
      </c>
      <c r="F2941" s="13">
        <v>8000</v>
      </c>
      <c r="G2941" s="2">
        <f>VLOOKUP(B2941,'PO with created By ASR'!A:C,3,FALSE)</f>
        <v>45713</v>
      </c>
      <c r="J2941" s="2" t="str">
        <f>VLOOKUP(B2941,'PO with created By ASR'!A:G,4,FALSE)</f>
        <v>Osho Creation-Mum</v>
      </c>
      <c r="K2941" s="2" t="str">
        <f>VLOOKUP(B2941,'PO with created By ASR'!A:I,6,FALSE)</f>
        <v>10788 Osho Creation</v>
      </c>
      <c r="L2941" s="2" t="str">
        <f>VLOOKUP(B2941,'PO with created By ASR'!A:J,7,FALSE)</f>
        <v>A - Mumbai</v>
      </c>
      <c r="M2941" s="2" t="str">
        <f>VLOOKUP(B2941,'PO with created By ASR'!A:K,8,FALSE)</f>
        <v>Purchase Order-Mum</v>
      </c>
      <c r="N2941" t="s">
        <v>36</v>
      </c>
      <c r="P2941" s="2">
        <v>6</v>
      </c>
    </row>
    <row r="2942" s="2" customFormat="1" spans="1:16">
      <c r="A2942" s="8"/>
      <c r="B2942" s="9" t="s">
        <v>4178</v>
      </c>
      <c r="C2942" s="10" t="s">
        <v>140</v>
      </c>
      <c r="D2942" s="11">
        <v>1</v>
      </c>
      <c r="E2942" s="12">
        <v>58725</v>
      </c>
      <c r="F2942" s="13">
        <v>58725</v>
      </c>
      <c r="G2942" s="2">
        <f>VLOOKUP(B2942,'PO with created By ASR'!A:C,3,FALSE)</f>
        <v>45713</v>
      </c>
      <c r="J2942" s="2" t="str">
        <f>VLOOKUP(B2942,'PO with created By ASR'!A:G,4,FALSE)</f>
        <v>A. J. Creation-Mum</v>
      </c>
      <c r="K2942" s="2" t="e">
        <f>VLOOKUP(B2942,'PO with created By ASR'!A:I,6,FALSE)</f>
        <v>#N/A</v>
      </c>
      <c r="L2942" s="2" t="str">
        <f>VLOOKUP(B2942,'PO with created By ASR'!A:J,7,FALSE)</f>
        <v>A - Mumbai</v>
      </c>
      <c r="M2942" s="2" t="str">
        <f>VLOOKUP(B2942,'PO with created By ASR'!A:K,8,FALSE)</f>
        <v>Purchase Order-Mum</v>
      </c>
      <c r="N2942" t="s">
        <v>36</v>
      </c>
      <c r="P2942" s="2">
        <v>6</v>
      </c>
    </row>
    <row r="2943" s="2" customFormat="1" spans="1:16">
      <c r="A2943" s="8"/>
      <c r="B2943" s="9" t="s">
        <v>4179</v>
      </c>
      <c r="C2943" s="10" t="s">
        <v>196</v>
      </c>
      <c r="D2943" s="11">
        <v>1</v>
      </c>
      <c r="E2943" s="12">
        <v>95960</v>
      </c>
      <c r="F2943" s="13">
        <v>95960</v>
      </c>
      <c r="G2943" s="2">
        <f>VLOOKUP(B2943,'PO with created By ASR'!A:C,3,FALSE)</f>
        <v>45713</v>
      </c>
      <c r="J2943" s="2" t="str">
        <f>VLOOKUP(B2943,'PO with created By ASR'!A:G,4,FALSE)</f>
        <v>Noaman Digital Partnership Firm-Mum</v>
      </c>
      <c r="K2943" s="2" t="e">
        <f>VLOOKUP(B2943,'PO with created By ASR'!A:I,6,FALSE)</f>
        <v>#N/A</v>
      </c>
      <c r="L2943" s="2" t="str">
        <f>VLOOKUP(B2943,'PO with created By ASR'!A:J,7,FALSE)</f>
        <v>A - Mumbai</v>
      </c>
      <c r="M2943" s="2" t="str">
        <f>VLOOKUP(B2943,'PO with created By ASR'!A:K,8,FALSE)</f>
        <v>Purchase Order-Mum</v>
      </c>
      <c r="N2943" t="s">
        <v>36</v>
      </c>
      <c r="P2943" s="2">
        <v>6</v>
      </c>
    </row>
    <row r="2944" s="2" customFormat="1" spans="1:16">
      <c r="A2944" s="8"/>
      <c r="B2944" s="9" t="s">
        <v>4180</v>
      </c>
      <c r="C2944" s="10" t="s">
        <v>371</v>
      </c>
      <c r="D2944" s="11">
        <v>1</v>
      </c>
      <c r="E2944" s="12">
        <v>50000</v>
      </c>
      <c r="F2944" s="13">
        <v>50000</v>
      </c>
      <c r="G2944" s="2">
        <f>VLOOKUP(B2944,'PO with created By ASR'!A:C,3,FALSE)</f>
        <v>45713</v>
      </c>
      <c r="J2944" s="2" t="str">
        <f>VLOOKUP(B2944,'PO with created By ASR'!A:G,4,FALSE)</f>
        <v>Sound Decisions.Com-Mum</v>
      </c>
      <c r="K2944" s="2" t="str">
        <f>VLOOKUP(B2944,'PO with created By ASR'!A:I,6,FALSE)</f>
        <v>11133 Sound Decisions.Com</v>
      </c>
      <c r="L2944" s="2" t="str">
        <f>VLOOKUP(B2944,'PO with created By ASR'!A:J,7,FALSE)</f>
        <v>A - Mumbai</v>
      </c>
      <c r="M2944" s="2" t="str">
        <f>VLOOKUP(B2944,'PO with created By ASR'!A:K,8,FALSE)</f>
        <v>Purchase Order-Mum</v>
      </c>
      <c r="N2944" t="s">
        <v>36</v>
      </c>
      <c r="P2944" s="2">
        <v>6</v>
      </c>
    </row>
    <row r="2945" s="2" customFormat="1" spans="1:16">
      <c r="A2945" s="8"/>
      <c r="B2945" s="9" t="s">
        <v>4181</v>
      </c>
      <c r="C2945" s="10" t="s">
        <v>151</v>
      </c>
      <c r="D2945" s="11">
        <v>1</v>
      </c>
      <c r="E2945" s="12">
        <v>45000</v>
      </c>
      <c r="F2945" s="13">
        <v>45000</v>
      </c>
      <c r="G2945" s="2">
        <f>VLOOKUP(B2945,'PO with created By ASR'!A:C,3,FALSE)</f>
        <v>45713</v>
      </c>
      <c r="J2945" s="2" t="str">
        <f>VLOOKUP(B2945,'PO with created By ASR'!A:G,4,FALSE)</f>
        <v>Om Screen Art Events-Mum</v>
      </c>
      <c r="K2945" s="2" t="str">
        <f>VLOOKUP(B2945,'PO with created By ASR'!A:I,6,FALSE)</f>
        <v>12222 Om Screen Art Events</v>
      </c>
      <c r="L2945" s="2" t="str">
        <f>VLOOKUP(B2945,'PO with created By ASR'!A:J,7,FALSE)</f>
        <v>A - Mumbai</v>
      </c>
      <c r="M2945" s="2" t="str">
        <f>VLOOKUP(B2945,'PO with created By ASR'!A:K,8,FALSE)</f>
        <v>Purchase Order-Mum</v>
      </c>
      <c r="N2945" t="s">
        <v>36</v>
      </c>
      <c r="P2945" s="2">
        <v>6</v>
      </c>
    </row>
    <row r="2946" s="2" customFormat="1" spans="1:16">
      <c r="A2946" s="8"/>
      <c r="B2946" s="9" t="s">
        <v>4182</v>
      </c>
      <c r="C2946" s="10" t="s">
        <v>371</v>
      </c>
      <c r="D2946" s="11">
        <v>1</v>
      </c>
      <c r="E2946" s="12">
        <v>10000</v>
      </c>
      <c r="F2946" s="13">
        <v>10000</v>
      </c>
      <c r="G2946" s="2">
        <f>VLOOKUP(B2946,'PO with created By ASR'!A:C,3,FALSE)</f>
        <v>45713</v>
      </c>
      <c r="J2946" s="2" t="str">
        <f>VLOOKUP(B2946,'PO with created By ASR'!A:G,4,FALSE)</f>
        <v>UPS Rental Service (I) Pvt Ltd-Mum</v>
      </c>
      <c r="K2946" s="2" t="str">
        <f>VLOOKUP(B2946,'PO with created By ASR'!A:I,6,FALSE)</f>
        <v>12817  UPS Rental Service (I) Pvt Ltd</v>
      </c>
      <c r="L2946" s="2" t="str">
        <f>VLOOKUP(B2946,'PO with created By ASR'!A:J,7,FALSE)</f>
        <v>A - Mumbai</v>
      </c>
      <c r="M2946" s="2" t="str">
        <f>VLOOKUP(B2946,'PO with created By ASR'!A:K,8,FALSE)</f>
        <v>Purchase Order-Mum</v>
      </c>
      <c r="N2946" t="s">
        <v>36</v>
      </c>
      <c r="P2946" s="2">
        <v>6</v>
      </c>
    </row>
    <row r="2947" s="2" customFormat="1" spans="1:16">
      <c r="A2947" s="8"/>
      <c r="B2947" s="9" t="s">
        <v>4185</v>
      </c>
      <c r="C2947" s="10" t="s">
        <v>276</v>
      </c>
      <c r="D2947" s="11">
        <v>1</v>
      </c>
      <c r="E2947" s="12">
        <v>387000</v>
      </c>
      <c r="F2947" s="13">
        <v>387000</v>
      </c>
      <c r="G2947" s="2">
        <f>VLOOKUP(B2947,'PO with created By ASR'!A:C,3,FALSE)</f>
        <v>45713</v>
      </c>
      <c r="J2947" s="2" t="str">
        <f>VLOOKUP(B2947,'PO with created By ASR'!A:G,4,FALSE)</f>
        <v>Reliance Industries Ltd-Mum</v>
      </c>
      <c r="K2947" s="2" t="str">
        <f>VLOOKUP(B2947,'PO with created By ASR'!A:I,6,FALSE)</f>
        <v>10402  Reliance Industries Ltd</v>
      </c>
      <c r="L2947" s="2" t="str">
        <f>VLOOKUP(B2947,'PO with created By ASR'!A:J,7,FALSE)</f>
        <v>A - Mumbai</v>
      </c>
      <c r="M2947" s="2" t="str">
        <f>VLOOKUP(B2947,'PO with created By ASR'!A:K,8,FALSE)</f>
        <v>Purchase Order-Mum</v>
      </c>
      <c r="N2947" t="s">
        <v>36</v>
      </c>
      <c r="P2947" s="2">
        <v>6</v>
      </c>
    </row>
    <row r="2948" s="2" customFormat="1" spans="1:16">
      <c r="A2948" s="8"/>
      <c r="B2948" s="9" t="s">
        <v>4185</v>
      </c>
      <c r="C2948" s="10" t="s">
        <v>676</v>
      </c>
      <c r="D2948" s="11">
        <v>1</v>
      </c>
      <c r="E2948" s="12">
        <v>9675</v>
      </c>
      <c r="F2948" s="13">
        <v>9675</v>
      </c>
      <c r="G2948" s="2">
        <f>VLOOKUP(B2948,'PO with created By ASR'!A:C,3,FALSE)</f>
        <v>45713</v>
      </c>
      <c r="J2948" s="2" t="str">
        <f>VLOOKUP(B2948,'PO with created By ASR'!A:G,4,FALSE)</f>
        <v>Reliance Industries Ltd-Mum</v>
      </c>
      <c r="K2948" s="2" t="str">
        <f>VLOOKUP(B2948,'PO with created By ASR'!A:I,6,FALSE)</f>
        <v>10402  Reliance Industries Ltd</v>
      </c>
      <c r="L2948" s="2" t="str">
        <f>VLOOKUP(B2948,'PO with created By ASR'!A:J,7,FALSE)</f>
        <v>A - Mumbai</v>
      </c>
      <c r="M2948" s="2" t="str">
        <f>VLOOKUP(B2948,'PO with created By ASR'!A:K,8,FALSE)</f>
        <v>Purchase Order-Mum</v>
      </c>
      <c r="N2948" t="s">
        <v>36</v>
      </c>
      <c r="P2948" s="2">
        <v>6</v>
      </c>
    </row>
    <row r="2949" s="2" customFormat="1" spans="1:16">
      <c r="A2949" s="8"/>
      <c r="B2949" s="9" t="s">
        <v>4185</v>
      </c>
      <c r="C2949" s="10" t="s">
        <v>4365</v>
      </c>
      <c r="D2949" s="11">
        <v>1</v>
      </c>
      <c r="E2949" s="12">
        <v>9675</v>
      </c>
      <c r="F2949" s="13">
        <v>9675</v>
      </c>
      <c r="G2949" s="2">
        <f>VLOOKUP(B2949,'PO with created By ASR'!A:C,3,FALSE)</f>
        <v>45713</v>
      </c>
      <c r="J2949" s="2" t="str">
        <f>VLOOKUP(B2949,'PO with created By ASR'!A:G,4,FALSE)</f>
        <v>Reliance Industries Ltd-Mum</v>
      </c>
      <c r="K2949" s="2" t="str">
        <f>VLOOKUP(B2949,'PO with created By ASR'!A:I,6,FALSE)</f>
        <v>10402  Reliance Industries Ltd</v>
      </c>
      <c r="L2949" s="2" t="str">
        <f>VLOOKUP(B2949,'PO with created By ASR'!A:J,7,FALSE)</f>
        <v>A - Mumbai</v>
      </c>
      <c r="M2949" s="2" t="str">
        <f>VLOOKUP(B2949,'PO with created By ASR'!A:K,8,FALSE)</f>
        <v>Purchase Order-Mum</v>
      </c>
      <c r="N2949" t="s">
        <v>36</v>
      </c>
      <c r="P2949" s="2">
        <v>6</v>
      </c>
    </row>
    <row r="2950" s="2" customFormat="1" spans="1:16">
      <c r="A2950" s="8"/>
      <c r="B2950" s="9" t="s">
        <v>4189</v>
      </c>
      <c r="C2950" s="10" t="s">
        <v>140</v>
      </c>
      <c r="D2950" s="11">
        <v>1</v>
      </c>
      <c r="E2950" s="12">
        <v>8200</v>
      </c>
      <c r="F2950" s="13">
        <v>8200</v>
      </c>
      <c r="G2950" s="2">
        <f>VLOOKUP(B2950,'PO with created By ASR'!A:C,3,FALSE)</f>
        <v>45714</v>
      </c>
      <c r="J2950" s="2" t="str">
        <f>VLOOKUP(B2950,'PO with created By ASR'!A:G,4,FALSE)</f>
        <v>Megascule-Blr</v>
      </c>
      <c r="K2950" s="2" t="e">
        <f>VLOOKUP(B2950,'PO with created By ASR'!A:I,6,FALSE)</f>
        <v>#N/A</v>
      </c>
      <c r="L2950" s="2" t="str">
        <f>VLOOKUP(B2950,'PO with created By ASR'!A:J,7,FALSE)</f>
        <v>B - Bangalore</v>
      </c>
      <c r="M2950" s="2" t="str">
        <f>VLOOKUP(B2950,'PO with created By ASR'!A:K,8,FALSE)</f>
        <v>Purchase Order-Blr</v>
      </c>
      <c r="N2950" t="s">
        <v>36</v>
      </c>
      <c r="P2950" s="2">
        <v>6</v>
      </c>
    </row>
    <row r="2951" s="2" customFormat="1" spans="1:16">
      <c r="A2951" s="8"/>
      <c r="B2951" s="9" t="s">
        <v>4189</v>
      </c>
      <c r="C2951" s="10" t="s">
        <v>205</v>
      </c>
      <c r="D2951" s="11">
        <v>1</v>
      </c>
      <c r="E2951" s="12">
        <v>1000</v>
      </c>
      <c r="F2951" s="13">
        <v>1000</v>
      </c>
      <c r="G2951" s="2">
        <f>VLOOKUP(B2951,'PO with created By ASR'!A:C,3,FALSE)</f>
        <v>45714</v>
      </c>
      <c r="J2951" s="2" t="str">
        <f>VLOOKUP(B2951,'PO with created By ASR'!A:G,4,FALSE)</f>
        <v>Megascule-Blr</v>
      </c>
      <c r="K2951" s="2" t="e">
        <f>VLOOKUP(B2951,'PO with created By ASR'!A:I,6,FALSE)</f>
        <v>#N/A</v>
      </c>
      <c r="L2951" s="2" t="str">
        <f>VLOOKUP(B2951,'PO with created By ASR'!A:J,7,FALSE)</f>
        <v>B - Bangalore</v>
      </c>
      <c r="M2951" s="2" t="str">
        <f>VLOOKUP(B2951,'PO with created By ASR'!A:K,8,FALSE)</f>
        <v>Purchase Order-Blr</v>
      </c>
      <c r="N2951" t="s">
        <v>36</v>
      </c>
      <c r="P2951" s="2">
        <v>6</v>
      </c>
    </row>
    <row r="2952" s="2" customFormat="1" spans="1:16">
      <c r="A2952" s="8"/>
      <c r="B2952" s="9" t="s">
        <v>4193</v>
      </c>
      <c r="C2952" s="10" t="s">
        <v>317</v>
      </c>
      <c r="D2952" s="11">
        <v>1</v>
      </c>
      <c r="E2952" s="12">
        <v>80000</v>
      </c>
      <c r="F2952" s="13">
        <v>80000</v>
      </c>
      <c r="G2952" s="2">
        <f>VLOOKUP(B2952,'PO with created By ASR'!A:C,3,FALSE)</f>
        <v>45714</v>
      </c>
      <c r="J2952" s="2" t="str">
        <f>VLOOKUP(B2952,'PO with created By ASR'!A:G,4,FALSE)</f>
        <v>Silvercrest Events &amp; Promotions Pvt Ltd-Del</v>
      </c>
      <c r="K2952" s="2" t="str">
        <f>VLOOKUP(B2952,'PO with created By ASR'!A:I,6,FALSE)</f>
        <v>12411  Silvercrest Events &amp; Promotions Pvt Ltd</v>
      </c>
      <c r="L2952" s="2" t="str">
        <f>VLOOKUP(B2952,'PO with created By ASR'!A:J,7,FALSE)</f>
        <v>D - Delhi</v>
      </c>
      <c r="M2952" s="2" t="str">
        <f>VLOOKUP(B2952,'PO with created By ASR'!A:K,8,FALSE)</f>
        <v>Purchase Order-Del</v>
      </c>
      <c r="N2952" t="s">
        <v>36</v>
      </c>
      <c r="P2952" s="2">
        <v>6</v>
      </c>
    </row>
    <row r="2953" s="2" customFormat="1" spans="1:16">
      <c r="A2953" s="8"/>
      <c r="B2953" s="9" t="s">
        <v>4194</v>
      </c>
      <c r="C2953" s="10" t="s">
        <v>371</v>
      </c>
      <c r="D2953" s="11">
        <v>1</v>
      </c>
      <c r="E2953" s="12">
        <v>1010000</v>
      </c>
      <c r="F2953" s="13">
        <v>1010000</v>
      </c>
      <c r="G2953" s="2">
        <f>VLOOKUP(B2953,'PO with created By ASR'!A:C,3,FALSE)</f>
        <v>45714</v>
      </c>
      <c r="J2953" s="2" t="str">
        <f>VLOOKUP(B2953,'PO with created By ASR'!A:G,4,FALSE)</f>
        <v>Silvercrest Events &amp; Promotions Pvt Ltd-Del</v>
      </c>
      <c r="K2953" s="2" t="str">
        <f>VLOOKUP(B2953,'PO with created By ASR'!A:I,6,FALSE)</f>
        <v>12411  Silvercrest Events &amp; Promotions Pvt Ltd</v>
      </c>
      <c r="L2953" s="2" t="str">
        <f>VLOOKUP(B2953,'PO with created By ASR'!A:J,7,FALSE)</f>
        <v>D - Delhi</v>
      </c>
      <c r="M2953" s="2" t="str">
        <f>VLOOKUP(B2953,'PO with created By ASR'!A:K,8,FALSE)</f>
        <v>Purchase Order-Del</v>
      </c>
      <c r="N2953" t="s">
        <v>36</v>
      </c>
      <c r="P2953" s="2">
        <v>6</v>
      </c>
    </row>
    <row r="2954" s="2" customFormat="1" spans="1:16">
      <c r="A2954" s="8"/>
      <c r="B2954" s="9" t="s">
        <v>4195</v>
      </c>
      <c r="C2954" s="10" t="s">
        <v>317</v>
      </c>
      <c r="D2954" s="11">
        <v>1</v>
      </c>
      <c r="E2954" s="12">
        <v>167000</v>
      </c>
      <c r="F2954" s="13">
        <v>167000</v>
      </c>
      <c r="G2954" s="2">
        <f>VLOOKUP(B2954,'PO with created By ASR'!A:C,3,FALSE)</f>
        <v>45714</v>
      </c>
      <c r="J2954" s="2" t="str">
        <f>VLOOKUP(B2954,'PO with created By ASR'!A:G,4,FALSE)</f>
        <v>Natural Entertainers-Del</v>
      </c>
      <c r="K2954" s="2" t="str">
        <f>VLOOKUP(B2954,'PO with created By ASR'!A:I,6,FALSE)</f>
        <v>12186 Natural Entertainers</v>
      </c>
      <c r="L2954" s="2" t="str">
        <f>VLOOKUP(B2954,'PO with created By ASR'!A:J,7,FALSE)</f>
        <v>D - Delhi</v>
      </c>
      <c r="M2954" s="2" t="str">
        <f>VLOOKUP(B2954,'PO with created By ASR'!A:K,8,FALSE)</f>
        <v>Purchase Order-Del</v>
      </c>
      <c r="N2954" t="s">
        <v>36</v>
      </c>
      <c r="P2954" s="2">
        <v>6</v>
      </c>
    </row>
    <row r="2955" s="2" customFormat="1" spans="1:16">
      <c r="A2955" s="8"/>
      <c r="B2955" s="9" t="s">
        <v>4198</v>
      </c>
      <c r="C2955" s="10" t="s">
        <v>151</v>
      </c>
      <c r="D2955" s="11">
        <v>1</v>
      </c>
      <c r="E2955" s="12">
        <v>332000</v>
      </c>
      <c r="F2955" s="13">
        <v>332000</v>
      </c>
      <c r="G2955" s="2">
        <f>VLOOKUP(B2955,'PO with created By ASR'!A:C,3,FALSE)</f>
        <v>45714</v>
      </c>
      <c r="J2955" s="2" t="str">
        <f>VLOOKUP(B2955,'PO with created By ASR'!A:G,4,FALSE)</f>
        <v>Staietechllp-Del</v>
      </c>
      <c r="K2955" s="2" t="e">
        <f>VLOOKUP(B2955,'PO with created By ASR'!A:I,6,FALSE)</f>
        <v>#N/A</v>
      </c>
      <c r="L2955" s="2" t="str">
        <f>VLOOKUP(B2955,'PO with created By ASR'!A:J,7,FALSE)</f>
        <v>D - Delhi</v>
      </c>
      <c r="M2955" s="2" t="str">
        <f>VLOOKUP(B2955,'PO with created By ASR'!A:K,8,FALSE)</f>
        <v>Purchase Order-Del</v>
      </c>
      <c r="N2955" t="s">
        <v>36</v>
      </c>
      <c r="P2955" s="2">
        <v>6</v>
      </c>
    </row>
    <row r="2956" s="2" customFormat="1" spans="1:16">
      <c r="A2956" s="8"/>
      <c r="B2956" s="9" t="s">
        <v>4201</v>
      </c>
      <c r="C2956" s="10" t="s">
        <v>126</v>
      </c>
      <c r="D2956" s="11">
        <v>1</v>
      </c>
      <c r="E2956" s="12">
        <v>680</v>
      </c>
      <c r="F2956" s="13">
        <v>680</v>
      </c>
      <c r="G2956" s="2">
        <f>VLOOKUP(B2956,'PO with created By ASR'!A:C,3,FALSE)</f>
        <v>45714</v>
      </c>
      <c r="J2956" s="2" t="str">
        <f>VLOOKUP(B2956,'PO with created By ASR'!A:G,4,FALSE)</f>
        <v>Ghanshyam Asolkar -CR</v>
      </c>
      <c r="K2956" s="2" t="e">
        <f>VLOOKUP(B2956,'PO with created By ASR'!A:I,6,FALSE)</f>
        <v>#N/A</v>
      </c>
      <c r="L2956" s="2" t="str">
        <f>VLOOKUP(B2956,'PO with created By ASR'!A:J,7,FALSE)</f>
        <v>A - Mumbai</v>
      </c>
      <c r="M2956" s="2" t="str">
        <f>VLOOKUP(B2956,'PO with created By ASR'!A:K,8,FALSE)</f>
        <v>Purchase Order-Mum</v>
      </c>
      <c r="N2956" t="s">
        <v>36</v>
      </c>
      <c r="P2956" s="2">
        <v>6</v>
      </c>
    </row>
    <row r="2957" s="2" customFormat="1" spans="1:16">
      <c r="A2957" s="8"/>
      <c r="B2957" s="9" t="s">
        <v>4201</v>
      </c>
      <c r="C2957" s="10" t="s">
        <v>412</v>
      </c>
      <c r="D2957" s="11">
        <v>1</v>
      </c>
      <c r="E2957" s="12">
        <v>1836</v>
      </c>
      <c r="F2957" s="13">
        <v>1836</v>
      </c>
      <c r="G2957" s="2">
        <f>VLOOKUP(B2957,'PO with created By ASR'!A:C,3,FALSE)</f>
        <v>45714</v>
      </c>
      <c r="J2957" s="2" t="str">
        <f>VLOOKUP(B2957,'PO with created By ASR'!A:G,4,FALSE)</f>
        <v>Ghanshyam Asolkar -CR</v>
      </c>
      <c r="K2957" s="2" t="e">
        <f>VLOOKUP(B2957,'PO with created By ASR'!A:I,6,FALSE)</f>
        <v>#N/A</v>
      </c>
      <c r="L2957" s="2" t="str">
        <f>VLOOKUP(B2957,'PO with created By ASR'!A:J,7,FALSE)</f>
        <v>A - Mumbai</v>
      </c>
      <c r="M2957" s="2" t="str">
        <f>VLOOKUP(B2957,'PO with created By ASR'!A:K,8,FALSE)</f>
        <v>Purchase Order-Mum</v>
      </c>
      <c r="N2957" t="s">
        <v>36</v>
      </c>
      <c r="P2957" s="2">
        <v>6</v>
      </c>
    </row>
    <row r="2958" s="2" customFormat="1" spans="1:16">
      <c r="A2958" s="8"/>
      <c r="B2958" s="9" t="s">
        <v>4202</v>
      </c>
      <c r="C2958" s="10" t="s">
        <v>126</v>
      </c>
      <c r="D2958" s="11">
        <v>1</v>
      </c>
      <c r="E2958" s="12">
        <v>7664</v>
      </c>
      <c r="F2958" s="13">
        <v>7664</v>
      </c>
      <c r="G2958" s="2">
        <f>VLOOKUP(B2958,'PO with created By ASR'!A:C,3,FALSE)</f>
        <v>45714</v>
      </c>
      <c r="J2958" s="2" t="str">
        <f>VLOOKUP(B2958,'PO with created By ASR'!A:G,4,FALSE)</f>
        <v>Santosh Singh -CR</v>
      </c>
      <c r="K2958" s="2" t="e">
        <f>VLOOKUP(B2958,'PO with created By ASR'!A:I,6,FALSE)</f>
        <v>#N/A</v>
      </c>
      <c r="L2958" s="2" t="str">
        <f>VLOOKUP(B2958,'PO with created By ASR'!A:J,7,FALSE)</f>
        <v>A - Mumbai</v>
      </c>
      <c r="M2958" s="2" t="str">
        <f>VLOOKUP(B2958,'PO with created By ASR'!A:K,8,FALSE)</f>
        <v>Purchase Order-Mum</v>
      </c>
      <c r="N2958" t="s">
        <v>36</v>
      </c>
      <c r="P2958" s="2">
        <v>6</v>
      </c>
    </row>
    <row r="2959" s="2" customFormat="1" spans="1:16">
      <c r="A2959" s="8"/>
      <c r="B2959" s="9" t="s">
        <v>4202</v>
      </c>
      <c r="C2959" s="10" t="s">
        <v>412</v>
      </c>
      <c r="D2959" s="11">
        <v>1</v>
      </c>
      <c r="E2959" s="12">
        <v>4930</v>
      </c>
      <c r="F2959" s="13">
        <v>4930</v>
      </c>
      <c r="G2959" s="2">
        <f>VLOOKUP(B2959,'PO with created By ASR'!A:C,3,FALSE)</f>
        <v>45714</v>
      </c>
      <c r="J2959" s="2" t="str">
        <f>VLOOKUP(B2959,'PO with created By ASR'!A:G,4,FALSE)</f>
        <v>Santosh Singh -CR</v>
      </c>
      <c r="K2959" s="2" t="e">
        <f>VLOOKUP(B2959,'PO with created By ASR'!A:I,6,FALSE)</f>
        <v>#N/A</v>
      </c>
      <c r="L2959" s="2" t="str">
        <f>VLOOKUP(B2959,'PO with created By ASR'!A:J,7,FALSE)</f>
        <v>A - Mumbai</v>
      </c>
      <c r="M2959" s="2" t="str">
        <f>VLOOKUP(B2959,'PO with created By ASR'!A:K,8,FALSE)</f>
        <v>Purchase Order-Mum</v>
      </c>
      <c r="N2959" t="s">
        <v>36</v>
      </c>
      <c r="P2959" s="2">
        <v>6</v>
      </c>
    </row>
    <row r="2960" s="2" customFormat="1" spans="1:16">
      <c r="A2960" s="8"/>
      <c r="B2960" s="9" t="s">
        <v>4203</v>
      </c>
      <c r="C2960" s="10" t="s">
        <v>126</v>
      </c>
      <c r="D2960" s="11">
        <v>1</v>
      </c>
      <c r="E2960" s="12">
        <v>1480</v>
      </c>
      <c r="F2960" s="13">
        <v>1480</v>
      </c>
      <c r="G2960" s="2">
        <f>VLOOKUP(B2960,'PO with created By ASR'!A:C,3,FALSE)</f>
        <v>45714</v>
      </c>
      <c r="J2960" s="2" t="str">
        <f>VLOOKUP(B2960,'PO with created By ASR'!A:G,4,FALSE)</f>
        <v>Harish Aawade -CR</v>
      </c>
      <c r="K2960" s="2" t="e">
        <f>VLOOKUP(B2960,'PO with created By ASR'!A:I,6,FALSE)</f>
        <v>#N/A</v>
      </c>
      <c r="L2960" s="2" t="str">
        <f>VLOOKUP(B2960,'PO with created By ASR'!A:J,7,FALSE)</f>
        <v>A - Mumbai</v>
      </c>
      <c r="M2960" s="2" t="str">
        <f>VLOOKUP(B2960,'PO with created By ASR'!A:K,8,FALSE)</f>
        <v>Purchase Order-Mum</v>
      </c>
      <c r="N2960" t="s">
        <v>36</v>
      </c>
      <c r="P2960" s="2">
        <v>6</v>
      </c>
    </row>
    <row r="2961" s="2" customFormat="1" spans="1:16">
      <c r="A2961" s="8"/>
      <c r="B2961" s="9" t="s">
        <v>4203</v>
      </c>
      <c r="C2961" s="10" t="s">
        <v>412</v>
      </c>
      <c r="D2961" s="11">
        <v>1</v>
      </c>
      <c r="E2961" s="12">
        <v>4023</v>
      </c>
      <c r="F2961" s="13">
        <v>4023</v>
      </c>
      <c r="G2961" s="2">
        <f>VLOOKUP(B2961,'PO with created By ASR'!A:C,3,FALSE)</f>
        <v>45714</v>
      </c>
      <c r="J2961" s="2" t="str">
        <f>VLOOKUP(B2961,'PO with created By ASR'!A:G,4,FALSE)</f>
        <v>Harish Aawade -CR</v>
      </c>
      <c r="K2961" s="2" t="e">
        <f>VLOOKUP(B2961,'PO with created By ASR'!A:I,6,FALSE)</f>
        <v>#N/A</v>
      </c>
      <c r="L2961" s="2" t="str">
        <f>VLOOKUP(B2961,'PO with created By ASR'!A:J,7,FALSE)</f>
        <v>A - Mumbai</v>
      </c>
      <c r="M2961" s="2" t="str">
        <f>VLOOKUP(B2961,'PO with created By ASR'!A:K,8,FALSE)</f>
        <v>Purchase Order-Mum</v>
      </c>
      <c r="N2961" t="s">
        <v>36</v>
      </c>
      <c r="P2961" s="2">
        <v>6</v>
      </c>
    </row>
    <row r="2962" s="2" customFormat="1" spans="1:16">
      <c r="A2962" s="8"/>
      <c r="B2962" s="9" t="s">
        <v>4205</v>
      </c>
      <c r="C2962" s="10" t="s">
        <v>317</v>
      </c>
      <c r="D2962" s="11">
        <v>1</v>
      </c>
      <c r="E2962" s="12">
        <v>38820</v>
      </c>
      <c r="F2962" s="13">
        <v>38820</v>
      </c>
      <c r="G2962" s="2">
        <f>VLOOKUP(B2962,'PO with created By ASR'!A:C,3,FALSE)</f>
        <v>45714</v>
      </c>
      <c r="J2962" s="2" t="str">
        <f>VLOOKUP(B2962,'PO with created By ASR'!A:G,4,FALSE)</f>
        <v>Sanil Thombare -CR</v>
      </c>
      <c r="K2962" s="2" t="e">
        <f>VLOOKUP(B2962,'PO with created By ASR'!A:I,6,FALSE)</f>
        <v>#N/A</v>
      </c>
      <c r="L2962" s="2" t="str">
        <f>VLOOKUP(B2962,'PO with created By ASR'!A:J,7,FALSE)</f>
        <v>A - Mumbai</v>
      </c>
      <c r="M2962" s="2" t="str">
        <f>VLOOKUP(B2962,'PO with created By ASR'!A:K,8,FALSE)</f>
        <v>Purchase Order-Mum</v>
      </c>
      <c r="N2962" t="s">
        <v>36</v>
      </c>
      <c r="P2962" s="2">
        <v>6</v>
      </c>
    </row>
    <row r="2963" s="2" customFormat="1" spans="1:16">
      <c r="A2963" s="8"/>
      <c r="B2963" s="9" t="s">
        <v>4205</v>
      </c>
      <c r="C2963" s="10" t="s">
        <v>126</v>
      </c>
      <c r="D2963" s="11">
        <v>1</v>
      </c>
      <c r="E2963" s="12">
        <v>6322</v>
      </c>
      <c r="F2963" s="13">
        <v>6322</v>
      </c>
      <c r="G2963" s="2">
        <f>VLOOKUP(B2963,'PO with created By ASR'!A:C,3,FALSE)</f>
        <v>45714</v>
      </c>
      <c r="J2963" s="2" t="str">
        <f>VLOOKUP(B2963,'PO with created By ASR'!A:G,4,FALSE)</f>
        <v>Sanil Thombare -CR</v>
      </c>
      <c r="K2963" s="2" t="e">
        <f>VLOOKUP(B2963,'PO with created By ASR'!A:I,6,FALSE)</f>
        <v>#N/A</v>
      </c>
      <c r="L2963" s="2" t="str">
        <f>VLOOKUP(B2963,'PO with created By ASR'!A:J,7,FALSE)</f>
        <v>A - Mumbai</v>
      </c>
      <c r="M2963" s="2" t="str">
        <f>VLOOKUP(B2963,'PO with created By ASR'!A:K,8,FALSE)</f>
        <v>Purchase Order-Mum</v>
      </c>
      <c r="N2963" t="s">
        <v>36</v>
      </c>
      <c r="P2963" s="2">
        <v>6</v>
      </c>
    </row>
    <row r="2964" s="2" customFormat="1" spans="1:16">
      <c r="A2964" s="8"/>
      <c r="B2964" s="9" t="s">
        <v>4205</v>
      </c>
      <c r="C2964" s="10" t="s">
        <v>412</v>
      </c>
      <c r="D2964" s="11">
        <v>1</v>
      </c>
      <c r="E2964" s="12">
        <v>2493</v>
      </c>
      <c r="F2964" s="13">
        <v>2493</v>
      </c>
      <c r="G2964" s="2">
        <f>VLOOKUP(B2964,'PO with created By ASR'!A:C,3,FALSE)</f>
        <v>45714</v>
      </c>
      <c r="J2964" s="2" t="str">
        <f>VLOOKUP(B2964,'PO with created By ASR'!A:G,4,FALSE)</f>
        <v>Sanil Thombare -CR</v>
      </c>
      <c r="K2964" s="2" t="e">
        <f>VLOOKUP(B2964,'PO with created By ASR'!A:I,6,FALSE)</f>
        <v>#N/A</v>
      </c>
      <c r="L2964" s="2" t="str">
        <f>VLOOKUP(B2964,'PO with created By ASR'!A:J,7,FALSE)</f>
        <v>A - Mumbai</v>
      </c>
      <c r="M2964" s="2" t="str">
        <f>VLOOKUP(B2964,'PO with created By ASR'!A:K,8,FALSE)</f>
        <v>Purchase Order-Mum</v>
      </c>
      <c r="N2964" t="s">
        <v>36</v>
      </c>
      <c r="P2964" s="2">
        <v>6</v>
      </c>
    </row>
    <row r="2965" s="2" customFormat="1" spans="1:16">
      <c r="A2965" s="8"/>
      <c r="B2965" s="9" t="s">
        <v>4206</v>
      </c>
      <c r="C2965" s="10" t="s">
        <v>126</v>
      </c>
      <c r="D2965" s="11">
        <v>1</v>
      </c>
      <c r="E2965" s="12">
        <v>4735</v>
      </c>
      <c r="F2965" s="13">
        <v>4735</v>
      </c>
      <c r="G2965" s="2">
        <f>VLOOKUP(B2965,'PO with created By ASR'!A:C,3,FALSE)</f>
        <v>45714</v>
      </c>
      <c r="J2965" s="2" t="str">
        <f>VLOOKUP(B2965,'PO with created By ASR'!A:G,4,FALSE)</f>
        <v>Abhimanyu Awate -CR</v>
      </c>
      <c r="K2965" s="2" t="e">
        <f>VLOOKUP(B2965,'PO with created By ASR'!A:I,6,FALSE)</f>
        <v>#N/A</v>
      </c>
      <c r="L2965" s="2" t="str">
        <f>VLOOKUP(B2965,'PO with created By ASR'!A:J,7,FALSE)</f>
        <v>A - Mumbai</v>
      </c>
      <c r="M2965" s="2" t="str">
        <f>VLOOKUP(B2965,'PO with created By ASR'!A:K,8,FALSE)</f>
        <v>Purchase Order-Mum</v>
      </c>
      <c r="N2965" t="s">
        <v>36</v>
      </c>
      <c r="P2965" s="2">
        <v>6</v>
      </c>
    </row>
    <row r="2966" s="2" customFormat="1" spans="1:16">
      <c r="A2966" s="8"/>
      <c r="B2966" s="9" t="s">
        <v>4207</v>
      </c>
      <c r="C2966" s="10" t="s">
        <v>412</v>
      </c>
      <c r="D2966" s="11">
        <v>1</v>
      </c>
      <c r="E2966" s="12">
        <v>3734.82</v>
      </c>
      <c r="F2966" s="13">
        <v>3734.82</v>
      </c>
      <c r="G2966" s="2">
        <f>VLOOKUP(B2966,'PO with created By ASR'!A:C,3,FALSE)</f>
        <v>45714</v>
      </c>
      <c r="J2966" s="2" t="str">
        <f>VLOOKUP(B2966,'PO with created By ASR'!A:G,4,FALSE)</f>
        <v>PARESH SURVE ADV FOR EXPENCES-CR</v>
      </c>
      <c r="K2966" s="2" t="e">
        <f>VLOOKUP(B2966,'PO with created By ASR'!A:I,6,FALSE)</f>
        <v>#N/A</v>
      </c>
      <c r="L2966" s="2" t="str">
        <f>VLOOKUP(B2966,'PO with created By ASR'!A:J,7,FALSE)</f>
        <v>A - Mumbai</v>
      </c>
      <c r="M2966" s="2" t="str">
        <f>VLOOKUP(B2966,'PO with created By ASR'!A:K,8,FALSE)</f>
        <v>Purchase Order-Mum</v>
      </c>
      <c r="N2966" t="s">
        <v>36</v>
      </c>
      <c r="P2966" s="2">
        <v>6</v>
      </c>
    </row>
    <row r="2967" s="2" customFormat="1" spans="1:16">
      <c r="A2967" s="8"/>
      <c r="B2967" s="9" t="s">
        <v>4208</v>
      </c>
      <c r="C2967" s="10" t="s">
        <v>126</v>
      </c>
      <c r="D2967" s="11">
        <v>1</v>
      </c>
      <c r="E2967" s="12">
        <v>1290</v>
      </c>
      <c r="F2967" s="13">
        <v>1290</v>
      </c>
      <c r="G2967" s="2">
        <f>VLOOKUP(B2967,'PO with created By ASR'!A:C,3,FALSE)</f>
        <v>45714</v>
      </c>
      <c r="J2967" s="2" t="str">
        <f>VLOOKUP(B2967,'PO with created By ASR'!A:G,4,FALSE)</f>
        <v>Pritam Amberkar  -CR</v>
      </c>
      <c r="K2967" s="2" t="e">
        <f>VLOOKUP(B2967,'PO with created By ASR'!A:I,6,FALSE)</f>
        <v>#N/A</v>
      </c>
      <c r="L2967" s="2" t="str">
        <f>VLOOKUP(B2967,'PO with created By ASR'!A:J,7,FALSE)</f>
        <v>A - Mumbai</v>
      </c>
      <c r="M2967" s="2" t="str">
        <f>VLOOKUP(B2967,'PO with created By ASR'!A:K,8,FALSE)</f>
        <v>Purchase Order-Mum</v>
      </c>
      <c r="N2967" t="s">
        <v>36</v>
      </c>
      <c r="P2967" s="2">
        <v>6</v>
      </c>
    </row>
    <row r="2968" s="2" customFormat="1" spans="1:16">
      <c r="A2968" s="8"/>
      <c r="B2968" s="9" t="s">
        <v>4208</v>
      </c>
      <c r="C2968" s="10" t="s">
        <v>412</v>
      </c>
      <c r="D2968" s="11">
        <v>1</v>
      </c>
      <c r="E2968" s="12">
        <v>1330</v>
      </c>
      <c r="F2968" s="13">
        <v>1330</v>
      </c>
      <c r="G2968" s="2">
        <f>VLOOKUP(B2968,'PO with created By ASR'!A:C,3,FALSE)</f>
        <v>45714</v>
      </c>
      <c r="J2968" s="2" t="str">
        <f>VLOOKUP(B2968,'PO with created By ASR'!A:G,4,FALSE)</f>
        <v>Pritam Amberkar  -CR</v>
      </c>
      <c r="K2968" s="2" t="e">
        <f>VLOOKUP(B2968,'PO with created By ASR'!A:I,6,FALSE)</f>
        <v>#N/A</v>
      </c>
      <c r="L2968" s="2" t="str">
        <f>VLOOKUP(B2968,'PO with created By ASR'!A:J,7,FALSE)</f>
        <v>A - Mumbai</v>
      </c>
      <c r="M2968" s="2" t="str">
        <f>VLOOKUP(B2968,'PO with created By ASR'!A:K,8,FALSE)</f>
        <v>Purchase Order-Mum</v>
      </c>
      <c r="N2968" t="s">
        <v>36</v>
      </c>
      <c r="P2968" s="2">
        <v>6</v>
      </c>
    </row>
    <row r="2969" s="2" customFormat="1" spans="1:16">
      <c r="A2969" s="8"/>
      <c r="B2969" s="9" t="s">
        <v>4209</v>
      </c>
      <c r="C2969" s="10" t="s">
        <v>126</v>
      </c>
      <c r="D2969" s="11">
        <v>1</v>
      </c>
      <c r="E2969" s="12">
        <v>386</v>
      </c>
      <c r="F2969" s="13">
        <v>386</v>
      </c>
      <c r="G2969" s="2">
        <f>VLOOKUP(B2969,'PO with created By ASR'!A:C,3,FALSE)</f>
        <v>45714</v>
      </c>
      <c r="J2969" s="2" t="str">
        <f>VLOOKUP(B2969,'PO with created By ASR'!A:G,4,FALSE)</f>
        <v>Nikhita Vora  -CR</v>
      </c>
      <c r="K2969" s="2" t="e">
        <f>VLOOKUP(B2969,'PO with created By ASR'!A:I,6,FALSE)</f>
        <v>#N/A</v>
      </c>
      <c r="L2969" s="2" t="str">
        <f>VLOOKUP(B2969,'PO with created By ASR'!A:J,7,FALSE)</f>
        <v>A - Mumbai</v>
      </c>
      <c r="M2969" s="2" t="str">
        <f>VLOOKUP(B2969,'PO with created By ASR'!A:K,8,FALSE)</f>
        <v>Purchase Order-Mum</v>
      </c>
      <c r="N2969" t="s">
        <v>36</v>
      </c>
      <c r="P2969" s="2">
        <v>6</v>
      </c>
    </row>
    <row r="2970" s="2" customFormat="1" spans="1:16">
      <c r="A2970" s="8"/>
      <c r="B2970" s="9" t="s">
        <v>4209</v>
      </c>
      <c r="C2970" s="10" t="s">
        <v>412</v>
      </c>
      <c r="D2970" s="11">
        <v>1</v>
      </c>
      <c r="E2970" s="12">
        <v>220</v>
      </c>
      <c r="F2970" s="13">
        <v>220</v>
      </c>
      <c r="G2970" s="2">
        <f>VLOOKUP(B2970,'PO with created By ASR'!A:C,3,FALSE)</f>
        <v>45714</v>
      </c>
      <c r="J2970" s="2" t="str">
        <f>VLOOKUP(B2970,'PO with created By ASR'!A:G,4,FALSE)</f>
        <v>Nikhita Vora  -CR</v>
      </c>
      <c r="K2970" s="2" t="e">
        <f>VLOOKUP(B2970,'PO with created By ASR'!A:I,6,FALSE)</f>
        <v>#N/A</v>
      </c>
      <c r="L2970" s="2" t="str">
        <f>VLOOKUP(B2970,'PO with created By ASR'!A:J,7,FALSE)</f>
        <v>A - Mumbai</v>
      </c>
      <c r="M2970" s="2" t="str">
        <f>VLOOKUP(B2970,'PO with created By ASR'!A:K,8,FALSE)</f>
        <v>Purchase Order-Mum</v>
      </c>
      <c r="N2970" t="s">
        <v>36</v>
      </c>
      <c r="P2970" s="2">
        <v>6</v>
      </c>
    </row>
    <row r="2971" s="2" customFormat="1" spans="1:16">
      <c r="A2971" s="8"/>
      <c r="B2971" s="9" t="s">
        <v>4210</v>
      </c>
      <c r="C2971" s="10" t="s">
        <v>126</v>
      </c>
      <c r="D2971" s="11">
        <v>1</v>
      </c>
      <c r="E2971" s="12">
        <v>275</v>
      </c>
      <c r="F2971" s="13">
        <v>275</v>
      </c>
      <c r="G2971" s="2">
        <f>VLOOKUP(B2971,'PO with created By ASR'!A:C,3,FALSE)</f>
        <v>45714</v>
      </c>
      <c r="J2971" s="2" t="str">
        <f>VLOOKUP(B2971,'PO with created By ASR'!A:G,4,FALSE)</f>
        <v>Sudhakar Sawant   -CR</v>
      </c>
      <c r="K2971" s="2" t="e">
        <f>VLOOKUP(B2971,'PO with created By ASR'!A:I,6,FALSE)</f>
        <v>#N/A</v>
      </c>
      <c r="L2971" s="2" t="str">
        <f>VLOOKUP(B2971,'PO with created By ASR'!A:J,7,FALSE)</f>
        <v>A - Mumbai</v>
      </c>
      <c r="M2971" s="2" t="str">
        <f>VLOOKUP(B2971,'PO with created By ASR'!A:K,8,FALSE)</f>
        <v>Purchase Order-Mum</v>
      </c>
      <c r="N2971" t="s">
        <v>36</v>
      </c>
      <c r="P2971" s="2">
        <v>6</v>
      </c>
    </row>
    <row r="2972" s="2" customFormat="1" spans="1:16">
      <c r="A2972" s="8"/>
      <c r="B2972" s="9" t="s">
        <v>4210</v>
      </c>
      <c r="C2972" s="10" t="s">
        <v>412</v>
      </c>
      <c r="D2972" s="11">
        <v>1</v>
      </c>
      <c r="E2972" s="12">
        <v>140</v>
      </c>
      <c r="F2972" s="13">
        <v>140</v>
      </c>
      <c r="G2972" s="2">
        <f>VLOOKUP(B2972,'PO with created By ASR'!A:C,3,FALSE)</f>
        <v>45714</v>
      </c>
      <c r="J2972" s="2" t="str">
        <f>VLOOKUP(B2972,'PO with created By ASR'!A:G,4,FALSE)</f>
        <v>Sudhakar Sawant   -CR</v>
      </c>
      <c r="K2972" s="2" t="e">
        <f>VLOOKUP(B2972,'PO with created By ASR'!A:I,6,FALSE)</f>
        <v>#N/A</v>
      </c>
      <c r="L2972" s="2" t="str">
        <f>VLOOKUP(B2972,'PO with created By ASR'!A:J,7,FALSE)</f>
        <v>A - Mumbai</v>
      </c>
      <c r="M2972" s="2" t="str">
        <f>VLOOKUP(B2972,'PO with created By ASR'!A:K,8,FALSE)</f>
        <v>Purchase Order-Mum</v>
      </c>
      <c r="N2972" t="s">
        <v>36</v>
      </c>
      <c r="P2972" s="2">
        <v>6</v>
      </c>
    </row>
    <row r="2973" s="2" customFormat="1" spans="1:16">
      <c r="A2973" s="8"/>
      <c r="B2973" s="9" t="s">
        <v>4211</v>
      </c>
      <c r="C2973" s="10" t="s">
        <v>126</v>
      </c>
      <c r="D2973" s="11">
        <v>1</v>
      </c>
      <c r="E2973" s="12">
        <v>3668.38</v>
      </c>
      <c r="F2973" s="13">
        <v>3668.38</v>
      </c>
      <c r="G2973" s="2">
        <f>VLOOKUP(B2973,'PO with created By ASR'!A:C,3,FALSE)</f>
        <v>45714</v>
      </c>
      <c r="J2973" s="2" t="str">
        <f>VLOOKUP(B2973,'PO with created By ASR'!A:G,4,FALSE)</f>
        <v>Harsh Mudliyar  -CR</v>
      </c>
      <c r="K2973" s="2" t="e">
        <f>VLOOKUP(B2973,'PO with created By ASR'!A:I,6,FALSE)</f>
        <v>#N/A</v>
      </c>
      <c r="L2973" s="2" t="str">
        <f>VLOOKUP(B2973,'PO with created By ASR'!A:J,7,FALSE)</f>
        <v>A - Mumbai</v>
      </c>
      <c r="M2973" s="2" t="str">
        <f>VLOOKUP(B2973,'PO with created By ASR'!A:K,8,FALSE)</f>
        <v>Purchase Order-Mum</v>
      </c>
      <c r="N2973" t="s">
        <v>36</v>
      </c>
      <c r="P2973" s="2">
        <v>6</v>
      </c>
    </row>
    <row r="2974" s="2" customFormat="1" spans="1:16">
      <c r="A2974" s="8"/>
      <c r="B2974" s="9" t="s">
        <v>4211</v>
      </c>
      <c r="C2974" s="10" t="s">
        <v>412</v>
      </c>
      <c r="D2974" s="11">
        <v>1</v>
      </c>
      <c r="E2974" s="12">
        <v>290</v>
      </c>
      <c r="F2974" s="13">
        <v>290</v>
      </c>
      <c r="G2974" s="2">
        <f>VLOOKUP(B2974,'PO with created By ASR'!A:C,3,FALSE)</f>
        <v>45714</v>
      </c>
      <c r="J2974" s="2" t="str">
        <f>VLOOKUP(B2974,'PO with created By ASR'!A:G,4,FALSE)</f>
        <v>Harsh Mudliyar  -CR</v>
      </c>
      <c r="K2974" s="2" t="e">
        <f>VLOOKUP(B2974,'PO with created By ASR'!A:I,6,FALSE)</f>
        <v>#N/A</v>
      </c>
      <c r="L2974" s="2" t="str">
        <f>VLOOKUP(B2974,'PO with created By ASR'!A:J,7,FALSE)</f>
        <v>A - Mumbai</v>
      </c>
      <c r="M2974" s="2" t="str">
        <f>VLOOKUP(B2974,'PO with created By ASR'!A:K,8,FALSE)</f>
        <v>Purchase Order-Mum</v>
      </c>
      <c r="N2974" t="s">
        <v>36</v>
      </c>
      <c r="P2974" s="2">
        <v>6</v>
      </c>
    </row>
    <row r="2975" s="2" customFormat="1" spans="1:16">
      <c r="A2975" s="8"/>
      <c r="B2975" s="9" t="s">
        <v>4212</v>
      </c>
      <c r="C2975" s="10" t="s">
        <v>317</v>
      </c>
      <c r="D2975" s="11">
        <v>1</v>
      </c>
      <c r="E2975" s="12">
        <v>13602</v>
      </c>
      <c r="F2975" s="13">
        <v>13602</v>
      </c>
      <c r="G2975" s="2">
        <f>VLOOKUP(B2975,'PO with created By ASR'!A:C,3,FALSE)</f>
        <v>45714</v>
      </c>
      <c r="J2975" s="2" t="str">
        <f>VLOOKUP(B2975,'PO with created By ASR'!A:G,4,FALSE)</f>
        <v>Mahendra Mane -CR</v>
      </c>
      <c r="K2975" s="2" t="e">
        <f>VLOOKUP(B2975,'PO with created By ASR'!A:I,6,FALSE)</f>
        <v>#N/A</v>
      </c>
      <c r="L2975" s="2" t="str">
        <f>VLOOKUP(B2975,'PO with created By ASR'!A:J,7,FALSE)</f>
        <v>A - Mumbai</v>
      </c>
      <c r="M2975" s="2" t="str">
        <f>VLOOKUP(B2975,'PO with created By ASR'!A:K,8,FALSE)</f>
        <v>Purchase Order-Mum</v>
      </c>
      <c r="N2975" t="s">
        <v>36</v>
      </c>
      <c r="P2975" s="2">
        <v>6</v>
      </c>
    </row>
    <row r="2976" s="2" customFormat="1" spans="1:16">
      <c r="A2976" s="8"/>
      <c r="B2976" s="9" t="s">
        <v>4213</v>
      </c>
      <c r="C2976" s="10" t="s">
        <v>126</v>
      </c>
      <c r="D2976" s="11">
        <v>1</v>
      </c>
      <c r="E2976" s="12">
        <v>3644</v>
      </c>
      <c r="F2976" s="13">
        <v>3644</v>
      </c>
      <c r="G2976" s="2">
        <f>VLOOKUP(B2976,'PO with created By ASR'!A:C,3,FALSE)</f>
        <v>45714</v>
      </c>
      <c r="J2976" s="2" t="str">
        <f>VLOOKUP(B2976,'PO with created By ASR'!A:G,4,FALSE)</f>
        <v>Sagar Bamnolikar -CR</v>
      </c>
      <c r="K2976" s="2" t="e">
        <f>VLOOKUP(B2976,'PO with created By ASR'!A:I,6,FALSE)</f>
        <v>#N/A</v>
      </c>
      <c r="L2976" s="2" t="str">
        <f>VLOOKUP(B2976,'PO with created By ASR'!A:J,7,FALSE)</f>
        <v>A - Mumbai</v>
      </c>
      <c r="M2976" s="2" t="str">
        <f>VLOOKUP(B2976,'PO with created By ASR'!A:K,8,FALSE)</f>
        <v>Purchase Order-Mum</v>
      </c>
      <c r="N2976" t="s">
        <v>36</v>
      </c>
      <c r="P2976" s="2">
        <v>6</v>
      </c>
    </row>
    <row r="2977" s="2" customFormat="1" spans="1:16">
      <c r="A2977" s="8"/>
      <c r="B2977" s="9" t="s">
        <v>4213</v>
      </c>
      <c r="C2977" s="10" t="s">
        <v>412</v>
      </c>
      <c r="D2977" s="11">
        <v>1</v>
      </c>
      <c r="E2977" s="12">
        <v>1946.66</v>
      </c>
      <c r="F2977" s="13">
        <v>1946.66</v>
      </c>
      <c r="G2977" s="2">
        <f>VLOOKUP(B2977,'PO with created By ASR'!A:C,3,FALSE)</f>
        <v>45714</v>
      </c>
      <c r="J2977" s="2" t="str">
        <f>VLOOKUP(B2977,'PO with created By ASR'!A:G,4,FALSE)</f>
        <v>Sagar Bamnolikar -CR</v>
      </c>
      <c r="K2977" s="2" t="e">
        <f>VLOOKUP(B2977,'PO with created By ASR'!A:I,6,FALSE)</f>
        <v>#N/A</v>
      </c>
      <c r="L2977" s="2" t="str">
        <f>VLOOKUP(B2977,'PO with created By ASR'!A:J,7,FALSE)</f>
        <v>A - Mumbai</v>
      </c>
      <c r="M2977" s="2" t="str">
        <f>VLOOKUP(B2977,'PO with created By ASR'!A:K,8,FALSE)</f>
        <v>Purchase Order-Mum</v>
      </c>
      <c r="N2977" t="s">
        <v>36</v>
      </c>
      <c r="P2977" s="2">
        <v>6</v>
      </c>
    </row>
    <row r="2978" s="2" customFormat="1" spans="1:16">
      <c r="A2978" s="8"/>
      <c r="B2978" s="9" t="s">
        <v>4214</v>
      </c>
      <c r="C2978" s="10" t="s">
        <v>126</v>
      </c>
      <c r="D2978" s="11">
        <v>1</v>
      </c>
      <c r="E2978" s="12">
        <v>418</v>
      </c>
      <c r="F2978" s="13">
        <v>418</v>
      </c>
      <c r="G2978" s="2">
        <f>VLOOKUP(B2978,'PO with created By ASR'!A:C,3,FALSE)</f>
        <v>45714</v>
      </c>
      <c r="J2978" s="2" t="str">
        <f>VLOOKUP(B2978,'PO with created By ASR'!A:G,4,FALSE)</f>
        <v>Ghanshyam Asolkar -CR</v>
      </c>
      <c r="K2978" s="2" t="e">
        <f>VLOOKUP(B2978,'PO with created By ASR'!A:I,6,FALSE)</f>
        <v>#N/A</v>
      </c>
      <c r="L2978" s="2" t="str">
        <f>VLOOKUP(B2978,'PO with created By ASR'!A:J,7,FALSE)</f>
        <v>A - Mumbai</v>
      </c>
      <c r="M2978" s="2" t="str">
        <f>VLOOKUP(B2978,'PO with created By ASR'!A:K,8,FALSE)</f>
        <v>Purchase Order-Mum</v>
      </c>
      <c r="N2978" t="s">
        <v>36</v>
      </c>
      <c r="P2978" s="2">
        <v>6</v>
      </c>
    </row>
    <row r="2979" s="2" customFormat="1" spans="1:16">
      <c r="A2979" s="8"/>
      <c r="B2979" s="9" t="s">
        <v>4215</v>
      </c>
      <c r="C2979" s="10" t="s">
        <v>1055</v>
      </c>
      <c r="D2979" s="11">
        <v>1</v>
      </c>
      <c r="E2979" s="12">
        <v>4550</v>
      </c>
      <c r="F2979" s="13">
        <v>4550</v>
      </c>
      <c r="G2979" s="2">
        <f>VLOOKUP(B2979,'PO with created By ASR'!A:C,3,FALSE)</f>
        <v>45714</v>
      </c>
      <c r="J2979" s="2" t="str">
        <f>VLOOKUP(B2979,'PO with created By ASR'!A:G,4,FALSE)</f>
        <v>Sanjay Kathale Cash -CR</v>
      </c>
      <c r="K2979" s="2" t="e">
        <f>VLOOKUP(B2979,'PO with created By ASR'!A:I,6,FALSE)</f>
        <v>#N/A</v>
      </c>
      <c r="L2979" s="2" t="str">
        <f>VLOOKUP(B2979,'PO with created By ASR'!A:J,7,FALSE)</f>
        <v>A - Mumbai</v>
      </c>
      <c r="M2979" s="2" t="str">
        <f>VLOOKUP(B2979,'PO with created By ASR'!A:K,8,FALSE)</f>
        <v>Purchase Order-Mum</v>
      </c>
      <c r="N2979" t="s">
        <v>36</v>
      </c>
      <c r="P2979" s="2">
        <v>6</v>
      </c>
    </row>
    <row r="2980" s="2" customFormat="1" spans="1:16">
      <c r="A2980" s="8"/>
      <c r="B2980" s="9" t="s">
        <v>4215</v>
      </c>
      <c r="C2980" s="10" t="s">
        <v>412</v>
      </c>
      <c r="D2980" s="11">
        <v>1</v>
      </c>
      <c r="E2980" s="12">
        <v>3560</v>
      </c>
      <c r="F2980" s="13">
        <v>3560</v>
      </c>
      <c r="G2980" s="2">
        <f>VLOOKUP(B2980,'PO with created By ASR'!A:C,3,FALSE)</f>
        <v>45714</v>
      </c>
      <c r="J2980" s="2" t="str">
        <f>VLOOKUP(B2980,'PO with created By ASR'!A:G,4,FALSE)</f>
        <v>Sanjay Kathale Cash -CR</v>
      </c>
      <c r="K2980" s="2" t="e">
        <f>VLOOKUP(B2980,'PO with created By ASR'!A:I,6,FALSE)</f>
        <v>#N/A</v>
      </c>
      <c r="L2980" s="2" t="str">
        <f>VLOOKUP(B2980,'PO with created By ASR'!A:J,7,FALSE)</f>
        <v>A - Mumbai</v>
      </c>
      <c r="M2980" s="2" t="str">
        <f>VLOOKUP(B2980,'PO with created By ASR'!A:K,8,FALSE)</f>
        <v>Purchase Order-Mum</v>
      </c>
      <c r="N2980" t="s">
        <v>36</v>
      </c>
      <c r="P2980" s="2">
        <v>6</v>
      </c>
    </row>
    <row r="2981" s="2" customFormat="1" spans="1:16">
      <c r="A2981" s="8"/>
      <c r="B2981" s="9" t="s">
        <v>4215</v>
      </c>
      <c r="C2981" s="10" t="s">
        <v>126</v>
      </c>
      <c r="D2981" s="11">
        <v>1</v>
      </c>
      <c r="E2981" s="12">
        <v>4888</v>
      </c>
      <c r="F2981" s="13">
        <v>4888</v>
      </c>
      <c r="G2981" s="2">
        <f>VLOOKUP(B2981,'PO with created By ASR'!A:C,3,FALSE)</f>
        <v>45714</v>
      </c>
      <c r="J2981" s="2" t="str">
        <f>VLOOKUP(B2981,'PO with created By ASR'!A:G,4,FALSE)</f>
        <v>Sanjay Kathale Cash -CR</v>
      </c>
      <c r="K2981" s="2" t="e">
        <f>VLOOKUP(B2981,'PO with created By ASR'!A:I,6,FALSE)</f>
        <v>#N/A</v>
      </c>
      <c r="L2981" s="2" t="str">
        <f>VLOOKUP(B2981,'PO with created By ASR'!A:J,7,FALSE)</f>
        <v>A - Mumbai</v>
      </c>
      <c r="M2981" s="2" t="str">
        <f>VLOOKUP(B2981,'PO with created By ASR'!A:K,8,FALSE)</f>
        <v>Purchase Order-Mum</v>
      </c>
      <c r="N2981" t="s">
        <v>36</v>
      </c>
      <c r="P2981" s="2">
        <v>6</v>
      </c>
    </row>
    <row r="2982" s="2" customFormat="1" spans="1:16">
      <c r="A2982" s="8"/>
      <c r="B2982" s="9" t="s">
        <v>4216</v>
      </c>
      <c r="C2982" s="10" t="s">
        <v>126</v>
      </c>
      <c r="D2982" s="11">
        <v>1</v>
      </c>
      <c r="E2982" s="12">
        <v>1469</v>
      </c>
      <c r="F2982" s="13">
        <v>1469</v>
      </c>
      <c r="G2982" s="2">
        <f>VLOOKUP(B2982,'PO with created By ASR'!A:C,3,FALSE)</f>
        <v>45714</v>
      </c>
      <c r="J2982" s="2" t="str">
        <f>VLOOKUP(B2982,'PO with created By ASR'!A:G,4,FALSE)</f>
        <v>Supriya Naik  -CR</v>
      </c>
      <c r="K2982" s="2" t="e">
        <f>VLOOKUP(B2982,'PO with created By ASR'!A:I,6,FALSE)</f>
        <v>#N/A</v>
      </c>
      <c r="L2982" s="2" t="str">
        <f>VLOOKUP(B2982,'PO with created By ASR'!A:J,7,FALSE)</f>
        <v>A - Mumbai</v>
      </c>
      <c r="M2982" s="2" t="str">
        <f>VLOOKUP(B2982,'PO with created By ASR'!A:K,8,FALSE)</f>
        <v>Purchase Order-Mum</v>
      </c>
      <c r="N2982" t="s">
        <v>36</v>
      </c>
      <c r="P2982" s="2">
        <v>6</v>
      </c>
    </row>
    <row r="2983" s="2" customFormat="1" spans="1:16">
      <c r="A2983" s="8"/>
      <c r="B2983" s="9" t="s">
        <v>4216</v>
      </c>
      <c r="C2983" s="10" t="s">
        <v>412</v>
      </c>
      <c r="D2983" s="11">
        <v>1</v>
      </c>
      <c r="E2983" s="12">
        <v>480</v>
      </c>
      <c r="F2983" s="13">
        <v>480</v>
      </c>
      <c r="G2983" s="2">
        <f>VLOOKUP(B2983,'PO with created By ASR'!A:C,3,FALSE)</f>
        <v>45714</v>
      </c>
      <c r="J2983" s="2" t="str">
        <f>VLOOKUP(B2983,'PO with created By ASR'!A:G,4,FALSE)</f>
        <v>Supriya Naik  -CR</v>
      </c>
      <c r="K2983" s="2" t="e">
        <f>VLOOKUP(B2983,'PO with created By ASR'!A:I,6,FALSE)</f>
        <v>#N/A</v>
      </c>
      <c r="L2983" s="2" t="str">
        <f>VLOOKUP(B2983,'PO with created By ASR'!A:J,7,FALSE)</f>
        <v>A - Mumbai</v>
      </c>
      <c r="M2983" s="2" t="str">
        <f>VLOOKUP(B2983,'PO with created By ASR'!A:K,8,FALSE)</f>
        <v>Purchase Order-Mum</v>
      </c>
      <c r="N2983" t="s">
        <v>36</v>
      </c>
      <c r="P2983" s="2">
        <v>6</v>
      </c>
    </row>
    <row r="2984" s="2" customFormat="1" spans="1:16">
      <c r="A2984" s="8"/>
      <c r="B2984" s="9" t="s">
        <v>4217</v>
      </c>
      <c r="C2984" s="10" t="s">
        <v>317</v>
      </c>
      <c r="D2984" s="11">
        <v>1</v>
      </c>
      <c r="E2984" s="12">
        <v>26809</v>
      </c>
      <c r="F2984" s="13">
        <v>26809</v>
      </c>
      <c r="G2984" s="2">
        <f>VLOOKUP(B2984,'PO with created By ASR'!A:C,3,FALSE)</f>
        <v>45714</v>
      </c>
      <c r="J2984" s="2" t="str">
        <f>VLOOKUP(B2984,'PO with created By ASR'!A:G,4,FALSE)</f>
        <v>Sarita Stokes -CR</v>
      </c>
      <c r="K2984" s="2" t="e">
        <f>VLOOKUP(B2984,'PO with created By ASR'!A:I,6,FALSE)</f>
        <v>#N/A</v>
      </c>
      <c r="L2984" s="2" t="str">
        <f>VLOOKUP(B2984,'PO with created By ASR'!A:J,7,FALSE)</f>
        <v>A - Mumbai</v>
      </c>
      <c r="M2984" s="2" t="str">
        <f>VLOOKUP(B2984,'PO with created By ASR'!A:K,8,FALSE)</f>
        <v>Purchase Order-Mum</v>
      </c>
      <c r="N2984" t="s">
        <v>36</v>
      </c>
      <c r="P2984" s="2">
        <v>6</v>
      </c>
    </row>
    <row r="2985" s="2" customFormat="1" spans="1:16">
      <c r="A2985" s="8"/>
      <c r="B2985" s="9" t="s">
        <v>4219</v>
      </c>
      <c r="C2985" s="10" t="s">
        <v>317</v>
      </c>
      <c r="D2985" s="11">
        <v>1</v>
      </c>
      <c r="E2985" s="12">
        <v>1109.7</v>
      </c>
      <c r="F2985" s="13">
        <v>1109.7</v>
      </c>
      <c r="G2985" s="2">
        <f>VLOOKUP(B2985,'PO with created By ASR'!A:C,3,FALSE)</f>
        <v>45714</v>
      </c>
      <c r="J2985" s="2" t="str">
        <f>VLOOKUP(B2985,'PO with created By ASR'!A:G,4,FALSE)</f>
        <v>Anita Singh  -CR</v>
      </c>
      <c r="K2985" s="2" t="e">
        <f>VLOOKUP(B2985,'PO with created By ASR'!A:I,6,FALSE)</f>
        <v>#N/A</v>
      </c>
      <c r="L2985" s="2" t="str">
        <f>VLOOKUP(B2985,'PO with created By ASR'!A:J,7,FALSE)</f>
        <v>A - Mumbai</v>
      </c>
      <c r="M2985" s="2" t="str">
        <f>VLOOKUP(B2985,'PO with created By ASR'!A:K,8,FALSE)</f>
        <v>Purchase Order-Mum</v>
      </c>
      <c r="N2985" t="s">
        <v>36</v>
      </c>
      <c r="P2985" s="2">
        <v>6</v>
      </c>
    </row>
    <row r="2986" s="2" customFormat="1" spans="1:16">
      <c r="A2986" s="8"/>
      <c r="B2986" s="9" t="s">
        <v>4219</v>
      </c>
      <c r="C2986" s="10" t="s">
        <v>126</v>
      </c>
      <c r="D2986" s="11">
        <v>1</v>
      </c>
      <c r="E2986" s="12">
        <v>3355.26</v>
      </c>
      <c r="F2986" s="13">
        <v>3355.26</v>
      </c>
      <c r="G2986" s="2">
        <f>VLOOKUP(B2986,'PO with created By ASR'!A:C,3,FALSE)</f>
        <v>45714</v>
      </c>
      <c r="J2986" s="2" t="str">
        <f>VLOOKUP(B2986,'PO with created By ASR'!A:G,4,FALSE)</f>
        <v>Anita Singh  -CR</v>
      </c>
      <c r="K2986" s="2" t="e">
        <f>VLOOKUP(B2986,'PO with created By ASR'!A:I,6,FALSE)</f>
        <v>#N/A</v>
      </c>
      <c r="L2986" s="2" t="str">
        <f>VLOOKUP(B2986,'PO with created By ASR'!A:J,7,FALSE)</f>
        <v>A - Mumbai</v>
      </c>
      <c r="M2986" s="2" t="str">
        <f>VLOOKUP(B2986,'PO with created By ASR'!A:K,8,FALSE)</f>
        <v>Purchase Order-Mum</v>
      </c>
      <c r="N2986" t="s">
        <v>36</v>
      </c>
      <c r="P2986" s="2">
        <v>6</v>
      </c>
    </row>
    <row r="2987" s="2" customFormat="1" spans="1:16">
      <c r="A2987" s="8"/>
      <c r="B2987" s="9" t="s">
        <v>4219</v>
      </c>
      <c r="C2987" s="10" t="s">
        <v>412</v>
      </c>
      <c r="D2987" s="11">
        <v>1</v>
      </c>
      <c r="E2987" s="12">
        <v>3225</v>
      </c>
      <c r="F2987" s="13">
        <v>3225</v>
      </c>
      <c r="G2987" s="2">
        <f>VLOOKUP(B2987,'PO with created By ASR'!A:C,3,FALSE)</f>
        <v>45714</v>
      </c>
      <c r="J2987" s="2" t="str">
        <f>VLOOKUP(B2987,'PO with created By ASR'!A:G,4,FALSE)</f>
        <v>Anita Singh  -CR</v>
      </c>
      <c r="K2987" s="2" t="e">
        <f>VLOOKUP(B2987,'PO with created By ASR'!A:I,6,FALSE)</f>
        <v>#N/A</v>
      </c>
      <c r="L2987" s="2" t="str">
        <f>VLOOKUP(B2987,'PO with created By ASR'!A:J,7,FALSE)</f>
        <v>A - Mumbai</v>
      </c>
      <c r="M2987" s="2" t="str">
        <f>VLOOKUP(B2987,'PO with created By ASR'!A:K,8,FALSE)</f>
        <v>Purchase Order-Mum</v>
      </c>
      <c r="N2987" t="s">
        <v>36</v>
      </c>
      <c r="P2987" s="2">
        <v>6</v>
      </c>
    </row>
    <row r="2988" s="2" customFormat="1" spans="1:16">
      <c r="A2988" s="8"/>
      <c r="B2988" s="9" t="s">
        <v>4220</v>
      </c>
      <c r="C2988" s="10" t="s">
        <v>317</v>
      </c>
      <c r="D2988" s="11">
        <v>1</v>
      </c>
      <c r="E2988" s="12">
        <v>40015</v>
      </c>
      <c r="F2988" s="13">
        <v>40015</v>
      </c>
      <c r="G2988" s="2">
        <f>VLOOKUP(B2988,'PO with created By ASR'!A:C,3,FALSE)</f>
        <v>45714</v>
      </c>
      <c r="J2988" s="2" t="str">
        <f>VLOOKUP(B2988,'PO with created By ASR'!A:G,4,FALSE)</f>
        <v>Chahek Poddar  -CR</v>
      </c>
      <c r="K2988" s="2" t="e">
        <f>VLOOKUP(B2988,'PO with created By ASR'!A:I,6,FALSE)</f>
        <v>#N/A</v>
      </c>
      <c r="L2988" s="2" t="str">
        <f>VLOOKUP(B2988,'PO with created By ASR'!A:J,7,FALSE)</f>
        <v>A - Mumbai</v>
      </c>
      <c r="M2988" s="2" t="str">
        <f>VLOOKUP(B2988,'PO with created By ASR'!A:K,8,FALSE)</f>
        <v>Purchase Order-Mum</v>
      </c>
      <c r="N2988" t="s">
        <v>36</v>
      </c>
      <c r="P2988" s="2">
        <v>6</v>
      </c>
    </row>
    <row r="2989" s="2" customFormat="1" spans="1:16">
      <c r="A2989" s="8"/>
      <c r="B2989" s="9" t="s">
        <v>4220</v>
      </c>
      <c r="C2989" s="10" t="s">
        <v>140</v>
      </c>
      <c r="D2989" s="11">
        <v>1</v>
      </c>
      <c r="E2989" s="12">
        <v>32500</v>
      </c>
      <c r="F2989" s="13">
        <v>32500</v>
      </c>
      <c r="G2989" s="2">
        <f>VLOOKUP(B2989,'PO with created By ASR'!A:C,3,FALSE)</f>
        <v>45714</v>
      </c>
      <c r="J2989" s="2" t="str">
        <f>VLOOKUP(B2989,'PO with created By ASR'!A:G,4,FALSE)</f>
        <v>Chahek Poddar  -CR</v>
      </c>
      <c r="K2989" s="2" t="e">
        <f>VLOOKUP(B2989,'PO with created By ASR'!A:I,6,FALSE)</f>
        <v>#N/A</v>
      </c>
      <c r="L2989" s="2" t="str">
        <f>VLOOKUP(B2989,'PO with created By ASR'!A:J,7,FALSE)</f>
        <v>A - Mumbai</v>
      </c>
      <c r="M2989" s="2" t="str">
        <f>VLOOKUP(B2989,'PO with created By ASR'!A:K,8,FALSE)</f>
        <v>Purchase Order-Mum</v>
      </c>
      <c r="N2989" t="s">
        <v>36</v>
      </c>
      <c r="P2989" s="2">
        <v>6</v>
      </c>
    </row>
    <row r="2990" s="2" customFormat="1" spans="1:16">
      <c r="A2990" s="8"/>
      <c r="B2990" s="9" t="s">
        <v>4220</v>
      </c>
      <c r="C2990" s="10" t="s">
        <v>126</v>
      </c>
      <c r="D2990" s="11">
        <v>1</v>
      </c>
      <c r="E2990" s="12">
        <v>6479</v>
      </c>
      <c r="F2990" s="13">
        <v>6479</v>
      </c>
      <c r="G2990" s="2">
        <f>VLOOKUP(B2990,'PO with created By ASR'!A:C,3,FALSE)</f>
        <v>45714</v>
      </c>
      <c r="J2990" s="2" t="str">
        <f>VLOOKUP(B2990,'PO with created By ASR'!A:G,4,FALSE)</f>
        <v>Chahek Poddar  -CR</v>
      </c>
      <c r="K2990" s="2" t="e">
        <f>VLOOKUP(B2990,'PO with created By ASR'!A:I,6,FALSE)</f>
        <v>#N/A</v>
      </c>
      <c r="L2990" s="2" t="str">
        <f>VLOOKUP(B2990,'PO with created By ASR'!A:J,7,FALSE)</f>
        <v>A - Mumbai</v>
      </c>
      <c r="M2990" s="2" t="str">
        <f>VLOOKUP(B2990,'PO with created By ASR'!A:K,8,FALSE)</f>
        <v>Purchase Order-Mum</v>
      </c>
      <c r="N2990" t="s">
        <v>36</v>
      </c>
      <c r="P2990" s="2">
        <v>6</v>
      </c>
    </row>
    <row r="2991" s="2" customFormat="1" spans="1:16">
      <c r="A2991" s="8"/>
      <c r="B2991" s="9" t="s">
        <v>4220</v>
      </c>
      <c r="C2991" s="10" t="s">
        <v>412</v>
      </c>
      <c r="D2991" s="11">
        <v>1</v>
      </c>
      <c r="E2991" s="12">
        <v>15281.65</v>
      </c>
      <c r="F2991" s="13">
        <v>15281.65</v>
      </c>
      <c r="G2991" s="2">
        <f>VLOOKUP(B2991,'PO with created By ASR'!A:C,3,FALSE)</f>
        <v>45714</v>
      </c>
      <c r="J2991" s="2" t="str">
        <f>VLOOKUP(B2991,'PO with created By ASR'!A:G,4,FALSE)</f>
        <v>Chahek Poddar  -CR</v>
      </c>
      <c r="K2991" s="2" t="e">
        <f>VLOOKUP(B2991,'PO with created By ASR'!A:I,6,FALSE)</f>
        <v>#N/A</v>
      </c>
      <c r="L2991" s="2" t="str">
        <f>VLOOKUP(B2991,'PO with created By ASR'!A:J,7,FALSE)</f>
        <v>A - Mumbai</v>
      </c>
      <c r="M2991" s="2" t="str">
        <f>VLOOKUP(B2991,'PO with created By ASR'!A:K,8,FALSE)</f>
        <v>Purchase Order-Mum</v>
      </c>
      <c r="N2991" t="s">
        <v>36</v>
      </c>
      <c r="P2991" s="2">
        <v>6</v>
      </c>
    </row>
    <row r="2992" s="2" customFormat="1" spans="1:16">
      <c r="A2992" s="8"/>
      <c r="B2992" s="9" t="s">
        <v>4221</v>
      </c>
      <c r="C2992" s="10" t="s">
        <v>126</v>
      </c>
      <c r="D2992" s="11">
        <v>1</v>
      </c>
      <c r="E2992" s="12">
        <v>2577</v>
      </c>
      <c r="F2992" s="13">
        <v>2577</v>
      </c>
      <c r="G2992" s="2">
        <f>VLOOKUP(B2992,'PO with created By ASR'!A:C,3,FALSE)</f>
        <v>45714</v>
      </c>
      <c r="J2992" s="2" t="str">
        <f>VLOOKUP(B2992,'PO with created By ASR'!A:G,4,FALSE)</f>
        <v>Neel Khakhar  -CR</v>
      </c>
      <c r="K2992" s="2" t="e">
        <f>VLOOKUP(B2992,'PO with created By ASR'!A:I,6,FALSE)</f>
        <v>#N/A</v>
      </c>
      <c r="L2992" s="2" t="str">
        <f>VLOOKUP(B2992,'PO with created By ASR'!A:J,7,FALSE)</f>
        <v>A - Mumbai</v>
      </c>
      <c r="M2992" s="2" t="str">
        <f>VLOOKUP(B2992,'PO with created By ASR'!A:K,8,FALSE)</f>
        <v>Purchase Order-Mum</v>
      </c>
      <c r="N2992" t="s">
        <v>36</v>
      </c>
      <c r="P2992" s="2">
        <v>6</v>
      </c>
    </row>
    <row r="2993" s="2" customFormat="1" spans="1:16">
      <c r="A2993" s="8"/>
      <c r="B2993" s="9" t="s">
        <v>4221</v>
      </c>
      <c r="C2993" s="10" t="s">
        <v>412</v>
      </c>
      <c r="D2993" s="11">
        <v>1</v>
      </c>
      <c r="E2993" s="12">
        <v>2010</v>
      </c>
      <c r="F2993" s="13">
        <v>2010</v>
      </c>
      <c r="G2993" s="2">
        <f>VLOOKUP(B2993,'PO with created By ASR'!A:C,3,FALSE)</f>
        <v>45714</v>
      </c>
      <c r="J2993" s="2" t="str">
        <f>VLOOKUP(B2993,'PO with created By ASR'!A:G,4,FALSE)</f>
        <v>Neel Khakhar  -CR</v>
      </c>
      <c r="K2993" s="2" t="e">
        <f>VLOOKUP(B2993,'PO with created By ASR'!A:I,6,FALSE)</f>
        <v>#N/A</v>
      </c>
      <c r="L2993" s="2" t="str">
        <f>VLOOKUP(B2993,'PO with created By ASR'!A:J,7,FALSE)</f>
        <v>A - Mumbai</v>
      </c>
      <c r="M2993" s="2" t="str">
        <f>VLOOKUP(B2993,'PO with created By ASR'!A:K,8,FALSE)</f>
        <v>Purchase Order-Mum</v>
      </c>
      <c r="N2993" t="s">
        <v>36</v>
      </c>
      <c r="P2993" s="2">
        <v>6</v>
      </c>
    </row>
    <row r="2994" s="2" customFormat="1" spans="1:16">
      <c r="A2994" s="8"/>
      <c r="B2994" s="9" t="s">
        <v>4223</v>
      </c>
      <c r="C2994" s="10" t="s">
        <v>126</v>
      </c>
      <c r="D2994" s="11">
        <v>1</v>
      </c>
      <c r="E2994" s="12">
        <v>3018</v>
      </c>
      <c r="F2994" s="13">
        <v>3018</v>
      </c>
      <c r="G2994" s="2">
        <f>VLOOKUP(B2994,'PO with created By ASR'!A:C,3,FALSE)</f>
        <v>45714</v>
      </c>
      <c r="J2994" s="2" t="str">
        <f>VLOOKUP(B2994,'PO with created By ASR'!A:G,4,FALSE)</f>
        <v>Suresh Pardhle  -CR</v>
      </c>
      <c r="K2994" s="2" t="e">
        <f>VLOOKUP(B2994,'PO with created By ASR'!A:I,6,FALSE)</f>
        <v>#N/A</v>
      </c>
      <c r="L2994" s="2" t="str">
        <f>VLOOKUP(B2994,'PO with created By ASR'!A:J,7,FALSE)</f>
        <v>A - Mumbai</v>
      </c>
      <c r="M2994" s="2" t="str">
        <f>VLOOKUP(B2994,'PO with created By ASR'!A:K,8,FALSE)</f>
        <v>Purchase Order-Mum</v>
      </c>
      <c r="N2994" t="s">
        <v>36</v>
      </c>
      <c r="P2994" s="2">
        <v>6</v>
      </c>
    </row>
    <row r="2995" s="2" customFormat="1" spans="1:16">
      <c r="A2995" s="8"/>
      <c r="B2995" s="9" t="s">
        <v>4223</v>
      </c>
      <c r="C2995" s="10" t="s">
        <v>412</v>
      </c>
      <c r="D2995" s="11">
        <v>1</v>
      </c>
      <c r="E2995" s="12">
        <v>1800</v>
      </c>
      <c r="F2995" s="13">
        <v>1800</v>
      </c>
      <c r="G2995" s="2">
        <f>VLOOKUP(B2995,'PO with created By ASR'!A:C,3,FALSE)</f>
        <v>45714</v>
      </c>
      <c r="J2995" s="2" t="str">
        <f>VLOOKUP(B2995,'PO with created By ASR'!A:G,4,FALSE)</f>
        <v>Suresh Pardhle  -CR</v>
      </c>
      <c r="K2995" s="2" t="e">
        <f>VLOOKUP(B2995,'PO with created By ASR'!A:I,6,FALSE)</f>
        <v>#N/A</v>
      </c>
      <c r="L2995" s="2" t="str">
        <f>VLOOKUP(B2995,'PO with created By ASR'!A:J,7,FALSE)</f>
        <v>A - Mumbai</v>
      </c>
      <c r="M2995" s="2" t="str">
        <f>VLOOKUP(B2995,'PO with created By ASR'!A:K,8,FALSE)</f>
        <v>Purchase Order-Mum</v>
      </c>
      <c r="N2995" t="s">
        <v>36</v>
      </c>
      <c r="P2995" s="2">
        <v>6</v>
      </c>
    </row>
    <row r="2996" s="2" customFormat="1" spans="1:16">
      <c r="A2996" s="8"/>
      <c r="B2996" s="9" t="s">
        <v>4223</v>
      </c>
      <c r="C2996" s="10" t="s">
        <v>1055</v>
      </c>
      <c r="D2996" s="11">
        <v>1</v>
      </c>
      <c r="E2996" s="12">
        <v>3000</v>
      </c>
      <c r="F2996" s="13">
        <v>3000</v>
      </c>
      <c r="G2996" s="2">
        <f>VLOOKUP(B2996,'PO with created By ASR'!A:C,3,FALSE)</f>
        <v>45714</v>
      </c>
      <c r="J2996" s="2" t="str">
        <f>VLOOKUP(B2996,'PO with created By ASR'!A:G,4,FALSE)</f>
        <v>Suresh Pardhle  -CR</v>
      </c>
      <c r="K2996" s="2" t="e">
        <f>VLOOKUP(B2996,'PO with created By ASR'!A:I,6,FALSE)</f>
        <v>#N/A</v>
      </c>
      <c r="L2996" s="2" t="str">
        <f>VLOOKUP(B2996,'PO with created By ASR'!A:J,7,FALSE)</f>
        <v>A - Mumbai</v>
      </c>
      <c r="M2996" s="2" t="str">
        <f>VLOOKUP(B2996,'PO with created By ASR'!A:K,8,FALSE)</f>
        <v>Purchase Order-Mum</v>
      </c>
      <c r="N2996" t="s">
        <v>36</v>
      </c>
      <c r="P2996" s="2">
        <v>6</v>
      </c>
    </row>
    <row r="2997" s="2" customFormat="1" spans="1:16">
      <c r="A2997" s="8"/>
      <c r="B2997" s="9" t="s">
        <v>4224</v>
      </c>
      <c r="C2997" s="10" t="s">
        <v>126</v>
      </c>
      <c r="D2997" s="11">
        <v>1</v>
      </c>
      <c r="E2997" s="12">
        <v>1447</v>
      </c>
      <c r="F2997" s="13">
        <v>1447</v>
      </c>
      <c r="G2997" s="2">
        <f>VLOOKUP(B2997,'PO with created By ASR'!A:C,3,FALSE)</f>
        <v>45714</v>
      </c>
      <c r="J2997" s="2" t="str">
        <f>VLOOKUP(B2997,'PO with created By ASR'!A:G,4,FALSE)</f>
        <v>Aftab Shaikh  -CR</v>
      </c>
      <c r="K2997" s="2" t="e">
        <f>VLOOKUP(B2997,'PO with created By ASR'!A:I,6,FALSE)</f>
        <v>#N/A</v>
      </c>
      <c r="L2997" s="2" t="str">
        <f>VLOOKUP(B2997,'PO with created By ASR'!A:J,7,FALSE)</f>
        <v>A - Mumbai</v>
      </c>
      <c r="M2997" s="2" t="str">
        <f>VLOOKUP(B2997,'PO with created By ASR'!A:K,8,FALSE)</f>
        <v>Purchase Order-Mum</v>
      </c>
      <c r="N2997" t="s">
        <v>36</v>
      </c>
      <c r="P2997" s="2">
        <v>6</v>
      </c>
    </row>
    <row r="2998" s="2" customFormat="1" spans="1:16">
      <c r="A2998" s="8"/>
      <c r="B2998" s="9" t="s">
        <v>4224</v>
      </c>
      <c r="C2998" s="10" t="s">
        <v>412</v>
      </c>
      <c r="D2998" s="11">
        <v>1</v>
      </c>
      <c r="E2998" s="12">
        <v>1286.36</v>
      </c>
      <c r="F2998" s="13">
        <v>1286.36</v>
      </c>
      <c r="G2998" s="2">
        <f>VLOOKUP(B2998,'PO with created By ASR'!A:C,3,FALSE)</f>
        <v>45714</v>
      </c>
      <c r="J2998" s="2" t="str">
        <f>VLOOKUP(B2998,'PO with created By ASR'!A:G,4,FALSE)</f>
        <v>Aftab Shaikh  -CR</v>
      </c>
      <c r="K2998" s="2" t="e">
        <f>VLOOKUP(B2998,'PO with created By ASR'!A:I,6,FALSE)</f>
        <v>#N/A</v>
      </c>
      <c r="L2998" s="2" t="str">
        <f>VLOOKUP(B2998,'PO with created By ASR'!A:J,7,FALSE)</f>
        <v>A - Mumbai</v>
      </c>
      <c r="M2998" s="2" t="str">
        <f>VLOOKUP(B2998,'PO with created By ASR'!A:K,8,FALSE)</f>
        <v>Purchase Order-Mum</v>
      </c>
      <c r="N2998" t="s">
        <v>36</v>
      </c>
      <c r="P2998" s="2">
        <v>6</v>
      </c>
    </row>
    <row r="2999" s="2" customFormat="1" spans="1:16">
      <c r="A2999" s="8"/>
      <c r="B2999" s="9" t="s">
        <v>4225</v>
      </c>
      <c r="C2999" s="10" t="s">
        <v>126</v>
      </c>
      <c r="D2999" s="11">
        <v>1</v>
      </c>
      <c r="E2999" s="12">
        <v>559</v>
      </c>
      <c r="F2999" s="13">
        <v>559</v>
      </c>
      <c r="G2999" s="2">
        <f>VLOOKUP(B2999,'PO with created By ASR'!A:C,3,FALSE)</f>
        <v>45714</v>
      </c>
      <c r="J2999" s="2" t="str">
        <f>VLOOKUP(B2999,'PO with created By ASR'!A:G,4,FALSE)</f>
        <v>Suresh Pardhle  -CR</v>
      </c>
      <c r="K2999" s="2" t="e">
        <f>VLOOKUP(B2999,'PO with created By ASR'!A:I,6,FALSE)</f>
        <v>#N/A</v>
      </c>
      <c r="L2999" s="2" t="str">
        <f>VLOOKUP(B2999,'PO with created By ASR'!A:J,7,FALSE)</f>
        <v>A - Mumbai</v>
      </c>
      <c r="M2999" s="2" t="str">
        <f>VLOOKUP(B2999,'PO with created By ASR'!A:K,8,FALSE)</f>
        <v>Purchase Order-Mum</v>
      </c>
      <c r="N2999" t="s">
        <v>36</v>
      </c>
      <c r="P2999" s="2">
        <v>6</v>
      </c>
    </row>
    <row r="3000" s="2" customFormat="1" spans="1:16">
      <c r="A3000" s="8"/>
      <c r="B3000" s="9" t="s">
        <v>4226</v>
      </c>
      <c r="C3000" s="10" t="s">
        <v>126</v>
      </c>
      <c r="D3000" s="11">
        <v>1</v>
      </c>
      <c r="E3000" s="12">
        <v>6592</v>
      </c>
      <c r="F3000" s="13">
        <v>6592</v>
      </c>
      <c r="G3000" s="2">
        <f>VLOOKUP(B3000,'PO with created By ASR'!A:C,3,FALSE)</f>
        <v>45714</v>
      </c>
      <c r="J3000" s="2" t="str">
        <f>VLOOKUP(B3000,'PO with created By ASR'!A:G,4,FALSE)</f>
        <v>Santosh Singh -CR</v>
      </c>
      <c r="K3000" s="2" t="e">
        <f>VLOOKUP(B3000,'PO with created By ASR'!A:I,6,FALSE)</f>
        <v>#N/A</v>
      </c>
      <c r="L3000" s="2" t="str">
        <f>VLOOKUP(B3000,'PO with created By ASR'!A:J,7,FALSE)</f>
        <v>A - Mumbai</v>
      </c>
      <c r="M3000" s="2" t="str">
        <f>VLOOKUP(B3000,'PO with created By ASR'!A:K,8,FALSE)</f>
        <v>Purchase Order-Mum</v>
      </c>
      <c r="N3000" t="s">
        <v>36</v>
      </c>
      <c r="P3000" s="2">
        <v>6</v>
      </c>
    </row>
    <row r="3001" s="2" customFormat="1" spans="1:16">
      <c r="A3001" s="8"/>
      <c r="B3001" s="9" t="s">
        <v>4226</v>
      </c>
      <c r="C3001" s="10" t="s">
        <v>412</v>
      </c>
      <c r="D3001" s="11">
        <v>1</v>
      </c>
      <c r="E3001" s="12">
        <v>2485</v>
      </c>
      <c r="F3001" s="13">
        <v>2485</v>
      </c>
      <c r="G3001" s="2">
        <f>VLOOKUP(B3001,'PO with created By ASR'!A:C,3,FALSE)</f>
        <v>45714</v>
      </c>
      <c r="J3001" s="2" t="str">
        <f>VLOOKUP(B3001,'PO with created By ASR'!A:G,4,FALSE)</f>
        <v>Santosh Singh -CR</v>
      </c>
      <c r="K3001" s="2" t="e">
        <f>VLOOKUP(B3001,'PO with created By ASR'!A:I,6,FALSE)</f>
        <v>#N/A</v>
      </c>
      <c r="L3001" s="2" t="str">
        <f>VLOOKUP(B3001,'PO with created By ASR'!A:J,7,FALSE)</f>
        <v>A - Mumbai</v>
      </c>
      <c r="M3001" s="2" t="str">
        <f>VLOOKUP(B3001,'PO with created By ASR'!A:K,8,FALSE)</f>
        <v>Purchase Order-Mum</v>
      </c>
      <c r="N3001" t="s">
        <v>36</v>
      </c>
      <c r="P3001" s="2">
        <v>6</v>
      </c>
    </row>
    <row r="3002" s="2" customFormat="1" spans="1:16">
      <c r="A3002" s="8"/>
      <c r="B3002" s="9" t="s">
        <v>4227</v>
      </c>
      <c r="C3002" s="10" t="s">
        <v>317</v>
      </c>
      <c r="D3002" s="11">
        <v>1</v>
      </c>
      <c r="E3002" s="12">
        <v>1278</v>
      </c>
      <c r="F3002" s="13">
        <v>1278</v>
      </c>
      <c r="G3002" s="2">
        <f>VLOOKUP(B3002,'PO with created By ASR'!A:C,3,FALSE)</f>
        <v>45714</v>
      </c>
      <c r="J3002" s="2" t="str">
        <f>VLOOKUP(B3002,'PO with created By ASR'!A:G,4,FALSE)</f>
        <v>Mahendra Mane -CR</v>
      </c>
      <c r="K3002" s="2" t="e">
        <f>VLOOKUP(B3002,'PO with created By ASR'!A:I,6,FALSE)</f>
        <v>#N/A</v>
      </c>
      <c r="L3002" s="2" t="str">
        <f>VLOOKUP(B3002,'PO with created By ASR'!A:J,7,FALSE)</f>
        <v>A - Mumbai</v>
      </c>
      <c r="M3002" s="2" t="str">
        <f>VLOOKUP(B3002,'PO with created By ASR'!A:K,8,FALSE)</f>
        <v>Purchase Order-Mum</v>
      </c>
      <c r="N3002" t="s">
        <v>36</v>
      </c>
      <c r="P3002" s="2">
        <v>6</v>
      </c>
    </row>
    <row r="3003" s="2" customFormat="1" spans="1:16">
      <c r="A3003" s="8"/>
      <c r="B3003" s="9" t="s">
        <v>4227</v>
      </c>
      <c r="C3003" s="10" t="s">
        <v>126</v>
      </c>
      <c r="D3003" s="11">
        <v>1</v>
      </c>
      <c r="E3003" s="12">
        <v>1235</v>
      </c>
      <c r="F3003" s="13">
        <v>1235</v>
      </c>
      <c r="G3003" s="2">
        <f>VLOOKUP(B3003,'PO with created By ASR'!A:C,3,FALSE)</f>
        <v>45714</v>
      </c>
      <c r="J3003" s="2" t="str">
        <f>VLOOKUP(B3003,'PO with created By ASR'!A:G,4,FALSE)</f>
        <v>Mahendra Mane -CR</v>
      </c>
      <c r="K3003" s="2" t="e">
        <f>VLOOKUP(B3003,'PO with created By ASR'!A:I,6,FALSE)</f>
        <v>#N/A</v>
      </c>
      <c r="L3003" s="2" t="str">
        <f>VLOOKUP(B3003,'PO with created By ASR'!A:J,7,FALSE)</f>
        <v>A - Mumbai</v>
      </c>
      <c r="M3003" s="2" t="str">
        <f>VLOOKUP(B3003,'PO with created By ASR'!A:K,8,FALSE)</f>
        <v>Purchase Order-Mum</v>
      </c>
      <c r="N3003" t="s">
        <v>36</v>
      </c>
      <c r="P3003" s="2">
        <v>6</v>
      </c>
    </row>
    <row r="3004" s="2" customFormat="1" spans="1:16">
      <c r="A3004" s="8"/>
      <c r="B3004" s="9" t="s">
        <v>4227</v>
      </c>
      <c r="C3004" s="10" t="s">
        <v>412</v>
      </c>
      <c r="D3004" s="11">
        <v>1</v>
      </c>
      <c r="E3004" s="12">
        <v>150</v>
      </c>
      <c r="F3004" s="13">
        <v>150</v>
      </c>
      <c r="G3004" s="2">
        <f>VLOOKUP(B3004,'PO with created By ASR'!A:C,3,FALSE)</f>
        <v>45714</v>
      </c>
      <c r="J3004" s="2" t="str">
        <f>VLOOKUP(B3004,'PO with created By ASR'!A:G,4,FALSE)</f>
        <v>Mahendra Mane -CR</v>
      </c>
      <c r="K3004" s="2" t="e">
        <f>VLOOKUP(B3004,'PO with created By ASR'!A:I,6,FALSE)</f>
        <v>#N/A</v>
      </c>
      <c r="L3004" s="2" t="str">
        <f>VLOOKUP(B3004,'PO with created By ASR'!A:J,7,FALSE)</f>
        <v>A - Mumbai</v>
      </c>
      <c r="M3004" s="2" t="str">
        <f>VLOOKUP(B3004,'PO with created By ASR'!A:K,8,FALSE)</f>
        <v>Purchase Order-Mum</v>
      </c>
      <c r="N3004" t="s">
        <v>36</v>
      </c>
      <c r="P3004" s="2">
        <v>6</v>
      </c>
    </row>
    <row r="3005" s="2" customFormat="1" spans="1:16">
      <c r="A3005" s="8"/>
      <c r="B3005" s="9" t="s">
        <v>4228</v>
      </c>
      <c r="C3005" s="10" t="s">
        <v>126</v>
      </c>
      <c r="D3005" s="11">
        <v>1</v>
      </c>
      <c r="E3005" s="12">
        <v>8132</v>
      </c>
      <c r="F3005" s="13">
        <v>8132</v>
      </c>
      <c r="G3005" s="2">
        <f>VLOOKUP(B3005,'PO with created By ASR'!A:C,3,FALSE)</f>
        <v>45714</v>
      </c>
      <c r="J3005" s="2" t="str">
        <f>VLOOKUP(B3005,'PO with created By ASR'!A:G,4,FALSE)</f>
        <v>Justin Francis Vadakkan  -CR</v>
      </c>
      <c r="K3005" s="2" t="e">
        <f>VLOOKUP(B3005,'PO with created By ASR'!A:I,6,FALSE)</f>
        <v>#N/A</v>
      </c>
      <c r="L3005" s="2" t="str">
        <f>VLOOKUP(B3005,'PO with created By ASR'!A:J,7,FALSE)</f>
        <v>A - Mumbai</v>
      </c>
      <c r="M3005" s="2" t="str">
        <f>VLOOKUP(B3005,'PO with created By ASR'!A:K,8,FALSE)</f>
        <v>Purchase Order-Mum</v>
      </c>
      <c r="N3005" t="s">
        <v>36</v>
      </c>
      <c r="P3005" s="2">
        <v>6</v>
      </c>
    </row>
    <row r="3006" s="2" customFormat="1" spans="1:16">
      <c r="A3006" s="8"/>
      <c r="B3006" s="9" t="s">
        <v>4228</v>
      </c>
      <c r="C3006" s="10" t="s">
        <v>412</v>
      </c>
      <c r="D3006" s="11">
        <v>1</v>
      </c>
      <c r="E3006" s="12">
        <v>10776</v>
      </c>
      <c r="F3006" s="13">
        <v>10776</v>
      </c>
      <c r="G3006" s="2">
        <f>VLOOKUP(B3006,'PO with created By ASR'!A:C,3,FALSE)</f>
        <v>45714</v>
      </c>
      <c r="J3006" s="2" t="str">
        <f>VLOOKUP(B3006,'PO with created By ASR'!A:G,4,FALSE)</f>
        <v>Justin Francis Vadakkan  -CR</v>
      </c>
      <c r="K3006" s="2" t="e">
        <f>VLOOKUP(B3006,'PO with created By ASR'!A:I,6,FALSE)</f>
        <v>#N/A</v>
      </c>
      <c r="L3006" s="2" t="str">
        <f>VLOOKUP(B3006,'PO with created By ASR'!A:J,7,FALSE)</f>
        <v>A - Mumbai</v>
      </c>
      <c r="M3006" s="2" t="str">
        <f>VLOOKUP(B3006,'PO with created By ASR'!A:K,8,FALSE)</f>
        <v>Purchase Order-Mum</v>
      </c>
      <c r="N3006" t="s">
        <v>36</v>
      </c>
      <c r="P3006" s="2">
        <v>6</v>
      </c>
    </row>
    <row r="3007" s="2" customFormat="1" spans="1:16">
      <c r="A3007" s="8"/>
      <c r="B3007" s="9" t="s">
        <v>4228</v>
      </c>
      <c r="C3007" s="10" t="s">
        <v>317</v>
      </c>
      <c r="D3007" s="11">
        <v>1</v>
      </c>
      <c r="E3007" s="12">
        <v>17747</v>
      </c>
      <c r="F3007" s="13">
        <v>17747</v>
      </c>
      <c r="G3007" s="2">
        <f>VLOOKUP(B3007,'PO with created By ASR'!A:C,3,FALSE)</f>
        <v>45714</v>
      </c>
      <c r="J3007" s="2" t="str">
        <f>VLOOKUP(B3007,'PO with created By ASR'!A:G,4,FALSE)</f>
        <v>Justin Francis Vadakkan  -CR</v>
      </c>
      <c r="K3007" s="2" t="e">
        <f>VLOOKUP(B3007,'PO with created By ASR'!A:I,6,FALSE)</f>
        <v>#N/A</v>
      </c>
      <c r="L3007" s="2" t="str">
        <f>VLOOKUP(B3007,'PO with created By ASR'!A:J,7,FALSE)</f>
        <v>A - Mumbai</v>
      </c>
      <c r="M3007" s="2" t="str">
        <f>VLOOKUP(B3007,'PO with created By ASR'!A:K,8,FALSE)</f>
        <v>Purchase Order-Mum</v>
      </c>
      <c r="N3007" t="s">
        <v>36</v>
      </c>
      <c r="P3007" s="2">
        <v>6</v>
      </c>
    </row>
    <row r="3008" s="2" customFormat="1" spans="1:16">
      <c r="A3008" s="8"/>
      <c r="B3008" s="9" t="s">
        <v>4229</v>
      </c>
      <c r="C3008" s="10" t="s">
        <v>126</v>
      </c>
      <c r="D3008" s="11">
        <v>1</v>
      </c>
      <c r="E3008" s="12">
        <v>680</v>
      </c>
      <c r="F3008" s="13">
        <v>680</v>
      </c>
      <c r="G3008" s="2">
        <f>VLOOKUP(B3008,'PO with created By ASR'!A:C,3,FALSE)</f>
        <v>45714</v>
      </c>
      <c r="J3008" s="2" t="str">
        <f>VLOOKUP(B3008,'PO with created By ASR'!A:G,4,FALSE)</f>
        <v>Harish Aawade -CR</v>
      </c>
      <c r="K3008" s="2" t="e">
        <f>VLOOKUP(B3008,'PO with created By ASR'!A:I,6,FALSE)</f>
        <v>#N/A</v>
      </c>
      <c r="L3008" s="2" t="str">
        <f>VLOOKUP(B3008,'PO with created By ASR'!A:J,7,FALSE)</f>
        <v>A - Mumbai</v>
      </c>
      <c r="M3008" s="2" t="str">
        <f>VLOOKUP(B3008,'PO with created By ASR'!A:K,8,FALSE)</f>
        <v>Purchase Order-Mum</v>
      </c>
      <c r="N3008" t="s">
        <v>36</v>
      </c>
      <c r="P3008" s="2">
        <v>6</v>
      </c>
    </row>
    <row r="3009" s="2" customFormat="1" spans="1:16">
      <c r="A3009" s="8"/>
      <c r="B3009" s="9" t="s">
        <v>4229</v>
      </c>
      <c r="C3009" s="10" t="s">
        <v>412</v>
      </c>
      <c r="D3009" s="11">
        <v>1</v>
      </c>
      <c r="E3009" s="12">
        <v>2227</v>
      </c>
      <c r="F3009" s="13">
        <v>2227</v>
      </c>
      <c r="G3009" s="2">
        <f>VLOOKUP(B3009,'PO with created By ASR'!A:C,3,FALSE)</f>
        <v>45714</v>
      </c>
      <c r="J3009" s="2" t="str">
        <f>VLOOKUP(B3009,'PO with created By ASR'!A:G,4,FALSE)</f>
        <v>Harish Aawade -CR</v>
      </c>
      <c r="K3009" s="2" t="e">
        <f>VLOOKUP(B3009,'PO with created By ASR'!A:I,6,FALSE)</f>
        <v>#N/A</v>
      </c>
      <c r="L3009" s="2" t="str">
        <f>VLOOKUP(B3009,'PO with created By ASR'!A:J,7,FALSE)</f>
        <v>A - Mumbai</v>
      </c>
      <c r="M3009" s="2" t="str">
        <f>VLOOKUP(B3009,'PO with created By ASR'!A:K,8,FALSE)</f>
        <v>Purchase Order-Mum</v>
      </c>
      <c r="N3009" t="s">
        <v>36</v>
      </c>
      <c r="P3009" s="2">
        <v>6</v>
      </c>
    </row>
    <row r="3010" s="2" customFormat="1" spans="1:16">
      <c r="A3010" s="8"/>
      <c r="B3010" s="9" t="s">
        <v>4230</v>
      </c>
      <c r="C3010" s="10" t="s">
        <v>126</v>
      </c>
      <c r="D3010" s="11">
        <v>1</v>
      </c>
      <c r="E3010" s="12">
        <v>2239.9</v>
      </c>
      <c r="F3010" s="13">
        <v>2239.9</v>
      </c>
      <c r="G3010" s="2">
        <f>VLOOKUP(B3010,'PO with created By ASR'!A:C,3,FALSE)</f>
        <v>45714</v>
      </c>
      <c r="J3010" s="2" t="str">
        <f>VLOOKUP(B3010,'PO with created By ASR'!A:G,4,FALSE)</f>
        <v>Aftab Shaikh  -CR</v>
      </c>
      <c r="K3010" s="2" t="e">
        <f>VLOOKUP(B3010,'PO with created By ASR'!A:I,6,FALSE)</f>
        <v>#N/A</v>
      </c>
      <c r="L3010" s="2" t="str">
        <f>VLOOKUP(B3010,'PO with created By ASR'!A:J,7,FALSE)</f>
        <v>A - Mumbai</v>
      </c>
      <c r="M3010" s="2" t="str">
        <f>VLOOKUP(B3010,'PO with created By ASR'!A:K,8,FALSE)</f>
        <v>Purchase Order-Mum</v>
      </c>
      <c r="N3010" t="s">
        <v>36</v>
      </c>
      <c r="P3010" s="2">
        <v>6</v>
      </c>
    </row>
    <row r="3011" s="2" customFormat="1" spans="1:16">
      <c r="A3011" s="8"/>
      <c r="B3011" s="9" t="s">
        <v>4230</v>
      </c>
      <c r="C3011" s="10" t="s">
        <v>412</v>
      </c>
      <c r="D3011" s="11">
        <v>1</v>
      </c>
      <c r="E3011" s="12">
        <v>5798.95</v>
      </c>
      <c r="F3011" s="13">
        <v>5798.95</v>
      </c>
      <c r="G3011" s="2">
        <f>VLOOKUP(B3011,'PO with created By ASR'!A:C,3,FALSE)</f>
        <v>45714</v>
      </c>
      <c r="J3011" s="2" t="str">
        <f>VLOOKUP(B3011,'PO with created By ASR'!A:G,4,FALSE)</f>
        <v>Aftab Shaikh  -CR</v>
      </c>
      <c r="K3011" s="2" t="e">
        <f>VLOOKUP(B3011,'PO with created By ASR'!A:I,6,FALSE)</f>
        <v>#N/A</v>
      </c>
      <c r="L3011" s="2" t="str">
        <f>VLOOKUP(B3011,'PO with created By ASR'!A:J,7,FALSE)</f>
        <v>A - Mumbai</v>
      </c>
      <c r="M3011" s="2" t="str">
        <f>VLOOKUP(B3011,'PO with created By ASR'!A:K,8,FALSE)</f>
        <v>Purchase Order-Mum</v>
      </c>
      <c r="N3011" t="s">
        <v>36</v>
      </c>
      <c r="P3011" s="2">
        <v>6</v>
      </c>
    </row>
    <row r="3012" s="2" customFormat="1" spans="1:16">
      <c r="A3012" s="8"/>
      <c r="B3012" s="9" t="s">
        <v>4231</v>
      </c>
      <c r="C3012" s="10" t="s">
        <v>683</v>
      </c>
      <c r="D3012" s="11">
        <v>1</v>
      </c>
      <c r="E3012" s="12">
        <v>100000</v>
      </c>
      <c r="F3012" s="13">
        <v>100000</v>
      </c>
      <c r="G3012" s="2">
        <f>VLOOKUP(B3012,'PO with created By ASR'!A:C,3,FALSE)</f>
        <v>45714</v>
      </c>
      <c r="J3012" s="2" t="str">
        <f>VLOOKUP(B3012,'PO with created By ASR'!A:G,4,FALSE)</f>
        <v>Mavone Studios Pvt Ltd-Mum</v>
      </c>
      <c r="K3012" s="2" t="str">
        <f>VLOOKUP(B3012,'PO with created By ASR'!A:I,6,FALSE)</f>
        <v>12127  Mavone Studios Pvt Ltd</v>
      </c>
      <c r="L3012" s="2" t="str">
        <f>VLOOKUP(B3012,'PO with created By ASR'!A:J,7,FALSE)</f>
        <v>A - Mumbai</v>
      </c>
      <c r="M3012" s="2" t="str">
        <f>VLOOKUP(B3012,'PO with created By ASR'!A:K,8,FALSE)</f>
        <v>Purchase Order-Mum</v>
      </c>
      <c r="N3012" t="s">
        <v>36</v>
      </c>
      <c r="P3012" s="2">
        <v>6</v>
      </c>
    </row>
    <row r="3013" s="2" customFormat="1" spans="1:16">
      <c r="A3013" s="8"/>
      <c r="B3013" s="9" t="s">
        <v>4234</v>
      </c>
      <c r="C3013" s="10" t="s">
        <v>140</v>
      </c>
      <c r="D3013" s="11">
        <v>1</v>
      </c>
      <c r="E3013" s="12">
        <v>6750</v>
      </c>
      <c r="F3013" s="13">
        <v>6750</v>
      </c>
      <c r="G3013" s="2">
        <f>VLOOKUP(B3013,'PO with created By ASR'!A:C,3,FALSE)</f>
        <v>45714</v>
      </c>
      <c r="J3013" s="2" t="str">
        <f>VLOOKUP(B3013,'PO with created By ASR'!A:G,4,FALSE)</f>
        <v>Flora Collection (Happay)-Mum</v>
      </c>
      <c r="K3013" s="2" t="str">
        <f>VLOOKUP(B3013,'PO with created By ASR'!A:I,6,FALSE)</f>
        <v>12944 Flora Collection (Happay)</v>
      </c>
      <c r="L3013" s="2" t="str">
        <f>VLOOKUP(B3013,'PO with created By ASR'!A:J,7,FALSE)</f>
        <v>A - Mumbai</v>
      </c>
      <c r="M3013" s="2" t="str">
        <f>VLOOKUP(B3013,'PO with created By ASR'!A:K,8,FALSE)</f>
        <v>Purchase Order-Mum</v>
      </c>
      <c r="N3013" t="s">
        <v>36</v>
      </c>
      <c r="P3013" s="2">
        <v>6</v>
      </c>
    </row>
    <row r="3014" s="2" customFormat="1" spans="1:16">
      <c r="A3014" s="8"/>
      <c r="B3014" s="9" t="s">
        <v>4239</v>
      </c>
      <c r="C3014" s="10" t="s">
        <v>256</v>
      </c>
      <c r="D3014" s="11">
        <v>1</v>
      </c>
      <c r="E3014" s="12">
        <v>30000</v>
      </c>
      <c r="F3014" s="13">
        <v>30000</v>
      </c>
      <c r="G3014" s="2">
        <f>VLOOKUP(B3014,'PO with created By ASR'!A:C,3,FALSE)</f>
        <v>45714</v>
      </c>
      <c r="J3014" s="2" t="str">
        <f>VLOOKUP(B3014,'PO with created By ASR'!A:G,4,FALSE)</f>
        <v>The Indian Performing Right Society Ltd.-Mum</v>
      </c>
      <c r="K3014" s="2" t="e">
        <f>VLOOKUP(B3014,'PO with created By ASR'!A:I,6,FALSE)</f>
        <v>#N/A</v>
      </c>
      <c r="L3014" s="2" t="str">
        <f>VLOOKUP(B3014,'PO with created By ASR'!A:J,7,FALSE)</f>
        <v>A - Mumbai</v>
      </c>
      <c r="M3014" s="2" t="str">
        <f>VLOOKUP(B3014,'PO with created By ASR'!A:K,8,FALSE)</f>
        <v>Purchase Order-Mum</v>
      </c>
      <c r="N3014" t="s">
        <v>36</v>
      </c>
      <c r="P3014" s="2">
        <v>6</v>
      </c>
    </row>
    <row r="3015" s="2" customFormat="1" spans="1:16">
      <c r="A3015" s="8"/>
      <c r="B3015" s="9" t="s">
        <v>4240</v>
      </c>
      <c r="C3015" s="10" t="s">
        <v>256</v>
      </c>
      <c r="D3015" s="11">
        <v>1</v>
      </c>
      <c r="E3015" s="12">
        <v>111000</v>
      </c>
      <c r="F3015" s="13">
        <v>111000</v>
      </c>
      <c r="G3015" s="2">
        <f>VLOOKUP(B3015,'PO with created By ASR'!A:C,3,FALSE)</f>
        <v>45714</v>
      </c>
      <c r="J3015" s="2" t="str">
        <f>VLOOKUP(B3015,'PO with created By ASR'!A:G,4,FALSE)</f>
        <v>Phonographic Performance Limited-Mum</v>
      </c>
      <c r="K3015" s="2" t="e">
        <f>VLOOKUP(B3015,'PO with created By ASR'!A:I,6,FALSE)</f>
        <v>#N/A</v>
      </c>
      <c r="L3015" s="2" t="str">
        <f>VLOOKUP(B3015,'PO with created By ASR'!A:J,7,FALSE)</f>
        <v>A - Mumbai</v>
      </c>
      <c r="M3015" s="2" t="str">
        <f>VLOOKUP(B3015,'PO with created By ASR'!A:K,8,FALSE)</f>
        <v>Purchase Order-Mum</v>
      </c>
      <c r="N3015" t="s">
        <v>36</v>
      </c>
      <c r="P3015" s="2">
        <v>6</v>
      </c>
    </row>
    <row r="3016" s="2" customFormat="1" spans="1:16">
      <c r="A3016" s="8"/>
      <c r="B3016" s="9" t="s">
        <v>4241</v>
      </c>
      <c r="C3016" s="10" t="s">
        <v>256</v>
      </c>
      <c r="D3016" s="11">
        <v>1</v>
      </c>
      <c r="E3016" s="12">
        <v>120000</v>
      </c>
      <c r="F3016" s="13">
        <v>120000</v>
      </c>
      <c r="G3016" s="2">
        <f>VLOOKUP(B3016,'PO with created By ASR'!A:C,3,FALSE)</f>
        <v>45714</v>
      </c>
      <c r="J3016" s="2" t="str">
        <f>VLOOKUP(B3016,'PO with created By ASR'!A:G,4,FALSE)</f>
        <v>Novex Communications Pvt. Ltd.-Mum</v>
      </c>
      <c r="K3016" s="2" t="e">
        <f>VLOOKUP(B3016,'PO with created By ASR'!A:I,6,FALSE)</f>
        <v>#N/A</v>
      </c>
      <c r="L3016" s="2" t="str">
        <f>VLOOKUP(B3016,'PO with created By ASR'!A:J,7,FALSE)</f>
        <v>A - Mumbai</v>
      </c>
      <c r="M3016" s="2" t="str">
        <f>VLOOKUP(B3016,'PO with created By ASR'!A:K,8,FALSE)</f>
        <v>Purchase Order-Mum</v>
      </c>
      <c r="N3016" t="s">
        <v>36</v>
      </c>
      <c r="P3016" s="2">
        <v>6</v>
      </c>
    </row>
    <row r="3017" s="2" customFormat="1" spans="1:16">
      <c r="A3017" s="8"/>
      <c r="B3017" s="9" t="s">
        <v>4241</v>
      </c>
      <c r="C3017" s="10" t="s">
        <v>256</v>
      </c>
      <c r="D3017" s="11">
        <v>1</v>
      </c>
      <c r="E3017" s="12">
        <v>150000</v>
      </c>
      <c r="F3017" s="13">
        <v>150000</v>
      </c>
      <c r="G3017" s="2">
        <f>VLOOKUP(B3017,'PO with created By ASR'!A:C,3,FALSE)</f>
        <v>45714</v>
      </c>
      <c r="J3017" s="2" t="str">
        <f>VLOOKUP(B3017,'PO with created By ASR'!A:G,4,FALSE)</f>
        <v>Novex Communications Pvt. Ltd.-Mum</v>
      </c>
      <c r="K3017" s="2" t="e">
        <f>VLOOKUP(B3017,'PO with created By ASR'!A:I,6,FALSE)</f>
        <v>#N/A</v>
      </c>
      <c r="L3017" s="2" t="str">
        <f>VLOOKUP(B3017,'PO with created By ASR'!A:J,7,FALSE)</f>
        <v>A - Mumbai</v>
      </c>
      <c r="M3017" s="2" t="str">
        <f>VLOOKUP(B3017,'PO with created By ASR'!A:K,8,FALSE)</f>
        <v>Purchase Order-Mum</v>
      </c>
      <c r="N3017" t="s">
        <v>36</v>
      </c>
      <c r="P3017" s="2">
        <v>6</v>
      </c>
    </row>
    <row r="3018" s="2" customFormat="1" spans="1:16">
      <c r="A3018" s="8"/>
      <c r="B3018" s="9" t="s">
        <v>4242</v>
      </c>
      <c r="C3018" s="10" t="s">
        <v>140</v>
      </c>
      <c r="D3018" s="11">
        <v>1</v>
      </c>
      <c r="E3018" s="12">
        <v>378000</v>
      </c>
      <c r="F3018" s="13">
        <v>378000</v>
      </c>
      <c r="G3018" s="2">
        <f>VLOOKUP(B3018,'PO with created By ASR'!A:C,3,FALSE)</f>
        <v>45714</v>
      </c>
      <c r="J3018" s="2" t="str">
        <f>VLOOKUP(B3018,'PO with created By ASR'!A:G,4,FALSE)</f>
        <v>Rudra Creations-Mum</v>
      </c>
      <c r="K3018" s="2" t="str">
        <f>VLOOKUP(B3018,'PO with created By ASR'!A:I,6,FALSE)</f>
        <v>12990 Rudra Creations</v>
      </c>
      <c r="L3018" s="2" t="str">
        <f>VLOOKUP(B3018,'PO with created By ASR'!A:J,7,FALSE)</f>
        <v>A - Mumbai</v>
      </c>
      <c r="M3018" s="2" t="str">
        <f>VLOOKUP(B3018,'PO with created By ASR'!A:K,8,FALSE)</f>
        <v>Purchase Order-Mum</v>
      </c>
      <c r="N3018" t="s">
        <v>36</v>
      </c>
      <c r="P3018" s="2">
        <v>6</v>
      </c>
    </row>
    <row r="3019" s="2" customFormat="1" spans="1:16">
      <c r="A3019" s="8"/>
      <c r="B3019" s="9" t="s">
        <v>4246</v>
      </c>
      <c r="C3019" s="10" t="s">
        <v>256</v>
      </c>
      <c r="D3019" s="11">
        <v>1</v>
      </c>
      <c r="E3019" s="12">
        <v>30000</v>
      </c>
      <c r="F3019" s="13">
        <v>30000</v>
      </c>
      <c r="G3019" s="2">
        <f>VLOOKUP(B3019,'PO with created By ASR'!A:C,3,FALSE)</f>
        <v>45714</v>
      </c>
      <c r="J3019" s="2" t="str">
        <f>VLOOKUP(B3019,'PO with created By ASR'!A:G,4,FALSE)</f>
        <v>The Indian Performing Right Society Ltd.-Mum</v>
      </c>
      <c r="K3019" s="2" t="e">
        <f>VLOOKUP(B3019,'PO with created By ASR'!A:I,6,FALSE)</f>
        <v>#N/A</v>
      </c>
      <c r="L3019" s="2" t="str">
        <f>VLOOKUP(B3019,'PO with created By ASR'!A:J,7,FALSE)</f>
        <v>A - Mumbai</v>
      </c>
      <c r="M3019" s="2" t="str">
        <f>VLOOKUP(B3019,'PO with created By ASR'!A:K,8,FALSE)</f>
        <v>Purchase Order-Mum</v>
      </c>
      <c r="N3019" t="s">
        <v>36</v>
      </c>
      <c r="P3019" s="2">
        <v>6</v>
      </c>
    </row>
    <row r="3020" s="2" customFormat="1" spans="1:16">
      <c r="A3020" s="8"/>
      <c r="B3020" s="9" t="s">
        <v>4247</v>
      </c>
      <c r="C3020" s="10" t="s">
        <v>256</v>
      </c>
      <c r="D3020" s="11">
        <v>1</v>
      </c>
      <c r="E3020" s="12">
        <v>235000</v>
      </c>
      <c r="F3020" s="13">
        <v>235000</v>
      </c>
      <c r="G3020" s="2">
        <f>VLOOKUP(B3020,'PO with created By ASR'!A:C,3,FALSE)</f>
        <v>45714</v>
      </c>
      <c r="J3020" s="2" t="str">
        <f>VLOOKUP(B3020,'PO with created By ASR'!A:G,4,FALSE)</f>
        <v>Phonographic Performance Limited-Mum</v>
      </c>
      <c r="K3020" s="2" t="e">
        <f>VLOOKUP(B3020,'PO with created By ASR'!A:I,6,FALSE)</f>
        <v>#N/A</v>
      </c>
      <c r="L3020" s="2" t="str">
        <f>VLOOKUP(B3020,'PO with created By ASR'!A:J,7,FALSE)</f>
        <v>A - Mumbai</v>
      </c>
      <c r="M3020" s="2" t="str">
        <f>VLOOKUP(B3020,'PO with created By ASR'!A:K,8,FALSE)</f>
        <v>Purchase Order-Mum</v>
      </c>
      <c r="N3020" t="s">
        <v>36</v>
      </c>
      <c r="P3020" s="2">
        <v>6</v>
      </c>
    </row>
    <row r="3021" s="2" customFormat="1" spans="1:16">
      <c r="A3021" s="8"/>
      <c r="B3021" s="9" t="s">
        <v>4248</v>
      </c>
      <c r="C3021" s="10" t="s">
        <v>256</v>
      </c>
      <c r="D3021" s="11">
        <v>1</v>
      </c>
      <c r="E3021" s="12">
        <v>80000</v>
      </c>
      <c r="F3021" s="13">
        <v>80000</v>
      </c>
      <c r="G3021" s="2">
        <f>VLOOKUP(B3021,'PO with created By ASR'!A:C,3,FALSE)</f>
        <v>45714</v>
      </c>
      <c r="J3021" s="2" t="str">
        <f>VLOOKUP(B3021,'PO with created By ASR'!A:G,4,FALSE)</f>
        <v>Novex Communications Pvt. Ltd.-Mum</v>
      </c>
      <c r="K3021" s="2" t="e">
        <f>VLOOKUP(B3021,'PO with created By ASR'!A:I,6,FALSE)</f>
        <v>#N/A</v>
      </c>
      <c r="L3021" s="2" t="str">
        <f>VLOOKUP(B3021,'PO with created By ASR'!A:J,7,FALSE)</f>
        <v>A - Mumbai</v>
      </c>
      <c r="M3021" s="2" t="str">
        <f>VLOOKUP(B3021,'PO with created By ASR'!A:K,8,FALSE)</f>
        <v>Purchase Order-Mum</v>
      </c>
      <c r="N3021" t="s">
        <v>36</v>
      </c>
      <c r="P3021" s="2">
        <v>6</v>
      </c>
    </row>
    <row r="3022" s="2" customFormat="1" spans="1:16">
      <c r="A3022" s="8"/>
      <c r="B3022" s="9" t="s">
        <v>4249</v>
      </c>
      <c r="C3022" s="10" t="s">
        <v>317</v>
      </c>
      <c r="D3022" s="11">
        <v>1</v>
      </c>
      <c r="E3022" s="12">
        <v>225000</v>
      </c>
      <c r="F3022" s="13">
        <v>225000</v>
      </c>
      <c r="G3022" s="2">
        <f>VLOOKUP(B3022,'PO with created By ASR'!A:C,3,FALSE)</f>
        <v>45714</v>
      </c>
      <c r="J3022" s="2" t="str">
        <f>VLOOKUP(B3022,'PO with created By ASR'!A:G,4,FALSE)</f>
        <v>Aroush Event-Mum</v>
      </c>
      <c r="K3022" s="2" t="str">
        <f>VLOOKUP(B3022,'PO with created By ASR'!A:I,6,FALSE)</f>
        <v>12855 Aroush Event</v>
      </c>
      <c r="L3022" s="2" t="str">
        <f>VLOOKUP(B3022,'PO with created By ASR'!A:J,7,FALSE)</f>
        <v>A - Mumbai</v>
      </c>
      <c r="M3022" s="2" t="str">
        <f>VLOOKUP(B3022,'PO with created By ASR'!A:K,8,FALSE)</f>
        <v>Purchase Order-Mum</v>
      </c>
      <c r="N3022" t="s">
        <v>36</v>
      </c>
      <c r="P3022" s="2">
        <v>6</v>
      </c>
    </row>
    <row r="3023" s="2" customFormat="1" spans="1:16">
      <c r="A3023" s="8"/>
      <c r="B3023" s="9" t="s">
        <v>4252</v>
      </c>
      <c r="C3023" s="10" t="s">
        <v>347</v>
      </c>
      <c r="D3023" s="11">
        <v>1</v>
      </c>
      <c r="E3023" s="12">
        <v>82500</v>
      </c>
      <c r="F3023" s="13">
        <v>82500</v>
      </c>
      <c r="G3023" s="2">
        <f>VLOOKUP(B3023,'PO with created By ASR'!A:C,3,FALSE)</f>
        <v>45714</v>
      </c>
      <c r="J3023" s="2" t="str">
        <f>VLOOKUP(B3023,'PO with created By ASR'!A:G,4,FALSE)</f>
        <v>Atharva Shinde-Mum</v>
      </c>
      <c r="K3023" s="2" t="str">
        <f>VLOOKUP(B3023,'PO with created By ASR'!A:I,6,FALSE)</f>
        <v>10555 Atharva Shinde</v>
      </c>
      <c r="L3023" s="2" t="str">
        <f>VLOOKUP(B3023,'PO with created By ASR'!A:J,7,FALSE)</f>
        <v>A - Mumbai</v>
      </c>
      <c r="M3023" s="2" t="str">
        <f>VLOOKUP(B3023,'PO with created By ASR'!A:K,8,FALSE)</f>
        <v>Purchase Order-Mum</v>
      </c>
      <c r="N3023" t="s">
        <v>36</v>
      </c>
      <c r="P3023" s="2">
        <v>6</v>
      </c>
    </row>
    <row r="3024" s="2" customFormat="1" spans="1:16">
      <c r="A3024" s="8"/>
      <c r="B3024" s="9" t="s">
        <v>4254</v>
      </c>
      <c r="C3024" s="10" t="s">
        <v>734</v>
      </c>
      <c r="D3024" s="11">
        <v>1</v>
      </c>
      <c r="E3024" s="12">
        <v>508500</v>
      </c>
      <c r="F3024" s="13">
        <v>508500</v>
      </c>
      <c r="G3024" s="2">
        <f>VLOOKUP(B3024,'PO with created By ASR'!A:C,3,FALSE)</f>
        <v>45714</v>
      </c>
      <c r="J3024" s="2" t="str">
        <f>VLOOKUP(B3024,'PO with created By ASR'!A:G,4,FALSE)</f>
        <v>Alliance International Tours &amp; Travels-Mum</v>
      </c>
      <c r="K3024" s="2" t="str">
        <f>VLOOKUP(B3024,'PO with created By ASR'!A:I,6,FALSE)</f>
        <v>11656 Alliance International Tours &amp; Travels</v>
      </c>
      <c r="L3024" s="2" t="str">
        <f>VLOOKUP(B3024,'PO with created By ASR'!A:J,7,FALSE)</f>
        <v>A - Mumbai</v>
      </c>
      <c r="M3024" s="2" t="str">
        <f>VLOOKUP(B3024,'PO with created By ASR'!A:K,8,FALSE)</f>
        <v>Purchase Order-Mum</v>
      </c>
      <c r="N3024" t="s">
        <v>36</v>
      </c>
      <c r="P3024" s="2">
        <v>6</v>
      </c>
    </row>
    <row r="3025" s="2" customFormat="1" spans="1:16">
      <c r="A3025" s="8"/>
      <c r="B3025" s="9" t="s">
        <v>4254</v>
      </c>
      <c r="C3025" s="10" t="s">
        <v>1808</v>
      </c>
      <c r="D3025" s="11">
        <v>1</v>
      </c>
      <c r="E3025" s="12">
        <v>151700</v>
      </c>
      <c r="F3025" s="13">
        <v>151700</v>
      </c>
      <c r="G3025" s="2">
        <f>VLOOKUP(B3025,'PO with created By ASR'!A:C,3,FALSE)</f>
        <v>45714</v>
      </c>
      <c r="J3025" s="2" t="str">
        <f>VLOOKUP(B3025,'PO with created By ASR'!A:G,4,FALSE)</f>
        <v>Alliance International Tours &amp; Travels-Mum</v>
      </c>
      <c r="K3025" s="2" t="str">
        <f>VLOOKUP(B3025,'PO with created By ASR'!A:I,6,FALSE)</f>
        <v>11656 Alliance International Tours &amp; Travels</v>
      </c>
      <c r="L3025" s="2" t="str">
        <f>VLOOKUP(B3025,'PO with created By ASR'!A:J,7,FALSE)</f>
        <v>A - Mumbai</v>
      </c>
      <c r="M3025" s="2" t="str">
        <f>VLOOKUP(B3025,'PO with created By ASR'!A:K,8,FALSE)</f>
        <v>Purchase Order-Mum</v>
      </c>
      <c r="N3025" t="s">
        <v>36</v>
      </c>
      <c r="P3025" s="2">
        <v>6</v>
      </c>
    </row>
    <row r="3026" s="2" customFormat="1" spans="1:16">
      <c r="A3026" s="8"/>
      <c r="B3026" s="9" t="s">
        <v>4254</v>
      </c>
      <c r="C3026" s="10" t="s">
        <v>1808</v>
      </c>
      <c r="D3026" s="11">
        <v>1</v>
      </c>
      <c r="E3026" s="12">
        <v>76300</v>
      </c>
      <c r="F3026" s="13">
        <v>76300</v>
      </c>
      <c r="G3026" s="2">
        <f>VLOOKUP(B3026,'PO with created By ASR'!A:C,3,FALSE)</f>
        <v>45714</v>
      </c>
      <c r="J3026" s="2" t="str">
        <f>VLOOKUP(B3026,'PO with created By ASR'!A:G,4,FALSE)</f>
        <v>Alliance International Tours &amp; Travels-Mum</v>
      </c>
      <c r="K3026" s="2" t="str">
        <f>VLOOKUP(B3026,'PO with created By ASR'!A:I,6,FALSE)</f>
        <v>11656 Alliance International Tours &amp; Travels</v>
      </c>
      <c r="L3026" s="2" t="str">
        <f>VLOOKUP(B3026,'PO with created By ASR'!A:J,7,FALSE)</f>
        <v>A - Mumbai</v>
      </c>
      <c r="M3026" s="2" t="str">
        <f>VLOOKUP(B3026,'PO with created By ASR'!A:K,8,FALSE)</f>
        <v>Purchase Order-Mum</v>
      </c>
      <c r="N3026" t="s">
        <v>36</v>
      </c>
      <c r="P3026" s="2">
        <v>6</v>
      </c>
    </row>
    <row r="3027" s="2" customFormat="1" spans="1:16">
      <c r="A3027" s="8"/>
      <c r="B3027" s="9" t="s">
        <v>4255</v>
      </c>
      <c r="C3027" s="10" t="s">
        <v>347</v>
      </c>
      <c r="D3027" s="11">
        <v>1</v>
      </c>
      <c r="E3027" s="12">
        <v>63000</v>
      </c>
      <c r="F3027" s="13">
        <v>63000</v>
      </c>
      <c r="G3027" s="2">
        <f>VLOOKUP(B3027,'PO with created By ASR'!A:C,3,FALSE)</f>
        <v>45714</v>
      </c>
      <c r="J3027" s="2" t="str">
        <f>VLOOKUP(B3027,'PO with created By ASR'!A:G,4,FALSE)</f>
        <v>Trupti Rahate-Mum</v>
      </c>
      <c r="K3027" s="2" t="str">
        <f>VLOOKUP(B3027,'PO with created By ASR'!A:I,6,FALSE)</f>
        <v>10980 Trupti Rahate</v>
      </c>
      <c r="L3027" s="2" t="str">
        <f>VLOOKUP(B3027,'PO with created By ASR'!A:J,7,FALSE)</f>
        <v>A - Mumbai</v>
      </c>
      <c r="M3027" s="2" t="str">
        <f>VLOOKUP(B3027,'PO with created By ASR'!A:K,8,FALSE)</f>
        <v>Purchase Order-Mum</v>
      </c>
      <c r="N3027" t="s">
        <v>36</v>
      </c>
      <c r="P3027" s="2">
        <v>6</v>
      </c>
    </row>
    <row r="3028" s="2" customFormat="1" spans="1:16">
      <c r="A3028" s="8"/>
      <c r="B3028" s="9" t="s">
        <v>4258</v>
      </c>
      <c r="C3028" s="10" t="s">
        <v>140</v>
      </c>
      <c r="D3028" s="11">
        <v>1</v>
      </c>
      <c r="E3028" s="12">
        <v>23214.3</v>
      </c>
      <c r="F3028" s="13">
        <v>23214.3</v>
      </c>
      <c r="G3028" s="2">
        <f>VLOOKUP(B3028,'PO with created By ASR'!A:C,3,FALSE)</f>
        <v>45714</v>
      </c>
      <c r="J3028" s="2" t="str">
        <f>VLOOKUP(B3028,'PO with created By ASR'!A:G,4,FALSE)</f>
        <v>Nicobar Design Pvt Ltd (Happay)-Del</v>
      </c>
      <c r="K3028" s="2" t="str">
        <f>VLOOKUP(B3028,'PO with created By ASR'!A:I,6,FALSE)</f>
        <v>12948  Nicobar Design Pvt Ltd (Happay)</v>
      </c>
      <c r="L3028" s="2" t="str">
        <f>VLOOKUP(B3028,'PO with created By ASR'!A:J,7,FALSE)</f>
        <v>A - Mumbai</v>
      </c>
      <c r="M3028" s="2" t="str">
        <f>VLOOKUP(B3028,'PO with created By ASR'!A:K,8,FALSE)</f>
        <v>Purchase Order-Mum</v>
      </c>
      <c r="N3028" t="s">
        <v>36</v>
      </c>
      <c r="P3028" s="2">
        <v>6</v>
      </c>
    </row>
    <row r="3029" s="2" customFormat="1" spans="1:16">
      <c r="A3029" s="8"/>
      <c r="B3029" s="9" t="s">
        <v>4258</v>
      </c>
      <c r="C3029" s="10" t="s">
        <v>140</v>
      </c>
      <c r="D3029" s="11">
        <v>1</v>
      </c>
      <c r="E3029" s="12">
        <v>423.7</v>
      </c>
      <c r="F3029" s="13">
        <v>423.7</v>
      </c>
      <c r="G3029" s="2">
        <f>VLOOKUP(B3029,'PO with created By ASR'!A:C,3,FALSE)</f>
        <v>45714</v>
      </c>
      <c r="J3029" s="2" t="str">
        <f>VLOOKUP(B3029,'PO with created By ASR'!A:G,4,FALSE)</f>
        <v>Nicobar Design Pvt Ltd (Happay)-Del</v>
      </c>
      <c r="K3029" s="2" t="str">
        <f>VLOOKUP(B3029,'PO with created By ASR'!A:I,6,FALSE)</f>
        <v>12948  Nicobar Design Pvt Ltd (Happay)</v>
      </c>
      <c r="L3029" s="2" t="str">
        <f>VLOOKUP(B3029,'PO with created By ASR'!A:J,7,FALSE)</f>
        <v>A - Mumbai</v>
      </c>
      <c r="M3029" s="2" t="str">
        <f>VLOOKUP(B3029,'PO with created By ASR'!A:K,8,FALSE)</f>
        <v>Purchase Order-Mum</v>
      </c>
      <c r="N3029" t="s">
        <v>36</v>
      </c>
      <c r="P3029" s="2">
        <v>6</v>
      </c>
    </row>
    <row r="3030" s="2" customFormat="1" spans="1:16">
      <c r="A3030" s="8"/>
      <c r="B3030" s="9" t="s">
        <v>4262</v>
      </c>
      <c r="C3030" s="10" t="s">
        <v>292</v>
      </c>
      <c r="D3030" s="11">
        <v>1</v>
      </c>
      <c r="E3030" s="12">
        <v>48500</v>
      </c>
      <c r="F3030" s="13">
        <v>48500</v>
      </c>
      <c r="G3030" s="2">
        <f>VLOOKUP(B3030,'PO with created By ASR'!A:C,3,FALSE)</f>
        <v>45715</v>
      </c>
      <c r="J3030" s="2" t="str">
        <f>VLOOKUP(B3030,'PO with created By ASR'!A:G,4,FALSE)</f>
        <v>Sumair Shariff-Blr</v>
      </c>
      <c r="K3030" s="2" t="str">
        <f>VLOOKUP(B3030,'PO with created By ASR'!A:I,6,FALSE)</f>
        <v>11436 Sumair Shariff</v>
      </c>
      <c r="L3030" s="2" t="str">
        <f>VLOOKUP(B3030,'PO with created By ASR'!A:J,7,FALSE)</f>
        <v>B - Bangalore</v>
      </c>
      <c r="M3030" s="2" t="str">
        <f>VLOOKUP(B3030,'PO with created By ASR'!A:K,8,FALSE)</f>
        <v>Purchase Order-Blr</v>
      </c>
      <c r="N3030" t="s">
        <v>36</v>
      </c>
      <c r="P3030" s="2">
        <v>6</v>
      </c>
    </row>
    <row r="3031" s="2" customFormat="1" spans="1:16">
      <c r="A3031" s="8"/>
      <c r="B3031" s="9" t="s">
        <v>4263</v>
      </c>
      <c r="C3031" s="10" t="s">
        <v>401</v>
      </c>
      <c r="D3031" s="11">
        <v>1</v>
      </c>
      <c r="E3031" s="12">
        <v>51000</v>
      </c>
      <c r="F3031" s="13">
        <v>51000</v>
      </c>
      <c r="G3031" s="2">
        <f>VLOOKUP(B3031,'PO with created By ASR'!A:C,3,FALSE)</f>
        <v>45715</v>
      </c>
      <c r="J3031" s="2" t="str">
        <f>VLOOKUP(B3031,'PO with created By ASR'!A:G,4,FALSE)</f>
        <v>Thinking Brahma-Blr</v>
      </c>
      <c r="K3031" s="2" t="str">
        <f>VLOOKUP(B3031,'PO with created By ASR'!A:I,6,FALSE)</f>
        <v>12537 Thinking Brahma</v>
      </c>
      <c r="L3031" s="2" t="str">
        <f>VLOOKUP(B3031,'PO with created By ASR'!A:J,7,FALSE)</f>
        <v>B - Bangalore</v>
      </c>
      <c r="M3031" s="2" t="str">
        <f>VLOOKUP(B3031,'PO with created By ASR'!A:K,8,FALSE)</f>
        <v>Purchase Order-Blr</v>
      </c>
      <c r="N3031" t="s">
        <v>36</v>
      </c>
      <c r="P3031" s="2">
        <v>6</v>
      </c>
    </row>
    <row r="3032" s="2" customFormat="1" spans="1:16">
      <c r="A3032" s="8"/>
      <c r="B3032" s="9" t="s">
        <v>4264</v>
      </c>
      <c r="C3032" s="10" t="s">
        <v>401</v>
      </c>
      <c r="D3032" s="11">
        <v>1</v>
      </c>
      <c r="E3032" s="12">
        <v>14500</v>
      </c>
      <c r="F3032" s="13">
        <v>14500</v>
      </c>
      <c r="G3032" s="2">
        <f>VLOOKUP(B3032,'PO with created By ASR'!A:C,3,FALSE)</f>
        <v>45715</v>
      </c>
      <c r="J3032" s="2" t="str">
        <f>VLOOKUP(B3032,'PO with created By ASR'!A:G,4,FALSE)</f>
        <v>Thinking Brahma-Blr</v>
      </c>
      <c r="K3032" s="2" t="str">
        <f>VLOOKUP(B3032,'PO with created By ASR'!A:I,6,FALSE)</f>
        <v>12537 Thinking Brahma</v>
      </c>
      <c r="L3032" s="2" t="str">
        <f>VLOOKUP(B3032,'PO with created By ASR'!A:J,7,FALSE)</f>
        <v>B - Bangalore</v>
      </c>
      <c r="M3032" s="2" t="str">
        <f>VLOOKUP(B3032,'PO with created By ASR'!A:K,8,FALSE)</f>
        <v>Purchase Order-Blr</v>
      </c>
      <c r="N3032" t="s">
        <v>36</v>
      </c>
      <c r="P3032" s="2">
        <v>6</v>
      </c>
    </row>
    <row r="3033" s="2" customFormat="1" spans="1:16">
      <c r="A3033" s="8"/>
      <c r="B3033" s="9" t="s">
        <v>4266</v>
      </c>
      <c r="C3033" s="10" t="s">
        <v>196</v>
      </c>
      <c r="D3033" s="11">
        <v>1</v>
      </c>
      <c r="E3033" s="12">
        <v>8050</v>
      </c>
      <c r="F3033" s="13">
        <v>8050</v>
      </c>
      <c r="G3033" s="2">
        <f>VLOOKUP(B3033,'PO with created By ASR'!A:C,3,FALSE)</f>
        <v>45715</v>
      </c>
      <c r="J3033" s="2" t="str">
        <f>VLOOKUP(B3033,'PO with created By ASR'!A:G,4,FALSE)</f>
        <v>Kolorkode-Blr</v>
      </c>
      <c r="K3033" s="2" t="e">
        <f>VLOOKUP(B3033,'PO with created By ASR'!A:I,6,FALSE)</f>
        <v>#N/A</v>
      </c>
      <c r="L3033" s="2" t="str">
        <f>VLOOKUP(B3033,'PO with created By ASR'!A:J,7,FALSE)</f>
        <v>B - Bangalore</v>
      </c>
      <c r="M3033" s="2" t="str">
        <f>VLOOKUP(B3033,'PO with created By ASR'!A:K,8,FALSE)</f>
        <v>Purchase Order-Blr</v>
      </c>
      <c r="N3033" t="s">
        <v>36</v>
      </c>
      <c r="P3033" s="2">
        <v>6</v>
      </c>
    </row>
    <row r="3034" s="2" customFormat="1" spans="1:16">
      <c r="A3034" s="8"/>
      <c r="B3034" s="9" t="s">
        <v>4267</v>
      </c>
      <c r="C3034" s="10" t="s">
        <v>276</v>
      </c>
      <c r="D3034" s="11">
        <v>1</v>
      </c>
      <c r="E3034" s="12">
        <v>168130</v>
      </c>
      <c r="F3034" s="13">
        <v>168130</v>
      </c>
      <c r="G3034" s="2">
        <f>VLOOKUP(B3034,'PO with created By ASR'!A:C,3,FALSE)</f>
        <v>45715</v>
      </c>
      <c r="J3034" s="2" t="str">
        <f>VLOOKUP(B3034,'PO with created By ASR'!A:G,4,FALSE)</f>
        <v>Taj MG Road, Bangalore (Piem Hotels Ltd)-Blr</v>
      </c>
      <c r="K3034" s="2" t="e">
        <f>VLOOKUP(B3034,'PO with created By ASR'!A:I,6,FALSE)</f>
        <v>#N/A</v>
      </c>
      <c r="L3034" s="2" t="str">
        <f>VLOOKUP(B3034,'PO with created By ASR'!A:J,7,FALSE)</f>
        <v>B - Bangalore</v>
      </c>
      <c r="M3034" s="2" t="str">
        <f>VLOOKUP(B3034,'PO with created By ASR'!A:K,8,FALSE)</f>
        <v>Purchase Order-Blr</v>
      </c>
      <c r="N3034" t="s">
        <v>36</v>
      </c>
      <c r="P3034" s="2">
        <v>6</v>
      </c>
    </row>
    <row r="3035" s="2" customFormat="1" spans="1:16">
      <c r="A3035" s="8"/>
      <c r="B3035" s="9" t="s">
        <v>4267</v>
      </c>
      <c r="C3035" s="10" t="s">
        <v>276</v>
      </c>
      <c r="D3035" s="11">
        <v>1</v>
      </c>
      <c r="E3035" s="12">
        <v>135850</v>
      </c>
      <c r="F3035" s="13">
        <v>135850</v>
      </c>
      <c r="G3035" s="2">
        <f>VLOOKUP(B3035,'PO with created By ASR'!A:C,3,FALSE)</f>
        <v>45715</v>
      </c>
      <c r="J3035" s="2" t="str">
        <f>VLOOKUP(B3035,'PO with created By ASR'!A:G,4,FALSE)</f>
        <v>Taj MG Road, Bangalore (Piem Hotels Ltd)-Blr</v>
      </c>
      <c r="K3035" s="2" t="e">
        <f>VLOOKUP(B3035,'PO with created By ASR'!A:I,6,FALSE)</f>
        <v>#N/A</v>
      </c>
      <c r="L3035" s="2" t="str">
        <f>VLOOKUP(B3035,'PO with created By ASR'!A:J,7,FALSE)</f>
        <v>B - Bangalore</v>
      </c>
      <c r="M3035" s="2" t="str">
        <f>VLOOKUP(B3035,'PO with created By ASR'!A:K,8,FALSE)</f>
        <v>Purchase Order-Blr</v>
      </c>
      <c r="N3035" t="s">
        <v>36</v>
      </c>
      <c r="P3035" s="2">
        <v>6</v>
      </c>
    </row>
    <row r="3036" s="2" customFormat="1" spans="1:16">
      <c r="A3036" s="8"/>
      <c r="B3036" s="9" t="s">
        <v>4270</v>
      </c>
      <c r="C3036" s="10" t="s">
        <v>151</v>
      </c>
      <c r="D3036" s="11">
        <v>1</v>
      </c>
      <c r="E3036" s="12">
        <v>105900</v>
      </c>
      <c r="F3036" s="13">
        <v>105900</v>
      </c>
      <c r="G3036" s="2">
        <f>VLOOKUP(B3036,'PO with created By ASR'!A:C,3,FALSE)</f>
        <v>45715</v>
      </c>
      <c r="J3036" s="2" t="str">
        <f>VLOOKUP(B3036,'PO with created By ASR'!A:G,4,FALSE)</f>
        <v>Brand Recall Integrated Services-Che</v>
      </c>
      <c r="K3036" s="2" t="str">
        <f>VLOOKUP(B3036,'PO with created By ASR'!A:I,6,FALSE)</f>
        <v>12991 Brand Recall Integrated Services</v>
      </c>
      <c r="L3036" s="2" t="str">
        <f>VLOOKUP(B3036,'PO with created By ASR'!A:J,7,FALSE)</f>
        <v>C - Chennai</v>
      </c>
      <c r="M3036" s="2" t="str">
        <f>VLOOKUP(B3036,'PO with created By ASR'!A:K,8,FALSE)</f>
        <v>Purchase Order-Che</v>
      </c>
      <c r="N3036" t="s">
        <v>36</v>
      </c>
      <c r="P3036" s="2">
        <v>6</v>
      </c>
    </row>
    <row r="3037" s="2" customFormat="1" spans="1:16">
      <c r="A3037" s="8"/>
      <c r="B3037" s="9" t="s">
        <v>4274</v>
      </c>
      <c r="C3037" s="10" t="s">
        <v>250</v>
      </c>
      <c r="D3037" s="11">
        <v>1</v>
      </c>
      <c r="E3037" s="12">
        <v>25000</v>
      </c>
      <c r="F3037" s="13">
        <v>25000</v>
      </c>
      <c r="G3037" s="2">
        <f>VLOOKUP(B3037,'PO with created By ASR'!A:C,3,FALSE)</f>
        <v>45715</v>
      </c>
      <c r="J3037" s="2" t="str">
        <f>VLOOKUP(B3037,'PO with created By ASR'!A:G,4,FALSE)</f>
        <v>Kunal Sharma-Del</v>
      </c>
      <c r="K3037" s="2" t="str">
        <f>VLOOKUP(B3037,'PO with created By ASR'!A:I,6,FALSE)</f>
        <v>10719 Kunal Sharma</v>
      </c>
      <c r="L3037" s="2" t="str">
        <f>VLOOKUP(B3037,'PO with created By ASR'!A:J,7,FALSE)</f>
        <v>D - Delhi</v>
      </c>
      <c r="M3037" s="2" t="str">
        <f>VLOOKUP(B3037,'PO with created By ASR'!A:K,8,FALSE)</f>
        <v>Purchase Order-Del</v>
      </c>
      <c r="N3037" t="s">
        <v>36</v>
      </c>
      <c r="P3037" s="2">
        <v>6</v>
      </c>
    </row>
    <row r="3038" s="2" customFormat="1" spans="1:16">
      <c r="A3038" s="8"/>
      <c r="B3038" s="9" t="s">
        <v>4275</v>
      </c>
      <c r="C3038" s="10" t="s">
        <v>276</v>
      </c>
      <c r="D3038" s="11">
        <v>1</v>
      </c>
      <c r="E3038" s="12">
        <v>285744.8</v>
      </c>
      <c r="F3038" s="13">
        <v>285744.8</v>
      </c>
      <c r="G3038" s="2">
        <f>VLOOKUP(B3038,'PO with created By ASR'!A:C,3,FALSE)</f>
        <v>45715</v>
      </c>
      <c r="J3038" s="2" t="str">
        <f>VLOOKUP(B3038,'PO with created By ASR'!A:G,4,FALSE)</f>
        <v>Qutab Entertainment Pvt Ltd-Del</v>
      </c>
      <c r="K3038" s="2" t="str">
        <f>VLOOKUP(B3038,'PO with created By ASR'!A:I,6,FALSE)</f>
        <v>12920  Qutab Entertainment Pvt Ltd</v>
      </c>
      <c r="L3038" s="2" t="str">
        <f>VLOOKUP(B3038,'PO with created By ASR'!A:J,7,FALSE)</f>
        <v>D - Delhi</v>
      </c>
      <c r="M3038" s="2" t="str">
        <f>VLOOKUP(B3038,'PO with created By ASR'!A:K,8,FALSE)</f>
        <v>Purchase Order-Del</v>
      </c>
      <c r="N3038" t="s">
        <v>36</v>
      </c>
      <c r="P3038" s="2">
        <v>6</v>
      </c>
    </row>
    <row r="3039" s="2" customFormat="1" spans="1:16">
      <c r="A3039" s="8"/>
      <c r="B3039" s="9" t="s">
        <v>4275</v>
      </c>
      <c r="C3039" s="10" t="s">
        <v>276</v>
      </c>
      <c r="D3039" s="11">
        <v>1</v>
      </c>
      <c r="E3039" s="12">
        <v>174968.75</v>
      </c>
      <c r="F3039" s="13">
        <v>174968.75</v>
      </c>
      <c r="G3039" s="2">
        <f>VLOOKUP(B3039,'PO with created By ASR'!A:C,3,FALSE)</f>
        <v>45715</v>
      </c>
      <c r="J3039" s="2" t="str">
        <f>VLOOKUP(B3039,'PO with created By ASR'!A:G,4,FALSE)</f>
        <v>Qutab Entertainment Pvt Ltd-Del</v>
      </c>
      <c r="K3039" s="2" t="str">
        <f>VLOOKUP(B3039,'PO with created By ASR'!A:I,6,FALSE)</f>
        <v>12920  Qutab Entertainment Pvt Ltd</v>
      </c>
      <c r="L3039" s="2" t="str">
        <f>VLOOKUP(B3039,'PO with created By ASR'!A:J,7,FALSE)</f>
        <v>D - Delhi</v>
      </c>
      <c r="M3039" s="2" t="str">
        <f>VLOOKUP(B3039,'PO with created By ASR'!A:K,8,FALSE)</f>
        <v>Purchase Order-Del</v>
      </c>
      <c r="N3039" t="s">
        <v>36</v>
      </c>
      <c r="P3039" s="2">
        <v>6</v>
      </c>
    </row>
    <row r="3040" s="2" customFormat="1" spans="1:16">
      <c r="A3040" s="8"/>
      <c r="B3040" s="9" t="s">
        <v>4275</v>
      </c>
      <c r="C3040" s="10" t="s">
        <v>676</v>
      </c>
      <c r="D3040" s="11">
        <v>1</v>
      </c>
      <c r="E3040" s="12">
        <v>7143.62</v>
      </c>
      <c r="F3040" s="13">
        <v>7143.62</v>
      </c>
      <c r="G3040" s="2">
        <f>VLOOKUP(B3040,'PO with created By ASR'!A:C,3,FALSE)</f>
        <v>45715</v>
      </c>
      <c r="J3040" s="2" t="str">
        <f>VLOOKUP(B3040,'PO with created By ASR'!A:G,4,FALSE)</f>
        <v>Qutab Entertainment Pvt Ltd-Del</v>
      </c>
      <c r="K3040" s="2" t="str">
        <f>VLOOKUP(B3040,'PO with created By ASR'!A:I,6,FALSE)</f>
        <v>12920  Qutab Entertainment Pvt Ltd</v>
      </c>
      <c r="L3040" s="2" t="str">
        <f>VLOOKUP(B3040,'PO with created By ASR'!A:J,7,FALSE)</f>
        <v>D - Delhi</v>
      </c>
      <c r="M3040" s="2" t="str">
        <f>VLOOKUP(B3040,'PO with created By ASR'!A:K,8,FALSE)</f>
        <v>Purchase Order-Del</v>
      </c>
      <c r="N3040" t="s">
        <v>36</v>
      </c>
      <c r="P3040" s="2">
        <v>6</v>
      </c>
    </row>
    <row r="3041" s="2" customFormat="1" spans="1:16">
      <c r="A3041" s="8"/>
      <c r="B3041" s="9" t="s">
        <v>4275</v>
      </c>
      <c r="C3041" s="10" t="s">
        <v>4365</v>
      </c>
      <c r="D3041" s="11">
        <v>1</v>
      </c>
      <c r="E3041" s="12">
        <v>7143.62</v>
      </c>
      <c r="F3041" s="13">
        <v>7143.62</v>
      </c>
      <c r="G3041" s="2">
        <f>VLOOKUP(B3041,'PO with created By ASR'!A:C,3,FALSE)</f>
        <v>45715</v>
      </c>
      <c r="J3041" s="2" t="str">
        <f>VLOOKUP(B3041,'PO with created By ASR'!A:G,4,FALSE)</f>
        <v>Qutab Entertainment Pvt Ltd-Del</v>
      </c>
      <c r="K3041" s="2" t="str">
        <f>VLOOKUP(B3041,'PO with created By ASR'!A:I,6,FALSE)</f>
        <v>12920  Qutab Entertainment Pvt Ltd</v>
      </c>
      <c r="L3041" s="2" t="str">
        <f>VLOOKUP(B3041,'PO with created By ASR'!A:J,7,FALSE)</f>
        <v>D - Delhi</v>
      </c>
      <c r="M3041" s="2" t="str">
        <f>VLOOKUP(B3041,'PO with created By ASR'!A:K,8,FALSE)</f>
        <v>Purchase Order-Del</v>
      </c>
      <c r="N3041" t="s">
        <v>36</v>
      </c>
      <c r="P3041" s="2">
        <v>6</v>
      </c>
    </row>
    <row r="3042" s="2" customFormat="1" spans="1:16">
      <c r="A3042" s="8"/>
      <c r="B3042" s="9" t="s">
        <v>4279</v>
      </c>
      <c r="C3042" s="10" t="s">
        <v>140</v>
      </c>
      <c r="D3042" s="11">
        <v>1</v>
      </c>
      <c r="E3042" s="12">
        <v>1070400</v>
      </c>
      <c r="F3042" s="13">
        <v>1070400</v>
      </c>
      <c r="G3042" s="2">
        <f>VLOOKUP(B3042,'PO with created By ASR'!A:C,3,FALSE)</f>
        <v>45715</v>
      </c>
      <c r="J3042" s="2" t="str">
        <f>VLOOKUP(B3042,'PO with created By ASR'!A:G,4,FALSE)</f>
        <v>Manchanda Bag Industries-Del</v>
      </c>
      <c r="K3042" s="2" t="str">
        <f>VLOOKUP(B3042,'PO with created By ASR'!A:I,6,FALSE)</f>
        <v>11306 Manchanda Bag Industries</v>
      </c>
      <c r="L3042" s="2" t="str">
        <f>VLOOKUP(B3042,'PO with created By ASR'!A:J,7,FALSE)</f>
        <v>D - Delhi</v>
      </c>
      <c r="M3042" s="2" t="str">
        <f>VLOOKUP(B3042,'PO with created By ASR'!A:K,8,FALSE)</f>
        <v>Purchase Order-Del</v>
      </c>
      <c r="N3042" t="s">
        <v>36</v>
      </c>
      <c r="P3042" s="2">
        <v>6</v>
      </c>
    </row>
    <row r="3043" s="2" customFormat="1" spans="1:16">
      <c r="A3043" s="8"/>
      <c r="B3043" s="9" t="s">
        <v>4283</v>
      </c>
      <c r="C3043" s="10" t="s">
        <v>347</v>
      </c>
      <c r="D3043" s="11">
        <v>1</v>
      </c>
      <c r="E3043" s="12">
        <v>275000</v>
      </c>
      <c r="F3043" s="13">
        <v>275000</v>
      </c>
      <c r="G3043" s="2">
        <f>VLOOKUP(B3043,'PO with created By ASR'!A:C,3,FALSE)</f>
        <v>45715</v>
      </c>
      <c r="J3043" s="2" t="str">
        <f>VLOOKUP(B3043,'PO with created By ASR'!A:G,4,FALSE)</f>
        <v>Success Tea Consultants-Del</v>
      </c>
      <c r="K3043" s="2" t="str">
        <f>VLOOKUP(B3043,'PO with created By ASR'!A:I,6,FALSE)</f>
        <v>12470 Success Tea Consultants</v>
      </c>
      <c r="L3043" s="2" t="str">
        <f>VLOOKUP(B3043,'PO with created By ASR'!A:J,7,FALSE)</f>
        <v>D - Delhi</v>
      </c>
      <c r="M3043" s="2" t="str">
        <f>VLOOKUP(B3043,'PO with created By ASR'!A:K,8,FALSE)</f>
        <v>Purchase Order-Del</v>
      </c>
      <c r="N3043" t="s">
        <v>36</v>
      </c>
      <c r="P3043" s="2">
        <v>6</v>
      </c>
    </row>
    <row r="3044" s="2" customFormat="1" spans="1:16">
      <c r="A3044" s="8"/>
      <c r="B3044" s="9" t="s">
        <v>4286</v>
      </c>
      <c r="C3044" s="10" t="s">
        <v>126</v>
      </c>
      <c r="D3044" s="11">
        <v>1</v>
      </c>
      <c r="E3044" s="12">
        <v>300</v>
      </c>
      <c r="F3044" s="13">
        <v>300</v>
      </c>
      <c r="G3044" s="2">
        <f>VLOOKUP(B3044,'PO with created By ASR'!A:C,3,FALSE)</f>
        <v>45715</v>
      </c>
      <c r="J3044" s="2" t="str">
        <f>VLOOKUP(B3044,'PO with created By ASR'!A:G,4,FALSE)</f>
        <v>Sarfaraz Memon -CR</v>
      </c>
      <c r="K3044" s="2" t="e">
        <f>VLOOKUP(B3044,'PO with created By ASR'!A:I,6,FALSE)</f>
        <v>#N/A</v>
      </c>
      <c r="L3044" s="2" t="str">
        <f>VLOOKUP(B3044,'PO with created By ASR'!A:J,7,FALSE)</f>
        <v>A - Mumbai</v>
      </c>
      <c r="M3044" s="2" t="str">
        <f>VLOOKUP(B3044,'PO with created By ASR'!A:K,8,FALSE)</f>
        <v>Purchase Order-Mum</v>
      </c>
      <c r="N3044" t="s">
        <v>36</v>
      </c>
      <c r="P3044" s="2">
        <v>6</v>
      </c>
    </row>
    <row r="3045" s="2" customFormat="1" spans="1:16">
      <c r="A3045" s="8"/>
      <c r="B3045" s="9" t="s">
        <v>4287</v>
      </c>
      <c r="C3045" s="10" t="s">
        <v>205</v>
      </c>
      <c r="D3045" s="11">
        <v>1</v>
      </c>
      <c r="E3045" s="12">
        <v>116994</v>
      </c>
      <c r="F3045" s="13">
        <v>116994</v>
      </c>
      <c r="G3045" s="2">
        <f>VLOOKUP(B3045,'PO with created By ASR'!A:C,3,FALSE)</f>
        <v>45715</v>
      </c>
      <c r="J3045" s="2" t="str">
        <f>VLOOKUP(B3045,'PO with created By ASR'!A:G,4,FALSE)</f>
        <v>Shivam Logistics-Mum</v>
      </c>
      <c r="K3045" s="2" t="str">
        <f>VLOOKUP(B3045,'PO with created By ASR'!A:I,6,FALSE)</f>
        <v>12391 Shivam Logistics</v>
      </c>
      <c r="L3045" s="2" t="str">
        <f>VLOOKUP(B3045,'PO with created By ASR'!A:J,7,FALSE)</f>
        <v>A - Mumbai</v>
      </c>
      <c r="M3045" s="2" t="str">
        <f>VLOOKUP(B3045,'PO with created By ASR'!A:K,8,FALSE)</f>
        <v>Purchase Order-Mum</v>
      </c>
      <c r="N3045" t="s">
        <v>36</v>
      </c>
      <c r="P3045" s="2">
        <v>6</v>
      </c>
    </row>
    <row r="3046" s="2" customFormat="1" spans="1:16">
      <c r="A3046" s="8"/>
      <c r="B3046" s="9" t="s">
        <v>4290</v>
      </c>
      <c r="C3046" s="10" t="s">
        <v>126</v>
      </c>
      <c r="D3046" s="11">
        <v>1</v>
      </c>
      <c r="E3046" s="12">
        <v>3639</v>
      </c>
      <c r="F3046" s="13">
        <v>3639</v>
      </c>
      <c r="G3046" s="2">
        <f>VLOOKUP(B3046,'PO with created By ASR'!A:C,3,FALSE)</f>
        <v>45715</v>
      </c>
      <c r="J3046" s="2" t="str">
        <f>VLOOKUP(B3046,'PO with created By ASR'!A:G,4,FALSE)</f>
        <v>Gulfaam Shaikh  -CR</v>
      </c>
      <c r="K3046" s="2" t="e">
        <f>VLOOKUP(B3046,'PO with created By ASR'!A:I,6,FALSE)</f>
        <v>#N/A</v>
      </c>
      <c r="L3046" s="2" t="str">
        <f>VLOOKUP(B3046,'PO with created By ASR'!A:J,7,FALSE)</f>
        <v>A - Mumbai</v>
      </c>
      <c r="M3046" s="2" t="str">
        <f>VLOOKUP(B3046,'PO with created By ASR'!A:K,8,FALSE)</f>
        <v>Purchase Order-Mum</v>
      </c>
      <c r="N3046" t="s">
        <v>36</v>
      </c>
      <c r="P3046" s="2">
        <v>6</v>
      </c>
    </row>
    <row r="3047" s="2" customFormat="1" spans="1:16">
      <c r="A3047" s="8"/>
      <c r="B3047" s="9" t="s">
        <v>4290</v>
      </c>
      <c r="C3047" s="10" t="s">
        <v>412</v>
      </c>
      <c r="D3047" s="11">
        <v>1</v>
      </c>
      <c r="E3047" s="12">
        <v>2894</v>
      </c>
      <c r="F3047" s="13">
        <v>2894</v>
      </c>
      <c r="G3047" s="2">
        <f>VLOOKUP(B3047,'PO with created By ASR'!A:C,3,FALSE)</f>
        <v>45715</v>
      </c>
      <c r="J3047" s="2" t="str">
        <f>VLOOKUP(B3047,'PO with created By ASR'!A:G,4,FALSE)</f>
        <v>Gulfaam Shaikh  -CR</v>
      </c>
      <c r="K3047" s="2" t="e">
        <f>VLOOKUP(B3047,'PO with created By ASR'!A:I,6,FALSE)</f>
        <v>#N/A</v>
      </c>
      <c r="L3047" s="2" t="str">
        <f>VLOOKUP(B3047,'PO with created By ASR'!A:J,7,FALSE)</f>
        <v>A - Mumbai</v>
      </c>
      <c r="M3047" s="2" t="str">
        <f>VLOOKUP(B3047,'PO with created By ASR'!A:K,8,FALSE)</f>
        <v>Purchase Order-Mum</v>
      </c>
      <c r="N3047" t="s">
        <v>36</v>
      </c>
      <c r="P3047" s="2">
        <v>6</v>
      </c>
    </row>
    <row r="3048" s="2" customFormat="1" spans="1:16">
      <c r="A3048" s="8"/>
      <c r="B3048" s="9" t="s">
        <v>4291</v>
      </c>
      <c r="C3048" s="10" t="s">
        <v>126</v>
      </c>
      <c r="D3048" s="11">
        <v>1</v>
      </c>
      <c r="E3048" s="12">
        <v>6930</v>
      </c>
      <c r="F3048" s="13">
        <v>6930</v>
      </c>
      <c r="G3048" s="2">
        <f>VLOOKUP(B3048,'PO with created By ASR'!A:C,3,FALSE)</f>
        <v>45715</v>
      </c>
      <c r="J3048" s="2" t="str">
        <f>VLOOKUP(B3048,'PO with created By ASR'!A:G,4,FALSE)</f>
        <v>Justin Francis Vadakkan  -CR</v>
      </c>
      <c r="K3048" s="2" t="e">
        <f>VLOOKUP(B3048,'PO with created By ASR'!A:I,6,FALSE)</f>
        <v>#N/A</v>
      </c>
      <c r="L3048" s="2" t="str">
        <f>VLOOKUP(B3048,'PO with created By ASR'!A:J,7,FALSE)</f>
        <v>A - Mumbai</v>
      </c>
      <c r="M3048" s="2" t="str">
        <f>VLOOKUP(B3048,'PO with created By ASR'!A:K,8,FALSE)</f>
        <v>Purchase Order-Mum</v>
      </c>
      <c r="N3048" t="s">
        <v>36</v>
      </c>
      <c r="P3048" s="2">
        <v>6</v>
      </c>
    </row>
    <row r="3049" s="2" customFormat="1" spans="1:16">
      <c r="A3049" s="8"/>
      <c r="B3049" s="9" t="s">
        <v>4292</v>
      </c>
      <c r="C3049" s="10" t="s">
        <v>126</v>
      </c>
      <c r="D3049" s="11">
        <v>1</v>
      </c>
      <c r="E3049" s="12">
        <v>1188</v>
      </c>
      <c r="F3049" s="13">
        <v>1188</v>
      </c>
      <c r="G3049" s="2">
        <f>VLOOKUP(B3049,'PO with created By ASR'!A:C,3,FALSE)</f>
        <v>45715</v>
      </c>
      <c r="J3049" s="2" t="str">
        <f>VLOOKUP(B3049,'PO with created By ASR'!A:G,4,FALSE)</f>
        <v>Sikandar Shaikh Adv. -CR</v>
      </c>
      <c r="K3049" s="2" t="e">
        <f>VLOOKUP(B3049,'PO with created By ASR'!A:I,6,FALSE)</f>
        <v>#N/A</v>
      </c>
      <c r="L3049" s="2" t="str">
        <f>VLOOKUP(B3049,'PO with created By ASR'!A:J,7,FALSE)</f>
        <v>A - Mumbai</v>
      </c>
      <c r="M3049" s="2" t="str">
        <f>VLOOKUP(B3049,'PO with created By ASR'!A:K,8,FALSE)</f>
        <v>Purchase Order-Mum</v>
      </c>
      <c r="N3049" t="s">
        <v>36</v>
      </c>
      <c r="P3049" s="2">
        <v>6</v>
      </c>
    </row>
    <row r="3050" s="2" customFormat="1" spans="1:16">
      <c r="A3050" s="8"/>
      <c r="B3050" s="9" t="s">
        <v>4292</v>
      </c>
      <c r="C3050" s="10" t="s">
        <v>412</v>
      </c>
      <c r="D3050" s="11">
        <v>1</v>
      </c>
      <c r="E3050" s="12">
        <v>658</v>
      </c>
      <c r="F3050" s="13">
        <v>658</v>
      </c>
      <c r="G3050" s="2">
        <f>VLOOKUP(B3050,'PO with created By ASR'!A:C,3,FALSE)</f>
        <v>45715</v>
      </c>
      <c r="J3050" s="2" t="str">
        <f>VLOOKUP(B3050,'PO with created By ASR'!A:G,4,FALSE)</f>
        <v>Sikandar Shaikh Adv. -CR</v>
      </c>
      <c r="K3050" s="2" t="e">
        <f>VLOOKUP(B3050,'PO with created By ASR'!A:I,6,FALSE)</f>
        <v>#N/A</v>
      </c>
      <c r="L3050" s="2" t="str">
        <f>VLOOKUP(B3050,'PO with created By ASR'!A:J,7,FALSE)</f>
        <v>A - Mumbai</v>
      </c>
      <c r="M3050" s="2" t="str">
        <f>VLOOKUP(B3050,'PO with created By ASR'!A:K,8,FALSE)</f>
        <v>Purchase Order-Mum</v>
      </c>
      <c r="N3050" t="s">
        <v>36</v>
      </c>
      <c r="P3050" s="2">
        <v>6</v>
      </c>
    </row>
    <row r="3051" s="2" customFormat="1" spans="1:16">
      <c r="A3051" s="8"/>
      <c r="B3051" s="9" t="s">
        <v>4294</v>
      </c>
      <c r="C3051" s="10" t="s">
        <v>1055</v>
      </c>
      <c r="D3051" s="11">
        <v>1</v>
      </c>
      <c r="E3051" s="12">
        <v>355</v>
      </c>
      <c r="F3051" s="13">
        <v>355</v>
      </c>
      <c r="G3051" s="2">
        <f>VLOOKUP(B3051,'PO with created By ASR'!A:C,3,FALSE)</f>
        <v>45715</v>
      </c>
      <c r="J3051" s="2" t="str">
        <f>VLOOKUP(B3051,'PO with created By ASR'!A:G,4,FALSE)</f>
        <v>Santosh Singh -CR</v>
      </c>
      <c r="K3051" s="2" t="e">
        <f>VLOOKUP(B3051,'PO with created By ASR'!A:I,6,FALSE)</f>
        <v>#N/A</v>
      </c>
      <c r="L3051" s="2" t="str">
        <f>VLOOKUP(B3051,'PO with created By ASR'!A:J,7,FALSE)</f>
        <v>A - Mumbai</v>
      </c>
      <c r="M3051" s="2" t="str">
        <f>VLOOKUP(B3051,'PO with created By ASR'!A:K,8,FALSE)</f>
        <v>Purchase Order-Mum</v>
      </c>
      <c r="N3051" t="s">
        <v>36</v>
      </c>
      <c r="P3051" s="2">
        <v>6</v>
      </c>
    </row>
    <row r="3052" s="2" customFormat="1" spans="1:16">
      <c r="A3052" s="8"/>
      <c r="B3052" s="9" t="s">
        <v>4295</v>
      </c>
      <c r="C3052" s="10" t="s">
        <v>317</v>
      </c>
      <c r="D3052" s="11">
        <v>1</v>
      </c>
      <c r="E3052" s="12">
        <v>12917.3</v>
      </c>
      <c r="F3052" s="13">
        <v>12917.3</v>
      </c>
      <c r="G3052" s="2">
        <f>VLOOKUP(B3052,'PO with created By ASR'!A:C,3,FALSE)</f>
        <v>45715</v>
      </c>
      <c r="J3052" s="2" t="str">
        <f>VLOOKUP(B3052,'PO with created By ASR'!A:G,4,FALSE)</f>
        <v>Harsh Mudliyar  -CR</v>
      </c>
      <c r="K3052" s="2" t="e">
        <f>VLOOKUP(B3052,'PO with created By ASR'!A:I,6,FALSE)</f>
        <v>#N/A</v>
      </c>
      <c r="L3052" s="2" t="str">
        <f>VLOOKUP(B3052,'PO with created By ASR'!A:J,7,FALSE)</f>
        <v>A - Mumbai</v>
      </c>
      <c r="M3052" s="2" t="str">
        <f>VLOOKUP(B3052,'PO with created By ASR'!A:K,8,FALSE)</f>
        <v>Purchase Order-Mum</v>
      </c>
      <c r="N3052" t="s">
        <v>36</v>
      </c>
      <c r="P3052" s="2">
        <v>6</v>
      </c>
    </row>
    <row r="3053" s="2" customFormat="1" spans="1:16">
      <c r="A3053" s="8"/>
      <c r="B3053" s="9" t="s">
        <v>4295</v>
      </c>
      <c r="C3053" s="10" t="s">
        <v>126</v>
      </c>
      <c r="D3053" s="11">
        <v>1</v>
      </c>
      <c r="E3053" s="12">
        <v>5326.21</v>
      </c>
      <c r="F3053" s="13">
        <v>5326.21</v>
      </c>
      <c r="G3053" s="2">
        <f>VLOOKUP(B3053,'PO with created By ASR'!A:C,3,FALSE)</f>
        <v>45715</v>
      </c>
      <c r="J3053" s="2" t="str">
        <f>VLOOKUP(B3053,'PO with created By ASR'!A:G,4,FALSE)</f>
        <v>Harsh Mudliyar  -CR</v>
      </c>
      <c r="K3053" s="2" t="e">
        <f>VLOOKUP(B3053,'PO with created By ASR'!A:I,6,FALSE)</f>
        <v>#N/A</v>
      </c>
      <c r="L3053" s="2" t="str">
        <f>VLOOKUP(B3053,'PO with created By ASR'!A:J,7,FALSE)</f>
        <v>A - Mumbai</v>
      </c>
      <c r="M3053" s="2" t="str">
        <f>VLOOKUP(B3053,'PO with created By ASR'!A:K,8,FALSE)</f>
        <v>Purchase Order-Mum</v>
      </c>
      <c r="N3053" t="s">
        <v>36</v>
      </c>
      <c r="P3053" s="2">
        <v>6</v>
      </c>
    </row>
    <row r="3054" s="2" customFormat="1" spans="1:16">
      <c r="A3054" s="8"/>
      <c r="B3054" s="9" t="s">
        <v>4295</v>
      </c>
      <c r="C3054" s="10" t="s">
        <v>412</v>
      </c>
      <c r="D3054" s="11">
        <v>1</v>
      </c>
      <c r="E3054" s="12">
        <v>21456</v>
      </c>
      <c r="F3054" s="13">
        <v>21456</v>
      </c>
      <c r="G3054" s="2">
        <f>VLOOKUP(B3054,'PO with created By ASR'!A:C,3,FALSE)</f>
        <v>45715</v>
      </c>
      <c r="J3054" s="2" t="str">
        <f>VLOOKUP(B3054,'PO with created By ASR'!A:G,4,FALSE)</f>
        <v>Harsh Mudliyar  -CR</v>
      </c>
      <c r="K3054" s="2" t="e">
        <f>VLOOKUP(B3054,'PO with created By ASR'!A:I,6,FALSE)</f>
        <v>#N/A</v>
      </c>
      <c r="L3054" s="2" t="str">
        <f>VLOOKUP(B3054,'PO with created By ASR'!A:J,7,FALSE)</f>
        <v>A - Mumbai</v>
      </c>
      <c r="M3054" s="2" t="str">
        <f>VLOOKUP(B3054,'PO with created By ASR'!A:K,8,FALSE)</f>
        <v>Purchase Order-Mum</v>
      </c>
      <c r="N3054" t="s">
        <v>36</v>
      </c>
      <c r="P3054" s="2">
        <v>6</v>
      </c>
    </row>
    <row r="3055" s="2" customFormat="1" spans="1:16">
      <c r="A3055" s="8"/>
      <c r="B3055" s="9" t="s">
        <v>4296</v>
      </c>
      <c r="C3055" s="10" t="s">
        <v>126</v>
      </c>
      <c r="D3055" s="11">
        <v>1</v>
      </c>
      <c r="E3055" s="12">
        <v>350</v>
      </c>
      <c r="F3055" s="13">
        <v>350</v>
      </c>
      <c r="G3055" s="2">
        <f>VLOOKUP(B3055,'PO with created By ASR'!A:C,3,FALSE)</f>
        <v>45715</v>
      </c>
      <c r="J3055" s="2" t="str">
        <f>VLOOKUP(B3055,'PO with created By ASR'!A:G,4,FALSE)</f>
        <v>Padmakar Jadhav -CR</v>
      </c>
      <c r="K3055" s="2" t="e">
        <f>VLOOKUP(B3055,'PO with created By ASR'!A:I,6,FALSE)</f>
        <v>#N/A</v>
      </c>
      <c r="L3055" s="2" t="str">
        <f>VLOOKUP(B3055,'PO with created By ASR'!A:J,7,FALSE)</f>
        <v>A - Mumbai</v>
      </c>
      <c r="M3055" s="2" t="str">
        <f>VLOOKUP(B3055,'PO with created By ASR'!A:K,8,FALSE)</f>
        <v>Purchase Order-Mum</v>
      </c>
      <c r="N3055" t="s">
        <v>36</v>
      </c>
      <c r="P3055" s="2">
        <v>6</v>
      </c>
    </row>
    <row r="3056" s="2" customFormat="1" spans="1:16">
      <c r="A3056" s="8"/>
      <c r="B3056" s="9" t="s">
        <v>4297</v>
      </c>
      <c r="C3056" s="10" t="s">
        <v>126</v>
      </c>
      <c r="D3056" s="11">
        <v>1</v>
      </c>
      <c r="E3056" s="12">
        <v>4389</v>
      </c>
      <c r="F3056" s="13">
        <v>4389</v>
      </c>
      <c r="G3056" s="2">
        <f>VLOOKUP(B3056,'PO with created By ASR'!A:C,3,FALSE)</f>
        <v>45715</v>
      </c>
      <c r="J3056" s="2" t="str">
        <f>VLOOKUP(B3056,'PO with created By ASR'!A:G,4,FALSE)</f>
        <v>Ashwin Mishra  -CR</v>
      </c>
      <c r="K3056" s="2" t="e">
        <f>VLOOKUP(B3056,'PO with created By ASR'!A:I,6,FALSE)</f>
        <v>#N/A</v>
      </c>
      <c r="L3056" s="2" t="str">
        <f>VLOOKUP(B3056,'PO with created By ASR'!A:J,7,FALSE)</f>
        <v>A - Mumbai</v>
      </c>
      <c r="M3056" s="2" t="str">
        <f>VLOOKUP(B3056,'PO with created By ASR'!A:K,8,FALSE)</f>
        <v>Purchase Order-Mum</v>
      </c>
      <c r="N3056" t="s">
        <v>36</v>
      </c>
      <c r="P3056" s="2">
        <v>6</v>
      </c>
    </row>
    <row r="3057" s="2" customFormat="1" spans="1:16">
      <c r="A3057" s="8"/>
      <c r="B3057" s="9" t="s">
        <v>4297</v>
      </c>
      <c r="C3057" s="10" t="s">
        <v>412</v>
      </c>
      <c r="D3057" s="11">
        <v>1</v>
      </c>
      <c r="E3057" s="12">
        <v>6578.32</v>
      </c>
      <c r="F3057" s="13">
        <v>6578.32</v>
      </c>
      <c r="G3057" s="2">
        <f>VLOOKUP(B3057,'PO with created By ASR'!A:C,3,FALSE)</f>
        <v>45715</v>
      </c>
      <c r="J3057" s="2" t="str">
        <f>VLOOKUP(B3057,'PO with created By ASR'!A:G,4,FALSE)</f>
        <v>Ashwin Mishra  -CR</v>
      </c>
      <c r="K3057" s="2" t="e">
        <f>VLOOKUP(B3057,'PO with created By ASR'!A:I,6,FALSE)</f>
        <v>#N/A</v>
      </c>
      <c r="L3057" s="2" t="str">
        <f>VLOOKUP(B3057,'PO with created By ASR'!A:J,7,FALSE)</f>
        <v>A - Mumbai</v>
      </c>
      <c r="M3057" s="2" t="str">
        <f>VLOOKUP(B3057,'PO with created By ASR'!A:K,8,FALSE)</f>
        <v>Purchase Order-Mum</v>
      </c>
      <c r="N3057" t="s">
        <v>36</v>
      </c>
      <c r="P3057" s="2">
        <v>6</v>
      </c>
    </row>
    <row r="3058" s="2" customFormat="1" spans="1:16">
      <c r="A3058" s="8"/>
      <c r="B3058" s="9" t="s">
        <v>4298</v>
      </c>
      <c r="C3058" s="10" t="s">
        <v>126</v>
      </c>
      <c r="D3058" s="11">
        <v>1</v>
      </c>
      <c r="E3058" s="12">
        <v>2320</v>
      </c>
      <c r="F3058" s="13">
        <v>2320</v>
      </c>
      <c r="G3058" s="2">
        <f>VLOOKUP(B3058,'PO with created By ASR'!A:C,3,FALSE)</f>
        <v>45715</v>
      </c>
      <c r="J3058" s="2" t="str">
        <f>VLOOKUP(B3058,'PO with created By ASR'!A:G,4,FALSE)</f>
        <v>Nitin Kamble  -CR</v>
      </c>
      <c r="K3058" s="2" t="e">
        <f>VLOOKUP(B3058,'PO with created By ASR'!A:I,6,FALSE)</f>
        <v>#N/A</v>
      </c>
      <c r="L3058" s="2" t="str">
        <f>VLOOKUP(B3058,'PO with created By ASR'!A:J,7,FALSE)</f>
        <v>A - Mumbai</v>
      </c>
      <c r="M3058" s="2" t="str">
        <f>VLOOKUP(B3058,'PO with created By ASR'!A:K,8,FALSE)</f>
        <v>Purchase Order-Mum</v>
      </c>
      <c r="N3058" t="s">
        <v>36</v>
      </c>
      <c r="P3058" s="2">
        <v>6</v>
      </c>
    </row>
    <row r="3059" s="2" customFormat="1" spans="1:16">
      <c r="A3059" s="8"/>
      <c r="B3059" s="9" t="s">
        <v>4298</v>
      </c>
      <c r="C3059" s="10" t="s">
        <v>412</v>
      </c>
      <c r="D3059" s="11">
        <v>1</v>
      </c>
      <c r="E3059" s="12">
        <v>4150</v>
      </c>
      <c r="F3059" s="13">
        <v>4150</v>
      </c>
      <c r="G3059" s="2">
        <f>VLOOKUP(B3059,'PO with created By ASR'!A:C,3,FALSE)</f>
        <v>45715</v>
      </c>
      <c r="J3059" s="2" t="str">
        <f>VLOOKUP(B3059,'PO with created By ASR'!A:G,4,FALSE)</f>
        <v>Nitin Kamble  -CR</v>
      </c>
      <c r="K3059" s="2" t="e">
        <f>VLOOKUP(B3059,'PO with created By ASR'!A:I,6,FALSE)</f>
        <v>#N/A</v>
      </c>
      <c r="L3059" s="2" t="str">
        <f>VLOOKUP(B3059,'PO with created By ASR'!A:J,7,FALSE)</f>
        <v>A - Mumbai</v>
      </c>
      <c r="M3059" s="2" t="str">
        <f>VLOOKUP(B3059,'PO with created By ASR'!A:K,8,FALSE)</f>
        <v>Purchase Order-Mum</v>
      </c>
      <c r="N3059" t="s">
        <v>36</v>
      </c>
      <c r="P3059" s="2">
        <v>6</v>
      </c>
    </row>
    <row r="3060" s="2" customFormat="1" spans="1:16">
      <c r="A3060" s="8"/>
      <c r="B3060" s="9" t="s">
        <v>4299</v>
      </c>
      <c r="C3060" s="10" t="s">
        <v>126</v>
      </c>
      <c r="D3060" s="11">
        <v>1</v>
      </c>
      <c r="E3060" s="12">
        <v>1399</v>
      </c>
      <c r="F3060" s="13">
        <v>1399</v>
      </c>
      <c r="G3060" s="2">
        <f>VLOOKUP(B3060,'PO with created By ASR'!A:C,3,FALSE)</f>
        <v>45715</v>
      </c>
      <c r="J3060" s="2" t="str">
        <f>VLOOKUP(B3060,'PO with created By ASR'!A:G,4,FALSE)</f>
        <v>Ghanshyam Asolkar -CR</v>
      </c>
      <c r="K3060" s="2" t="e">
        <f>VLOOKUP(B3060,'PO with created By ASR'!A:I,6,FALSE)</f>
        <v>#N/A</v>
      </c>
      <c r="L3060" s="2" t="str">
        <f>VLOOKUP(B3060,'PO with created By ASR'!A:J,7,FALSE)</f>
        <v>A - Mumbai</v>
      </c>
      <c r="M3060" s="2" t="str">
        <f>VLOOKUP(B3060,'PO with created By ASR'!A:K,8,FALSE)</f>
        <v>Purchase Order-Mum</v>
      </c>
      <c r="N3060" t="s">
        <v>36</v>
      </c>
      <c r="P3060" s="2">
        <v>6</v>
      </c>
    </row>
    <row r="3061" s="2" customFormat="1" spans="1:16">
      <c r="A3061" s="8"/>
      <c r="B3061" s="9" t="s">
        <v>4300</v>
      </c>
      <c r="C3061" s="10" t="s">
        <v>1055</v>
      </c>
      <c r="D3061" s="11">
        <v>1</v>
      </c>
      <c r="E3061" s="12">
        <v>1000</v>
      </c>
      <c r="F3061" s="13">
        <v>1000</v>
      </c>
      <c r="G3061" s="2">
        <f>VLOOKUP(B3061,'PO with created By ASR'!A:C,3,FALSE)</f>
        <v>45715</v>
      </c>
      <c r="J3061" s="2" t="str">
        <f>VLOOKUP(B3061,'PO with created By ASR'!A:G,4,FALSE)</f>
        <v>Padmakar Jadhav -CR</v>
      </c>
      <c r="K3061" s="2" t="e">
        <f>VLOOKUP(B3061,'PO with created By ASR'!A:I,6,FALSE)</f>
        <v>#N/A</v>
      </c>
      <c r="L3061" s="2" t="str">
        <f>VLOOKUP(B3061,'PO with created By ASR'!A:J,7,FALSE)</f>
        <v>A - Mumbai</v>
      </c>
      <c r="M3061" s="2" t="str">
        <f>VLOOKUP(B3061,'PO with created By ASR'!A:K,8,FALSE)</f>
        <v>Purchase Order-Mum</v>
      </c>
      <c r="N3061" t="s">
        <v>36</v>
      </c>
      <c r="P3061" s="2">
        <v>6</v>
      </c>
    </row>
    <row r="3062" s="2" customFormat="1" spans="1:16">
      <c r="A3062" s="8"/>
      <c r="B3062" s="9" t="s">
        <v>4301</v>
      </c>
      <c r="C3062" s="10" t="s">
        <v>317</v>
      </c>
      <c r="D3062" s="11">
        <v>1</v>
      </c>
      <c r="E3062" s="12">
        <v>90</v>
      </c>
      <c r="F3062" s="13">
        <v>90</v>
      </c>
      <c r="G3062" s="2">
        <f>VLOOKUP(B3062,'PO with created By ASR'!A:C,3,FALSE)</f>
        <v>45715</v>
      </c>
      <c r="J3062" s="2" t="str">
        <f>VLOOKUP(B3062,'PO with created By ASR'!A:G,4,FALSE)</f>
        <v>Mangesh Waghmare -CR</v>
      </c>
      <c r="K3062" s="2" t="e">
        <f>VLOOKUP(B3062,'PO with created By ASR'!A:I,6,FALSE)</f>
        <v>#N/A</v>
      </c>
      <c r="L3062" s="2" t="str">
        <f>VLOOKUP(B3062,'PO with created By ASR'!A:J,7,FALSE)</f>
        <v>A - Mumbai</v>
      </c>
      <c r="M3062" s="2" t="str">
        <f>VLOOKUP(B3062,'PO with created By ASR'!A:K,8,FALSE)</f>
        <v>Purchase Order-Mum</v>
      </c>
      <c r="N3062" t="s">
        <v>36</v>
      </c>
      <c r="P3062" s="2">
        <v>6</v>
      </c>
    </row>
    <row r="3063" s="2" customFormat="1" spans="1:16">
      <c r="A3063" s="8"/>
      <c r="B3063" s="9" t="s">
        <v>4301</v>
      </c>
      <c r="C3063" s="10" t="s">
        <v>61</v>
      </c>
      <c r="D3063" s="11">
        <v>1</v>
      </c>
      <c r="E3063" s="12">
        <v>6608</v>
      </c>
      <c r="F3063" s="13">
        <v>6608</v>
      </c>
      <c r="G3063" s="2">
        <f>VLOOKUP(B3063,'PO with created By ASR'!A:C,3,FALSE)</f>
        <v>45715</v>
      </c>
      <c r="J3063" s="2" t="str">
        <f>VLOOKUP(B3063,'PO with created By ASR'!A:G,4,FALSE)</f>
        <v>Mangesh Waghmare -CR</v>
      </c>
      <c r="K3063" s="2" t="e">
        <f>VLOOKUP(B3063,'PO with created By ASR'!A:I,6,FALSE)</f>
        <v>#N/A</v>
      </c>
      <c r="L3063" s="2" t="str">
        <f>VLOOKUP(B3063,'PO with created By ASR'!A:J,7,FALSE)</f>
        <v>A - Mumbai</v>
      </c>
      <c r="M3063" s="2" t="str">
        <f>VLOOKUP(B3063,'PO with created By ASR'!A:K,8,FALSE)</f>
        <v>Purchase Order-Mum</v>
      </c>
      <c r="N3063" t="s">
        <v>36</v>
      </c>
      <c r="P3063" s="2">
        <v>6</v>
      </c>
    </row>
    <row r="3064" s="2" customFormat="1" spans="1:16">
      <c r="A3064" s="8"/>
      <c r="B3064" s="9" t="s">
        <v>4301</v>
      </c>
      <c r="C3064" s="10" t="s">
        <v>126</v>
      </c>
      <c r="D3064" s="11">
        <v>1</v>
      </c>
      <c r="E3064" s="12">
        <v>450</v>
      </c>
      <c r="F3064" s="13">
        <v>450</v>
      </c>
      <c r="G3064" s="2">
        <f>VLOOKUP(B3064,'PO with created By ASR'!A:C,3,FALSE)</f>
        <v>45715</v>
      </c>
      <c r="J3064" s="2" t="str">
        <f>VLOOKUP(B3064,'PO with created By ASR'!A:G,4,FALSE)</f>
        <v>Mangesh Waghmare -CR</v>
      </c>
      <c r="K3064" s="2" t="e">
        <f>VLOOKUP(B3064,'PO with created By ASR'!A:I,6,FALSE)</f>
        <v>#N/A</v>
      </c>
      <c r="L3064" s="2" t="str">
        <f>VLOOKUP(B3064,'PO with created By ASR'!A:J,7,FALSE)</f>
        <v>A - Mumbai</v>
      </c>
      <c r="M3064" s="2" t="str">
        <f>VLOOKUP(B3064,'PO with created By ASR'!A:K,8,FALSE)</f>
        <v>Purchase Order-Mum</v>
      </c>
      <c r="N3064" t="s">
        <v>36</v>
      </c>
      <c r="P3064" s="2">
        <v>6</v>
      </c>
    </row>
    <row r="3065" s="2" customFormat="1" spans="1:16">
      <c r="A3065" s="8"/>
      <c r="B3065" s="9" t="s">
        <v>4301</v>
      </c>
      <c r="C3065" s="10" t="s">
        <v>412</v>
      </c>
      <c r="D3065" s="11">
        <v>1</v>
      </c>
      <c r="E3065" s="12">
        <v>7665</v>
      </c>
      <c r="F3065" s="13">
        <v>7665</v>
      </c>
      <c r="G3065" s="2">
        <f>VLOOKUP(B3065,'PO with created By ASR'!A:C,3,FALSE)</f>
        <v>45715</v>
      </c>
      <c r="J3065" s="2" t="str">
        <f>VLOOKUP(B3065,'PO with created By ASR'!A:G,4,FALSE)</f>
        <v>Mangesh Waghmare -CR</v>
      </c>
      <c r="K3065" s="2" t="e">
        <f>VLOOKUP(B3065,'PO with created By ASR'!A:I,6,FALSE)</f>
        <v>#N/A</v>
      </c>
      <c r="L3065" s="2" t="str">
        <f>VLOOKUP(B3065,'PO with created By ASR'!A:J,7,FALSE)</f>
        <v>A - Mumbai</v>
      </c>
      <c r="M3065" s="2" t="str">
        <f>VLOOKUP(B3065,'PO with created By ASR'!A:K,8,FALSE)</f>
        <v>Purchase Order-Mum</v>
      </c>
      <c r="N3065" t="s">
        <v>36</v>
      </c>
      <c r="P3065" s="2">
        <v>6</v>
      </c>
    </row>
    <row r="3066" s="2" customFormat="1" spans="1:16">
      <c r="A3066" s="8"/>
      <c r="B3066" s="9" t="s">
        <v>4301</v>
      </c>
      <c r="C3066" s="10" t="s">
        <v>2535</v>
      </c>
      <c r="D3066" s="11">
        <v>1</v>
      </c>
      <c r="E3066" s="12">
        <v>25800</v>
      </c>
      <c r="F3066" s="13">
        <v>25800</v>
      </c>
      <c r="G3066" s="2">
        <f>VLOOKUP(B3066,'PO with created By ASR'!A:C,3,FALSE)</f>
        <v>45715</v>
      </c>
      <c r="J3066" s="2" t="str">
        <f>VLOOKUP(B3066,'PO with created By ASR'!A:G,4,FALSE)</f>
        <v>Mangesh Waghmare -CR</v>
      </c>
      <c r="K3066" s="2" t="e">
        <f>VLOOKUP(B3066,'PO with created By ASR'!A:I,6,FALSE)</f>
        <v>#N/A</v>
      </c>
      <c r="L3066" s="2" t="str">
        <f>VLOOKUP(B3066,'PO with created By ASR'!A:J,7,FALSE)</f>
        <v>A - Mumbai</v>
      </c>
      <c r="M3066" s="2" t="str">
        <f>VLOOKUP(B3066,'PO with created By ASR'!A:K,8,FALSE)</f>
        <v>Purchase Order-Mum</v>
      </c>
      <c r="N3066" t="s">
        <v>36</v>
      </c>
      <c r="P3066" s="2">
        <v>6</v>
      </c>
    </row>
    <row r="3067" s="2" customFormat="1" spans="1:16">
      <c r="A3067" s="8"/>
      <c r="B3067" s="9" t="s">
        <v>4302</v>
      </c>
      <c r="C3067" s="10" t="s">
        <v>126</v>
      </c>
      <c r="D3067" s="11">
        <v>1</v>
      </c>
      <c r="E3067" s="12">
        <v>6181</v>
      </c>
      <c r="F3067" s="13">
        <v>6181</v>
      </c>
      <c r="G3067" s="2">
        <f>VLOOKUP(B3067,'PO with created By ASR'!A:C,3,FALSE)</f>
        <v>45715</v>
      </c>
      <c r="J3067" s="2" t="str">
        <f>VLOOKUP(B3067,'PO with created By ASR'!A:G,4,FALSE)</f>
        <v>Mohammad Danish  -CR</v>
      </c>
      <c r="K3067" s="2" t="str">
        <f>VLOOKUP(B3067,'PO with created By ASR'!A:I,6,FALSE)</f>
        <v>10757 Mohammad Danish</v>
      </c>
      <c r="L3067" s="2" t="str">
        <f>VLOOKUP(B3067,'PO with created By ASR'!A:J,7,FALSE)</f>
        <v>A - Mumbai</v>
      </c>
      <c r="M3067" s="2" t="str">
        <f>VLOOKUP(B3067,'PO with created By ASR'!A:K,8,FALSE)</f>
        <v>Purchase Order-Mum</v>
      </c>
      <c r="N3067" t="s">
        <v>36</v>
      </c>
      <c r="P3067" s="2">
        <v>6</v>
      </c>
    </row>
    <row r="3068" s="2" customFormat="1" spans="1:16">
      <c r="A3068" s="8"/>
      <c r="B3068" s="9" t="s">
        <v>4302</v>
      </c>
      <c r="C3068" s="10" t="s">
        <v>412</v>
      </c>
      <c r="D3068" s="11">
        <v>1</v>
      </c>
      <c r="E3068" s="12">
        <v>6423.13</v>
      </c>
      <c r="F3068" s="13">
        <v>6423.13</v>
      </c>
      <c r="G3068" s="2">
        <f>VLOOKUP(B3068,'PO with created By ASR'!A:C,3,FALSE)</f>
        <v>45715</v>
      </c>
      <c r="J3068" s="2" t="str">
        <f>VLOOKUP(B3068,'PO with created By ASR'!A:G,4,FALSE)</f>
        <v>Mohammad Danish  -CR</v>
      </c>
      <c r="K3068" s="2" t="str">
        <f>VLOOKUP(B3068,'PO with created By ASR'!A:I,6,FALSE)</f>
        <v>10757 Mohammad Danish</v>
      </c>
      <c r="L3068" s="2" t="str">
        <f>VLOOKUP(B3068,'PO with created By ASR'!A:J,7,FALSE)</f>
        <v>A - Mumbai</v>
      </c>
      <c r="M3068" s="2" t="str">
        <f>VLOOKUP(B3068,'PO with created By ASR'!A:K,8,FALSE)</f>
        <v>Purchase Order-Mum</v>
      </c>
      <c r="N3068" t="s">
        <v>36</v>
      </c>
      <c r="P3068" s="2">
        <v>6</v>
      </c>
    </row>
    <row r="3069" s="2" customFormat="1" spans="1:16">
      <c r="A3069" s="8"/>
      <c r="B3069" s="9" t="s">
        <v>4303</v>
      </c>
      <c r="C3069" s="10" t="s">
        <v>126</v>
      </c>
      <c r="D3069" s="11">
        <v>1</v>
      </c>
      <c r="E3069" s="12">
        <v>2504</v>
      </c>
      <c r="F3069" s="13">
        <v>2504</v>
      </c>
      <c r="G3069" s="2">
        <f>VLOOKUP(B3069,'PO with created By ASR'!A:C,3,FALSE)</f>
        <v>45715</v>
      </c>
      <c r="J3069" s="2" t="str">
        <f>VLOOKUP(B3069,'PO with created By ASR'!A:G,4,FALSE)</f>
        <v>Ashwin Mishra  -CR</v>
      </c>
      <c r="K3069" s="2" t="e">
        <f>VLOOKUP(B3069,'PO with created By ASR'!A:I,6,FALSE)</f>
        <v>#N/A</v>
      </c>
      <c r="L3069" s="2" t="str">
        <f>VLOOKUP(B3069,'PO with created By ASR'!A:J,7,FALSE)</f>
        <v>A - Mumbai</v>
      </c>
      <c r="M3069" s="2" t="str">
        <f>VLOOKUP(B3069,'PO with created By ASR'!A:K,8,FALSE)</f>
        <v>Purchase Order-Mum</v>
      </c>
      <c r="N3069" t="s">
        <v>36</v>
      </c>
      <c r="P3069" s="2">
        <v>6</v>
      </c>
    </row>
    <row r="3070" s="2" customFormat="1" spans="1:16">
      <c r="A3070" s="8"/>
      <c r="B3070" s="9" t="s">
        <v>4303</v>
      </c>
      <c r="C3070" s="10" t="s">
        <v>412</v>
      </c>
      <c r="D3070" s="11">
        <v>1</v>
      </c>
      <c r="E3070" s="12">
        <v>7812</v>
      </c>
      <c r="F3070" s="13">
        <v>7812</v>
      </c>
      <c r="G3070" s="2">
        <f>VLOOKUP(B3070,'PO with created By ASR'!A:C,3,FALSE)</f>
        <v>45715</v>
      </c>
      <c r="J3070" s="2" t="str">
        <f>VLOOKUP(B3070,'PO with created By ASR'!A:G,4,FALSE)</f>
        <v>Ashwin Mishra  -CR</v>
      </c>
      <c r="K3070" s="2" t="e">
        <f>VLOOKUP(B3070,'PO with created By ASR'!A:I,6,FALSE)</f>
        <v>#N/A</v>
      </c>
      <c r="L3070" s="2" t="str">
        <f>VLOOKUP(B3070,'PO with created By ASR'!A:J,7,FALSE)</f>
        <v>A - Mumbai</v>
      </c>
      <c r="M3070" s="2" t="str">
        <f>VLOOKUP(B3070,'PO with created By ASR'!A:K,8,FALSE)</f>
        <v>Purchase Order-Mum</v>
      </c>
      <c r="N3070" t="s">
        <v>36</v>
      </c>
      <c r="P3070" s="2">
        <v>6</v>
      </c>
    </row>
    <row r="3071" s="2" customFormat="1" spans="1:16">
      <c r="A3071" s="8"/>
      <c r="B3071" s="9" t="s">
        <v>4304</v>
      </c>
      <c r="C3071" s="10" t="s">
        <v>126</v>
      </c>
      <c r="D3071" s="11">
        <v>1</v>
      </c>
      <c r="E3071" s="12">
        <v>520</v>
      </c>
      <c r="F3071" s="13">
        <v>520</v>
      </c>
      <c r="G3071" s="2">
        <f>VLOOKUP(B3071,'PO with created By ASR'!A:C,3,FALSE)</f>
        <v>45715</v>
      </c>
      <c r="J3071" s="2" t="str">
        <f>VLOOKUP(B3071,'PO with created By ASR'!A:G,4,FALSE)</f>
        <v>Atish Pawar  -CR</v>
      </c>
      <c r="K3071" s="2" t="e">
        <f>VLOOKUP(B3071,'PO with created By ASR'!A:I,6,FALSE)</f>
        <v>#N/A</v>
      </c>
      <c r="L3071" s="2" t="str">
        <f>VLOOKUP(B3071,'PO with created By ASR'!A:J,7,FALSE)</f>
        <v>A - Mumbai</v>
      </c>
      <c r="M3071" s="2" t="str">
        <f>VLOOKUP(B3071,'PO with created By ASR'!A:K,8,FALSE)</f>
        <v>Purchase Order-Mum</v>
      </c>
      <c r="N3071" t="s">
        <v>36</v>
      </c>
      <c r="P3071" s="2">
        <v>6</v>
      </c>
    </row>
    <row r="3072" s="2" customFormat="1" spans="1:16">
      <c r="A3072" s="8"/>
      <c r="B3072" s="9" t="s">
        <v>4305</v>
      </c>
      <c r="C3072" s="10" t="s">
        <v>317</v>
      </c>
      <c r="D3072" s="11">
        <v>1</v>
      </c>
      <c r="E3072" s="12">
        <v>2360</v>
      </c>
      <c r="F3072" s="13">
        <v>2360</v>
      </c>
      <c r="G3072" s="2">
        <f>VLOOKUP(B3072,'PO with created By ASR'!A:C,3,FALSE)</f>
        <v>45715</v>
      </c>
      <c r="J3072" s="2" t="str">
        <f>VLOOKUP(B3072,'PO with created By ASR'!A:G,4,FALSE)</f>
        <v>Santosh Bhogal Cash  -CR</v>
      </c>
      <c r="K3072" s="2" t="e">
        <f>VLOOKUP(B3072,'PO with created By ASR'!A:I,6,FALSE)</f>
        <v>#N/A</v>
      </c>
      <c r="L3072" s="2" t="str">
        <f>VLOOKUP(B3072,'PO with created By ASR'!A:J,7,FALSE)</f>
        <v>A - Mumbai</v>
      </c>
      <c r="M3072" s="2" t="str">
        <f>VLOOKUP(B3072,'PO with created By ASR'!A:K,8,FALSE)</f>
        <v>Purchase Order-Mum</v>
      </c>
      <c r="N3072" t="s">
        <v>36</v>
      </c>
      <c r="P3072" s="2">
        <v>6</v>
      </c>
    </row>
    <row r="3073" s="2" customFormat="1" spans="1:16">
      <c r="A3073" s="8"/>
      <c r="B3073" s="9" t="s">
        <v>4305</v>
      </c>
      <c r="C3073" s="10" t="s">
        <v>126</v>
      </c>
      <c r="D3073" s="11">
        <v>1</v>
      </c>
      <c r="E3073" s="12">
        <v>301</v>
      </c>
      <c r="F3073" s="13">
        <v>301</v>
      </c>
      <c r="G3073" s="2">
        <f>VLOOKUP(B3073,'PO with created By ASR'!A:C,3,FALSE)</f>
        <v>45715</v>
      </c>
      <c r="J3073" s="2" t="str">
        <f>VLOOKUP(B3073,'PO with created By ASR'!A:G,4,FALSE)</f>
        <v>Santosh Bhogal Cash  -CR</v>
      </c>
      <c r="K3073" s="2" t="e">
        <f>VLOOKUP(B3073,'PO with created By ASR'!A:I,6,FALSE)</f>
        <v>#N/A</v>
      </c>
      <c r="L3073" s="2" t="str">
        <f>VLOOKUP(B3073,'PO with created By ASR'!A:J,7,FALSE)</f>
        <v>A - Mumbai</v>
      </c>
      <c r="M3073" s="2" t="str">
        <f>VLOOKUP(B3073,'PO with created By ASR'!A:K,8,FALSE)</f>
        <v>Purchase Order-Mum</v>
      </c>
      <c r="N3073" t="s">
        <v>36</v>
      </c>
      <c r="P3073" s="2">
        <v>6</v>
      </c>
    </row>
    <row r="3074" s="2" customFormat="1" spans="1:16">
      <c r="A3074" s="8"/>
      <c r="B3074" s="9" t="s">
        <v>4306</v>
      </c>
      <c r="C3074" s="10" t="s">
        <v>61</v>
      </c>
      <c r="D3074" s="11">
        <v>1</v>
      </c>
      <c r="E3074" s="12">
        <v>10000</v>
      </c>
      <c r="F3074" s="13">
        <v>10000</v>
      </c>
      <c r="G3074" s="2">
        <f>VLOOKUP(B3074,'PO with created By ASR'!A:C,3,FALSE)</f>
        <v>45715</v>
      </c>
      <c r="J3074" s="2" t="str">
        <f>VLOOKUP(B3074,'PO with created By ASR'!A:G,4,FALSE)</f>
        <v>Fairfield By Marriott Mumbai (Associated Hospitality Pvt Ltd)-Mum</v>
      </c>
      <c r="K3074" s="2" t="str">
        <f>VLOOKUP(B3074,'PO with created By ASR'!A:I,6,FALSE)</f>
        <v>11911  Fairfield By Marriott Mumbai (Associated Hospitality Pvt Ltd)</v>
      </c>
      <c r="L3074" s="2" t="str">
        <f>VLOOKUP(B3074,'PO with created By ASR'!A:J,7,FALSE)</f>
        <v>A - Mumbai</v>
      </c>
      <c r="M3074" s="2" t="str">
        <f>VLOOKUP(B3074,'PO with created By ASR'!A:K,8,FALSE)</f>
        <v>Purchase Order-Mum</v>
      </c>
      <c r="N3074" t="s">
        <v>36</v>
      </c>
      <c r="P3074" s="2">
        <v>6</v>
      </c>
    </row>
    <row r="3075" s="2" customFormat="1" spans="1:16">
      <c r="A3075" s="8"/>
      <c r="B3075" s="9" t="s">
        <v>4307</v>
      </c>
      <c r="C3075" s="10" t="s">
        <v>317</v>
      </c>
      <c r="D3075" s="11">
        <v>1</v>
      </c>
      <c r="E3075" s="12">
        <v>405000</v>
      </c>
      <c r="F3075" s="13">
        <v>405000</v>
      </c>
      <c r="G3075" s="2">
        <f>VLOOKUP(B3075,'PO with created By ASR'!A:C,3,FALSE)</f>
        <v>45715</v>
      </c>
      <c r="J3075" s="2" t="str">
        <f>VLOOKUP(B3075,'PO with created By ASR'!A:G,4,FALSE)</f>
        <v>Dhenuka Jyoti Shekhar-Mum</v>
      </c>
      <c r="K3075" s="2" t="str">
        <f>VLOOKUP(B3075,'PO with created By ASR'!A:I,6,FALSE)</f>
        <v>10035 Dhenuka Jyoti Shekhar</v>
      </c>
      <c r="L3075" s="2" t="str">
        <f>VLOOKUP(B3075,'PO with created By ASR'!A:J,7,FALSE)</f>
        <v>A - Mumbai</v>
      </c>
      <c r="M3075" s="2" t="str">
        <f>VLOOKUP(B3075,'PO with created By ASR'!A:K,8,FALSE)</f>
        <v>Purchase Order-Mum</v>
      </c>
      <c r="N3075" t="s">
        <v>36</v>
      </c>
      <c r="P3075" s="2">
        <v>6</v>
      </c>
    </row>
    <row r="3076" s="2" customFormat="1" spans="1:16">
      <c r="A3076" s="8"/>
      <c r="B3076" s="9" t="s">
        <v>4308</v>
      </c>
      <c r="C3076" s="10" t="s">
        <v>250</v>
      </c>
      <c r="D3076" s="11">
        <v>1</v>
      </c>
      <c r="E3076" s="12">
        <v>100000</v>
      </c>
      <c r="F3076" s="13">
        <v>100000</v>
      </c>
      <c r="G3076" s="2">
        <f>VLOOKUP(B3076,'PO with created By ASR'!A:C,3,FALSE)</f>
        <v>45715</v>
      </c>
      <c r="J3076" s="2" t="str">
        <f>VLOOKUP(B3076,'PO with created By ASR'!A:G,4,FALSE)</f>
        <v>Prasad Nagotkar-Mum</v>
      </c>
      <c r="K3076" s="2" t="str">
        <f>VLOOKUP(B3076,'PO with created By ASR'!A:I,6,FALSE)</f>
        <v>10815 Prasad Nagotkar</v>
      </c>
      <c r="L3076" s="2" t="str">
        <f>VLOOKUP(B3076,'PO with created By ASR'!A:J,7,FALSE)</f>
        <v>A - Mumbai</v>
      </c>
      <c r="M3076" s="2" t="str">
        <f>VLOOKUP(B3076,'PO with created By ASR'!A:K,8,FALSE)</f>
        <v>Purchase Order-Mum</v>
      </c>
      <c r="N3076" t="s">
        <v>36</v>
      </c>
      <c r="P3076" s="2">
        <v>6</v>
      </c>
    </row>
    <row r="3077" s="2" customFormat="1" spans="1:16">
      <c r="A3077" s="8"/>
      <c r="B3077" s="9" t="s">
        <v>4311</v>
      </c>
      <c r="C3077" s="10" t="s">
        <v>250</v>
      </c>
      <c r="D3077" s="11">
        <v>1</v>
      </c>
      <c r="E3077" s="12">
        <v>350000</v>
      </c>
      <c r="F3077" s="13">
        <v>350000</v>
      </c>
      <c r="G3077" s="2">
        <f>VLOOKUP(B3077,'PO with created By ASR'!A:C,3,FALSE)</f>
        <v>45715</v>
      </c>
      <c r="J3077" s="2" t="str">
        <f>VLOOKUP(B3077,'PO with created By ASR'!A:G,4,FALSE)</f>
        <v>Illuminati-Mum</v>
      </c>
      <c r="K3077" s="2" t="e">
        <f>VLOOKUP(B3077,'PO with created By ASR'!A:I,6,FALSE)</f>
        <v>#N/A</v>
      </c>
      <c r="L3077" s="2" t="str">
        <f>VLOOKUP(B3077,'PO with created By ASR'!A:J,7,FALSE)</f>
        <v>A - Mumbai</v>
      </c>
      <c r="M3077" s="2" t="str">
        <f>VLOOKUP(B3077,'PO with created By ASR'!A:K,8,FALSE)</f>
        <v>Purchase Order-Mum</v>
      </c>
      <c r="N3077" t="s">
        <v>36</v>
      </c>
      <c r="P3077" s="2">
        <v>6</v>
      </c>
    </row>
    <row r="3078" s="2" customFormat="1" spans="1:16">
      <c r="A3078" s="8"/>
      <c r="B3078" s="9" t="s">
        <v>4313</v>
      </c>
      <c r="C3078" s="10" t="s">
        <v>347</v>
      </c>
      <c r="D3078" s="11">
        <v>1</v>
      </c>
      <c r="E3078" s="12">
        <v>75000</v>
      </c>
      <c r="F3078" s="13">
        <v>75000</v>
      </c>
      <c r="G3078" s="2">
        <f>VLOOKUP(B3078,'PO with created By ASR'!A:C,3,FALSE)</f>
        <v>45715</v>
      </c>
      <c r="J3078" s="2" t="str">
        <f>VLOOKUP(B3078,'PO with created By ASR'!A:G,4,FALSE)</f>
        <v>Mahesh Borade-Mum</v>
      </c>
      <c r="K3078" s="2" t="str">
        <f>VLOOKUP(B3078,'PO with created By ASR'!A:I,6,FALSE)</f>
        <v>10735 Mahesh Borade</v>
      </c>
      <c r="L3078" s="2" t="str">
        <f>VLOOKUP(B3078,'PO with created By ASR'!A:J,7,FALSE)</f>
        <v>A - Mumbai</v>
      </c>
      <c r="M3078" s="2" t="str">
        <f>VLOOKUP(B3078,'PO with created By ASR'!A:K,8,FALSE)</f>
        <v>Purchase Order-Mum</v>
      </c>
      <c r="N3078" t="s">
        <v>36</v>
      </c>
      <c r="P3078" s="2">
        <v>6</v>
      </c>
    </row>
    <row r="3079" s="2" customFormat="1" spans="1:16">
      <c r="A3079" s="8"/>
      <c r="B3079" s="9" t="s">
        <v>4314</v>
      </c>
      <c r="C3079" s="10" t="s">
        <v>683</v>
      </c>
      <c r="D3079" s="11">
        <v>1</v>
      </c>
      <c r="E3079" s="12">
        <v>350000</v>
      </c>
      <c r="F3079" s="13">
        <v>350000</v>
      </c>
      <c r="G3079" s="2">
        <f>VLOOKUP(B3079,'PO with created By ASR'!A:C,3,FALSE)</f>
        <v>45715</v>
      </c>
      <c r="J3079" s="2" t="str">
        <f>VLOOKUP(B3079,'PO with created By ASR'!A:G,4,FALSE)</f>
        <v>50FPS Fillms-Mum</v>
      </c>
      <c r="K3079" s="2" t="str">
        <f>VLOOKUP(B3079,'PO with created By ASR'!A:I,6,FALSE)</f>
        <v>10500 50FPS Fillms</v>
      </c>
      <c r="L3079" s="2" t="str">
        <f>VLOOKUP(B3079,'PO with created By ASR'!A:J,7,FALSE)</f>
        <v>A - Mumbai</v>
      </c>
      <c r="M3079" s="2" t="str">
        <f>VLOOKUP(B3079,'PO with created By ASR'!A:K,8,FALSE)</f>
        <v>Purchase Order-Mum</v>
      </c>
      <c r="N3079" t="s">
        <v>36</v>
      </c>
      <c r="P3079" s="2">
        <v>6</v>
      </c>
    </row>
    <row r="3080" s="2" customFormat="1" spans="1:16">
      <c r="A3080" s="8"/>
      <c r="B3080" s="9" t="s">
        <v>4317</v>
      </c>
      <c r="C3080" s="10" t="s">
        <v>140</v>
      </c>
      <c r="D3080" s="11">
        <v>1</v>
      </c>
      <c r="E3080" s="12">
        <v>120000</v>
      </c>
      <c r="F3080" s="13">
        <v>120000</v>
      </c>
      <c r="G3080" s="2">
        <f>VLOOKUP(B3080,'PO with created By ASR'!A:C,3,FALSE)</f>
        <v>45715</v>
      </c>
      <c r="J3080" s="2" t="str">
        <f>VLOOKUP(B3080,'PO with created By ASR'!A:G,4,FALSE)</f>
        <v>Success Gift Solutions-Mum</v>
      </c>
      <c r="K3080" s="2" t="str">
        <f>VLOOKUP(B3080,'PO with created By ASR'!A:I,6,FALSE)</f>
        <v>12468 Success Gift Solutions</v>
      </c>
      <c r="L3080" s="2" t="str">
        <f>VLOOKUP(B3080,'PO with created By ASR'!A:J,7,FALSE)</f>
        <v>A - Mumbai</v>
      </c>
      <c r="M3080" s="2" t="str">
        <f>VLOOKUP(B3080,'PO with created By ASR'!A:K,8,FALSE)</f>
        <v>Purchase Order-Mum</v>
      </c>
      <c r="N3080" t="s">
        <v>36</v>
      </c>
      <c r="P3080" s="2">
        <v>6</v>
      </c>
    </row>
    <row r="3081" s="2" customFormat="1" spans="1:16">
      <c r="A3081" s="8"/>
      <c r="B3081" s="9" t="s">
        <v>4321</v>
      </c>
      <c r="C3081" s="10" t="s">
        <v>140</v>
      </c>
      <c r="D3081" s="11">
        <v>1</v>
      </c>
      <c r="E3081" s="12">
        <v>16255</v>
      </c>
      <c r="F3081" s="13">
        <v>16255</v>
      </c>
      <c r="G3081" s="2">
        <f>VLOOKUP(B3081,'PO with created By ASR'!A:C,3,FALSE)</f>
        <v>45715</v>
      </c>
      <c r="J3081" s="2" t="str">
        <f>VLOOKUP(B3081,'PO with created By ASR'!A:G,4,FALSE)</f>
        <v>Success Gift Solutions-Mum</v>
      </c>
      <c r="K3081" s="2" t="str">
        <f>VLOOKUP(B3081,'PO with created By ASR'!A:I,6,FALSE)</f>
        <v>12468 Success Gift Solutions</v>
      </c>
      <c r="L3081" s="2" t="str">
        <f>VLOOKUP(B3081,'PO with created By ASR'!A:J,7,FALSE)</f>
        <v>A - Mumbai</v>
      </c>
      <c r="M3081" s="2" t="str">
        <f>VLOOKUP(B3081,'PO with created By ASR'!A:K,8,FALSE)</f>
        <v>Purchase Order-Mum</v>
      </c>
      <c r="N3081" t="s">
        <v>36</v>
      </c>
      <c r="P3081" s="2">
        <v>6</v>
      </c>
    </row>
    <row r="3082" s="2" customFormat="1" spans="1:16">
      <c r="A3082" s="8"/>
      <c r="B3082" s="9" t="s">
        <v>4322</v>
      </c>
      <c r="C3082" s="10" t="s">
        <v>276</v>
      </c>
      <c r="D3082" s="11">
        <v>1</v>
      </c>
      <c r="E3082" s="12">
        <v>34000</v>
      </c>
      <c r="F3082" s="13">
        <v>34000</v>
      </c>
      <c r="G3082" s="2">
        <f>VLOOKUP(B3082,'PO with created By ASR'!A:C,3,FALSE)</f>
        <v>45715</v>
      </c>
      <c r="J3082" s="2" t="str">
        <f>VLOOKUP(B3082,'PO with created By ASR'!A:G,4,FALSE)</f>
        <v>Lite Bite Foods Pvt Ltd-Mum</v>
      </c>
      <c r="K3082" s="2" t="str">
        <f>VLOOKUP(B3082,'PO with created By ASR'!A:I,6,FALSE)</f>
        <v>11298  Lite Bite Foods Pvt Ltd</v>
      </c>
      <c r="L3082" s="2" t="str">
        <f>VLOOKUP(B3082,'PO with created By ASR'!A:J,7,FALSE)</f>
        <v>A - Mumbai</v>
      </c>
      <c r="M3082" s="2" t="str">
        <f>VLOOKUP(B3082,'PO with created By ASR'!A:K,8,FALSE)</f>
        <v>Purchase Order-Mum</v>
      </c>
      <c r="N3082" t="s">
        <v>36</v>
      </c>
      <c r="P3082" s="2">
        <v>6</v>
      </c>
    </row>
    <row r="3083" s="2" customFormat="1" spans="1:16">
      <c r="A3083" s="8"/>
      <c r="B3083" s="9" t="s">
        <v>4322</v>
      </c>
      <c r="C3083" s="10" t="s">
        <v>676</v>
      </c>
      <c r="D3083" s="11">
        <v>1</v>
      </c>
      <c r="E3083" s="12">
        <v>850</v>
      </c>
      <c r="F3083" s="13">
        <v>850</v>
      </c>
      <c r="G3083" s="2">
        <f>VLOOKUP(B3083,'PO with created By ASR'!A:C,3,FALSE)</f>
        <v>45715</v>
      </c>
      <c r="J3083" s="2" t="str">
        <f>VLOOKUP(B3083,'PO with created By ASR'!A:G,4,FALSE)</f>
        <v>Lite Bite Foods Pvt Ltd-Mum</v>
      </c>
      <c r="K3083" s="2" t="str">
        <f>VLOOKUP(B3083,'PO with created By ASR'!A:I,6,FALSE)</f>
        <v>11298  Lite Bite Foods Pvt Ltd</v>
      </c>
      <c r="L3083" s="2" t="str">
        <f>VLOOKUP(B3083,'PO with created By ASR'!A:J,7,FALSE)</f>
        <v>A - Mumbai</v>
      </c>
      <c r="M3083" s="2" t="str">
        <f>VLOOKUP(B3083,'PO with created By ASR'!A:K,8,FALSE)</f>
        <v>Purchase Order-Mum</v>
      </c>
      <c r="N3083" t="s">
        <v>36</v>
      </c>
      <c r="P3083" s="2">
        <v>6</v>
      </c>
    </row>
    <row r="3084" s="2" customFormat="1" spans="1:16">
      <c r="A3084" s="8"/>
      <c r="B3084" s="9" t="s">
        <v>4322</v>
      </c>
      <c r="C3084" s="10" t="s">
        <v>4365</v>
      </c>
      <c r="D3084" s="11">
        <v>1</v>
      </c>
      <c r="E3084" s="12">
        <v>850</v>
      </c>
      <c r="F3084" s="13">
        <v>850</v>
      </c>
      <c r="G3084" s="2">
        <f>VLOOKUP(B3084,'PO with created By ASR'!A:C,3,FALSE)</f>
        <v>45715</v>
      </c>
      <c r="J3084" s="2" t="str">
        <f>VLOOKUP(B3084,'PO with created By ASR'!A:G,4,FALSE)</f>
        <v>Lite Bite Foods Pvt Ltd-Mum</v>
      </c>
      <c r="K3084" s="2" t="str">
        <f>VLOOKUP(B3084,'PO with created By ASR'!A:I,6,FALSE)</f>
        <v>11298  Lite Bite Foods Pvt Ltd</v>
      </c>
      <c r="L3084" s="2" t="str">
        <f>VLOOKUP(B3084,'PO with created By ASR'!A:J,7,FALSE)</f>
        <v>A - Mumbai</v>
      </c>
      <c r="M3084" s="2" t="str">
        <f>VLOOKUP(B3084,'PO with created By ASR'!A:K,8,FALSE)</f>
        <v>Purchase Order-Mum</v>
      </c>
      <c r="N3084" t="s">
        <v>36</v>
      </c>
      <c r="P3084" s="2">
        <v>6</v>
      </c>
    </row>
    <row r="3085" s="2" customFormat="1" spans="1:16">
      <c r="A3085" s="8"/>
      <c r="B3085" s="9" t="s">
        <v>4322</v>
      </c>
      <c r="C3085" s="10" t="s">
        <v>1055</v>
      </c>
      <c r="D3085" s="11">
        <v>1</v>
      </c>
      <c r="E3085" s="12">
        <v>1900</v>
      </c>
      <c r="F3085" s="13">
        <v>1900</v>
      </c>
      <c r="G3085" s="2">
        <f>VLOOKUP(B3085,'PO with created By ASR'!A:C,3,FALSE)</f>
        <v>45715</v>
      </c>
      <c r="J3085" s="2" t="str">
        <f>VLOOKUP(B3085,'PO with created By ASR'!A:G,4,FALSE)</f>
        <v>Lite Bite Foods Pvt Ltd-Mum</v>
      </c>
      <c r="K3085" s="2" t="str">
        <f>VLOOKUP(B3085,'PO with created By ASR'!A:I,6,FALSE)</f>
        <v>11298  Lite Bite Foods Pvt Ltd</v>
      </c>
      <c r="L3085" s="2" t="str">
        <f>VLOOKUP(B3085,'PO with created By ASR'!A:J,7,FALSE)</f>
        <v>A - Mumbai</v>
      </c>
      <c r="M3085" s="2" t="str">
        <f>VLOOKUP(B3085,'PO with created By ASR'!A:K,8,FALSE)</f>
        <v>Purchase Order-Mum</v>
      </c>
      <c r="N3085" t="s">
        <v>36</v>
      </c>
      <c r="P3085" s="2">
        <v>6</v>
      </c>
    </row>
    <row r="3086" s="2" customFormat="1" spans="1:16">
      <c r="A3086" s="8"/>
      <c r="B3086" s="9" t="s">
        <v>4325</v>
      </c>
      <c r="C3086" s="10" t="s">
        <v>803</v>
      </c>
      <c r="D3086" s="11">
        <v>1</v>
      </c>
      <c r="E3086" s="12">
        <v>20692.58</v>
      </c>
      <c r="F3086" s="13">
        <v>20692.58</v>
      </c>
      <c r="G3086" s="2">
        <f>VLOOKUP(B3086,'PO with created By ASR'!A:C,3,FALSE)</f>
        <v>45715</v>
      </c>
      <c r="J3086" s="2" t="str">
        <f>VLOOKUP(B3086,'PO with created By ASR'!A:G,4,FALSE)</f>
        <v>Shutterstock.Inc-Mum</v>
      </c>
      <c r="K3086" s="2" t="e">
        <f>VLOOKUP(B3086,'PO with created By ASR'!A:I,6,FALSE)</f>
        <v>#N/A</v>
      </c>
      <c r="L3086" s="2" t="str">
        <f>VLOOKUP(B3086,'PO with created By ASR'!A:J,7,FALSE)</f>
        <v>A - Mumbai</v>
      </c>
      <c r="M3086" s="2" t="str">
        <f>VLOOKUP(B3086,'PO with created By ASR'!A:K,8,FALSE)</f>
        <v>Purchase Order-Mum</v>
      </c>
      <c r="N3086" t="s">
        <v>36</v>
      </c>
      <c r="P3086" s="2">
        <v>6</v>
      </c>
    </row>
    <row r="3087" s="2" customFormat="1" spans="1:16">
      <c r="A3087" s="8"/>
      <c r="B3087" s="9" t="s">
        <v>4326</v>
      </c>
      <c r="C3087" s="10" t="s">
        <v>803</v>
      </c>
      <c r="D3087" s="11">
        <v>1</v>
      </c>
      <c r="E3087" s="12">
        <v>4735</v>
      </c>
      <c r="F3087" s="13">
        <v>4735</v>
      </c>
      <c r="G3087" s="2">
        <f>VLOOKUP(B3087,'PO with created By ASR'!A:C,3,FALSE)</f>
        <v>45715</v>
      </c>
      <c r="J3087" s="2" t="str">
        <f>VLOOKUP(B3087,'PO with created By ASR'!A:G,4,FALSE)</f>
        <v>Adobe Systems Software Ireland Ltd-Mum</v>
      </c>
      <c r="K3087" s="2" t="str">
        <f>VLOOKUP(B3087,'PO with created By ASR'!A:I,6,FALSE)</f>
        <v>11149  Adobe Systems Software Ireland Ltd</v>
      </c>
      <c r="L3087" s="2" t="str">
        <f>VLOOKUP(B3087,'PO with created By ASR'!A:J,7,FALSE)</f>
        <v>A - Mumbai</v>
      </c>
      <c r="M3087" s="2" t="str">
        <f>VLOOKUP(B3087,'PO with created By ASR'!A:K,8,FALSE)</f>
        <v>Purchase Order-Mum</v>
      </c>
      <c r="N3087" t="s">
        <v>36</v>
      </c>
      <c r="P3087" s="2">
        <v>6</v>
      </c>
    </row>
    <row r="3088" s="2" customFormat="1" spans="1:16">
      <c r="A3088" s="8"/>
      <c r="B3088" s="9" t="s">
        <v>4329</v>
      </c>
      <c r="C3088" s="10" t="s">
        <v>250</v>
      </c>
      <c r="D3088" s="11">
        <v>1</v>
      </c>
      <c r="E3088" s="12">
        <v>85000</v>
      </c>
      <c r="F3088" s="13">
        <v>85000</v>
      </c>
      <c r="G3088" s="2">
        <f>VLOOKUP(B3088,'PO with created By ASR'!A:C,3,FALSE)</f>
        <v>45715</v>
      </c>
      <c r="J3088" s="2" t="str">
        <f>VLOOKUP(B3088,'PO with created By ASR'!A:G,4,FALSE)</f>
        <v>Black Hat Talent Solutions &amp; Consulting Pvt Ltd-Mum</v>
      </c>
      <c r="K3088" s="2" t="str">
        <f>VLOOKUP(B3088,'PO with created By ASR'!A:I,6,FALSE)</f>
        <v>10572  Black Hat Talent Solutions &amp; Consulting Pvt Ltd</v>
      </c>
      <c r="L3088" s="2" t="str">
        <f>VLOOKUP(B3088,'PO with created By ASR'!A:J,7,FALSE)</f>
        <v>A - Mumbai</v>
      </c>
      <c r="M3088" s="2" t="str">
        <f>VLOOKUP(B3088,'PO with created By ASR'!A:K,8,FALSE)</f>
        <v>Purchase Order-Mum</v>
      </c>
      <c r="N3088" t="s">
        <v>36</v>
      </c>
      <c r="P3088" s="2">
        <v>6</v>
      </c>
    </row>
    <row r="3089" s="2" customFormat="1" spans="1:16">
      <c r="A3089" s="8"/>
      <c r="B3089" s="9" t="s">
        <v>4331</v>
      </c>
      <c r="C3089" s="10" t="s">
        <v>256</v>
      </c>
      <c r="D3089" s="11">
        <v>1</v>
      </c>
      <c r="E3089" s="12">
        <v>67500</v>
      </c>
      <c r="F3089" s="13">
        <v>67500</v>
      </c>
      <c r="G3089" s="2">
        <f>VLOOKUP(B3089,'PO with created By ASR'!A:C,3,FALSE)</f>
        <v>45715</v>
      </c>
      <c r="J3089" s="2" t="str">
        <f>VLOOKUP(B3089,'PO with created By ASR'!A:G,4,FALSE)</f>
        <v>The Indian Performing Right Society Ltd.-Mum</v>
      </c>
      <c r="K3089" s="2" t="e">
        <f>VLOOKUP(B3089,'PO with created By ASR'!A:I,6,FALSE)</f>
        <v>#N/A</v>
      </c>
      <c r="L3089" s="2" t="str">
        <f>VLOOKUP(B3089,'PO with created By ASR'!A:J,7,FALSE)</f>
        <v>A - Mumbai</v>
      </c>
      <c r="M3089" s="2" t="str">
        <f>VLOOKUP(B3089,'PO with created By ASR'!A:K,8,FALSE)</f>
        <v>Purchase Order-Mum</v>
      </c>
      <c r="N3089" t="s">
        <v>36</v>
      </c>
      <c r="P3089" s="2">
        <v>6</v>
      </c>
    </row>
    <row r="3090" s="2" customFormat="1" spans="1:16">
      <c r="A3090" s="8"/>
      <c r="B3090" s="9" t="s">
        <v>4332</v>
      </c>
      <c r="C3090" s="10" t="s">
        <v>256</v>
      </c>
      <c r="D3090" s="11">
        <v>1</v>
      </c>
      <c r="E3090" s="12">
        <v>69375</v>
      </c>
      <c r="F3090" s="13">
        <v>69375</v>
      </c>
      <c r="G3090" s="2">
        <f>VLOOKUP(B3090,'PO with created By ASR'!A:C,3,FALSE)</f>
        <v>45715</v>
      </c>
      <c r="J3090" s="2" t="str">
        <f>VLOOKUP(B3090,'PO with created By ASR'!A:G,4,FALSE)</f>
        <v>Phonographic Performance Limited-Mum</v>
      </c>
      <c r="K3090" s="2" t="e">
        <f>VLOOKUP(B3090,'PO with created By ASR'!A:I,6,FALSE)</f>
        <v>#N/A</v>
      </c>
      <c r="L3090" s="2" t="str">
        <f>VLOOKUP(B3090,'PO with created By ASR'!A:J,7,FALSE)</f>
        <v>A - Mumbai</v>
      </c>
      <c r="M3090" s="2" t="str">
        <f>VLOOKUP(B3090,'PO with created By ASR'!A:K,8,FALSE)</f>
        <v>Purchase Order-Mum</v>
      </c>
      <c r="N3090" t="s">
        <v>36</v>
      </c>
      <c r="P3090" s="2">
        <v>6</v>
      </c>
    </row>
    <row r="3091" s="2" customFormat="1" spans="1:16">
      <c r="A3091" s="8"/>
      <c r="B3091" s="9" t="s">
        <v>4333</v>
      </c>
      <c r="C3091" s="10" t="s">
        <v>256</v>
      </c>
      <c r="D3091" s="11">
        <v>1</v>
      </c>
      <c r="E3091" s="12">
        <v>103500</v>
      </c>
      <c r="F3091" s="13">
        <v>103500</v>
      </c>
      <c r="G3091" s="2">
        <f>VLOOKUP(B3091,'PO with created By ASR'!A:C,3,FALSE)</f>
        <v>45715</v>
      </c>
      <c r="J3091" s="2" t="str">
        <f>VLOOKUP(B3091,'PO with created By ASR'!A:G,4,FALSE)</f>
        <v>Novex Communications Pvt. Ltd.-Mum</v>
      </c>
      <c r="K3091" s="2" t="e">
        <f>VLOOKUP(B3091,'PO with created By ASR'!A:I,6,FALSE)</f>
        <v>#N/A</v>
      </c>
      <c r="L3091" s="2" t="str">
        <f>VLOOKUP(B3091,'PO with created By ASR'!A:J,7,FALSE)</f>
        <v>A - Mumbai</v>
      </c>
      <c r="M3091" s="2" t="str">
        <f>VLOOKUP(B3091,'PO with created By ASR'!A:K,8,FALSE)</f>
        <v>Purchase Order-Mum</v>
      </c>
      <c r="N3091" t="s">
        <v>36</v>
      </c>
      <c r="P3091" s="2">
        <v>6</v>
      </c>
    </row>
    <row r="3092" s="2" customFormat="1" spans="1:16">
      <c r="A3092" s="8"/>
      <c r="B3092" s="9" t="s">
        <v>4334</v>
      </c>
      <c r="C3092" s="10" t="s">
        <v>256</v>
      </c>
      <c r="D3092" s="11">
        <v>1</v>
      </c>
      <c r="E3092" s="12">
        <v>30000</v>
      </c>
      <c r="F3092" s="13">
        <v>30000</v>
      </c>
      <c r="G3092" s="2">
        <f>VLOOKUP(B3092,'PO with created By ASR'!A:C,3,FALSE)</f>
        <v>45715</v>
      </c>
      <c r="J3092" s="2" t="str">
        <f>VLOOKUP(B3092,'PO with created By ASR'!A:G,4,FALSE)</f>
        <v>The Indian Performing Right Society Ltd.-Mum</v>
      </c>
      <c r="K3092" s="2" t="e">
        <f>VLOOKUP(B3092,'PO with created By ASR'!A:I,6,FALSE)</f>
        <v>#N/A</v>
      </c>
      <c r="L3092" s="2" t="str">
        <f>VLOOKUP(B3092,'PO with created By ASR'!A:J,7,FALSE)</f>
        <v>A - Mumbai</v>
      </c>
      <c r="M3092" s="2" t="str">
        <f>VLOOKUP(B3092,'PO with created By ASR'!A:K,8,FALSE)</f>
        <v>Purchase Order-Mum</v>
      </c>
      <c r="N3092" t="s">
        <v>36</v>
      </c>
      <c r="P3092" s="2">
        <v>6</v>
      </c>
    </row>
    <row r="3093" s="2" customFormat="1" spans="1:16">
      <c r="A3093" s="8"/>
      <c r="B3093" s="9" t="s">
        <v>4335</v>
      </c>
      <c r="C3093" s="10" t="s">
        <v>256</v>
      </c>
      <c r="D3093" s="11">
        <v>1</v>
      </c>
      <c r="E3093" s="12">
        <v>83250</v>
      </c>
      <c r="F3093" s="13">
        <v>83250</v>
      </c>
      <c r="G3093" s="2">
        <f>VLOOKUP(B3093,'PO with created By ASR'!A:C,3,FALSE)</f>
        <v>45715</v>
      </c>
      <c r="J3093" s="2" t="str">
        <f>VLOOKUP(B3093,'PO with created By ASR'!A:G,4,FALSE)</f>
        <v>Phonographic Performance Limited-Mum</v>
      </c>
      <c r="K3093" s="2" t="e">
        <f>VLOOKUP(B3093,'PO with created By ASR'!A:I,6,FALSE)</f>
        <v>#N/A</v>
      </c>
      <c r="L3093" s="2" t="str">
        <f>VLOOKUP(B3093,'PO with created By ASR'!A:J,7,FALSE)</f>
        <v>A - Mumbai</v>
      </c>
      <c r="M3093" s="2" t="str">
        <f>VLOOKUP(B3093,'PO with created By ASR'!A:K,8,FALSE)</f>
        <v>Purchase Order-Mum</v>
      </c>
      <c r="N3093" t="s">
        <v>36</v>
      </c>
      <c r="P3093" s="2">
        <v>6</v>
      </c>
    </row>
    <row r="3094" s="2" customFormat="1" spans="1:16">
      <c r="A3094" s="8"/>
      <c r="B3094" s="9" t="s">
        <v>4336</v>
      </c>
      <c r="C3094" s="10" t="s">
        <v>256</v>
      </c>
      <c r="D3094" s="11">
        <v>1</v>
      </c>
      <c r="E3094" s="12">
        <v>95000</v>
      </c>
      <c r="F3094" s="13">
        <v>95000</v>
      </c>
      <c r="G3094" s="2">
        <f>VLOOKUP(B3094,'PO with created By ASR'!A:C,3,FALSE)</f>
        <v>45715</v>
      </c>
      <c r="J3094" s="2" t="str">
        <f>VLOOKUP(B3094,'PO with created By ASR'!A:G,4,FALSE)</f>
        <v>Novex Communications Pvt. Ltd.-Mum</v>
      </c>
      <c r="K3094" s="2" t="e">
        <f>VLOOKUP(B3094,'PO with created By ASR'!A:I,6,FALSE)</f>
        <v>#N/A</v>
      </c>
      <c r="L3094" s="2" t="str">
        <f>VLOOKUP(B3094,'PO with created By ASR'!A:J,7,FALSE)</f>
        <v>A - Mumbai</v>
      </c>
      <c r="M3094" s="2" t="str">
        <f>VLOOKUP(B3094,'PO with created By ASR'!A:K,8,FALSE)</f>
        <v>Purchase Order-Mum</v>
      </c>
      <c r="N3094" t="s">
        <v>36</v>
      </c>
      <c r="P3094" s="2">
        <v>6</v>
      </c>
    </row>
    <row r="3095" s="2" customFormat="1" spans="1:16">
      <c r="A3095" s="8"/>
      <c r="B3095" s="9" t="s">
        <v>4337</v>
      </c>
      <c r="C3095" s="10" t="s">
        <v>256</v>
      </c>
      <c r="D3095" s="11">
        <v>1</v>
      </c>
      <c r="E3095" s="12">
        <v>30000</v>
      </c>
      <c r="F3095" s="13">
        <v>30000</v>
      </c>
      <c r="G3095" s="2">
        <f>VLOOKUP(B3095,'PO with created By ASR'!A:C,3,FALSE)</f>
        <v>45715</v>
      </c>
      <c r="J3095" s="2" t="str">
        <f>VLOOKUP(B3095,'PO with created By ASR'!A:G,4,FALSE)</f>
        <v>Recorded Music Performance Ltd-Mum</v>
      </c>
      <c r="K3095" s="2" t="str">
        <f>VLOOKUP(B3095,'PO with created By ASR'!A:I,6,FALSE)</f>
        <v>10856  Recorded Music Performance Ltd</v>
      </c>
      <c r="L3095" s="2" t="str">
        <f>VLOOKUP(B3095,'PO with created By ASR'!A:J,7,FALSE)</f>
        <v>A - Mumbai</v>
      </c>
      <c r="M3095" s="2" t="str">
        <f>VLOOKUP(B3095,'PO with created By ASR'!A:K,8,FALSE)</f>
        <v>Purchase Order-Mum</v>
      </c>
      <c r="N3095" t="s">
        <v>36</v>
      </c>
      <c r="P3095" s="2">
        <v>6</v>
      </c>
    </row>
    <row r="3096" s="2" customFormat="1" spans="1:16">
      <c r="A3096" s="8"/>
      <c r="B3096" s="9" t="s">
        <v>4338</v>
      </c>
      <c r="C3096" s="10" t="s">
        <v>256</v>
      </c>
      <c r="D3096" s="11">
        <v>1</v>
      </c>
      <c r="E3096" s="12">
        <v>10000</v>
      </c>
      <c r="F3096" s="13">
        <v>10000</v>
      </c>
      <c r="G3096" s="2">
        <f>VLOOKUP(B3096,'PO with created By ASR'!A:C,3,FALSE)</f>
        <v>45715</v>
      </c>
      <c r="J3096" s="2" t="str">
        <f>VLOOKUP(B3096,'PO with created By ASR'!A:G,4,FALSE)</f>
        <v>Vista Services (Sainath Govind Shirke)-Mum</v>
      </c>
      <c r="K3096" s="2" t="str">
        <f>VLOOKUP(B3096,'PO with created By ASR'!A:I,6,FALSE)</f>
        <v>10237 Vista Services (Sainath Govind Shirke)</v>
      </c>
      <c r="L3096" s="2" t="str">
        <f>VLOOKUP(B3096,'PO with created By ASR'!A:J,7,FALSE)</f>
        <v>A - Mumbai</v>
      </c>
      <c r="M3096" s="2" t="str">
        <f>VLOOKUP(B3096,'PO with created By ASR'!A:K,8,FALSE)</f>
        <v>Purchase Order-Mum</v>
      </c>
      <c r="N3096" t="s">
        <v>36</v>
      </c>
      <c r="P3096" s="2">
        <v>6</v>
      </c>
    </row>
    <row r="3097" s="2" customFormat="1" spans="1:16">
      <c r="A3097" s="8"/>
      <c r="B3097" s="9" t="s">
        <v>4339</v>
      </c>
      <c r="C3097" s="10" t="s">
        <v>371</v>
      </c>
      <c r="D3097" s="11">
        <v>1</v>
      </c>
      <c r="E3097" s="12">
        <v>35000</v>
      </c>
      <c r="F3097" s="13">
        <v>35000</v>
      </c>
      <c r="G3097" s="2">
        <f>VLOOKUP(B3097,'PO with created By ASR'!A:C,3,FALSE)</f>
        <v>45715</v>
      </c>
      <c r="J3097" s="2" t="str">
        <f>VLOOKUP(B3097,'PO with created By ASR'!A:G,4,FALSE)</f>
        <v>Shiv Shakti Enterprises-Mum</v>
      </c>
      <c r="K3097" s="2" t="str">
        <f>VLOOKUP(B3097,'PO with created By ASR'!A:I,6,FALSE)</f>
        <v>11130 Shiv Shakti Enterprises</v>
      </c>
      <c r="L3097" s="2" t="str">
        <f>VLOOKUP(B3097,'PO with created By ASR'!A:J,7,FALSE)</f>
        <v>A - Mumbai</v>
      </c>
      <c r="M3097" s="2" t="str">
        <f>VLOOKUP(B3097,'PO with created By ASR'!A:K,8,FALSE)</f>
        <v>Purchase Order-Mum</v>
      </c>
      <c r="N3097" t="s">
        <v>36</v>
      </c>
      <c r="P3097" s="2">
        <v>6</v>
      </c>
    </row>
    <row r="3098" s="2" customFormat="1" spans="1:16">
      <c r="A3098" s="8"/>
      <c r="B3098" s="9" t="s">
        <v>4340</v>
      </c>
      <c r="C3098" s="10" t="s">
        <v>371</v>
      </c>
      <c r="D3098" s="11">
        <v>1</v>
      </c>
      <c r="E3098" s="12">
        <v>6500</v>
      </c>
      <c r="F3098" s="13">
        <v>6500</v>
      </c>
      <c r="G3098" s="2">
        <f>VLOOKUP(B3098,'PO with created By ASR'!A:C,3,FALSE)</f>
        <v>45715</v>
      </c>
      <c r="J3098" s="2" t="str">
        <f>VLOOKUP(B3098,'PO with created By ASR'!A:G,4,FALSE)</f>
        <v>Oriana Communications-Mum</v>
      </c>
      <c r="K3098" s="2" t="str">
        <f>VLOOKUP(B3098,'PO with created By ASR'!A:I,6,FALSE)</f>
        <v>11121 Oriana Communications</v>
      </c>
      <c r="L3098" s="2" t="str">
        <f>VLOOKUP(B3098,'PO with created By ASR'!A:J,7,FALSE)</f>
        <v>A - Mumbai</v>
      </c>
      <c r="M3098" s="2" t="str">
        <f>VLOOKUP(B3098,'PO with created By ASR'!A:K,8,FALSE)</f>
        <v>Purchase Order-Mum</v>
      </c>
      <c r="N3098" t="s">
        <v>36</v>
      </c>
      <c r="P3098" s="2">
        <v>6</v>
      </c>
    </row>
    <row r="3099" s="2" customFormat="1" spans="1:16">
      <c r="A3099" s="8"/>
      <c r="B3099" s="9" t="s">
        <v>4341</v>
      </c>
      <c r="C3099" s="10" t="s">
        <v>371</v>
      </c>
      <c r="D3099" s="11">
        <v>1</v>
      </c>
      <c r="E3099" s="12">
        <v>5000</v>
      </c>
      <c r="F3099" s="13">
        <v>5000</v>
      </c>
      <c r="G3099" s="2">
        <f>VLOOKUP(B3099,'PO with created By ASR'!A:C,3,FALSE)</f>
        <v>45715</v>
      </c>
      <c r="J3099" s="2" t="str">
        <f>VLOOKUP(B3099,'PO with created By ASR'!A:G,4,FALSE)</f>
        <v>Bizzaro Event-Mum</v>
      </c>
      <c r="K3099" s="2" t="str">
        <f>VLOOKUP(B3099,'PO with created By ASR'!A:I,6,FALSE)</f>
        <v>11733 Bizzaro Event</v>
      </c>
      <c r="L3099" s="2" t="str">
        <f>VLOOKUP(B3099,'PO with created By ASR'!A:J,7,FALSE)</f>
        <v>A - Mumbai</v>
      </c>
      <c r="M3099" s="2" t="str">
        <f>VLOOKUP(B3099,'PO with created By ASR'!A:K,8,FALSE)</f>
        <v>Purchase Order-Mum</v>
      </c>
      <c r="N3099" t="s">
        <v>36</v>
      </c>
      <c r="P3099" s="2">
        <v>6</v>
      </c>
    </row>
    <row r="3100" s="2" customFormat="1" spans="1:16">
      <c r="A3100" s="8"/>
      <c r="B3100" s="9" t="s">
        <v>4342</v>
      </c>
      <c r="C3100" s="10" t="s">
        <v>151</v>
      </c>
      <c r="D3100" s="11">
        <v>1</v>
      </c>
      <c r="E3100" s="12">
        <v>128000</v>
      </c>
      <c r="F3100" s="13">
        <v>128000</v>
      </c>
      <c r="G3100" s="2">
        <f>VLOOKUP(B3100,'PO with created By ASR'!A:C,3,FALSE)</f>
        <v>45715</v>
      </c>
      <c r="J3100" s="2" t="str">
        <f>VLOOKUP(B3100,'PO with created By ASR'!A:G,4,FALSE)</f>
        <v>Pyramid Production-Mum</v>
      </c>
      <c r="K3100" s="2" t="str">
        <f>VLOOKUP(B3100,'PO with created By ASR'!A:I,6,FALSE)</f>
        <v>12299 Pyramid Production</v>
      </c>
      <c r="L3100" s="2" t="str">
        <f>VLOOKUP(B3100,'PO with created By ASR'!A:J,7,FALSE)</f>
        <v>A - Mumbai</v>
      </c>
      <c r="M3100" s="2" t="str">
        <f>VLOOKUP(B3100,'PO with created By ASR'!A:K,8,FALSE)</f>
        <v>Purchase Order-Mum</v>
      </c>
      <c r="N3100" t="s">
        <v>36</v>
      </c>
      <c r="P3100" s="2">
        <v>6</v>
      </c>
    </row>
    <row r="3101" s="2" customFormat="1" spans="1:16">
      <c r="A3101" s="8"/>
      <c r="B3101" s="9" t="s">
        <v>4343</v>
      </c>
      <c r="C3101" s="10" t="s">
        <v>140</v>
      </c>
      <c r="D3101" s="11">
        <v>1</v>
      </c>
      <c r="E3101" s="12">
        <v>89000</v>
      </c>
      <c r="F3101" s="13">
        <v>89000</v>
      </c>
      <c r="G3101" s="2">
        <f>VLOOKUP(B3101,'PO with created By ASR'!A:C,3,FALSE)</f>
        <v>45715</v>
      </c>
      <c r="J3101" s="2" t="str">
        <f>VLOOKUP(B3101,'PO with created By ASR'!A:G,4,FALSE)</f>
        <v>Mehul Baloons India-Mum</v>
      </c>
      <c r="K3101" s="2" t="str">
        <f>VLOOKUP(B3101,'PO with created By ASR'!A:I,6,FALSE)</f>
        <v>12966 Mehul Baloons India</v>
      </c>
      <c r="L3101" s="2" t="str">
        <f>VLOOKUP(B3101,'PO with created By ASR'!A:J,7,FALSE)</f>
        <v>A - Mumbai</v>
      </c>
      <c r="M3101" s="2" t="str">
        <f>VLOOKUP(B3101,'PO with created By ASR'!A:K,8,FALSE)</f>
        <v>Purchase Order-Mum</v>
      </c>
      <c r="N3101" t="s">
        <v>36</v>
      </c>
      <c r="P3101" s="2">
        <v>6</v>
      </c>
    </row>
    <row r="3102" s="2" customFormat="1" spans="1:16">
      <c r="A3102" s="8"/>
      <c r="B3102" s="9" t="s">
        <v>4347</v>
      </c>
      <c r="C3102" s="10" t="s">
        <v>317</v>
      </c>
      <c r="D3102" s="11">
        <v>1</v>
      </c>
      <c r="E3102" s="12">
        <v>275000</v>
      </c>
      <c r="F3102" s="13">
        <v>275000</v>
      </c>
      <c r="G3102" s="2">
        <f>VLOOKUP(B3102,'PO with created By ASR'!A:C,3,FALSE)</f>
        <v>45715</v>
      </c>
      <c r="J3102" s="2" t="str">
        <f>VLOOKUP(B3102,'PO with created By ASR'!A:G,4,FALSE)</f>
        <v>ProEvents and Promotions Pvt Ltd-Mum</v>
      </c>
      <c r="K3102" s="2" t="str">
        <f>VLOOKUP(B3102,'PO with created By ASR'!A:I,6,FALSE)</f>
        <v>12290  ProEvents and Promotions Pvt Ltd</v>
      </c>
      <c r="L3102" s="2" t="str">
        <f>VLOOKUP(B3102,'PO with created By ASR'!A:J,7,FALSE)</f>
        <v>A - Mumbai</v>
      </c>
      <c r="M3102" s="2" t="str">
        <f>VLOOKUP(B3102,'PO with created By ASR'!A:K,8,FALSE)</f>
        <v>Purchase Order-Mum</v>
      </c>
      <c r="N3102" t="s">
        <v>36</v>
      </c>
      <c r="P3102" s="2">
        <v>6</v>
      </c>
    </row>
    <row r="3103" s="2" customFormat="1" spans="1:16">
      <c r="A3103" s="8"/>
      <c r="B3103" s="9" t="s">
        <v>4351</v>
      </c>
      <c r="C3103" s="10" t="s">
        <v>140</v>
      </c>
      <c r="D3103" s="11">
        <v>1</v>
      </c>
      <c r="E3103" s="12">
        <v>168220</v>
      </c>
      <c r="F3103" s="13">
        <v>168220</v>
      </c>
      <c r="G3103" s="2">
        <f>VLOOKUP(B3103,'PO with created By ASR'!A:C,3,FALSE)</f>
        <v>45715</v>
      </c>
      <c r="J3103" s="2" t="str">
        <f>VLOOKUP(B3103,'PO with created By ASR'!A:G,4,FALSE)</f>
        <v>Ethos Ltd (OTV)-Mum</v>
      </c>
      <c r="K3103" s="2" t="str">
        <f>VLOOKUP(B3103,'PO with created By ASR'!A:I,6,FALSE)</f>
        <v>12942  Ethos Ltd (OTV)</v>
      </c>
      <c r="L3103" s="2" t="str">
        <f>VLOOKUP(B3103,'PO with created By ASR'!A:J,7,FALSE)</f>
        <v>A - Mumbai</v>
      </c>
      <c r="M3103" s="2" t="str">
        <f>VLOOKUP(B3103,'PO with created By ASR'!A:K,8,FALSE)</f>
        <v>Purchase Order-Mum</v>
      </c>
      <c r="N3103" t="s">
        <v>36</v>
      </c>
      <c r="P3103" s="2">
        <v>6</v>
      </c>
    </row>
    <row r="3104" s="2" customFormat="1" spans="1:16">
      <c r="A3104" s="8"/>
      <c r="B3104" s="9" t="s">
        <v>4357</v>
      </c>
      <c r="C3104" s="10" t="s">
        <v>734</v>
      </c>
      <c r="D3104" s="11">
        <v>1</v>
      </c>
      <c r="E3104" s="12">
        <v>1401547</v>
      </c>
      <c r="F3104" s="13">
        <v>1401547</v>
      </c>
      <c r="G3104" s="2">
        <f>VLOOKUP(B3104,'PO with created By ASR'!A:C,3,FALSE)</f>
        <v>45715</v>
      </c>
      <c r="J3104" s="2" t="str">
        <f>VLOOKUP(B3104,'PO with created By ASR'!A:G,4,FALSE)</f>
        <v>Musafir.Com India Pvt Ltd-Mum</v>
      </c>
      <c r="K3104" s="2" t="str">
        <f>VLOOKUP(B3104,'PO with created By ASR'!A:I,6,FALSE)</f>
        <v>10060  Musafir.Com India Pvt Ltd</v>
      </c>
      <c r="L3104" s="2" t="str">
        <f>VLOOKUP(B3104,'PO with created By ASR'!A:J,7,FALSE)</f>
        <v>A - Mumbai</v>
      </c>
      <c r="M3104" s="2" t="str">
        <f>VLOOKUP(B3104,'PO with created By ASR'!A:K,8,FALSE)</f>
        <v>Purchase Order-Mum</v>
      </c>
      <c r="N3104" t="s">
        <v>36</v>
      </c>
      <c r="P3104" s="2">
        <v>6</v>
      </c>
    </row>
    <row r="3105" s="2" customFormat="1" spans="1:16">
      <c r="A3105" s="8"/>
      <c r="B3105" s="9" t="s">
        <v>4357</v>
      </c>
      <c r="C3105" s="10" t="s">
        <v>1808</v>
      </c>
      <c r="D3105" s="11">
        <v>1</v>
      </c>
      <c r="E3105" s="12">
        <v>29997</v>
      </c>
      <c r="F3105" s="13">
        <v>29997</v>
      </c>
      <c r="G3105" s="2">
        <f>VLOOKUP(B3105,'PO with created By ASR'!A:C,3,FALSE)</f>
        <v>45715</v>
      </c>
      <c r="J3105" s="2" t="str">
        <f>VLOOKUP(B3105,'PO with created By ASR'!A:G,4,FALSE)</f>
        <v>Musafir.Com India Pvt Ltd-Mum</v>
      </c>
      <c r="K3105" s="2" t="str">
        <f>VLOOKUP(B3105,'PO with created By ASR'!A:I,6,FALSE)</f>
        <v>10060  Musafir.Com India Pvt Ltd</v>
      </c>
      <c r="L3105" s="2" t="str">
        <f>VLOOKUP(B3105,'PO with created By ASR'!A:J,7,FALSE)</f>
        <v>A - Mumbai</v>
      </c>
      <c r="M3105" s="2" t="str">
        <f>VLOOKUP(B3105,'PO with created By ASR'!A:K,8,FALSE)</f>
        <v>Purchase Order-Mum</v>
      </c>
      <c r="N3105" t="s">
        <v>36</v>
      </c>
      <c r="P3105" s="2">
        <v>6</v>
      </c>
    </row>
    <row r="1030439" customFormat="1"/>
    <row r="1030440" customFormat="1"/>
    <row r="1030441" customFormat="1"/>
    <row r="1030442" customFormat="1"/>
    <row r="1030443" customFormat="1"/>
    <row r="1030444" customFormat="1"/>
    <row r="1030445" customFormat="1"/>
    <row r="1030446" customFormat="1"/>
    <row r="1030447" customFormat="1"/>
    <row r="1030448" customFormat="1"/>
    <row r="1030449" customFormat="1"/>
    <row r="1030450" customFormat="1"/>
    <row r="1030451" customFormat="1"/>
    <row r="1030452" customFormat="1"/>
    <row r="1030453" customFormat="1"/>
    <row r="1030454" customFormat="1"/>
    <row r="1030455" customFormat="1"/>
    <row r="1030456" customFormat="1"/>
    <row r="1030457" customFormat="1"/>
    <row r="1030458" customFormat="1"/>
    <row r="1030459" customFormat="1"/>
    <row r="1030460" customFormat="1"/>
    <row r="1030461" customFormat="1"/>
    <row r="1030462" customFormat="1"/>
    <row r="1030463" customFormat="1"/>
    <row r="1030464" customFormat="1"/>
    <row r="1030465" customFormat="1"/>
    <row r="1030466" customFormat="1"/>
    <row r="1030467" customFormat="1"/>
    <row r="1030468" customFormat="1"/>
    <row r="1030469" customFormat="1"/>
    <row r="1030470" customFormat="1"/>
    <row r="1030471" customFormat="1"/>
    <row r="1030472" customFormat="1"/>
    <row r="1030473" customFormat="1"/>
    <row r="1030474" customFormat="1"/>
    <row r="1030475" customFormat="1"/>
    <row r="1030476" customFormat="1"/>
    <row r="1030477" customFormat="1"/>
    <row r="1030478" customFormat="1"/>
    <row r="1030479" customFormat="1"/>
    <row r="1030480" customFormat="1"/>
    <row r="1030481" customFormat="1"/>
    <row r="1030482" customFormat="1"/>
    <row r="1030483" customFormat="1"/>
    <row r="1030484" customFormat="1"/>
    <row r="1030485" customFormat="1"/>
    <row r="1030486" customFormat="1"/>
    <row r="1030487" customFormat="1"/>
    <row r="1030488" customFormat="1"/>
    <row r="1030489" customFormat="1"/>
    <row r="1030490" customFormat="1"/>
    <row r="1030491" customFormat="1"/>
    <row r="1030492" customFormat="1"/>
    <row r="1030493" customFormat="1"/>
    <row r="1030494" customFormat="1"/>
    <row r="1030495" customFormat="1"/>
    <row r="1030496" customFormat="1"/>
    <row r="1030497" customFormat="1"/>
    <row r="1030498" customFormat="1"/>
    <row r="1030499" customFormat="1"/>
    <row r="1030500" customFormat="1"/>
    <row r="1030501" customFormat="1"/>
    <row r="1030502" customFormat="1"/>
    <row r="1030503" customFormat="1"/>
    <row r="1030504" customFormat="1"/>
    <row r="1030505" customFormat="1"/>
    <row r="1030506" customFormat="1"/>
    <row r="1030507" customFormat="1"/>
    <row r="1030508" customFormat="1"/>
    <row r="1030509" customFormat="1"/>
    <row r="1030510" customFormat="1"/>
    <row r="1030511" customFormat="1"/>
    <row r="1030512" customFormat="1"/>
    <row r="1030513" customFormat="1"/>
    <row r="1030514" customFormat="1"/>
    <row r="1030515" customFormat="1"/>
    <row r="1030516" customFormat="1"/>
    <row r="1030517" customFormat="1"/>
    <row r="1030518" customFormat="1"/>
    <row r="1030519" customFormat="1"/>
    <row r="1030520" customFormat="1"/>
    <row r="1030521" customFormat="1"/>
    <row r="1030522" customFormat="1"/>
    <row r="1030523" customFormat="1"/>
    <row r="1030524" customFormat="1"/>
    <row r="1030525" customFormat="1"/>
    <row r="1030526" customFormat="1"/>
    <row r="1030527" customFormat="1"/>
    <row r="1030528" customFormat="1"/>
    <row r="1030529" customFormat="1"/>
    <row r="1030530" customFormat="1"/>
    <row r="1030531" customFormat="1"/>
    <row r="1030532" customFormat="1"/>
    <row r="1030533" customFormat="1"/>
    <row r="1030534" customFormat="1"/>
    <row r="1030535" customFormat="1"/>
    <row r="1030536" customFormat="1"/>
    <row r="1030537" customFormat="1"/>
    <row r="1030538" customFormat="1"/>
    <row r="1030539" customFormat="1"/>
    <row r="1030540" customFormat="1"/>
    <row r="1030541" customFormat="1"/>
    <row r="1030542" customFormat="1"/>
    <row r="1030543" customFormat="1"/>
    <row r="1030544" customFormat="1"/>
    <row r="1030545" customFormat="1"/>
    <row r="1030546" customFormat="1"/>
    <row r="1030547" customFormat="1"/>
    <row r="1030548" customFormat="1"/>
    <row r="1030549" customFormat="1"/>
    <row r="1030550" customFormat="1"/>
    <row r="1030551" customFormat="1"/>
    <row r="1030552" customFormat="1"/>
    <row r="1030553" customFormat="1"/>
    <row r="1030554" customFormat="1"/>
    <row r="1030555" customFormat="1"/>
    <row r="1030556" customFormat="1"/>
    <row r="1030557" customFormat="1"/>
    <row r="1030558" customFormat="1"/>
    <row r="1030559" customFormat="1"/>
    <row r="1030560" customFormat="1"/>
    <row r="1030561" customFormat="1"/>
    <row r="1030562" customFormat="1"/>
    <row r="1030563" customFormat="1"/>
    <row r="1030564" customFormat="1"/>
    <row r="1030565" customFormat="1"/>
    <row r="1030566" customFormat="1"/>
    <row r="1030567" customFormat="1"/>
    <row r="1030568" customFormat="1"/>
    <row r="1030569" customFormat="1"/>
    <row r="1030570" customFormat="1"/>
    <row r="1030571" customFormat="1"/>
    <row r="1030572" customFormat="1"/>
    <row r="1030573" customFormat="1"/>
    <row r="1030574" customFormat="1"/>
    <row r="1030575" customFormat="1"/>
    <row r="1030576" customFormat="1"/>
    <row r="1030577" customFormat="1"/>
    <row r="1030578" customFormat="1"/>
    <row r="1030579" customFormat="1"/>
    <row r="1030580" customFormat="1"/>
    <row r="1030581" customFormat="1"/>
    <row r="1030582" customFormat="1"/>
    <row r="1030583" customFormat="1"/>
    <row r="1030584" customFormat="1"/>
    <row r="1030585" customFormat="1"/>
    <row r="1030586" customFormat="1"/>
    <row r="1030587" customFormat="1"/>
    <row r="1030588" customFormat="1"/>
    <row r="1030589" customFormat="1"/>
    <row r="1030590" customFormat="1"/>
    <row r="1030591" customFormat="1"/>
    <row r="1030592" customFormat="1"/>
    <row r="1030593" customFormat="1"/>
    <row r="1030594" customFormat="1"/>
    <row r="1030595" customFormat="1"/>
    <row r="1030596" customFormat="1"/>
    <row r="1030597" customFormat="1"/>
    <row r="1030598" customFormat="1"/>
    <row r="1030599" customFormat="1"/>
    <row r="1030600" customFormat="1"/>
    <row r="1030601" customFormat="1"/>
    <row r="1030602" customFormat="1"/>
    <row r="1030603" customFormat="1"/>
    <row r="1030604" customFormat="1"/>
    <row r="1030605" customFormat="1"/>
    <row r="1030606" customFormat="1"/>
    <row r="1030607" customFormat="1"/>
    <row r="1030608" customFormat="1"/>
    <row r="1030609" customFormat="1"/>
    <row r="1030610" customFormat="1"/>
    <row r="1030611" customFormat="1"/>
    <row r="1030612" customFormat="1"/>
    <row r="1030613" customFormat="1"/>
    <row r="1030614" customFormat="1"/>
    <row r="1030615" customFormat="1"/>
    <row r="1030616" customFormat="1"/>
    <row r="1030617" customFormat="1"/>
    <row r="1030618" customFormat="1"/>
    <row r="1030619" customFormat="1"/>
    <row r="1030620" customFormat="1"/>
    <row r="1030621" customFormat="1"/>
    <row r="1030622" customFormat="1"/>
    <row r="1030623" customFormat="1"/>
    <row r="1030624" customFormat="1"/>
    <row r="1030625" customFormat="1"/>
    <row r="1030626" customFormat="1"/>
    <row r="1030627" customFormat="1"/>
    <row r="1030628" customFormat="1"/>
    <row r="1030629" customFormat="1"/>
    <row r="1030630" customFormat="1"/>
    <row r="1030631" customFormat="1"/>
    <row r="1030632" customFormat="1"/>
    <row r="1030633" customFormat="1"/>
    <row r="1030634" customFormat="1"/>
    <row r="1030635" customFormat="1"/>
    <row r="1030636" customFormat="1"/>
    <row r="1030637" customFormat="1"/>
    <row r="1030638" customFormat="1"/>
    <row r="1030639" customFormat="1"/>
    <row r="1030640" customFormat="1"/>
    <row r="1030641" customFormat="1"/>
    <row r="1030642" customFormat="1"/>
    <row r="1030643" customFormat="1"/>
    <row r="1030644" customFormat="1"/>
    <row r="1030645" customFormat="1"/>
    <row r="1030646" customFormat="1"/>
    <row r="1030647" customFormat="1"/>
    <row r="1030648" customFormat="1"/>
    <row r="1030649" customFormat="1"/>
    <row r="1030650" customFormat="1"/>
    <row r="1030651" customFormat="1"/>
    <row r="1030652" customFormat="1"/>
    <row r="1030653" customFormat="1"/>
    <row r="1030654" customFormat="1"/>
    <row r="1030655" customFormat="1"/>
    <row r="1030656" customFormat="1"/>
    <row r="1030657" customFormat="1"/>
    <row r="1030658" customFormat="1"/>
    <row r="1030659" customFormat="1"/>
    <row r="1030660" customFormat="1"/>
    <row r="1030661" customFormat="1"/>
    <row r="1030662" customFormat="1"/>
    <row r="1030663" customFormat="1"/>
    <row r="1030664" customFormat="1"/>
    <row r="1030665" customFormat="1"/>
    <row r="1030666" customFormat="1"/>
    <row r="1030667" customFormat="1"/>
    <row r="1030668" customFormat="1"/>
    <row r="1030669" customFormat="1"/>
    <row r="1030670" customFormat="1"/>
    <row r="1030671" customFormat="1"/>
    <row r="1030672" customFormat="1"/>
    <row r="1030673" customFormat="1"/>
    <row r="1030674" customFormat="1"/>
    <row r="1030675" customFormat="1"/>
    <row r="1030676" customFormat="1"/>
    <row r="1030677" customFormat="1"/>
    <row r="1030678" customFormat="1"/>
    <row r="1030679" customFormat="1"/>
    <row r="1030680" customFormat="1"/>
    <row r="1030681" customFormat="1"/>
    <row r="1030682" customFormat="1"/>
    <row r="1030683" customFormat="1"/>
    <row r="1030684" customFormat="1"/>
    <row r="1030685" customFormat="1"/>
    <row r="1030686" customFormat="1"/>
    <row r="1030687" customFormat="1"/>
    <row r="1030688" customFormat="1"/>
    <row r="1030689" customFormat="1"/>
    <row r="1030690" customFormat="1"/>
    <row r="1030691" customFormat="1"/>
    <row r="1030692" customFormat="1"/>
    <row r="1030693" customFormat="1"/>
    <row r="1030694" customFormat="1"/>
    <row r="1030695" customFormat="1"/>
    <row r="1030696" customFormat="1"/>
    <row r="1030697" customFormat="1"/>
    <row r="1030698" customFormat="1"/>
    <row r="1030699" customFormat="1"/>
    <row r="1030700" customFormat="1"/>
    <row r="1030701" customFormat="1"/>
    <row r="1030702" customFormat="1"/>
    <row r="1030703" customFormat="1"/>
    <row r="1030704" customFormat="1"/>
    <row r="1030705" customFormat="1"/>
    <row r="1030706" customFormat="1"/>
    <row r="1030707" customFormat="1"/>
    <row r="1030708" customFormat="1"/>
    <row r="1030709" customFormat="1"/>
    <row r="1030710" customFormat="1"/>
    <row r="1030711" customFormat="1"/>
    <row r="1030712" customFormat="1"/>
    <row r="1030713" customFormat="1"/>
    <row r="1030714" customFormat="1"/>
    <row r="1030715" customFormat="1"/>
    <row r="1030716" customFormat="1"/>
    <row r="1030717" customFormat="1"/>
    <row r="1030718" customFormat="1"/>
    <row r="1030719" customFormat="1"/>
    <row r="1030720" customFormat="1"/>
    <row r="1030721" customFormat="1"/>
    <row r="1030722" customFormat="1"/>
    <row r="1030723" customFormat="1"/>
    <row r="1030724" customFormat="1"/>
    <row r="1030725" customFormat="1"/>
    <row r="1030726" customFormat="1"/>
    <row r="1030727" customFormat="1"/>
    <row r="1030728" customFormat="1"/>
    <row r="1030729" customFormat="1"/>
    <row r="1030730" customFormat="1"/>
    <row r="1030731" customFormat="1"/>
    <row r="1030732" customFormat="1"/>
    <row r="1030733" customFormat="1"/>
    <row r="1030734" customFormat="1"/>
    <row r="1030735" customFormat="1"/>
    <row r="1030736" customFormat="1"/>
    <row r="1030737" customFormat="1"/>
    <row r="1030738" customFormat="1"/>
    <row r="1030739" customFormat="1"/>
    <row r="1030740" customFormat="1"/>
    <row r="1030741" customFormat="1"/>
    <row r="1030742" customFormat="1"/>
    <row r="1030743" customFormat="1"/>
    <row r="1030744" customFormat="1"/>
    <row r="1030745" customFormat="1"/>
    <row r="1030746" customFormat="1"/>
    <row r="1030747" customFormat="1"/>
    <row r="1030748" customFormat="1"/>
    <row r="1030749" customFormat="1"/>
    <row r="1030750" customFormat="1"/>
    <row r="1030751" customFormat="1"/>
    <row r="1030752" customFormat="1"/>
    <row r="1030753" customFormat="1"/>
    <row r="1030754" customFormat="1"/>
    <row r="1030755" customFormat="1"/>
    <row r="1030756" customFormat="1"/>
    <row r="1030757" customFormat="1"/>
    <row r="1030758" customFormat="1"/>
    <row r="1030759" customFormat="1"/>
    <row r="1030760" customFormat="1"/>
    <row r="1030761" customFormat="1"/>
    <row r="1030762" customFormat="1"/>
    <row r="1030763" customFormat="1"/>
    <row r="1030764" customFormat="1"/>
    <row r="1030765" customFormat="1"/>
    <row r="1030766" customFormat="1"/>
    <row r="1030767" customFormat="1"/>
    <row r="1030768" customFormat="1"/>
    <row r="1030769" customFormat="1"/>
    <row r="1030770" customFormat="1"/>
    <row r="1030771" customFormat="1"/>
    <row r="1030772" customFormat="1"/>
    <row r="1030773" customFormat="1"/>
    <row r="1030774" customFormat="1"/>
    <row r="1030775" customFormat="1"/>
    <row r="1030776" customFormat="1"/>
    <row r="1030777" customFormat="1"/>
    <row r="1030778" customFormat="1"/>
    <row r="1030779" customFormat="1"/>
    <row r="1030780" customFormat="1"/>
    <row r="1030781" customFormat="1"/>
    <row r="1030782" customFormat="1"/>
    <row r="1030783" customFormat="1"/>
    <row r="1030784" customFormat="1"/>
    <row r="1030785" customFormat="1"/>
    <row r="1030786" customFormat="1"/>
    <row r="1030787" customFormat="1"/>
    <row r="1030788" customFormat="1"/>
    <row r="1030789" customFormat="1"/>
    <row r="1030790" customFormat="1"/>
    <row r="1030791" customFormat="1"/>
    <row r="1030792" customFormat="1"/>
    <row r="1030793" customFormat="1"/>
    <row r="1030794" customFormat="1"/>
    <row r="1030795" customFormat="1"/>
    <row r="1030796" customFormat="1"/>
    <row r="1030797" customFormat="1"/>
    <row r="1030798" customFormat="1"/>
    <row r="1030799" customFormat="1"/>
    <row r="1030800" customFormat="1"/>
    <row r="1030801" customFormat="1"/>
    <row r="1030802" customFormat="1"/>
    <row r="1030803" customFormat="1"/>
    <row r="1030804" customFormat="1"/>
    <row r="1030805" customFormat="1"/>
    <row r="1030806" customFormat="1"/>
    <row r="1030807" customFormat="1"/>
    <row r="1030808" customFormat="1"/>
    <row r="1030809" customFormat="1"/>
    <row r="1030810" customFormat="1"/>
    <row r="1030811" customFormat="1"/>
    <row r="1030812" customFormat="1"/>
    <row r="1030813" customFormat="1"/>
    <row r="1030814" customFormat="1"/>
    <row r="1030815" customFormat="1"/>
    <row r="1030816" customFormat="1"/>
    <row r="1030817" customFormat="1"/>
    <row r="1030818" customFormat="1"/>
    <row r="1030819" customFormat="1"/>
    <row r="1030820" customFormat="1"/>
    <row r="1030821" customFormat="1"/>
    <row r="1030822" customFormat="1"/>
    <row r="1030823" customFormat="1"/>
    <row r="1030824" customFormat="1"/>
    <row r="1030825" customFormat="1"/>
    <row r="1030826" customFormat="1"/>
    <row r="1030827" customFormat="1"/>
    <row r="1030828" customFormat="1"/>
    <row r="1030829" customFormat="1"/>
    <row r="1030830" customFormat="1"/>
    <row r="1030831" customFormat="1"/>
    <row r="1030832" customFormat="1"/>
    <row r="1030833" customFormat="1"/>
    <row r="1030834" customFormat="1"/>
    <row r="1030835" customFormat="1"/>
    <row r="1030836" customFormat="1"/>
    <row r="1030837" customFormat="1"/>
    <row r="1030838" customFormat="1"/>
    <row r="1030839" customFormat="1"/>
    <row r="1030840" customFormat="1"/>
    <row r="1030841" customFormat="1"/>
    <row r="1030842" customFormat="1"/>
    <row r="1030843" customFormat="1"/>
    <row r="1030844" customFormat="1"/>
    <row r="1030845" customFormat="1"/>
    <row r="1030846" customFormat="1"/>
    <row r="1030847" customFormat="1"/>
    <row r="1030848" customFormat="1"/>
    <row r="1030849" customFormat="1"/>
    <row r="1030850" customFormat="1"/>
    <row r="1030851" customFormat="1"/>
    <row r="1030852" customFormat="1"/>
    <row r="1030853" customFormat="1"/>
    <row r="1030854" customFormat="1"/>
    <row r="1030855" customFormat="1"/>
    <row r="1030856" customFormat="1"/>
    <row r="1030857" customFormat="1"/>
    <row r="1030858" customFormat="1"/>
    <row r="1030859" customFormat="1"/>
    <row r="1030860" customFormat="1"/>
    <row r="1030861" customFormat="1"/>
    <row r="1030862" customFormat="1"/>
    <row r="1030863" customFormat="1"/>
    <row r="1030864" customFormat="1"/>
    <row r="1030865" customFormat="1"/>
    <row r="1030866" customFormat="1"/>
    <row r="1030867" customFormat="1"/>
    <row r="1030868" customFormat="1"/>
    <row r="1030869" customFormat="1"/>
    <row r="1030870" customFormat="1"/>
    <row r="1030871" customFormat="1"/>
    <row r="1030872" customFormat="1"/>
    <row r="1030873" customFormat="1"/>
    <row r="1030874" customFormat="1"/>
    <row r="1030875" customFormat="1"/>
    <row r="1030876" customFormat="1"/>
    <row r="1030877" customFormat="1"/>
    <row r="1030878" customFormat="1"/>
    <row r="1030879" customFormat="1"/>
    <row r="1030880" customFormat="1"/>
    <row r="1030881" customFormat="1"/>
    <row r="1030882" customFormat="1"/>
    <row r="1030883" customFormat="1"/>
    <row r="1030884" customFormat="1"/>
    <row r="1030885" customFormat="1"/>
    <row r="1030886" customFormat="1"/>
    <row r="1030887" customFormat="1"/>
    <row r="1030888" customFormat="1"/>
    <row r="1030889" customFormat="1"/>
    <row r="1030890" customFormat="1"/>
    <row r="1030891" customFormat="1"/>
    <row r="1030892" customFormat="1"/>
    <row r="1030893" customFormat="1"/>
    <row r="1030894" customFormat="1"/>
    <row r="1030895" customFormat="1"/>
    <row r="1030896" customFormat="1"/>
    <row r="1030897" customFormat="1"/>
    <row r="1030898" customFormat="1"/>
    <row r="1030899" customFormat="1"/>
    <row r="1030900" customFormat="1"/>
    <row r="1030901" customFormat="1"/>
    <row r="1030902" customFormat="1"/>
    <row r="1030903" customFormat="1"/>
    <row r="1030904" customFormat="1"/>
    <row r="1030905" customFormat="1"/>
    <row r="1030906" customFormat="1"/>
    <row r="1030907" customFormat="1"/>
    <row r="1030908" customFormat="1"/>
    <row r="1030909" customFormat="1"/>
    <row r="1030910" customFormat="1"/>
    <row r="1030911" customFormat="1"/>
    <row r="1030912" customFormat="1"/>
    <row r="1030913" customFormat="1"/>
    <row r="1030914" customFormat="1"/>
    <row r="1030915" customFormat="1"/>
    <row r="1030916" customFormat="1"/>
    <row r="1030917" customFormat="1"/>
    <row r="1030918" customFormat="1"/>
    <row r="1030919" customFormat="1"/>
    <row r="1030920" customFormat="1"/>
    <row r="1030921" customFormat="1"/>
    <row r="1030922" customFormat="1"/>
    <row r="1030923" customFormat="1"/>
    <row r="1030924" customFormat="1"/>
    <row r="1030925" customFormat="1"/>
    <row r="1030926" customFormat="1"/>
    <row r="1030927" customFormat="1"/>
    <row r="1030928" customFormat="1"/>
    <row r="1030929" customFormat="1"/>
    <row r="1030930" customFormat="1"/>
    <row r="1030931" customFormat="1"/>
    <row r="1030932" customFormat="1"/>
    <row r="1030933" customFormat="1"/>
    <row r="1030934" customFormat="1"/>
    <row r="1030935" customFormat="1"/>
    <row r="1030936" customFormat="1"/>
    <row r="1030937" customFormat="1"/>
    <row r="1030938" customFormat="1"/>
    <row r="1030939" customFormat="1"/>
    <row r="1030940" customFormat="1"/>
    <row r="1030941" customFormat="1"/>
    <row r="1030942" customFormat="1"/>
    <row r="1030943" customFormat="1"/>
    <row r="1030944" customFormat="1"/>
    <row r="1030945" customFormat="1"/>
    <row r="1030946" customFormat="1"/>
    <row r="1030947" customFormat="1"/>
    <row r="1030948" customFormat="1"/>
    <row r="1030949" customFormat="1"/>
    <row r="1030950" customFormat="1"/>
    <row r="1030951" customFormat="1"/>
    <row r="1030952" customFormat="1"/>
    <row r="1030953" customFormat="1"/>
    <row r="1030954" customFormat="1"/>
    <row r="1030955" customFormat="1"/>
    <row r="1030956" customFormat="1"/>
    <row r="1030957" customFormat="1"/>
    <row r="1030958" customFormat="1"/>
    <row r="1030959" customFormat="1"/>
    <row r="1030960" customFormat="1"/>
    <row r="1030961" customFormat="1"/>
    <row r="1030962" customFormat="1"/>
    <row r="1030963" customFormat="1"/>
    <row r="1030964" customFormat="1"/>
    <row r="1030965" customFormat="1"/>
    <row r="1030966" customFormat="1"/>
    <row r="1030967" customFormat="1"/>
    <row r="1030968" customFormat="1"/>
    <row r="1030969" customFormat="1"/>
    <row r="1030970" customFormat="1"/>
    <row r="1030971" customFormat="1"/>
    <row r="1030972" customFormat="1"/>
    <row r="1030973" customFormat="1"/>
    <row r="1030974" customFormat="1"/>
    <row r="1030975" customFormat="1"/>
    <row r="1030976" customFormat="1"/>
    <row r="1030977" customFormat="1"/>
    <row r="1030978" customFormat="1"/>
    <row r="1030979" customFormat="1"/>
    <row r="1030980" customFormat="1"/>
    <row r="1030981" customFormat="1"/>
    <row r="1030982" customFormat="1"/>
    <row r="1030983" customFormat="1"/>
    <row r="1030984" customFormat="1"/>
    <row r="1030985" customFormat="1"/>
    <row r="1030986" customFormat="1"/>
    <row r="1030987" customFormat="1"/>
    <row r="1030988" customFormat="1"/>
    <row r="1030989" customFormat="1"/>
    <row r="1030990" customFormat="1"/>
    <row r="1030991" customFormat="1"/>
    <row r="1030992" customFormat="1"/>
    <row r="1030993" customFormat="1"/>
    <row r="1030994" customFormat="1"/>
    <row r="1030995" customFormat="1"/>
    <row r="1030996" customFormat="1"/>
    <row r="1030997" customFormat="1"/>
    <row r="1030998" customFormat="1"/>
    <row r="1030999" customFormat="1"/>
    <row r="1031000" customFormat="1"/>
    <row r="1031001" customFormat="1"/>
    <row r="1031002" customFormat="1"/>
    <row r="1031003" customFormat="1"/>
    <row r="1031004" customFormat="1"/>
    <row r="1031005" customFormat="1"/>
    <row r="1031006" customFormat="1"/>
    <row r="1031007" customFormat="1"/>
    <row r="1031008" customFormat="1"/>
    <row r="1031009" customFormat="1"/>
    <row r="1031010" customFormat="1"/>
    <row r="1031011" customFormat="1"/>
    <row r="1031012" customFormat="1"/>
    <row r="1031013" customFormat="1"/>
    <row r="1031014" customFormat="1"/>
    <row r="1031015" customFormat="1"/>
    <row r="1031016" customFormat="1"/>
    <row r="1031017" customFormat="1"/>
    <row r="1031018" customFormat="1"/>
    <row r="1031019" customFormat="1"/>
    <row r="1031020" customFormat="1"/>
    <row r="1031021" customFormat="1"/>
    <row r="1031022" customFormat="1"/>
    <row r="1031023" customFormat="1"/>
    <row r="1031024" customFormat="1"/>
    <row r="1031025" customFormat="1"/>
    <row r="1031026" customFormat="1"/>
    <row r="1031027" customFormat="1"/>
    <row r="1031028" customFormat="1"/>
    <row r="1031029" customFormat="1"/>
    <row r="1031030" customFormat="1"/>
    <row r="1031031" customFormat="1"/>
    <row r="1031032" customFormat="1"/>
    <row r="1031033" customFormat="1"/>
    <row r="1031034" customFormat="1"/>
    <row r="1031035" customFormat="1"/>
    <row r="1031036" customFormat="1"/>
    <row r="1031037" customFormat="1"/>
    <row r="1031038" customFormat="1"/>
    <row r="1031039" customFormat="1"/>
    <row r="1031040" customFormat="1"/>
    <row r="1031041" customFormat="1"/>
    <row r="1031042" customFormat="1"/>
    <row r="1031043" customFormat="1"/>
    <row r="1031044" customFormat="1"/>
    <row r="1031045" customFormat="1"/>
    <row r="1031046" customFormat="1"/>
    <row r="1031047" customFormat="1"/>
    <row r="1031048" customFormat="1"/>
    <row r="1031049" customFormat="1"/>
    <row r="1031050" customFormat="1"/>
    <row r="1031051" customFormat="1"/>
    <row r="1031052" customFormat="1"/>
    <row r="1031053" customFormat="1"/>
    <row r="1031054" customFormat="1"/>
    <row r="1031055" customFormat="1"/>
    <row r="1031056" customFormat="1"/>
    <row r="1031057" customFormat="1"/>
    <row r="1031058" customFormat="1"/>
    <row r="1031059" customFormat="1"/>
    <row r="1031060" customFormat="1"/>
    <row r="1031061" customFormat="1"/>
    <row r="1031062" customFormat="1"/>
    <row r="1031063" customFormat="1"/>
    <row r="1031064" customFormat="1"/>
    <row r="1031065" customFormat="1"/>
    <row r="1031066" customFormat="1"/>
    <row r="1031067" customFormat="1"/>
    <row r="1031068" customFormat="1"/>
    <row r="1031069" customFormat="1"/>
    <row r="1031070" customFormat="1"/>
    <row r="1031071" customFormat="1"/>
    <row r="1031072" customFormat="1"/>
    <row r="1031073" customFormat="1"/>
    <row r="1031074" customFormat="1"/>
    <row r="1031075" customFormat="1"/>
    <row r="1031076" customFormat="1"/>
    <row r="1031077" customFormat="1"/>
    <row r="1031078" customFormat="1"/>
    <row r="1031079" customFormat="1"/>
    <row r="1031080" customFormat="1"/>
    <row r="1031081" customFormat="1"/>
    <row r="1031082" customFormat="1"/>
    <row r="1031083" customFormat="1"/>
    <row r="1031084" customFormat="1"/>
    <row r="1031085" customFormat="1"/>
    <row r="1031086" customFormat="1"/>
    <row r="1031087" customFormat="1"/>
    <row r="1031088" customFormat="1"/>
    <row r="1031089" customFormat="1"/>
    <row r="1031090" customFormat="1"/>
    <row r="1031091" customFormat="1"/>
    <row r="1031092" customFormat="1"/>
    <row r="1031093" customFormat="1"/>
    <row r="1031094" customFormat="1"/>
    <row r="1031095" customFormat="1"/>
    <row r="1031096" customFormat="1"/>
    <row r="1031097" customFormat="1"/>
    <row r="1031098" customFormat="1"/>
    <row r="1031099" customFormat="1"/>
    <row r="1031100" customFormat="1"/>
    <row r="1031101" customFormat="1"/>
    <row r="1031102" customFormat="1"/>
    <row r="1031103" customFormat="1"/>
    <row r="1031104" customFormat="1"/>
    <row r="1031105" customFormat="1"/>
    <row r="1031106" customFormat="1"/>
    <row r="1031107" customFormat="1"/>
    <row r="1031108" customFormat="1"/>
    <row r="1031109" customFormat="1"/>
    <row r="1031110" customFormat="1"/>
    <row r="1031111" customFormat="1"/>
    <row r="1031112" customFormat="1"/>
    <row r="1031113" customFormat="1"/>
    <row r="1031114" customFormat="1"/>
    <row r="1031115" customFormat="1"/>
    <row r="1031116" customFormat="1"/>
    <row r="1031117" customFormat="1"/>
    <row r="1031118" customFormat="1"/>
    <row r="1031119" customFormat="1"/>
    <row r="1031120" customFormat="1"/>
    <row r="1031121" customFormat="1"/>
    <row r="1031122" customFormat="1"/>
    <row r="1031123" customFormat="1"/>
    <row r="1031124" customFormat="1"/>
    <row r="1031125" customFormat="1"/>
    <row r="1031126" customFormat="1"/>
    <row r="1031127" customFormat="1"/>
    <row r="1031128" customFormat="1"/>
    <row r="1031129" customFormat="1"/>
    <row r="1031130" customFormat="1"/>
    <row r="1031131" customFormat="1"/>
    <row r="1031132" customFormat="1"/>
    <row r="1031133" customFormat="1"/>
    <row r="1031134" customFormat="1"/>
    <row r="1031135" customFormat="1"/>
    <row r="1031136" customFormat="1"/>
    <row r="1031137" customFormat="1"/>
    <row r="1031138" customFormat="1"/>
    <row r="1031139" customFormat="1"/>
    <row r="1031140" customFormat="1"/>
    <row r="1031141" customFormat="1"/>
    <row r="1031142" customFormat="1"/>
    <row r="1031143" customFormat="1"/>
    <row r="1031144" customFormat="1"/>
    <row r="1031145" customFormat="1"/>
    <row r="1031146" customFormat="1"/>
    <row r="1031147" customFormat="1"/>
    <row r="1031148" customFormat="1"/>
    <row r="1031149" customFormat="1"/>
    <row r="1031150" customFormat="1"/>
    <row r="1031151" customFormat="1"/>
    <row r="1031152" customFormat="1"/>
    <row r="1031153" customFormat="1"/>
    <row r="1031154" customFormat="1"/>
    <row r="1031155" customFormat="1"/>
    <row r="1031156" customFormat="1"/>
    <row r="1031157" customFormat="1"/>
    <row r="1031158" customFormat="1"/>
    <row r="1031159" customFormat="1"/>
    <row r="1031160" customFormat="1"/>
    <row r="1031161" customFormat="1"/>
    <row r="1031162" customFormat="1"/>
    <row r="1031163" customFormat="1"/>
    <row r="1031164" customFormat="1"/>
    <row r="1031165" customFormat="1"/>
    <row r="1031166" customFormat="1"/>
    <row r="1031167" customFormat="1"/>
    <row r="1031168" customFormat="1"/>
    <row r="1031169" customFormat="1"/>
    <row r="1031170" customFormat="1"/>
    <row r="1031171" customFormat="1"/>
    <row r="1031172" customFormat="1"/>
    <row r="1031173" customFormat="1"/>
    <row r="1031174" customFormat="1"/>
    <row r="1031175" customFormat="1"/>
    <row r="1031176" customFormat="1"/>
    <row r="1031177" customFormat="1"/>
    <row r="1031178" customFormat="1"/>
    <row r="1031179" customFormat="1"/>
    <row r="1031180" customFormat="1"/>
    <row r="1031181" customFormat="1"/>
    <row r="1031182" customFormat="1"/>
    <row r="1031183" customFormat="1"/>
    <row r="1031184" customFormat="1"/>
    <row r="1031185" customFormat="1"/>
    <row r="1031186" customFormat="1"/>
    <row r="1031187" customFormat="1"/>
    <row r="1031188" customFormat="1"/>
    <row r="1031189" customFormat="1"/>
    <row r="1031190" customFormat="1"/>
    <row r="1031191" customFormat="1"/>
    <row r="1031192" customFormat="1"/>
    <row r="1031193" customFormat="1"/>
    <row r="1031194" customFormat="1"/>
    <row r="1031195" customFormat="1"/>
    <row r="1031196" customFormat="1"/>
    <row r="1031197" customFormat="1"/>
    <row r="1031198" customFormat="1"/>
    <row r="1031199" customFormat="1"/>
    <row r="1031200" customFormat="1"/>
    <row r="1031201" customFormat="1"/>
    <row r="1031202" customFormat="1"/>
    <row r="1031203" customFormat="1"/>
    <row r="1031204" customFormat="1"/>
    <row r="1031205" customFormat="1"/>
    <row r="1031206" customFormat="1"/>
    <row r="1031207" customFormat="1"/>
    <row r="1031208" customFormat="1"/>
    <row r="1031209" customFormat="1"/>
    <row r="1031210" customFormat="1"/>
    <row r="1031211" customFormat="1"/>
    <row r="1031212" customFormat="1"/>
    <row r="1031213" customFormat="1"/>
    <row r="1031214" customFormat="1"/>
    <row r="1031215" customFormat="1"/>
    <row r="1031216" customFormat="1"/>
    <row r="1031217" customFormat="1"/>
    <row r="1031218" customFormat="1"/>
    <row r="1031219" customFormat="1"/>
    <row r="1031220" customFormat="1"/>
    <row r="1031221" customFormat="1"/>
    <row r="1031222" customFormat="1"/>
    <row r="1031223" customFormat="1"/>
    <row r="1031224" customFormat="1"/>
    <row r="1031225" customFormat="1"/>
    <row r="1031226" customFormat="1"/>
    <row r="1031227" customFormat="1"/>
    <row r="1031228" customFormat="1"/>
    <row r="1031229" customFormat="1"/>
    <row r="1031230" customFormat="1"/>
    <row r="1031231" customFormat="1"/>
    <row r="1031232" customFormat="1"/>
    <row r="1031233" customFormat="1"/>
    <row r="1031234" customFormat="1"/>
    <row r="1031235" customFormat="1"/>
    <row r="1031236" customFormat="1"/>
    <row r="1031237" customFormat="1"/>
    <row r="1031238" customFormat="1"/>
    <row r="1031239" customFormat="1"/>
    <row r="1031240" customFormat="1"/>
    <row r="1031241" customFormat="1"/>
    <row r="1031242" customFormat="1"/>
    <row r="1031243" customFormat="1"/>
    <row r="1031244" customFormat="1"/>
    <row r="1031245" customFormat="1"/>
    <row r="1031246" customFormat="1"/>
    <row r="1031247" customFormat="1"/>
    <row r="1031248" customFormat="1"/>
    <row r="1031249" customFormat="1"/>
    <row r="1031250" customFormat="1"/>
    <row r="1031251" customFormat="1"/>
    <row r="1031252" customFormat="1"/>
    <row r="1031253" customFormat="1"/>
    <row r="1031254" customFormat="1"/>
    <row r="1031255" customFormat="1"/>
    <row r="1031256" customFormat="1"/>
    <row r="1031257" customFormat="1"/>
    <row r="1031258" customFormat="1"/>
    <row r="1031259" customFormat="1"/>
    <row r="1031260" customFormat="1"/>
    <row r="1031261" customFormat="1"/>
    <row r="1031262" customFormat="1"/>
    <row r="1031263" customFormat="1"/>
    <row r="1031264" customFormat="1"/>
    <row r="1031265" customFormat="1"/>
    <row r="1031266" customFormat="1"/>
    <row r="1031267" customFormat="1"/>
    <row r="1031268" customFormat="1"/>
    <row r="1031269" customFormat="1"/>
    <row r="1031270" customFormat="1"/>
    <row r="1031271" customFormat="1"/>
    <row r="1031272" customFormat="1"/>
    <row r="1031273" customFormat="1"/>
    <row r="1031274" customFormat="1"/>
    <row r="1031275" customFormat="1"/>
    <row r="1031276" customFormat="1"/>
    <row r="1031277" customFormat="1"/>
    <row r="1031278" customFormat="1"/>
    <row r="1031279" customFormat="1"/>
    <row r="1031280" customFormat="1"/>
    <row r="1031281" customFormat="1"/>
    <row r="1031282" customFormat="1"/>
    <row r="1031283" customFormat="1"/>
    <row r="1031284" customFormat="1"/>
    <row r="1031285" customFormat="1"/>
    <row r="1031286" customFormat="1"/>
    <row r="1031287" customFormat="1"/>
    <row r="1031288" customFormat="1"/>
    <row r="1031289" customFormat="1"/>
    <row r="1031290" customFormat="1"/>
    <row r="1031291" customFormat="1"/>
    <row r="1031292" customFormat="1"/>
    <row r="1031293" customFormat="1"/>
    <row r="1031294" customFormat="1"/>
    <row r="1031295" customFormat="1"/>
    <row r="1031296" customFormat="1"/>
    <row r="1031297" customFormat="1"/>
    <row r="1031298" customFormat="1"/>
    <row r="1031299" customFormat="1"/>
    <row r="1031300" customFormat="1"/>
    <row r="1031301" customFormat="1"/>
    <row r="1031302" customFormat="1"/>
    <row r="1031303" customFormat="1"/>
    <row r="1031304" customFormat="1"/>
    <row r="1031305" customFormat="1"/>
    <row r="1031306" customFormat="1"/>
    <row r="1031307" customFormat="1"/>
    <row r="1031308" customFormat="1"/>
    <row r="1031309" customFormat="1"/>
    <row r="1031310" customFormat="1"/>
    <row r="1031311" customFormat="1"/>
    <row r="1031312" customFormat="1"/>
    <row r="1031313" customFormat="1"/>
    <row r="1031314" customFormat="1"/>
    <row r="1031315" customFormat="1"/>
    <row r="1031316" customFormat="1"/>
    <row r="1031317" customFormat="1"/>
    <row r="1031318" customFormat="1"/>
    <row r="1031319" customFormat="1"/>
    <row r="1031320" customFormat="1"/>
    <row r="1031321" customFormat="1"/>
    <row r="1031322" customFormat="1"/>
    <row r="1031323" customFormat="1"/>
    <row r="1031324" customFormat="1"/>
    <row r="1031325" customFormat="1"/>
    <row r="1031326" customFormat="1"/>
    <row r="1031327" customFormat="1"/>
    <row r="1031328" customFormat="1"/>
    <row r="1031329" customFormat="1"/>
    <row r="1031330" customFormat="1"/>
    <row r="1031331" customFormat="1"/>
    <row r="1031332" customFormat="1"/>
    <row r="1031333" customFormat="1"/>
    <row r="1031334" customFormat="1"/>
    <row r="1031335" customFormat="1"/>
    <row r="1031336" customFormat="1"/>
    <row r="1031337" customFormat="1"/>
    <row r="1031338" customFormat="1"/>
    <row r="1031339" customFormat="1"/>
    <row r="1031340" customFormat="1"/>
    <row r="1031341" customFormat="1"/>
    <row r="1031342" customFormat="1"/>
    <row r="1031343" customFormat="1"/>
    <row r="1031344" customFormat="1"/>
    <row r="1031345" customFormat="1"/>
    <row r="1031346" customFormat="1"/>
    <row r="1031347" customFormat="1"/>
    <row r="1031348" customFormat="1"/>
    <row r="1031349" customFormat="1"/>
    <row r="1031350" customFormat="1"/>
    <row r="1031351" customFormat="1"/>
    <row r="1031352" customFormat="1"/>
    <row r="1031353" customFormat="1"/>
    <row r="1031354" customFormat="1"/>
    <row r="1031355" customFormat="1"/>
    <row r="1031356" customFormat="1"/>
    <row r="1031357" customFormat="1"/>
    <row r="1031358" customFormat="1"/>
    <row r="1031359" customFormat="1"/>
    <row r="1031360" customFormat="1"/>
    <row r="1031361" customFormat="1"/>
    <row r="1031362" customFormat="1"/>
    <row r="1031363" customFormat="1"/>
    <row r="1031364" customFormat="1"/>
    <row r="1031365" customFormat="1"/>
    <row r="1031366" customFormat="1"/>
    <row r="1031367" customFormat="1"/>
    <row r="1031368" customFormat="1"/>
    <row r="1031369" customFormat="1"/>
    <row r="1031370" customFormat="1"/>
    <row r="1031371" customFormat="1"/>
    <row r="1031372" customFormat="1"/>
    <row r="1031373" customFormat="1"/>
    <row r="1031374" customFormat="1"/>
    <row r="1031375" customFormat="1"/>
    <row r="1031376" customFormat="1"/>
    <row r="1031377" customFormat="1"/>
    <row r="1031378" customFormat="1"/>
    <row r="1031379" customFormat="1"/>
    <row r="1031380" customFormat="1"/>
    <row r="1031381" customFormat="1"/>
    <row r="1031382" customFormat="1"/>
    <row r="1031383" customFormat="1"/>
    <row r="1031384" customFormat="1"/>
    <row r="1031385" customFormat="1"/>
    <row r="1031386" customFormat="1"/>
    <row r="1031387" customFormat="1"/>
    <row r="1031388" customFormat="1"/>
    <row r="1031389" customFormat="1"/>
    <row r="1031390" customFormat="1"/>
    <row r="1031391" customFormat="1"/>
    <row r="1031392" customFormat="1"/>
    <row r="1031393" customFormat="1"/>
    <row r="1031394" customFormat="1"/>
    <row r="1031395" customFormat="1"/>
    <row r="1031396" customFormat="1"/>
    <row r="1031397" customFormat="1"/>
    <row r="1031398" customFormat="1"/>
    <row r="1031399" customFormat="1"/>
    <row r="1031400" customFormat="1"/>
    <row r="1031401" customFormat="1"/>
    <row r="1031402" customFormat="1"/>
    <row r="1031403" customFormat="1"/>
    <row r="1031404" customFormat="1"/>
    <row r="1031405" customFormat="1"/>
    <row r="1031406" customFormat="1"/>
    <row r="1031407" customFormat="1"/>
    <row r="1031408" customFormat="1"/>
    <row r="1031409" customFormat="1"/>
    <row r="1031410" customFormat="1"/>
    <row r="1031411" customFormat="1"/>
    <row r="1031412" customFormat="1"/>
    <row r="1031413" customFormat="1"/>
    <row r="1031414" customFormat="1"/>
    <row r="1031415" customFormat="1"/>
    <row r="1031416" customFormat="1"/>
    <row r="1031417" customFormat="1"/>
    <row r="1031418" customFormat="1"/>
    <row r="1031419" customFormat="1"/>
    <row r="1031420" customFormat="1"/>
    <row r="1031421" customFormat="1"/>
    <row r="1031422" customFormat="1"/>
    <row r="1031423" customFormat="1"/>
    <row r="1031424" customFormat="1"/>
    <row r="1031425" customFormat="1"/>
    <row r="1031426" customFormat="1"/>
    <row r="1031427" customFormat="1"/>
    <row r="1031428" customFormat="1"/>
    <row r="1031429" customFormat="1"/>
    <row r="1031430" customFormat="1"/>
    <row r="1031431" customFormat="1"/>
    <row r="1031432" customFormat="1"/>
    <row r="1031433" customFormat="1"/>
    <row r="1031434" customFormat="1"/>
    <row r="1031435" customFormat="1"/>
    <row r="1031436" customFormat="1"/>
    <row r="1031437" customFormat="1"/>
    <row r="1031438" customFormat="1"/>
    <row r="1031439" customFormat="1"/>
    <row r="1031440" customFormat="1"/>
    <row r="1031441" customFormat="1"/>
    <row r="1031442" customFormat="1"/>
    <row r="1031443" customFormat="1"/>
    <row r="1031444" customFormat="1"/>
    <row r="1031445" customFormat="1"/>
    <row r="1031446" customFormat="1"/>
    <row r="1031447" customFormat="1"/>
    <row r="1031448" customFormat="1"/>
    <row r="1031449" customFormat="1"/>
    <row r="1031450" customFormat="1"/>
    <row r="1031451" customFormat="1"/>
    <row r="1031452" customFormat="1"/>
    <row r="1031453" customFormat="1"/>
    <row r="1031454" customFormat="1"/>
    <row r="1031455" customFormat="1"/>
    <row r="1031456" customFormat="1"/>
    <row r="1031457" customFormat="1"/>
    <row r="1031458" customFormat="1"/>
    <row r="1031459" customFormat="1"/>
    <row r="1031460" customFormat="1"/>
    <row r="1031461" customFormat="1"/>
    <row r="1031462" customFormat="1"/>
    <row r="1031463" customFormat="1"/>
    <row r="1031464" customFormat="1"/>
    <row r="1031465" customFormat="1"/>
    <row r="1031466" customFormat="1"/>
    <row r="1031467" customFormat="1"/>
    <row r="1031468" customFormat="1"/>
    <row r="1031469" customFormat="1"/>
    <row r="1031470" customFormat="1"/>
    <row r="1031471" customFormat="1"/>
    <row r="1031472" customFormat="1"/>
    <row r="1031473" customFormat="1"/>
    <row r="1031474" customFormat="1"/>
    <row r="1031475" customFormat="1"/>
    <row r="1031476" customFormat="1"/>
    <row r="1031477" customFormat="1"/>
    <row r="1031478" customFormat="1"/>
    <row r="1031479" customFormat="1"/>
    <row r="1031480" customFormat="1"/>
    <row r="1031481" customFormat="1"/>
    <row r="1031482" customFormat="1"/>
    <row r="1031483" customFormat="1"/>
    <row r="1031484" customFormat="1"/>
    <row r="1031485" customFormat="1"/>
    <row r="1031486" customFormat="1"/>
    <row r="1031487" customFormat="1"/>
    <row r="1031488" customFormat="1"/>
    <row r="1031489" customFormat="1"/>
    <row r="1031490" customFormat="1"/>
    <row r="1031491" customFormat="1"/>
    <row r="1031492" customFormat="1"/>
    <row r="1031493" customFormat="1"/>
    <row r="1031494" customFormat="1"/>
    <row r="1031495" customFormat="1"/>
    <row r="1031496" customFormat="1"/>
    <row r="1031497" customFormat="1"/>
    <row r="1031498" customFormat="1"/>
    <row r="1031499" customFormat="1"/>
    <row r="1031500" customFormat="1"/>
    <row r="1031501" customFormat="1"/>
    <row r="1031502" customFormat="1"/>
    <row r="1031503" customFormat="1"/>
    <row r="1031504" customFormat="1"/>
    <row r="1031505" customFormat="1"/>
    <row r="1031506" customFormat="1"/>
    <row r="1031507" customFormat="1"/>
    <row r="1031508" customFormat="1"/>
    <row r="1031509" customFormat="1"/>
    <row r="1031510" customFormat="1"/>
    <row r="1031511" customFormat="1"/>
    <row r="1031512" customFormat="1"/>
    <row r="1031513" customFormat="1"/>
    <row r="1031514" customFormat="1"/>
    <row r="1031515" customFormat="1"/>
    <row r="1031516" customFormat="1"/>
    <row r="1031517" customFormat="1"/>
    <row r="1031518" customFormat="1"/>
    <row r="1031519" customFormat="1"/>
    <row r="1031520" customFormat="1"/>
    <row r="1031521" customFormat="1"/>
    <row r="1031522" customFormat="1"/>
    <row r="1031523" customFormat="1"/>
    <row r="1031524" customFormat="1"/>
    <row r="1031525" customFormat="1"/>
    <row r="1031526" customFormat="1"/>
    <row r="1031527" customFormat="1"/>
    <row r="1031528" customFormat="1"/>
    <row r="1031529" customFormat="1"/>
    <row r="1031530" customFormat="1"/>
    <row r="1031531" customFormat="1"/>
    <row r="1031532" customFormat="1"/>
    <row r="1031533" customFormat="1"/>
    <row r="1031534" customFormat="1"/>
    <row r="1031535" customFormat="1"/>
    <row r="1031536" customFormat="1"/>
    <row r="1031537" customFormat="1"/>
    <row r="1031538" customFormat="1"/>
    <row r="1031539" customFormat="1"/>
    <row r="1031540" customFormat="1"/>
    <row r="1031541" customFormat="1"/>
    <row r="1031542" customFormat="1"/>
    <row r="1031543" customFormat="1"/>
    <row r="1031544" customFormat="1"/>
    <row r="1031545" customFormat="1"/>
    <row r="1031546" customFormat="1"/>
    <row r="1031547" customFormat="1"/>
    <row r="1031548" customFormat="1"/>
    <row r="1031549" customFormat="1"/>
    <row r="1031550" customFormat="1"/>
    <row r="1031551" customFormat="1"/>
    <row r="1031552" customFormat="1"/>
    <row r="1031553" customFormat="1"/>
    <row r="1031554" customFormat="1"/>
    <row r="1031555" customFormat="1"/>
    <row r="1031556" customFormat="1"/>
    <row r="1031557" customFormat="1"/>
    <row r="1031558" customFormat="1"/>
    <row r="1031559" customFormat="1"/>
    <row r="1031560" customFormat="1"/>
    <row r="1031561" customFormat="1"/>
    <row r="1031562" customFormat="1"/>
    <row r="1031563" customFormat="1"/>
    <row r="1031564" customFormat="1"/>
    <row r="1031565" customFormat="1"/>
    <row r="1031566" customFormat="1"/>
    <row r="1031567" customFormat="1"/>
    <row r="1031568" customFormat="1"/>
    <row r="1031569" customFormat="1"/>
    <row r="1031570" customFormat="1"/>
    <row r="1031571" customFormat="1"/>
    <row r="1031572" customFormat="1"/>
    <row r="1031573" customFormat="1"/>
    <row r="1031574" customFormat="1"/>
    <row r="1031575" customFormat="1"/>
    <row r="1031576" customFormat="1"/>
    <row r="1031577" customFormat="1"/>
    <row r="1031578" customFormat="1"/>
    <row r="1031579" customFormat="1"/>
    <row r="1031580" customFormat="1"/>
    <row r="1031581" customFormat="1"/>
    <row r="1031582" customFormat="1"/>
    <row r="1031583" customFormat="1"/>
    <row r="1031584" customFormat="1"/>
    <row r="1031585" customFormat="1"/>
    <row r="1031586" customFormat="1"/>
    <row r="1031587" customFormat="1"/>
    <row r="1031588" customFormat="1"/>
    <row r="1031589" customFormat="1"/>
    <row r="1031590" customFormat="1"/>
    <row r="1031591" customFormat="1"/>
    <row r="1031592" customFormat="1"/>
    <row r="1031593" customFormat="1"/>
    <row r="1031594" customFormat="1"/>
    <row r="1031595" customFormat="1"/>
    <row r="1031596" customFormat="1"/>
    <row r="1031597" customFormat="1"/>
    <row r="1031598" customFormat="1"/>
    <row r="1031599" customFormat="1"/>
    <row r="1031600" customFormat="1"/>
    <row r="1031601" customFormat="1"/>
    <row r="1031602" customFormat="1"/>
    <row r="1031603" customFormat="1"/>
    <row r="1031604" customFormat="1"/>
    <row r="1031605" customFormat="1"/>
    <row r="1031606" customFormat="1"/>
    <row r="1031607" customFormat="1"/>
    <row r="1031608" customFormat="1"/>
    <row r="1031609" customFormat="1"/>
    <row r="1031610" customFormat="1"/>
    <row r="1031611" customFormat="1"/>
    <row r="1031612" customFormat="1"/>
    <row r="1031613" customFormat="1"/>
    <row r="1031614" customFormat="1"/>
    <row r="1031615" customFormat="1"/>
    <row r="1031616" customFormat="1"/>
    <row r="1031617" customFormat="1"/>
    <row r="1031618" customFormat="1"/>
    <row r="1031619" customFormat="1"/>
    <row r="1031620" customFormat="1"/>
    <row r="1031621" customFormat="1"/>
    <row r="1031622" customFormat="1"/>
    <row r="1031623" customFormat="1"/>
    <row r="1031624" customFormat="1"/>
    <row r="1031625" customFormat="1"/>
    <row r="1031626" customFormat="1"/>
    <row r="1031627" customFormat="1"/>
    <row r="1031628" customFormat="1"/>
    <row r="1031629" customFormat="1"/>
    <row r="1031630" customFormat="1"/>
    <row r="1031631" customFormat="1"/>
    <row r="1031632" customFormat="1"/>
    <row r="1031633" customFormat="1"/>
    <row r="1031634" customFormat="1"/>
    <row r="1031635" customFormat="1"/>
    <row r="1031636" customFormat="1"/>
    <row r="1031637" customFormat="1"/>
    <row r="1031638" customFormat="1"/>
    <row r="1031639" customFormat="1"/>
    <row r="1031640" customFormat="1"/>
    <row r="1031641" customFormat="1"/>
    <row r="1031642" customFormat="1"/>
    <row r="1031643" customFormat="1"/>
    <row r="1031644" customFormat="1"/>
    <row r="1031645" customFormat="1"/>
    <row r="1031646" customFormat="1"/>
    <row r="1031647" customFormat="1"/>
    <row r="1031648" customFormat="1"/>
    <row r="1031649" customFormat="1"/>
    <row r="1031650" customFormat="1"/>
    <row r="1031651" customFormat="1"/>
    <row r="1031652" customFormat="1"/>
    <row r="1031653" customFormat="1"/>
    <row r="1031654" customFormat="1"/>
    <row r="1031655" customFormat="1"/>
    <row r="1031656" customFormat="1"/>
    <row r="1031657" customFormat="1"/>
    <row r="1031658" customFormat="1"/>
    <row r="1031659" customFormat="1"/>
    <row r="1031660" customFormat="1"/>
    <row r="1031661" customFormat="1"/>
    <row r="1031662" customFormat="1"/>
    <row r="1031663" customFormat="1"/>
    <row r="1031664" customFormat="1"/>
    <row r="1031665" customFormat="1"/>
    <row r="1031666" customFormat="1"/>
    <row r="1031667" customFormat="1"/>
    <row r="1031668" customFormat="1"/>
    <row r="1031669" customFormat="1"/>
    <row r="1031670" customFormat="1"/>
    <row r="1031671" customFormat="1"/>
    <row r="1031672" customFormat="1"/>
    <row r="1031673" customFormat="1"/>
    <row r="1031674" customFormat="1"/>
    <row r="1031675" customFormat="1"/>
    <row r="1031676" customFormat="1"/>
    <row r="1031677" customFormat="1"/>
    <row r="1031678" customFormat="1"/>
    <row r="1031679" customFormat="1"/>
    <row r="1031680" customFormat="1"/>
    <row r="1031681" customFormat="1"/>
    <row r="1031682" customFormat="1"/>
    <row r="1031683" customFormat="1"/>
    <row r="1031684" customFormat="1"/>
    <row r="1031685" customFormat="1"/>
    <row r="1031686" customFormat="1"/>
    <row r="1031687" customFormat="1"/>
    <row r="1031688" customFormat="1"/>
    <row r="1031689" customFormat="1"/>
    <row r="1031690" customFormat="1"/>
    <row r="1031691" customFormat="1"/>
    <row r="1031692" customFormat="1"/>
    <row r="1031693" customFormat="1"/>
    <row r="1031694" customFormat="1"/>
    <row r="1031695" customFormat="1"/>
    <row r="1031696" customFormat="1"/>
    <row r="1031697" customFormat="1"/>
    <row r="1031698" customFormat="1"/>
    <row r="1031699" customFormat="1"/>
    <row r="1031700" customFormat="1"/>
    <row r="1031701" customFormat="1"/>
    <row r="1031702" customFormat="1"/>
    <row r="1031703" customFormat="1"/>
    <row r="1031704" customFormat="1"/>
    <row r="1031705" customFormat="1"/>
    <row r="1031706" customFormat="1"/>
    <row r="1031707" customFormat="1"/>
    <row r="1031708" customFormat="1"/>
    <row r="1031709" customFormat="1"/>
    <row r="1031710" customFormat="1"/>
    <row r="1031711" customFormat="1"/>
    <row r="1031712" customFormat="1"/>
    <row r="1031713" customFormat="1"/>
    <row r="1031714" customFormat="1"/>
    <row r="1031715" customFormat="1"/>
    <row r="1031716" customFormat="1"/>
    <row r="1031717" customFormat="1"/>
    <row r="1031718" customFormat="1"/>
    <row r="1031719" customFormat="1"/>
    <row r="1031720" customFormat="1"/>
    <row r="1031721" customFormat="1"/>
    <row r="1031722" customFormat="1"/>
    <row r="1031723" customFormat="1"/>
    <row r="1031724" customFormat="1"/>
    <row r="1031725" customFormat="1"/>
    <row r="1031726" customFormat="1"/>
    <row r="1031727" customFormat="1"/>
    <row r="1031728" customFormat="1"/>
    <row r="1031729" customFormat="1"/>
    <row r="1031730" customFormat="1"/>
    <row r="1031731" customFormat="1"/>
    <row r="1031732" customFormat="1"/>
    <row r="1031733" customFormat="1"/>
    <row r="1031734" customFormat="1"/>
    <row r="1031735" customFormat="1"/>
    <row r="1031736" customFormat="1"/>
    <row r="1031737" customFormat="1"/>
    <row r="1031738" customFormat="1"/>
    <row r="1031739" customFormat="1"/>
    <row r="1031740" customFormat="1"/>
    <row r="1031741" customFormat="1"/>
    <row r="1031742" customFormat="1"/>
    <row r="1031743" customFormat="1"/>
    <row r="1031744" customFormat="1"/>
    <row r="1031745" customFormat="1"/>
    <row r="1031746" customFormat="1"/>
    <row r="1031747" customFormat="1"/>
    <row r="1031748" customFormat="1"/>
    <row r="1031749" customFormat="1"/>
    <row r="1031750" customFormat="1"/>
    <row r="1031751" customFormat="1"/>
    <row r="1031752" customFormat="1"/>
    <row r="1031753" customFormat="1"/>
    <row r="1031754" customFormat="1"/>
    <row r="1031755" customFormat="1"/>
    <row r="1031756" customFormat="1"/>
    <row r="1031757" customFormat="1"/>
    <row r="1031758" customFormat="1"/>
    <row r="1031759" customFormat="1"/>
    <row r="1031760" customFormat="1"/>
    <row r="1031761" customFormat="1"/>
    <row r="1031762" customFormat="1"/>
    <row r="1031763" customFormat="1"/>
    <row r="1031764" customFormat="1"/>
    <row r="1031765" customFormat="1"/>
    <row r="1031766" customFormat="1"/>
    <row r="1031767" customFormat="1"/>
    <row r="1031768" customFormat="1"/>
    <row r="1031769" customFormat="1"/>
    <row r="1031770" customFormat="1"/>
    <row r="1031771" customFormat="1"/>
    <row r="1031772" customFormat="1"/>
    <row r="1031773" customFormat="1"/>
    <row r="1031774" customFormat="1"/>
    <row r="1031775" customFormat="1"/>
    <row r="1031776" customFormat="1"/>
    <row r="1031777" customFormat="1"/>
    <row r="1031778" customFormat="1"/>
    <row r="1031779" customFormat="1"/>
    <row r="1031780" customFormat="1"/>
    <row r="1031781" customFormat="1"/>
    <row r="1031782" customFormat="1"/>
    <row r="1031783" customFormat="1"/>
    <row r="1031784" customFormat="1"/>
    <row r="1031785" customFormat="1"/>
    <row r="1031786" customFormat="1"/>
    <row r="1031787" customFormat="1"/>
    <row r="1031788" customFormat="1"/>
    <row r="1031789" customFormat="1"/>
    <row r="1031790" customFormat="1"/>
    <row r="1031791" customFormat="1"/>
    <row r="1031792" customFormat="1"/>
    <row r="1031793" customFormat="1"/>
    <row r="1031794" customFormat="1"/>
    <row r="1031795" customFormat="1"/>
    <row r="1031796" customFormat="1"/>
    <row r="1031797" customFormat="1"/>
    <row r="1031798" customFormat="1"/>
    <row r="1031799" customFormat="1"/>
    <row r="1031800" customFormat="1"/>
    <row r="1031801" customFormat="1"/>
    <row r="1031802" customFormat="1"/>
    <row r="1031803" customFormat="1"/>
    <row r="1031804" customFormat="1"/>
    <row r="1031805" customFormat="1"/>
    <row r="1031806" customFormat="1"/>
    <row r="1031807" customFormat="1"/>
    <row r="1031808" customFormat="1"/>
    <row r="1031809" customFormat="1"/>
    <row r="1031810" customFormat="1"/>
    <row r="1031811" customFormat="1"/>
    <row r="1031812" customFormat="1"/>
    <row r="1031813" customFormat="1"/>
    <row r="1031814" customFormat="1"/>
    <row r="1031815" customFormat="1"/>
    <row r="1031816" customFormat="1"/>
    <row r="1031817" customFormat="1"/>
    <row r="1031818" customFormat="1"/>
    <row r="1031819" customFormat="1"/>
    <row r="1031820" customFormat="1"/>
    <row r="1031821" customFormat="1"/>
    <row r="1031822" customFormat="1"/>
    <row r="1031823" customFormat="1"/>
    <row r="1031824" customFormat="1"/>
    <row r="1031825" customFormat="1"/>
    <row r="1031826" customFormat="1"/>
    <row r="1031827" customFormat="1"/>
    <row r="1031828" customFormat="1"/>
    <row r="1031829" customFormat="1"/>
    <row r="1031830" customFormat="1"/>
    <row r="1031831" customFormat="1"/>
    <row r="1031832" customFormat="1"/>
    <row r="1031833" customFormat="1"/>
    <row r="1031834" customFormat="1"/>
    <row r="1031835" customFormat="1"/>
    <row r="1031836" customFormat="1"/>
    <row r="1031837" customFormat="1"/>
    <row r="1031838" customFormat="1"/>
    <row r="1031839" customFormat="1"/>
    <row r="1031840" customFormat="1"/>
    <row r="1031841" customFormat="1"/>
    <row r="1031842" customFormat="1"/>
    <row r="1031843" customFormat="1"/>
    <row r="1031844" customFormat="1"/>
    <row r="1031845" customFormat="1"/>
    <row r="1031846" customFormat="1"/>
    <row r="1031847" customFormat="1"/>
    <row r="1031848" customFormat="1"/>
    <row r="1031849" customFormat="1"/>
    <row r="1031850" customFormat="1"/>
    <row r="1031851" customFormat="1"/>
    <row r="1031852" customFormat="1"/>
    <row r="1031853" customFormat="1"/>
    <row r="1031854" customFormat="1"/>
    <row r="1031855" customFormat="1"/>
    <row r="1031856" customFormat="1"/>
    <row r="1031857" customFormat="1"/>
    <row r="1031858" customFormat="1"/>
    <row r="1031859" customFormat="1"/>
    <row r="1031860" customFormat="1"/>
    <row r="1031861" customFormat="1"/>
    <row r="1031862" customFormat="1"/>
    <row r="1031863" customFormat="1"/>
    <row r="1031864" customFormat="1"/>
    <row r="1031865" customFormat="1"/>
    <row r="1031866" customFormat="1"/>
    <row r="1031867" customFormat="1"/>
    <row r="1031868" customFormat="1"/>
    <row r="1031869" customFormat="1"/>
    <row r="1031870" customFormat="1"/>
    <row r="1031871" customFormat="1"/>
    <row r="1031872" customFormat="1"/>
    <row r="1031873" customFormat="1"/>
    <row r="1031874" customFormat="1"/>
    <row r="1031875" customFormat="1"/>
    <row r="1031876" customFormat="1"/>
    <row r="1031877" customFormat="1"/>
    <row r="1031878" customFormat="1"/>
    <row r="1031879" customFormat="1"/>
    <row r="1031880" customFormat="1"/>
    <row r="1031881" customFormat="1"/>
    <row r="1031882" customFormat="1"/>
    <row r="1031883" customFormat="1"/>
    <row r="1031884" customFormat="1"/>
    <row r="1031885" customFormat="1"/>
    <row r="1031886" customFormat="1"/>
    <row r="1031887" customFormat="1"/>
    <row r="1031888" customFormat="1"/>
    <row r="1031889" customFormat="1"/>
    <row r="1031890" customFormat="1"/>
    <row r="1031891" customFormat="1"/>
    <row r="1031892" customFormat="1"/>
    <row r="1031893" customFormat="1"/>
    <row r="1031894" customFormat="1"/>
    <row r="1031895" customFormat="1"/>
    <row r="1031896" customFormat="1"/>
    <row r="1031897" customFormat="1"/>
    <row r="1031898" customFormat="1"/>
    <row r="1031899" customFormat="1"/>
    <row r="1031900" customFormat="1"/>
    <row r="1031901" customFormat="1"/>
    <row r="1031902" customFormat="1"/>
    <row r="1031903" customFormat="1"/>
    <row r="1031904" customFormat="1"/>
    <row r="1031905" customFormat="1"/>
    <row r="1031906" customFormat="1"/>
    <row r="1031907" customFormat="1"/>
    <row r="1031908" customFormat="1"/>
    <row r="1031909" customFormat="1"/>
    <row r="1031910" customFormat="1"/>
    <row r="1031911" customFormat="1"/>
    <row r="1031912" customFormat="1"/>
    <row r="1031913" customFormat="1"/>
    <row r="1031914" customFormat="1"/>
    <row r="1031915" customFormat="1"/>
    <row r="1031916" customFormat="1"/>
    <row r="1031917" customFormat="1"/>
    <row r="1031918" customFormat="1"/>
    <row r="1031919" customFormat="1"/>
    <row r="1031920" customFormat="1"/>
    <row r="1031921" customFormat="1"/>
    <row r="1031922" customFormat="1"/>
    <row r="1031923" customFormat="1"/>
    <row r="1031924" customFormat="1"/>
    <row r="1031925" customFormat="1"/>
    <row r="1031926" customFormat="1"/>
    <row r="1031927" customFormat="1"/>
    <row r="1031928" customFormat="1"/>
    <row r="1031929" customFormat="1"/>
    <row r="1031930" customFormat="1"/>
    <row r="1031931" customFormat="1"/>
    <row r="1031932" customFormat="1"/>
    <row r="1031933" customFormat="1"/>
    <row r="1031934" customFormat="1"/>
    <row r="1031935" customFormat="1"/>
    <row r="1031936" customFormat="1"/>
    <row r="1031937" customFormat="1"/>
    <row r="1031938" customFormat="1"/>
    <row r="1031939" customFormat="1"/>
    <row r="1031940" customFormat="1"/>
    <row r="1031941" customFormat="1"/>
    <row r="1031942" customFormat="1"/>
    <row r="1031943" customFormat="1"/>
    <row r="1031944" customFormat="1"/>
    <row r="1031945" customFormat="1"/>
    <row r="1031946" customFormat="1"/>
    <row r="1031947" customFormat="1"/>
    <row r="1031948" customFormat="1"/>
    <row r="1031949" customFormat="1"/>
    <row r="1031950" customFormat="1"/>
    <row r="1031951" customFormat="1"/>
    <row r="1031952" customFormat="1"/>
    <row r="1031953" customFormat="1"/>
    <row r="1031954" customFormat="1"/>
    <row r="1031955" customFormat="1"/>
    <row r="1031956" customFormat="1"/>
    <row r="1031957" customFormat="1"/>
    <row r="1031958" customFormat="1"/>
    <row r="1031959" customFormat="1"/>
    <row r="1031960" customFormat="1"/>
    <row r="1031961" customFormat="1"/>
    <row r="1031962" customFormat="1"/>
    <row r="1031963" customFormat="1"/>
    <row r="1031964" customFormat="1"/>
    <row r="1031965" customFormat="1"/>
    <row r="1031966" customFormat="1"/>
    <row r="1031967" customFormat="1"/>
    <row r="1031968" customFormat="1"/>
    <row r="1031969" customFormat="1"/>
    <row r="1031970" customFormat="1"/>
    <row r="1031971" customFormat="1"/>
    <row r="1031972" customFormat="1"/>
    <row r="1031973" customFormat="1"/>
    <row r="1031974" customFormat="1"/>
    <row r="1031975" customFormat="1"/>
    <row r="1031976" customFormat="1"/>
    <row r="1031977" customFormat="1"/>
    <row r="1031978" customFormat="1"/>
    <row r="1031979" customFormat="1"/>
    <row r="1031980" customFormat="1"/>
    <row r="1031981" customFormat="1"/>
    <row r="1031982" customFormat="1"/>
    <row r="1031983" customFormat="1"/>
    <row r="1031984" customFormat="1"/>
    <row r="1031985" customFormat="1"/>
    <row r="1031986" customFormat="1"/>
    <row r="1031987" customFormat="1"/>
    <row r="1031988" customFormat="1"/>
    <row r="1031989" customFormat="1"/>
    <row r="1031990" customFormat="1"/>
    <row r="1031991" customFormat="1"/>
    <row r="1031992" customFormat="1"/>
    <row r="1031993" customFormat="1"/>
    <row r="1031994" customFormat="1"/>
    <row r="1031995" customFormat="1"/>
    <row r="1031996" customFormat="1"/>
    <row r="1031997" customFormat="1"/>
    <row r="1031998" customFormat="1"/>
    <row r="1031999" customFormat="1"/>
    <row r="1032000" customFormat="1"/>
    <row r="1032001" customFormat="1"/>
    <row r="1032002" customFormat="1"/>
    <row r="1032003" customFormat="1"/>
    <row r="1032004" customFormat="1"/>
    <row r="1032005" customFormat="1"/>
    <row r="1032006" customFormat="1"/>
    <row r="1032007" customFormat="1"/>
    <row r="1032008" customFormat="1"/>
    <row r="1032009" customFormat="1"/>
    <row r="1032010" customFormat="1"/>
    <row r="1032011" customFormat="1"/>
    <row r="1032012" customFormat="1"/>
    <row r="1032013" customFormat="1"/>
    <row r="1032014" customFormat="1"/>
    <row r="1032015" customFormat="1"/>
    <row r="1032016" customFormat="1"/>
    <row r="1032017" customFormat="1"/>
    <row r="1032018" customFormat="1"/>
    <row r="1032019" customFormat="1"/>
    <row r="1032020" customFormat="1"/>
    <row r="1032021" customFormat="1"/>
    <row r="1032022" customFormat="1"/>
    <row r="1032023" customFormat="1"/>
    <row r="1032024" customFormat="1"/>
    <row r="1032025" customFormat="1"/>
    <row r="1032026" customFormat="1"/>
    <row r="1032027" customFormat="1"/>
    <row r="1032028" customFormat="1"/>
    <row r="1032029" customFormat="1"/>
    <row r="1032030" customFormat="1"/>
    <row r="1032031" customFormat="1"/>
    <row r="1032032" customFormat="1"/>
    <row r="1032033" customFormat="1"/>
    <row r="1032034" customFormat="1"/>
    <row r="1032035" customFormat="1"/>
    <row r="1032036" customFormat="1"/>
    <row r="1032037" customFormat="1"/>
    <row r="1032038" customFormat="1"/>
    <row r="1032039" customFormat="1"/>
    <row r="1032040" customFormat="1"/>
    <row r="1032041" customFormat="1"/>
    <row r="1032042" customFormat="1"/>
    <row r="1032043" customFormat="1"/>
    <row r="1032044" customFormat="1"/>
    <row r="1032045" customFormat="1"/>
    <row r="1032046" customFormat="1"/>
    <row r="1032047" customFormat="1"/>
    <row r="1032048" customFormat="1"/>
    <row r="1032049" customFormat="1"/>
    <row r="1032050" customFormat="1"/>
    <row r="1032051" customFormat="1"/>
    <row r="1032052" customFormat="1"/>
    <row r="1032053" customFormat="1"/>
    <row r="1032054" customFormat="1"/>
    <row r="1032055" customFormat="1"/>
    <row r="1032056" customFormat="1"/>
    <row r="1032057" customFormat="1"/>
    <row r="1032058" customFormat="1"/>
    <row r="1032059" customFormat="1"/>
    <row r="1032060" customFormat="1"/>
    <row r="1032061" customFormat="1"/>
    <row r="1032062" customFormat="1"/>
    <row r="1032063" customFormat="1"/>
    <row r="1032064" customFormat="1"/>
    <row r="1032065" customFormat="1"/>
    <row r="1032066" customFormat="1"/>
    <row r="1032067" customFormat="1"/>
    <row r="1032068" customFormat="1"/>
    <row r="1032069" customFormat="1"/>
    <row r="1032070" customFormat="1"/>
    <row r="1032071" customFormat="1"/>
    <row r="1032072" customFormat="1"/>
    <row r="1032073" customFormat="1"/>
    <row r="1032074" customFormat="1"/>
    <row r="1032075" customFormat="1"/>
    <row r="1032076" customFormat="1"/>
    <row r="1032077" customFormat="1"/>
    <row r="1032078" customFormat="1"/>
    <row r="1032079" customFormat="1"/>
    <row r="1032080" customFormat="1"/>
    <row r="1032081" customFormat="1"/>
    <row r="1032082" customFormat="1"/>
    <row r="1032083" customFormat="1"/>
    <row r="1032084" customFormat="1"/>
    <row r="1032085" customFormat="1"/>
    <row r="1032086" customFormat="1"/>
    <row r="1032087" customFormat="1"/>
    <row r="1032088" customFormat="1"/>
    <row r="1032089" customFormat="1"/>
    <row r="1032090" customFormat="1"/>
    <row r="1032091" customFormat="1"/>
    <row r="1032092" customFormat="1"/>
    <row r="1032093" customFormat="1"/>
    <row r="1032094" customFormat="1"/>
    <row r="1032095" customFormat="1"/>
    <row r="1032096" customFormat="1"/>
    <row r="1032097" customFormat="1"/>
    <row r="1032098" customFormat="1"/>
    <row r="1032099" customFormat="1"/>
    <row r="1032100" customFormat="1"/>
    <row r="1032101" customFormat="1"/>
    <row r="1032102" customFormat="1"/>
    <row r="1032103" customFormat="1"/>
    <row r="1032104" customFormat="1"/>
    <row r="1032105" customFormat="1"/>
    <row r="1032106" customFormat="1"/>
    <row r="1032107" customFormat="1"/>
    <row r="1032108" customFormat="1"/>
    <row r="1032109" customFormat="1"/>
    <row r="1032110" customFormat="1"/>
    <row r="1032111" customFormat="1"/>
    <row r="1032112" customFormat="1"/>
    <row r="1032113" customFormat="1"/>
    <row r="1032114" customFormat="1"/>
    <row r="1032115" customFormat="1"/>
    <row r="1032116" customFormat="1"/>
    <row r="1032117" customFormat="1"/>
    <row r="1032118" customFormat="1"/>
    <row r="1032119" customFormat="1"/>
    <row r="1032120" customFormat="1"/>
    <row r="1032121" customFormat="1"/>
    <row r="1032122" customFormat="1"/>
    <row r="1032123" customFormat="1"/>
    <row r="1032124" customFormat="1"/>
    <row r="1032125" customFormat="1"/>
    <row r="1032126" customFormat="1"/>
    <row r="1032127" customFormat="1"/>
    <row r="1032128" customFormat="1"/>
    <row r="1032129" customFormat="1"/>
    <row r="1032130" customFormat="1"/>
    <row r="1032131" customFormat="1"/>
    <row r="1032132" customFormat="1"/>
    <row r="1032133" customFormat="1"/>
    <row r="1032134" customFormat="1"/>
    <row r="1032135" customFormat="1"/>
    <row r="1032136" customFormat="1"/>
    <row r="1032137" customFormat="1"/>
    <row r="1032138" customFormat="1"/>
    <row r="1032139" customFormat="1"/>
    <row r="1032140" customFormat="1"/>
    <row r="1032141" customFormat="1"/>
    <row r="1032142" customFormat="1"/>
    <row r="1032143" customFormat="1"/>
    <row r="1032144" customFormat="1"/>
    <row r="1032145" customFormat="1"/>
    <row r="1032146" customFormat="1"/>
    <row r="1032147" customFormat="1"/>
    <row r="1032148" customFormat="1"/>
    <row r="1032149" customFormat="1"/>
    <row r="1032150" customFormat="1"/>
    <row r="1032151" customFormat="1"/>
    <row r="1032152" customFormat="1"/>
    <row r="1032153" customFormat="1"/>
    <row r="1032154" customFormat="1"/>
    <row r="1032155" customFormat="1"/>
    <row r="1032156" customFormat="1"/>
    <row r="1032157" customFormat="1"/>
    <row r="1032158" customFormat="1"/>
    <row r="1032159" customFormat="1"/>
    <row r="1032160" customFormat="1"/>
    <row r="1032161" customFormat="1"/>
    <row r="1032162" customFormat="1"/>
    <row r="1032163" customFormat="1"/>
    <row r="1032164" customFormat="1"/>
    <row r="1032165" customFormat="1"/>
    <row r="1032166" customFormat="1"/>
    <row r="1032167" customFormat="1"/>
    <row r="1032168" customFormat="1"/>
    <row r="1032169" customFormat="1"/>
    <row r="1032170" customFormat="1"/>
    <row r="1032171" customFormat="1"/>
    <row r="1032172" customFormat="1"/>
    <row r="1032173" customFormat="1"/>
    <row r="1032174" customFormat="1"/>
    <row r="1032175" customFormat="1"/>
    <row r="1032176" customFormat="1"/>
    <row r="1032177" customFormat="1"/>
    <row r="1032178" customFormat="1"/>
    <row r="1032179" customFormat="1"/>
    <row r="1032180" customFormat="1"/>
    <row r="1032181" customFormat="1"/>
    <row r="1032182" customFormat="1"/>
    <row r="1032183" customFormat="1"/>
    <row r="1032184" customFormat="1"/>
    <row r="1032185" customFormat="1"/>
    <row r="1032186" customFormat="1"/>
    <row r="1032187" customFormat="1"/>
    <row r="1032188" customFormat="1"/>
    <row r="1032189" customFormat="1"/>
    <row r="1032190" customFormat="1"/>
    <row r="1032191" customFormat="1"/>
    <row r="1032192" customFormat="1"/>
    <row r="1032193" customFormat="1"/>
    <row r="1032194" customFormat="1"/>
    <row r="1032195" customFormat="1"/>
    <row r="1032196" customFormat="1"/>
    <row r="1032197" customFormat="1"/>
    <row r="1032198" customFormat="1"/>
    <row r="1032199" customFormat="1"/>
    <row r="1032200" customFormat="1"/>
    <row r="1032201" customFormat="1"/>
    <row r="1032202" customFormat="1"/>
    <row r="1032203" customFormat="1"/>
    <row r="1032204" customFormat="1"/>
    <row r="1032205" customFormat="1"/>
    <row r="1032206" customFormat="1"/>
    <row r="1032207" customFormat="1"/>
    <row r="1032208" customFormat="1"/>
    <row r="1032209" customFormat="1"/>
    <row r="1032210" customFormat="1"/>
    <row r="1032211" customFormat="1"/>
    <row r="1032212" customFormat="1"/>
    <row r="1032213" customFormat="1"/>
    <row r="1032214" customFormat="1"/>
    <row r="1032215" customFormat="1"/>
    <row r="1032216" customFormat="1"/>
    <row r="1032217" customFormat="1"/>
    <row r="1032218" customFormat="1"/>
    <row r="1032219" customFormat="1"/>
    <row r="1032220" customFormat="1"/>
    <row r="1032221" customFormat="1"/>
    <row r="1032222" customFormat="1"/>
    <row r="1032223" customFormat="1"/>
    <row r="1032224" customFormat="1"/>
    <row r="1032225" customFormat="1"/>
    <row r="1032226" customFormat="1"/>
    <row r="1032227" customFormat="1"/>
    <row r="1032228" customFormat="1"/>
    <row r="1032229" customFormat="1"/>
    <row r="1032230" customFormat="1"/>
    <row r="1032231" customFormat="1"/>
    <row r="1032232" customFormat="1"/>
    <row r="1032233" customFormat="1"/>
    <row r="1032234" customFormat="1"/>
    <row r="1032235" customFormat="1"/>
    <row r="1032236" customFormat="1"/>
    <row r="1032237" customFormat="1"/>
    <row r="1032238" customFormat="1"/>
    <row r="1032239" customFormat="1"/>
    <row r="1032240" customFormat="1"/>
    <row r="1032241" customFormat="1"/>
    <row r="1032242" customFormat="1"/>
    <row r="1032243" customFormat="1"/>
    <row r="1032244" customFormat="1"/>
    <row r="1032245" customFormat="1"/>
    <row r="1032246" customFormat="1"/>
    <row r="1032247" customFormat="1"/>
    <row r="1032248" customFormat="1"/>
    <row r="1032249" customFormat="1"/>
    <row r="1032250" customFormat="1"/>
    <row r="1032251" customFormat="1"/>
    <row r="1032252" customFormat="1"/>
    <row r="1032253" customFormat="1"/>
    <row r="1032254" customFormat="1"/>
    <row r="1032255" customFormat="1"/>
    <row r="1032256" customFormat="1"/>
    <row r="1032257" customFormat="1"/>
    <row r="1032258" customFormat="1"/>
    <row r="1032259" customFormat="1"/>
    <row r="1032260" customFormat="1"/>
    <row r="1032261" customFormat="1"/>
    <row r="1032262" customFormat="1"/>
    <row r="1032263" customFormat="1"/>
    <row r="1032264" customFormat="1"/>
    <row r="1032265" customFormat="1"/>
    <row r="1032266" customFormat="1"/>
    <row r="1032267" customFormat="1"/>
    <row r="1032268" customFormat="1"/>
    <row r="1032269" customFormat="1"/>
    <row r="1032270" customFormat="1"/>
    <row r="1032271" customFormat="1"/>
    <row r="1032272" customFormat="1"/>
    <row r="1032273" customFormat="1"/>
    <row r="1032274" customFormat="1"/>
    <row r="1032275" customFormat="1"/>
    <row r="1032276" customFormat="1"/>
    <row r="1032277" customFormat="1"/>
    <row r="1032278" customFormat="1"/>
    <row r="1032279" customFormat="1"/>
    <row r="1032280" customFormat="1"/>
    <row r="1032281" customFormat="1"/>
    <row r="1032282" customFormat="1"/>
    <row r="1032283" customFormat="1"/>
    <row r="1032284" customFormat="1"/>
    <row r="1032285" customFormat="1"/>
    <row r="1032286" customFormat="1"/>
    <row r="1032287" customFormat="1"/>
    <row r="1032288" customFormat="1"/>
    <row r="1032289" customFormat="1"/>
    <row r="1032290" customFormat="1"/>
    <row r="1032291" customFormat="1"/>
    <row r="1032292" customFormat="1"/>
    <row r="1032293" customFormat="1"/>
    <row r="1032294" customFormat="1"/>
    <row r="1032295" customFormat="1"/>
    <row r="1032296" customFormat="1"/>
    <row r="1032297" customFormat="1"/>
    <row r="1032298" customFormat="1"/>
    <row r="1032299" customFormat="1"/>
    <row r="1032300" customFormat="1"/>
    <row r="1032301" customFormat="1"/>
    <row r="1032302" customFormat="1"/>
    <row r="1032303" customFormat="1"/>
    <row r="1032304" customFormat="1"/>
    <row r="1032305" customFormat="1"/>
    <row r="1032306" customFormat="1"/>
    <row r="1032307" customFormat="1"/>
    <row r="1032308" customFormat="1"/>
    <row r="1032309" customFormat="1"/>
    <row r="1032310" customFormat="1"/>
    <row r="1032311" customFormat="1"/>
    <row r="1032312" customFormat="1"/>
    <row r="1032313" customFormat="1"/>
    <row r="1032314" customFormat="1"/>
    <row r="1032315" customFormat="1"/>
    <row r="1032316" customFormat="1"/>
    <row r="1032317" customFormat="1"/>
    <row r="1032318" customFormat="1"/>
    <row r="1032319" customFormat="1"/>
    <row r="1032320" customFormat="1"/>
    <row r="1032321" customFormat="1"/>
    <row r="1032322" customFormat="1"/>
    <row r="1032323" customFormat="1"/>
    <row r="1032324" customFormat="1"/>
    <row r="1032325" customFormat="1"/>
    <row r="1032326" customFormat="1"/>
    <row r="1032327" customFormat="1"/>
    <row r="1032328" customFormat="1"/>
    <row r="1032329" customFormat="1"/>
    <row r="1032330" customFormat="1"/>
    <row r="1032331" customFormat="1"/>
    <row r="1032332" customFormat="1"/>
    <row r="1032333" customFormat="1"/>
    <row r="1032334" customFormat="1"/>
    <row r="1032335" customFormat="1"/>
    <row r="1032336" customFormat="1"/>
    <row r="1032337" customFormat="1"/>
    <row r="1032338" customFormat="1"/>
    <row r="1032339" customFormat="1"/>
    <row r="1032340" customFormat="1"/>
    <row r="1032341" customFormat="1"/>
    <row r="1032342" customFormat="1"/>
    <row r="1032343" customFormat="1"/>
    <row r="1032344" customFormat="1"/>
    <row r="1032345" customFormat="1"/>
    <row r="1032346" customFormat="1"/>
    <row r="1032347" customFormat="1"/>
    <row r="1032348" customFormat="1"/>
    <row r="1032349" customFormat="1"/>
    <row r="1032350" customFormat="1"/>
    <row r="1032351" customFormat="1"/>
    <row r="1032352" customFormat="1"/>
    <row r="1032353" customFormat="1"/>
    <row r="1032354" customFormat="1"/>
    <row r="1032355" customFormat="1"/>
    <row r="1032356" customFormat="1"/>
    <row r="1032357" customFormat="1"/>
    <row r="1032358" customFormat="1"/>
    <row r="1032359" customFormat="1"/>
    <row r="1032360" customFormat="1"/>
    <row r="1032361" customFormat="1"/>
    <row r="1032362" customFormat="1"/>
    <row r="1032363" customFormat="1"/>
    <row r="1032364" customFormat="1"/>
    <row r="1032365" customFormat="1"/>
    <row r="1032366" customFormat="1"/>
    <row r="1032367" customFormat="1"/>
    <row r="1032368" customFormat="1"/>
    <row r="1032369" customFormat="1"/>
    <row r="1032370" customFormat="1"/>
    <row r="1032371" customFormat="1"/>
    <row r="1032372" customFormat="1"/>
    <row r="1032373" customFormat="1"/>
    <row r="1032374" customFormat="1"/>
    <row r="1032375" customFormat="1"/>
    <row r="1032376" customFormat="1"/>
    <row r="1032377" customFormat="1"/>
    <row r="1032378" customFormat="1"/>
    <row r="1032379" customFormat="1"/>
    <row r="1032380" customFormat="1"/>
    <row r="1032381" customFormat="1"/>
    <row r="1032382" customFormat="1"/>
    <row r="1032383" customFormat="1"/>
    <row r="1032384" customFormat="1"/>
    <row r="1032385" customFormat="1"/>
    <row r="1032386" customFormat="1"/>
    <row r="1032387" customFormat="1"/>
    <row r="1032388" customFormat="1"/>
    <row r="1032389" customFormat="1"/>
    <row r="1032390" customFormat="1"/>
    <row r="1032391" customFormat="1"/>
    <row r="1032392" customFormat="1"/>
    <row r="1032393" customFormat="1"/>
    <row r="1032394" customFormat="1"/>
    <row r="1032395" customFormat="1"/>
    <row r="1032396" customFormat="1"/>
    <row r="1032397" customFormat="1"/>
    <row r="1032398" customFormat="1"/>
    <row r="1032399" customFormat="1"/>
    <row r="1032400" customFormat="1"/>
    <row r="1032401" customFormat="1"/>
    <row r="1032402" customFormat="1"/>
    <row r="1032403" customFormat="1"/>
    <row r="1032404" customFormat="1"/>
    <row r="1032405" customFormat="1"/>
    <row r="1032406" customFormat="1"/>
    <row r="1032407" customFormat="1"/>
    <row r="1032408" customFormat="1"/>
    <row r="1032409" customFormat="1"/>
    <row r="1032410" customFormat="1"/>
    <row r="1032411" customFormat="1"/>
    <row r="1032412" customFormat="1"/>
    <row r="1032413" customFormat="1"/>
    <row r="1032414" customFormat="1"/>
    <row r="1032415" customFormat="1"/>
    <row r="1032416" customFormat="1"/>
    <row r="1032417" customFormat="1"/>
    <row r="1032418" customFormat="1"/>
    <row r="1032419" customFormat="1"/>
    <row r="1032420" customFormat="1"/>
    <row r="1032421" customFormat="1"/>
    <row r="1032422" customFormat="1"/>
    <row r="1032423" customFormat="1"/>
    <row r="1032424" customFormat="1"/>
    <row r="1032425" customFormat="1"/>
    <row r="1032426" customFormat="1"/>
    <row r="1032427" customFormat="1"/>
    <row r="1032428" customFormat="1"/>
    <row r="1032429" customFormat="1"/>
    <row r="1032430" customFormat="1"/>
    <row r="1032431" customFormat="1"/>
    <row r="1032432" customFormat="1"/>
    <row r="1032433" customFormat="1"/>
    <row r="1032434" customFormat="1"/>
    <row r="1032435" customFormat="1"/>
    <row r="1032436" customFormat="1"/>
    <row r="1032437" customFormat="1"/>
    <row r="1032438" customFormat="1"/>
    <row r="1032439" customFormat="1"/>
    <row r="1032440" customFormat="1"/>
    <row r="1032441" customFormat="1"/>
    <row r="1032442" customFormat="1"/>
    <row r="1032443" customFormat="1"/>
    <row r="1032444" customFormat="1"/>
    <row r="1032445" customFormat="1"/>
    <row r="1032446" customFormat="1"/>
    <row r="1032447" customFormat="1"/>
    <row r="1032448" customFormat="1"/>
    <row r="1032449" customFormat="1"/>
    <row r="1032450" customFormat="1"/>
    <row r="1032451" customFormat="1"/>
    <row r="1032452" customFormat="1"/>
    <row r="1032453" customFormat="1"/>
    <row r="1032454" customFormat="1"/>
    <row r="1032455" customFormat="1"/>
    <row r="1032456" customFormat="1"/>
    <row r="1032457" customFormat="1"/>
    <row r="1032458" customFormat="1"/>
    <row r="1032459" customFormat="1"/>
    <row r="1032460" customFormat="1"/>
    <row r="1032461" customFormat="1"/>
    <row r="1032462" customFormat="1"/>
    <row r="1032463" customFormat="1"/>
    <row r="1032464" customFormat="1"/>
    <row r="1032465" customFormat="1"/>
    <row r="1032466" customFormat="1"/>
    <row r="1032467" customFormat="1"/>
    <row r="1032468" customFormat="1"/>
    <row r="1032469" customFormat="1"/>
    <row r="1032470" customFormat="1"/>
    <row r="1032471" customFormat="1"/>
    <row r="1032472" customFormat="1"/>
    <row r="1032473" customFormat="1"/>
    <row r="1032474" customFormat="1"/>
    <row r="1032475" customFormat="1"/>
    <row r="1032476" customFormat="1"/>
    <row r="1032477" customFormat="1"/>
    <row r="1032478" customFormat="1"/>
    <row r="1032479" customFormat="1"/>
    <row r="1032480" customFormat="1"/>
    <row r="1032481" customFormat="1"/>
    <row r="1032482" customFormat="1"/>
    <row r="1032483" customFormat="1"/>
    <row r="1032484" customFormat="1"/>
    <row r="1032485" customFormat="1"/>
    <row r="1032486" customFormat="1"/>
    <row r="1032487" customFormat="1"/>
    <row r="1032488" customFormat="1"/>
    <row r="1032489" customFormat="1"/>
    <row r="1032490" customFormat="1"/>
    <row r="1032491" customFormat="1"/>
    <row r="1032492" customFormat="1"/>
    <row r="1032493" customFormat="1"/>
    <row r="1032494" customFormat="1"/>
    <row r="1032495" customFormat="1"/>
    <row r="1032496" customFormat="1"/>
    <row r="1032497" customFormat="1"/>
    <row r="1032498" customFormat="1"/>
    <row r="1032499" customFormat="1"/>
    <row r="1032500" customFormat="1"/>
    <row r="1032501" customFormat="1"/>
    <row r="1032502" customFormat="1"/>
    <row r="1032503" customFormat="1"/>
    <row r="1032504" customFormat="1"/>
    <row r="1032505" customFormat="1"/>
    <row r="1032506" customFormat="1"/>
    <row r="1032507" customFormat="1"/>
    <row r="1032508" customFormat="1"/>
    <row r="1032509" customFormat="1"/>
    <row r="1032510" customFormat="1"/>
    <row r="1032511" customFormat="1"/>
    <row r="1032512" customFormat="1"/>
    <row r="1032513" customFormat="1"/>
    <row r="1032514" customFormat="1"/>
    <row r="1032515" customFormat="1"/>
    <row r="1032516" customFormat="1"/>
    <row r="1032517" customFormat="1"/>
    <row r="1032518" customFormat="1"/>
    <row r="1032519" customFormat="1"/>
    <row r="1032520" customFormat="1"/>
    <row r="1032521" customFormat="1"/>
    <row r="1032522" customFormat="1"/>
    <row r="1032523" customFormat="1"/>
    <row r="1032524" customFormat="1"/>
    <row r="1032525" customFormat="1"/>
    <row r="1032526" customFormat="1"/>
    <row r="1032527" customFormat="1"/>
    <row r="1032528" customFormat="1"/>
    <row r="1032529" customFormat="1"/>
    <row r="1032530" customFormat="1"/>
    <row r="1032531" customFormat="1"/>
    <row r="1032532" customFormat="1"/>
    <row r="1032533" customFormat="1"/>
    <row r="1032534" customFormat="1"/>
    <row r="1032535" customFormat="1"/>
    <row r="1032536" customFormat="1"/>
    <row r="1032537" customFormat="1"/>
    <row r="1032538" customFormat="1"/>
    <row r="1032539" customFormat="1"/>
    <row r="1032540" customFormat="1"/>
    <row r="1032541" customFormat="1"/>
    <row r="1032542" customFormat="1"/>
    <row r="1032543" customFormat="1"/>
    <row r="1032544" customFormat="1"/>
    <row r="1032545" customFormat="1"/>
    <row r="1032546" customFormat="1"/>
    <row r="1032547" customFormat="1"/>
    <row r="1032548" customFormat="1"/>
    <row r="1032549" customFormat="1"/>
    <row r="1032550" customFormat="1"/>
    <row r="1032551" customFormat="1"/>
    <row r="1032552" customFormat="1"/>
    <row r="1032553" customFormat="1"/>
    <row r="1032554" customFormat="1"/>
    <row r="1032555" customFormat="1"/>
    <row r="1032556" customFormat="1"/>
    <row r="1032557" customFormat="1"/>
    <row r="1032558" customFormat="1"/>
    <row r="1032559" customFormat="1"/>
    <row r="1032560" customFormat="1"/>
    <row r="1032561" customFormat="1"/>
    <row r="1032562" customFormat="1"/>
    <row r="1032563" customFormat="1"/>
    <row r="1032564" customFormat="1"/>
    <row r="1032565" customFormat="1"/>
    <row r="1032566" customFormat="1"/>
    <row r="1032567" customFormat="1"/>
    <row r="1032568" customFormat="1"/>
    <row r="1032569" customFormat="1"/>
    <row r="1032570" customFormat="1"/>
    <row r="1032571" customFormat="1"/>
    <row r="1032572" customFormat="1"/>
    <row r="1032573" customFormat="1"/>
    <row r="1032574" customFormat="1"/>
    <row r="1032575" customFormat="1"/>
    <row r="1032576" customFormat="1"/>
    <row r="1032577" customFormat="1"/>
    <row r="1032578" customFormat="1"/>
    <row r="1032579" customFormat="1"/>
    <row r="1032580" customFormat="1"/>
    <row r="1032581" customFormat="1"/>
    <row r="1032582" customFormat="1"/>
    <row r="1032583" customFormat="1"/>
    <row r="1032584" customFormat="1"/>
    <row r="1032585" customFormat="1"/>
    <row r="1032586" customFormat="1"/>
    <row r="1032587" customFormat="1"/>
    <row r="1032588" customFormat="1"/>
    <row r="1032589" customFormat="1"/>
    <row r="1032590" customFormat="1"/>
    <row r="1032591" customFormat="1"/>
    <row r="1032592" customFormat="1"/>
    <row r="1032593" customFormat="1"/>
    <row r="1032594" customFormat="1"/>
    <row r="1032595" customFormat="1"/>
    <row r="1032596" customFormat="1"/>
    <row r="1032597" customFormat="1"/>
    <row r="1032598" customFormat="1"/>
    <row r="1032599" customFormat="1"/>
    <row r="1032600" customFormat="1"/>
    <row r="1032601" customFormat="1"/>
    <row r="1032602" customFormat="1"/>
    <row r="1032603" customFormat="1"/>
    <row r="1032604" customFormat="1"/>
    <row r="1032605" customFormat="1"/>
    <row r="1032606" customFormat="1"/>
    <row r="1032607" customFormat="1"/>
    <row r="1032608" customFormat="1"/>
    <row r="1032609" customFormat="1"/>
    <row r="1032610" customFormat="1"/>
    <row r="1032611" customFormat="1"/>
    <row r="1032612" customFormat="1"/>
    <row r="1032613" customFormat="1"/>
    <row r="1032614" customFormat="1"/>
    <row r="1032615" customFormat="1"/>
    <row r="1032616" customFormat="1"/>
    <row r="1032617" customFormat="1"/>
    <row r="1032618" customFormat="1"/>
    <row r="1032619" customFormat="1"/>
    <row r="1032620" customFormat="1"/>
    <row r="1032621" customFormat="1"/>
    <row r="1032622" customFormat="1"/>
    <row r="1032623" customFormat="1"/>
    <row r="1032624" customFormat="1"/>
    <row r="1032625" customFormat="1"/>
    <row r="1032626" customFormat="1"/>
    <row r="1032627" customFormat="1"/>
    <row r="1032628" customFormat="1"/>
    <row r="1032629" customFormat="1"/>
    <row r="1032630" customFormat="1"/>
    <row r="1032631" customFormat="1"/>
    <row r="1032632" customFormat="1"/>
    <row r="1032633" customFormat="1"/>
    <row r="1032634" customFormat="1"/>
    <row r="1032635" customFormat="1"/>
    <row r="1032636" customFormat="1"/>
    <row r="1032637" customFormat="1"/>
    <row r="1032638" customFormat="1"/>
    <row r="1032639" customFormat="1"/>
    <row r="1032640" customFormat="1"/>
    <row r="1032641" customFormat="1"/>
    <row r="1032642" customFormat="1"/>
    <row r="1032643" customFormat="1"/>
    <row r="1032644" customFormat="1"/>
    <row r="1032645" customFormat="1"/>
    <row r="1032646" customFormat="1"/>
    <row r="1032647" customFormat="1"/>
    <row r="1032648" customFormat="1"/>
    <row r="1032649" customFormat="1"/>
    <row r="1032650" customFormat="1"/>
    <row r="1032651" customFormat="1"/>
    <row r="1032652" customFormat="1"/>
    <row r="1032653" customFormat="1"/>
    <row r="1032654" customFormat="1"/>
    <row r="1032655" customFormat="1"/>
    <row r="1032656" customFormat="1"/>
    <row r="1032657" customFormat="1"/>
    <row r="1032658" customFormat="1"/>
    <row r="1032659" customFormat="1"/>
    <row r="1032660" customFormat="1"/>
    <row r="1032661" customFormat="1"/>
    <row r="1032662" customFormat="1"/>
    <row r="1032663" customFormat="1"/>
    <row r="1032664" customFormat="1"/>
    <row r="1032665" customFormat="1"/>
    <row r="1032666" customFormat="1"/>
    <row r="1032667" customFormat="1"/>
    <row r="1032668" customFormat="1"/>
    <row r="1032669" customFormat="1"/>
    <row r="1032670" customFormat="1"/>
    <row r="1032671" customFormat="1"/>
    <row r="1032672" customFormat="1"/>
    <row r="1032673" customFormat="1"/>
    <row r="1032674" customFormat="1"/>
    <row r="1032675" customFormat="1"/>
    <row r="1032676" customFormat="1"/>
    <row r="1032677" customFormat="1"/>
    <row r="1032678" customFormat="1"/>
    <row r="1032679" customFormat="1"/>
    <row r="1032680" customFormat="1"/>
    <row r="1032681" customFormat="1"/>
    <row r="1032682" customFormat="1"/>
    <row r="1032683" customFormat="1"/>
    <row r="1032684" customFormat="1"/>
    <row r="1032685" customFormat="1"/>
    <row r="1032686" customFormat="1"/>
    <row r="1032687" customFormat="1"/>
    <row r="1032688" customFormat="1"/>
    <row r="1032689" customFormat="1"/>
    <row r="1032690" customFormat="1"/>
    <row r="1032691" customFormat="1"/>
    <row r="1032692" customFormat="1"/>
    <row r="1032693" customFormat="1"/>
    <row r="1032694" customFormat="1"/>
    <row r="1032695" customFormat="1"/>
    <row r="1032696" customFormat="1"/>
    <row r="1032697" customFormat="1"/>
    <row r="1032698" customFormat="1"/>
    <row r="1032699" customFormat="1"/>
    <row r="1032700" customFormat="1"/>
    <row r="1032701" customFormat="1"/>
    <row r="1032702" customFormat="1"/>
    <row r="1032703" customFormat="1"/>
    <row r="1032704" customFormat="1"/>
    <row r="1032705" customFormat="1"/>
    <row r="1032706" customFormat="1"/>
    <row r="1032707" customFormat="1"/>
    <row r="1032708" customFormat="1"/>
    <row r="1032709" customFormat="1"/>
    <row r="1032710" customFormat="1"/>
    <row r="1032711" customFormat="1"/>
    <row r="1032712" customFormat="1"/>
    <row r="1032713" customFormat="1"/>
    <row r="1032714" customFormat="1"/>
    <row r="1032715" customFormat="1"/>
    <row r="1032716" customFormat="1"/>
    <row r="1032717" customFormat="1"/>
    <row r="1032718" customFormat="1"/>
    <row r="1032719" customFormat="1"/>
    <row r="1032720" customFormat="1"/>
    <row r="1032721" customFormat="1"/>
    <row r="1032722" customFormat="1"/>
    <row r="1032723" customFormat="1"/>
    <row r="1032724" customFormat="1"/>
    <row r="1032725" customFormat="1"/>
    <row r="1032726" customFormat="1"/>
    <row r="1032727" customFormat="1"/>
    <row r="1032728" customFormat="1"/>
    <row r="1032729" customFormat="1"/>
    <row r="1032730" customFormat="1"/>
    <row r="1032731" customFormat="1"/>
    <row r="1032732" customFormat="1"/>
    <row r="1032733" customFormat="1"/>
    <row r="1032734" customFormat="1"/>
    <row r="1032735" customFormat="1"/>
    <row r="1032736" customFormat="1"/>
    <row r="1032737" customFormat="1"/>
    <row r="1032738" customFormat="1"/>
    <row r="1032739" customFormat="1"/>
    <row r="1032740" customFormat="1"/>
    <row r="1032741" customFormat="1"/>
    <row r="1032742" customFormat="1"/>
    <row r="1032743" customFormat="1"/>
    <row r="1032744" customFormat="1"/>
    <row r="1032745" customFormat="1"/>
    <row r="1032746" customFormat="1"/>
    <row r="1032747" customFormat="1"/>
    <row r="1032748" customFormat="1"/>
    <row r="1032749" customFormat="1"/>
    <row r="1032750" customFormat="1"/>
    <row r="1032751" customFormat="1"/>
    <row r="1032752" customFormat="1"/>
    <row r="1032753" customFormat="1"/>
    <row r="1032754" customFormat="1"/>
    <row r="1032755" customFormat="1"/>
    <row r="1032756" customFormat="1"/>
    <row r="1032757" customFormat="1"/>
    <row r="1032758" customFormat="1"/>
    <row r="1032759" customFormat="1"/>
    <row r="1032760" customFormat="1"/>
    <row r="1032761" customFormat="1"/>
    <row r="1032762" customFormat="1"/>
    <row r="1032763" customFormat="1"/>
    <row r="1032764" customFormat="1"/>
    <row r="1032765" customFormat="1"/>
    <row r="1032766" customFormat="1"/>
    <row r="1032767" customFormat="1"/>
    <row r="1032768" customFormat="1"/>
    <row r="1032769" customFormat="1"/>
    <row r="1032770" customFormat="1"/>
    <row r="1032771" customFormat="1"/>
    <row r="1032772" customFormat="1"/>
    <row r="1032773" customFormat="1"/>
    <row r="1032774" customFormat="1"/>
    <row r="1032775" customFormat="1"/>
    <row r="1032776" customFormat="1"/>
    <row r="1032777" customFormat="1"/>
    <row r="1032778" customFormat="1"/>
    <row r="1032779" customFormat="1"/>
    <row r="1032780" customFormat="1"/>
    <row r="1032781" customFormat="1"/>
    <row r="1032782" customFormat="1"/>
    <row r="1032783" customFormat="1"/>
    <row r="1032784" customFormat="1"/>
    <row r="1032785" customFormat="1"/>
    <row r="1032786" customFormat="1"/>
    <row r="1032787" customFormat="1"/>
    <row r="1032788" customFormat="1"/>
    <row r="1032789" customFormat="1"/>
    <row r="1032790" customFormat="1"/>
    <row r="1032791" customFormat="1"/>
    <row r="1032792" customFormat="1"/>
    <row r="1032793" customFormat="1"/>
    <row r="1032794" customFormat="1"/>
    <row r="1032795" customFormat="1"/>
    <row r="1032796" customFormat="1"/>
    <row r="1032797" customFormat="1"/>
    <row r="1032798" customFormat="1"/>
    <row r="1032799" customFormat="1"/>
    <row r="1032800" customFormat="1"/>
    <row r="1032801" customFormat="1"/>
    <row r="1032802" customFormat="1"/>
    <row r="1032803" customFormat="1"/>
    <row r="1032804" customFormat="1"/>
    <row r="1032805" customFormat="1"/>
    <row r="1032806" customFormat="1"/>
    <row r="1032807" customFormat="1"/>
    <row r="1032808" customFormat="1"/>
    <row r="1032809" customFormat="1"/>
    <row r="1032810" customFormat="1"/>
    <row r="1032811" customFormat="1"/>
    <row r="1032812" customFormat="1"/>
    <row r="1032813" customFormat="1"/>
    <row r="1032814" customFormat="1"/>
    <row r="1032815" customFormat="1"/>
    <row r="1032816" customFormat="1"/>
    <row r="1032817" customFormat="1"/>
    <row r="1032818" customFormat="1"/>
    <row r="1032819" customFormat="1"/>
    <row r="1032820" customFormat="1"/>
    <row r="1032821" customFormat="1"/>
    <row r="1032822" customFormat="1"/>
    <row r="1032823" customFormat="1"/>
    <row r="1032824" customFormat="1"/>
    <row r="1032825" customFormat="1"/>
    <row r="1032826" customFormat="1"/>
    <row r="1032827" customFormat="1"/>
    <row r="1032828" customFormat="1"/>
    <row r="1032829" customFormat="1"/>
    <row r="1032830" customFormat="1"/>
    <row r="1032831" customFormat="1"/>
    <row r="1032832" customFormat="1"/>
    <row r="1032833" customFormat="1"/>
    <row r="1032834" customFormat="1"/>
    <row r="1032835" customFormat="1"/>
    <row r="1032836" customFormat="1"/>
    <row r="1032837" customFormat="1"/>
    <row r="1032838" customFormat="1"/>
    <row r="1032839" customFormat="1"/>
    <row r="1032840" customFormat="1"/>
    <row r="1032841" customFormat="1"/>
    <row r="1032842" customFormat="1"/>
    <row r="1032843" customFormat="1"/>
    <row r="1032844" customFormat="1"/>
    <row r="1032845" customFormat="1"/>
    <row r="1032846" customFormat="1"/>
    <row r="1032847" customFormat="1"/>
    <row r="1032848" customFormat="1"/>
    <row r="1032849" customFormat="1"/>
    <row r="1032850" customFormat="1"/>
    <row r="1032851" customFormat="1"/>
    <row r="1032852" customFormat="1"/>
    <row r="1032853" customFormat="1"/>
    <row r="1032854" customFormat="1"/>
    <row r="1032855" customFormat="1"/>
    <row r="1032856" customFormat="1"/>
    <row r="1032857" customFormat="1"/>
    <row r="1032858" customFormat="1"/>
    <row r="1032859" customFormat="1"/>
    <row r="1032860" customFormat="1"/>
    <row r="1032861" customFormat="1"/>
    <row r="1032862" customFormat="1"/>
    <row r="1032863" customFormat="1"/>
    <row r="1032864" customFormat="1"/>
    <row r="1032865" customFormat="1"/>
    <row r="1032866" customFormat="1"/>
    <row r="1032867" customFormat="1"/>
    <row r="1032868" customFormat="1"/>
    <row r="1032869" customFormat="1"/>
    <row r="1032870" customFormat="1"/>
    <row r="1032871" customFormat="1"/>
    <row r="1032872" customFormat="1"/>
    <row r="1032873" customFormat="1"/>
    <row r="1032874" customFormat="1"/>
    <row r="1032875" customFormat="1"/>
    <row r="1032876" customFormat="1"/>
    <row r="1032877" customFormat="1"/>
    <row r="1032878" customFormat="1"/>
    <row r="1032879" customFormat="1"/>
    <row r="1032880" customFormat="1"/>
    <row r="1032881" customFormat="1"/>
    <row r="1032882" customFormat="1"/>
    <row r="1032883" customFormat="1"/>
    <row r="1032884" customFormat="1"/>
    <row r="1032885" customFormat="1"/>
    <row r="1032886" customFormat="1"/>
    <row r="1032887" customFormat="1"/>
    <row r="1032888" customFormat="1"/>
    <row r="1032889" customFormat="1"/>
    <row r="1032890" customFormat="1"/>
    <row r="1032891" customFormat="1"/>
    <row r="1032892" customFormat="1"/>
    <row r="1032893" customFormat="1"/>
    <row r="1032894" customFormat="1"/>
    <row r="1032895" customFormat="1"/>
    <row r="1032896" customFormat="1"/>
    <row r="1032897" customFormat="1"/>
    <row r="1032898" customFormat="1"/>
    <row r="1032899" customFormat="1"/>
    <row r="1032900" customFormat="1"/>
    <row r="1032901" customFormat="1"/>
    <row r="1032902" customFormat="1"/>
    <row r="1032903" customFormat="1"/>
    <row r="1032904" customFormat="1"/>
    <row r="1032905" customFormat="1"/>
    <row r="1032906" customFormat="1"/>
    <row r="1032907" customFormat="1"/>
    <row r="1032908" customFormat="1"/>
    <row r="1032909" customFormat="1"/>
    <row r="1032910" customFormat="1"/>
    <row r="1032911" customFormat="1"/>
    <row r="1032912" customFormat="1"/>
    <row r="1032913" customFormat="1"/>
    <row r="1032914" customFormat="1"/>
    <row r="1032915" customFormat="1"/>
    <row r="1032916" customFormat="1"/>
    <row r="1032917" customFormat="1"/>
    <row r="1032918" customFormat="1"/>
    <row r="1032919" customFormat="1"/>
    <row r="1032920" customFormat="1"/>
    <row r="1032921" customFormat="1"/>
    <row r="1032922" customFormat="1"/>
    <row r="1032923" customFormat="1"/>
    <row r="1032924" customFormat="1"/>
    <row r="1032925" customFormat="1"/>
    <row r="1032926" customFormat="1"/>
    <row r="1032927" customFormat="1"/>
    <row r="1032928" customFormat="1"/>
    <row r="1032929" customFormat="1"/>
    <row r="1032930" customFormat="1"/>
    <row r="1032931" customFormat="1"/>
    <row r="1032932" customFormat="1"/>
    <row r="1032933" customFormat="1"/>
    <row r="1032934" customFormat="1"/>
    <row r="1032935" customFormat="1"/>
    <row r="1032936" customFormat="1"/>
    <row r="1032937" customFormat="1"/>
    <row r="1032938" customFormat="1"/>
    <row r="1032939" customFormat="1"/>
    <row r="1032940" customFormat="1"/>
    <row r="1032941" customFormat="1"/>
    <row r="1032942" customFormat="1"/>
    <row r="1032943" customFormat="1"/>
    <row r="1032944" customFormat="1"/>
    <row r="1032945" customFormat="1"/>
    <row r="1032946" customFormat="1"/>
    <row r="1032947" customFormat="1"/>
    <row r="1032948" customFormat="1"/>
    <row r="1032949" customFormat="1"/>
    <row r="1032950" customFormat="1"/>
    <row r="1032951" customFormat="1"/>
    <row r="1032952" customFormat="1"/>
    <row r="1032953" customFormat="1"/>
    <row r="1032954" customFormat="1"/>
    <row r="1032955" customFormat="1"/>
    <row r="1032956" customFormat="1"/>
    <row r="1032957" customFormat="1"/>
    <row r="1032958" customFormat="1"/>
    <row r="1032959" customFormat="1"/>
    <row r="1032960" customFormat="1"/>
    <row r="1032961" customFormat="1"/>
    <row r="1032962" customFormat="1"/>
    <row r="1032963" customFormat="1"/>
    <row r="1032964" customFormat="1"/>
    <row r="1032965" customFormat="1"/>
    <row r="1032966" customFormat="1"/>
    <row r="1032967" customFormat="1"/>
    <row r="1032968" customFormat="1"/>
    <row r="1032969" customFormat="1"/>
    <row r="1032970" customFormat="1"/>
    <row r="1032971" customFormat="1"/>
    <row r="1032972" customFormat="1"/>
    <row r="1032973" customFormat="1"/>
    <row r="1032974" customFormat="1"/>
    <row r="1032975" customFormat="1"/>
    <row r="1032976" customFormat="1"/>
    <row r="1032977" customFormat="1"/>
    <row r="1032978" customFormat="1"/>
    <row r="1032979" customFormat="1"/>
    <row r="1032980" customFormat="1"/>
    <row r="1032981" customFormat="1"/>
    <row r="1032982" customFormat="1"/>
    <row r="1032983" customFormat="1"/>
    <row r="1032984" customFormat="1"/>
    <row r="1032985" customFormat="1"/>
    <row r="1032986" customFormat="1"/>
    <row r="1032987" customFormat="1"/>
    <row r="1032988" customFormat="1"/>
    <row r="1032989" customFormat="1"/>
    <row r="1032990" customFormat="1"/>
    <row r="1032991" customFormat="1"/>
    <row r="1032992" customFormat="1"/>
    <row r="1032993" customFormat="1"/>
    <row r="1032994" customFormat="1"/>
    <row r="1032995" customFormat="1"/>
    <row r="1032996" customFormat="1"/>
    <row r="1032997" customFormat="1"/>
    <row r="1032998" customFormat="1"/>
    <row r="1032999" customFormat="1"/>
    <row r="1033000" customFormat="1"/>
    <row r="1033001" customFormat="1"/>
    <row r="1033002" customFormat="1"/>
    <row r="1033003" customFormat="1"/>
    <row r="1033004" customFormat="1"/>
    <row r="1033005" customFormat="1"/>
    <row r="1033006" customFormat="1"/>
    <row r="1033007" customFormat="1"/>
    <row r="1033008" customFormat="1"/>
    <row r="1033009" customFormat="1"/>
    <row r="1033010" customFormat="1"/>
    <row r="1033011" customFormat="1"/>
    <row r="1033012" customFormat="1"/>
    <row r="1033013" customFormat="1"/>
    <row r="1033014" customFormat="1"/>
    <row r="1033015" customFormat="1"/>
    <row r="1033016" customFormat="1"/>
    <row r="1033017" customFormat="1"/>
    <row r="1033018" customFormat="1"/>
    <row r="1033019" customFormat="1"/>
    <row r="1033020" customFormat="1"/>
    <row r="1033021" customFormat="1"/>
    <row r="1033022" customFormat="1"/>
    <row r="1033023" customFormat="1"/>
    <row r="1033024" customFormat="1"/>
    <row r="1033025" customFormat="1"/>
    <row r="1033026" customFormat="1"/>
    <row r="1033027" customFormat="1"/>
    <row r="1033028" customFormat="1"/>
    <row r="1033029" customFormat="1"/>
    <row r="1033030" customFormat="1"/>
    <row r="1033031" customFormat="1"/>
    <row r="1033032" customFormat="1"/>
    <row r="1033033" customFormat="1"/>
    <row r="1033034" customFormat="1"/>
    <row r="1033035" customFormat="1"/>
    <row r="1033036" customFormat="1"/>
    <row r="1033037" customFormat="1"/>
    <row r="1033038" customFormat="1"/>
    <row r="1033039" customFormat="1"/>
    <row r="1033040" customFormat="1"/>
    <row r="1033041" customFormat="1"/>
    <row r="1033042" customFormat="1"/>
    <row r="1033043" customFormat="1"/>
    <row r="1033044" customFormat="1"/>
    <row r="1033045" customFormat="1"/>
    <row r="1033046" customFormat="1"/>
    <row r="1033047" customFormat="1"/>
    <row r="1033048" customFormat="1"/>
    <row r="1033049" customFormat="1"/>
    <row r="1033050" customFormat="1"/>
    <row r="1033051" customFormat="1"/>
    <row r="1033052" customFormat="1"/>
    <row r="1033053" customFormat="1"/>
    <row r="1033054" customFormat="1"/>
    <row r="1033055" customFormat="1"/>
    <row r="1033056" customFormat="1"/>
    <row r="1033057" customFormat="1"/>
    <row r="1033058" customFormat="1"/>
    <row r="1033059" customFormat="1"/>
    <row r="1033060" customFormat="1"/>
    <row r="1033061" customFormat="1"/>
    <row r="1033062" customFormat="1"/>
    <row r="1033063" customFormat="1"/>
    <row r="1033064" customFormat="1"/>
    <row r="1033065" customFormat="1"/>
    <row r="1033066" customFormat="1"/>
    <row r="1033067" customFormat="1"/>
    <row r="1033068" customFormat="1"/>
    <row r="1033069" customFormat="1"/>
    <row r="1033070" customFormat="1"/>
    <row r="1033071" customFormat="1"/>
    <row r="1033072" customFormat="1"/>
    <row r="1033073" customFormat="1"/>
    <row r="1033074" customFormat="1"/>
    <row r="1033075" customFormat="1"/>
    <row r="1033076" customFormat="1"/>
    <row r="1033077" customFormat="1"/>
    <row r="1033078" customFormat="1"/>
    <row r="1033079" customFormat="1"/>
    <row r="1033080" customFormat="1"/>
    <row r="1033081" customFormat="1"/>
    <row r="1033082" customFormat="1"/>
    <row r="1033083" customFormat="1"/>
    <row r="1033084" customFormat="1"/>
    <row r="1033085" customFormat="1"/>
    <row r="1033086" customFormat="1"/>
    <row r="1033087" customFormat="1"/>
    <row r="1033088" customFormat="1"/>
    <row r="1033089" customFormat="1"/>
    <row r="1033090" customFormat="1"/>
    <row r="1033091" customFormat="1"/>
    <row r="1033092" customFormat="1"/>
    <row r="1033093" customFormat="1"/>
    <row r="1033094" customFormat="1"/>
    <row r="1033095" customFormat="1"/>
    <row r="1033096" customFormat="1"/>
    <row r="1033097" customFormat="1"/>
    <row r="1033098" customFormat="1"/>
    <row r="1033099" customFormat="1"/>
    <row r="1033100" customFormat="1"/>
    <row r="1033101" customFormat="1"/>
    <row r="1033102" customFormat="1"/>
    <row r="1033103" customFormat="1"/>
    <row r="1033104" customFormat="1"/>
    <row r="1033105" customFormat="1"/>
    <row r="1033106" customFormat="1"/>
    <row r="1033107" customFormat="1"/>
    <row r="1033108" customFormat="1"/>
    <row r="1033109" customFormat="1"/>
    <row r="1033110" customFormat="1"/>
    <row r="1033111" customFormat="1"/>
    <row r="1033112" customFormat="1"/>
    <row r="1033113" customFormat="1"/>
    <row r="1033114" customFormat="1"/>
    <row r="1033115" customFormat="1"/>
    <row r="1033116" customFormat="1"/>
    <row r="1033117" customFormat="1"/>
    <row r="1033118" customFormat="1"/>
    <row r="1033119" customFormat="1"/>
    <row r="1033120" customFormat="1"/>
    <row r="1033121" customFormat="1"/>
    <row r="1033122" customFormat="1"/>
    <row r="1033123" customFormat="1"/>
    <row r="1033124" customFormat="1"/>
    <row r="1033125" customFormat="1"/>
    <row r="1033126" customFormat="1"/>
    <row r="1033127" customFormat="1"/>
    <row r="1033128" customFormat="1"/>
    <row r="1033129" customFormat="1"/>
    <row r="1033130" customFormat="1"/>
    <row r="1033131" customFormat="1"/>
    <row r="1033132" customFormat="1"/>
    <row r="1033133" customFormat="1"/>
    <row r="1033134" customFormat="1"/>
    <row r="1033135" customFormat="1"/>
    <row r="1033136" customFormat="1"/>
    <row r="1033137" customFormat="1"/>
    <row r="1033138" customFormat="1"/>
    <row r="1033139" customFormat="1"/>
    <row r="1033140" customFormat="1"/>
    <row r="1033141" customFormat="1"/>
    <row r="1033142" customFormat="1"/>
    <row r="1033143" customFormat="1"/>
    <row r="1033144" customFormat="1"/>
    <row r="1033145" customFormat="1"/>
    <row r="1033146" customFormat="1"/>
    <row r="1033147" customFormat="1"/>
    <row r="1033148" customFormat="1"/>
    <row r="1033149" customFormat="1"/>
    <row r="1033150" customFormat="1"/>
    <row r="1033151" customFormat="1"/>
    <row r="1033152" customFormat="1"/>
    <row r="1033153" customFormat="1"/>
    <row r="1033154" customFormat="1"/>
    <row r="1033155" customFormat="1"/>
    <row r="1033156" customFormat="1"/>
    <row r="1033157" customFormat="1"/>
    <row r="1033158" customFormat="1"/>
    <row r="1033159" customFormat="1"/>
    <row r="1033160" customFormat="1"/>
    <row r="1033161" customFormat="1"/>
    <row r="1033162" customFormat="1"/>
    <row r="1033163" customFormat="1"/>
    <row r="1033164" customFormat="1"/>
    <row r="1033165" customFormat="1"/>
    <row r="1033166" customFormat="1"/>
    <row r="1033167" customFormat="1"/>
    <row r="1033168" customFormat="1"/>
    <row r="1033169" customFormat="1"/>
    <row r="1033170" customFormat="1"/>
    <row r="1033171" customFormat="1"/>
    <row r="1033172" customFormat="1"/>
    <row r="1033173" customFormat="1"/>
    <row r="1033174" customFormat="1"/>
    <row r="1033175" customFormat="1"/>
    <row r="1033176" customFormat="1"/>
    <row r="1033177" customFormat="1"/>
    <row r="1033178" customFormat="1"/>
    <row r="1033179" customFormat="1"/>
    <row r="1033180" customFormat="1"/>
    <row r="1033181" customFormat="1"/>
    <row r="1033182" customFormat="1"/>
    <row r="1033183" customFormat="1"/>
    <row r="1033184" customFormat="1"/>
    <row r="1033185" customFormat="1"/>
    <row r="1033186" customFormat="1"/>
    <row r="1033187" customFormat="1"/>
    <row r="1033188" customFormat="1"/>
    <row r="1033189" customFormat="1"/>
    <row r="1033190" customFormat="1"/>
    <row r="1033191" customFormat="1"/>
    <row r="1033192" customFormat="1"/>
    <row r="1033193" customFormat="1"/>
    <row r="1033194" customFormat="1"/>
    <row r="1033195" customFormat="1"/>
    <row r="1033196" customFormat="1"/>
    <row r="1033197" customFormat="1"/>
    <row r="1033198" customFormat="1"/>
    <row r="1033199" customFormat="1"/>
    <row r="1033200" customFormat="1"/>
    <row r="1033201" customFormat="1"/>
    <row r="1033202" customFormat="1"/>
    <row r="1033203" customFormat="1"/>
    <row r="1033204" customFormat="1"/>
    <row r="1033205" customFormat="1"/>
    <row r="1033206" customFormat="1"/>
    <row r="1033207" customFormat="1"/>
    <row r="1033208" customFormat="1"/>
    <row r="1033209" customFormat="1"/>
    <row r="1033210" customFormat="1"/>
    <row r="1033211" customFormat="1"/>
    <row r="1033212" customFormat="1"/>
    <row r="1033213" customFormat="1"/>
    <row r="1033214" customFormat="1"/>
    <row r="1033215" customFormat="1"/>
    <row r="1033216" customFormat="1"/>
    <row r="1033217" customFormat="1"/>
    <row r="1033218" customFormat="1"/>
    <row r="1033219" customFormat="1"/>
    <row r="1033220" customFormat="1"/>
    <row r="1033221" customFormat="1"/>
    <row r="1033222" customFormat="1"/>
    <row r="1033223" customFormat="1"/>
    <row r="1033224" customFormat="1"/>
    <row r="1033225" customFormat="1"/>
    <row r="1033226" customFormat="1"/>
    <row r="1033227" customFormat="1"/>
    <row r="1033228" customFormat="1"/>
    <row r="1033229" customFormat="1"/>
    <row r="1033230" customFormat="1"/>
    <row r="1033231" customFormat="1"/>
    <row r="1033232" customFormat="1"/>
    <row r="1033233" customFormat="1"/>
    <row r="1033234" customFormat="1"/>
    <row r="1033235" customFormat="1"/>
    <row r="1033236" customFormat="1"/>
    <row r="1033237" customFormat="1"/>
    <row r="1033238" customFormat="1"/>
    <row r="1033239" customFormat="1"/>
    <row r="1033240" customFormat="1"/>
    <row r="1033241" customFormat="1"/>
    <row r="1033242" customFormat="1"/>
    <row r="1033243" customFormat="1"/>
    <row r="1033244" customFormat="1"/>
    <row r="1033245" customFormat="1"/>
    <row r="1033246" customFormat="1"/>
    <row r="1033247" customFormat="1"/>
    <row r="1033248" customFormat="1"/>
    <row r="1033249" customFormat="1"/>
    <row r="1033250" customFormat="1"/>
    <row r="1033251" customFormat="1"/>
    <row r="1033252" customFormat="1"/>
    <row r="1033253" customFormat="1"/>
    <row r="1033254" customFormat="1"/>
    <row r="1033255" customFormat="1"/>
    <row r="1033256" customFormat="1"/>
    <row r="1033257" customFormat="1"/>
    <row r="1033258" customFormat="1"/>
    <row r="1033259" customFormat="1"/>
    <row r="1033260" customFormat="1"/>
    <row r="1033261" customFormat="1"/>
    <row r="1033262" customFormat="1"/>
    <row r="1033263" customFormat="1"/>
    <row r="1033264" customFormat="1"/>
    <row r="1033265" customFormat="1"/>
    <row r="1033266" customFormat="1"/>
    <row r="1033267" customFormat="1"/>
    <row r="1033268" customFormat="1"/>
    <row r="1033269" customFormat="1"/>
    <row r="1033270" customFormat="1"/>
    <row r="1033271" customFormat="1"/>
    <row r="1033272" customFormat="1"/>
    <row r="1033273" customFormat="1"/>
    <row r="1033274" customFormat="1"/>
    <row r="1033275" customFormat="1"/>
    <row r="1033276" customFormat="1"/>
    <row r="1033277" customFormat="1"/>
    <row r="1033278" customFormat="1"/>
    <row r="1033279" customFormat="1"/>
    <row r="1033280" customFormat="1"/>
    <row r="1033281" customFormat="1"/>
    <row r="1033282" customFormat="1"/>
    <row r="1033283" customFormat="1"/>
    <row r="1033284" customFormat="1"/>
    <row r="1033285" customFormat="1"/>
    <row r="1033286" customFormat="1"/>
    <row r="1033287" customFormat="1"/>
    <row r="1033288" customFormat="1"/>
    <row r="1033289" customFormat="1"/>
    <row r="1033290" customFormat="1"/>
    <row r="1033291" customFormat="1"/>
    <row r="1033292" customFormat="1"/>
    <row r="1033293" customFormat="1"/>
    <row r="1033294" customFormat="1"/>
    <row r="1033295" customFormat="1"/>
    <row r="1033296" customFormat="1"/>
    <row r="1033297" customFormat="1"/>
    <row r="1033298" customFormat="1"/>
    <row r="1033299" customFormat="1"/>
    <row r="1033300" customFormat="1"/>
    <row r="1033301" customFormat="1"/>
    <row r="1033302" customFormat="1"/>
    <row r="1033303" customFormat="1"/>
    <row r="1033304" customFormat="1"/>
    <row r="1033305" customFormat="1"/>
    <row r="1033306" customFormat="1"/>
    <row r="1033307" customFormat="1"/>
    <row r="1033308" customFormat="1"/>
    <row r="1033309" customFormat="1"/>
    <row r="1033310" customFormat="1"/>
    <row r="1033311" customFormat="1"/>
    <row r="1033312" customFormat="1"/>
    <row r="1033313" customFormat="1"/>
    <row r="1033314" customFormat="1"/>
    <row r="1033315" customFormat="1"/>
    <row r="1033316" customFormat="1"/>
    <row r="1033317" customFormat="1"/>
    <row r="1033318" customFormat="1"/>
    <row r="1033319" customFormat="1"/>
    <row r="1033320" customFormat="1"/>
    <row r="1033321" customFormat="1"/>
    <row r="1033322" customFormat="1"/>
    <row r="1033323" customFormat="1"/>
    <row r="1033324" customFormat="1"/>
    <row r="1033325" customFormat="1"/>
    <row r="1033326" customFormat="1"/>
    <row r="1033327" customFormat="1"/>
    <row r="1033328" customFormat="1"/>
    <row r="1033329" customFormat="1"/>
    <row r="1033330" customFormat="1"/>
    <row r="1033331" customFormat="1"/>
    <row r="1033332" customFormat="1"/>
    <row r="1033333" customFormat="1"/>
    <row r="1033334" customFormat="1"/>
    <row r="1033335" customFormat="1"/>
    <row r="1033336" customFormat="1"/>
    <row r="1033337" customFormat="1"/>
    <row r="1033338" customFormat="1"/>
    <row r="1033339" customFormat="1"/>
    <row r="1033340" customFormat="1"/>
    <row r="1033341" customFormat="1"/>
    <row r="1033342" customFormat="1"/>
    <row r="1033343" customFormat="1"/>
    <row r="1033344" customFormat="1"/>
    <row r="1033345" customFormat="1"/>
    <row r="1033346" customFormat="1"/>
    <row r="1033347" customFormat="1"/>
    <row r="1033348" customFormat="1"/>
    <row r="1033349" customFormat="1"/>
    <row r="1033350" customFormat="1"/>
    <row r="1033351" customFormat="1"/>
    <row r="1033352" customFormat="1"/>
    <row r="1033353" customFormat="1"/>
    <row r="1033354" customFormat="1"/>
    <row r="1033355" customFormat="1"/>
    <row r="1033356" customFormat="1"/>
    <row r="1033357" customFormat="1"/>
    <row r="1033358" customFormat="1"/>
    <row r="1033359" customFormat="1"/>
    <row r="1033360" customFormat="1"/>
    <row r="1033361" customFormat="1"/>
    <row r="1033362" customFormat="1"/>
    <row r="1033363" customFormat="1"/>
    <row r="1033364" customFormat="1"/>
    <row r="1033365" customFormat="1"/>
    <row r="1033366" customFormat="1"/>
    <row r="1033367" customFormat="1"/>
    <row r="1033368" customFormat="1"/>
    <row r="1033369" customFormat="1"/>
    <row r="1033370" customFormat="1"/>
    <row r="1033371" customFormat="1"/>
    <row r="1033372" customFormat="1"/>
    <row r="1033373" customFormat="1"/>
    <row r="1033374" customFormat="1"/>
    <row r="1033375" customFormat="1"/>
    <row r="1033376" customFormat="1"/>
    <row r="1033377" customFormat="1"/>
    <row r="1033378" customFormat="1"/>
    <row r="1033379" customFormat="1"/>
    <row r="1033380" customFormat="1"/>
    <row r="1033381" customFormat="1"/>
    <row r="1033382" customFormat="1"/>
    <row r="1033383" customFormat="1"/>
    <row r="1033384" customFormat="1"/>
    <row r="1033385" customFormat="1"/>
    <row r="1033386" customFormat="1"/>
    <row r="1033387" customFormat="1"/>
    <row r="1033388" customFormat="1"/>
    <row r="1033389" customFormat="1"/>
    <row r="1033390" customFormat="1"/>
    <row r="1033391" customFormat="1"/>
    <row r="1033392" customFormat="1"/>
    <row r="1033393" customFormat="1"/>
    <row r="1033394" customFormat="1"/>
    <row r="1033395" customFormat="1"/>
    <row r="1033396" customFormat="1"/>
    <row r="1033397" customFormat="1"/>
    <row r="1033398" customFormat="1"/>
    <row r="1033399" customFormat="1"/>
    <row r="1033400" customFormat="1"/>
    <row r="1033401" customFormat="1"/>
    <row r="1033402" customFormat="1"/>
    <row r="1033403" customFormat="1"/>
    <row r="1033404" customFormat="1"/>
    <row r="1033405" customFormat="1"/>
    <row r="1033406" customFormat="1"/>
    <row r="1033407" customFormat="1"/>
    <row r="1033408" customFormat="1"/>
    <row r="1033409" customFormat="1"/>
    <row r="1033410" customFormat="1"/>
    <row r="1033411" customFormat="1"/>
    <row r="1033412" customFormat="1"/>
    <row r="1033413" customFormat="1"/>
    <row r="1033414" customFormat="1"/>
    <row r="1033415" customFormat="1"/>
    <row r="1033416" customFormat="1"/>
    <row r="1033417" customFormat="1"/>
    <row r="1033418" customFormat="1"/>
    <row r="1033419" customFormat="1"/>
    <row r="1033420" customFormat="1"/>
    <row r="1033421" customFormat="1"/>
    <row r="1033422" customFormat="1"/>
    <row r="1033423" customFormat="1"/>
    <row r="1033424" customFormat="1"/>
    <row r="1033425" customFormat="1"/>
    <row r="1033426" customFormat="1"/>
    <row r="1033427" customFormat="1"/>
    <row r="1033428" customFormat="1"/>
    <row r="1033429" customFormat="1"/>
    <row r="1033430" customFormat="1"/>
    <row r="1033431" customFormat="1"/>
    <row r="1033432" customFormat="1"/>
    <row r="1033433" customFormat="1"/>
    <row r="1033434" customFormat="1"/>
    <row r="1033435" customFormat="1"/>
    <row r="1033436" customFormat="1"/>
    <row r="1033437" customFormat="1"/>
    <row r="1033438" customFormat="1"/>
    <row r="1033439" customFormat="1"/>
    <row r="1033440" customFormat="1"/>
    <row r="1033441" customFormat="1"/>
    <row r="1033442" customFormat="1"/>
    <row r="1033443" customFormat="1"/>
    <row r="1033444" customFormat="1"/>
    <row r="1033445" customFormat="1"/>
    <row r="1033446" customFormat="1"/>
    <row r="1033447" customFormat="1"/>
    <row r="1033448" customFormat="1"/>
    <row r="1033449" customFormat="1"/>
    <row r="1033450" customFormat="1"/>
    <row r="1033451" customFormat="1"/>
    <row r="1033452" customFormat="1"/>
    <row r="1033453" customFormat="1"/>
    <row r="1033454" customFormat="1"/>
    <row r="1033455" customFormat="1"/>
    <row r="1033456" customFormat="1"/>
    <row r="1033457" customFormat="1"/>
    <row r="1033458" customFormat="1"/>
    <row r="1033459" customFormat="1"/>
    <row r="1033460" customFormat="1"/>
    <row r="1033461" customFormat="1"/>
    <row r="1033462" customFormat="1"/>
    <row r="1033463" customFormat="1"/>
    <row r="1033464" customFormat="1"/>
    <row r="1033465" customFormat="1"/>
    <row r="1033466" customFormat="1"/>
    <row r="1033467" customFormat="1"/>
    <row r="1033468" customFormat="1"/>
    <row r="1033469" customFormat="1"/>
    <row r="1033470" customFormat="1"/>
    <row r="1033471" customFormat="1"/>
    <row r="1033472" customFormat="1"/>
    <row r="1033473" customFormat="1"/>
    <row r="1033474" customFormat="1"/>
    <row r="1033475" customFormat="1"/>
    <row r="1033476" customFormat="1"/>
    <row r="1033477" customFormat="1"/>
    <row r="1033478" customFormat="1"/>
    <row r="1033479" customFormat="1"/>
    <row r="1033480" customFormat="1"/>
    <row r="1033481" customFormat="1"/>
    <row r="1033482" customFormat="1"/>
    <row r="1033483" customFormat="1"/>
    <row r="1033484" customFormat="1"/>
    <row r="1033485" customFormat="1"/>
    <row r="1033486" customFormat="1"/>
    <row r="1033487" customFormat="1"/>
    <row r="1033488" customFormat="1"/>
    <row r="1033489" customFormat="1"/>
    <row r="1033490" customFormat="1"/>
    <row r="1033491" customFormat="1"/>
    <row r="1033492" customFormat="1"/>
    <row r="1033493" customFormat="1"/>
    <row r="1033494" customFormat="1"/>
    <row r="1033495" customFormat="1"/>
    <row r="1033496" customFormat="1"/>
    <row r="1033497" customFormat="1"/>
    <row r="1033498" customFormat="1"/>
    <row r="1033499" customFormat="1"/>
    <row r="1033500" customFormat="1"/>
    <row r="1033501" customFormat="1"/>
    <row r="1033502" customFormat="1"/>
    <row r="1033503" customFormat="1"/>
    <row r="1033504" customFormat="1"/>
    <row r="1033505" customFormat="1"/>
    <row r="1033506" customFormat="1"/>
    <row r="1033507" customFormat="1"/>
    <row r="1033508" customFormat="1"/>
    <row r="1033509" customFormat="1"/>
    <row r="1033510" customFormat="1"/>
    <row r="1033511" customFormat="1"/>
    <row r="1033512" customFormat="1"/>
    <row r="1033513" customFormat="1"/>
    <row r="1033514" customFormat="1"/>
    <row r="1033515" customFormat="1"/>
    <row r="1033516" customFormat="1"/>
    <row r="1033517" customFormat="1"/>
    <row r="1033518" customFormat="1"/>
    <row r="1033519" customFormat="1"/>
    <row r="1033520" customFormat="1"/>
    <row r="1033521" customFormat="1"/>
    <row r="1033522" customFormat="1"/>
    <row r="1033523" customFormat="1"/>
    <row r="1033524" customFormat="1"/>
    <row r="1033525" customFormat="1"/>
    <row r="1033526" customFormat="1"/>
    <row r="1033527" customFormat="1"/>
    <row r="1033528" customFormat="1"/>
    <row r="1033529" customFormat="1"/>
    <row r="1033530" customFormat="1"/>
    <row r="1033531" customFormat="1"/>
    <row r="1033532" customFormat="1"/>
    <row r="1033533" customFormat="1"/>
    <row r="1033534" customFormat="1"/>
    <row r="1033535" customFormat="1"/>
    <row r="1033536" customFormat="1"/>
    <row r="1033537" customFormat="1"/>
    <row r="1033538" customFormat="1"/>
    <row r="1033539" customFormat="1"/>
    <row r="1033540" customFormat="1"/>
    <row r="1033541" customFormat="1"/>
    <row r="1033542" customFormat="1"/>
    <row r="1033543" customFormat="1"/>
    <row r="1033544" customFormat="1"/>
    <row r="1033545" customFormat="1"/>
    <row r="1033546" customFormat="1"/>
    <row r="1033547" customFormat="1"/>
    <row r="1033548" customFormat="1"/>
    <row r="1033549" customFormat="1"/>
    <row r="1033550" customFormat="1"/>
    <row r="1033551" customFormat="1"/>
    <row r="1033552" customFormat="1"/>
    <row r="1033553" customFormat="1"/>
    <row r="1033554" customFormat="1"/>
    <row r="1033555" customFormat="1"/>
    <row r="1033556" customFormat="1"/>
    <row r="1033557" customFormat="1"/>
    <row r="1033558" customFormat="1"/>
    <row r="1033559" customFormat="1"/>
    <row r="1033560" customFormat="1"/>
    <row r="1033561" customFormat="1"/>
    <row r="1033562" customFormat="1"/>
    <row r="1033563" customFormat="1"/>
    <row r="1033564" customFormat="1"/>
    <row r="1033565" customFormat="1"/>
    <row r="1033566" customFormat="1"/>
    <row r="1033567" customFormat="1"/>
    <row r="1033568" customFormat="1"/>
    <row r="1033569" customFormat="1"/>
    <row r="1033570" customFormat="1"/>
    <row r="1033571" customFormat="1"/>
    <row r="1033572" customFormat="1"/>
    <row r="1033573" customFormat="1"/>
    <row r="1033574" customFormat="1"/>
    <row r="1033575" customFormat="1"/>
    <row r="1033576" customFormat="1"/>
    <row r="1033577" customFormat="1"/>
    <row r="1033578" customFormat="1"/>
    <row r="1033579" customFormat="1"/>
    <row r="1033580" customFormat="1"/>
    <row r="1033581" customFormat="1"/>
    <row r="1033582" customFormat="1"/>
    <row r="1033583" customFormat="1"/>
    <row r="1033584" customFormat="1"/>
    <row r="1033585" customFormat="1"/>
    <row r="1033586" customFormat="1"/>
    <row r="1033587" customFormat="1"/>
    <row r="1033588" customFormat="1"/>
    <row r="1033589" customFormat="1"/>
    <row r="1033590" customFormat="1"/>
    <row r="1033591" customFormat="1"/>
    <row r="1033592" customFormat="1"/>
    <row r="1033593" customFormat="1"/>
    <row r="1033594" customFormat="1"/>
    <row r="1033595" customFormat="1"/>
    <row r="1033596" customFormat="1"/>
    <row r="1033597" customFormat="1"/>
    <row r="1033598" customFormat="1"/>
    <row r="1033599" customFormat="1"/>
    <row r="1033600" customFormat="1"/>
    <row r="1033601" customFormat="1"/>
    <row r="1033602" customFormat="1"/>
    <row r="1033603" customFormat="1"/>
    <row r="1033604" customFormat="1"/>
    <row r="1033605" customFormat="1"/>
    <row r="1033606" customFormat="1"/>
    <row r="1033607" customFormat="1"/>
    <row r="1033608" customFormat="1"/>
    <row r="1033609" customFormat="1"/>
    <row r="1033610" customFormat="1"/>
    <row r="1033611" customFormat="1"/>
    <row r="1033612" customFormat="1"/>
    <row r="1033613" customFormat="1"/>
    <row r="1033614" customFormat="1"/>
    <row r="1033615" customFormat="1"/>
    <row r="1033616" customFormat="1"/>
    <row r="1033617" customFormat="1"/>
    <row r="1033618" customFormat="1"/>
    <row r="1033619" customFormat="1"/>
    <row r="1033620" customFormat="1"/>
    <row r="1033621" customFormat="1"/>
    <row r="1033622" customFormat="1"/>
    <row r="1033623" customFormat="1"/>
    <row r="1033624" customFormat="1"/>
    <row r="1033625" customFormat="1"/>
    <row r="1033626" customFormat="1"/>
    <row r="1033627" customFormat="1"/>
    <row r="1033628" customFormat="1"/>
    <row r="1033629" customFormat="1"/>
    <row r="1033630" customFormat="1"/>
    <row r="1033631" customFormat="1"/>
    <row r="1033632" customFormat="1"/>
    <row r="1033633" customFormat="1"/>
    <row r="1033634" customFormat="1"/>
    <row r="1033635" customFormat="1"/>
    <row r="1033636" customFormat="1"/>
    <row r="1033637" customFormat="1"/>
    <row r="1033638" customFormat="1"/>
    <row r="1033639" customFormat="1"/>
    <row r="1033640" customFormat="1"/>
    <row r="1033641" customFormat="1"/>
    <row r="1033642" customFormat="1"/>
    <row r="1033643" customFormat="1"/>
    <row r="1033644" customFormat="1"/>
    <row r="1033645" customFormat="1"/>
    <row r="1033646" customFormat="1"/>
    <row r="1033647" customFormat="1"/>
    <row r="1033648" customFormat="1"/>
    <row r="1033649" customFormat="1"/>
    <row r="1033650" customFormat="1"/>
    <row r="1033651" customFormat="1"/>
    <row r="1033652" customFormat="1"/>
    <row r="1033653" customFormat="1"/>
    <row r="1033654" customFormat="1"/>
    <row r="1033655" customFormat="1"/>
    <row r="1033656" customFormat="1"/>
    <row r="1033657" customFormat="1"/>
    <row r="1033658" customFormat="1"/>
    <row r="1033659" customFormat="1"/>
    <row r="1033660" customFormat="1"/>
    <row r="1033661" customFormat="1"/>
    <row r="1033662" customFormat="1"/>
    <row r="1033663" customFormat="1"/>
    <row r="1033664" customFormat="1"/>
    <row r="1033665" customFormat="1"/>
    <row r="1033666" customFormat="1"/>
    <row r="1033667" customFormat="1"/>
    <row r="1033668" customFormat="1"/>
    <row r="1033669" customFormat="1"/>
    <row r="1033670" customFormat="1"/>
    <row r="1033671" customFormat="1"/>
    <row r="1033672" customFormat="1"/>
    <row r="1033673" customFormat="1"/>
    <row r="1033674" customFormat="1"/>
    <row r="1033675" customFormat="1"/>
    <row r="1033676" customFormat="1"/>
    <row r="1033677" customFormat="1"/>
    <row r="1033678" customFormat="1"/>
    <row r="1033679" customFormat="1"/>
    <row r="1033680" customFormat="1"/>
    <row r="1033681" customFormat="1"/>
    <row r="1033682" customFormat="1"/>
    <row r="1033683" customFormat="1"/>
    <row r="1033684" customFormat="1"/>
    <row r="1033685" customFormat="1"/>
    <row r="1033686" customFormat="1"/>
    <row r="1033687" customFormat="1"/>
    <row r="1033688" customFormat="1"/>
    <row r="1033689" customFormat="1"/>
    <row r="1033690" customFormat="1"/>
    <row r="1033691" customFormat="1"/>
    <row r="1033692" customFormat="1"/>
    <row r="1033693" customFormat="1"/>
    <row r="1033694" customFormat="1"/>
    <row r="1033695" customFormat="1"/>
    <row r="1033696" customFormat="1"/>
    <row r="1033697" customFormat="1"/>
    <row r="1033698" customFormat="1"/>
    <row r="1033699" customFormat="1"/>
    <row r="1033700" customFormat="1"/>
    <row r="1033701" customFormat="1"/>
    <row r="1033702" customFormat="1"/>
    <row r="1033703" customFormat="1"/>
    <row r="1033704" customFormat="1"/>
    <row r="1033705" customFormat="1"/>
    <row r="1033706" customFormat="1"/>
    <row r="1033707" customFormat="1"/>
    <row r="1033708" customFormat="1"/>
    <row r="1033709" customFormat="1"/>
    <row r="1033710" customFormat="1"/>
    <row r="1033711" customFormat="1"/>
    <row r="1033712" customFormat="1"/>
    <row r="1033713" customFormat="1"/>
    <row r="1033714" customFormat="1"/>
    <row r="1033715" customFormat="1"/>
    <row r="1033716" customFormat="1"/>
    <row r="1033717" customFormat="1"/>
    <row r="1033718" customFormat="1"/>
    <row r="1033719" customFormat="1"/>
    <row r="1033720" customFormat="1"/>
    <row r="1033721" customFormat="1"/>
    <row r="1033722" customFormat="1"/>
    <row r="1033723" customFormat="1"/>
    <row r="1033724" customFormat="1"/>
    <row r="1033725" customFormat="1"/>
    <row r="1033726" customFormat="1"/>
    <row r="1033727" customFormat="1"/>
    <row r="1033728" customFormat="1"/>
    <row r="1033729" customFormat="1"/>
    <row r="1033730" customFormat="1"/>
    <row r="1033731" customFormat="1"/>
    <row r="1033732" customFormat="1"/>
    <row r="1033733" customFormat="1"/>
    <row r="1033734" customFormat="1"/>
    <row r="1033735" customFormat="1"/>
    <row r="1033736" customFormat="1"/>
    <row r="1033737" customFormat="1"/>
    <row r="1033738" customFormat="1"/>
    <row r="1033739" customFormat="1"/>
    <row r="1033740" customFormat="1"/>
    <row r="1033741" customFormat="1"/>
    <row r="1033742" customFormat="1"/>
    <row r="1033743" customFormat="1"/>
    <row r="1033744" customFormat="1"/>
    <row r="1033745" customFormat="1"/>
    <row r="1033746" customFormat="1"/>
    <row r="1033747" customFormat="1"/>
    <row r="1033748" customFormat="1"/>
    <row r="1033749" customFormat="1"/>
    <row r="1033750" customFormat="1"/>
    <row r="1033751" customFormat="1"/>
    <row r="1033752" customFormat="1"/>
    <row r="1033753" customFormat="1"/>
    <row r="1033754" customFormat="1"/>
    <row r="1033755" customFormat="1"/>
    <row r="1033756" customFormat="1"/>
    <row r="1033757" customFormat="1"/>
    <row r="1033758" customFormat="1"/>
    <row r="1033759" customFormat="1"/>
    <row r="1033760" customFormat="1"/>
    <row r="1033761" customFormat="1"/>
    <row r="1033762" customFormat="1"/>
    <row r="1033763" customFormat="1"/>
    <row r="1033764" customFormat="1"/>
    <row r="1033765" customFormat="1"/>
    <row r="1033766" customFormat="1"/>
    <row r="1033767" customFormat="1"/>
    <row r="1033768" customFormat="1"/>
    <row r="1033769" customFormat="1"/>
    <row r="1033770" customFormat="1"/>
    <row r="1033771" customFormat="1"/>
    <row r="1033772" customFormat="1"/>
    <row r="1033773" customFormat="1"/>
    <row r="1033774" customFormat="1"/>
    <row r="1033775" customFormat="1"/>
    <row r="1033776" customFormat="1"/>
    <row r="1033777" customFormat="1"/>
    <row r="1033778" customFormat="1"/>
    <row r="1033779" customFormat="1"/>
    <row r="1033780" customFormat="1"/>
    <row r="1033781" customFormat="1"/>
    <row r="1033782" customFormat="1"/>
    <row r="1033783" customFormat="1"/>
    <row r="1033784" customFormat="1"/>
    <row r="1033785" customFormat="1"/>
    <row r="1033786" customFormat="1"/>
    <row r="1033787" customFormat="1"/>
    <row r="1033788" customFormat="1"/>
    <row r="1033789" customFormat="1"/>
    <row r="1033790" customFormat="1"/>
    <row r="1033791" customFormat="1"/>
    <row r="1033792" customFormat="1"/>
    <row r="1033793" customFormat="1"/>
    <row r="1033794" customFormat="1"/>
    <row r="1033795" customFormat="1"/>
    <row r="1033796" customFormat="1"/>
    <row r="1033797" customFormat="1"/>
    <row r="1033798" customFormat="1"/>
    <row r="1033799" customFormat="1"/>
    <row r="1033800" customFormat="1"/>
    <row r="1033801" customFormat="1"/>
    <row r="1033802" customFormat="1"/>
    <row r="1033803" customFormat="1"/>
    <row r="1033804" customFormat="1"/>
    <row r="1033805" customFormat="1"/>
    <row r="1033806" customFormat="1"/>
    <row r="1033807" customFormat="1"/>
    <row r="1033808" customFormat="1"/>
    <row r="1033809" customFormat="1"/>
    <row r="1033810" customFormat="1"/>
    <row r="1033811" customFormat="1"/>
    <row r="1033812" customFormat="1"/>
    <row r="1033813" customFormat="1"/>
    <row r="1033814" customFormat="1"/>
    <row r="1033815" customFormat="1"/>
    <row r="1033816" customFormat="1"/>
    <row r="1033817" customFormat="1"/>
    <row r="1033818" customFormat="1"/>
    <row r="1033819" customFormat="1"/>
    <row r="1033820" customFormat="1"/>
    <row r="1033821" customFormat="1"/>
    <row r="1033822" customFormat="1"/>
    <row r="1033823" customFormat="1"/>
    <row r="1033824" customFormat="1"/>
    <row r="1033825" customFormat="1"/>
    <row r="1033826" customFormat="1"/>
    <row r="1033827" customFormat="1"/>
    <row r="1033828" customFormat="1"/>
    <row r="1033829" customFormat="1"/>
    <row r="1033830" customFormat="1"/>
    <row r="1033831" customFormat="1"/>
    <row r="1033832" customFormat="1"/>
    <row r="1033833" customFormat="1"/>
    <row r="1033834" customFormat="1"/>
    <row r="1033835" customFormat="1"/>
    <row r="1033836" customFormat="1"/>
    <row r="1033837" customFormat="1"/>
    <row r="1033838" customFormat="1"/>
    <row r="1033839" customFormat="1"/>
    <row r="1033840" customFormat="1"/>
    <row r="1033841" customFormat="1"/>
    <row r="1033842" customFormat="1"/>
    <row r="1033843" customFormat="1"/>
    <row r="1033844" customFormat="1"/>
    <row r="1033845" customFormat="1"/>
    <row r="1033846" customFormat="1"/>
    <row r="1033847" customFormat="1"/>
    <row r="1033848" customFormat="1"/>
    <row r="1033849" customFormat="1"/>
    <row r="1033850" customFormat="1"/>
    <row r="1033851" customFormat="1"/>
    <row r="1033852" customFormat="1"/>
    <row r="1033853" customFormat="1"/>
    <row r="1033854" customFormat="1"/>
    <row r="1033855" customFormat="1"/>
    <row r="1033856" customFormat="1"/>
    <row r="1033857" customFormat="1"/>
    <row r="1033858" customFormat="1"/>
    <row r="1033859" customFormat="1"/>
    <row r="1033860" customFormat="1"/>
    <row r="1033861" customFormat="1"/>
    <row r="1033862" customFormat="1"/>
    <row r="1033863" customFormat="1"/>
    <row r="1033864" customFormat="1"/>
    <row r="1033865" customFormat="1"/>
    <row r="1033866" customFormat="1"/>
    <row r="1033867" customFormat="1"/>
    <row r="1033868" customFormat="1"/>
    <row r="1033869" customFormat="1"/>
    <row r="1033870" customFormat="1"/>
    <row r="1033871" customFormat="1"/>
    <row r="1033872" customFormat="1"/>
    <row r="1033873" customFormat="1"/>
    <row r="1033874" customFormat="1"/>
    <row r="1033875" customFormat="1"/>
    <row r="1033876" customFormat="1"/>
    <row r="1033877" customFormat="1"/>
    <row r="1033878" customFormat="1"/>
    <row r="1033879" customFormat="1"/>
    <row r="1033880" customFormat="1"/>
    <row r="1033881" customFormat="1"/>
    <row r="1033882" customFormat="1"/>
    <row r="1033883" customFormat="1"/>
    <row r="1033884" customFormat="1"/>
    <row r="1033885" customFormat="1"/>
    <row r="1033886" customFormat="1"/>
    <row r="1033887" customFormat="1"/>
    <row r="1033888" customFormat="1"/>
    <row r="1033889" customFormat="1"/>
    <row r="1033890" customFormat="1"/>
    <row r="1033891" customFormat="1"/>
    <row r="1033892" customFormat="1"/>
    <row r="1033893" customFormat="1"/>
    <row r="1033894" customFormat="1"/>
    <row r="1033895" customFormat="1"/>
    <row r="1033896" customFormat="1"/>
    <row r="1033897" customFormat="1"/>
    <row r="1033898" customFormat="1"/>
    <row r="1033899" customFormat="1"/>
    <row r="1033900" customFormat="1"/>
    <row r="1033901" customFormat="1"/>
    <row r="1033902" customFormat="1"/>
    <row r="1033903" customFormat="1"/>
    <row r="1033904" customFormat="1"/>
    <row r="1033905" customFormat="1"/>
    <row r="1033906" customFormat="1"/>
    <row r="1033907" customFormat="1"/>
    <row r="1033908" customFormat="1"/>
    <row r="1033909" customFormat="1"/>
    <row r="1033910" customFormat="1"/>
    <row r="1033911" customFormat="1"/>
    <row r="1033912" customFormat="1"/>
    <row r="1033913" customFormat="1"/>
    <row r="1033914" customFormat="1"/>
    <row r="1033915" customFormat="1"/>
    <row r="1033916" customFormat="1"/>
    <row r="1033917" customFormat="1"/>
    <row r="1033918" customFormat="1"/>
    <row r="1033919" customFormat="1"/>
    <row r="1033920" customFormat="1"/>
    <row r="1033921" customFormat="1"/>
    <row r="1033922" customFormat="1"/>
    <row r="1033923" customFormat="1"/>
    <row r="1033924" customFormat="1"/>
    <row r="1033925" customFormat="1"/>
    <row r="1033926" customFormat="1"/>
    <row r="1033927" customFormat="1"/>
    <row r="1033928" customFormat="1"/>
    <row r="1033929" customFormat="1"/>
    <row r="1033930" customFormat="1"/>
    <row r="1033931" customFormat="1"/>
    <row r="1033932" customFormat="1"/>
    <row r="1033933" customFormat="1"/>
    <row r="1033934" customFormat="1"/>
    <row r="1033935" customFormat="1"/>
    <row r="1033936" customFormat="1"/>
    <row r="1033937" customFormat="1"/>
    <row r="1033938" customFormat="1"/>
    <row r="1033939" customFormat="1"/>
    <row r="1033940" customFormat="1"/>
    <row r="1033941" customFormat="1"/>
    <row r="1033942" customFormat="1"/>
    <row r="1033943" customFormat="1"/>
    <row r="1033944" customFormat="1"/>
    <row r="1033945" customFormat="1"/>
    <row r="1033946" customFormat="1"/>
    <row r="1033947" customFormat="1"/>
    <row r="1033948" customFormat="1"/>
    <row r="1033949" customFormat="1"/>
    <row r="1033950" customFormat="1"/>
    <row r="1033951" customFormat="1"/>
    <row r="1033952" customFormat="1"/>
    <row r="1033953" customFormat="1"/>
    <row r="1033954" customFormat="1"/>
    <row r="1033955" customFormat="1"/>
    <row r="1033956" customFormat="1"/>
    <row r="1033957" customFormat="1"/>
    <row r="1033958" customFormat="1"/>
    <row r="1033959" customFormat="1"/>
    <row r="1033960" customFormat="1"/>
    <row r="1033961" customFormat="1"/>
    <row r="1033962" customFormat="1"/>
    <row r="1033963" customFormat="1"/>
    <row r="1033964" customFormat="1"/>
    <row r="1033965" customFormat="1"/>
    <row r="1033966" customFormat="1"/>
    <row r="1033967" customFormat="1"/>
    <row r="1033968" customFormat="1"/>
    <row r="1033969" customFormat="1"/>
    <row r="1033970" customFormat="1"/>
    <row r="1033971" customFormat="1"/>
    <row r="1033972" customFormat="1"/>
    <row r="1033973" customFormat="1"/>
    <row r="1033974" customFormat="1"/>
    <row r="1033975" customFormat="1"/>
    <row r="1033976" customFormat="1"/>
    <row r="1033977" customFormat="1"/>
    <row r="1033978" customFormat="1"/>
    <row r="1033979" customFormat="1"/>
    <row r="1033980" customFormat="1"/>
    <row r="1033981" customFormat="1"/>
    <row r="1033982" customFormat="1"/>
    <row r="1033983" customFormat="1"/>
    <row r="1033984" customFormat="1"/>
    <row r="1033985" customFormat="1"/>
    <row r="1033986" customFormat="1"/>
    <row r="1033987" customFormat="1"/>
    <row r="1033988" customFormat="1"/>
    <row r="1033989" customFormat="1"/>
    <row r="1033990" customFormat="1"/>
    <row r="1033991" customFormat="1"/>
    <row r="1033992" customFormat="1"/>
    <row r="1033993" customFormat="1"/>
    <row r="1033994" customFormat="1"/>
    <row r="1033995" customFormat="1"/>
    <row r="1033996" customFormat="1"/>
    <row r="1033997" customFormat="1"/>
    <row r="1033998" customFormat="1"/>
    <row r="1033999" customFormat="1"/>
    <row r="1034000" customFormat="1"/>
    <row r="1034001" customFormat="1"/>
    <row r="1034002" customFormat="1"/>
    <row r="1034003" customFormat="1"/>
    <row r="1034004" customFormat="1"/>
    <row r="1034005" customFormat="1"/>
    <row r="1034006" customFormat="1"/>
    <row r="1034007" customFormat="1"/>
    <row r="1034008" customFormat="1"/>
    <row r="1034009" customFormat="1"/>
    <row r="1034010" customFormat="1"/>
    <row r="1034011" customFormat="1"/>
    <row r="1034012" customFormat="1"/>
    <row r="1034013" customFormat="1"/>
    <row r="1034014" customFormat="1"/>
    <row r="1034015" customFormat="1"/>
    <row r="1034016" customFormat="1"/>
    <row r="1034017" customFormat="1"/>
    <row r="1034018" customFormat="1"/>
    <row r="1034019" customFormat="1"/>
    <row r="1034020" customFormat="1"/>
    <row r="1034021" customFormat="1"/>
    <row r="1034022" customFormat="1"/>
    <row r="1034023" customFormat="1"/>
    <row r="1034024" customFormat="1"/>
    <row r="1034025" customFormat="1"/>
    <row r="1034026" customFormat="1"/>
    <row r="1034027" customFormat="1"/>
    <row r="1034028" customFormat="1"/>
    <row r="1034029" customFormat="1"/>
    <row r="1034030" customFormat="1"/>
    <row r="1034031" customFormat="1"/>
    <row r="1034032" customFormat="1"/>
    <row r="1034033" customFormat="1"/>
    <row r="1034034" customFormat="1"/>
    <row r="1034035" customFormat="1"/>
    <row r="1034036" customFormat="1"/>
    <row r="1034037" customFormat="1"/>
    <row r="1034038" customFormat="1"/>
    <row r="1034039" customFormat="1"/>
    <row r="1034040" customFormat="1"/>
    <row r="1034041" customFormat="1"/>
    <row r="1034042" customFormat="1"/>
    <row r="1034043" customFormat="1"/>
    <row r="1034044" customFormat="1"/>
    <row r="1034045" customFormat="1"/>
    <row r="1034046" customFormat="1"/>
    <row r="1034047" customFormat="1"/>
    <row r="1034048" customFormat="1"/>
    <row r="1034049" customFormat="1"/>
    <row r="1034050" customFormat="1"/>
    <row r="1034051" customFormat="1"/>
    <row r="1034052" customFormat="1"/>
    <row r="1034053" customFormat="1"/>
    <row r="1034054" customFormat="1"/>
    <row r="1034055" customFormat="1"/>
    <row r="1034056" customFormat="1"/>
    <row r="1034057" customFormat="1"/>
    <row r="1034058" customFormat="1"/>
    <row r="1034059" customFormat="1"/>
    <row r="1034060" customFormat="1"/>
    <row r="1034061" customFormat="1"/>
    <row r="1034062" customFormat="1"/>
    <row r="1034063" customFormat="1"/>
    <row r="1034064" customFormat="1"/>
    <row r="1034065" customFormat="1"/>
    <row r="1034066" customFormat="1"/>
    <row r="1034067" customFormat="1"/>
    <row r="1034068" customFormat="1"/>
    <row r="1034069" customFormat="1"/>
    <row r="1034070" customFormat="1"/>
    <row r="1034071" customFormat="1"/>
    <row r="1034072" customFormat="1"/>
    <row r="1034073" customFormat="1"/>
    <row r="1034074" customFormat="1"/>
    <row r="1034075" customFormat="1"/>
    <row r="1034076" customFormat="1"/>
    <row r="1034077" customFormat="1"/>
    <row r="1034078" customFormat="1"/>
    <row r="1034079" customFormat="1"/>
    <row r="1034080" customFormat="1"/>
    <row r="1034081" customFormat="1"/>
    <row r="1034082" customFormat="1"/>
    <row r="1034083" customFormat="1"/>
    <row r="1034084" customFormat="1"/>
    <row r="1034085" customFormat="1"/>
    <row r="1034086" customFormat="1"/>
    <row r="1034087" customFormat="1"/>
    <row r="1034088" customFormat="1"/>
    <row r="1034089" customFormat="1"/>
    <row r="1034090" customFormat="1"/>
    <row r="1034091" customFormat="1"/>
    <row r="1034092" customFormat="1"/>
    <row r="1034093" customFormat="1"/>
    <row r="1034094" customFormat="1"/>
    <row r="1034095" customFormat="1"/>
    <row r="1034096" customFormat="1"/>
    <row r="1034097" customFormat="1"/>
    <row r="1034098" customFormat="1"/>
    <row r="1034099" customFormat="1"/>
    <row r="1034100" customFormat="1"/>
    <row r="1034101" customFormat="1"/>
    <row r="1034102" customFormat="1"/>
    <row r="1034103" customFormat="1"/>
    <row r="1034104" customFormat="1"/>
    <row r="1034105" customFormat="1"/>
    <row r="1034106" customFormat="1"/>
    <row r="1034107" customFormat="1"/>
    <row r="1034108" customFormat="1"/>
    <row r="1034109" customFormat="1"/>
    <row r="1034110" customFormat="1"/>
    <row r="1034111" customFormat="1"/>
    <row r="1034112" customFormat="1"/>
    <row r="1034113" customFormat="1"/>
    <row r="1034114" customFormat="1"/>
    <row r="1034115" customFormat="1"/>
    <row r="1034116" customFormat="1"/>
    <row r="1034117" customFormat="1"/>
    <row r="1034118" customFormat="1"/>
    <row r="1034119" customFormat="1"/>
    <row r="1034120" customFormat="1"/>
    <row r="1034121" customFormat="1"/>
    <row r="1034122" customFormat="1"/>
    <row r="1034123" customFormat="1"/>
    <row r="1034124" customFormat="1"/>
    <row r="1034125" customFormat="1"/>
    <row r="1034126" customFormat="1"/>
    <row r="1034127" customFormat="1"/>
    <row r="1034128" customFormat="1"/>
    <row r="1034129" customFormat="1"/>
    <row r="1034130" customFormat="1"/>
    <row r="1034131" customFormat="1"/>
    <row r="1034132" customFormat="1"/>
    <row r="1034133" customFormat="1"/>
    <row r="1034134" customFormat="1"/>
    <row r="1034135" customFormat="1"/>
    <row r="1034136" customFormat="1"/>
    <row r="1034137" customFormat="1"/>
    <row r="1034138" customFormat="1"/>
    <row r="1034139" customFormat="1"/>
    <row r="1034140" customFormat="1"/>
    <row r="1034141" customFormat="1"/>
    <row r="1034142" customFormat="1"/>
    <row r="1034143" customFormat="1"/>
    <row r="1034144" customFormat="1"/>
    <row r="1034145" customFormat="1"/>
    <row r="1034146" customFormat="1"/>
    <row r="1034147" customFormat="1"/>
    <row r="1034148" customFormat="1"/>
    <row r="1034149" customFormat="1"/>
    <row r="1034150" customFormat="1"/>
    <row r="1034151" customFormat="1"/>
    <row r="1034152" customFormat="1"/>
    <row r="1034153" customFormat="1"/>
    <row r="1034154" customFormat="1"/>
    <row r="1034155" customFormat="1"/>
    <row r="1034156" customFormat="1"/>
    <row r="1034157" customFormat="1"/>
    <row r="1034158" customFormat="1"/>
    <row r="1034159" customFormat="1"/>
    <row r="1034160" customFormat="1"/>
    <row r="1034161" customFormat="1"/>
    <row r="1034162" customFormat="1"/>
    <row r="1034163" customFormat="1"/>
    <row r="1034164" customFormat="1"/>
    <row r="1034165" customFormat="1"/>
    <row r="1034166" customFormat="1"/>
    <row r="1034167" customFormat="1"/>
    <row r="1034168" customFormat="1"/>
    <row r="1034169" customFormat="1"/>
    <row r="1034170" customFormat="1"/>
    <row r="1034171" customFormat="1"/>
    <row r="1034172" customFormat="1"/>
    <row r="1034173" customFormat="1"/>
    <row r="1034174" customFormat="1"/>
    <row r="1034175" customFormat="1"/>
    <row r="1034176" customFormat="1"/>
    <row r="1034177" customFormat="1"/>
    <row r="1034178" customFormat="1"/>
    <row r="1034179" customFormat="1"/>
    <row r="1034180" customFormat="1"/>
    <row r="1034181" customFormat="1"/>
    <row r="1034182" customFormat="1"/>
    <row r="1034183" customFormat="1"/>
    <row r="1034184" customFormat="1"/>
    <row r="1034185" customFormat="1"/>
    <row r="1034186" customFormat="1"/>
    <row r="1034187" customFormat="1"/>
    <row r="1034188" customFormat="1"/>
    <row r="1034189" customFormat="1"/>
    <row r="1034190" customFormat="1"/>
    <row r="1034191" customFormat="1"/>
    <row r="1034192" customFormat="1"/>
    <row r="1034193" customFormat="1"/>
    <row r="1034194" customFormat="1"/>
    <row r="1034195" customFormat="1"/>
    <row r="1034196" customFormat="1"/>
    <row r="1034197" customFormat="1"/>
    <row r="1034198" customFormat="1"/>
    <row r="1034199" customFormat="1"/>
    <row r="1034200" customFormat="1"/>
    <row r="1034201" customFormat="1"/>
    <row r="1034202" customFormat="1"/>
    <row r="1034203" customFormat="1"/>
    <row r="1034204" customFormat="1"/>
    <row r="1034205" customFormat="1"/>
    <row r="1034206" customFormat="1"/>
    <row r="1034207" customFormat="1"/>
    <row r="1034208" customFormat="1"/>
    <row r="1034209" customFormat="1"/>
    <row r="1034210" customFormat="1"/>
    <row r="1034211" customFormat="1"/>
    <row r="1034212" customFormat="1"/>
    <row r="1034213" customFormat="1"/>
    <row r="1034214" customFormat="1"/>
    <row r="1034215" customFormat="1"/>
    <row r="1034216" customFormat="1"/>
    <row r="1034217" customFormat="1"/>
    <row r="1034218" customFormat="1"/>
    <row r="1034219" customFormat="1"/>
    <row r="1034220" customFormat="1"/>
    <row r="1034221" customFormat="1"/>
    <row r="1034222" customFormat="1"/>
    <row r="1034223" customFormat="1"/>
    <row r="1034224" customFormat="1"/>
    <row r="1034225" customFormat="1"/>
    <row r="1034226" customFormat="1"/>
    <row r="1034227" customFormat="1"/>
    <row r="1034228" customFormat="1"/>
    <row r="1034229" customFormat="1"/>
    <row r="1034230" customFormat="1"/>
    <row r="1034231" customFormat="1"/>
    <row r="1034232" customFormat="1"/>
    <row r="1034233" customFormat="1"/>
    <row r="1034234" customFormat="1"/>
    <row r="1034235" customFormat="1"/>
    <row r="1034236" customFormat="1"/>
    <row r="1034237" customFormat="1"/>
    <row r="1034238" customFormat="1"/>
    <row r="1034239" customFormat="1"/>
    <row r="1034240" customFormat="1"/>
    <row r="1034241" customFormat="1"/>
    <row r="1034242" customFormat="1"/>
    <row r="1034243" customFormat="1"/>
    <row r="1034244" customFormat="1"/>
    <row r="1034245" customFormat="1"/>
    <row r="1034246" customFormat="1"/>
    <row r="1034247" customFormat="1"/>
    <row r="1034248" customFormat="1"/>
    <row r="1034249" customFormat="1"/>
    <row r="1034250" customFormat="1"/>
    <row r="1034251" customFormat="1"/>
    <row r="1034252" customFormat="1"/>
    <row r="1034253" customFormat="1"/>
    <row r="1034254" customFormat="1"/>
    <row r="1034255" customFormat="1"/>
    <row r="1034256" customFormat="1"/>
    <row r="1034257" customFormat="1"/>
    <row r="1034258" customFormat="1"/>
    <row r="1034259" customFormat="1"/>
    <row r="1034260" customFormat="1"/>
    <row r="1034261" customFormat="1"/>
    <row r="1034262" customFormat="1"/>
    <row r="1034263" customFormat="1"/>
    <row r="1034264" customFormat="1"/>
    <row r="1034265" customFormat="1"/>
    <row r="1034266" customFormat="1"/>
    <row r="1034267" customFormat="1"/>
    <row r="1034268" customFormat="1"/>
    <row r="1034269" customFormat="1"/>
    <row r="1034270" customFormat="1"/>
    <row r="1034271" customFormat="1"/>
    <row r="1034272" customFormat="1"/>
    <row r="1034273" customFormat="1"/>
    <row r="1034274" customFormat="1"/>
    <row r="1034275" customFormat="1"/>
    <row r="1034276" customFormat="1"/>
    <row r="1034277" customFormat="1"/>
    <row r="1034278" customFormat="1"/>
    <row r="1034279" customFormat="1"/>
    <row r="1034280" customFormat="1"/>
    <row r="1034281" customFormat="1"/>
    <row r="1034282" customFormat="1"/>
    <row r="1034283" customFormat="1"/>
    <row r="1034284" customFormat="1"/>
    <row r="1034285" customFormat="1"/>
    <row r="1034286" customFormat="1"/>
    <row r="1034287" customFormat="1"/>
    <row r="1034288" customFormat="1"/>
    <row r="1034289" customFormat="1"/>
    <row r="1034290" customFormat="1"/>
    <row r="1034291" customFormat="1"/>
    <row r="1034292" customFormat="1"/>
    <row r="1034293" customFormat="1"/>
    <row r="1034294" customFormat="1"/>
    <row r="1034295" customFormat="1"/>
    <row r="1034296" customFormat="1"/>
    <row r="1034297" customFormat="1"/>
    <row r="1034298" customFormat="1"/>
    <row r="1034299" customFormat="1"/>
    <row r="1034300" customFormat="1"/>
    <row r="1034301" customFormat="1"/>
    <row r="1034302" customFormat="1"/>
    <row r="1034303" customFormat="1"/>
    <row r="1034304" customFormat="1"/>
    <row r="1034305" customFormat="1"/>
    <row r="1034306" customFormat="1"/>
    <row r="1034307" customFormat="1"/>
    <row r="1034308" customFormat="1"/>
    <row r="1034309" customFormat="1"/>
    <row r="1034310" customFormat="1"/>
    <row r="1034311" customFormat="1"/>
    <row r="1034312" customFormat="1"/>
    <row r="1034313" customFormat="1"/>
    <row r="1034314" customFormat="1"/>
    <row r="1034315" customFormat="1"/>
    <row r="1034316" customFormat="1"/>
    <row r="1034317" customFormat="1"/>
    <row r="1034318" customFormat="1"/>
    <row r="1034319" customFormat="1"/>
    <row r="1034320" customFormat="1"/>
    <row r="1034321" customFormat="1"/>
    <row r="1034322" customFormat="1"/>
    <row r="1034323" customFormat="1"/>
    <row r="1034324" customFormat="1"/>
    <row r="1034325" customFormat="1"/>
    <row r="1034326" customFormat="1"/>
    <row r="1034327" customFormat="1"/>
    <row r="1034328" customFormat="1"/>
    <row r="1034329" customFormat="1"/>
    <row r="1034330" customFormat="1"/>
    <row r="1034331" customFormat="1"/>
    <row r="1034332" customFormat="1"/>
    <row r="1034333" customFormat="1"/>
    <row r="1034334" customFormat="1"/>
    <row r="1034335" customFormat="1"/>
    <row r="1034336" customFormat="1"/>
    <row r="1034337" customFormat="1"/>
    <row r="1034338" customFormat="1"/>
    <row r="1034339" customFormat="1"/>
    <row r="1034340" customFormat="1"/>
    <row r="1034341" customFormat="1"/>
    <row r="1034342" customFormat="1"/>
    <row r="1034343" customFormat="1"/>
    <row r="1034344" customFormat="1"/>
    <row r="1034345" customFormat="1"/>
    <row r="1034346" customFormat="1"/>
    <row r="1034347" customFormat="1"/>
    <row r="1034348" customFormat="1"/>
    <row r="1034349" customFormat="1"/>
    <row r="1034350" customFormat="1"/>
    <row r="1034351" customFormat="1"/>
    <row r="1034352" customFormat="1"/>
    <row r="1034353" customFormat="1"/>
    <row r="1034354" customFormat="1"/>
    <row r="1034355" customFormat="1"/>
    <row r="1034356" customFormat="1"/>
    <row r="1034357" customFormat="1"/>
    <row r="1034358" customFormat="1"/>
    <row r="1034359" customFormat="1"/>
    <row r="1034360" customFormat="1"/>
    <row r="1034361" customFormat="1"/>
    <row r="1034362" customFormat="1"/>
    <row r="1034363" customFormat="1"/>
    <row r="1034364" customFormat="1"/>
    <row r="1034365" customFormat="1"/>
    <row r="1034366" customFormat="1"/>
    <row r="1034367" customFormat="1"/>
    <row r="1034368" customFormat="1"/>
    <row r="1034369" customFormat="1"/>
    <row r="1034370" customFormat="1"/>
    <row r="1034371" customFormat="1"/>
    <row r="1034372" customFormat="1"/>
    <row r="1034373" customFormat="1"/>
    <row r="1034374" customFormat="1"/>
    <row r="1034375" customFormat="1"/>
    <row r="1034376" customFormat="1"/>
    <row r="1034377" customFormat="1"/>
    <row r="1034378" customFormat="1"/>
    <row r="1034379" customFormat="1"/>
    <row r="1034380" customFormat="1"/>
    <row r="1034381" customFormat="1"/>
    <row r="1034382" customFormat="1"/>
    <row r="1034383" customFormat="1"/>
    <row r="1034384" customFormat="1"/>
    <row r="1034385" customFormat="1"/>
    <row r="1034386" customFormat="1"/>
    <row r="1034387" customFormat="1"/>
    <row r="1034388" customFormat="1"/>
    <row r="1034389" customFormat="1"/>
    <row r="1034390" customFormat="1"/>
    <row r="1034391" customFormat="1"/>
    <row r="1034392" customFormat="1"/>
    <row r="1034393" customFormat="1"/>
    <row r="1034394" customFormat="1"/>
    <row r="1034395" customFormat="1"/>
    <row r="1034396" customFormat="1"/>
    <row r="1034397" customFormat="1"/>
    <row r="1034398" customFormat="1"/>
    <row r="1034399" customFormat="1"/>
    <row r="1034400" customFormat="1"/>
    <row r="1034401" customFormat="1"/>
    <row r="1034402" customFormat="1"/>
    <row r="1034403" customFormat="1"/>
    <row r="1034404" customFormat="1"/>
    <row r="1034405" customFormat="1"/>
    <row r="1034406" customFormat="1"/>
    <row r="1034407" customFormat="1"/>
    <row r="1034408" customFormat="1"/>
    <row r="1034409" customFormat="1"/>
    <row r="1034410" customFormat="1"/>
    <row r="1034411" customFormat="1"/>
    <row r="1034412" customFormat="1"/>
    <row r="1034413" customFormat="1"/>
    <row r="1034414" customFormat="1"/>
    <row r="1034415" customFormat="1"/>
    <row r="1034416" customFormat="1"/>
    <row r="1034417" customFormat="1"/>
    <row r="1034418" customFormat="1"/>
    <row r="1034419" customFormat="1"/>
    <row r="1034420" customFormat="1"/>
    <row r="1034421" customFormat="1"/>
    <row r="1034422" customFormat="1"/>
    <row r="1034423" customFormat="1"/>
    <row r="1034424" customFormat="1"/>
    <row r="1034425" customFormat="1"/>
    <row r="1034426" customFormat="1"/>
    <row r="1034427" customFormat="1"/>
    <row r="1034428" customFormat="1"/>
    <row r="1034429" customFormat="1"/>
    <row r="1034430" customFormat="1"/>
    <row r="1034431" customFormat="1"/>
    <row r="1034432" customFormat="1"/>
    <row r="1034433" customFormat="1"/>
    <row r="1034434" customFormat="1"/>
    <row r="1034435" customFormat="1"/>
    <row r="1034436" customFormat="1"/>
    <row r="1034437" customFormat="1"/>
    <row r="1034438" customFormat="1"/>
    <row r="1034439" customFormat="1"/>
    <row r="1034440" customFormat="1"/>
    <row r="1034441" customFormat="1"/>
    <row r="1034442" customFormat="1"/>
    <row r="1034443" customFormat="1"/>
    <row r="1034444" customFormat="1"/>
    <row r="1034445" customFormat="1"/>
    <row r="1034446" customFormat="1"/>
    <row r="1034447" customFormat="1"/>
    <row r="1034448" customFormat="1"/>
    <row r="1034449" customFormat="1"/>
    <row r="1034450" customFormat="1"/>
    <row r="1034451" customFormat="1"/>
    <row r="1034452" customFormat="1"/>
    <row r="1034453" customFormat="1"/>
    <row r="1034454" customFormat="1"/>
    <row r="1034455" customFormat="1"/>
    <row r="1034456" customFormat="1"/>
    <row r="1034457" customFormat="1"/>
    <row r="1034458" customFormat="1"/>
    <row r="1034459" customFormat="1"/>
    <row r="1034460" customFormat="1"/>
    <row r="1034461" customFormat="1"/>
    <row r="1034462" customFormat="1"/>
    <row r="1034463" customFormat="1"/>
    <row r="1034464" customFormat="1"/>
    <row r="1034465" customFormat="1"/>
    <row r="1034466" customFormat="1"/>
    <row r="1034467" customFormat="1"/>
    <row r="1034468" customFormat="1"/>
    <row r="1034469" customFormat="1"/>
    <row r="1034470" customFormat="1"/>
    <row r="1034471" customFormat="1"/>
    <row r="1034472" customFormat="1"/>
    <row r="1034473" customFormat="1"/>
    <row r="1034474" customFormat="1"/>
    <row r="1034475" customFormat="1"/>
    <row r="1034476" customFormat="1"/>
    <row r="1034477" customFormat="1"/>
    <row r="1034478" customFormat="1"/>
    <row r="1034479" customFormat="1"/>
    <row r="1034480" customFormat="1"/>
    <row r="1034481" customFormat="1"/>
    <row r="1034482" customFormat="1"/>
    <row r="1034483" customFormat="1"/>
    <row r="1034484" customFormat="1"/>
    <row r="1034485" customFormat="1"/>
    <row r="1034486" customFormat="1"/>
    <row r="1034487" customFormat="1"/>
    <row r="1034488" customFormat="1"/>
    <row r="1034489" customFormat="1"/>
    <row r="1034490" customFormat="1"/>
    <row r="1034491" customFormat="1"/>
    <row r="1034492" customFormat="1"/>
    <row r="1034493" customFormat="1"/>
    <row r="1034494" customFormat="1"/>
    <row r="1034495" customFormat="1"/>
    <row r="1034496" customFormat="1"/>
    <row r="1034497" customFormat="1"/>
    <row r="1034498" customFormat="1"/>
    <row r="1034499" customFormat="1"/>
    <row r="1034500" customFormat="1"/>
    <row r="1034501" customFormat="1"/>
    <row r="1034502" customFormat="1"/>
    <row r="1034503" customFormat="1"/>
    <row r="1034504" customFormat="1"/>
    <row r="1034505" customFormat="1"/>
    <row r="1034506" customFormat="1"/>
    <row r="1034507" customFormat="1"/>
    <row r="1034508" customFormat="1"/>
    <row r="1034509" customFormat="1"/>
    <row r="1034510" customFormat="1"/>
    <row r="1034511" customFormat="1"/>
    <row r="1034512" customFormat="1"/>
    <row r="1034513" customFormat="1"/>
    <row r="1034514" customFormat="1"/>
    <row r="1034515" customFormat="1"/>
    <row r="1034516" customFormat="1"/>
    <row r="1034517" customFormat="1"/>
    <row r="1034518" customFormat="1"/>
    <row r="1034519" customFormat="1"/>
    <row r="1034520" customFormat="1"/>
    <row r="1034521" customFormat="1"/>
    <row r="1034522" customFormat="1"/>
    <row r="1034523" customFormat="1"/>
    <row r="1034524" customFormat="1"/>
    <row r="1034525" customFormat="1"/>
    <row r="1034526" customFormat="1"/>
    <row r="1034527" customFormat="1"/>
    <row r="1034528" customFormat="1"/>
    <row r="1034529" customFormat="1"/>
    <row r="1034530" customFormat="1"/>
    <row r="1034531" customFormat="1"/>
    <row r="1034532" customFormat="1"/>
    <row r="1034533" customFormat="1"/>
    <row r="1034534" customFormat="1"/>
    <row r="1034535" customFormat="1"/>
    <row r="1034536" customFormat="1"/>
    <row r="1034537" customFormat="1"/>
    <row r="1034538" customFormat="1"/>
    <row r="1034539" customFormat="1"/>
    <row r="1034540" customFormat="1"/>
    <row r="1034541" customFormat="1"/>
    <row r="1034542" customFormat="1"/>
    <row r="1034543" customFormat="1"/>
    <row r="1034544" customFormat="1"/>
    <row r="1034545" customFormat="1"/>
    <row r="1034546" customFormat="1"/>
    <row r="1034547" customFormat="1"/>
    <row r="1034548" customFormat="1"/>
    <row r="1034549" customFormat="1"/>
    <row r="1034550" customFormat="1"/>
    <row r="1034551" customFormat="1"/>
    <row r="1034552" customFormat="1"/>
    <row r="1034553" customFormat="1"/>
    <row r="1034554" customFormat="1"/>
    <row r="1034555" customFormat="1"/>
    <row r="1034556" customFormat="1"/>
    <row r="1034557" customFormat="1"/>
    <row r="1034558" customFormat="1"/>
    <row r="1034559" customFormat="1"/>
    <row r="1034560" customFormat="1"/>
    <row r="1034561" customFormat="1"/>
    <row r="1034562" customFormat="1"/>
    <row r="1034563" customFormat="1"/>
    <row r="1034564" customFormat="1"/>
    <row r="1034565" customFormat="1"/>
    <row r="1034566" customFormat="1"/>
    <row r="1034567" customFormat="1"/>
    <row r="1034568" customFormat="1"/>
    <row r="1034569" customFormat="1"/>
    <row r="1034570" customFormat="1"/>
    <row r="1034571" customFormat="1"/>
    <row r="1034572" customFormat="1"/>
    <row r="1034573" customFormat="1"/>
    <row r="1034574" customFormat="1"/>
    <row r="1034575" customFormat="1"/>
    <row r="1034576" customFormat="1"/>
    <row r="1034577" customFormat="1"/>
    <row r="1034578" customFormat="1"/>
    <row r="1034579" customFormat="1"/>
    <row r="1034580" customFormat="1"/>
    <row r="1034581" customFormat="1"/>
    <row r="1034582" customFormat="1"/>
    <row r="1034583" customFormat="1"/>
    <row r="1034584" customFormat="1"/>
    <row r="1034585" customFormat="1"/>
    <row r="1034586" customFormat="1"/>
    <row r="1034587" customFormat="1"/>
    <row r="1034588" customFormat="1"/>
    <row r="1034589" customFormat="1"/>
    <row r="1034590" customFormat="1"/>
    <row r="1034591" customFormat="1"/>
    <row r="1034592" customFormat="1"/>
    <row r="1034593" customFormat="1"/>
    <row r="1034594" customFormat="1"/>
    <row r="1034595" customFormat="1"/>
    <row r="1034596" customFormat="1"/>
    <row r="1034597" customFormat="1"/>
    <row r="1034598" customFormat="1"/>
    <row r="1034599" customFormat="1"/>
    <row r="1034600" customFormat="1"/>
    <row r="1034601" customFormat="1"/>
    <row r="1034602" customFormat="1"/>
    <row r="1034603" customFormat="1"/>
    <row r="1034604" customFormat="1"/>
    <row r="1034605" customFormat="1"/>
    <row r="1034606" customFormat="1"/>
    <row r="1034607" customFormat="1"/>
    <row r="1034608" customFormat="1"/>
    <row r="1034609" customFormat="1"/>
    <row r="1034610" customFormat="1"/>
    <row r="1034611" customFormat="1"/>
    <row r="1034612" customFormat="1"/>
    <row r="1034613" customFormat="1"/>
    <row r="1034614" customFormat="1"/>
    <row r="1034615" customFormat="1"/>
    <row r="1034616" customFormat="1"/>
    <row r="1034617" customFormat="1"/>
    <row r="1034618" customFormat="1"/>
    <row r="1034619" customFormat="1"/>
    <row r="1034620" customFormat="1"/>
    <row r="1034621" customFormat="1"/>
    <row r="1034622" customFormat="1"/>
    <row r="1034623" customFormat="1"/>
    <row r="1034624" customFormat="1"/>
    <row r="1034625" customFormat="1"/>
    <row r="1034626" customFormat="1"/>
    <row r="1034627" customFormat="1"/>
    <row r="1034628" customFormat="1"/>
    <row r="1034629" customFormat="1"/>
    <row r="1034630" customFormat="1"/>
    <row r="1034631" customFormat="1"/>
    <row r="1034632" customFormat="1"/>
    <row r="1034633" customFormat="1"/>
    <row r="1034634" customFormat="1"/>
    <row r="1034635" customFormat="1"/>
    <row r="1034636" customFormat="1"/>
    <row r="1034637" customFormat="1"/>
    <row r="1034638" customFormat="1"/>
    <row r="1034639" customFormat="1"/>
    <row r="1034640" customFormat="1"/>
    <row r="1034641" customFormat="1"/>
    <row r="1034642" customFormat="1"/>
    <row r="1034643" customFormat="1"/>
    <row r="1034644" customFormat="1"/>
    <row r="1034645" customFormat="1"/>
    <row r="1034646" customFormat="1"/>
    <row r="1034647" customFormat="1"/>
    <row r="1034648" customFormat="1"/>
    <row r="1034649" customFormat="1"/>
    <row r="1034650" customFormat="1"/>
    <row r="1034651" customFormat="1"/>
    <row r="1034652" customFormat="1"/>
    <row r="1034653" customFormat="1"/>
    <row r="1034654" customFormat="1"/>
    <row r="1034655" customFormat="1"/>
    <row r="1034656" customFormat="1"/>
    <row r="1034657" customFormat="1"/>
    <row r="1034658" customFormat="1"/>
    <row r="1034659" customFormat="1"/>
    <row r="1034660" customFormat="1"/>
    <row r="1034661" customFormat="1"/>
    <row r="1034662" customFormat="1"/>
    <row r="1034663" customFormat="1"/>
    <row r="1034664" customFormat="1"/>
    <row r="1034665" customFormat="1"/>
    <row r="1034666" customFormat="1"/>
    <row r="1034667" customFormat="1"/>
    <row r="1034668" customFormat="1"/>
    <row r="1034669" customFormat="1"/>
    <row r="1034670" customFormat="1"/>
    <row r="1034671" customFormat="1"/>
    <row r="1034672" customFormat="1"/>
    <row r="1034673" customFormat="1"/>
    <row r="1034674" customFormat="1"/>
    <row r="1034675" customFormat="1"/>
    <row r="1034676" customFormat="1"/>
    <row r="1034677" customFormat="1"/>
    <row r="1034678" customFormat="1"/>
    <row r="1034679" customFormat="1"/>
    <row r="1034680" customFormat="1"/>
    <row r="1034681" customFormat="1"/>
    <row r="1034682" customFormat="1"/>
    <row r="1034683" customFormat="1"/>
    <row r="1034684" customFormat="1"/>
    <row r="1034685" customFormat="1"/>
    <row r="1034686" customFormat="1"/>
    <row r="1034687" customFormat="1"/>
    <row r="1034688" customFormat="1"/>
    <row r="1034689" customFormat="1"/>
    <row r="1034690" customFormat="1"/>
    <row r="1034691" customFormat="1"/>
    <row r="1034692" customFormat="1"/>
    <row r="1034693" customFormat="1"/>
    <row r="1034694" customFormat="1"/>
    <row r="1034695" customFormat="1"/>
    <row r="1034696" customFormat="1"/>
    <row r="1034697" customFormat="1"/>
    <row r="1034698" customFormat="1"/>
    <row r="1034699" customFormat="1"/>
    <row r="1034700" customFormat="1"/>
    <row r="1034701" customFormat="1"/>
    <row r="1034702" customFormat="1"/>
    <row r="1034703" customFormat="1"/>
    <row r="1034704" customFormat="1"/>
    <row r="1034705" customFormat="1"/>
    <row r="1034706" customFormat="1"/>
    <row r="1034707" customFormat="1"/>
    <row r="1034708" customFormat="1"/>
    <row r="1034709" customFormat="1"/>
    <row r="1034710" customFormat="1"/>
    <row r="1034711" customFormat="1"/>
    <row r="1034712" customFormat="1"/>
    <row r="1034713" customFormat="1"/>
    <row r="1034714" customFormat="1"/>
    <row r="1034715" customFormat="1"/>
    <row r="1034716" customFormat="1"/>
    <row r="1034717" customFormat="1"/>
    <row r="1034718" customFormat="1"/>
    <row r="1034719" customFormat="1"/>
    <row r="1034720" customFormat="1"/>
    <row r="1034721" customFormat="1"/>
    <row r="1034722" customFormat="1"/>
    <row r="1034723" customFormat="1"/>
    <row r="1034724" customFormat="1"/>
    <row r="1034725" customFormat="1"/>
    <row r="1034726" customFormat="1"/>
    <row r="1034727" customFormat="1"/>
    <row r="1034728" customFormat="1"/>
    <row r="1034729" customFormat="1"/>
    <row r="1034730" customFormat="1"/>
    <row r="1034731" customFormat="1"/>
    <row r="1034732" customFormat="1"/>
    <row r="1034733" customFormat="1"/>
    <row r="1034734" customFormat="1"/>
    <row r="1034735" customFormat="1"/>
    <row r="1034736" customFormat="1"/>
    <row r="1034737" customFormat="1"/>
    <row r="1034738" customFormat="1"/>
    <row r="1034739" customFormat="1"/>
    <row r="1034740" customFormat="1"/>
    <row r="1034741" customFormat="1"/>
    <row r="1034742" customFormat="1"/>
    <row r="1034743" customFormat="1"/>
    <row r="1034744" customFormat="1"/>
    <row r="1034745" customFormat="1"/>
    <row r="1034746" customFormat="1"/>
    <row r="1034747" customFormat="1"/>
    <row r="1034748" customFormat="1"/>
    <row r="1034749" customFormat="1"/>
    <row r="1034750" customFormat="1"/>
    <row r="1034751" customFormat="1"/>
    <row r="1034752" customFormat="1"/>
    <row r="1034753" customFormat="1"/>
    <row r="1034754" customFormat="1"/>
    <row r="1034755" customFormat="1"/>
    <row r="1034756" customFormat="1"/>
    <row r="1034757" customFormat="1"/>
    <row r="1034758" customFormat="1"/>
    <row r="1034759" customFormat="1"/>
    <row r="1034760" customFormat="1"/>
    <row r="1034761" customFormat="1"/>
    <row r="1034762" customFormat="1"/>
    <row r="1034763" customFormat="1"/>
    <row r="1034764" customFormat="1"/>
    <row r="1034765" customFormat="1"/>
    <row r="1034766" customFormat="1"/>
    <row r="1034767" customFormat="1"/>
    <row r="1034768" customFormat="1"/>
    <row r="1034769" customFormat="1"/>
    <row r="1034770" customFormat="1"/>
    <row r="1034771" customFormat="1"/>
    <row r="1034772" customFormat="1"/>
    <row r="1034773" customFormat="1"/>
    <row r="1034774" customFormat="1"/>
    <row r="1034775" customFormat="1"/>
    <row r="1034776" customFormat="1"/>
    <row r="1034777" customFormat="1"/>
    <row r="1034778" customFormat="1"/>
    <row r="1034779" customFormat="1"/>
    <row r="1034780" customFormat="1"/>
    <row r="1034781" customFormat="1"/>
    <row r="1034782" customFormat="1"/>
    <row r="1034783" customFormat="1"/>
    <row r="1034784" customFormat="1"/>
    <row r="1034785" customFormat="1"/>
    <row r="1034786" customFormat="1"/>
    <row r="1034787" customFormat="1"/>
    <row r="1034788" customFormat="1"/>
    <row r="1034789" customFormat="1"/>
    <row r="1034790" customFormat="1"/>
    <row r="1034791" customFormat="1"/>
    <row r="1034792" customFormat="1"/>
    <row r="1034793" customFormat="1"/>
    <row r="1034794" customFormat="1"/>
    <row r="1034795" customFormat="1"/>
    <row r="1034796" customFormat="1"/>
    <row r="1034797" customFormat="1"/>
    <row r="1034798" customFormat="1"/>
    <row r="1034799" customFormat="1"/>
    <row r="1034800" customFormat="1"/>
    <row r="1034801" customFormat="1"/>
    <row r="1034802" customFormat="1"/>
    <row r="1034803" customFormat="1"/>
    <row r="1034804" customFormat="1"/>
    <row r="1034805" customFormat="1"/>
    <row r="1034806" customFormat="1"/>
    <row r="1034807" customFormat="1"/>
    <row r="1034808" customFormat="1"/>
    <row r="1034809" customFormat="1"/>
    <row r="1034810" customFormat="1"/>
    <row r="1034811" customFormat="1"/>
    <row r="1034812" customFormat="1"/>
    <row r="1034813" customFormat="1"/>
    <row r="1034814" customFormat="1"/>
    <row r="1034815" customFormat="1"/>
    <row r="1034816" customFormat="1"/>
    <row r="1034817" customFormat="1"/>
    <row r="1034818" customFormat="1"/>
    <row r="1034819" customFormat="1"/>
    <row r="1034820" customFormat="1"/>
    <row r="1034821" customFormat="1"/>
    <row r="1034822" customFormat="1"/>
    <row r="1034823" customFormat="1"/>
    <row r="1034824" customFormat="1"/>
    <row r="1034825" customFormat="1"/>
    <row r="1034826" customFormat="1"/>
    <row r="1034827" customFormat="1"/>
    <row r="1034828" customFormat="1"/>
    <row r="1034829" customFormat="1"/>
    <row r="1034830" customFormat="1"/>
    <row r="1034831" customFormat="1"/>
    <row r="1034832" customFormat="1"/>
    <row r="1034833" customFormat="1"/>
    <row r="1034834" customFormat="1"/>
    <row r="1034835" customFormat="1"/>
    <row r="1034836" customFormat="1"/>
    <row r="1034837" customFormat="1"/>
    <row r="1034838" customFormat="1"/>
    <row r="1034839" customFormat="1"/>
    <row r="1034840" customFormat="1"/>
    <row r="1034841" customFormat="1"/>
    <row r="1034842" customFormat="1"/>
    <row r="1034843" customFormat="1"/>
    <row r="1034844" customFormat="1"/>
    <row r="1034845" customFormat="1"/>
    <row r="1034846" customFormat="1"/>
    <row r="1034847" customFormat="1"/>
    <row r="1034848" customFormat="1"/>
    <row r="1034849" customFormat="1"/>
    <row r="1034850" customFormat="1"/>
    <row r="1034851" customFormat="1"/>
    <row r="1034852" customFormat="1"/>
    <row r="1034853" customFormat="1"/>
    <row r="1034854" customFormat="1"/>
    <row r="1034855" customFormat="1"/>
    <row r="1034856" customFormat="1"/>
    <row r="1034857" customFormat="1"/>
    <row r="1034858" customFormat="1"/>
    <row r="1034859" customFormat="1"/>
    <row r="1034860" customFormat="1"/>
    <row r="1034861" customFormat="1"/>
    <row r="1034862" customFormat="1"/>
    <row r="1034863" customFormat="1"/>
    <row r="1034864" customFormat="1"/>
    <row r="1034865" customFormat="1"/>
    <row r="1034866" customFormat="1"/>
    <row r="1034867" customFormat="1"/>
    <row r="1034868" customFormat="1"/>
    <row r="1034869" customFormat="1"/>
    <row r="1034870" customFormat="1"/>
    <row r="1034871" customFormat="1"/>
    <row r="1034872" customFormat="1"/>
    <row r="1034873" customFormat="1"/>
    <row r="1034874" customFormat="1"/>
    <row r="1034875" customFormat="1"/>
    <row r="1034876" customFormat="1"/>
    <row r="1034877" customFormat="1"/>
    <row r="1034878" customFormat="1"/>
    <row r="1034879" customFormat="1"/>
    <row r="1034880" customFormat="1"/>
    <row r="1034881" customFormat="1"/>
    <row r="1034882" customFormat="1"/>
    <row r="1034883" customFormat="1"/>
    <row r="1034884" customFormat="1"/>
    <row r="1034885" customFormat="1"/>
    <row r="1034886" customFormat="1"/>
    <row r="1034887" customFormat="1"/>
    <row r="1034888" customFormat="1"/>
    <row r="1034889" customFormat="1"/>
    <row r="1034890" customFormat="1"/>
    <row r="1034891" customFormat="1"/>
    <row r="1034892" customFormat="1"/>
    <row r="1034893" customFormat="1"/>
    <row r="1034894" customFormat="1"/>
    <row r="1034895" customFormat="1"/>
    <row r="1034896" customFormat="1"/>
    <row r="1034897" customFormat="1"/>
    <row r="1034898" customFormat="1"/>
    <row r="1034899" customFormat="1"/>
    <row r="1034900" customFormat="1"/>
    <row r="1034901" customFormat="1"/>
    <row r="1034902" customFormat="1"/>
    <row r="1034903" customFormat="1"/>
    <row r="1034904" customFormat="1"/>
    <row r="1034905" customFormat="1"/>
    <row r="1034906" customFormat="1"/>
    <row r="1034907" customFormat="1"/>
    <row r="1034908" customFormat="1"/>
    <row r="1034909" customFormat="1"/>
    <row r="1034910" customFormat="1"/>
    <row r="1034911" customFormat="1"/>
    <row r="1034912" customFormat="1"/>
    <row r="1034913" customFormat="1"/>
    <row r="1034914" customFormat="1"/>
    <row r="1034915" customFormat="1"/>
    <row r="1034916" customFormat="1"/>
    <row r="1034917" customFormat="1"/>
    <row r="1034918" customFormat="1"/>
    <row r="1034919" customFormat="1"/>
    <row r="1034920" customFormat="1"/>
    <row r="1034921" customFormat="1"/>
    <row r="1034922" customFormat="1"/>
    <row r="1034923" customFormat="1"/>
    <row r="1034924" customFormat="1"/>
    <row r="1034925" customFormat="1"/>
    <row r="1034926" customFormat="1"/>
    <row r="1034927" customFormat="1"/>
    <row r="1034928" customFormat="1"/>
    <row r="1034929" customFormat="1"/>
    <row r="1034930" customFormat="1"/>
    <row r="1034931" customFormat="1"/>
    <row r="1034932" customFormat="1"/>
    <row r="1034933" customFormat="1"/>
    <row r="1034934" customFormat="1"/>
    <row r="1034935" customFormat="1"/>
    <row r="1034936" customFormat="1"/>
    <row r="1034937" customFormat="1"/>
    <row r="1034938" customFormat="1"/>
    <row r="1034939" customFormat="1"/>
    <row r="1034940" customFormat="1"/>
    <row r="1034941" customFormat="1"/>
    <row r="1034942" customFormat="1"/>
    <row r="1034943" customFormat="1"/>
    <row r="1034944" customFormat="1"/>
    <row r="1034945" customFormat="1"/>
    <row r="1034946" customFormat="1"/>
    <row r="1034947" customFormat="1"/>
    <row r="1034948" customFormat="1"/>
    <row r="1034949" customFormat="1"/>
    <row r="1034950" customFormat="1"/>
    <row r="1034951" customFormat="1"/>
    <row r="1034952" customFormat="1"/>
    <row r="1034953" customFormat="1"/>
    <row r="1034954" customFormat="1"/>
    <row r="1034955" customFormat="1"/>
    <row r="1034956" customFormat="1"/>
    <row r="1034957" customFormat="1"/>
    <row r="1034958" customFormat="1"/>
    <row r="1034959" customFormat="1"/>
    <row r="1034960" customFormat="1"/>
    <row r="1034961" customFormat="1"/>
    <row r="1034962" customFormat="1"/>
    <row r="1034963" customFormat="1"/>
    <row r="1034964" customFormat="1"/>
    <row r="1034965" customFormat="1"/>
    <row r="1034966" customFormat="1"/>
    <row r="1034967" customFormat="1"/>
    <row r="1034968" customFormat="1"/>
    <row r="1034969" customFormat="1"/>
    <row r="1034970" customFormat="1"/>
    <row r="1034971" customFormat="1"/>
    <row r="1034972" customFormat="1"/>
    <row r="1034973" customFormat="1"/>
    <row r="1034974" customFormat="1"/>
    <row r="1034975" customFormat="1"/>
    <row r="1034976" customFormat="1"/>
    <row r="1034977" customFormat="1"/>
    <row r="1034978" customFormat="1"/>
    <row r="1034979" customFormat="1"/>
    <row r="1034980" customFormat="1"/>
    <row r="1034981" customFormat="1"/>
    <row r="1034982" customFormat="1"/>
    <row r="1034983" customFormat="1"/>
    <row r="1034984" customFormat="1"/>
    <row r="1034985" customFormat="1"/>
    <row r="1034986" customFormat="1"/>
    <row r="1034987" customFormat="1"/>
    <row r="1034988" customFormat="1"/>
    <row r="1034989" customFormat="1"/>
    <row r="1034990" customFormat="1"/>
    <row r="1034991" customFormat="1"/>
    <row r="1034992" customFormat="1"/>
    <row r="1034993" customFormat="1"/>
    <row r="1034994" customFormat="1"/>
    <row r="1034995" customFormat="1"/>
    <row r="1034996" customFormat="1"/>
    <row r="1034997" customFormat="1"/>
    <row r="1034998" customFormat="1"/>
    <row r="1034999" customFormat="1"/>
    <row r="1035000" customFormat="1"/>
    <row r="1035001" customFormat="1"/>
    <row r="1035002" customFormat="1"/>
    <row r="1035003" customFormat="1"/>
    <row r="1035004" customFormat="1"/>
    <row r="1035005" customFormat="1"/>
    <row r="1035006" customFormat="1"/>
    <row r="1035007" customFormat="1"/>
    <row r="1035008" customFormat="1"/>
    <row r="1035009" customFormat="1"/>
    <row r="1035010" customFormat="1"/>
    <row r="1035011" customFormat="1"/>
    <row r="1035012" customFormat="1"/>
    <row r="1035013" customFormat="1"/>
    <row r="1035014" customFormat="1"/>
    <row r="1035015" customFormat="1"/>
    <row r="1035016" customFormat="1"/>
    <row r="1035017" customFormat="1"/>
    <row r="1035018" customFormat="1"/>
    <row r="1035019" customFormat="1"/>
    <row r="1035020" customFormat="1"/>
    <row r="1035021" customFormat="1"/>
    <row r="1035022" customFormat="1"/>
    <row r="1035023" customFormat="1"/>
    <row r="1035024" customFormat="1"/>
    <row r="1035025" customFormat="1"/>
    <row r="1035026" customFormat="1"/>
    <row r="1035027" customFormat="1"/>
    <row r="1035028" customFormat="1"/>
    <row r="1035029" customFormat="1"/>
    <row r="1035030" customFormat="1"/>
    <row r="1035031" customFormat="1"/>
    <row r="1035032" customFormat="1"/>
    <row r="1035033" customFormat="1"/>
    <row r="1035034" customFormat="1"/>
    <row r="1035035" customFormat="1"/>
    <row r="1035036" customFormat="1"/>
    <row r="1035037" customFormat="1"/>
    <row r="1035038" customFormat="1"/>
    <row r="1035039" customFormat="1"/>
    <row r="1035040" customFormat="1"/>
    <row r="1035041" customFormat="1"/>
    <row r="1035042" customFormat="1"/>
    <row r="1035043" customFormat="1"/>
    <row r="1035044" customFormat="1"/>
    <row r="1035045" customFormat="1"/>
    <row r="1035046" customFormat="1"/>
    <row r="1035047" customFormat="1"/>
    <row r="1035048" customFormat="1"/>
    <row r="1035049" customFormat="1"/>
    <row r="1035050" customFormat="1"/>
    <row r="1035051" customFormat="1"/>
    <row r="1035052" customFormat="1"/>
    <row r="1035053" customFormat="1"/>
    <row r="1035054" customFormat="1"/>
    <row r="1035055" customFormat="1"/>
    <row r="1035056" customFormat="1"/>
    <row r="1035057" customFormat="1"/>
    <row r="1035058" customFormat="1"/>
    <row r="1035059" customFormat="1"/>
    <row r="1035060" customFormat="1"/>
    <row r="1035061" customFormat="1"/>
    <row r="1035062" customFormat="1"/>
    <row r="1035063" customFormat="1"/>
    <row r="1035064" customFormat="1"/>
    <row r="1035065" customFormat="1"/>
    <row r="1035066" customFormat="1"/>
    <row r="1035067" customFormat="1"/>
    <row r="1035068" customFormat="1"/>
    <row r="1035069" customFormat="1"/>
    <row r="1035070" customFormat="1"/>
    <row r="1035071" customFormat="1"/>
    <row r="1035072" customFormat="1"/>
    <row r="1035073" customFormat="1"/>
    <row r="1035074" customFormat="1"/>
    <row r="1035075" customFormat="1"/>
    <row r="1035076" customFormat="1"/>
    <row r="1035077" customFormat="1"/>
    <row r="1035078" customFormat="1"/>
    <row r="1035079" customFormat="1"/>
    <row r="1035080" customFormat="1"/>
    <row r="1035081" customFormat="1"/>
    <row r="1035082" customFormat="1"/>
    <row r="1035083" customFormat="1"/>
    <row r="1035084" customFormat="1"/>
    <row r="1035085" customFormat="1"/>
    <row r="1035086" customFormat="1"/>
    <row r="1035087" customFormat="1"/>
    <row r="1035088" customFormat="1"/>
    <row r="1035089" customFormat="1"/>
    <row r="1035090" customFormat="1"/>
    <row r="1035091" customFormat="1"/>
    <row r="1035092" customFormat="1"/>
    <row r="1035093" customFormat="1"/>
    <row r="1035094" customFormat="1"/>
    <row r="1035095" customFormat="1"/>
    <row r="1035096" customFormat="1"/>
    <row r="1035097" customFormat="1"/>
    <row r="1035098" customFormat="1"/>
    <row r="1035099" customFormat="1"/>
    <row r="1035100" customFormat="1"/>
    <row r="1035101" customFormat="1"/>
    <row r="1035102" customFormat="1"/>
    <row r="1035103" customFormat="1"/>
    <row r="1035104" customFormat="1"/>
    <row r="1035105" customFormat="1"/>
    <row r="1035106" customFormat="1"/>
    <row r="1035107" customFormat="1"/>
    <row r="1035108" customFormat="1"/>
    <row r="1035109" customFormat="1"/>
    <row r="1035110" customFormat="1"/>
    <row r="1035111" customFormat="1"/>
    <row r="1035112" customFormat="1"/>
    <row r="1035113" customFormat="1"/>
    <row r="1035114" customFormat="1"/>
    <row r="1035115" customFormat="1"/>
    <row r="1035116" customFormat="1"/>
    <row r="1035117" customFormat="1"/>
    <row r="1035118" customFormat="1"/>
    <row r="1035119" customFormat="1"/>
    <row r="1035120" customFormat="1"/>
    <row r="1035121" customFormat="1"/>
    <row r="1035122" customFormat="1"/>
    <row r="1035123" customFormat="1"/>
    <row r="1035124" customFormat="1"/>
    <row r="1035125" customFormat="1"/>
    <row r="1035126" customFormat="1"/>
    <row r="1035127" customFormat="1"/>
    <row r="1035128" customFormat="1"/>
    <row r="1035129" customFormat="1"/>
    <row r="1035130" customFormat="1"/>
    <row r="1035131" customFormat="1"/>
    <row r="1035132" customFormat="1"/>
    <row r="1035133" customFormat="1"/>
    <row r="1035134" customFormat="1"/>
    <row r="1035135" customFormat="1"/>
    <row r="1035136" customFormat="1"/>
    <row r="1035137" customFormat="1"/>
    <row r="1035138" customFormat="1"/>
    <row r="1035139" customFormat="1"/>
    <row r="1035140" customFormat="1"/>
    <row r="1035141" customFormat="1"/>
    <row r="1035142" customFormat="1"/>
    <row r="1035143" customFormat="1"/>
    <row r="1035144" customFormat="1"/>
    <row r="1035145" customFormat="1"/>
    <row r="1035146" customFormat="1"/>
    <row r="1035147" customFormat="1"/>
    <row r="1035148" customFormat="1"/>
    <row r="1035149" customFormat="1"/>
    <row r="1035150" customFormat="1"/>
    <row r="1035151" customFormat="1"/>
    <row r="1035152" customFormat="1"/>
    <row r="1035153" customFormat="1"/>
    <row r="1035154" customFormat="1"/>
    <row r="1035155" customFormat="1"/>
    <row r="1035156" customFormat="1"/>
    <row r="1035157" customFormat="1"/>
    <row r="1035158" customFormat="1"/>
    <row r="1035159" customFormat="1"/>
    <row r="1035160" customFormat="1"/>
    <row r="1035161" customFormat="1"/>
    <row r="1035162" customFormat="1"/>
    <row r="1035163" customFormat="1"/>
    <row r="1035164" customFormat="1"/>
    <row r="1035165" customFormat="1"/>
    <row r="1035166" customFormat="1"/>
    <row r="1035167" customFormat="1"/>
    <row r="1035168" customFormat="1"/>
    <row r="1035169" customFormat="1"/>
    <row r="1035170" customFormat="1"/>
    <row r="1035171" customFormat="1"/>
    <row r="1035172" customFormat="1"/>
    <row r="1035173" customFormat="1"/>
    <row r="1035174" customFormat="1"/>
    <row r="1035175" customFormat="1"/>
    <row r="1035176" customFormat="1"/>
    <row r="1035177" customFormat="1"/>
    <row r="1035178" customFormat="1"/>
    <row r="1035179" customFormat="1"/>
    <row r="1035180" customFormat="1"/>
    <row r="1035181" customFormat="1"/>
    <row r="1035182" customFormat="1"/>
    <row r="1035183" customFormat="1"/>
    <row r="1035184" customFormat="1"/>
    <row r="1035185" customFormat="1"/>
    <row r="1035186" customFormat="1"/>
    <row r="1035187" customFormat="1"/>
    <row r="1035188" customFormat="1"/>
    <row r="1035189" customFormat="1"/>
    <row r="1035190" customFormat="1"/>
    <row r="1035191" customFormat="1"/>
    <row r="1035192" customFormat="1"/>
    <row r="1035193" customFormat="1"/>
    <row r="1035194" customFormat="1"/>
    <row r="1035195" customFormat="1"/>
    <row r="1035196" customFormat="1"/>
    <row r="1035197" customFormat="1"/>
    <row r="1035198" customFormat="1"/>
    <row r="1035199" customFormat="1"/>
    <row r="1035200" customFormat="1"/>
    <row r="1035201" customFormat="1"/>
    <row r="1035202" customFormat="1"/>
    <row r="1035203" customFormat="1"/>
    <row r="1035204" customFormat="1"/>
    <row r="1035205" customFormat="1"/>
    <row r="1035206" customFormat="1"/>
    <row r="1035207" customFormat="1"/>
    <row r="1035208" customFormat="1"/>
    <row r="1035209" customFormat="1"/>
    <row r="1035210" customFormat="1"/>
    <row r="1035211" customFormat="1"/>
    <row r="1035212" customFormat="1"/>
    <row r="1035213" customFormat="1"/>
    <row r="1035214" customFormat="1"/>
    <row r="1035215" customFormat="1"/>
    <row r="1035216" customFormat="1"/>
    <row r="1035217" customFormat="1"/>
    <row r="1035218" customFormat="1"/>
    <row r="1035219" customFormat="1"/>
    <row r="1035220" customFormat="1"/>
    <row r="1035221" customFormat="1"/>
    <row r="1035222" customFormat="1"/>
    <row r="1035223" customFormat="1"/>
    <row r="1035224" customFormat="1"/>
    <row r="1035225" customFormat="1"/>
    <row r="1035226" customFormat="1"/>
    <row r="1035227" customFormat="1"/>
    <row r="1035228" customFormat="1"/>
    <row r="1035229" customFormat="1"/>
    <row r="1035230" customFormat="1"/>
    <row r="1035231" customFormat="1"/>
    <row r="1035232" customFormat="1"/>
    <row r="1035233" customFormat="1"/>
    <row r="1035234" customFormat="1"/>
    <row r="1035235" customFormat="1"/>
    <row r="1035236" customFormat="1"/>
    <row r="1035237" customFormat="1"/>
    <row r="1035238" customFormat="1"/>
    <row r="1035239" customFormat="1"/>
    <row r="1035240" customFormat="1"/>
    <row r="1035241" customFormat="1"/>
    <row r="1035242" customFormat="1"/>
    <row r="1035243" customFormat="1"/>
    <row r="1035244" customFormat="1"/>
    <row r="1035245" customFormat="1"/>
    <row r="1035246" customFormat="1"/>
    <row r="1035247" customFormat="1"/>
    <row r="1035248" customFormat="1"/>
    <row r="1035249" customFormat="1"/>
    <row r="1035250" customFormat="1"/>
    <row r="1035251" customFormat="1"/>
    <row r="1035252" customFormat="1"/>
    <row r="1035253" customFormat="1"/>
    <row r="1035254" customFormat="1"/>
    <row r="1035255" customFormat="1"/>
    <row r="1035256" customFormat="1"/>
    <row r="1035257" customFormat="1"/>
    <row r="1035258" customFormat="1"/>
    <row r="1035259" customFormat="1"/>
    <row r="1035260" customFormat="1"/>
    <row r="1035261" customFormat="1"/>
    <row r="1035262" customFormat="1"/>
    <row r="1035263" customFormat="1"/>
    <row r="1035264" customFormat="1"/>
    <row r="1035265" customFormat="1"/>
    <row r="1035266" customFormat="1"/>
    <row r="1035267" customFormat="1"/>
    <row r="1035268" customFormat="1"/>
    <row r="1035269" customFormat="1"/>
    <row r="1035270" customFormat="1"/>
    <row r="1035271" customFormat="1"/>
    <row r="1035272" customFormat="1"/>
    <row r="1035273" customFormat="1"/>
    <row r="1035274" customFormat="1"/>
    <row r="1035275" customFormat="1"/>
    <row r="1035276" customFormat="1"/>
    <row r="1035277" customFormat="1"/>
    <row r="1035278" customFormat="1"/>
    <row r="1035279" customFormat="1"/>
    <row r="1035280" customFormat="1"/>
    <row r="1035281" customFormat="1"/>
    <row r="1035282" customFormat="1"/>
    <row r="1035283" customFormat="1"/>
    <row r="1035284" customFormat="1"/>
    <row r="1035285" customFormat="1"/>
    <row r="1035286" customFormat="1"/>
    <row r="1035287" customFormat="1"/>
    <row r="1035288" customFormat="1"/>
    <row r="1035289" customFormat="1"/>
    <row r="1035290" customFormat="1"/>
    <row r="1035291" customFormat="1"/>
    <row r="1035292" customFormat="1"/>
    <row r="1035293" customFormat="1"/>
    <row r="1035294" customFormat="1"/>
    <row r="1035295" customFormat="1"/>
    <row r="1035296" customFormat="1"/>
    <row r="1035297" customFormat="1"/>
    <row r="1035298" customFormat="1"/>
    <row r="1035299" customFormat="1"/>
    <row r="1035300" customFormat="1"/>
    <row r="1035301" customFormat="1"/>
    <row r="1035302" customFormat="1"/>
    <row r="1035303" customFormat="1"/>
    <row r="1035304" customFormat="1"/>
    <row r="1035305" customFormat="1"/>
    <row r="1035306" customFormat="1"/>
    <row r="1035307" customFormat="1"/>
    <row r="1035308" customFormat="1"/>
    <row r="1035309" customFormat="1"/>
    <row r="1035310" customFormat="1"/>
    <row r="1035311" customFormat="1"/>
    <row r="1035312" customFormat="1"/>
    <row r="1035313" customFormat="1"/>
    <row r="1035314" customFormat="1"/>
    <row r="1035315" customFormat="1"/>
    <row r="1035316" customFormat="1"/>
    <row r="1035317" customFormat="1"/>
    <row r="1035318" customFormat="1"/>
    <row r="1035319" customFormat="1"/>
    <row r="1035320" customFormat="1"/>
    <row r="1035321" customFormat="1"/>
    <row r="1035322" customFormat="1"/>
    <row r="1035323" customFormat="1"/>
    <row r="1035324" customFormat="1"/>
    <row r="1035325" customFormat="1"/>
    <row r="1035326" customFormat="1"/>
    <row r="1035327" customFormat="1"/>
    <row r="1035328" customFormat="1"/>
    <row r="1035329" customFormat="1"/>
    <row r="1035330" customFormat="1"/>
    <row r="1035331" customFormat="1"/>
    <row r="1035332" customFormat="1"/>
    <row r="1035333" customFormat="1"/>
    <row r="1035334" customFormat="1"/>
    <row r="1035335" customFormat="1"/>
    <row r="1035336" customFormat="1"/>
    <row r="1035337" customFormat="1"/>
    <row r="1035338" customFormat="1"/>
    <row r="1035339" customFormat="1"/>
    <row r="1035340" customFormat="1"/>
    <row r="1035341" customFormat="1"/>
    <row r="1035342" customFormat="1"/>
    <row r="1035343" customFormat="1"/>
    <row r="1035344" customFormat="1"/>
    <row r="1035345" customFormat="1"/>
    <row r="1035346" customFormat="1"/>
    <row r="1035347" customFormat="1"/>
    <row r="1035348" customFormat="1"/>
    <row r="1035349" customFormat="1"/>
    <row r="1035350" customFormat="1"/>
    <row r="1035351" customFormat="1"/>
    <row r="1035352" customFormat="1"/>
    <row r="1035353" customFormat="1"/>
    <row r="1035354" customFormat="1"/>
    <row r="1035355" customFormat="1"/>
    <row r="1035356" customFormat="1"/>
    <row r="1035357" customFormat="1"/>
    <row r="1035358" customFormat="1"/>
    <row r="1035359" customFormat="1"/>
    <row r="1035360" customFormat="1"/>
    <row r="1035361" customFormat="1"/>
    <row r="1035362" customFormat="1"/>
    <row r="1035363" customFormat="1"/>
    <row r="1035364" customFormat="1"/>
    <row r="1035365" customFormat="1"/>
    <row r="1035366" customFormat="1"/>
    <row r="1035367" customFormat="1"/>
    <row r="1035368" customFormat="1"/>
    <row r="1035369" customFormat="1"/>
    <row r="1035370" customFormat="1"/>
    <row r="1035371" customFormat="1"/>
    <row r="1035372" customFormat="1"/>
    <row r="1035373" customFormat="1"/>
    <row r="1035374" customFormat="1"/>
    <row r="1035375" customFormat="1"/>
    <row r="1035376" customFormat="1"/>
    <row r="1035377" customFormat="1"/>
    <row r="1035378" customFormat="1"/>
    <row r="1035379" customFormat="1"/>
    <row r="1035380" customFormat="1"/>
    <row r="1035381" customFormat="1"/>
    <row r="1035382" customFormat="1"/>
    <row r="1035383" customFormat="1"/>
    <row r="1035384" customFormat="1"/>
    <row r="1035385" customFormat="1"/>
    <row r="1035386" customFormat="1"/>
    <row r="1035387" customFormat="1"/>
    <row r="1035388" customFormat="1"/>
    <row r="1035389" customFormat="1"/>
    <row r="1035390" customFormat="1"/>
    <row r="1035391" customFormat="1"/>
    <row r="1035392" customFormat="1"/>
    <row r="1035393" customFormat="1"/>
    <row r="1035394" customFormat="1"/>
    <row r="1035395" customFormat="1"/>
    <row r="1035396" customFormat="1"/>
    <row r="1035397" customFormat="1"/>
    <row r="1035398" customFormat="1"/>
    <row r="1035399" customFormat="1"/>
    <row r="1035400" customFormat="1"/>
    <row r="1035401" customFormat="1"/>
    <row r="1035402" customFormat="1"/>
    <row r="1035403" customFormat="1"/>
    <row r="1035404" customFormat="1"/>
    <row r="1035405" customFormat="1"/>
    <row r="1035406" customFormat="1"/>
    <row r="1035407" customFormat="1"/>
    <row r="1035408" customFormat="1"/>
    <row r="1035409" customFormat="1"/>
    <row r="1035410" customFormat="1"/>
    <row r="1035411" customFormat="1"/>
    <row r="1035412" customFormat="1"/>
    <row r="1035413" customFormat="1"/>
    <row r="1035414" customFormat="1"/>
    <row r="1035415" customFormat="1"/>
    <row r="1035416" customFormat="1"/>
    <row r="1035417" customFormat="1"/>
    <row r="1035418" customFormat="1"/>
    <row r="1035419" customFormat="1"/>
    <row r="1035420" customFormat="1"/>
    <row r="1035421" customFormat="1"/>
    <row r="1035422" customFormat="1"/>
    <row r="1035423" customFormat="1"/>
    <row r="1035424" customFormat="1"/>
    <row r="1035425" customFormat="1"/>
    <row r="1035426" customFormat="1"/>
    <row r="1035427" customFormat="1"/>
    <row r="1035428" customFormat="1"/>
    <row r="1035429" customFormat="1"/>
    <row r="1035430" customFormat="1"/>
    <row r="1035431" customFormat="1"/>
    <row r="1035432" customFormat="1"/>
    <row r="1035433" customFormat="1"/>
    <row r="1035434" customFormat="1"/>
    <row r="1035435" customFormat="1"/>
    <row r="1035436" customFormat="1"/>
    <row r="1035437" customFormat="1"/>
    <row r="1035438" customFormat="1"/>
    <row r="1035439" customFormat="1"/>
    <row r="1035440" customFormat="1"/>
    <row r="1035441" customFormat="1"/>
    <row r="1035442" customFormat="1"/>
    <row r="1035443" customFormat="1"/>
    <row r="1035444" customFormat="1"/>
    <row r="1035445" customFormat="1"/>
    <row r="1035446" customFormat="1"/>
    <row r="1035447" customFormat="1"/>
    <row r="1035448" customFormat="1"/>
    <row r="1035449" customFormat="1"/>
    <row r="1035450" customFormat="1"/>
    <row r="1035451" customFormat="1"/>
    <row r="1035452" customFormat="1"/>
    <row r="1035453" customFormat="1"/>
    <row r="1035454" customFormat="1"/>
    <row r="1035455" customFormat="1"/>
    <row r="1035456" customFormat="1"/>
    <row r="1035457" customFormat="1"/>
    <row r="1035458" customFormat="1"/>
    <row r="1035459" customFormat="1"/>
    <row r="1035460" customFormat="1"/>
    <row r="1035461" customFormat="1"/>
    <row r="1035462" customFormat="1"/>
    <row r="1035463" customFormat="1"/>
    <row r="1035464" customFormat="1"/>
    <row r="1035465" customFormat="1"/>
    <row r="1035466" customFormat="1"/>
    <row r="1035467" customFormat="1"/>
    <row r="1035468" customFormat="1"/>
    <row r="1035469" customFormat="1"/>
    <row r="1035470" customFormat="1"/>
    <row r="1035471" customFormat="1"/>
    <row r="1035472" customFormat="1"/>
    <row r="1035473" customFormat="1"/>
    <row r="1035474" customFormat="1"/>
    <row r="1035475" customFormat="1"/>
    <row r="1035476" customFormat="1"/>
    <row r="1035477" customFormat="1"/>
    <row r="1035478" customFormat="1"/>
    <row r="1035479" customFormat="1"/>
    <row r="1035480" customFormat="1"/>
    <row r="1035481" customFormat="1"/>
    <row r="1035482" customFormat="1"/>
    <row r="1035483" customFormat="1"/>
    <row r="1035484" customFormat="1"/>
    <row r="1035485" customFormat="1"/>
    <row r="1035486" customFormat="1"/>
    <row r="1035487" customFormat="1"/>
    <row r="1035488" customFormat="1"/>
    <row r="1035489" customFormat="1"/>
    <row r="1035490" customFormat="1"/>
    <row r="1035491" customFormat="1"/>
    <row r="1035492" customFormat="1"/>
    <row r="1035493" customFormat="1"/>
    <row r="1035494" customFormat="1"/>
    <row r="1035495" customFormat="1"/>
    <row r="1035496" customFormat="1"/>
    <row r="1035497" customFormat="1"/>
    <row r="1035498" customFormat="1"/>
    <row r="1035499" customFormat="1"/>
    <row r="1035500" customFormat="1"/>
    <row r="1035501" customFormat="1"/>
    <row r="1035502" customFormat="1"/>
    <row r="1035503" customFormat="1"/>
    <row r="1035504" customFormat="1"/>
    <row r="1035505" customFormat="1"/>
    <row r="1035506" customFormat="1"/>
    <row r="1035507" customFormat="1"/>
    <row r="1035508" customFormat="1"/>
    <row r="1035509" customFormat="1"/>
    <row r="1035510" customFormat="1"/>
    <row r="1035511" customFormat="1"/>
    <row r="1035512" customFormat="1"/>
    <row r="1035513" customFormat="1"/>
    <row r="1035514" customFormat="1"/>
    <row r="1035515" customFormat="1"/>
    <row r="1035516" customFormat="1"/>
    <row r="1035517" customFormat="1"/>
    <row r="1035518" customFormat="1"/>
    <row r="1035519" customFormat="1"/>
    <row r="1035520" customFormat="1"/>
    <row r="1035521" customFormat="1"/>
    <row r="1035522" customFormat="1"/>
    <row r="1035523" customFormat="1"/>
    <row r="1035524" customFormat="1"/>
    <row r="1035525" customFormat="1"/>
    <row r="1035526" customFormat="1"/>
    <row r="1035527" customFormat="1"/>
    <row r="1035528" customFormat="1"/>
    <row r="1035529" customFormat="1"/>
    <row r="1035530" customFormat="1"/>
    <row r="1035531" customFormat="1"/>
    <row r="1035532" customFormat="1"/>
    <row r="1035533" customFormat="1"/>
    <row r="1035534" customFormat="1"/>
    <row r="1035535" customFormat="1"/>
    <row r="1035536" customFormat="1"/>
    <row r="1035537" customFormat="1"/>
    <row r="1035538" customFormat="1"/>
    <row r="1035539" customFormat="1"/>
    <row r="1035540" customFormat="1"/>
    <row r="1035541" customFormat="1"/>
    <row r="1035542" customFormat="1"/>
    <row r="1035543" customFormat="1"/>
    <row r="1035544" customFormat="1"/>
    <row r="1035545" customFormat="1"/>
    <row r="1035546" customFormat="1"/>
    <row r="1035547" customFormat="1"/>
    <row r="1035548" customFormat="1"/>
    <row r="1035549" customFormat="1"/>
    <row r="1035550" customFormat="1"/>
    <row r="1035551" customFormat="1"/>
    <row r="1035552" customFormat="1"/>
    <row r="1035553" customFormat="1"/>
    <row r="1035554" customFormat="1"/>
    <row r="1035555" customFormat="1"/>
    <row r="1035556" customFormat="1"/>
    <row r="1035557" customFormat="1"/>
    <row r="1035558" customFormat="1"/>
    <row r="1035559" customFormat="1"/>
    <row r="1035560" customFormat="1"/>
    <row r="1035561" customFormat="1"/>
    <row r="1035562" customFormat="1"/>
    <row r="1035563" customFormat="1"/>
    <row r="1035564" customFormat="1"/>
    <row r="1035565" customFormat="1"/>
    <row r="1035566" customFormat="1"/>
    <row r="1035567" customFormat="1"/>
    <row r="1035568" customFormat="1"/>
    <row r="1035569" customFormat="1"/>
    <row r="1035570" customFormat="1"/>
    <row r="1035571" customFormat="1"/>
    <row r="1035572" customFormat="1"/>
    <row r="1035573" customFormat="1"/>
    <row r="1035574" customFormat="1"/>
    <row r="1035575" customFormat="1"/>
    <row r="1035576" customFormat="1"/>
    <row r="1035577" customFormat="1"/>
    <row r="1035578" customFormat="1"/>
    <row r="1035579" customFormat="1"/>
    <row r="1035580" customFormat="1"/>
    <row r="1035581" customFormat="1"/>
    <row r="1035582" customFormat="1"/>
    <row r="1035583" customFormat="1"/>
    <row r="1035584" customFormat="1"/>
    <row r="1035585" customFormat="1"/>
    <row r="1035586" customFormat="1"/>
    <row r="1035587" customFormat="1"/>
    <row r="1035588" customFormat="1"/>
    <row r="1035589" customFormat="1"/>
    <row r="1035590" customFormat="1"/>
    <row r="1035591" customFormat="1"/>
    <row r="1035592" customFormat="1"/>
    <row r="1035593" customFormat="1"/>
    <row r="1035594" customFormat="1"/>
    <row r="1035595" customFormat="1"/>
    <row r="1035596" customFormat="1"/>
    <row r="1035597" customFormat="1"/>
    <row r="1035598" customFormat="1"/>
    <row r="1035599" customFormat="1"/>
    <row r="1035600" customFormat="1"/>
    <row r="1035601" customFormat="1"/>
    <row r="1035602" customFormat="1"/>
    <row r="1035603" customFormat="1"/>
    <row r="1035604" customFormat="1"/>
    <row r="1035605" customFormat="1"/>
    <row r="1035606" customFormat="1"/>
    <row r="1035607" customFormat="1"/>
    <row r="1035608" customFormat="1"/>
    <row r="1035609" customFormat="1"/>
    <row r="1035610" customFormat="1"/>
    <row r="1035611" customFormat="1"/>
    <row r="1035612" customFormat="1"/>
    <row r="1035613" customFormat="1"/>
    <row r="1035614" customFormat="1"/>
    <row r="1035615" customFormat="1"/>
    <row r="1035616" customFormat="1"/>
    <row r="1035617" customFormat="1"/>
    <row r="1035618" customFormat="1"/>
    <row r="1035619" customFormat="1"/>
    <row r="1035620" customFormat="1"/>
    <row r="1035621" customFormat="1"/>
    <row r="1035622" customFormat="1"/>
    <row r="1035623" customFormat="1"/>
    <row r="1035624" customFormat="1"/>
    <row r="1035625" customFormat="1"/>
    <row r="1035626" customFormat="1"/>
    <row r="1035627" customFormat="1"/>
    <row r="1035628" customFormat="1"/>
    <row r="1035629" customFormat="1"/>
    <row r="1035630" customFormat="1"/>
    <row r="1035631" customFormat="1"/>
    <row r="1035632" customFormat="1"/>
    <row r="1035633" customFormat="1"/>
    <row r="1035634" customFormat="1"/>
    <row r="1035635" customFormat="1"/>
    <row r="1035636" customFormat="1"/>
    <row r="1035637" customFormat="1"/>
    <row r="1035638" customFormat="1"/>
    <row r="1035639" customFormat="1"/>
    <row r="1035640" customFormat="1"/>
    <row r="1035641" customFormat="1"/>
    <row r="1035642" customFormat="1"/>
    <row r="1035643" customFormat="1"/>
    <row r="1035644" customFormat="1"/>
    <row r="1035645" customFormat="1"/>
    <row r="1035646" customFormat="1"/>
    <row r="1035647" customFormat="1"/>
    <row r="1035648" customFormat="1"/>
    <row r="1035649" customFormat="1"/>
    <row r="1035650" customFormat="1"/>
    <row r="1035651" customFormat="1"/>
    <row r="1035652" customFormat="1"/>
    <row r="1035653" customFormat="1"/>
    <row r="1035654" customFormat="1"/>
    <row r="1035655" customFormat="1"/>
    <row r="1035656" customFormat="1"/>
    <row r="1035657" customFormat="1"/>
    <row r="1035658" customFormat="1"/>
    <row r="1035659" customFormat="1"/>
    <row r="1035660" customFormat="1"/>
    <row r="1035661" customFormat="1"/>
    <row r="1035662" customFormat="1"/>
    <row r="1035663" customFormat="1"/>
    <row r="1035664" customFormat="1"/>
    <row r="1035665" customFormat="1"/>
    <row r="1035666" customFormat="1"/>
    <row r="1035667" customFormat="1"/>
    <row r="1035668" customFormat="1"/>
    <row r="1035669" customFormat="1"/>
    <row r="1035670" customFormat="1"/>
    <row r="1035671" customFormat="1"/>
    <row r="1035672" customFormat="1"/>
    <row r="1035673" customFormat="1"/>
    <row r="1035674" customFormat="1"/>
    <row r="1035675" customFormat="1"/>
    <row r="1035676" customFormat="1"/>
    <row r="1035677" customFormat="1"/>
    <row r="1035678" customFormat="1"/>
    <row r="1035679" customFormat="1"/>
    <row r="1035680" customFormat="1"/>
    <row r="1035681" customFormat="1"/>
    <row r="1035682" customFormat="1"/>
    <row r="1035683" customFormat="1"/>
    <row r="1035684" customFormat="1"/>
    <row r="1035685" customFormat="1"/>
    <row r="1035686" customFormat="1"/>
    <row r="1035687" customFormat="1"/>
    <row r="1035688" customFormat="1"/>
    <row r="1035689" customFormat="1"/>
    <row r="1035690" customFormat="1"/>
    <row r="1035691" customFormat="1"/>
    <row r="1035692" customFormat="1"/>
    <row r="1035693" customFormat="1"/>
    <row r="1035694" customFormat="1"/>
    <row r="1035695" customFormat="1"/>
    <row r="1035696" customFormat="1"/>
    <row r="1035697" customFormat="1"/>
    <row r="1035698" customFormat="1"/>
    <row r="1035699" customFormat="1"/>
    <row r="1035700" customFormat="1"/>
    <row r="1035701" customFormat="1"/>
    <row r="1035702" customFormat="1"/>
    <row r="1035703" customFormat="1"/>
    <row r="1035704" customFormat="1"/>
    <row r="1035705" customFormat="1"/>
    <row r="1035706" customFormat="1"/>
    <row r="1035707" customFormat="1"/>
    <row r="1035708" customFormat="1"/>
    <row r="1035709" customFormat="1"/>
    <row r="1035710" customFormat="1"/>
    <row r="1035711" customFormat="1"/>
    <row r="1035712" customFormat="1"/>
    <row r="1035713" customFormat="1"/>
    <row r="1035714" customFormat="1"/>
    <row r="1035715" customFormat="1"/>
    <row r="1035716" customFormat="1"/>
    <row r="1035717" customFormat="1"/>
    <row r="1035718" customFormat="1"/>
    <row r="1035719" customFormat="1"/>
    <row r="1035720" customFormat="1"/>
    <row r="1035721" customFormat="1"/>
    <row r="1035722" customFormat="1"/>
    <row r="1035723" customFormat="1"/>
    <row r="1035724" customFormat="1"/>
    <row r="1035725" customFormat="1"/>
    <row r="1035726" customFormat="1"/>
    <row r="1035727" customFormat="1"/>
    <row r="1035728" customFormat="1"/>
    <row r="1035729" customFormat="1"/>
    <row r="1035730" customFormat="1"/>
    <row r="1035731" customFormat="1"/>
    <row r="1035732" customFormat="1"/>
    <row r="1035733" customFormat="1"/>
    <row r="1035734" customFormat="1"/>
    <row r="1035735" customFormat="1"/>
    <row r="1035736" customFormat="1"/>
    <row r="1035737" customFormat="1"/>
    <row r="1035738" customFormat="1"/>
    <row r="1035739" customFormat="1"/>
    <row r="1035740" customFormat="1"/>
    <row r="1035741" customFormat="1"/>
    <row r="1035742" customFormat="1"/>
    <row r="1035743" customFormat="1"/>
    <row r="1035744" customFormat="1"/>
    <row r="1035745" customFormat="1"/>
    <row r="1035746" customFormat="1"/>
    <row r="1035747" customFormat="1"/>
    <row r="1035748" customFormat="1"/>
    <row r="1035749" customFormat="1"/>
    <row r="1035750" customFormat="1"/>
    <row r="1035751" customFormat="1"/>
    <row r="1035752" customFormat="1"/>
    <row r="1035753" customFormat="1"/>
    <row r="1035754" customFormat="1"/>
    <row r="1035755" customFormat="1"/>
    <row r="1035756" customFormat="1"/>
    <row r="1035757" customFormat="1"/>
    <row r="1035758" customFormat="1"/>
    <row r="1035759" customFormat="1"/>
    <row r="1035760" customFormat="1"/>
    <row r="1035761" customFormat="1"/>
    <row r="1035762" customFormat="1"/>
    <row r="1035763" customFormat="1"/>
    <row r="1035764" customFormat="1"/>
    <row r="1035765" customFormat="1"/>
    <row r="1035766" customFormat="1"/>
    <row r="1035767" customFormat="1"/>
    <row r="1035768" customFormat="1"/>
    <row r="1035769" customFormat="1"/>
    <row r="1035770" customFormat="1"/>
    <row r="1035771" customFormat="1"/>
    <row r="1035772" customFormat="1"/>
    <row r="1035773" customFormat="1"/>
    <row r="1035774" customFormat="1"/>
    <row r="1035775" customFormat="1"/>
    <row r="1035776" customFormat="1"/>
    <row r="1035777" customFormat="1"/>
    <row r="1035778" customFormat="1"/>
    <row r="1035779" customFormat="1"/>
    <row r="1035780" customFormat="1"/>
    <row r="1035781" customFormat="1"/>
    <row r="1035782" customFormat="1"/>
    <row r="1035783" customFormat="1"/>
    <row r="1035784" customFormat="1"/>
    <row r="1035785" customFormat="1"/>
    <row r="1035786" customFormat="1"/>
    <row r="1035787" customFormat="1"/>
    <row r="1035788" customFormat="1"/>
    <row r="1035789" customFormat="1"/>
    <row r="1035790" customFormat="1"/>
    <row r="1035791" customFormat="1"/>
    <row r="1035792" customFormat="1"/>
    <row r="1035793" customFormat="1"/>
    <row r="1035794" customFormat="1"/>
    <row r="1035795" customFormat="1"/>
    <row r="1035796" customFormat="1"/>
    <row r="1035797" customFormat="1"/>
    <row r="1035798" customFormat="1"/>
    <row r="1035799" customFormat="1"/>
    <row r="1035800" customFormat="1"/>
    <row r="1035801" customFormat="1"/>
    <row r="1035802" customFormat="1"/>
    <row r="1035803" customFormat="1"/>
    <row r="1035804" customFormat="1"/>
    <row r="1035805" customFormat="1"/>
    <row r="1035806" customFormat="1"/>
    <row r="1035807" customFormat="1"/>
    <row r="1035808" customFormat="1"/>
    <row r="1035809" customFormat="1"/>
    <row r="1035810" customFormat="1"/>
    <row r="1035811" customFormat="1"/>
    <row r="1035812" customFormat="1"/>
    <row r="1035813" customFormat="1"/>
    <row r="1035814" customFormat="1"/>
    <row r="1035815" customFormat="1"/>
    <row r="1035816" customFormat="1"/>
    <row r="1035817" customFormat="1"/>
    <row r="1035818" customFormat="1"/>
    <row r="1035819" customFormat="1"/>
    <row r="1035820" customFormat="1"/>
    <row r="1035821" customFormat="1"/>
    <row r="1035822" customFormat="1"/>
    <row r="1035823" customFormat="1"/>
    <row r="1035824" customFormat="1"/>
    <row r="1035825" customFormat="1"/>
    <row r="1035826" customFormat="1"/>
    <row r="1035827" customFormat="1"/>
    <row r="1035828" customFormat="1"/>
    <row r="1035829" customFormat="1"/>
    <row r="1035830" customFormat="1"/>
    <row r="1035831" customFormat="1"/>
    <row r="1035832" customFormat="1"/>
    <row r="1035833" customFormat="1"/>
    <row r="1035834" customFormat="1"/>
    <row r="1035835" customFormat="1"/>
    <row r="1035836" customFormat="1"/>
    <row r="1035837" customFormat="1"/>
    <row r="1035838" customFormat="1"/>
    <row r="1035839" customFormat="1"/>
    <row r="1035840" customFormat="1"/>
    <row r="1035841" customFormat="1"/>
    <row r="1035842" customFormat="1"/>
    <row r="1035843" customFormat="1"/>
    <row r="1035844" customFormat="1"/>
    <row r="1035845" customFormat="1"/>
    <row r="1035846" customFormat="1"/>
    <row r="1035847" customFormat="1"/>
    <row r="1035848" customFormat="1"/>
    <row r="1035849" customFormat="1"/>
    <row r="1035850" customFormat="1"/>
    <row r="1035851" customFormat="1"/>
    <row r="1035852" customFormat="1"/>
    <row r="1035853" customFormat="1"/>
    <row r="1035854" customFormat="1"/>
    <row r="1035855" customFormat="1"/>
    <row r="1035856" customFormat="1"/>
    <row r="1035857" customFormat="1"/>
    <row r="1035858" customFormat="1"/>
    <row r="1035859" customFormat="1"/>
    <row r="1035860" customFormat="1"/>
    <row r="1035861" customFormat="1"/>
    <row r="1035862" customFormat="1"/>
    <row r="1035863" customFormat="1"/>
    <row r="1035864" customFormat="1"/>
    <row r="1035865" customFormat="1"/>
    <row r="1035866" customFormat="1"/>
    <row r="1035867" customFormat="1"/>
    <row r="1035868" customFormat="1"/>
    <row r="1035869" customFormat="1"/>
    <row r="1035870" customFormat="1"/>
    <row r="1035871" customFormat="1"/>
    <row r="1035872" customFormat="1"/>
    <row r="1035873" customFormat="1"/>
    <row r="1035874" customFormat="1"/>
    <row r="1035875" customFormat="1"/>
    <row r="1035876" customFormat="1"/>
    <row r="1035877" customFormat="1"/>
    <row r="1035878" customFormat="1"/>
    <row r="1035879" customFormat="1"/>
    <row r="1035880" customFormat="1"/>
    <row r="1035881" customFormat="1"/>
    <row r="1035882" customFormat="1"/>
    <row r="1035883" customFormat="1"/>
    <row r="1035884" customFormat="1"/>
    <row r="1035885" customFormat="1"/>
    <row r="1035886" customFormat="1"/>
    <row r="1035887" customFormat="1"/>
    <row r="1035888" customFormat="1"/>
    <row r="1035889" customFormat="1"/>
    <row r="1035890" customFormat="1"/>
    <row r="1035891" customFormat="1"/>
    <row r="1035892" customFormat="1"/>
    <row r="1035893" customFormat="1"/>
    <row r="1035894" customFormat="1"/>
    <row r="1035895" customFormat="1"/>
    <row r="1035896" customFormat="1"/>
    <row r="1035897" customFormat="1"/>
    <row r="1035898" customFormat="1"/>
    <row r="1035899" customFormat="1"/>
    <row r="1035900" customFormat="1"/>
    <row r="1035901" customFormat="1"/>
    <row r="1035902" customFormat="1"/>
    <row r="1035903" customFormat="1"/>
    <row r="1035904" customFormat="1"/>
    <row r="1035905" customFormat="1"/>
    <row r="1035906" customFormat="1"/>
    <row r="1035907" customFormat="1"/>
    <row r="1035908" customFormat="1"/>
    <row r="1035909" customFormat="1"/>
    <row r="1035910" customFormat="1"/>
    <row r="1035911" customFormat="1"/>
    <row r="1035912" customFormat="1"/>
    <row r="1035913" customFormat="1"/>
    <row r="1035914" customFormat="1"/>
    <row r="1035915" customFormat="1"/>
    <row r="1035916" customFormat="1"/>
    <row r="1035917" customFormat="1"/>
    <row r="1035918" customFormat="1"/>
    <row r="1035919" customFormat="1"/>
    <row r="1035920" customFormat="1"/>
    <row r="1035921" customFormat="1"/>
    <row r="1035922" customFormat="1"/>
    <row r="1035923" customFormat="1"/>
    <row r="1035924" customFormat="1"/>
    <row r="1035925" customFormat="1"/>
    <row r="1035926" customFormat="1"/>
    <row r="1035927" customFormat="1"/>
    <row r="1035928" customFormat="1"/>
    <row r="1035929" customFormat="1"/>
    <row r="1035930" customFormat="1"/>
    <row r="1035931" customFormat="1"/>
    <row r="1035932" customFormat="1"/>
    <row r="1035933" customFormat="1"/>
    <row r="1035934" customFormat="1"/>
    <row r="1035935" customFormat="1"/>
    <row r="1035936" customFormat="1"/>
    <row r="1035937" customFormat="1"/>
    <row r="1035938" customFormat="1"/>
    <row r="1035939" customFormat="1"/>
    <row r="1035940" customFormat="1"/>
    <row r="1035941" customFormat="1"/>
    <row r="1035942" customFormat="1"/>
    <row r="1035943" customFormat="1"/>
    <row r="1035944" customFormat="1"/>
    <row r="1035945" customFormat="1"/>
    <row r="1035946" customFormat="1"/>
    <row r="1035947" customFormat="1"/>
    <row r="1035948" customFormat="1"/>
    <row r="1035949" customFormat="1"/>
    <row r="1035950" customFormat="1"/>
    <row r="1035951" customFormat="1"/>
    <row r="1035952" customFormat="1"/>
    <row r="1035953" customFormat="1"/>
    <row r="1035954" customFormat="1"/>
    <row r="1035955" customFormat="1"/>
    <row r="1035956" customFormat="1"/>
    <row r="1035957" customFormat="1"/>
    <row r="1035958" customFormat="1"/>
    <row r="1035959" customFormat="1"/>
    <row r="1035960" customFormat="1"/>
    <row r="1035961" customFormat="1"/>
    <row r="1035962" customFormat="1"/>
    <row r="1035963" customFormat="1"/>
    <row r="1035964" customFormat="1"/>
    <row r="1035965" customFormat="1"/>
    <row r="1035966" customFormat="1"/>
    <row r="1035967" customFormat="1"/>
    <row r="1035968" customFormat="1"/>
    <row r="1035969" customFormat="1"/>
    <row r="1035970" customFormat="1"/>
    <row r="1035971" customFormat="1"/>
    <row r="1035972" customFormat="1"/>
    <row r="1035973" customFormat="1"/>
    <row r="1035974" customFormat="1"/>
    <row r="1035975" customFormat="1"/>
    <row r="1035976" customFormat="1"/>
    <row r="1035977" customFormat="1"/>
    <row r="1035978" customFormat="1"/>
    <row r="1035979" customFormat="1"/>
    <row r="1035980" customFormat="1"/>
    <row r="1035981" customFormat="1"/>
    <row r="1035982" customFormat="1"/>
    <row r="1035983" customFormat="1"/>
    <row r="1035984" customFormat="1"/>
    <row r="1035985" customFormat="1"/>
    <row r="1035986" customFormat="1"/>
    <row r="1035987" customFormat="1"/>
    <row r="1035988" customFormat="1"/>
    <row r="1035989" customFormat="1"/>
    <row r="1035990" customFormat="1"/>
    <row r="1035991" customFormat="1"/>
    <row r="1035992" customFormat="1"/>
    <row r="1035993" customFormat="1"/>
    <row r="1035994" customFormat="1"/>
    <row r="1035995" customFormat="1"/>
    <row r="1035996" customFormat="1"/>
    <row r="1035997" customFormat="1"/>
    <row r="1035998" customFormat="1"/>
    <row r="1035999" customFormat="1"/>
    <row r="1036000" customFormat="1"/>
    <row r="1036001" customFormat="1"/>
    <row r="1036002" customFormat="1"/>
    <row r="1036003" customFormat="1"/>
    <row r="1036004" customFormat="1"/>
    <row r="1036005" customFormat="1"/>
    <row r="1036006" customFormat="1"/>
    <row r="1036007" customFormat="1"/>
    <row r="1036008" customFormat="1"/>
    <row r="1036009" customFormat="1"/>
    <row r="1036010" customFormat="1"/>
    <row r="1036011" customFormat="1"/>
    <row r="1036012" customFormat="1"/>
    <row r="1036013" customFormat="1"/>
    <row r="1036014" customFormat="1"/>
    <row r="1036015" customFormat="1"/>
    <row r="1036016" customFormat="1"/>
    <row r="1036017" customFormat="1"/>
    <row r="1036018" customFormat="1"/>
    <row r="1036019" customFormat="1"/>
    <row r="1036020" customFormat="1"/>
    <row r="1036021" customFormat="1"/>
    <row r="1036022" customFormat="1"/>
    <row r="1036023" customFormat="1"/>
    <row r="1036024" customFormat="1"/>
    <row r="1036025" customFormat="1"/>
    <row r="1036026" customFormat="1"/>
    <row r="1036027" customFormat="1"/>
    <row r="1036028" customFormat="1"/>
    <row r="1036029" customFormat="1"/>
    <row r="1036030" customFormat="1"/>
    <row r="1036031" customFormat="1"/>
    <row r="1036032" customFormat="1"/>
    <row r="1036033" customFormat="1"/>
    <row r="1036034" customFormat="1"/>
    <row r="1036035" customFormat="1"/>
    <row r="1036036" customFormat="1"/>
    <row r="1036037" customFormat="1"/>
    <row r="1036038" customFormat="1"/>
    <row r="1036039" customFormat="1"/>
    <row r="1036040" customFormat="1"/>
    <row r="1036041" customFormat="1"/>
    <row r="1036042" customFormat="1"/>
    <row r="1036043" customFormat="1"/>
    <row r="1036044" customFormat="1"/>
    <row r="1036045" customFormat="1"/>
    <row r="1036046" customFormat="1"/>
    <row r="1036047" customFormat="1"/>
    <row r="1036048" customFormat="1"/>
    <row r="1036049" customFormat="1"/>
    <row r="1036050" customFormat="1"/>
    <row r="1036051" customFormat="1"/>
    <row r="1036052" customFormat="1"/>
    <row r="1036053" customFormat="1"/>
    <row r="1036054" customFormat="1"/>
    <row r="1036055" customFormat="1"/>
    <row r="1036056" customFormat="1"/>
    <row r="1036057" customFormat="1"/>
    <row r="1036058" customFormat="1"/>
    <row r="1036059" customFormat="1"/>
    <row r="1036060" customFormat="1"/>
    <row r="1036061" customFormat="1"/>
    <row r="1036062" customFormat="1"/>
    <row r="1036063" customFormat="1"/>
    <row r="1036064" customFormat="1"/>
    <row r="1036065" customFormat="1"/>
    <row r="1036066" customFormat="1"/>
    <row r="1036067" customFormat="1"/>
    <row r="1036068" customFormat="1"/>
    <row r="1036069" customFormat="1"/>
    <row r="1036070" customFormat="1"/>
    <row r="1036071" customFormat="1"/>
    <row r="1036072" customFormat="1"/>
    <row r="1036073" customFormat="1"/>
    <row r="1036074" customFormat="1"/>
    <row r="1036075" customFormat="1"/>
    <row r="1036076" customFormat="1"/>
    <row r="1036077" customFormat="1"/>
    <row r="1036078" customFormat="1"/>
    <row r="1036079" customFormat="1"/>
    <row r="1036080" customFormat="1"/>
    <row r="1036081" customFormat="1"/>
    <row r="1036082" customFormat="1"/>
    <row r="1036083" customFormat="1"/>
    <row r="1036084" customFormat="1"/>
    <row r="1036085" customFormat="1"/>
    <row r="1036086" customFormat="1"/>
    <row r="1036087" customFormat="1"/>
    <row r="1036088" customFormat="1"/>
    <row r="1036089" customFormat="1"/>
    <row r="1036090" customFormat="1"/>
    <row r="1036091" customFormat="1"/>
    <row r="1036092" customFormat="1"/>
    <row r="1036093" customFormat="1"/>
    <row r="1036094" customFormat="1"/>
    <row r="1036095" customFormat="1"/>
    <row r="1036096" customFormat="1"/>
    <row r="1036097" customFormat="1"/>
    <row r="1036098" customFormat="1"/>
    <row r="1036099" customFormat="1"/>
    <row r="1036100" customFormat="1"/>
    <row r="1036101" customFormat="1"/>
    <row r="1036102" customFormat="1"/>
    <row r="1036103" customFormat="1"/>
    <row r="1036104" customFormat="1"/>
    <row r="1036105" customFormat="1"/>
    <row r="1036106" customFormat="1"/>
    <row r="1036107" customFormat="1"/>
    <row r="1036108" customFormat="1"/>
    <row r="1036109" customFormat="1"/>
    <row r="1036110" customFormat="1"/>
    <row r="1036111" customFormat="1"/>
    <row r="1036112" customFormat="1"/>
    <row r="1036113" customFormat="1"/>
    <row r="1036114" customFormat="1"/>
    <row r="1036115" customFormat="1"/>
    <row r="1036116" customFormat="1"/>
    <row r="1036117" customFormat="1"/>
    <row r="1036118" customFormat="1"/>
    <row r="1036119" customFormat="1"/>
    <row r="1036120" customFormat="1"/>
    <row r="1036121" customFormat="1"/>
    <row r="1036122" customFormat="1"/>
    <row r="1036123" customFormat="1"/>
    <row r="1036124" customFormat="1"/>
    <row r="1036125" customFormat="1"/>
    <row r="1036126" customFormat="1"/>
    <row r="1036127" customFormat="1"/>
    <row r="1036128" customFormat="1"/>
    <row r="1036129" customFormat="1"/>
    <row r="1036130" customFormat="1"/>
    <row r="1036131" customFormat="1"/>
    <row r="1036132" customFormat="1"/>
    <row r="1036133" customFormat="1"/>
    <row r="1036134" customFormat="1"/>
    <row r="1036135" customFormat="1"/>
    <row r="1036136" customFormat="1"/>
    <row r="1036137" customFormat="1"/>
    <row r="1036138" customFormat="1"/>
    <row r="1036139" customFormat="1"/>
    <row r="1036140" customFormat="1"/>
    <row r="1036141" customFormat="1"/>
    <row r="1036142" customFormat="1"/>
    <row r="1036143" customFormat="1"/>
    <row r="1036144" customFormat="1"/>
    <row r="1036145" customFormat="1"/>
    <row r="1036146" customFormat="1"/>
    <row r="1036147" customFormat="1"/>
    <row r="1036148" customFormat="1"/>
    <row r="1036149" customFormat="1"/>
    <row r="1036150" customFormat="1"/>
    <row r="1036151" customFormat="1"/>
    <row r="1036152" customFormat="1"/>
    <row r="1036153" customFormat="1"/>
    <row r="1036154" customFormat="1"/>
    <row r="1036155" customFormat="1"/>
    <row r="1036156" customFormat="1"/>
    <row r="1036157" customFormat="1"/>
    <row r="1036158" customFormat="1"/>
    <row r="1036159" customFormat="1"/>
    <row r="1036160" customFormat="1"/>
    <row r="1036161" customFormat="1"/>
    <row r="1036162" customFormat="1"/>
    <row r="1036163" customFormat="1"/>
    <row r="1036164" customFormat="1"/>
    <row r="1036165" customFormat="1"/>
    <row r="1036166" customFormat="1"/>
    <row r="1036167" customFormat="1"/>
    <row r="1036168" customFormat="1"/>
    <row r="1036169" customFormat="1"/>
    <row r="1036170" customFormat="1"/>
    <row r="1036171" customFormat="1"/>
    <row r="1036172" customFormat="1"/>
    <row r="1036173" customFormat="1"/>
    <row r="1036174" customFormat="1"/>
    <row r="1036175" customFormat="1"/>
    <row r="1036176" customFormat="1"/>
    <row r="1036177" customFormat="1"/>
    <row r="1036178" customFormat="1"/>
    <row r="1036179" customFormat="1"/>
    <row r="1036180" customFormat="1"/>
    <row r="1036181" customFormat="1"/>
    <row r="1036182" customFormat="1"/>
    <row r="1036183" customFormat="1"/>
    <row r="1036184" customFormat="1"/>
    <row r="1036185" customFormat="1"/>
    <row r="1036186" customFormat="1"/>
    <row r="1036187" customFormat="1"/>
    <row r="1036188" customFormat="1"/>
    <row r="1036189" customFormat="1"/>
    <row r="1036190" customFormat="1"/>
    <row r="1036191" customFormat="1"/>
    <row r="1036192" customFormat="1"/>
    <row r="1036193" customFormat="1"/>
    <row r="1036194" customFormat="1"/>
    <row r="1036195" customFormat="1"/>
    <row r="1036196" customFormat="1"/>
    <row r="1036197" customFormat="1"/>
    <row r="1036198" customFormat="1"/>
    <row r="1036199" customFormat="1"/>
    <row r="1036200" customFormat="1"/>
    <row r="1036201" customFormat="1"/>
    <row r="1036202" customFormat="1"/>
    <row r="1036203" customFormat="1"/>
    <row r="1036204" customFormat="1"/>
    <row r="1036205" customFormat="1"/>
    <row r="1036206" customFormat="1"/>
    <row r="1036207" customFormat="1"/>
    <row r="1036208" customFormat="1"/>
    <row r="1036209" customFormat="1"/>
    <row r="1036210" customFormat="1"/>
    <row r="1036211" customFormat="1"/>
    <row r="1036212" customFormat="1"/>
    <row r="1036213" customFormat="1"/>
    <row r="1036214" customFormat="1"/>
    <row r="1036215" customFormat="1"/>
    <row r="1036216" customFormat="1"/>
    <row r="1036217" customFormat="1"/>
    <row r="1036218" customFormat="1"/>
    <row r="1036219" customFormat="1"/>
    <row r="1036220" customFormat="1"/>
    <row r="1036221" customFormat="1"/>
    <row r="1036222" customFormat="1"/>
    <row r="1036223" customFormat="1"/>
    <row r="1036224" customFormat="1"/>
    <row r="1036225" customFormat="1"/>
    <row r="1036226" customFormat="1"/>
    <row r="1036227" customFormat="1"/>
    <row r="1036228" customFormat="1"/>
    <row r="1036229" customFormat="1"/>
    <row r="1036230" customFormat="1"/>
    <row r="1036231" customFormat="1"/>
    <row r="1036232" customFormat="1"/>
    <row r="1036233" customFormat="1"/>
    <row r="1036234" customFormat="1"/>
    <row r="1036235" customFormat="1"/>
    <row r="1036236" customFormat="1"/>
    <row r="1036237" customFormat="1"/>
    <row r="1036238" customFormat="1"/>
    <row r="1036239" customFormat="1"/>
    <row r="1036240" customFormat="1"/>
    <row r="1036241" customFormat="1"/>
    <row r="1036242" customFormat="1"/>
    <row r="1036243" customFormat="1"/>
    <row r="1036244" customFormat="1"/>
    <row r="1036245" customFormat="1"/>
    <row r="1036246" customFormat="1"/>
    <row r="1036247" customFormat="1"/>
    <row r="1036248" customFormat="1"/>
    <row r="1036249" customFormat="1"/>
    <row r="1036250" customFormat="1"/>
    <row r="1036251" customFormat="1"/>
    <row r="1036252" customFormat="1"/>
    <row r="1036253" customFormat="1"/>
    <row r="1036254" customFormat="1"/>
    <row r="1036255" customFormat="1"/>
    <row r="1036256" customFormat="1"/>
    <row r="1036257" customFormat="1"/>
    <row r="1036258" customFormat="1"/>
    <row r="1036259" customFormat="1"/>
    <row r="1036260" customFormat="1"/>
    <row r="1036261" customFormat="1"/>
    <row r="1036262" customFormat="1"/>
    <row r="1036263" customFormat="1"/>
    <row r="1036264" customFormat="1"/>
    <row r="1036265" customFormat="1"/>
    <row r="1036266" customFormat="1"/>
    <row r="1036267" customFormat="1"/>
    <row r="1036268" customFormat="1"/>
    <row r="1036269" customFormat="1"/>
    <row r="1036270" customFormat="1"/>
    <row r="1036271" customFormat="1"/>
    <row r="1036272" customFormat="1"/>
    <row r="1036273" customFormat="1"/>
    <row r="1036274" customFormat="1"/>
    <row r="1036275" customFormat="1"/>
    <row r="1036276" customFormat="1"/>
    <row r="1036277" customFormat="1"/>
    <row r="1036278" customFormat="1"/>
    <row r="1036279" customFormat="1"/>
    <row r="1036280" customFormat="1"/>
    <row r="1036281" customFormat="1"/>
    <row r="1036282" customFormat="1"/>
    <row r="1036283" customFormat="1"/>
    <row r="1036284" customFormat="1"/>
    <row r="1036285" customFormat="1"/>
    <row r="1036286" customFormat="1"/>
    <row r="1036287" customFormat="1"/>
    <row r="1036288" customFormat="1"/>
    <row r="1036289" customFormat="1"/>
    <row r="1036290" customFormat="1"/>
    <row r="1036291" customFormat="1"/>
    <row r="1036292" customFormat="1"/>
    <row r="1036293" customFormat="1"/>
    <row r="1036294" customFormat="1"/>
    <row r="1036295" customFormat="1"/>
    <row r="1036296" customFormat="1"/>
    <row r="1036297" customFormat="1"/>
    <row r="1036298" customFormat="1"/>
    <row r="1036299" customFormat="1"/>
    <row r="1036300" customFormat="1"/>
    <row r="1036301" customFormat="1"/>
    <row r="1036302" customFormat="1"/>
    <row r="1036303" customFormat="1"/>
    <row r="1036304" customFormat="1"/>
    <row r="1036305" customFormat="1"/>
    <row r="1036306" customFormat="1"/>
    <row r="1036307" customFormat="1"/>
    <row r="1036308" customFormat="1"/>
    <row r="1036309" customFormat="1"/>
    <row r="1036310" customFormat="1"/>
    <row r="1036311" customFormat="1"/>
    <row r="1036312" customFormat="1"/>
    <row r="1036313" customFormat="1"/>
    <row r="1036314" customFormat="1"/>
    <row r="1036315" customFormat="1"/>
    <row r="1036316" customFormat="1"/>
    <row r="1036317" customFormat="1"/>
    <row r="1036318" customFormat="1"/>
    <row r="1036319" customFormat="1"/>
    <row r="1036320" customFormat="1"/>
    <row r="1036321" customFormat="1"/>
    <row r="1036322" customFormat="1"/>
    <row r="1036323" customFormat="1"/>
    <row r="1036324" customFormat="1"/>
    <row r="1036325" customFormat="1"/>
    <row r="1036326" customFormat="1"/>
    <row r="1036327" customFormat="1"/>
    <row r="1036328" customFormat="1"/>
    <row r="1036329" customFormat="1"/>
    <row r="1036330" customFormat="1"/>
    <row r="1036331" customFormat="1"/>
    <row r="1036332" customFormat="1"/>
    <row r="1036333" customFormat="1"/>
    <row r="1036334" customFormat="1"/>
    <row r="1036335" customFormat="1"/>
    <row r="1036336" customFormat="1"/>
    <row r="1036337" customFormat="1"/>
    <row r="1036338" customFormat="1"/>
    <row r="1036339" customFormat="1"/>
    <row r="1036340" customFormat="1"/>
    <row r="1036341" customFormat="1"/>
    <row r="1036342" customFormat="1"/>
    <row r="1036343" customFormat="1"/>
    <row r="1036344" customFormat="1"/>
    <row r="1036345" customFormat="1"/>
    <row r="1036346" customFormat="1"/>
    <row r="1036347" customFormat="1"/>
    <row r="1036348" customFormat="1"/>
    <row r="1036349" customFormat="1"/>
    <row r="1036350" customFormat="1"/>
    <row r="1036351" customFormat="1"/>
    <row r="1036352" customFormat="1"/>
    <row r="1036353" customFormat="1"/>
    <row r="1036354" customFormat="1"/>
    <row r="1036355" customFormat="1"/>
    <row r="1036356" customFormat="1"/>
    <row r="1036357" customFormat="1"/>
    <row r="1036358" customFormat="1"/>
    <row r="1036359" customFormat="1"/>
    <row r="1036360" customFormat="1"/>
    <row r="1036361" customFormat="1"/>
    <row r="1036362" customFormat="1"/>
    <row r="1036363" customFormat="1"/>
    <row r="1036364" customFormat="1"/>
    <row r="1036365" customFormat="1"/>
    <row r="1036366" customFormat="1"/>
    <row r="1036367" customFormat="1"/>
    <row r="1036368" customFormat="1"/>
    <row r="1036369" customFormat="1"/>
    <row r="1036370" customFormat="1"/>
    <row r="1036371" customFormat="1"/>
    <row r="1036372" customFormat="1"/>
    <row r="1036373" customFormat="1"/>
    <row r="1036374" customFormat="1"/>
    <row r="1036375" customFormat="1"/>
    <row r="1036376" customFormat="1"/>
    <row r="1036377" customFormat="1"/>
    <row r="1036378" customFormat="1"/>
    <row r="1036379" customFormat="1"/>
    <row r="1036380" customFormat="1"/>
    <row r="1036381" customFormat="1"/>
    <row r="1036382" customFormat="1"/>
    <row r="1036383" customFormat="1"/>
    <row r="1036384" customFormat="1"/>
    <row r="1036385" customFormat="1"/>
    <row r="1036386" customFormat="1"/>
    <row r="1036387" customFormat="1"/>
    <row r="1036388" customFormat="1"/>
    <row r="1036389" customFormat="1"/>
    <row r="1036390" customFormat="1"/>
    <row r="1036391" customFormat="1"/>
    <row r="1036392" customFormat="1"/>
    <row r="1036393" customFormat="1"/>
    <row r="1036394" customFormat="1"/>
    <row r="1036395" customFormat="1"/>
    <row r="1036396" customFormat="1"/>
    <row r="1036397" customFormat="1"/>
    <row r="1036398" customFormat="1"/>
    <row r="1036399" customFormat="1"/>
    <row r="1036400" customFormat="1"/>
    <row r="1036401" customFormat="1"/>
    <row r="1036402" customFormat="1"/>
    <row r="1036403" customFormat="1"/>
    <row r="1036404" customFormat="1"/>
    <row r="1036405" customFormat="1"/>
    <row r="1036406" customFormat="1"/>
    <row r="1036407" customFormat="1"/>
    <row r="1036408" customFormat="1"/>
    <row r="1036409" customFormat="1"/>
    <row r="1036410" customFormat="1"/>
    <row r="1036411" customFormat="1"/>
    <row r="1036412" customFormat="1"/>
    <row r="1036413" customFormat="1"/>
    <row r="1036414" customFormat="1"/>
    <row r="1036415" customFormat="1"/>
    <row r="1036416" customFormat="1"/>
    <row r="1036417" customFormat="1"/>
    <row r="1036418" customFormat="1"/>
    <row r="1036419" customFormat="1"/>
    <row r="1036420" customFormat="1"/>
    <row r="1036421" customFormat="1"/>
    <row r="1036422" customFormat="1"/>
    <row r="1036423" customFormat="1"/>
    <row r="1036424" customFormat="1"/>
    <row r="1036425" customFormat="1"/>
    <row r="1036426" customFormat="1"/>
    <row r="1036427" customFormat="1"/>
    <row r="1036428" customFormat="1"/>
    <row r="1036429" customFormat="1"/>
    <row r="1036430" customFormat="1"/>
    <row r="1036431" customFormat="1"/>
    <row r="1036432" customFormat="1"/>
    <row r="1036433" customFormat="1"/>
    <row r="1036434" customFormat="1"/>
    <row r="1036435" customFormat="1"/>
    <row r="1036436" customFormat="1"/>
    <row r="1036437" customFormat="1"/>
    <row r="1036438" customFormat="1"/>
    <row r="1036439" customFormat="1"/>
    <row r="1036440" customFormat="1"/>
    <row r="1036441" customFormat="1"/>
    <row r="1036442" customFormat="1"/>
    <row r="1036443" customFormat="1"/>
    <row r="1036444" customFormat="1"/>
    <row r="1036445" customFormat="1"/>
    <row r="1036446" customFormat="1"/>
    <row r="1036447" customFormat="1"/>
    <row r="1036448" customFormat="1"/>
    <row r="1036449" customFormat="1"/>
    <row r="1036450" customFormat="1"/>
    <row r="1036451" customFormat="1"/>
    <row r="1036452" customFormat="1"/>
    <row r="1036453" customFormat="1"/>
    <row r="1036454" customFormat="1"/>
    <row r="1036455" customFormat="1"/>
    <row r="1036456" customFormat="1"/>
    <row r="1036457" customFormat="1"/>
    <row r="1036458" customFormat="1"/>
    <row r="1036459" customFormat="1"/>
    <row r="1036460" customFormat="1"/>
    <row r="1036461" customFormat="1"/>
    <row r="1036462" customFormat="1"/>
    <row r="1036463" customFormat="1"/>
    <row r="1036464" customFormat="1"/>
    <row r="1036465" customFormat="1"/>
    <row r="1036466" customFormat="1"/>
    <row r="1036467" customFormat="1"/>
    <row r="1036468" customFormat="1"/>
    <row r="1036469" customFormat="1"/>
    <row r="1036470" customFormat="1"/>
    <row r="1036471" customFormat="1"/>
    <row r="1036472" customFormat="1"/>
    <row r="1036473" customFormat="1"/>
    <row r="1036474" customFormat="1"/>
    <row r="1036475" customFormat="1"/>
    <row r="1036476" customFormat="1"/>
    <row r="1036477" customFormat="1"/>
    <row r="1036478" customFormat="1"/>
    <row r="1036479" customFormat="1"/>
    <row r="1036480" customFormat="1"/>
    <row r="1036481" customFormat="1"/>
    <row r="1036482" customFormat="1"/>
    <row r="1036483" customFormat="1"/>
    <row r="1036484" customFormat="1"/>
    <row r="1036485" customFormat="1"/>
    <row r="1036486" customFormat="1"/>
    <row r="1036487" customFormat="1"/>
    <row r="1036488" customFormat="1"/>
    <row r="1036489" customFormat="1"/>
    <row r="1036490" customFormat="1"/>
    <row r="1036491" customFormat="1"/>
    <row r="1036492" customFormat="1"/>
    <row r="1036493" customFormat="1"/>
    <row r="1036494" customFormat="1"/>
    <row r="1036495" customFormat="1"/>
    <row r="1036496" customFormat="1"/>
    <row r="1036497" customFormat="1"/>
    <row r="1036498" customFormat="1"/>
    <row r="1036499" customFormat="1"/>
    <row r="1036500" customFormat="1"/>
    <row r="1036501" customFormat="1"/>
    <row r="1036502" customFormat="1"/>
    <row r="1036503" customFormat="1"/>
    <row r="1036504" customFormat="1"/>
    <row r="1036505" customFormat="1"/>
    <row r="1036506" customFormat="1"/>
    <row r="1036507" customFormat="1"/>
    <row r="1036508" customFormat="1"/>
    <row r="1036509" customFormat="1"/>
    <row r="1036510" customFormat="1"/>
    <row r="1036511" customFormat="1"/>
    <row r="1036512" customFormat="1"/>
    <row r="1036513" customFormat="1"/>
    <row r="1036514" customFormat="1"/>
    <row r="1036515" customFormat="1"/>
    <row r="1036516" customFormat="1"/>
    <row r="1036517" customFormat="1"/>
    <row r="1036518" customFormat="1"/>
    <row r="1036519" customFormat="1"/>
    <row r="1036520" customFormat="1"/>
    <row r="1036521" customFormat="1"/>
    <row r="1036522" customFormat="1"/>
    <row r="1036523" customFormat="1"/>
    <row r="1036524" customFormat="1"/>
    <row r="1036525" customFormat="1"/>
    <row r="1036526" customFormat="1"/>
    <row r="1036527" customFormat="1"/>
    <row r="1036528" customFormat="1"/>
    <row r="1036529" customFormat="1"/>
    <row r="1036530" customFormat="1"/>
    <row r="1036531" customFormat="1"/>
    <row r="1036532" customFormat="1"/>
    <row r="1036533" customFormat="1"/>
    <row r="1036534" customFormat="1"/>
    <row r="1036535" customFormat="1"/>
    <row r="1036536" customFormat="1"/>
    <row r="1036537" customFormat="1"/>
    <row r="1036538" customFormat="1"/>
    <row r="1036539" customFormat="1"/>
    <row r="1036540" customFormat="1"/>
    <row r="1036541" customFormat="1"/>
    <row r="1036542" customFormat="1"/>
    <row r="1036543" customFormat="1"/>
    <row r="1036544" customFormat="1"/>
    <row r="1036545" customFormat="1"/>
    <row r="1036546" customFormat="1"/>
    <row r="1036547" customFormat="1"/>
    <row r="1036548" customFormat="1"/>
    <row r="1036549" customFormat="1"/>
    <row r="1036550" customFormat="1"/>
    <row r="1036551" customFormat="1"/>
    <row r="1036552" customFormat="1"/>
    <row r="1036553" customFormat="1"/>
    <row r="1036554" customFormat="1"/>
    <row r="1036555" customFormat="1"/>
    <row r="1036556" customFormat="1"/>
    <row r="1036557" customFormat="1"/>
    <row r="1036558" customFormat="1"/>
    <row r="1036559" customFormat="1"/>
    <row r="1036560" customFormat="1"/>
    <row r="1036561" customFormat="1"/>
    <row r="1036562" customFormat="1"/>
    <row r="1036563" customFormat="1"/>
    <row r="1036564" customFormat="1"/>
    <row r="1036565" customFormat="1"/>
    <row r="1036566" customFormat="1"/>
    <row r="1036567" customFormat="1"/>
    <row r="1036568" customFormat="1"/>
    <row r="1036569" customFormat="1"/>
    <row r="1036570" customFormat="1"/>
    <row r="1036571" customFormat="1"/>
    <row r="1036572" customFormat="1"/>
    <row r="1036573" customFormat="1"/>
    <row r="1036574" customFormat="1"/>
    <row r="1036575" customFormat="1"/>
    <row r="1036576" customFormat="1"/>
    <row r="1036577" customFormat="1"/>
    <row r="1036578" customFormat="1"/>
    <row r="1036579" customFormat="1"/>
    <row r="1036580" customFormat="1"/>
    <row r="1036581" customFormat="1"/>
    <row r="1036582" customFormat="1"/>
    <row r="1036583" customFormat="1"/>
    <row r="1036584" customFormat="1"/>
    <row r="1036585" customFormat="1"/>
    <row r="1036586" customFormat="1"/>
    <row r="1036587" customFormat="1"/>
    <row r="1036588" customFormat="1"/>
    <row r="1036589" customFormat="1"/>
    <row r="1036590" customFormat="1"/>
    <row r="1036591" customFormat="1"/>
    <row r="1036592" customFormat="1"/>
    <row r="1036593" customFormat="1"/>
    <row r="1036594" customFormat="1"/>
    <row r="1036595" customFormat="1"/>
    <row r="1036596" customFormat="1"/>
    <row r="1036597" customFormat="1"/>
    <row r="1036598" customFormat="1"/>
    <row r="1036599" customFormat="1"/>
    <row r="1036600" customFormat="1"/>
    <row r="1036601" customFormat="1"/>
    <row r="1036602" customFormat="1"/>
    <row r="1036603" customFormat="1"/>
    <row r="1036604" customFormat="1"/>
    <row r="1036605" customFormat="1"/>
    <row r="1036606" customFormat="1"/>
    <row r="1036607" customFormat="1"/>
    <row r="1036608" customFormat="1"/>
    <row r="1036609" customFormat="1"/>
    <row r="1036610" customFormat="1"/>
    <row r="1036611" customFormat="1"/>
    <row r="1036612" customFormat="1"/>
    <row r="1036613" customFormat="1"/>
    <row r="1036614" customFormat="1"/>
    <row r="1036615" customFormat="1"/>
    <row r="1036616" customFormat="1"/>
    <row r="1036617" customFormat="1"/>
    <row r="1036618" customFormat="1"/>
    <row r="1036619" customFormat="1"/>
    <row r="1036620" customFormat="1"/>
    <row r="1036621" customFormat="1"/>
    <row r="1036622" customFormat="1"/>
    <row r="1036623" customFormat="1"/>
    <row r="1036624" customFormat="1"/>
    <row r="1036625" customFormat="1"/>
    <row r="1036626" customFormat="1"/>
    <row r="1036627" customFormat="1"/>
    <row r="1036628" customFormat="1"/>
    <row r="1036629" customFormat="1"/>
    <row r="1036630" customFormat="1"/>
    <row r="1036631" customFormat="1"/>
    <row r="1036632" customFormat="1"/>
    <row r="1036633" customFormat="1"/>
    <row r="1036634" customFormat="1"/>
    <row r="1036635" customFormat="1"/>
    <row r="1036636" customFormat="1"/>
    <row r="1036637" customFormat="1"/>
    <row r="1036638" customFormat="1"/>
    <row r="1036639" customFormat="1"/>
    <row r="1036640" customFormat="1"/>
    <row r="1036641" customFormat="1"/>
    <row r="1036642" customFormat="1"/>
    <row r="1036643" customFormat="1"/>
    <row r="1036644" customFormat="1"/>
    <row r="1036645" customFormat="1"/>
    <row r="1036646" customFormat="1"/>
    <row r="1036647" customFormat="1"/>
    <row r="1036648" customFormat="1"/>
    <row r="1036649" customFormat="1"/>
    <row r="1036650" customFormat="1"/>
    <row r="1036651" customFormat="1"/>
    <row r="1036652" customFormat="1"/>
    <row r="1036653" customFormat="1"/>
    <row r="1036654" customFormat="1"/>
    <row r="1036655" customFormat="1"/>
    <row r="1036656" customFormat="1"/>
    <row r="1036657" customFormat="1"/>
    <row r="1036658" customFormat="1"/>
    <row r="1036659" customFormat="1"/>
    <row r="1036660" customFormat="1"/>
    <row r="1036661" customFormat="1"/>
    <row r="1036662" customFormat="1"/>
    <row r="1036663" customFormat="1"/>
    <row r="1036664" customFormat="1"/>
    <row r="1036665" customFormat="1"/>
    <row r="1036666" customFormat="1"/>
    <row r="1036667" customFormat="1"/>
    <row r="1036668" customFormat="1"/>
    <row r="1036669" customFormat="1"/>
    <row r="1036670" customFormat="1"/>
    <row r="1036671" customFormat="1"/>
    <row r="1036672" customFormat="1"/>
    <row r="1036673" customFormat="1"/>
    <row r="1036674" customFormat="1"/>
    <row r="1036675" customFormat="1"/>
    <row r="1036676" customFormat="1"/>
    <row r="1036677" customFormat="1"/>
    <row r="1036678" customFormat="1"/>
    <row r="1036679" customFormat="1"/>
    <row r="1036680" customFormat="1"/>
    <row r="1036681" customFormat="1"/>
    <row r="1036682" customFormat="1"/>
    <row r="1036683" customFormat="1"/>
    <row r="1036684" customFormat="1"/>
    <row r="1036685" customFormat="1"/>
    <row r="1036686" customFormat="1"/>
    <row r="1036687" customFormat="1"/>
    <row r="1036688" customFormat="1"/>
    <row r="1036689" customFormat="1"/>
    <row r="1036690" customFormat="1"/>
    <row r="1036691" customFormat="1"/>
    <row r="1036692" customFormat="1"/>
    <row r="1036693" customFormat="1"/>
    <row r="1036694" customFormat="1"/>
    <row r="1036695" customFormat="1"/>
    <row r="1036696" customFormat="1"/>
    <row r="1036697" customFormat="1"/>
    <row r="1036698" customFormat="1"/>
    <row r="1036699" customFormat="1"/>
    <row r="1036700" customFormat="1"/>
    <row r="1036701" customFormat="1"/>
    <row r="1036702" customFormat="1"/>
    <row r="1036703" customFormat="1"/>
    <row r="1036704" customFormat="1"/>
    <row r="1036705" customFormat="1"/>
    <row r="1036706" customFormat="1"/>
    <row r="1036707" customFormat="1"/>
    <row r="1036708" customFormat="1"/>
    <row r="1036709" customFormat="1"/>
    <row r="1036710" customFormat="1"/>
    <row r="1036711" customFormat="1"/>
    <row r="1036712" customFormat="1"/>
    <row r="1036713" customFormat="1"/>
    <row r="1036714" customFormat="1"/>
    <row r="1036715" customFormat="1"/>
    <row r="1036716" customFormat="1"/>
    <row r="1036717" customFormat="1"/>
    <row r="1036718" customFormat="1"/>
    <row r="1036719" customFormat="1"/>
    <row r="1036720" customFormat="1"/>
    <row r="1036721" customFormat="1"/>
    <row r="1036722" customFormat="1"/>
    <row r="1036723" customFormat="1"/>
    <row r="1036724" customFormat="1"/>
    <row r="1036725" customFormat="1"/>
    <row r="1036726" customFormat="1"/>
    <row r="1036727" customFormat="1"/>
    <row r="1036728" customFormat="1"/>
    <row r="1036729" customFormat="1"/>
    <row r="1036730" customFormat="1"/>
    <row r="1036731" customFormat="1"/>
    <row r="1036732" customFormat="1"/>
    <row r="1036733" customFormat="1"/>
    <row r="1036734" customFormat="1"/>
    <row r="1036735" customFormat="1"/>
    <row r="1036736" customFormat="1"/>
    <row r="1036737" customFormat="1"/>
    <row r="1036738" customFormat="1"/>
    <row r="1036739" customFormat="1"/>
    <row r="1036740" customFormat="1"/>
    <row r="1036741" customFormat="1"/>
    <row r="1036742" customFormat="1"/>
    <row r="1036743" customFormat="1"/>
    <row r="1036744" customFormat="1"/>
    <row r="1036745" customFormat="1"/>
    <row r="1036746" customFormat="1"/>
    <row r="1036747" customFormat="1"/>
    <row r="1036748" customFormat="1"/>
    <row r="1036749" customFormat="1"/>
    <row r="1036750" customFormat="1"/>
    <row r="1036751" customFormat="1"/>
    <row r="1036752" customFormat="1"/>
    <row r="1036753" customFormat="1"/>
    <row r="1036754" customFormat="1"/>
    <row r="1036755" customFormat="1"/>
    <row r="1036756" customFormat="1"/>
    <row r="1036757" customFormat="1"/>
    <row r="1036758" customFormat="1"/>
    <row r="1036759" customFormat="1"/>
    <row r="1036760" customFormat="1"/>
    <row r="1036761" customFormat="1"/>
    <row r="1036762" customFormat="1"/>
    <row r="1036763" customFormat="1"/>
    <row r="1036764" customFormat="1"/>
    <row r="1036765" customFormat="1"/>
    <row r="1036766" customFormat="1"/>
    <row r="1036767" customFormat="1"/>
    <row r="1036768" customFormat="1"/>
    <row r="1036769" customFormat="1"/>
    <row r="1036770" customFormat="1"/>
    <row r="1036771" customFormat="1"/>
    <row r="1036772" customFormat="1"/>
    <row r="1036773" customFormat="1"/>
    <row r="1036774" customFormat="1"/>
    <row r="1036775" customFormat="1"/>
    <row r="1036776" customFormat="1"/>
    <row r="1036777" customFormat="1"/>
    <row r="1036778" customFormat="1"/>
    <row r="1036779" customFormat="1"/>
    <row r="1036780" customFormat="1"/>
    <row r="1036781" customFormat="1"/>
    <row r="1036782" customFormat="1"/>
    <row r="1036783" customFormat="1"/>
    <row r="1036784" customFormat="1"/>
    <row r="1036785" customFormat="1"/>
    <row r="1036786" customFormat="1"/>
    <row r="1036787" customFormat="1"/>
    <row r="1036788" customFormat="1"/>
    <row r="1036789" customFormat="1"/>
    <row r="1036790" customFormat="1"/>
    <row r="1036791" customFormat="1"/>
    <row r="1036792" customFormat="1"/>
    <row r="1036793" customFormat="1"/>
    <row r="1036794" customFormat="1"/>
    <row r="1036795" customFormat="1"/>
    <row r="1036796" customFormat="1"/>
    <row r="1036797" customFormat="1"/>
    <row r="1036798" customFormat="1"/>
    <row r="1036799" customFormat="1"/>
    <row r="1036800" customFormat="1"/>
    <row r="1036801" customFormat="1"/>
    <row r="1036802" customFormat="1"/>
    <row r="1036803" customFormat="1"/>
    <row r="1036804" customFormat="1"/>
    <row r="1036805" customFormat="1"/>
    <row r="1036806" customFormat="1"/>
    <row r="1036807" customFormat="1"/>
    <row r="1036808" customFormat="1"/>
    <row r="1036809" customFormat="1"/>
    <row r="1036810" customFormat="1"/>
    <row r="1036811" customFormat="1"/>
    <row r="1036812" customFormat="1"/>
    <row r="1036813" customFormat="1"/>
    <row r="1036814" customFormat="1"/>
    <row r="1036815" customFormat="1"/>
    <row r="1036816" customFormat="1"/>
    <row r="1036817" customFormat="1"/>
    <row r="1036818" customFormat="1"/>
    <row r="1036819" customFormat="1"/>
    <row r="1036820" customFormat="1"/>
    <row r="1036821" customFormat="1"/>
    <row r="1036822" customFormat="1"/>
    <row r="1036823" customFormat="1"/>
    <row r="1036824" customFormat="1"/>
    <row r="1036825" customFormat="1"/>
    <row r="1036826" customFormat="1"/>
    <row r="1036827" customFormat="1"/>
    <row r="1036828" customFormat="1"/>
    <row r="1036829" customFormat="1"/>
    <row r="1036830" customFormat="1"/>
    <row r="1036831" customFormat="1"/>
    <row r="1036832" customFormat="1"/>
    <row r="1036833" customFormat="1"/>
    <row r="1036834" customFormat="1"/>
    <row r="1036835" customFormat="1"/>
    <row r="1036836" customFormat="1"/>
    <row r="1036837" customFormat="1"/>
    <row r="1036838" customFormat="1"/>
    <row r="1036839" customFormat="1"/>
    <row r="1036840" customFormat="1"/>
    <row r="1036841" customFormat="1"/>
    <row r="1036842" customFormat="1"/>
    <row r="1036843" customFormat="1"/>
    <row r="1036844" customFormat="1"/>
    <row r="1036845" customFormat="1"/>
    <row r="1036846" customFormat="1"/>
    <row r="1036847" customFormat="1"/>
    <row r="1036848" customFormat="1"/>
    <row r="1036849" customFormat="1"/>
    <row r="1036850" customFormat="1"/>
    <row r="1036851" customFormat="1"/>
    <row r="1036852" customFormat="1"/>
    <row r="1036853" customFormat="1"/>
    <row r="1036854" customFormat="1"/>
    <row r="1036855" customFormat="1"/>
    <row r="1036856" customFormat="1"/>
    <row r="1036857" customFormat="1"/>
    <row r="1036858" customFormat="1"/>
    <row r="1036859" customFormat="1"/>
    <row r="1036860" customFormat="1"/>
    <row r="1036861" customFormat="1"/>
    <row r="1036862" customFormat="1"/>
    <row r="1036863" customFormat="1"/>
    <row r="1036864" customFormat="1"/>
    <row r="1036865" customFormat="1"/>
    <row r="1036866" customFormat="1"/>
    <row r="1036867" customFormat="1"/>
    <row r="1036868" customFormat="1"/>
    <row r="1036869" customFormat="1"/>
    <row r="1036870" customFormat="1"/>
    <row r="1036871" customFormat="1"/>
    <row r="1036872" customFormat="1"/>
    <row r="1036873" customFormat="1"/>
    <row r="1036874" customFormat="1"/>
    <row r="1036875" customFormat="1"/>
    <row r="1036876" customFormat="1"/>
    <row r="1036877" customFormat="1"/>
    <row r="1036878" customFormat="1"/>
    <row r="1036879" customFormat="1"/>
    <row r="1036880" customFormat="1"/>
    <row r="1036881" customFormat="1"/>
    <row r="1036882" customFormat="1"/>
    <row r="1036883" customFormat="1"/>
    <row r="1036884" customFormat="1"/>
    <row r="1036885" customFormat="1"/>
    <row r="1036886" customFormat="1"/>
    <row r="1036887" customFormat="1"/>
    <row r="1036888" customFormat="1"/>
    <row r="1036889" customFormat="1"/>
    <row r="1036890" customFormat="1"/>
    <row r="1036891" customFormat="1"/>
    <row r="1036892" customFormat="1"/>
    <row r="1036893" customFormat="1"/>
    <row r="1036894" customFormat="1"/>
    <row r="1036895" customFormat="1"/>
    <row r="1036896" customFormat="1"/>
    <row r="1036897" customFormat="1"/>
    <row r="1036898" customFormat="1"/>
    <row r="1036899" customFormat="1"/>
    <row r="1036900" customFormat="1"/>
    <row r="1036901" customFormat="1"/>
    <row r="1036902" customFormat="1"/>
    <row r="1036903" customFormat="1"/>
    <row r="1036904" customFormat="1"/>
    <row r="1036905" customFormat="1"/>
    <row r="1036906" customFormat="1"/>
    <row r="1036907" customFormat="1"/>
    <row r="1036908" customFormat="1"/>
    <row r="1036909" customFormat="1"/>
    <row r="1036910" customFormat="1"/>
    <row r="1036911" customFormat="1"/>
    <row r="1036912" customFormat="1"/>
    <row r="1036913" customFormat="1"/>
    <row r="1036914" customFormat="1"/>
    <row r="1036915" customFormat="1"/>
    <row r="1036916" customFormat="1"/>
    <row r="1036917" customFormat="1"/>
    <row r="1036918" customFormat="1"/>
    <row r="1036919" customFormat="1"/>
    <row r="1036920" customFormat="1"/>
    <row r="1036921" customFormat="1"/>
    <row r="1036922" customFormat="1"/>
    <row r="1036923" customFormat="1"/>
    <row r="1036924" customFormat="1"/>
    <row r="1036925" customFormat="1"/>
    <row r="1036926" customFormat="1"/>
    <row r="1036927" customFormat="1"/>
    <row r="1036928" customFormat="1"/>
    <row r="1036929" customFormat="1"/>
    <row r="1036930" customFormat="1"/>
    <row r="1036931" customFormat="1"/>
    <row r="1036932" customFormat="1"/>
    <row r="1036933" customFormat="1"/>
    <row r="1036934" customFormat="1"/>
    <row r="1036935" customFormat="1"/>
    <row r="1036936" customFormat="1"/>
    <row r="1036937" customFormat="1"/>
    <row r="1036938" customFormat="1"/>
    <row r="1036939" customFormat="1"/>
    <row r="1036940" customFormat="1"/>
    <row r="1036941" customFormat="1"/>
    <row r="1036942" customFormat="1"/>
    <row r="1036943" customFormat="1"/>
    <row r="1036944" customFormat="1"/>
    <row r="1036945" customFormat="1"/>
    <row r="1036946" customFormat="1"/>
    <row r="1036947" customFormat="1"/>
    <row r="1036948" customFormat="1"/>
    <row r="1036949" customFormat="1"/>
    <row r="1036950" customFormat="1"/>
    <row r="1036951" customFormat="1"/>
    <row r="1036952" customFormat="1"/>
    <row r="1036953" customFormat="1"/>
    <row r="1036954" customFormat="1"/>
    <row r="1036955" customFormat="1"/>
    <row r="1036956" customFormat="1"/>
    <row r="1036957" customFormat="1"/>
    <row r="1036958" customFormat="1"/>
    <row r="1036959" customFormat="1"/>
    <row r="1036960" customFormat="1"/>
    <row r="1036961" customFormat="1"/>
    <row r="1036962" customFormat="1"/>
    <row r="1036963" customFormat="1"/>
    <row r="1036964" customFormat="1"/>
    <row r="1036965" customFormat="1"/>
    <row r="1036966" customFormat="1"/>
    <row r="1036967" customFormat="1"/>
    <row r="1036968" customFormat="1"/>
    <row r="1036969" customFormat="1"/>
    <row r="1036970" customFormat="1"/>
    <row r="1036971" customFormat="1"/>
    <row r="1036972" customFormat="1"/>
    <row r="1036973" customFormat="1"/>
    <row r="1036974" customFormat="1"/>
    <row r="1036975" customFormat="1"/>
    <row r="1036976" customFormat="1"/>
    <row r="1036977" customFormat="1"/>
    <row r="1036978" customFormat="1"/>
    <row r="1036979" customFormat="1"/>
    <row r="1036980" customFormat="1"/>
    <row r="1036981" customFormat="1"/>
    <row r="1036982" customFormat="1"/>
    <row r="1036983" customFormat="1"/>
    <row r="1036984" customFormat="1"/>
    <row r="1036985" customFormat="1"/>
    <row r="1036986" customFormat="1"/>
    <row r="1036987" customFormat="1"/>
    <row r="1036988" customFormat="1"/>
    <row r="1036989" customFormat="1"/>
    <row r="1036990" customFormat="1"/>
    <row r="1036991" customFormat="1"/>
    <row r="1036992" customFormat="1"/>
    <row r="1036993" customFormat="1"/>
    <row r="1036994" customFormat="1"/>
    <row r="1036995" customFormat="1"/>
    <row r="1036996" customFormat="1"/>
    <row r="1036997" customFormat="1"/>
    <row r="1036998" customFormat="1"/>
    <row r="1036999" customFormat="1"/>
    <row r="1037000" customFormat="1"/>
    <row r="1037001" customFormat="1"/>
    <row r="1037002" customFormat="1"/>
    <row r="1037003" customFormat="1"/>
    <row r="1037004" customFormat="1"/>
    <row r="1037005" customFormat="1"/>
    <row r="1037006" customFormat="1"/>
    <row r="1037007" customFormat="1"/>
    <row r="1037008" customFormat="1"/>
    <row r="1037009" customFormat="1"/>
    <row r="1037010" customFormat="1"/>
    <row r="1037011" customFormat="1"/>
    <row r="1037012" customFormat="1"/>
    <row r="1037013" customFormat="1"/>
    <row r="1037014" customFormat="1"/>
    <row r="1037015" customFormat="1"/>
    <row r="1037016" customFormat="1"/>
    <row r="1037017" customFormat="1"/>
    <row r="1037018" customFormat="1"/>
    <row r="1037019" customFormat="1"/>
    <row r="1037020" customFormat="1"/>
    <row r="1037021" customFormat="1"/>
    <row r="1037022" customFormat="1"/>
    <row r="1037023" customFormat="1"/>
    <row r="1037024" customFormat="1"/>
    <row r="1037025" customFormat="1"/>
    <row r="1037026" customFormat="1"/>
    <row r="1037027" customFormat="1"/>
    <row r="1037028" customFormat="1"/>
    <row r="1037029" customFormat="1"/>
    <row r="1037030" customFormat="1"/>
    <row r="1037031" customFormat="1"/>
    <row r="1037032" customFormat="1"/>
    <row r="1037033" customFormat="1"/>
    <row r="1037034" customFormat="1"/>
    <row r="1037035" customFormat="1"/>
    <row r="1037036" customFormat="1"/>
    <row r="1037037" customFormat="1"/>
    <row r="1037038" customFormat="1"/>
    <row r="1037039" customFormat="1"/>
    <row r="1037040" customFormat="1"/>
    <row r="1037041" customFormat="1"/>
    <row r="1037042" customFormat="1"/>
    <row r="1037043" customFormat="1"/>
    <row r="1037044" customFormat="1"/>
    <row r="1037045" customFormat="1"/>
    <row r="1037046" customFormat="1"/>
    <row r="1037047" customFormat="1"/>
    <row r="1037048" customFormat="1"/>
    <row r="1037049" customFormat="1"/>
    <row r="1037050" customFormat="1"/>
    <row r="1037051" customFormat="1"/>
    <row r="1037052" customFormat="1"/>
    <row r="1037053" customFormat="1"/>
    <row r="1037054" customFormat="1"/>
    <row r="1037055" customFormat="1"/>
    <row r="1037056" customFormat="1"/>
    <row r="1037057" customFormat="1"/>
    <row r="1037058" customFormat="1"/>
    <row r="1037059" customFormat="1"/>
    <row r="1037060" customFormat="1"/>
    <row r="1037061" customFormat="1"/>
    <row r="1037062" customFormat="1"/>
    <row r="1037063" customFormat="1"/>
    <row r="1037064" customFormat="1"/>
    <row r="1037065" customFormat="1"/>
    <row r="1037066" customFormat="1"/>
    <row r="1037067" customFormat="1"/>
    <row r="1037068" customFormat="1"/>
    <row r="1037069" customFormat="1"/>
    <row r="1037070" customFormat="1"/>
    <row r="1037071" customFormat="1"/>
    <row r="1037072" customFormat="1"/>
    <row r="1037073" customFormat="1"/>
    <row r="1037074" customFormat="1"/>
    <row r="1037075" customFormat="1"/>
    <row r="1037076" customFormat="1"/>
    <row r="1037077" customFormat="1"/>
    <row r="1037078" customFormat="1"/>
    <row r="1037079" customFormat="1"/>
    <row r="1037080" customFormat="1"/>
    <row r="1037081" customFormat="1"/>
    <row r="1037082" customFormat="1"/>
    <row r="1037083" customFormat="1"/>
    <row r="1037084" customFormat="1"/>
    <row r="1037085" customFormat="1"/>
    <row r="1037086" customFormat="1"/>
    <row r="1037087" customFormat="1"/>
    <row r="1037088" customFormat="1"/>
    <row r="1037089" customFormat="1"/>
    <row r="1037090" customFormat="1"/>
    <row r="1037091" customFormat="1"/>
    <row r="1037092" customFormat="1"/>
    <row r="1037093" customFormat="1"/>
    <row r="1037094" customFormat="1"/>
    <row r="1037095" customFormat="1"/>
    <row r="1037096" customFormat="1"/>
    <row r="1037097" customFormat="1"/>
    <row r="1037098" customFormat="1"/>
    <row r="1037099" customFormat="1"/>
    <row r="1037100" customFormat="1"/>
    <row r="1037101" customFormat="1"/>
    <row r="1037102" customFormat="1"/>
    <row r="1037103" customFormat="1"/>
    <row r="1037104" customFormat="1"/>
    <row r="1037105" customFormat="1"/>
    <row r="1037106" customFormat="1"/>
    <row r="1037107" customFormat="1"/>
    <row r="1037108" customFormat="1"/>
    <row r="1037109" customFormat="1"/>
    <row r="1037110" customFormat="1"/>
    <row r="1037111" customFormat="1"/>
    <row r="1037112" customFormat="1"/>
    <row r="1037113" customFormat="1"/>
    <row r="1037114" customFormat="1"/>
    <row r="1037115" customFormat="1"/>
    <row r="1037116" customFormat="1"/>
    <row r="1037117" customFormat="1"/>
    <row r="1037118" customFormat="1"/>
    <row r="1037119" customFormat="1"/>
    <row r="1037120" customFormat="1"/>
    <row r="1037121" customFormat="1"/>
    <row r="1037122" customFormat="1"/>
    <row r="1037123" customFormat="1"/>
    <row r="1037124" customFormat="1"/>
    <row r="1037125" customFormat="1"/>
    <row r="1037126" customFormat="1"/>
    <row r="1037127" customFormat="1"/>
    <row r="1037128" customFormat="1"/>
    <row r="1037129" customFormat="1"/>
    <row r="1037130" customFormat="1"/>
    <row r="1037131" customFormat="1"/>
    <row r="1037132" customFormat="1"/>
    <row r="1037133" customFormat="1"/>
    <row r="1037134" customFormat="1"/>
    <row r="1037135" customFormat="1"/>
    <row r="1037136" customFormat="1"/>
    <row r="1037137" customFormat="1"/>
    <row r="1037138" customFormat="1"/>
    <row r="1037139" customFormat="1"/>
    <row r="1037140" customFormat="1"/>
    <row r="1037141" customFormat="1"/>
    <row r="1037142" customFormat="1"/>
    <row r="1037143" customFormat="1"/>
    <row r="1037144" customFormat="1"/>
    <row r="1037145" customFormat="1"/>
    <row r="1037146" customFormat="1"/>
    <row r="1037147" customFormat="1"/>
    <row r="1037148" customFormat="1"/>
    <row r="1037149" customFormat="1"/>
    <row r="1037150" customFormat="1"/>
    <row r="1037151" customFormat="1"/>
    <row r="1037152" customFormat="1"/>
    <row r="1037153" customFormat="1"/>
    <row r="1037154" customFormat="1"/>
    <row r="1037155" customFormat="1"/>
    <row r="1037156" customFormat="1"/>
    <row r="1037157" customFormat="1"/>
    <row r="1037158" customFormat="1"/>
    <row r="1037159" customFormat="1"/>
    <row r="1037160" customFormat="1"/>
    <row r="1037161" customFormat="1"/>
    <row r="1037162" customFormat="1"/>
    <row r="1037163" customFormat="1"/>
    <row r="1037164" customFormat="1"/>
    <row r="1037165" customFormat="1"/>
    <row r="1037166" customFormat="1"/>
    <row r="1037167" customFormat="1"/>
    <row r="1037168" customFormat="1"/>
    <row r="1037169" customFormat="1"/>
    <row r="1037170" customFormat="1"/>
    <row r="1037171" customFormat="1"/>
    <row r="1037172" customFormat="1"/>
    <row r="1037173" customFormat="1"/>
    <row r="1037174" customFormat="1"/>
    <row r="1037175" customFormat="1"/>
    <row r="1037176" customFormat="1"/>
    <row r="1037177" customFormat="1"/>
    <row r="1037178" customFormat="1"/>
    <row r="1037179" customFormat="1"/>
    <row r="1037180" customFormat="1"/>
    <row r="1037181" customFormat="1"/>
    <row r="1037182" customFormat="1"/>
    <row r="1037183" customFormat="1"/>
    <row r="1037184" customFormat="1"/>
    <row r="1037185" customFormat="1"/>
    <row r="1037186" customFormat="1"/>
    <row r="1037187" customFormat="1"/>
    <row r="1037188" customFormat="1"/>
    <row r="1037189" customFormat="1"/>
    <row r="1037190" customFormat="1"/>
    <row r="1037191" customFormat="1"/>
    <row r="1037192" customFormat="1"/>
    <row r="1037193" customFormat="1"/>
    <row r="1037194" customFormat="1"/>
    <row r="1037195" customFormat="1"/>
    <row r="1037196" customFormat="1"/>
    <row r="1037197" customFormat="1"/>
    <row r="1037198" customFormat="1"/>
    <row r="1037199" customFormat="1"/>
    <row r="1037200" customFormat="1"/>
    <row r="1037201" customFormat="1"/>
    <row r="1037202" customFormat="1"/>
    <row r="1037203" customFormat="1"/>
    <row r="1037204" customFormat="1"/>
    <row r="1037205" customFormat="1"/>
    <row r="1037206" customFormat="1"/>
    <row r="1037207" customFormat="1"/>
    <row r="1037208" customFormat="1"/>
    <row r="1037209" customFormat="1"/>
    <row r="1037210" customFormat="1"/>
    <row r="1037211" customFormat="1"/>
    <row r="1037212" customFormat="1"/>
    <row r="1037213" customFormat="1"/>
    <row r="1037214" customFormat="1"/>
    <row r="1037215" customFormat="1"/>
    <row r="1037216" customFormat="1"/>
    <row r="1037217" customFormat="1"/>
    <row r="1037218" customFormat="1"/>
    <row r="1037219" customFormat="1"/>
    <row r="1037220" customFormat="1"/>
    <row r="1037221" customFormat="1"/>
    <row r="1037222" customFormat="1"/>
    <row r="1037223" customFormat="1"/>
    <row r="1037224" customFormat="1"/>
    <row r="1037225" customFormat="1"/>
    <row r="1037226" customFormat="1"/>
    <row r="1037227" customFormat="1"/>
    <row r="1037228" customFormat="1"/>
    <row r="1037229" customFormat="1"/>
    <row r="1037230" customFormat="1"/>
    <row r="1037231" customFormat="1"/>
    <row r="1037232" customFormat="1"/>
    <row r="1037233" customFormat="1"/>
    <row r="1037234" customFormat="1"/>
    <row r="1037235" customFormat="1"/>
    <row r="1037236" customFormat="1"/>
    <row r="1037237" customFormat="1"/>
    <row r="1037238" customFormat="1"/>
    <row r="1037239" customFormat="1"/>
    <row r="1037240" customFormat="1"/>
    <row r="1037241" customFormat="1"/>
    <row r="1037242" customFormat="1"/>
    <row r="1037243" customFormat="1"/>
    <row r="1037244" customFormat="1"/>
    <row r="1037245" customFormat="1"/>
    <row r="1037246" customFormat="1"/>
    <row r="1037247" customFormat="1"/>
    <row r="1037248" customFormat="1"/>
    <row r="1037249" customFormat="1"/>
    <row r="1037250" customFormat="1"/>
    <row r="1037251" customFormat="1"/>
    <row r="1037252" customFormat="1"/>
    <row r="1037253" customFormat="1"/>
    <row r="1037254" customFormat="1"/>
    <row r="1037255" customFormat="1"/>
    <row r="1037256" customFormat="1"/>
    <row r="1037257" customFormat="1"/>
    <row r="1037258" customFormat="1"/>
    <row r="1037259" customFormat="1"/>
    <row r="1037260" customFormat="1"/>
    <row r="1037261" customFormat="1"/>
    <row r="1037262" customFormat="1"/>
    <row r="1037263" customFormat="1"/>
    <row r="1037264" customFormat="1"/>
    <row r="1037265" customFormat="1"/>
    <row r="1037266" customFormat="1"/>
    <row r="1037267" customFormat="1"/>
    <row r="1037268" customFormat="1"/>
    <row r="1037269" customFormat="1"/>
    <row r="1037270" customFormat="1"/>
    <row r="1037271" customFormat="1"/>
    <row r="1037272" customFormat="1"/>
    <row r="1037273" customFormat="1"/>
    <row r="1037274" customFormat="1"/>
    <row r="1037275" customFormat="1"/>
    <row r="1037276" customFormat="1"/>
    <row r="1037277" customFormat="1"/>
    <row r="1037278" customFormat="1"/>
    <row r="1037279" customFormat="1"/>
    <row r="1037280" customFormat="1"/>
    <row r="1037281" customFormat="1"/>
    <row r="1037282" customFormat="1"/>
    <row r="1037283" customFormat="1"/>
    <row r="1037284" customFormat="1"/>
    <row r="1037285" customFormat="1"/>
    <row r="1037286" customFormat="1"/>
    <row r="1037287" customFormat="1"/>
    <row r="1037288" customFormat="1"/>
    <row r="1037289" customFormat="1"/>
    <row r="1037290" customFormat="1"/>
    <row r="1037291" customFormat="1"/>
    <row r="1037292" customFormat="1"/>
    <row r="1037293" customFormat="1"/>
    <row r="1037294" customFormat="1"/>
    <row r="1037295" customFormat="1"/>
    <row r="1037296" customFormat="1"/>
    <row r="1037297" customFormat="1"/>
    <row r="1037298" customFormat="1"/>
    <row r="1037299" customFormat="1"/>
    <row r="1037300" customFormat="1"/>
    <row r="1037301" customFormat="1"/>
    <row r="1037302" customFormat="1"/>
    <row r="1037303" customFormat="1"/>
    <row r="1037304" customFormat="1"/>
    <row r="1037305" customFormat="1"/>
    <row r="1037306" customFormat="1"/>
    <row r="1037307" customFormat="1"/>
    <row r="1037308" customFormat="1"/>
    <row r="1037309" customFormat="1"/>
    <row r="1037310" customFormat="1"/>
    <row r="1037311" customFormat="1"/>
    <row r="1037312" customFormat="1"/>
    <row r="1037313" customFormat="1"/>
    <row r="1037314" customFormat="1"/>
    <row r="1037315" customFormat="1"/>
    <row r="1037316" customFormat="1"/>
    <row r="1037317" customFormat="1"/>
    <row r="1037318" customFormat="1"/>
    <row r="1037319" customFormat="1"/>
    <row r="1037320" customFormat="1"/>
    <row r="1037321" customFormat="1"/>
    <row r="1037322" customFormat="1"/>
    <row r="1037323" customFormat="1"/>
    <row r="1037324" customFormat="1"/>
    <row r="1037325" customFormat="1"/>
    <row r="1037326" customFormat="1"/>
    <row r="1037327" customFormat="1"/>
    <row r="1037328" customFormat="1"/>
    <row r="1037329" customFormat="1"/>
    <row r="1037330" customFormat="1"/>
    <row r="1037331" customFormat="1"/>
    <row r="1037332" customFormat="1"/>
    <row r="1037333" customFormat="1"/>
    <row r="1037334" customFormat="1"/>
    <row r="1037335" customFormat="1"/>
    <row r="1037336" customFormat="1"/>
    <row r="1037337" customFormat="1"/>
    <row r="1037338" customFormat="1"/>
    <row r="1037339" customFormat="1"/>
    <row r="1037340" customFormat="1"/>
    <row r="1037341" customFormat="1"/>
    <row r="1037342" customFormat="1"/>
    <row r="1037343" customFormat="1"/>
    <row r="1037344" customFormat="1"/>
    <row r="1037345" customFormat="1"/>
    <row r="1037346" customFormat="1"/>
    <row r="1037347" customFormat="1"/>
    <row r="1037348" customFormat="1"/>
    <row r="1037349" customFormat="1"/>
    <row r="1037350" customFormat="1"/>
    <row r="1037351" customFormat="1"/>
    <row r="1037352" customFormat="1"/>
    <row r="1037353" customFormat="1"/>
    <row r="1037354" customFormat="1"/>
    <row r="1037355" customFormat="1"/>
    <row r="1037356" customFormat="1"/>
    <row r="1037357" customFormat="1"/>
    <row r="1037358" customFormat="1"/>
    <row r="1037359" customFormat="1"/>
    <row r="1037360" customFormat="1"/>
    <row r="1037361" customFormat="1"/>
    <row r="1037362" customFormat="1"/>
    <row r="1037363" customFormat="1"/>
    <row r="1037364" customFormat="1"/>
    <row r="1037365" customFormat="1"/>
    <row r="1037366" customFormat="1"/>
    <row r="1037367" customFormat="1"/>
    <row r="1037368" customFormat="1"/>
    <row r="1037369" customFormat="1"/>
    <row r="1037370" customFormat="1"/>
    <row r="1037371" customFormat="1"/>
    <row r="1037372" customFormat="1"/>
    <row r="1037373" customFormat="1"/>
    <row r="1037374" customFormat="1"/>
    <row r="1037375" customFormat="1"/>
    <row r="1037376" customFormat="1"/>
    <row r="1037377" customFormat="1"/>
    <row r="1037378" customFormat="1"/>
    <row r="1037379" customFormat="1"/>
    <row r="1037380" customFormat="1"/>
    <row r="1037381" customFormat="1"/>
    <row r="1037382" customFormat="1"/>
    <row r="1037383" customFormat="1"/>
    <row r="1037384" customFormat="1"/>
    <row r="1037385" customFormat="1"/>
    <row r="1037386" customFormat="1"/>
    <row r="1037387" customFormat="1"/>
    <row r="1037388" customFormat="1"/>
    <row r="1037389" customFormat="1"/>
    <row r="1037390" customFormat="1"/>
    <row r="1037391" customFormat="1"/>
    <row r="1037392" customFormat="1"/>
    <row r="1037393" customFormat="1"/>
    <row r="1037394" customFormat="1"/>
    <row r="1037395" customFormat="1"/>
    <row r="1037396" customFormat="1"/>
    <row r="1037397" customFormat="1"/>
    <row r="1037398" customFormat="1"/>
    <row r="1037399" customFormat="1"/>
    <row r="1037400" customFormat="1"/>
    <row r="1037401" customFormat="1"/>
    <row r="1037402" customFormat="1"/>
    <row r="1037403" customFormat="1"/>
    <row r="1037404" customFormat="1"/>
    <row r="1037405" customFormat="1"/>
    <row r="1037406" customFormat="1"/>
    <row r="1037407" customFormat="1"/>
    <row r="1037408" customFormat="1"/>
    <row r="1037409" customFormat="1"/>
    <row r="1037410" customFormat="1"/>
    <row r="1037411" customFormat="1"/>
    <row r="1037412" customFormat="1"/>
    <row r="1037413" customFormat="1"/>
    <row r="1037414" customFormat="1"/>
    <row r="1037415" customFormat="1"/>
    <row r="1037416" customFormat="1"/>
    <row r="1037417" customFormat="1"/>
    <row r="1037418" customFormat="1"/>
    <row r="1037419" customFormat="1"/>
    <row r="1037420" customFormat="1"/>
    <row r="1037421" customFormat="1"/>
    <row r="1037422" customFormat="1"/>
    <row r="1037423" customFormat="1"/>
    <row r="1037424" customFormat="1"/>
    <row r="1037425" customFormat="1"/>
    <row r="1037426" customFormat="1"/>
    <row r="1037427" customFormat="1"/>
    <row r="1037428" customFormat="1"/>
    <row r="1037429" customFormat="1"/>
    <row r="1037430" customFormat="1"/>
    <row r="1037431" customFormat="1"/>
    <row r="1037432" customFormat="1"/>
    <row r="1037433" customFormat="1"/>
    <row r="1037434" customFormat="1"/>
    <row r="1037435" customFormat="1"/>
    <row r="1037436" customFormat="1"/>
    <row r="1037437" customFormat="1"/>
    <row r="1037438" customFormat="1"/>
    <row r="1037439" customFormat="1"/>
    <row r="1037440" customFormat="1"/>
    <row r="1037441" customFormat="1"/>
    <row r="1037442" customFormat="1"/>
    <row r="1037443" customFormat="1"/>
    <row r="1037444" customFormat="1"/>
    <row r="1037445" customFormat="1"/>
    <row r="1037446" customFormat="1"/>
    <row r="1037447" customFormat="1"/>
    <row r="1037448" customFormat="1"/>
    <row r="1037449" customFormat="1"/>
    <row r="1037450" customFormat="1"/>
    <row r="1037451" customFormat="1"/>
    <row r="1037452" customFormat="1"/>
    <row r="1037453" customFormat="1"/>
    <row r="1037454" customFormat="1"/>
    <row r="1037455" customFormat="1"/>
    <row r="1037456" customFormat="1"/>
    <row r="1037457" customFormat="1"/>
    <row r="1037458" customFormat="1"/>
    <row r="1037459" customFormat="1"/>
    <row r="1037460" customFormat="1"/>
    <row r="1037461" customFormat="1"/>
    <row r="1037462" customFormat="1"/>
    <row r="1037463" customFormat="1"/>
    <row r="1037464" customFormat="1"/>
    <row r="1037465" customFormat="1"/>
    <row r="1037466" customFormat="1"/>
    <row r="1037467" customFormat="1"/>
    <row r="1037468" customFormat="1"/>
    <row r="1037469" customFormat="1"/>
    <row r="1037470" customFormat="1"/>
    <row r="1037471" customFormat="1"/>
    <row r="1037472" customFormat="1"/>
    <row r="1037473" customFormat="1"/>
    <row r="1037474" customFormat="1"/>
    <row r="1037475" customFormat="1"/>
    <row r="1037476" customFormat="1"/>
    <row r="1037477" customFormat="1"/>
    <row r="1037478" customFormat="1"/>
    <row r="1037479" customFormat="1"/>
    <row r="1037480" customFormat="1"/>
    <row r="1037481" customFormat="1"/>
    <row r="1037482" customFormat="1"/>
    <row r="1037483" customFormat="1"/>
    <row r="1037484" customFormat="1"/>
    <row r="1037485" customFormat="1"/>
    <row r="1037486" customFormat="1"/>
    <row r="1037487" customFormat="1"/>
    <row r="1037488" customFormat="1"/>
    <row r="1037489" customFormat="1"/>
    <row r="1037490" customFormat="1"/>
    <row r="1037491" customFormat="1"/>
    <row r="1037492" customFormat="1"/>
    <row r="1037493" customFormat="1"/>
    <row r="1037494" customFormat="1"/>
    <row r="1037495" customFormat="1"/>
    <row r="1037496" customFormat="1"/>
    <row r="1037497" customFormat="1"/>
    <row r="1037498" customFormat="1"/>
    <row r="1037499" customFormat="1"/>
    <row r="1037500" customFormat="1"/>
    <row r="1037501" customFormat="1"/>
    <row r="1037502" customFormat="1"/>
    <row r="1037503" customFormat="1"/>
    <row r="1037504" customFormat="1"/>
    <row r="1037505" customFormat="1"/>
    <row r="1037506" customFormat="1"/>
    <row r="1037507" customFormat="1"/>
    <row r="1037508" customFormat="1"/>
    <row r="1037509" customFormat="1"/>
    <row r="1037510" customFormat="1"/>
    <row r="1037511" customFormat="1"/>
    <row r="1037512" customFormat="1"/>
    <row r="1037513" customFormat="1"/>
    <row r="1037514" customFormat="1"/>
    <row r="1037515" customFormat="1"/>
    <row r="1037516" customFormat="1"/>
    <row r="1037517" customFormat="1"/>
    <row r="1037518" customFormat="1"/>
    <row r="1037519" customFormat="1"/>
    <row r="1037520" customFormat="1"/>
    <row r="1037521" customFormat="1"/>
    <row r="1037522" customFormat="1"/>
    <row r="1037523" customFormat="1"/>
    <row r="1037524" customFormat="1"/>
    <row r="1037525" customFormat="1"/>
    <row r="1037526" customFormat="1"/>
    <row r="1037527" customFormat="1"/>
    <row r="1037528" customFormat="1"/>
    <row r="1037529" customFormat="1"/>
    <row r="1037530" customFormat="1"/>
    <row r="1037531" customFormat="1"/>
    <row r="1037532" customFormat="1"/>
    <row r="1037533" customFormat="1"/>
    <row r="1037534" customFormat="1"/>
    <row r="1037535" customFormat="1"/>
    <row r="1037536" customFormat="1"/>
    <row r="1037537" customFormat="1"/>
    <row r="1037538" customFormat="1"/>
    <row r="1037539" customFormat="1"/>
    <row r="1037540" customFormat="1"/>
    <row r="1037541" customFormat="1"/>
    <row r="1037542" customFormat="1"/>
    <row r="1037543" customFormat="1"/>
    <row r="1037544" customFormat="1"/>
    <row r="1037545" customFormat="1"/>
    <row r="1037546" customFormat="1"/>
    <row r="1037547" customFormat="1"/>
    <row r="1037548" customFormat="1"/>
    <row r="1037549" customFormat="1"/>
    <row r="1037550" customFormat="1"/>
    <row r="1037551" customFormat="1"/>
    <row r="1037552" customFormat="1"/>
    <row r="1037553" customFormat="1"/>
    <row r="1037554" customFormat="1"/>
    <row r="1037555" customFormat="1"/>
    <row r="1037556" customFormat="1"/>
    <row r="1037557" customFormat="1"/>
    <row r="1037558" customFormat="1"/>
    <row r="1037559" customFormat="1"/>
    <row r="1037560" customFormat="1"/>
    <row r="1037561" customFormat="1"/>
    <row r="1037562" customFormat="1"/>
    <row r="1037563" customFormat="1"/>
    <row r="1037564" customFormat="1"/>
    <row r="1037565" customFormat="1"/>
    <row r="1037566" customFormat="1"/>
    <row r="1037567" customFormat="1"/>
    <row r="1037568" customFormat="1"/>
    <row r="1037569" customFormat="1"/>
    <row r="1037570" customFormat="1"/>
    <row r="1037571" customFormat="1"/>
    <row r="1037572" customFormat="1"/>
    <row r="1037573" customFormat="1"/>
    <row r="1037574" customFormat="1"/>
    <row r="1037575" customFormat="1"/>
    <row r="1037576" customFormat="1"/>
    <row r="1037577" customFormat="1"/>
    <row r="1037578" customFormat="1"/>
    <row r="1037579" customFormat="1"/>
    <row r="1037580" customFormat="1"/>
    <row r="1037581" customFormat="1"/>
    <row r="1037582" customFormat="1"/>
    <row r="1037583" customFormat="1"/>
    <row r="1037584" customFormat="1"/>
    <row r="1037585" customFormat="1"/>
    <row r="1037586" customFormat="1"/>
    <row r="1037587" customFormat="1"/>
    <row r="1037588" customFormat="1"/>
    <row r="1037589" customFormat="1"/>
    <row r="1037590" customFormat="1"/>
    <row r="1037591" customFormat="1"/>
    <row r="1037592" customFormat="1"/>
    <row r="1037593" customFormat="1"/>
    <row r="1037594" customFormat="1"/>
    <row r="1037595" customFormat="1"/>
    <row r="1037596" customFormat="1"/>
    <row r="1037597" customFormat="1"/>
    <row r="1037598" customFormat="1"/>
    <row r="1037599" customFormat="1"/>
    <row r="1037600" customFormat="1"/>
    <row r="1037601" customFormat="1"/>
    <row r="1037602" customFormat="1"/>
    <row r="1037603" customFormat="1"/>
    <row r="1037604" customFormat="1"/>
    <row r="1037605" customFormat="1"/>
    <row r="1037606" customFormat="1"/>
    <row r="1037607" customFormat="1"/>
    <row r="1037608" customFormat="1"/>
    <row r="1037609" customFormat="1"/>
    <row r="1037610" customFormat="1"/>
    <row r="1037611" customFormat="1"/>
    <row r="1037612" customFormat="1"/>
    <row r="1037613" customFormat="1"/>
    <row r="1037614" customFormat="1"/>
    <row r="1037615" customFormat="1"/>
    <row r="1037616" customFormat="1"/>
    <row r="1037617" customFormat="1"/>
    <row r="1037618" customFormat="1"/>
    <row r="1037619" customFormat="1"/>
    <row r="1037620" customFormat="1"/>
    <row r="1037621" customFormat="1"/>
    <row r="1037622" customFormat="1"/>
    <row r="1037623" customFormat="1"/>
    <row r="1037624" customFormat="1"/>
    <row r="1037625" customFormat="1"/>
    <row r="1037626" customFormat="1"/>
    <row r="1037627" customFormat="1"/>
    <row r="1037628" customFormat="1"/>
    <row r="1037629" customFormat="1"/>
    <row r="1037630" customFormat="1"/>
    <row r="1037631" customFormat="1"/>
    <row r="1037632" customFormat="1"/>
    <row r="1037633" customFormat="1"/>
    <row r="1037634" customFormat="1"/>
    <row r="1037635" customFormat="1"/>
    <row r="1037636" customFormat="1"/>
    <row r="1037637" customFormat="1"/>
    <row r="1037638" customFormat="1"/>
    <row r="1037639" customFormat="1"/>
    <row r="1037640" customFormat="1"/>
    <row r="1037641" customFormat="1"/>
    <row r="1037642" customFormat="1"/>
    <row r="1037643" customFormat="1"/>
    <row r="1037644" customFormat="1"/>
    <row r="1037645" customFormat="1"/>
    <row r="1037646" customFormat="1"/>
    <row r="1037647" customFormat="1"/>
    <row r="1037648" customFormat="1"/>
    <row r="1037649" customFormat="1"/>
    <row r="1037650" customFormat="1"/>
    <row r="1037651" customFormat="1"/>
    <row r="1037652" customFormat="1"/>
    <row r="1037653" customFormat="1"/>
    <row r="1037654" customFormat="1"/>
    <row r="1037655" customFormat="1"/>
    <row r="1037656" customFormat="1"/>
    <row r="1037657" customFormat="1"/>
    <row r="1037658" customFormat="1"/>
    <row r="1037659" customFormat="1"/>
    <row r="1037660" customFormat="1"/>
    <row r="1037661" customFormat="1"/>
    <row r="1037662" customFormat="1"/>
    <row r="1037663" customFormat="1"/>
    <row r="1037664" customFormat="1"/>
    <row r="1037665" customFormat="1"/>
    <row r="1037666" customFormat="1"/>
    <row r="1037667" customFormat="1"/>
    <row r="1037668" customFormat="1"/>
    <row r="1037669" customFormat="1"/>
    <row r="1037670" customFormat="1"/>
    <row r="1037671" customFormat="1"/>
    <row r="1037672" customFormat="1"/>
    <row r="1037673" customFormat="1"/>
    <row r="1037674" customFormat="1"/>
    <row r="1037675" customFormat="1"/>
    <row r="1037676" customFormat="1"/>
    <row r="1037677" customFormat="1"/>
    <row r="1037678" customFormat="1"/>
    <row r="1037679" customFormat="1"/>
    <row r="1037680" customFormat="1"/>
    <row r="1037681" customFormat="1"/>
    <row r="1037682" customFormat="1"/>
    <row r="1037683" customFormat="1"/>
    <row r="1037684" customFormat="1"/>
    <row r="1037685" customFormat="1"/>
    <row r="1037686" customFormat="1"/>
    <row r="1037687" customFormat="1"/>
    <row r="1037688" customFormat="1"/>
    <row r="1037689" customFormat="1"/>
    <row r="1037690" customFormat="1"/>
    <row r="1037691" customFormat="1"/>
    <row r="1037692" customFormat="1"/>
    <row r="1037693" customFormat="1"/>
    <row r="1037694" customFormat="1"/>
    <row r="1037695" customFormat="1"/>
    <row r="1037696" customFormat="1"/>
    <row r="1037697" customFormat="1"/>
    <row r="1037698" customFormat="1"/>
    <row r="1037699" customFormat="1"/>
    <row r="1037700" customFormat="1"/>
    <row r="1037701" customFormat="1"/>
    <row r="1037702" customFormat="1"/>
    <row r="1037703" customFormat="1"/>
    <row r="1037704" customFormat="1"/>
    <row r="1037705" customFormat="1"/>
    <row r="1037706" customFormat="1"/>
    <row r="1037707" customFormat="1"/>
    <row r="1037708" customFormat="1"/>
    <row r="1037709" customFormat="1"/>
    <row r="1037710" customFormat="1"/>
    <row r="1037711" customFormat="1"/>
    <row r="1037712" customFormat="1"/>
    <row r="1037713" customFormat="1"/>
    <row r="1037714" customFormat="1"/>
    <row r="1037715" customFormat="1"/>
    <row r="1037716" customFormat="1"/>
    <row r="1037717" customFormat="1"/>
    <row r="1037718" customFormat="1"/>
    <row r="1037719" customFormat="1"/>
    <row r="1037720" customFormat="1"/>
    <row r="1037721" customFormat="1"/>
    <row r="1037722" customFormat="1"/>
    <row r="1037723" customFormat="1"/>
    <row r="1037724" customFormat="1"/>
    <row r="1037725" customFormat="1"/>
    <row r="1037726" customFormat="1"/>
    <row r="1037727" customFormat="1"/>
    <row r="1037728" customFormat="1"/>
    <row r="1037729" customFormat="1"/>
    <row r="1037730" customFormat="1"/>
    <row r="1037731" customFormat="1"/>
    <row r="1037732" customFormat="1"/>
    <row r="1037733" customFormat="1"/>
    <row r="1037734" customFormat="1"/>
    <row r="1037735" customFormat="1"/>
    <row r="1037736" customFormat="1"/>
    <row r="1037737" customFormat="1"/>
    <row r="1037738" customFormat="1"/>
    <row r="1037739" customFormat="1"/>
    <row r="1037740" customFormat="1"/>
    <row r="1037741" customFormat="1"/>
    <row r="1037742" customFormat="1"/>
    <row r="1037743" customFormat="1"/>
    <row r="1037744" customFormat="1"/>
    <row r="1037745" customFormat="1"/>
    <row r="1037746" customFormat="1"/>
    <row r="1037747" customFormat="1"/>
    <row r="1037748" customFormat="1"/>
    <row r="1037749" customFormat="1"/>
    <row r="1037750" customFormat="1"/>
    <row r="1037751" customFormat="1"/>
    <row r="1037752" customFormat="1"/>
    <row r="1037753" customFormat="1"/>
    <row r="1037754" customFormat="1"/>
    <row r="1037755" customFormat="1"/>
    <row r="1037756" customFormat="1"/>
    <row r="1037757" customFormat="1"/>
    <row r="1037758" customFormat="1"/>
    <row r="1037759" customFormat="1"/>
    <row r="1037760" customFormat="1"/>
    <row r="1037761" customFormat="1"/>
    <row r="1037762" customFormat="1"/>
    <row r="1037763" customFormat="1"/>
    <row r="1037764" customFormat="1"/>
    <row r="1037765" customFormat="1"/>
    <row r="1037766" customFormat="1"/>
    <row r="1037767" customFormat="1"/>
    <row r="1037768" customFormat="1"/>
    <row r="1037769" customFormat="1"/>
    <row r="1037770" customFormat="1"/>
    <row r="1037771" customFormat="1"/>
    <row r="1037772" customFormat="1"/>
    <row r="1037773" customFormat="1"/>
    <row r="1037774" customFormat="1"/>
    <row r="1037775" customFormat="1"/>
    <row r="1037776" customFormat="1"/>
    <row r="1037777" customFormat="1"/>
    <row r="1037778" customFormat="1"/>
    <row r="1037779" customFormat="1"/>
    <row r="1037780" customFormat="1"/>
    <row r="1037781" customFormat="1"/>
    <row r="1037782" customFormat="1"/>
    <row r="1037783" customFormat="1"/>
    <row r="1037784" customFormat="1"/>
    <row r="1037785" customFormat="1"/>
    <row r="1037786" customFormat="1"/>
    <row r="1037787" customFormat="1"/>
    <row r="1037788" customFormat="1"/>
    <row r="1037789" customFormat="1"/>
    <row r="1037790" customFormat="1"/>
    <row r="1037791" customFormat="1"/>
    <row r="1037792" customFormat="1"/>
    <row r="1037793" customFormat="1"/>
    <row r="1037794" customFormat="1"/>
    <row r="1037795" customFormat="1"/>
    <row r="1037796" customFormat="1"/>
    <row r="1037797" customFormat="1"/>
    <row r="1037798" customFormat="1"/>
    <row r="1037799" customFormat="1"/>
    <row r="1037800" customFormat="1"/>
    <row r="1037801" customFormat="1"/>
    <row r="1037802" customFormat="1"/>
    <row r="1037803" customFormat="1"/>
    <row r="1037804" customFormat="1"/>
    <row r="1037805" customFormat="1"/>
    <row r="1037806" customFormat="1"/>
    <row r="1037807" customFormat="1"/>
    <row r="1037808" customFormat="1"/>
    <row r="1037809" customFormat="1"/>
    <row r="1037810" customFormat="1"/>
    <row r="1037811" customFormat="1"/>
    <row r="1037812" customFormat="1"/>
    <row r="1037813" customFormat="1"/>
    <row r="1037814" customFormat="1"/>
    <row r="1037815" customFormat="1"/>
    <row r="1037816" customFormat="1"/>
    <row r="1037817" customFormat="1"/>
    <row r="1037818" customFormat="1"/>
    <row r="1037819" customFormat="1"/>
    <row r="1037820" customFormat="1"/>
    <row r="1037821" customFormat="1"/>
    <row r="1037822" customFormat="1"/>
    <row r="1037823" customFormat="1"/>
    <row r="1037824" customFormat="1"/>
    <row r="1037825" customFormat="1"/>
    <row r="1037826" customFormat="1"/>
    <row r="1037827" customFormat="1"/>
    <row r="1037828" customFormat="1"/>
    <row r="1037829" customFormat="1"/>
    <row r="1037830" customFormat="1"/>
    <row r="1037831" customFormat="1"/>
    <row r="1037832" customFormat="1"/>
    <row r="1037833" customFormat="1"/>
    <row r="1037834" customFormat="1"/>
    <row r="1037835" customFormat="1"/>
    <row r="1037836" customFormat="1"/>
    <row r="1037837" customFormat="1"/>
    <row r="1037838" customFormat="1"/>
    <row r="1037839" customFormat="1"/>
    <row r="1037840" customFormat="1"/>
    <row r="1037841" customFormat="1"/>
    <row r="1037842" customFormat="1"/>
    <row r="1037843" customFormat="1"/>
    <row r="1037844" customFormat="1"/>
    <row r="1037845" customFormat="1"/>
    <row r="1037846" customFormat="1"/>
    <row r="1037847" customFormat="1"/>
    <row r="1037848" customFormat="1"/>
    <row r="1037849" customFormat="1"/>
    <row r="1037850" customFormat="1"/>
    <row r="1037851" customFormat="1"/>
    <row r="1037852" customFormat="1"/>
    <row r="1037853" customFormat="1"/>
    <row r="1037854" customFormat="1"/>
    <row r="1037855" customFormat="1"/>
    <row r="1037856" customFormat="1"/>
    <row r="1037857" customFormat="1"/>
    <row r="1037858" customFormat="1"/>
    <row r="1037859" customFormat="1"/>
    <row r="1037860" customFormat="1"/>
    <row r="1037861" customFormat="1"/>
    <row r="1037862" customFormat="1"/>
    <row r="1037863" customFormat="1"/>
    <row r="1037864" customFormat="1"/>
    <row r="1037865" customFormat="1"/>
    <row r="1037866" customFormat="1"/>
    <row r="1037867" customFormat="1"/>
    <row r="1037868" customFormat="1"/>
    <row r="1037869" customFormat="1"/>
    <row r="1037870" customFormat="1"/>
    <row r="1037871" customFormat="1"/>
    <row r="1037872" customFormat="1"/>
    <row r="1037873" customFormat="1"/>
    <row r="1037874" customFormat="1"/>
    <row r="1037875" customFormat="1"/>
    <row r="1037876" customFormat="1"/>
    <row r="1037877" customFormat="1"/>
    <row r="1037878" customFormat="1"/>
    <row r="1037879" customFormat="1"/>
    <row r="1037880" customFormat="1"/>
    <row r="1037881" customFormat="1"/>
    <row r="1037882" customFormat="1"/>
    <row r="1037883" customFormat="1"/>
    <row r="1037884" customFormat="1"/>
    <row r="1037885" customFormat="1"/>
    <row r="1037886" customFormat="1"/>
    <row r="1037887" customFormat="1"/>
    <row r="1037888" customFormat="1"/>
    <row r="1037889" customFormat="1"/>
    <row r="1037890" customFormat="1"/>
    <row r="1037891" customFormat="1"/>
    <row r="1037892" customFormat="1"/>
    <row r="1037893" customFormat="1"/>
    <row r="1037894" customFormat="1"/>
    <row r="1037895" customFormat="1"/>
    <row r="1037896" customFormat="1"/>
    <row r="1037897" customFormat="1"/>
    <row r="1037898" customFormat="1"/>
    <row r="1037899" customFormat="1"/>
    <row r="1037900" customFormat="1"/>
    <row r="1037901" customFormat="1"/>
    <row r="1037902" customFormat="1"/>
    <row r="1037903" customFormat="1"/>
    <row r="1037904" customFormat="1"/>
    <row r="1037905" customFormat="1"/>
    <row r="1037906" customFormat="1"/>
    <row r="1037907" customFormat="1"/>
    <row r="1037908" customFormat="1"/>
    <row r="1037909" customFormat="1"/>
    <row r="1037910" customFormat="1"/>
    <row r="1037911" customFormat="1"/>
    <row r="1037912" customFormat="1"/>
    <row r="1037913" customFormat="1"/>
    <row r="1037914" customFormat="1"/>
    <row r="1037915" customFormat="1"/>
    <row r="1037916" customFormat="1"/>
    <row r="1037917" customFormat="1"/>
    <row r="1037918" customFormat="1"/>
    <row r="1037919" customFormat="1"/>
    <row r="1037920" customFormat="1"/>
    <row r="1037921" customFormat="1"/>
    <row r="1037922" customFormat="1"/>
    <row r="1037923" customFormat="1"/>
    <row r="1037924" customFormat="1"/>
    <row r="1037925" customFormat="1"/>
    <row r="1037926" customFormat="1"/>
    <row r="1037927" customFormat="1"/>
    <row r="1037928" customFormat="1"/>
    <row r="1037929" customFormat="1"/>
    <row r="1037930" customFormat="1"/>
    <row r="1037931" customFormat="1"/>
    <row r="1037932" customFormat="1"/>
    <row r="1037933" customFormat="1"/>
    <row r="1037934" customFormat="1"/>
    <row r="1037935" customFormat="1"/>
    <row r="1037936" customFormat="1"/>
    <row r="1037937" customFormat="1"/>
    <row r="1037938" customFormat="1"/>
    <row r="1037939" customFormat="1"/>
    <row r="1037940" customFormat="1"/>
    <row r="1037941" customFormat="1"/>
    <row r="1037942" customFormat="1"/>
    <row r="1037943" customFormat="1"/>
    <row r="1037944" customFormat="1"/>
    <row r="1037945" customFormat="1"/>
    <row r="1037946" customFormat="1"/>
    <row r="1037947" customFormat="1"/>
    <row r="1037948" customFormat="1"/>
    <row r="1037949" customFormat="1"/>
    <row r="1037950" customFormat="1"/>
    <row r="1037951" customFormat="1"/>
    <row r="1037952" customFormat="1"/>
    <row r="1037953" customFormat="1"/>
    <row r="1037954" customFormat="1"/>
    <row r="1037955" customFormat="1"/>
    <row r="1037956" customFormat="1"/>
    <row r="1037957" customFormat="1"/>
    <row r="1037958" customFormat="1"/>
    <row r="1037959" customFormat="1"/>
    <row r="1037960" customFormat="1"/>
    <row r="1037961" customFormat="1"/>
    <row r="1037962" customFormat="1"/>
    <row r="1037963" customFormat="1"/>
    <row r="1037964" customFormat="1"/>
    <row r="1037965" customFormat="1"/>
    <row r="1037966" customFormat="1"/>
    <row r="1037967" customFormat="1"/>
    <row r="1037968" customFormat="1"/>
    <row r="1037969" customFormat="1"/>
    <row r="1037970" customFormat="1"/>
    <row r="1037971" customFormat="1"/>
    <row r="1037972" customFormat="1"/>
    <row r="1037973" customFormat="1"/>
    <row r="1037974" customFormat="1"/>
    <row r="1037975" customFormat="1"/>
    <row r="1037976" customFormat="1"/>
    <row r="1037977" customFormat="1"/>
    <row r="1037978" customFormat="1"/>
    <row r="1037979" customFormat="1"/>
    <row r="1037980" customFormat="1"/>
    <row r="1037981" customFormat="1"/>
    <row r="1037982" customFormat="1"/>
    <row r="1037983" customFormat="1"/>
    <row r="1037984" customFormat="1"/>
    <row r="1037985" customFormat="1"/>
    <row r="1037986" customFormat="1"/>
    <row r="1037987" customFormat="1"/>
    <row r="1037988" customFormat="1"/>
    <row r="1037989" customFormat="1"/>
    <row r="1037990" customFormat="1"/>
    <row r="1037991" customFormat="1"/>
    <row r="1037992" customFormat="1"/>
    <row r="1037993" customFormat="1"/>
    <row r="1037994" customFormat="1"/>
    <row r="1037995" customFormat="1"/>
    <row r="1037996" customFormat="1"/>
    <row r="1037997" customFormat="1"/>
    <row r="1037998" customFormat="1"/>
    <row r="1037999" customFormat="1"/>
    <row r="1038000" customFormat="1"/>
    <row r="1038001" customFormat="1"/>
    <row r="1038002" customFormat="1"/>
    <row r="1038003" customFormat="1"/>
    <row r="1038004" customFormat="1"/>
    <row r="1038005" customFormat="1"/>
    <row r="1038006" customFormat="1"/>
    <row r="1038007" customFormat="1"/>
    <row r="1038008" customFormat="1"/>
    <row r="1038009" customFormat="1"/>
    <row r="1038010" customFormat="1"/>
    <row r="1038011" customFormat="1"/>
    <row r="1038012" customFormat="1"/>
    <row r="1038013" customFormat="1"/>
    <row r="1038014" customFormat="1"/>
    <row r="1038015" customFormat="1"/>
    <row r="1038016" customFormat="1"/>
    <row r="1038017" customFormat="1"/>
    <row r="1038018" customFormat="1"/>
    <row r="1038019" customFormat="1"/>
    <row r="1038020" customFormat="1"/>
    <row r="1038021" customFormat="1"/>
    <row r="1038022" customFormat="1"/>
    <row r="1038023" customFormat="1"/>
    <row r="1038024" customFormat="1"/>
    <row r="1038025" customFormat="1"/>
    <row r="1038026" customFormat="1"/>
    <row r="1038027" customFormat="1"/>
    <row r="1038028" customFormat="1"/>
    <row r="1038029" customFormat="1"/>
    <row r="1038030" customFormat="1"/>
    <row r="1038031" customFormat="1"/>
    <row r="1038032" customFormat="1"/>
    <row r="1038033" customFormat="1"/>
    <row r="1038034" customFormat="1"/>
    <row r="1038035" customFormat="1"/>
    <row r="1038036" customFormat="1"/>
    <row r="1038037" customFormat="1"/>
    <row r="1038038" customFormat="1"/>
    <row r="1038039" customFormat="1"/>
    <row r="1038040" customFormat="1"/>
    <row r="1038041" customFormat="1"/>
    <row r="1038042" customFormat="1"/>
    <row r="1038043" customFormat="1"/>
    <row r="1038044" customFormat="1"/>
    <row r="1038045" customFormat="1"/>
    <row r="1038046" customFormat="1"/>
    <row r="1038047" customFormat="1"/>
    <row r="1038048" customFormat="1"/>
    <row r="1038049" customFormat="1"/>
    <row r="1038050" customFormat="1"/>
    <row r="1038051" customFormat="1"/>
    <row r="1038052" customFormat="1"/>
    <row r="1038053" customFormat="1"/>
    <row r="1038054" customFormat="1"/>
    <row r="1038055" customFormat="1"/>
    <row r="1038056" customFormat="1"/>
    <row r="1038057" customFormat="1"/>
    <row r="1038058" customFormat="1"/>
    <row r="1038059" customFormat="1"/>
    <row r="1038060" customFormat="1"/>
    <row r="1038061" customFormat="1"/>
    <row r="1038062" customFormat="1"/>
    <row r="1038063" customFormat="1"/>
    <row r="1038064" customFormat="1"/>
    <row r="1038065" customFormat="1"/>
    <row r="1038066" customFormat="1"/>
    <row r="1038067" customFormat="1"/>
    <row r="1038068" customFormat="1"/>
    <row r="1038069" customFormat="1"/>
    <row r="1038070" customFormat="1"/>
    <row r="1038071" customFormat="1"/>
    <row r="1038072" customFormat="1"/>
    <row r="1038073" customFormat="1"/>
    <row r="1038074" customFormat="1"/>
    <row r="1038075" customFormat="1"/>
    <row r="1038076" customFormat="1"/>
    <row r="1038077" customFormat="1"/>
    <row r="1038078" customFormat="1"/>
    <row r="1038079" customFormat="1"/>
    <row r="1038080" customFormat="1"/>
    <row r="1038081" customFormat="1"/>
    <row r="1038082" customFormat="1"/>
    <row r="1038083" customFormat="1"/>
    <row r="1038084" customFormat="1"/>
    <row r="1038085" customFormat="1"/>
    <row r="1038086" customFormat="1"/>
    <row r="1038087" customFormat="1"/>
    <row r="1038088" customFormat="1"/>
    <row r="1038089" customFormat="1"/>
    <row r="1038090" customFormat="1"/>
    <row r="1038091" customFormat="1"/>
    <row r="1038092" customFormat="1"/>
    <row r="1038093" customFormat="1"/>
    <row r="1038094" customFormat="1"/>
    <row r="1038095" customFormat="1"/>
    <row r="1038096" customFormat="1"/>
    <row r="1038097" customFormat="1"/>
    <row r="1038098" customFormat="1"/>
    <row r="1038099" customFormat="1"/>
    <row r="1038100" customFormat="1"/>
    <row r="1038101" customFormat="1"/>
    <row r="1038102" customFormat="1"/>
    <row r="1038103" customFormat="1"/>
    <row r="1038104" customFormat="1"/>
    <row r="1038105" customFormat="1"/>
    <row r="1038106" customFormat="1"/>
    <row r="1038107" customFormat="1"/>
    <row r="1038108" customFormat="1"/>
    <row r="1038109" customFormat="1"/>
    <row r="1038110" customFormat="1"/>
    <row r="1038111" customFormat="1"/>
    <row r="1038112" customFormat="1"/>
    <row r="1038113" customFormat="1"/>
    <row r="1038114" customFormat="1"/>
    <row r="1038115" customFormat="1"/>
    <row r="1038116" customFormat="1"/>
    <row r="1038117" customFormat="1"/>
    <row r="1038118" customFormat="1"/>
    <row r="1038119" customFormat="1"/>
    <row r="1038120" customFormat="1"/>
    <row r="1038121" customFormat="1"/>
    <row r="1038122" customFormat="1"/>
    <row r="1038123" customFormat="1"/>
    <row r="1038124" customFormat="1"/>
    <row r="1038125" customFormat="1"/>
    <row r="1038126" customFormat="1"/>
    <row r="1038127" customFormat="1"/>
    <row r="1038128" customFormat="1"/>
    <row r="1038129" customFormat="1"/>
    <row r="1038130" customFormat="1"/>
    <row r="1038131" customFormat="1"/>
    <row r="1038132" customFormat="1"/>
    <row r="1038133" customFormat="1"/>
    <row r="1038134" customFormat="1"/>
    <row r="1038135" customFormat="1"/>
    <row r="1038136" customFormat="1"/>
    <row r="1038137" customFormat="1"/>
    <row r="1038138" customFormat="1"/>
    <row r="1038139" customFormat="1"/>
    <row r="1038140" customFormat="1"/>
    <row r="1038141" customFormat="1"/>
    <row r="1038142" customFormat="1"/>
    <row r="1038143" customFormat="1"/>
    <row r="1038144" customFormat="1"/>
    <row r="1038145" customFormat="1"/>
    <row r="1038146" customFormat="1"/>
    <row r="1038147" customFormat="1"/>
    <row r="1038148" customFormat="1"/>
    <row r="1038149" customFormat="1"/>
    <row r="1038150" customFormat="1"/>
    <row r="1038151" customFormat="1"/>
    <row r="1038152" customFormat="1"/>
    <row r="1038153" customFormat="1"/>
    <row r="1038154" customFormat="1"/>
    <row r="1038155" customFormat="1"/>
    <row r="1038156" customFormat="1"/>
    <row r="1038157" customFormat="1"/>
    <row r="1038158" customFormat="1"/>
    <row r="1038159" customFormat="1"/>
    <row r="1038160" customFormat="1"/>
    <row r="1038161" customFormat="1"/>
    <row r="1038162" customFormat="1"/>
    <row r="1038163" customFormat="1"/>
    <row r="1038164" customFormat="1"/>
    <row r="1038165" customFormat="1"/>
    <row r="1038166" customFormat="1"/>
    <row r="1038167" customFormat="1"/>
    <row r="1038168" customFormat="1"/>
    <row r="1038169" customFormat="1"/>
    <row r="1038170" customFormat="1"/>
    <row r="1038171" customFormat="1"/>
    <row r="1038172" customFormat="1"/>
    <row r="1038173" customFormat="1"/>
    <row r="1038174" customFormat="1"/>
    <row r="1038175" customFormat="1"/>
    <row r="1038176" customFormat="1"/>
    <row r="1038177" customFormat="1"/>
    <row r="1038178" customFormat="1"/>
    <row r="1038179" customFormat="1"/>
    <row r="1038180" customFormat="1"/>
    <row r="1038181" customFormat="1"/>
    <row r="1038182" customFormat="1"/>
    <row r="1038183" customFormat="1"/>
    <row r="1038184" customFormat="1"/>
    <row r="1038185" customFormat="1"/>
    <row r="1038186" customFormat="1"/>
    <row r="1038187" customFormat="1"/>
    <row r="1038188" customFormat="1"/>
    <row r="1038189" customFormat="1"/>
    <row r="1038190" customFormat="1"/>
    <row r="1038191" customFormat="1"/>
    <row r="1038192" customFormat="1"/>
    <row r="1038193" customFormat="1"/>
    <row r="1038194" customFormat="1"/>
    <row r="1038195" customFormat="1"/>
    <row r="1038196" customFormat="1"/>
    <row r="1038197" customFormat="1"/>
    <row r="1038198" customFormat="1"/>
    <row r="1038199" customFormat="1"/>
    <row r="1038200" customFormat="1"/>
    <row r="1038201" customFormat="1"/>
    <row r="1038202" customFormat="1"/>
    <row r="1038203" customFormat="1"/>
    <row r="1038204" customFormat="1"/>
    <row r="1038205" customFormat="1"/>
    <row r="1038206" customFormat="1"/>
    <row r="1038207" customFormat="1"/>
    <row r="1038208" customFormat="1"/>
    <row r="1038209" customFormat="1"/>
    <row r="1038210" customFormat="1"/>
    <row r="1038211" customFormat="1"/>
    <row r="1038212" customFormat="1"/>
    <row r="1038213" customFormat="1"/>
    <row r="1038214" customFormat="1"/>
    <row r="1038215" customFormat="1"/>
    <row r="1038216" customFormat="1"/>
    <row r="1038217" customFormat="1"/>
    <row r="1038218" customFormat="1"/>
    <row r="1038219" customFormat="1"/>
    <row r="1038220" customFormat="1"/>
    <row r="1038221" customFormat="1"/>
    <row r="1038222" customFormat="1"/>
    <row r="1038223" customFormat="1"/>
    <row r="1038224" customFormat="1"/>
    <row r="1038225" customFormat="1"/>
    <row r="1038226" customFormat="1"/>
    <row r="1038227" customFormat="1"/>
    <row r="1038228" customFormat="1"/>
    <row r="1038229" customFormat="1"/>
    <row r="1038230" customFormat="1"/>
    <row r="1038231" customFormat="1"/>
    <row r="1038232" customFormat="1"/>
    <row r="1038233" customFormat="1"/>
    <row r="1038234" customFormat="1"/>
    <row r="1038235" customFormat="1"/>
    <row r="1038236" customFormat="1"/>
    <row r="1038237" customFormat="1"/>
    <row r="1038238" customFormat="1"/>
    <row r="1038239" customFormat="1"/>
    <row r="1038240" customFormat="1"/>
    <row r="1038241" customFormat="1"/>
    <row r="1038242" customFormat="1"/>
    <row r="1038243" customFormat="1"/>
    <row r="1038244" customFormat="1"/>
    <row r="1038245" customFormat="1"/>
    <row r="1038246" customFormat="1"/>
    <row r="1038247" customFormat="1"/>
    <row r="1038248" customFormat="1"/>
    <row r="1038249" customFormat="1"/>
    <row r="1038250" customFormat="1"/>
    <row r="1038251" customFormat="1"/>
    <row r="1038252" customFormat="1"/>
    <row r="1038253" customFormat="1"/>
    <row r="1038254" customFormat="1"/>
    <row r="1038255" customFormat="1"/>
    <row r="1038256" customFormat="1"/>
    <row r="1038257" customFormat="1"/>
    <row r="1038258" customFormat="1"/>
    <row r="1038259" customFormat="1"/>
    <row r="1038260" customFormat="1"/>
    <row r="1038261" customFormat="1"/>
    <row r="1038262" customFormat="1"/>
    <row r="1038263" customFormat="1"/>
    <row r="1038264" customFormat="1"/>
    <row r="1038265" customFormat="1"/>
    <row r="1038266" customFormat="1"/>
    <row r="1038267" customFormat="1"/>
    <row r="1038268" customFormat="1"/>
    <row r="1038269" customFormat="1"/>
    <row r="1038270" customFormat="1"/>
    <row r="1038271" customFormat="1"/>
    <row r="1038272" customFormat="1"/>
    <row r="1038273" customFormat="1"/>
    <row r="1038274" customFormat="1"/>
    <row r="1038275" customFormat="1"/>
    <row r="1038276" customFormat="1"/>
    <row r="1038277" customFormat="1"/>
    <row r="1038278" customFormat="1"/>
    <row r="1038279" customFormat="1"/>
    <row r="1038280" customFormat="1"/>
    <row r="1038281" customFormat="1"/>
    <row r="1038282" customFormat="1"/>
    <row r="1038283" customFormat="1"/>
    <row r="1038284" customFormat="1"/>
    <row r="1038285" customFormat="1"/>
    <row r="1038286" customFormat="1"/>
    <row r="1038287" customFormat="1"/>
    <row r="1038288" customFormat="1"/>
    <row r="1038289" customFormat="1"/>
    <row r="1038290" customFormat="1"/>
    <row r="1038291" customFormat="1"/>
    <row r="1038292" customFormat="1"/>
    <row r="1038293" customFormat="1"/>
    <row r="1038294" customFormat="1"/>
    <row r="1038295" customFormat="1"/>
    <row r="1038296" customFormat="1"/>
    <row r="1038297" customFormat="1"/>
    <row r="1038298" customFormat="1"/>
    <row r="1038299" customFormat="1"/>
    <row r="1038300" customFormat="1"/>
    <row r="1038301" customFormat="1"/>
    <row r="1038302" customFormat="1"/>
    <row r="1038303" customFormat="1"/>
    <row r="1038304" customFormat="1"/>
    <row r="1038305" customFormat="1"/>
    <row r="1038306" customFormat="1"/>
    <row r="1038307" customFormat="1"/>
    <row r="1038308" customFormat="1"/>
    <row r="1038309" customFormat="1"/>
    <row r="1038310" customFormat="1"/>
    <row r="1038311" customFormat="1"/>
    <row r="1038312" customFormat="1"/>
    <row r="1038313" customFormat="1"/>
    <row r="1038314" customFormat="1"/>
    <row r="1038315" customFormat="1"/>
    <row r="1038316" customFormat="1"/>
    <row r="1038317" customFormat="1"/>
    <row r="1038318" customFormat="1"/>
    <row r="1038319" customFormat="1"/>
    <row r="1038320" customFormat="1"/>
    <row r="1038321" customFormat="1"/>
    <row r="1038322" customFormat="1"/>
    <row r="1038323" customFormat="1"/>
    <row r="1038324" customFormat="1"/>
    <row r="1038325" customFormat="1"/>
    <row r="1038326" customFormat="1"/>
    <row r="1038327" customFormat="1"/>
    <row r="1038328" customFormat="1"/>
    <row r="1038329" customFormat="1"/>
    <row r="1038330" customFormat="1"/>
    <row r="1038331" customFormat="1"/>
    <row r="1038332" customFormat="1"/>
    <row r="1038333" customFormat="1"/>
    <row r="1038334" customFormat="1"/>
    <row r="1038335" customFormat="1"/>
    <row r="1038336" customFormat="1"/>
    <row r="1038337" customFormat="1"/>
    <row r="1038338" customFormat="1"/>
    <row r="1038339" customFormat="1"/>
    <row r="1038340" customFormat="1"/>
    <row r="1038341" customFormat="1"/>
    <row r="1038342" customFormat="1"/>
    <row r="1038343" customFormat="1"/>
    <row r="1038344" customFormat="1"/>
    <row r="1038345" customFormat="1"/>
    <row r="1038346" customFormat="1"/>
    <row r="1038347" customFormat="1"/>
    <row r="1038348" customFormat="1"/>
    <row r="1038349" customFormat="1"/>
    <row r="1038350" customFormat="1"/>
    <row r="1038351" customFormat="1"/>
    <row r="1038352" customFormat="1"/>
    <row r="1038353" customFormat="1"/>
    <row r="1038354" customFormat="1"/>
    <row r="1038355" customFormat="1"/>
    <row r="1038356" customFormat="1"/>
    <row r="1038357" customFormat="1"/>
    <row r="1038358" customFormat="1"/>
    <row r="1038359" customFormat="1"/>
    <row r="1038360" customFormat="1"/>
    <row r="1038361" customFormat="1"/>
    <row r="1038362" customFormat="1"/>
    <row r="1038363" customFormat="1"/>
    <row r="1038364" customFormat="1"/>
    <row r="1038365" customFormat="1"/>
    <row r="1038366" customFormat="1"/>
    <row r="1038367" customFormat="1"/>
    <row r="1038368" customFormat="1"/>
    <row r="1038369" customFormat="1"/>
    <row r="1038370" customFormat="1"/>
    <row r="1038371" customFormat="1"/>
    <row r="1038372" customFormat="1"/>
    <row r="1038373" customFormat="1"/>
    <row r="1038374" customFormat="1"/>
    <row r="1038375" customFormat="1"/>
    <row r="1038376" customFormat="1"/>
    <row r="1038377" customFormat="1"/>
    <row r="1038378" customFormat="1"/>
    <row r="1038379" customFormat="1"/>
    <row r="1038380" customFormat="1"/>
    <row r="1038381" customFormat="1"/>
    <row r="1038382" customFormat="1"/>
    <row r="1038383" customFormat="1"/>
    <row r="1038384" customFormat="1"/>
    <row r="1038385" customFormat="1"/>
    <row r="1038386" customFormat="1"/>
    <row r="1038387" customFormat="1"/>
    <row r="1038388" customFormat="1"/>
    <row r="1038389" customFormat="1"/>
    <row r="1038390" customFormat="1"/>
    <row r="1038391" customFormat="1"/>
    <row r="1038392" customFormat="1"/>
    <row r="1038393" customFormat="1"/>
    <row r="1038394" customFormat="1"/>
    <row r="1038395" customFormat="1"/>
    <row r="1038396" customFormat="1"/>
    <row r="1038397" customFormat="1"/>
    <row r="1038398" customFormat="1"/>
    <row r="1038399" customFormat="1"/>
    <row r="1038400" customFormat="1"/>
    <row r="1038401" customFormat="1"/>
    <row r="1038402" customFormat="1"/>
    <row r="1038403" customFormat="1"/>
    <row r="1038404" customFormat="1"/>
    <row r="1038405" customFormat="1"/>
    <row r="1038406" customFormat="1"/>
    <row r="1038407" customFormat="1"/>
    <row r="1038408" customFormat="1"/>
    <row r="1038409" customFormat="1"/>
    <row r="1038410" customFormat="1"/>
    <row r="1038411" customFormat="1"/>
    <row r="1038412" customFormat="1"/>
    <row r="1038413" customFormat="1"/>
    <row r="1038414" customFormat="1"/>
    <row r="1038415" customFormat="1"/>
    <row r="1038416" customFormat="1"/>
    <row r="1038417" customFormat="1"/>
    <row r="1038418" customFormat="1"/>
    <row r="1038419" customFormat="1"/>
    <row r="1038420" customFormat="1"/>
    <row r="1038421" customFormat="1"/>
    <row r="1038422" customFormat="1"/>
    <row r="1038423" customFormat="1"/>
    <row r="1038424" customFormat="1"/>
    <row r="1038425" customFormat="1"/>
    <row r="1038426" customFormat="1"/>
    <row r="1038427" customFormat="1"/>
    <row r="1038428" customFormat="1"/>
    <row r="1038429" customFormat="1"/>
    <row r="1038430" customFormat="1"/>
    <row r="1038431" customFormat="1"/>
    <row r="1038432" customFormat="1"/>
    <row r="1038433" customFormat="1"/>
    <row r="1038434" customFormat="1"/>
    <row r="1038435" customFormat="1"/>
    <row r="1038436" customFormat="1"/>
    <row r="1038437" customFormat="1"/>
    <row r="1038438" customFormat="1"/>
    <row r="1038439" customFormat="1"/>
    <row r="1038440" customFormat="1"/>
    <row r="1038441" customFormat="1"/>
    <row r="1038442" customFormat="1"/>
    <row r="1038443" customFormat="1"/>
    <row r="1038444" customFormat="1"/>
    <row r="1038445" customFormat="1"/>
    <row r="1038446" customFormat="1"/>
    <row r="1038447" customFormat="1"/>
    <row r="1038448" customFormat="1"/>
    <row r="1038449" customFormat="1"/>
    <row r="1038450" customFormat="1"/>
    <row r="1038451" customFormat="1"/>
    <row r="1038452" customFormat="1"/>
    <row r="1038453" customFormat="1"/>
    <row r="1038454" customFormat="1"/>
    <row r="1038455" customFormat="1"/>
    <row r="1038456" customFormat="1"/>
    <row r="1038457" customFormat="1"/>
    <row r="1038458" customFormat="1"/>
    <row r="1038459" customFormat="1"/>
    <row r="1038460" customFormat="1"/>
    <row r="1038461" customFormat="1"/>
    <row r="1038462" customFormat="1"/>
    <row r="1038463" customFormat="1"/>
    <row r="1038464" customFormat="1"/>
    <row r="1038465" customFormat="1"/>
    <row r="1038466" customFormat="1"/>
    <row r="1038467" customFormat="1"/>
    <row r="1038468" customFormat="1"/>
    <row r="1038469" customFormat="1"/>
    <row r="1038470" customFormat="1"/>
    <row r="1038471" customFormat="1"/>
    <row r="1038472" customFormat="1"/>
    <row r="1038473" customFormat="1"/>
    <row r="1038474" customFormat="1"/>
    <row r="1038475" customFormat="1"/>
    <row r="1038476" customFormat="1"/>
    <row r="1038477" customFormat="1"/>
    <row r="1038478" customFormat="1"/>
    <row r="1038479" customFormat="1"/>
    <row r="1038480" customFormat="1"/>
    <row r="1038481" customFormat="1"/>
    <row r="1038482" customFormat="1"/>
    <row r="1038483" customFormat="1"/>
    <row r="1038484" customFormat="1"/>
    <row r="1038485" customFormat="1"/>
    <row r="1038486" customFormat="1"/>
    <row r="1038487" customFormat="1"/>
    <row r="1038488" customFormat="1"/>
    <row r="1038489" customFormat="1"/>
    <row r="1038490" customFormat="1"/>
    <row r="1038491" customFormat="1"/>
    <row r="1038492" customFormat="1"/>
    <row r="1038493" customFormat="1"/>
    <row r="1038494" customFormat="1"/>
    <row r="1038495" customFormat="1"/>
    <row r="1038496" customFormat="1"/>
    <row r="1038497" customFormat="1"/>
    <row r="1038498" customFormat="1"/>
    <row r="1038499" customFormat="1"/>
    <row r="1038500" customFormat="1"/>
    <row r="1038501" customFormat="1"/>
    <row r="1038502" customFormat="1"/>
    <row r="1038503" customFormat="1"/>
    <row r="1038504" customFormat="1"/>
    <row r="1038505" customFormat="1"/>
    <row r="1038506" customFormat="1"/>
    <row r="1038507" customFormat="1"/>
    <row r="1038508" customFormat="1"/>
    <row r="1038509" customFormat="1"/>
    <row r="1038510" customFormat="1"/>
    <row r="1038511" customFormat="1"/>
    <row r="1038512" customFormat="1"/>
    <row r="1038513" customFormat="1"/>
    <row r="1038514" customFormat="1"/>
    <row r="1038515" customFormat="1"/>
    <row r="1038516" customFormat="1"/>
    <row r="1038517" customFormat="1"/>
    <row r="1038518" customFormat="1"/>
    <row r="1038519" customFormat="1"/>
    <row r="1038520" customFormat="1"/>
    <row r="1038521" customFormat="1"/>
    <row r="1038522" customFormat="1"/>
    <row r="1038523" customFormat="1"/>
    <row r="1038524" customFormat="1"/>
    <row r="1038525" customFormat="1"/>
    <row r="1038526" customFormat="1"/>
    <row r="1038527" customFormat="1"/>
    <row r="1038528" customFormat="1"/>
    <row r="1038529" customFormat="1"/>
    <row r="1038530" customFormat="1"/>
    <row r="1038531" customFormat="1"/>
    <row r="1038532" customFormat="1"/>
    <row r="1038533" customFormat="1"/>
    <row r="1038534" customFormat="1"/>
    <row r="1038535" customFormat="1"/>
    <row r="1038536" customFormat="1"/>
    <row r="1038537" customFormat="1"/>
    <row r="1038538" customFormat="1"/>
    <row r="1038539" customFormat="1"/>
    <row r="1038540" customFormat="1"/>
    <row r="1038541" customFormat="1"/>
    <row r="1038542" customFormat="1"/>
    <row r="1038543" customFormat="1"/>
    <row r="1038544" customFormat="1"/>
    <row r="1038545" customFormat="1"/>
    <row r="1038546" customFormat="1"/>
    <row r="1038547" customFormat="1"/>
    <row r="1038548" customFormat="1"/>
    <row r="1038549" customFormat="1"/>
    <row r="1038550" customFormat="1"/>
    <row r="1038551" customFormat="1"/>
    <row r="1038552" customFormat="1"/>
    <row r="1038553" customFormat="1"/>
    <row r="1038554" customFormat="1"/>
    <row r="1038555" customFormat="1"/>
    <row r="1038556" customFormat="1"/>
    <row r="1038557" customFormat="1"/>
    <row r="1038558" customFormat="1"/>
    <row r="1038559" customFormat="1"/>
    <row r="1038560" customFormat="1"/>
    <row r="1038561" customFormat="1"/>
    <row r="1038562" customFormat="1"/>
    <row r="1038563" customFormat="1"/>
    <row r="1038564" customFormat="1"/>
    <row r="1038565" customFormat="1"/>
    <row r="1038566" customFormat="1"/>
    <row r="1038567" customFormat="1"/>
    <row r="1038568" customFormat="1"/>
    <row r="1038569" customFormat="1"/>
    <row r="1038570" customFormat="1"/>
    <row r="1038571" customFormat="1"/>
    <row r="1038572" customFormat="1"/>
    <row r="1038573" customFormat="1"/>
    <row r="1038574" customFormat="1"/>
    <row r="1038575" customFormat="1"/>
    <row r="1038576" customFormat="1"/>
    <row r="1038577" customFormat="1"/>
    <row r="1038578" customFormat="1"/>
    <row r="1038579" customFormat="1"/>
    <row r="1038580" customFormat="1"/>
    <row r="1038581" customFormat="1"/>
    <row r="1038582" customFormat="1"/>
    <row r="1038583" customFormat="1"/>
    <row r="1038584" customFormat="1"/>
    <row r="1038585" customFormat="1"/>
    <row r="1038586" customFormat="1"/>
    <row r="1038587" customFormat="1"/>
    <row r="1038588" customFormat="1"/>
    <row r="1038589" customFormat="1"/>
    <row r="1038590" customFormat="1"/>
    <row r="1038591" customFormat="1"/>
    <row r="1038592" customFormat="1"/>
    <row r="1038593" customFormat="1"/>
    <row r="1038594" customFormat="1"/>
    <row r="1038595" customFormat="1"/>
    <row r="1038596" customFormat="1"/>
    <row r="1038597" customFormat="1"/>
    <row r="1038598" customFormat="1"/>
    <row r="1038599" customFormat="1"/>
    <row r="1038600" customFormat="1"/>
    <row r="1038601" customFormat="1"/>
    <row r="1038602" customFormat="1"/>
    <row r="1038603" customFormat="1"/>
    <row r="1038604" customFormat="1"/>
    <row r="1038605" customFormat="1"/>
    <row r="1038606" customFormat="1"/>
    <row r="1038607" customFormat="1"/>
    <row r="1038608" customFormat="1"/>
    <row r="1038609" customFormat="1"/>
    <row r="1038610" customFormat="1"/>
    <row r="1038611" customFormat="1"/>
    <row r="1038612" customFormat="1"/>
    <row r="1038613" customFormat="1"/>
    <row r="1038614" customFormat="1"/>
    <row r="1038615" customFormat="1"/>
    <row r="1038616" customFormat="1"/>
    <row r="1038617" customFormat="1"/>
    <row r="1038618" customFormat="1"/>
    <row r="1038619" customFormat="1"/>
    <row r="1038620" customFormat="1"/>
    <row r="1038621" customFormat="1"/>
    <row r="1038622" customFormat="1"/>
    <row r="1038623" customFormat="1"/>
    <row r="1038624" customFormat="1"/>
    <row r="1038625" customFormat="1"/>
    <row r="1038626" customFormat="1"/>
    <row r="1038627" customFormat="1"/>
    <row r="1038628" customFormat="1"/>
    <row r="1038629" customFormat="1"/>
    <row r="1038630" customFormat="1"/>
    <row r="1038631" customFormat="1"/>
    <row r="1038632" customFormat="1"/>
    <row r="1038633" customFormat="1"/>
    <row r="1038634" customFormat="1"/>
    <row r="1038635" customFormat="1"/>
    <row r="1038636" customFormat="1"/>
    <row r="1038637" customFormat="1"/>
    <row r="1038638" customFormat="1"/>
    <row r="1038639" customFormat="1"/>
    <row r="1038640" customFormat="1"/>
    <row r="1038641" customFormat="1"/>
    <row r="1038642" customFormat="1"/>
    <row r="1038643" customFormat="1"/>
    <row r="1038644" customFormat="1"/>
    <row r="1038645" customFormat="1"/>
    <row r="1038646" customFormat="1"/>
    <row r="1038647" customFormat="1"/>
    <row r="1038648" customFormat="1"/>
    <row r="1038649" customFormat="1"/>
    <row r="1038650" customFormat="1"/>
    <row r="1038651" customFormat="1"/>
    <row r="1038652" customFormat="1"/>
    <row r="1038653" customFormat="1"/>
    <row r="1038654" customFormat="1"/>
    <row r="1038655" customFormat="1"/>
    <row r="1038656" customFormat="1"/>
    <row r="1038657" customFormat="1"/>
    <row r="1038658" customFormat="1"/>
    <row r="1038659" customFormat="1"/>
    <row r="1038660" customFormat="1"/>
    <row r="1038661" customFormat="1"/>
    <row r="1038662" customFormat="1"/>
    <row r="1038663" customFormat="1"/>
    <row r="1038664" customFormat="1"/>
    <row r="1038665" customFormat="1"/>
    <row r="1038666" customFormat="1"/>
    <row r="1038667" customFormat="1"/>
    <row r="1038668" customFormat="1"/>
    <row r="1038669" customFormat="1"/>
    <row r="1038670" customFormat="1"/>
    <row r="1038671" customFormat="1"/>
    <row r="1038672" customFormat="1"/>
    <row r="1038673" customFormat="1"/>
    <row r="1038674" customFormat="1"/>
    <row r="1038675" customFormat="1"/>
    <row r="1038676" customFormat="1"/>
    <row r="1038677" customFormat="1"/>
    <row r="1038678" customFormat="1"/>
    <row r="1038679" customFormat="1"/>
    <row r="1038680" customFormat="1"/>
    <row r="1038681" customFormat="1"/>
    <row r="1038682" customFormat="1"/>
    <row r="1038683" customFormat="1"/>
    <row r="1038684" customFormat="1"/>
    <row r="1038685" customFormat="1"/>
    <row r="1038686" customFormat="1"/>
    <row r="1038687" customFormat="1"/>
    <row r="1038688" customFormat="1"/>
    <row r="1038689" customFormat="1"/>
    <row r="1038690" customFormat="1"/>
    <row r="1038691" customFormat="1"/>
    <row r="1038692" customFormat="1"/>
    <row r="1038693" customFormat="1"/>
    <row r="1038694" customFormat="1"/>
    <row r="1038695" customFormat="1"/>
    <row r="1038696" customFormat="1"/>
    <row r="1038697" customFormat="1"/>
    <row r="1038698" customFormat="1"/>
    <row r="1038699" customFormat="1"/>
    <row r="1038700" customFormat="1"/>
    <row r="1038701" customFormat="1"/>
    <row r="1038702" customFormat="1"/>
    <row r="1038703" customFormat="1"/>
    <row r="1038704" customFormat="1"/>
    <row r="1038705" customFormat="1"/>
    <row r="1038706" customFormat="1"/>
    <row r="1038707" customFormat="1"/>
    <row r="1038708" customFormat="1"/>
    <row r="1038709" customFormat="1"/>
    <row r="1038710" customFormat="1"/>
    <row r="1038711" customFormat="1"/>
    <row r="1038712" customFormat="1"/>
    <row r="1038713" customFormat="1"/>
    <row r="1038714" customFormat="1"/>
    <row r="1038715" customFormat="1"/>
    <row r="1038716" customFormat="1"/>
    <row r="1038717" customFormat="1"/>
    <row r="1038718" customFormat="1"/>
    <row r="1038719" customFormat="1"/>
    <row r="1038720" customFormat="1"/>
    <row r="1038721" customFormat="1"/>
    <row r="1038722" customFormat="1"/>
    <row r="1038723" customFormat="1"/>
    <row r="1038724" customFormat="1"/>
    <row r="1038725" customFormat="1"/>
    <row r="1038726" customFormat="1"/>
    <row r="1038727" customFormat="1"/>
    <row r="1038728" customFormat="1"/>
    <row r="1038729" customFormat="1"/>
    <row r="1038730" customFormat="1"/>
    <row r="1038731" customFormat="1"/>
    <row r="1038732" customFormat="1"/>
    <row r="1038733" customFormat="1"/>
    <row r="1038734" customFormat="1"/>
    <row r="1038735" customFormat="1"/>
    <row r="1038736" customFormat="1"/>
    <row r="1038737" customFormat="1"/>
    <row r="1038738" customFormat="1"/>
    <row r="1038739" customFormat="1"/>
    <row r="1038740" customFormat="1"/>
    <row r="1038741" customFormat="1"/>
    <row r="1038742" customFormat="1"/>
    <row r="1038743" customFormat="1"/>
    <row r="1038744" customFormat="1"/>
    <row r="1038745" customFormat="1"/>
    <row r="1038746" customFormat="1"/>
    <row r="1038747" customFormat="1"/>
    <row r="1038748" customFormat="1"/>
    <row r="1038749" customFormat="1"/>
    <row r="1038750" customFormat="1"/>
    <row r="1038751" customFormat="1"/>
    <row r="1038752" customFormat="1"/>
    <row r="1038753" customFormat="1"/>
    <row r="1038754" customFormat="1"/>
    <row r="1038755" customFormat="1"/>
    <row r="1038756" customFormat="1"/>
    <row r="1038757" customFormat="1"/>
    <row r="1038758" customFormat="1"/>
    <row r="1038759" customFormat="1"/>
    <row r="1038760" customFormat="1"/>
    <row r="1038761" customFormat="1"/>
    <row r="1038762" customFormat="1"/>
    <row r="1038763" customFormat="1"/>
    <row r="1038764" customFormat="1"/>
    <row r="1038765" customFormat="1"/>
    <row r="1038766" customFormat="1"/>
    <row r="1038767" customFormat="1"/>
    <row r="1038768" customFormat="1"/>
    <row r="1038769" customFormat="1"/>
    <row r="1038770" customFormat="1"/>
    <row r="1038771" customFormat="1"/>
    <row r="1038772" customFormat="1"/>
    <row r="1038773" customFormat="1"/>
    <row r="1038774" customFormat="1"/>
    <row r="1038775" customFormat="1"/>
    <row r="1038776" customFormat="1"/>
    <row r="1038777" customFormat="1"/>
    <row r="1038778" customFormat="1"/>
    <row r="1038779" customFormat="1"/>
    <row r="1038780" customFormat="1"/>
    <row r="1038781" customFormat="1"/>
    <row r="1038782" customFormat="1"/>
    <row r="1038783" customFormat="1"/>
    <row r="1038784" customFormat="1"/>
    <row r="1038785" customFormat="1"/>
    <row r="1038786" customFormat="1"/>
    <row r="1038787" customFormat="1"/>
    <row r="1038788" customFormat="1"/>
    <row r="1038789" customFormat="1"/>
    <row r="1038790" customFormat="1"/>
    <row r="1038791" customFormat="1"/>
    <row r="1038792" customFormat="1"/>
    <row r="1038793" customFormat="1"/>
    <row r="1038794" customFormat="1"/>
    <row r="1038795" customFormat="1"/>
    <row r="1038796" customFormat="1"/>
    <row r="1038797" customFormat="1"/>
    <row r="1038798" customFormat="1"/>
    <row r="1038799" customFormat="1"/>
    <row r="1038800" customFormat="1"/>
    <row r="1038801" customFormat="1"/>
    <row r="1038802" customFormat="1"/>
    <row r="1038803" customFormat="1"/>
    <row r="1038804" customFormat="1"/>
    <row r="1038805" customFormat="1"/>
    <row r="1038806" customFormat="1"/>
    <row r="1038807" customFormat="1"/>
    <row r="1038808" customFormat="1"/>
    <row r="1038809" customFormat="1"/>
    <row r="1038810" customFormat="1"/>
    <row r="1038811" customFormat="1"/>
    <row r="1038812" customFormat="1"/>
    <row r="1038813" customFormat="1"/>
    <row r="1038814" customFormat="1"/>
    <row r="1038815" customFormat="1"/>
    <row r="1038816" customFormat="1"/>
    <row r="1038817" customFormat="1"/>
    <row r="1038818" customFormat="1"/>
    <row r="1038819" customFormat="1"/>
    <row r="1038820" customFormat="1"/>
    <row r="1038821" customFormat="1"/>
    <row r="1038822" customFormat="1"/>
    <row r="1038823" customFormat="1"/>
    <row r="1038824" customFormat="1"/>
    <row r="1038825" customFormat="1"/>
    <row r="1038826" customFormat="1"/>
    <row r="1038827" customFormat="1"/>
    <row r="1038828" customFormat="1"/>
    <row r="1038829" customFormat="1"/>
    <row r="1038830" customFormat="1"/>
    <row r="1038831" customFormat="1"/>
    <row r="1038832" customFormat="1"/>
    <row r="1038833" customFormat="1"/>
    <row r="1038834" customFormat="1"/>
    <row r="1038835" customFormat="1"/>
    <row r="1038836" customFormat="1"/>
    <row r="1038837" customFormat="1"/>
    <row r="1038838" customFormat="1"/>
    <row r="1038839" customFormat="1"/>
    <row r="1038840" customFormat="1"/>
    <row r="1038841" customFormat="1"/>
    <row r="1038842" customFormat="1"/>
    <row r="1038843" customFormat="1"/>
    <row r="1038844" customFormat="1"/>
    <row r="1038845" customFormat="1"/>
    <row r="1038846" customFormat="1"/>
    <row r="1038847" customFormat="1"/>
    <row r="1038848" customFormat="1"/>
    <row r="1038849" customFormat="1"/>
    <row r="1038850" customFormat="1"/>
    <row r="1038851" customFormat="1"/>
    <row r="1038852" customFormat="1"/>
    <row r="1038853" customFormat="1"/>
    <row r="1038854" customFormat="1"/>
    <row r="1038855" customFormat="1"/>
    <row r="1038856" customFormat="1"/>
    <row r="1038857" customFormat="1"/>
    <row r="1038858" customFormat="1"/>
    <row r="1038859" customFormat="1"/>
    <row r="1038860" customFormat="1"/>
    <row r="1038861" customFormat="1"/>
    <row r="1038862" customFormat="1"/>
    <row r="1038863" customFormat="1"/>
    <row r="1038864" customFormat="1"/>
    <row r="1038865" customFormat="1"/>
    <row r="1038866" customFormat="1"/>
    <row r="1038867" customFormat="1"/>
    <row r="1038868" customFormat="1"/>
    <row r="1038869" customFormat="1"/>
    <row r="1038870" customFormat="1"/>
    <row r="1038871" customFormat="1"/>
    <row r="1038872" customFormat="1"/>
    <row r="1038873" customFormat="1"/>
    <row r="1038874" customFormat="1"/>
    <row r="1038875" customFormat="1"/>
    <row r="1038876" customFormat="1"/>
    <row r="1038877" customFormat="1"/>
    <row r="1038878" customFormat="1"/>
    <row r="1038879" customFormat="1"/>
    <row r="1038880" customFormat="1"/>
    <row r="1038881" customFormat="1"/>
    <row r="1038882" customFormat="1"/>
    <row r="1038883" customFormat="1"/>
    <row r="1038884" customFormat="1"/>
    <row r="1038885" customFormat="1"/>
    <row r="1038886" customFormat="1"/>
    <row r="1038887" customFormat="1"/>
    <row r="1038888" customFormat="1"/>
    <row r="1038889" customFormat="1"/>
    <row r="1038890" customFormat="1"/>
    <row r="1038891" customFormat="1"/>
    <row r="1038892" customFormat="1"/>
    <row r="1038893" customFormat="1"/>
    <row r="1038894" customFormat="1"/>
    <row r="1038895" customFormat="1"/>
    <row r="1038896" customFormat="1"/>
    <row r="1038897" customFormat="1"/>
    <row r="1038898" customFormat="1"/>
    <row r="1038899" customFormat="1"/>
    <row r="1038900" customFormat="1"/>
    <row r="1038901" customFormat="1"/>
    <row r="1038902" customFormat="1"/>
    <row r="1038903" customFormat="1"/>
    <row r="1038904" customFormat="1"/>
    <row r="1038905" customFormat="1"/>
    <row r="1038906" customFormat="1"/>
    <row r="1038907" customFormat="1"/>
    <row r="1038908" customFormat="1"/>
    <row r="1038909" customFormat="1"/>
    <row r="1038910" customFormat="1"/>
    <row r="1038911" customFormat="1"/>
    <row r="1038912" customFormat="1"/>
    <row r="1038913" customFormat="1"/>
    <row r="1038914" customFormat="1"/>
    <row r="1038915" customFormat="1"/>
    <row r="1038916" customFormat="1"/>
    <row r="1038917" customFormat="1"/>
    <row r="1038918" customFormat="1"/>
    <row r="1038919" customFormat="1"/>
    <row r="1038920" customFormat="1"/>
    <row r="1038921" customFormat="1"/>
    <row r="1038922" customFormat="1"/>
    <row r="1038923" customFormat="1"/>
    <row r="1038924" customFormat="1"/>
    <row r="1038925" customFormat="1"/>
    <row r="1038926" customFormat="1"/>
    <row r="1038927" customFormat="1"/>
    <row r="1038928" customFormat="1"/>
    <row r="1038929" customFormat="1"/>
    <row r="1038930" customFormat="1"/>
    <row r="1038931" customFormat="1"/>
    <row r="1038932" customFormat="1"/>
    <row r="1038933" customFormat="1"/>
    <row r="1038934" customFormat="1"/>
    <row r="1038935" customFormat="1"/>
    <row r="1038936" customFormat="1"/>
    <row r="1038937" customFormat="1"/>
    <row r="1038938" customFormat="1"/>
    <row r="1038939" customFormat="1"/>
    <row r="1038940" customFormat="1"/>
    <row r="1038941" customFormat="1"/>
    <row r="1038942" customFormat="1"/>
    <row r="1038943" customFormat="1"/>
    <row r="1038944" customFormat="1"/>
    <row r="1038945" customFormat="1"/>
    <row r="1038946" customFormat="1"/>
    <row r="1038947" customFormat="1"/>
    <row r="1038948" customFormat="1"/>
    <row r="1038949" customFormat="1"/>
    <row r="1038950" customFormat="1"/>
    <row r="1038951" customFormat="1"/>
    <row r="1038952" customFormat="1"/>
    <row r="1038953" customFormat="1"/>
    <row r="1038954" customFormat="1"/>
    <row r="1038955" customFormat="1"/>
    <row r="1038956" customFormat="1"/>
    <row r="1038957" customFormat="1"/>
    <row r="1038958" customFormat="1"/>
    <row r="1038959" customFormat="1"/>
    <row r="1038960" customFormat="1"/>
    <row r="1038961" customFormat="1"/>
    <row r="1038962" customFormat="1"/>
    <row r="1038963" customFormat="1"/>
    <row r="1038964" customFormat="1"/>
    <row r="1038965" customFormat="1"/>
    <row r="1038966" customFormat="1"/>
    <row r="1038967" customFormat="1"/>
    <row r="1038968" customFormat="1"/>
    <row r="1038969" customFormat="1"/>
    <row r="1038970" customFormat="1"/>
    <row r="1038971" customFormat="1"/>
    <row r="1038972" customFormat="1"/>
    <row r="1038973" customFormat="1"/>
    <row r="1038974" customFormat="1"/>
    <row r="1038975" customFormat="1"/>
    <row r="1038976" customFormat="1"/>
    <row r="1038977" customFormat="1"/>
    <row r="1038978" customFormat="1"/>
    <row r="1038979" customFormat="1"/>
    <row r="1038980" customFormat="1"/>
    <row r="1038981" customFormat="1"/>
    <row r="1038982" customFormat="1"/>
    <row r="1038983" customFormat="1"/>
    <row r="1038984" customFormat="1"/>
    <row r="1038985" customFormat="1"/>
    <row r="1038986" customFormat="1"/>
    <row r="1038987" customFormat="1"/>
    <row r="1038988" customFormat="1"/>
    <row r="1038989" customFormat="1"/>
    <row r="1038990" customFormat="1"/>
    <row r="1038991" customFormat="1"/>
    <row r="1038992" customFormat="1"/>
    <row r="1038993" customFormat="1"/>
    <row r="1038994" customFormat="1"/>
    <row r="1038995" customFormat="1"/>
    <row r="1038996" customFormat="1"/>
    <row r="1038997" customFormat="1"/>
    <row r="1038998" customFormat="1"/>
    <row r="1038999" customFormat="1"/>
    <row r="1039000" customFormat="1"/>
    <row r="1039001" customFormat="1"/>
    <row r="1039002" customFormat="1"/>
    <row r="1039003" customFormat="1"/>
    <row r="1039004" customFormat="1"/>
    <row r="1039005" customFormat="1"/>
    <row r="1039006" customFormat="1"/>
    <row r="1039007" customFormat="1"/>
    <row r="1039008" customFormat="1"/>
    <row r="1039009" customFormat="1"/>
    <row r="1039010" customFormat="1"/>
    <row r="1039011" customFormat="1"/>
    <row r="1039012" customFormat="1"/>
    <row r="1039013" customFormat="1"/>
    <row r="1039014" customFormat="1"/>
    <row r="1039015" customFormat="1"/>
    <row r="1039016" customFormat="1"/>
    <row r="1039017" customFormat="1"/>
    <row r="1039018" customFormat="1"/>
    <row r="1039019" customFormat="1"/>
    <row r="1039020" customFormat="1"/>
    <row r="1039021" customFormat="1"/>
    <row r="1039022" customFormat="1"/>
    <row r="1039023" customFormat="1"/>
    <row r="1039024" customFormat="1"/>
    <row r="1039025" customFormat="1"/>
    <row r="1039026" customFormat="1"/>
    <row r="1039027" customFormat="1"/>
    <row r="1039028" customFormat="1"/>
    <row r="1039029" customFormat="1"/>
    <row r="1039030" customFormat="1"/>
    <row r="1039031" customFormat="1"/>
    <row r="1039032" customFormat="1"/>
    <row r="1039033" customFormat="1"/>
    <row r="1039034" customFormat="1"/>
    <row r="1039035" customFormat="1"/>
    <row r="1039036" customFormat="1"/>
    <row r="1039037" customFormat="1"/>
    <row r="1039038" customFormat="1"/>
    <row r="1039039" customFormat="1"/>
    <row r="1039040" customFormat="1"/>
    <row r="1039041" customFormat="1"/>
    <row r="1039042" customFormat="1"/>
    <row r="1039043" customFormat="1"/>
    <row r="1039044" customFormat="1"/>
    <row r="1039045" customFormat="1"/>
    <row r="1039046" customFormat="1"/>
    <row r="1039047" customFormat="1"/>
    <row r="1039048" customFormat="1"/>
    <row r="1039049" customFormat="1"/>
    <row r="1039050" customFormat="1"/>
    <row r="1039051" customFormat="1"/>
    <row r="1039052" customFormat="1"/>
    <row r="1039053" customFormat="1"/>
    <row r="1039054" customFormat="1"/>
    <row r="1039055" customFormat="1"/>
    <row r="1039056" customFormat="1"/>
    <row r="1039057" customFormat="1"/>
    <row r="1039058" customFormat="1"/>
    <row r="1039059" customFormat="1"/>
    <row r="1039060" customFormat="1"/>
    <row r="1039061" customFormat="1"/>
    <row r="1039062" customFormat="1"/>
    <row r="1039063" customFormat="1"/>
    <row r="1039064" customFormat="1"/>
    <row r="1039065" customFormat="1"/>
    <row r="1039066" customFormat="1"/>
    <row r="1039067" customFormat="1"/>
    <row r="1039068" customFormat="1"/>
    <row r="1039069" customFormat="1"/>
    <row r="1039070" customFormat="1"/>
    <row r="1039071" customFormat="1"/>
    <row r="1039072" customFormat="1"/>
    <row r="1039073" customFormat="1"/>
    <row r="1039074" customFormat="1"/>
    <row r="1039075" customFormat="1"/>
    <row r="1039076" customFormat="1"/>
    <row r="1039077" customFormat="1"/>
    <row r="1039078" customFormat="1"/>
    <row r="1039079" customFormat="1"/>
    <row r="1039080" customFormat="1"/>
    <row r="1039081" customFormat="1"/>
    <row r="1039082" customFormat="1"/>
    <row r="1039083" customFormat="1"/>
    <row r="1039084" customFormat="1"/>
    <row r="1039085" customFormat="1"/>
    <row r="1039086" customFormat="1"/>
    <row r="1039087" customFormat="1"/>
    <row r="1039088" customFormat="1"/>
    <row r="1039089" customFormat="1"/>
    <row r="1039090" customFormat="1"/>
    <row r="1039091" customFormat="1"/>
    <row r="1039092" customFormat="1"/>
    <row r="1039093" customFormat="1"/>
    <row r="1039094" customFormat="1"/>
    <row r="1039095" customFormat="1"/>
    <row r="1039096" customFormat="1"/>
    <row r="1039097" customFormat="1"/>
    <row r="1039098" customFormat="1"/>
    <row r="1039099" customFormat="1"/>
    <row r="1039100" customFormat="1"/>
    <row r="1039101" customFormat="1"/>
    <row r="1039102" customFormat="1"/>
    <row r="1039103" customFormat="1"/>
    <row r="1039104" customFormat="1"/>
    <row r="1039105" customFormat="1"/>
    <row r="1039106" customFormat="1"/>
    <row r="1039107" customFormat="1"/>
    <row r="1039108" customFormat="1"/>
    <row r="1039109" customFormat="1"/>
    <row r="1039110" customFormat="1"/>
    <row r="1039111" customFormat="1"/>
    <row r="1039112" customFormat="1"/>
    <row r="1039113" customFormat="1"/>
    <row r="1039114" customFormat="1"/>
    <row r="1039115" customFormat="1"/>
    <row r="1039116" customFormat="1"/>
    <row r="1039117" customFormat="1"/>
    <row r="1039118" customFormat="1"/>
    <row r="1039119" customFormat="1"/>
    <row r="1039120" customFormat="1"/>
    <row r="1039121" customFormat="1"/>
    <row r="1039122" customFormat="1"/>
    <row r="1039123" customFormat="1"/>
    <row r="1039124" customFormat="1"/>
    <row r="1039125" customFormat="1"/>
    <row r="1039126" customFormat="1"/>
    <row r="1039127" customFormat="1"/>
    <row r="1039128" customFormat="1"/>
    <row r="1039129" customFormat="1"/>
    <row r="1039130" customFormat="1"/>
    <row r="1039131" customFormat="1"/>
    <row r="1039132" customFormat="1"/>
    <row r="1039133" customFormat="1"/>
    <row r="1039134" customFormat="1"/>
    <row r="1039135" customFormat="1"/>
    <row r="1039136" customFormat="1"/>
    <row r="1039137" customFormat="1"/>
    <row r="1039138" customFormat="1"/>
    <row r="1039139" customFormat="1"/>
    <row r="1039140" customFormat="1"/>
    <row r="1039141" customFormat="1"/>
    <row r="1039142" customFormat="1"/>
    <row r="1039143" customFormat="1"/>
    <row r="1039144" customFormat="1"/>
    <row r="1039145" customFormat="1"/>
    <row r="1039146" customFormat="1"/>
    <row r="1039147" customFormat="1"/>
    <row r="1039148" customFormat="1"/>
    <row r="1039149" customFormat="1"/>
    <row r="1039150" customFormat="1"/>
    <row r="1039151" customFormat="1"/>
    <row r="1039152" customFormat="1"/>
    <row r="1039153" customFormat="1"/>
    <row r="1039154" customFormat="1"/>
    <row r="1039155" customFormat="1"/>
    <row r="1039156" customFormat="1"/>
    <row r="1039157" customFormat="1"/>
    <row r="1039158" customFormat="1"/>
    <row r="1039159" customFormat="1"/>
    <row r="1039160" customFormat="1"/>
    <row r="1039161" customFormat="1"/>
    <row r="1039162" customFormat="1"/>
    <row r="1039163" customFormat="1"/>
    <row r="1039164" customFormat="1"/>
    <row r="1039165" customFormat="1"/>
    <row r="1039166" customFormat="1"/>
    <row r="1039167" customFormat="1"/>
    <row r="1039168" customFormat="1"/>
    <row r="1039169" customFormat="1"/>
    <row r="1039170" customFormat="1"/>
    <row r="1039171" customFormat="1"/>
    <row r="1039172" customFormat="1"/>
    <row r="1039173" customFormat="1"/>
    <row r="1039174" customFormat="1"/>
    <row r="1039175" customFormat="1"/>
    <row r="1039176" customFormat="1"/>
    <row r="1039177" customFormat="1"/>
    <row r="1039178" customFormat="1"/>
    <row r="1039179" customFormat="1"/>
    <row r="1039180" customFormat="1"/>
    <row r="1039181" customFormat="1"/>
    <row r="1039182" customFormat="1"/>
    <row r="1039183" customFormat="1"/>
    <row r="1039184" customFormat="1"/>
    <row r="1039185" customFormat="1"/>
    <row r="1039186" customFormat="1"/>
    <row r="1039187" customFormat="1"/>
    <row r="1039188" customFormat="1"/>
    <row r="1039189" customFormat="1"/>
    <row r="1039190" customFormat="1"/>
    <row r="1039191" customFormat="1"/>
    <row r="1039192" customFormat="1"/>
    <row r="1039193" customFormat="1"/>
    <row r="1039194" customFormat="1"/>
    <row r="1039195" customFormat="1"/>
    <row r="1039196" customFormat="1"/>
    <row r="1039197" customFormat="1"/>
    <row r="1039198" customFormat="1"/>
    <row r="1039199" customFormat="1"/>
    <row r="1039200" customFormat="1"/>
    <row r="1039201" customFormat="1"/>
    <row r="1039202" customFormat="1"/>
    <row r="1039203" customFormat="1"/>
    <row r="1039204" customFormat="1"/>
    <row r="1039205" customFormat="1"/>
    <row r="1039206" customFormat="1"/>
    <row r="1039207" customFormat="1"/>
    <row r="1039208" customFormat="1"/>
    <row r="1039209" customFormat="1"/>
    <row r="1039210" customFormat="1"/>
    <row r="1039211" customFormat="1"/>
    <row r="1039212" customFormat="1"/>
    <row r="1039213" customFormat="1"/>
    <row r="1039214" customFormat="1"/>
    <row r="1039215" customFormat="1"/>
    <row r="1039216" customFormat="1"/>
    <row r="1039217" customFormat="1"/>
    <row r="1039218" customFormat="1"/>
    <row r="1039219" customFormat="1"/>
    <row r="1039220" customFormat="1"/>
    <row r="1039221" customFormat="1"/>
    <row r="1039222" customFormat="1"/>
    <row r="1039223" customFormat="1"/>
    <row r="1039224" customFormat="1"/>
    <row r="1039225" customFormat="1"/>
    <row r="1039226" customFormat="1"/>
    <row r="1039227" customFormat="1"/>
    <row r="1039228" customFormat="1"/>
    <row r="1039229" customFormat="1"/>
    <row r="1039230" customFormat="1"/>
    <row r="1039231" customFormat="1"/>
    <row r="1039232" customFormat="1"/>
    <row r="1039233" customFormat="1"/>
    <row r="1039234" customFormat="1"/>
    <row r="1039235" customFormat="1"/>
    <row r="1039236" customFormat="1"/>
    <row r="1039237" customFormat="1"/>
    <row r="1039238" customFormat="1"/>
    <row r="1039239" customFormat="1"/>
    <row r="1039240" customFormat="1"/>
    <row r="1039241" customFormat="1"/>
    <row r="1039242" customFormat="1"/>
    <row r="1039243" customFormat="1"/>
    <row r="1039244" customFormat="1"/>
    <row r="1039245" customFormat="1"/>
    <row r="1039246" customFormat="1"/>
    <row r="1039247" customFormat="1"/>
    <row r="1039248" customFormat="1"/>
    <row r="1039249" customFormat="1"/>
    <row r="1039250" customFormat="1"/>
    <row r="1039251" customFormat="1"/>
    <row r="1039252" customFormat="1"/>
    <row r="1039253" customFormat="1"/>
    <row r="1039254" customFormat="1"/>
    <row r="1039255" customFormat="1"/>
    <row r="1039256" customFormat="1"/>
    <row r="1039257" customFormat="1"/>
    <row r="1039258" customFormat="1"/>
    <row r="1039259" customFormat="1"/>
    <row r="1039260" customFormat="1"/>
    <row r="1039261" customFormat="1"/>
    <row r="1039262" customFormat="1"/>
    <row r="1039263" customFormat="1"/>
    <row r="1039264" customFormat="1"/>
    <row r="1039265" customFormat="1"/>
    <row r="1039266" customFormat="1"/>
    <row r="1039267" customFormat="1"/>
    <row r="1039268" customFormat="1"/>
    <row r="1039269" customFormat="1"/>
    <row r="1039270" customFormat="1"/>
    <row r="1039271" customFormat="1"/>
    <row r="1039272" customFormat="1"/>
    <row r="1039273" customFormat="1"/>
    <row r="1039274" customFormat="1"/>
    <row r="1039275" customFormat="1"/>
    <row r="1039276" customFormat="1"/>
    <row r="1039277" customFormat="1"/>
    <row r="1039278" customFormat="1"/>
    <row r="1039279" customFormat="1"/>
    <row r="1039280" customFormat="1"/>
    <row r="1039281" customFormat="1"/>
    <row r="1039282" customFormat="1"/>
    <row r="1039283" customFormat="1"/>
    <row r="1039284" customFormat="1"/>
    <row r="1039285" customFormat="1"/>
    <row r="1039286" customFormat="1"/>
    <row r="1039287" customFormat="1"/>
    <row r="1039288" customFormat="1"/>
    <row r="1039289" customFormat="1"/>
    <row r="1039290" customFormat="1"/>
    <row r="1039291" customFormat="1"/>
    <row r="1039292" customFormat="1"/>
    <row r="1039293" customFormat="1"/>
    <row r="1039294" customFormat="1"/>
    <row r="1039295" customFormat="1"/>
    <row r="1039296" customFormat="1"/>
    <row r="1039297" customFormat="1"/>
    <row r="1039298" customFormat="1"/>
    <row r="1039299" customFormat="1"/>
    <row r="1039300" customFormat="1"/>
    <row r="1039301" customFormat="1"/>
    <row r="1039302" customFormat="1"/>
    <row r="1039303" customFormat="1"/>
    <row r="1039304" customFormat="1"/>
    <row r="1039305" customFormat="1"/>
    <row r="1039306" customFormat="1"/>
    <row r="1039307" customFormat="1"/>
    <row r="1039308" customFormat="1"/>
    <row r="1039309" customFormat="1"/>
    <row r="1039310" customFormat="1"/>
    <row r="1039311" customFormat="1"/>
    <row r="1039312" customFormat="1"/>
    <row r="1039313" customFormat="1"/>
    <row r="1039314" customFormat="1"/>
    <row r="1039315" customFormat="1"/>
    <row r="1039316" customFormat="1"/>
    <row r="1039317" customFormat="1"/>
    <row r="1039318" customFormat="1"/>
    <row r="1039319" customFormat="1"/>
    <row r="1039320" customFormat="1"/>
    <row r="1039321" customFormat="1"/>
    <row r="1039322" customFormat="1"/>
    <row r="1039323" customFormat="1"/>
    <row r="1039324" customFormat="1"/>
    <row r="1039325" customFormat="1"/>
    <row r="1039326" customFormat="1"/>
    <row r="1039327" customFormat="1"/>
    <row r="1039328" customFormat="1"/>
    <row r="1039329" customFormat="1"/>
    <row r="1039330" customFormat="1"/>
    <row r="1039331" customFormat="1"/>
    <row r="1039332" customFormat="1"/>
    <row r="1039333" customFormat="1"/>
    <row r="1039334" customFormat="1"/>
    <row r="1039335" customFormat="1"/>
    <row r="1039336" customFormat="1"/>
    <row r="1039337" customFormat="1"/>
    <row r="1039338" customFormat="1"/>
    <row r="1039339" customFormat="1"/>
    <row r="1039340" customFormat="1"/>
    <row r="1039341" customFormat="1"/>
    <row r="1039342" customFormat="1"/>
    <row r="1039343" customFormat="1"/>
    <row r="1039344" customFormat="1"/>
    <row r="1039345" customFormat="1"/>
    <row r="1039346" customFormat="1"/>
    <row r="1039347" customFormat="1"/>
    <row r="1039348" customFormat="1"/>
    <row r="1039349" customFormat="1"/>
    <row r="1039350" customFormat="1"/>
    <row r="1039351" customFormat="1"/>
    <row r="1039352" customFormat="1"/>
    <row r="1039353" customFormat="1"/>
    <row r="1039354" customFormat="1"/>
    <row r="1039355" customFormat="1"/>
    <row r="1039356" customFormat="1"/>
    <row r="1039357" customFormat="1"/>
    <row r="1039358" customFormat="1"/>
    <row r="1039359" customFormat="1"/>
    <row r="1039360" customFormat="1"/>
    <row r="1039361" customFormat="1"/>
    <row r="1039362" customFormat="1"/>
    <row r="1039363" customFormat="1"/>
    <row r="1039364" customFormat="1"/>
    <row r="1039365" customFormat="1"/>
    <row r="1039366" customFormat="1"/>
    <row r="1039367" customFormat="1"/>
    <row r="1039368" customFormat="1"/>
    <row r="1039369" customFormat="1"/>
    <row r="1039370" customFormat="1"/>
    <row r="1039371" customFormat="1"/>
    <row r="1039372" customFormat="1"/>
    <row r="1039373" customFormat="1"/>
    <row r="1039374" customFormat="1"/>
    <row r="1039375" customFormat="1"/>
    <row r="1039376" customFormat="1"/>
    <row r="1039377" customFormat="1"/>
    <row r="1039378" customFormat="1"/>
    <row r="1039379" customFormat="1"/>
    <row r="1039380" customFormat="1"/>
    <row r="1039381" customFormat="1"/>
    <row r="1039382" customFormat="1"/>
    <row r="1039383" customFormat="1"/>
    <row r="1039384" customFormat="1"/>
    <row r="1039385" customFormat="1"/>
    <row r="1039386" customFormat="1"/>
    <row r="1039387" customFormat="1"/>
    <row r="1039388" customFormat="1"/>
    <row r="1039389" customFormat="1"/>
    <row r="1039390" customFormat="1"/>
    <row r="1039391" customFormat="1"/>
    <row r="1039392" customFormat="1"/>
    <row r="1039393" customFormat="1"/>
    <row r="1039394" customFormat="1"/>
    <row r="1039395" customFormat="1"/>
    <row r="1039396" customFormat="1"/>
    <row r="1039397" customFormat="1"/>
    <row r="1039398" customFormat="1"/>
    <row r="1039399" customFormat="1"/>
    <row r="1039400" customFormat="1"/>
    <row r="1039401" customFormat="1"/>
    <row r="1039402" customFormat="1"/>
    <row r="1039403" customFormat="1"/>
    <row r="1039404" customFormat="1"/>
    <row r="1039405" customFormat="1"/>
    <row r="1039406" customFormat="1"/>
    <row r="1039407" customFormat="1"/>
    <row r="1039408" customFormat="1"/>
    <row r="1039409" customFormat="1"/>
    <row r="1039410" customFormat="1"/>
    <row r="1039411" customFormat="1"/>
    <row r="1039412" customFormat="1"/>
    <row r="1039413" customFormat="1"/>
    <row r="1039414" customFormat="1"/>
    <row r="1039415" customFormat="1"/>
    <row r="1039416" customFormat="1"/>
    <row r="1039417" customFormat="1"/>
    <row r="1039418" customFormat="1"/>
    <row r="1039419" customFormat="1"/>
    <row r="1039420" customFormat="1"/>
    <row r="1039421" customFormat="1"/>
    <row r="1039422" customFormat="1"/>
    <row r="1039423" customFormat="1"/>
    <row r="1039424" customFormat="1"/>
    <row r="1039425" customFormat="1"/>
    <row r="1039426" customFormat="1"/>
    <row r="1039427" customFormat="1"/>
    <row r="1039428" customFormat="1"/>
    <row r="1039429" customFormat="1"/>
    <row r="1039430" customFormat="1"/>
    <row r="1039431" customFormat="1"/>
    <row r="1039432" customFormat="1"/>
    <row r="1039433" customFormat="1"/>
    <row r="1039434" customFormat="1"/>
    <row r="1039435" customFormat="1"/>
    <row r="1039436" customFormat="1"/>
    <row r="1039437" customFormat="1"/>
    <row r="1039438" customFormat="1"/>
    <row r="1039439" customFormat="1"/>
    <row r="1039440" customFormat="1"/>
    <row r="1039441" customFormat="1"/>
    <row r="1039442" customFormat="1"/>
    <row r="1039443" customFormat="1"/>
    <row r="1039444" customFormat="1"/>
    <row r="1039445" customFormat="1"/>
    <row r="1039446" customFormat="1"/>
    <row r="1039447" customFormat="1"/>
    <row r="1039448" customFormat="1"/>
    <row r="1039449" customFormat="1"/>
    <row r="1039450" customFormat="1"/>
    <row r="1039451" customFormat="1"/>
    <row r="1039452" customFormat="1"/>
    <row r="1039453" customFormat="1"/>
    <row r="1039454" customFormat="1"/>
    <row r="1039455" customFormat="1"/>
    <row r="1039456" customFormat="1"/>
    <row r="1039457" customFormat="1"/>
    <row r="1039458" customFormat="1"/>
    <row r="1039459" customFormat="1"/>
    <row r="1039460" customFormat="1"/>
    <row r="1039461" customFormat="1"/>
    <row r="1039462" customFormat="1"/>
    <row r="1039463" customFormat="1"/>
    <row r="1039464" customFormat="1"/>
    <row r="1039465" customFormat="1"/>
    <row r="1039466" customFormat="1"/>
    <row r="1039467" customFormat="1"/>
    <row r="1039468" customFormat="1"/>
    <row r="1039469" customFormat="1"/>
    <row r="1039470" customFormat="1"/>
    <row r="1039471" customFormat="1"/>
    <row r="1039472" customFormat="1"/>
    <row r="1039473" customFormat="1"/>
    <row r="1039474" customFormat="1"/>
    <row r="1039475" customFormat="1"/>
    <row r="1039476" customFormat="1"/>
    <row r="1039477" customFormat="1"/>
    <row r="1039478" customFormat="1"/>
    <row r="1039479" customFormat="1"/>
    <row r="1039480" customFormat="1"/>
    <row r="1039481" customFormat="1"/>
    <row r="1039482" customFormat="1"/>
    <row r="1039483" customFormat="1"/>
    <row r="1039484" customFormat="1"/>
    <row r="1039485" customFormat="1"/>
    <row r="1039486" customFormat="1"/>
    <row r="1039487" customFormat="1"/>
    <row r="1039488" customFormat="1"/>
    <row r="1039489" customFormat="1"/>
    <row r="1039490" customFormat="1"/>
    <row r="1039491" customFormat="1"/>
    <row r="1039492" customFormat="1"/>
    <row r="1039493" customFormat="1"/>
    <row r="1039494" customFormat="1"/>
    <row r="1039495" customFormat="1"/>
    <row r="1039496" customFormat="1"/>
    <row r="1039497" customFormat="1"/>
    <row r="1039498" customFormat="1"/>
    <row r="1039499" customFormat="1"/>
    <row r="1039500" customFormat="1"/>
    <row r="1039501" customFormat="1"/>
    <row r="1039502" customFormat="1"/>
    <row r="1039503" customFormat="1"/>
    <row r="1039504" customFormat="1"/>
    <row r="1039505" customFormat="1"/>
    <row r="1039506" customFormat="1"/>
    <row r="1039507" customFormat="1"/>
    <row r="1039508" customFormat="1"/>
    <row r="1039509" customFormat="1"/>
    <row r="1039510" customFormat="1"/>
    <row r="1039511" customFormat="1"/>
    <row r="1039512" customFormat="1"/>
    <row r="1039513" customFormat="1"/>
    <row r="1039514" customFormat="1"/>
    <row r="1039515" customFormat="1"/>
    <row r="1039516" customFormat="1"/>
    <row r="1039517" customFormat="1"/>
    <row r="1039518" customFormat="1"/>
    <row r="1039519" customFormat="1"/>
    <row r="1039520" customFormat="1"/>
    <row r="1039521" customFormat="1"/>
    <row r="1039522" customFormat="1"/>
    <row r="1039523" customFormat="1"/>
    <row r="1039524" customFormat="1"/>
    <row r="1039525" customFormat="1"/>
    <row r="1039526" customFormat="1"/>
    <row r="1039527" customFormat="1"/>
    <row r="1039528" customFormat="1"/>
    <row r="1039529" customFormat="1"/>
    <row r="1039530" customFormat="1"/>
    <row r="1039531" customFormat="1"/>
    <row r="1039532" customFormat="1"/>
    <row r="1039533" customFormat="1"/>
    <row r="1039534" customFormat="1"/>
    <row r="1039535" customFormat="1"/>
    <row r="1039536" customFormat="1"/>
    <row r="1039537" customFormat="1"/>
    <row r="1039538" customFormat="1"/>
    <row r="1039539" customFormat="1"/>
    <row r="1039540" customFormat="1"/>
    <row r="1039541" customFormat="1"/>
    <row r="1039542" customFormat="1"/>
    <row r="1039543" customFormat="1"/>
    <row r="1039544" customFormat="1"/>
    <row r="1039545" customFormat="1"/>
    <row r="1039546" customFormat="1"/>
    <row r="1039547" customFormat="1"/>
    <row r="1039548" customFormat="1"/>
    <row r="1039549" customFormat="1"/>
    <row r="1039550" customFormat="1"/>
    <row r="1039551" customFormat="1"/>
    <row r="1039552" customFormat="1"/>
    <row r="1039553" customFormat="1"/>
    <row r="1039554" customFormat="1"/>
    <row r="1039555" customFormat="1"/>
    <row r="1039556" customFormat="1"/>
    <row r="1039557" customFormat="1"/>
    <row r="1039558" customFormat="1"/>
    <row r="1039559" customFormat="1"/>
    <row r="1039560" customFormat="1"/>
    <row r="1039561" customFormat="1"/>
    <row r="1039562" customFormat="1"/>
    <row r="1039563" customFormat="1"/>
    <row r="1039564" customFormat="1"/>
    <row r="1039565" customFormat="1"/>
    <row r="1039566" customFormat="1"/>
    <row r="1039567" customFormat="1"/>
    <row r="1039568" customFormat="1"/>
    <row r="1039569" customFormat="1"/>
    <row r="1039570" customFormat="1"/>
    <row r="1039571" customFormat="1"/>
    <row r="1039572" customFormat="1"/>
    <row r="1039573" customFormat="1"/>
    <row r="1039574" customFormat="1"/>
    <row r="1039575" customFormat="1"/>
    <row r="1039576" customFormat="1"/>
    <row r="1039577" customFormat="1"/>
    <row r="1039578" customFormat="1"/>
    <row r="1039579" customFormat="1"/>
    <row r="1039580" customFormat="1"/>
    <row r="1039581" customFormat="1"/>
    <row r="1039582" customFormat="1"/>
    <row r="1039583" customFormat="1"/>
    <row r="1039584" customFormat="1"/>
    <row r="1039585" customFormat="1"/>
    <row r="1039586" customFormat="1"/>
    <row r="1039587" customFormat="1"/>
    <row r="1039588" customFormat="1"/>
    <row r="1039589" customFormat="1"/>
    <row r="1039590" customFormat="1"/>
    <row r="1039591" customFormat="1"/>
    <row r="1039592" customFormat="1"/>
    <row r="1039593" customFormat="1"/>
    <row r="1039594" customFormat="1"/>
    <row r="1039595" customFormat="1"/>
    <row r="1039596" customFormat="1"/>
    <row r="1039597" customFormat="1"/>
    <row r="1039598" customFormat="1"/>
    <row r="1039599" customFormat="1"/>
    <row r="1039600" customFormat="1"/>
    <row r="1039601" customFormat="1"/>
    <row r="1039602" customFormat="1"/>
    <row r="1039603" customFormat="1"/>
    <row r="1039604" customFormat="1"/>
    <row r="1039605" customFormat="1"/>
    <row r="1039606" customFormat="1"/>
    <row r="1039607" customFormat="1"/>
    <row r="1039608" customFormat="1"/>
    <row r="1039609" customFormat="1"/>
    <row r="1039610" customFormat="1"/>
    <row r="1039611" customFormat="1"/>
    <row r="1039612" customFormat="1"/>
    <row r="1039613" customFormat="1"/>
    <row r="1039614" customFormat="1"/>
    <row r="1039615" customFormat="1"/>
    <row r="1039616" customFormat="1"/>
    <row r="1039617" customFormat="1"/>
    <row r="1039618" customFormat="1"/>
    <row r="1039619" customFormat="1"/>
    <row r="1039620" customFormat="1"/>
    <row r="1039621" customFormat="1"/>
    <row r="1039622" customFormat="1"/>
    <row r="1039623" customFormat="1"/>
    <row r="1039624" customFormat="1"/>
    <row r="1039625" customFormat="1"/>
    <row r="1039626" customFormat="1"/>
    <row r="1039627" customFormat="1"/>
    <row r="1039628" customFormat="1"/>
    <row r="1039629" customFormat="1"/>
    <row r="1039630" customFormat="1"/>
    <row r="1039631" customFormat="1"/>
    <row r="1039632" customFormat="1"/>
    <row r="1039633" customFormat="1"/>
    <row r="1039634" customFormat="1"/>
    <row r="1039635" customFormat="1"/>
    <row r="1039636" customFormat="1"/>
    <row r="1039637" customFormat="1"/>
    <row r="1039638" customFormat="1"/>
    <row r="1039639" customFormat="1"/>
    <row r="1039640" customFormat="1"/>
    <row r="1039641" customFormat="1"/>
    <row r="1039642" customFormat="1"/>
    <row r="1039643" customFormat="1"/>
    <row r="1039644" customFormat="1"/>
    <row r="1039645" customFormat="1"/>
    <row r="1039646" customFormat="1"/>
    <row r="1039647" customFormat="1"/>
    <row r="1039648" customFormat="1"/>
    <row r="1039649" customFormat="1"/>
    <row r="1039650" customFormat="1"/>
    <row r="1039651" customFormat="1"/>
    <row r="1039652" customFormat="1"/>
    <row r="1039653" customFormat="1"/>
    <row r="1039654" customFormat="1"/>
    <row r="1039655" customFormat="1"/>
    <row r="1039656" customFormat="1"/>
    <row r="1039657" customFormat="1"/>
    <row r="1039658" customFormat="1"/>
    <row r="1039659" customFormat="1"/>
    <row r="1039660" customFormat="1"/>
    <row r="1039661" customFormat="1"/>
    <row r="1039662" customFormat="1"/>
    <row r="1039663" customFormat="1"/>
    <row r="1039664" customFormat="1"/>
    <row r="1039665" customFormat="1"/>
    <row r="1039666" customFormat="1"/>
    <row r="1039667" customFormat="1"/>
    <row r="1039668" customFormat="1"/>
    <row r="1039669" customFormat="1"/>
    <row r="1039670" customFormat="1"/>
    <row r="1039671" customFormat="1"/>
    <row r="1039672" customFormat="1"/>
    <row r="1039673" customFormat="1"/>
    <row r="1039674" customFormat="1"/>
    <row r="1039675" customFormat="1"/>
    <row r="1039676" customFormat="1"/>
    <row r="1039677" customFormat="1"/>
    <row r="1039678" customFormat="1"/>
    <row r="1039679" customFormat="1"/>
    <row r="1039680" customFormat="1"/>
    <row r="1039681" customFormat="1"/>
    <row r="1039682" customFormat="1"/>
    <row r="1039683" customFormat="1"/>
    <row r="1039684" customFormat="1"/>
    <row r="1039685" customFormat="1"/>
    <row r="1039686" customFormat="1"/>
    <row r="1039687" customFormat="1"/>
    <row r="1039688" customFormat="1"/>
    <row r="1039689" customFormat="1"/>
    <row r="1039690" customFormat="1"/>
    <row r="1039691" customFormat="1"/>
    <row r="1039692" customFormat="1"/>
    <row r="1039693" customFormat="1"/>
    <row r="1039694" customFormat="1"/>
    <row r="1039695" customFormat="1"/>
    <row r="1039696" customFormat="1"/>
    <row r="1039697" customFormat="1"/>
    <row r="1039698" customFormat="1"/>
    <row r="1039699" customFormat="1"/>
    <row r="1039700" customFormat="1"/>
    <row r="1039701" customFormat="1"/>
    <row r="1039702" customFormat="1"/>
    <row r="1039703" customFormat="1"/>
    <row r="1039704" customFormat="1"/>
    <row r="1039705" customFormat="1"/>
    <row r="1039706" customFormat="1"/>
    <row r="1039707" customFormat="1"/>
    <row r="1039708" customFormat="1"/>
    <row r="1039709" customFormat="1"/>
    <row r="1039710" customFormat="1"/>
    <row r="1039711" customFormat="1"/>
    <row r="1039712" customFormat="1"/>
    <row r="1039713" customFormat="1"/>
    <row r="1039714" customFormat="1"/>
    <row r="1039715" customFormat="1"/>
    <row r="1039716" customFormat="1"/>
    <row r="1039717" customFormat="1"/>
    <row r="1039718" customFormat="1"/>
    <row r="1039719" customFormat="1"/>
    <row r="1039720" customFormat="1"/>
    <row r="1039721" customFormat="1"/>
    <row r="1039722" customFormat="1"/>
    <row r="1039723" customFormat="1"/>
    <row r="1039724" customFormat="1"/>
    <row r="1039725" customFormat="1"/>
    <row r="1039726" customFormat="1"/>
    <row r="1039727" customFormat="1"/>
    <row r="1039728" customFormat="1"/>
    <row r="1039729" customFormat="1"/>
    <row r="1039730" customFormat="1"/>
    <row r="1039731" customFormat="1"/>
    <row r="1039732" customFormat="1"/>
    <row r="1039733" customFormat="1"/>
    <row r="1039734" customFormat="1"/>
    <row r="1039735" customFormat="1"/>
    <row r="1039736" customFormat="1"/>
    <row r="1039737" customFormat="1"/>
    <row r="1039738" customFormat="1"/>
    <row r="1039739" customFormat="1"/>
    <row r="1039740" customFormat="1"/>
    <row r="1039741" customFormat="1"/>
    <row r="1039742" customFormat="1"/>
    <row r="1039743" customFormat="1"/>
    <row r="1039744" customFormat="1"/>
    <row r="1039745" customFormat="1"/>
    <row r="1039746" customFormat="1"/>
    <row r="1039747" customFormat="1"/>
    <row r="1039748" customFormat="1"/>
    <row r="1039749" customFormat="1"/>
    <row r="1039750" customFormat="1"/>
    <row r="1039751" customFormat="1"/>
    <row r="1039752" customFormat="1"/>
    <row r="1039753" customFormat="1"/>
    <row r="1039754" customFormat="1"/>
    <row r="1039755" customFormat="1"/>
    <row r="1039756" customFormat="1"/>
    <row r="1039757" customFormat="1"/>
    <row r="1039758" customFormat="1"/>
    <row r="1039759" customFormat="1"/>
    <row r="1039760" customFormat="1"/>
    <row r="1039761" customFormat="1"/>
    <row r="1039762" customFormat="1"/>
    <row r="1039763" customFormat="1"/>
    <row r="1039764" customFormat="1"/>
    <row r="1039765" customFormat="1"/>
    <row r="1039766" customFormat="1"/>
    <row r="1039767" customFormat="1"/>
    <row r="1039768" customFormat="1"/>
    <row r="1039769" customFormat="1"/>
    <row r="1039770" customFormat="1"/>
    <row r="1039771" customFormat="1"/>
    <row r="1039772" customFormat="1"/>
    <row r="1039773" customFormat="1"/>
    <row r="1039774" customFormat="1"/>
    <row r="1039775" customFormat="1"/>
    <row r="1039776" customFormat="1"/>
    <row r="1039777" customFormat="1"/>
    <row r="1039778" customFormat="1"/>
    <row r="1039779" customFormat="1"/>
    <row r="1039780" customFormat="1"/>
    <row r="1039781" customFormat="1"/>
    <row r="1039782" customFormat="1"/>
    <row r="1039783" customFormat="1"/>
    <row r="1039784" customFormat="1"/>
    <row r="1039785" customFormat="1"/>
    <row r="1039786" customFormat="1"/>
    <row r="1039787" customFormat="1"/>
    <row r="1039788" customFormat="1"/>
    <row r="1039789" customFormat="1"/>
    <row r="1039790" customFormat="1"/>
    <row r="1039791" customFormat="1"/>
    <row r="1039792" customFormat="1"/>
    <row r="1039793" customFormat="1"/>
    <row r="1039794" customFormat="1"/>
    <row r="1039795" customFormat="1"/>
    <row r="1039796" customFormat="1"/>
    <row r="1039797" customFormat="1"/>
    <row r="1039798" customFormat="1"/>
    <row r="1039799" customFormat="1"/>
    <row r="1039800" customFormat="1"/>
    <row r="1039801" customFormat="1"/>
    <row r="1039802" customFormat="1"/>
    <row r="1039803" customFormat="1"/>
    <row r="1039804" customFormat="1"/>
    <row r="1039805" customFormat="1"/>
    <row r="1039806" customFormat="1"/>
    <row r="1039807" customFormat="1"/>
    <row r="1039808" customFormat="1"/>
    <row r="1039809" customFormat="1"/>
    <row r="1039810" customFormat="1"/>
    <row r="1039811" customFormat="1"/>
    <row r="1039812" customFormat="1"/>
    <row r="1039813" customFormat="1"/>
    <row r="1039814" customFormat="1"/>
    <row r="1039815" customFormat="1"/>
    <row r="1039816" customFormat="1"/>
    <row r="1039817" customFormat="1"/>
    <row r="1039818" customFormat="1"/>
    <row r="1039819" customFormat="1"/>
    <row r="1039820" customFormat="1"/>
    <row r="1039821" customFormat="1"/>
    <row r="1039822" customFormat="1"/>
    <row r="1039823" customFormat="1"/>
    <row r="1039824" customFormat="1"/>
    <row r="1039825" customFormat="1"/>
    <row r="1039826" customFormat="1"/>
    <row r="1039827" customFormat="1"/>
    <row r="1039828" customFormat="1"/>
    <row r="1039829" customFormat="1"/>
    <row r="1039830" customFormat="1"/>
    <row r="1039831" customFormat="1"/>
    <row r="1039832" customFormat="1"/>
    <row r="1039833" customFormat="1"/>
    <row r="1039834" customFormat="1"/>
    <row r="1039835" customFormat="1"/>
    <row r="1039836" customFormat="1"/>
    <row r="1039837" customFormat="1"/>
    <row r="1039838" customFormat="1"/>
    <row r="1039839" customFormat="1"/>
    <row r="1039840" customFormat="1"/>
    <row r="1039841" customFormat="1"/>
    <row r="1039842" customFormat="1"/>
    <row r="1039843" customFormat="1"/>
    <row r="1039844" customFormat="1"/>
    <row r="1039845" customFormat="1"/>
    <row r="1039846" customFormat="1"/>
    <row r="1039847" customFormat="1"/>
    <row r="1039848" customFormat="1"/>
    <row r="1039849" customFormat="1"/>
    <row r="1039850" customFormat="1"/>
    <row r="1039851" customFormat="1"/>
    <row r="1039852" customFormat="1"/>
    <row r="1039853" customFormat="1"/>
    <row r="1039854" customFormat="1"/>
    <row r="1039855" customFormat="1"/>
    <row r="1039856" customFormat="1"/>
    <row r="1039857" customFormat="1"/>
    <row r="1039858" customFormat="1"/>
    <row r="1039859" customFormat="1"/>
    <row r="1039860" customFormat="1"/>
    <row r="1039861" customFormat="1"/>
    <row r="1039862" customFormat="1"/>
    <row r="1039863" customFormat="1"/>
    <row r="1039864" customFormat="1"/>
    <row r="1039865" customFormat="1"/>
    <row r="1039866" customFormat="1"/>
    <row r="1039867" customFormat="1"/>
    <row r="1039868" customFormat="1"/>
    <row r="1039869" customFormat="1"/>
    <row r="1039870" customFormat="1"/>
    <row r="1039871" customFormat="1"/>
    <row r="1039872" customFormat="1"/>
    <row r="1039873" customFormat="1"/>
    <row r="1039874" customFormat="1"/>
    <row r="1039875" customFormat="1"/>
    <row r="1039876" customFormat="1"/>
    <row r="1039877" customFormat="1"/>
    <row r="1039878" customFormat="1"/>
    <row r="1039879" customFormat="1"/>
    <row r="1039880" customFormat="1"/>
    <row r="1039881" customFormat="1"/>
    <row r="1039882" customFormat="1"/>
    <row r="1039883" customFormat="1"/>
    <row r="1039884" customFormat="1"/>
    <row r="1039885" customFormat="1"/>
    <row r="1039886" customFormat="1"/>
    <row r="1039887" customFormat="1"/>
    <row r="1039888" customFormat="1"/>
    <row r="1039889" customFormat="1"/>
    <row r="1039890" customFormat="1"/>
    <row r="1039891" customFormat="1"/>
    <row r="1039892" customFormat="1"/>
    <row r="1039893" customFormat="1"/>
    <row r="1039894" customFormat="1"/>
    <row r="1039895" customFormat="1"/>
    <row r="1039896" customFormat="1"/>
    <row r="1039897" customFormat="1"/>
    <row r="1039898" customFormat="1"/>
    <row r="1039899" customFormat="1"/>
    <row r="1039900" customFormat="1"/>
    <row r="1039901" customFormat="1"/>
    <row r="1039902" customFormat="1"/>
    <row r="1039903" customFormat="1"/>
    <row r="1039904" customFormat="1"/>
    <row r="1039905" customFormat="1"/>
    <row r="1039906" customFormat="1"/>
    <row r="1039907" customFormat="1"/>
    <row r="1039908" customFormat="1"/>
    <row r="1039909" customFormat="1"/>
    <row r="1039910" customFormat="1"/>
    <row r="1039911" customFormat="1"/>
    <row r="1039912" customFormat="1"/>
    <row r="1039913" customFormat="1"/>
    <row r="1039914" customFormat="1"/>
    <row r="1039915" customFormat="1"/>
    <row r="1039916" customFormat="1"/>
    <row r="1039917" customFormat="1"/>
    <row r="1039918" customFormat="1"/>
    <row r="1039919" customFormat="1"/>
    <row r="1039920" customFormat="1"/>
    <row r="1039921" customFormat="1"/>
    <row r="1039922" customFormat="1"/>
    <row r="1039923" customFormat="1"/>
    <row r="1039924" customFormat="1"/>
    <row r="1039925" customFormat="1"/>
    <row r="1039926" customFormat="1"/>
    <row r="1039927" customFormat="1"/>
    <row r="1039928" customFormat="1"/>
    <row r="1039929" customFormat="1"/>
    <row r="1039930" customFormat="1"/>
    <row r="1039931" customFormat="1"/>
    <row r="1039932" customFormat="1"/>
    <row r="1039933" customFormat="1"/>
    <row r="1039934" customFormat="1"/>
    <row r="1039935" customFormat="1"/>
    <row r="1039936" customFormat="1"/>
    <row r="1039937" customFormat="1"/>
    <row r="1039938" customFormat="1"/>
    <row r="1039939" customFormat="1"/>
    <row r="1039940" customFormat="1"/>
    <row r="1039941" customFormat="1"/>
    <row r="1039942" customFormat="1"/>
    <row r="1039943" customFormat="1"/>
    <row r="1039944" customFormat="1"/>
    <row r="1039945" customFormat="1"/>
    <row r="1039946" customFormat="1"/>
    <row r="1039947" customFormat="1"/>
    <row r="1039948" customFormat="1"/>
    <row r="1039949" customFormat="1"/>
    <row r="1039950" customFormat="1"/>
    <row r="1039951" customFormat="1"/>
    <row r="1039952" customFormat="1"/>
    <row r="1039953" customFormat="1"/>
    <row r="1039954" customFormat="1"/>
    <row r="1039955" customFormat="1"/>
    <row r="1039956" customFormat="1"/>
    <row r="1039957" customFormat="1"/>
    <row r="1039958" customFormat="1"/>
    <row r="1039959" customFormat="1"/>
    <row r="1039960" customFormat="1"/>
    <row r="1039961" customFormat="1"/>
    <row r="1039962" customFormat="1"/>
    <row r="1039963" customFormat="1"/>
    <row r="1039964" customFormat="1"/>
    <row r="1039965" customFormat="1"/>
    <row r="1039966" customFormat="1"/>
    <row r="1039967" customFormat="1"/>
    <row r="1039968" customFormat="1"/>
    <row r="1039969" customFormat="1"/>
    <row r="1039970" customFormat="1"/>
    <row r="1039971" customFormat="1"/>
    <row r="1039972" customFormat="1"/>
    <row r="1039973" customFormat="1"/>
    <row r="1039974" customFormat="1"/>
    <row r="1039975" customFormat="1"/>
    <row r="1039976" customFormat="1"/>
    <row r="1039977" customFormat="1"/>
    <row r="1039978" customFormat="1"/>
    <row r="1039979" customFormat="1"/>
    <row r="1039980" customFormat="1"/>
    <row r="1039981" customFormat="1"/>
    <row r="1039982" customFormat="1"/>
    <row r="1039983" customFormat="1"/>
    <row r="1039984" customFormat="1"/>
    <row r="1039985" customFormat="1"/>
    <row r="1039986" customFormat="1"/>
    <row r="1039987" customFormat="1"/>
    <row r="1039988" customFormat="1"/>
    <row r="1039989" customFormat="1"/>
    <row r="1039990" customFormat="1"/>
    <row r="1039991" customFormat="1"/>
    <row r="1039992" customFormat="1"/>
    <row r="1039993" customFormat="1"/>
    <row r="1039994" customFormat="1"/>
    <row r="1039995" customFormat="1"/>
    <row r="1039996" customFormat="1"/>
    <row r="1039997" customFormat="1"/>
    <row r="1039998" customFormat="1"/>
    <row r="1039999" customFormat="1"/>
    <row r="1040000" customFormat="1"/>
    <row r="1040001" customFormat="1"/>
    <row r="1040002" customFormat="1"/>
    <row r="1040003" customFormat="1"/>
    <row r="1040004" customFormat="1"/>
    <row r="1040005" customFormat="1"/>
    <row r="1040006" customFormat="1"/>
    <row r="1040007" customFormat="1"/>
    <row r="1040008" customFormat="1"/>
    <row r="1040009" customFormat="1"/>
    <row r="1040010" customFormat="1"/>
    <row r="1040011" customFormat="1"/>
    <row r="1040012" customFormat="1"/>
    <row r="1040013" customFormat="1"/>
    <row r="1040014" customFormat="1"/>
    <row r="1040015" customFormat="1"/>
    <row r="1040016" customFormat="1"/>
    <row r="1040017" customFormat="1"/>
    <row r="1040018" customFormat="1"/>
    <row r="1040019" customFormat="1"/>
    <row r="1040020" customFormat="1"/>
    <row r="1040021" customFormat="1"/>
    <row r="1040022" customFormat="1"/>
    <row r="1040023" customFormat="1"/>
    <row r="1040024" customFormat="1"/>
    <row r="1040025" customFormat="1"/>
    <row r="1040026" customFormat="1"/>
    <row r="1040027" customFormat="1"/>
    <row r="1040028" customFormat="1"/>
    <row r="1040029" customFormat="1"/>
    <row r="1040030" customFormat="1"/>
    <row r="1040031" customFormat="1"/>
    <row r="1040032" customFormat="1"/>
    <row r="1040033" customFormat="1"/>
    <row r="1040034" customFormat="1"/>
    <row r="1040035" customFormat="1"/>
    <row r="1040036" customFormat="1"/>
    <row r="1040037" customFormat="1"/>
    <row r="1040038" customFormat="1"/>
    <row r="1040039" customFormat="1"/>
    <row r="1040040" customFormat="1"/>
    <row r="1040041" customFormat="1"/>
    <row r="1040042" customFormat="1"/>
    <row r="1040043" customFormat="1"/>
    <row r="1040044" customFormat="1"/>
    <row r="1040045" customFormat="1"/>
    <row r="1040046" customFormat="1"/>
    <row r="1040047" customFormat="1"/>
    <row r="1040048" customFormat="1"/>
    <row r="1040049" customFormat="1"/>
    <row r="1040050" customFormat="1"/>
    <row r="1040051" customFormat="1"/>
    <row r="1040052" customFormat="1"/>
    <row r="1040053" customFormat="1"/>
    <row r="1040054" customFormat="1"/>
    <row r="1040055" customFormat="1"/>
    <row r="1040056" customFormat="1"/>
    <row r="1040057" customFormat="1"/>
    <row r="1040058" customFormat="1"/>
    <row r="1040059" customFormat="1"/>
    <row r="1040060" customFormat="1"/>
    <row r="1040061" customFormat="1"/>
    <row r="1040062" customFormat="1"/>
    <row r="1040063" customFormat="1"/>
    <row r="1040064" customFormat="1"/>
    <row r="1040065" customFormat="1"/>
    <row r="1040066" customFormat="1"/>
    <row r="1040067" customFormat="1"/>
    <row r="1040068" customFormat="1"/>
    <row r="1040069" customFormat="1"/>
    <row r="1040070" customFormat="1"/>
    <row r="1040071" customFormat="1"/>
    <row r="1040072" customFormat="1"/>
    <row r="1040073" customFormat="1"/>
    <row r="1040074" customFormat="1"/>
    <row r="1040075" customFormat="1"/>
    <row r="1040076" customFormat="1"/>
    <row r="1040077" customFormat="1"/>
    <row r="1040078" customFormat="1"/>
    <row r="1040079" customFormat="1"/>
    <row r="1040080" customFormat="1"/>
    <row r="1040081" customFormat="1"/>
    <row r="1040082" customFormat="1"/>
    <row r="1040083" customFormat="1"/>
    <row r="1040084" customFormat="1"/>
    <row r="1040085" customFormat="1"/>
    <row r="1040086" customFormat="1"/>
    <row r="1040087" customFormat="1"/>
    <row r="1040088" customFormat="1"/>
    <row r="1040089" customFormat="1"/>
    <row r="1040090" customFormat="1"/>
    <row r="1040091" customFormat="1"/>
    <row r="1040092" customFormat="1"/>
    <row r="1040093" customFormat="1"/>
    <row r="1040094" customFormat="1"/>
    <row r="1040095" customFormat="1"/>
    <row r="1040096" customFormat="1"/>
    <row r="1040097" customFormat="1"/>
    <row r="1040098" customFormat="1"/>
    <row r="1040099" customFormat="1"/>
    <row r="1040100" customFormat="1"/>
    <row r="1040101" customFormat="1"/>
    <row r="1040102" customFormat="1"/>
    <row r="1040103" customFormat="1"/>
    <row r="1040104" customFormat="1"/>
    <row r="1040105" customFormat="1"/>
    <row r="1040106" customFormat="1"/>
    <row r="1040107" customFormat="1"/>
    <row r="1040108" customFormat="1"/>
    <row r="1040109" customFormat="1"/>
    <row r="1040110" customFormat="1"/>
    <row r="1040111" customFormat="1"/>
    <row r="1040112" customFormat="1"/>
    <row r="1040113" customFormat="1"/>
    <row r="1040114" customFormat="1"/>
    <row r="1040115" customFormat="1"/>
    <row r="1040116" customFormat="1"/>
    <row r="1040117" customFormat="1"/>
    <row r="1040118" customFormat="1"/>
    <row r="1040119" customFormat="1"/>
    <row r="1040120" customFormat="1"/>
    <row r="1040121" customFormat="1"/>
    <row r="1040122" customFormat="1"/>
    <row r="1040123" customFormat="1"/>
    <row r="1040124" customFormat="1"/>
    <row r="1040125" customFormat="1"/>
    <row r="1040126" customFormat="1"/>
    <row r="1040127" customFormat="1"/>
    <row r="1040128" customFormat="1"/>
    <row r="1040129" customFormat="1"/>
    <row r="1040130" customFormat="1"/>
    <row r="1040131" customFormat="1"/>
    <row r="1040132" customFormat="1"/>
    <row r="1040133" customFormat="1"/>
    <row r="1040134" customFormat="1"/>
    <row r="1040135" customFormat="1"/>
    <row r="1040136" customFormat="1"/>
    <row r="1040137" customFormat="1"/>
    <row r="1040138" customFormat="1"/>
    <row r="1040139" customFormat="1"/>
    <row r="1040140" customFormat="1"/>
    <row r="1040141" customFormat="1"/>
    <row r="1040142" customFormat="1"/>
    <row r="1040143" customFormat="1"/>
    <row r="1040144" customFormat="1"/>
    <row r="1040145" customFormat="1"/>
    <row r="1040146" customFormat="1"/>
    <row r="1040147" customFormat="1"/>
    <row r="1040148" customFormat="1"/>
    <row r="1040149" customFormat="1"/>
    <row r="1040150" customFormat="1"/>
    <row r="1040151" customFormat="1"/>
    <row r="1040152" customFormat="1"/>
    <row r="1040153" customFormat="1"/>
    <row r="1040154" customFormat="1"/>
    <row r="1040155" customFormat="1"/>
    <row r="1040156" customFormat="1"/>
    <row r="1040157" customFormat="1"/>
    <row r="1040158" customFormat="1"/>
    <row r="1040159" customFormat="1"/>
    <row r="1040160" customFormat="1"/>
    <row r="1040161" customFormat="1"/>
    <row r="1040162" customFormat="1"/>
    <row r="1040163" customFormat="1"/>
    <row r="1040164" customFormat="1"/>
    <row r="1040165" customFormat="1"/>
    <row r="1040166" customFormat="1"/>
    <row r="1040167" customFormat="1"/>
    <row r="1040168" customFormat="1"/>
    <row r="1040169" customFormat="1"/>
    <row r="1040170" customFormat="1"/>
    <row r="1040171" customFormat="1"/>
    <row r="1040172" customFormat="1"/>
    <row r="1040173" customFormat="1"/>
    <row r="1040174" customFormat="1"/>
    <row r="1040175" customFormat="1"/>
    <row r="1040176" customFormat="1"/>
    <row r="1040177" customFormat="1"/>
    <row r="1040178" customFormat="1"/>
    <row r="1040179" customFormat="1"/>
    <row r="1040180" customFormat="1"/>
    <row r="1040181" customFormat="1"/>
    <row r="1040182" customFormat="1"/>
    <row r="1040183" customFormat="1"/>
    <row r="1040184" customFormat="1"/>
    <row r="1040185" customFormat="1"/>
    <row r="1040186" customFormat="1"/>
    <row r="1040187" customFormat="1"/>
    <row r="1040188" customFormat="1"/>
    <row r="1040189" customFormat="1"/>
    <row r="1040190" customFormat="1"/>
    <row r="1040191" customFormat="1"/>
    <row r="1040192" customFormat="1"/>
    <row r="1040193" customFormat="1"/>
    <row r="1040194" customFormat="1"/>
    <row r="1040195" customFormat="1"/>
    <row r="1040196" customFormat="1"/>
    <row r="1040197" customFormat="1"/>
    <row r="1040198" customFormat="1"/>
    <row r="1040199" customFormat="1"/>
    <row r="1040200" customFormat="1"/>
    <row r="1040201" customFormat="1"/>
    <row r="1040202" customFormat="1"/>
    <row r="1040203" customFormat="1"/>
    <row r="1040204" customFormat="1"/>
    <row r="1040205" customFormat="1"/>
    <row r="1040206" customFormat="1"/>
    <row r="1040207" customFormat="1"/>
    <row r="1040208" customFormat="1"/>
    <row r="1040209" customFormat="1"/>
    <row r="1040210" customFormat="1"/>
    <row r="1040211" customFormat="1"/>
    <row r="1040212" customFormat="1"/>
    <row r="1040213" customFormat="1"/>
    <row r="1040214" customFormat="1"/>
    <row r="1040215" customFormat="1"/>
    <row r="1040216" customFormat="1"/>
    <row r="1040217" customFormat="1"/>
    <row r="1040218" customFormat="1"/>
    <row r="1040219" customFormat="1"/>
    <row r="1040220" customFormat="1"/>
    <row r="1040221" customFormat="1"/>
    <row r="1040222" customFormat="1"/>
    <row r="1040223" customFormat="1"/>
    <row r="1040224" customFormat="1"/>
    <row r="1040225" customFormat="1"/>
    <row r="1040226" customFormat="1"/>
    <row r="1040227" customFormat="1"/>
    <row r="1040228" customFormat="1"/>
    <row r="1040229" customFormat="1"/>
    <row r="1040230" customFormat="1"/>
    <row r="1040231" customFormat="1"/>
    <row r="1040232" customFormat="1"/>
    <row r="1040233" customFormat="1"/>
    <row r="1040234" customFormat="1"/>
    <row r="1040235" customFormat="1"/>
    <row r="1040236" customFormat="1"/>
    <row r="1040237" customFormat="1"/>
    <row r="1040238" customFormat="1"/>
    <row r="1040239" customFormat="1"/>
    <row r="1040240" customFormat="1"/>
    <row r="1040241" customFormat="1"/>
    <row r="1040242" customFormat="1"/>
    <row r="1040243" customFormat="1"/>
    <row r="1040244" customFormat="1"/>
    <row r="1040245" customFormat="1"/>
    <row r="1040246" customFormat="1"/>
    <row r="1040247" customFormat="1"/>
    <row r="1040248" customFormat="1"/>
    <row r="1040249" customFormat="1"/>
    <row r="1040250" customFormat="1"/>
    <row r="1040251" customFormat="1"/>
    <row r="1040252" customFormat="1"/>
    <row r="1040253" customFormat="1"/>
    <row r="1040254" customFormat="1"/>
    <row r="1040255" customFormat="1"/>
    <row r="1040256" customFormat="1"/>
    <row r="1040257" customFormat="1"/>
    <row r="1040258" customFormat="1"/>
    <row r="1040259" customFormat="1"/>
    <row r="1040260" customFormat="1"/>
    <row r="1040261" customFormat="1"/>
    <row r="1040262" customFormat="1"/>
    <row r="1040263" customFormat="1"/>
    <row r="1040264" customFormat="1"/>
    <row r="1040265" customFormat="1"/>
    <row r="1040266" customFormat="1"/>
    <row r="1040267" customFormat="1"/>
    <row r="1040268" customFormat="1"/>
    <row r="1040269" customFormat="1"/>
    <row r="1040270" customFormat="1"/>
    <row r="1040271" customFormat="1"/>
    <row r="1040272" customFormat="1"/>
    <row r="1040273" customFormat="1"/>
    <row r="1040274" customFormat="1"/>
    <row r="1040275" customFormat="1"/>
    <row r="1040276" customFormat="1"/>
    <row r="1040277" customFormat="1"/>
    <row r="1040278" customFormat="1"/>
    <row r="1040279" customFormat="1"/>
    <row r="1040280" customFormat="1"/>
    <row r="1040281" customFormat="1"/>
    <row r="1040282" customFormat="1"/>
    <row r="1040283" customFormat="1"/>
    <row r="1040284" customFormat="1"/>
    <row r="1040285" customFormat="1"/>
    <row r="1040286" customFormat="1"/>
    <row r="1040287" customFormat="1"/>
    <row r="1040288" customFormat="1"/>
    <row r="1040289" customFormat="1"/>
    <row r="1040290" customFormat="1"/>
    <row r="1040291" customFormat="1"/>
    <row r="1040292" customFormat="1"/>
    <row r="1040293" customFormat="1"/>
    <row r="1040294" customFormat="1"/>
    <row r="1040295" customFormat="1"/>
    <row r="1040296" customFormat="1"/>
    <row r="1040297" customFormat="1"/>
    <row r="1040298" customFormat="1"/>
    <row r="1040299" customFormat="1"/>
    <row r="1040300" customFormat="1"/>
    <row r="1040301" customFormat="1"/>
    <row r="1040302" customFormat="1"/>
    <row r="1040303" customFormat="1"/>
    <row r="1040304" customFormat="1"/>
    <row r="1040305" customFormat="1"/>
    <row r="1040306" customFormat="1"/>
    <row r="1040307" customFormat="1"/>
    <row r="1040308" customFormat="1"/>
    <row r="1040309" customFormat="1"/>
    <row r="1040310" customFormat="1"/>
    <row r="1040311" customFormat="1"/>
    <row r="1040312" customFormat="1"/>
    <row r="1040313" customFormat="1"/>
    <row r="1040314" customFormat="1"/>
    <row r="1040315" customFormat="1"/>
    <row r="1040316" customFormat="1"/>
    <row r="1040317" customFormat="1"/>
    <row r="1040318" customFormat="1"/>
    <row r="1040319" customFormat="1"/>
    <row r="1040320" customFormat="1"/>
    <row r="1040321" customFormat="1"/>
    <row r="1040322" customFormat="1"/>
    <row r="1040323" customFormat="1"/>
    <row r="1040324" customFormat="1"/>
    <row r="1040325" customFormat="1"/>
    <row r="1040326" customFormat="1"/>
    <row r="1040327" customFormat="1"/>
    <row r="1040328" customFormat="1"/>
    <row r="1040329" customFormat="1"/>
    <row r="1040330" customFormat="1"/>
    <row r="1040331" customFormat="1"/>
    <row r="1040332" customFormat="1"/>
    <row r="1040333" customFormat="1"/>
    <row r="1040334" customFormat="1"/>
    <row r="1040335" customFormat="1"/>
    <row r="1040336" customFormat="1"/>
    <row r="1040337" customFormat="1"/>
    <row r="1040338" customFormat="1"/>
    <row r="1040339" customFormat="1"/>
    <row r="1040340" customFormat="1"/>
    <row r="1040341" customFormat="1"/>
    <row r="1040342" customFormat="1"/>
    <row r="1040343" customFormat="1"/>
    <row r="1040344" customFormat="1"/>
    <row r="1040345" customFormat="1"/>
    <row r="1040346" customFormat="1"/>
    <row r="1040347" customFormat="1"/>
    <row r="1040348" customFormat="1"/>
    <row r="1040349" customFormat="1"/>
    <row r="1040350" customFormat="1"/>
    <row r="1040351" customFormat="1"/>
    <row r="1040352" customFormat="1"/>
    <row r="1040353" customFormat="1"/>
    <row r="1040354" customFormat="1"/>
    <row r="1040355" customFormat="1"/>
    <row r="1040356" customFormat="1"/>
    <row r="1040357" customFormat="1"/>
    <row r="1040358" customFormat="1"/>
    <row r="1040359" customFormat="1"/>
    <row r="1040360" customFormat="1"/>
    <row r="1040361" customFormat="1"/>
    <row r="1040362" customFormat="1"/>
    <row r="1040363" customFormat="1"/>
    <row r="1040364" customFormat="1"/>
    <row r="1040365" customFormat="1"/>
    <row r="1040366" customFormat="1"/>
    <row r="1040367" customFormat="1"/>
    <row r="1040368" customFormat="1"/>
    <row r="1040369" customFormat="1"/>
    <row r="1040370" customFormat="1"/>
    <row r="1040371" customFormat="1"/>
    <row r="1040372" customFormat="1"/>
    <row r="1040373" customFormat="1"/>
    <row r="1040374" customFormat="1"/>
    <row r="1040375" customFormat="1"/>
    <row r="1040376" customFormat="1"/>
    <row r="1040377" customFormat="1"/>
    <row r="1040378" customFormat="1"/>
    <row r="1040379" customFormat="1"/>
    <row r="1040380" customFormat="1"/>
    <row r="1040381" customFormat="1"/>
    <row r="1040382" customFormat="1"/>
    <row r="1040383" customFormat="1"/>
    <row r="1040384" customFormat="1"/>
    <row r="1040385" customFormat="1"/>
    <row r="1040386" customFormat="1"/>
    <row r="1040387" customFormat="1"/>
    <row r="1040388" customFormat="1"/>
    <row r="1040389" customFormat="1"/>
    <row r="1040390" customFormat="1"/>
    <row r="1040391" customFormat="1"/>
    <row r="1040392" customFormat="1"/>
    <row r="1040393" customFormat="1"/>
    <row r="1040394" customFormat="1"/>
    <row r="1040395" customFormat="1"/>
    <row r="1040396" customFormat="1"/>
    <row r="1040397" customFormat="1"/>
    <row r="1040398" customFormat="1"/>
    <row r="1040399" customFormat="1"/>
    <row r="1040400" customFormat="1"/>
    <row r="1040401" customFormat="1"/>
    <row r="1040402" customFormat="1"/>
    <row r="1040403" customFormat="1"/>
    <row r="1040404" customFormat="1"/>
    <row r="1040405" customFormat="1"/>
    <row r="1040406" customFormat="1"/>
    <row r="1040407" customFormat="1"/>
    <row r="1040408" customFormat="1"/>
    <row r="1040409" customFormat="1"/>
    <row r="1040410" customFormat="1"/>
    <row r="1040411" customFormat="1"/>
    <row r="1040412" customFormat="1"/>
    <row r="1040413" customFormat="1"/>
    <row r="1040414" customFormat="1"/>
    <row r="1040415" customFormat="1"/>
    <row r="1040416" customFormat="1"/>
    <row r="1040417" customFormat="1"/>
    <row r="1040418" customFormat="1"/>
    <row r="1040419" customFormat="1"/>
    <row r="1040420" customFormat="1"/>
    <row r="1040421" customFormat="1"/>
    <row r="1040422" customFormat="1"/>
    <row r="1040423" customFormat="1"/>
    <row r="1040424" customFormat="1"/>
    <row r="1040425" customFormat="1"/>
    <row r="1040426" customFormat="1"/>
    <row r="1040427" customFormat="1"/>
    <row r="1040428" customFormat="1"/>
    <row r="1040429" customFormat="1"/>
    <row r="1040430" customFormat="1"/>
    <row r="1040431" customFormat="1"/>
    <row r="1040432" customFormat="1"/>
    <row r="1040433" customFormat="1"/>
    <row r="1040434" customFormat="1"/>
    <row r="1040435" customFormat="1"/>
    <row r="1040436" customFormat="1"/>
    <row r="1040437" customFormat="1"/>
    <row r="1040438" customFormat="1"/>
    <row r="1040439" customFormat="1"/>
    <row r="1040440" customFormat="1"/>
    <row r="1040441" customFormat="1"/>
    <row r="1040442" customFormat="1"/>
    <row r="1040443" customFormat="1"/>
    <row r="1040444" customFormat="1"/>
    <row r="1040445" customFormat="1"/>
    <row r="1040446" customFormat="1"/>
    <row r="1040447" customFormat="1"/>
    <row r="1040448" customFormat="1"/>
    <row r="1040449" customFormat="1"/>
    <row r="1040450" customFormat="1"/>
    <row r="1040451" customFormat="1"/>
    <row r="1040452" customFormat="1"/>
    <row r="1040453" customFormat="1"/>
    <row r="1040454" customFormat="1"/>
    <row r="1040455" customFormat="1"/>
    <row r="1040456" customFormat="1"/>
    <row r="1040457" customFormat="1"/>
    <row r="1040458" customFormat="1"/>
    <row r="1040459" customFormat="1"/>
    <row r="1040460" customFormat="1"/>
    <row r="1040461" customFormat="1"/>
    <row r="1040462" customFormat="1"/>
    <row r="1040463" customFormat="1"/>
    <row r="1040464" customFormat="1"/>
    <row r="1040465" customFormat="1"/>
    <row r="1040466" customFormat="1"/>
    <row r="1040467" customFormat="1"/>
    <row r="1040468" customFormat="1"/>
    <row r="1040469" customFormat="1"/>
    <row r="1040470" customFormat="1"/>
    <row r="1040471" customFormat="1"/>
    <row r="1040472" customFormat="1"/>
    <row r="1040473" customFormat="1"/>
    <row r="1040474" customFormat="1"/>
    <row r="1040475" customFormat="1"/>
    <row r="1040476" customFormat="1"/>
    <row r="1040477" customFormat="1"/>
    <row r="1040478" customFormat="1"/>
    <row r="1040479" customFormat="1"/>
    <row r="1040480" customFormat="1"/>
    <row r="1040481" customFormat="1"/>
    <row r="1040482" customFormat="1"/>
    <row r="1040483" customFormat="1"/>
    <row r="1040484" customFormat="1"/>
    <row r="1040485" customFormat="1"/>
    <row r="1040486" customFormat="1"/>
    <row r="1040487" customFormat="1"/>
    <row r="1040488" customFormat="1"/>
    <row r="1040489" customFormat="1"/>
    <row r="1040490" customFormat="1"/>
    <row r="1040491" customFormat="1"/>
    <row r="1040492" customFormat="1"/>
    <row r="1040493" customFormat="1"/>
    <row r="1040494" customFormat="1"/>
    <row r="1040495" customFormat="1"/>
    <row r="1040496" customFormat="1"/>
    <row r="1040497" customFormat="1"/>
    <row r="1040498" customFormat="1"/>
    <row r="1040499" customFormat="1"/>
    <row r="1040500" customFormat="1"/>
    <row r="1040501" customFormat="1"/>
    <row r="1040502" customFormat="1"/>
    <row r="1040503" customFormat="1"/>
    <row r="1040504" customFormat="1"/>
    <row r="1040505" customFormat="1"/>
    <row r="1040506" customFormat="1"/>
    <row r="1040507" customFormat="1"/>
    <row r="1040508" customFormat="1"/>
    <row r="1040509" customFormat="1"/>
    <row r="1040510" customFormat="1"/>
    <row r="1040511" customFormat="1"/>
    <row r="1040512" customFormat="1"/>
    <row r="1040513" customFormat="1"/>
    <row r="1040514" customFormat="1"/>
    <row r="1040515" customFormat="1"/>
    <row r="1040516" customFormat="1"/>
    <row r="1040517" customFormat="1"/>
    <row r="1040518" customFormat="1"/>
    <row r="1040519" customFormat="1"/>
    <row r="1040520" customFormat="1"/>
    <row r="1040521" customFormat="1"/>
    <row r="1040522" customFormat="1"/>
    <row r="1040523" customFormat="1"/>
    <row r="1040524" customFormat="1"/>
    <row r="1040525" customFormat="1"/>
    <row r="1040526" customFormat="1"/>
    <row r="1040527" customFormat="1"/>
    <row r="1040528" customFormat="1"/>
    <row r="1040529" customFormat="1"/>
    <row r="1040530" customFormat="1"/>
    <row r="1040531" customFormat="1"/>
    <row r="1040532" customFormat="1"/>
    <row r="1040533" customFormat="1"/>
    <row r="1040534" customFormat="1"/>
    <row r="1040535" customFormat="1"/>
    <row r="1040536" customFormat="1"/>
    <row r="1040537" customFormat="1"/>
    <row r="1040538" customFormat="1"/>
    <row r="1040539" customFormat="1"/>
    <row r="1040540" customFormat="1"/>
    <row r="1040541" customFormat="1"/>
    <row r="1040542" customFormat="1"/>
    <row r="1040543" customFormat="1"/>
    <row r="1040544" customFormat="1"/>
    <row r="1040545" customFormat="1"/>
    <row r="1040546" customFormat="1"/>
    <row r="1040547" customFormat="1"/>
    <row r="1040548" customFormat="1"/>
    <row r="1040549" customFormat="1"/>
    <row r="1040550" customFormat="1"/>
    <row r="1040551" customFormat="1"/>
    <row r="1040552" customFormat="1"/>
    <row r="1040553" customFormat="1"/>
    <row r="1040554" customFormat="1"/>
    <row r="1040555" customFormat="1"/>
    <row r="1040556" customFormat="1"/>
    <row r="1040557" customFormat="1"/>
    <row r="1040558" customFormat="1"/>
    <row r="1040559" customFormat="1"/>
    <row r="1040560" customFormat="1"/>
    <row r="1040561" customFormat="1"/>
    <row r="1040562" customFormat="1"/>
    <row r="1040563" customFormat="1"/>
    <row r="1040564" customFormat="1"/>
    <row r="1040565" customFormat="1"/>
    <row r="1040566" customFormat="1"/>
    <row r="1040567" customFormat="1"/>
    <row r="1040568" customFormat="1"/>
    <row r="1040569" customFormat="1"/>
    <row r="1040570" customFormat="1"/>
    <row r="1040571" customFormat="1"/>
    <row r="1040572" customFormat="1"/>
    <row r="1040573" customFormat="1"/>
    <row r="1040574" customFormat="1"/>
    <row r="1040575" customFormat="1"/>
    <row r="1040576" customFormat="1"/>
    <row r="1040577" customFormat="1"/>
    <row r="1040578" customFormat="1"/>
    <row r="1040579" customFormat="1"/>
    <row r="1040580" customFormat="1"/>
    <row r="1040581" customFormat="1"/>
    <row r="1040582" customFormat="1"/>
    <row r="1040583" customFormat="1"/>
    <row r="1040584" customFormat="1"/>
    <row r="1040585" customFormat="1"/>
    <row r="1040586" customFormat="1"/>
    <row r="1040587" customFormat="1"/>
    <row r="1040588" customFormat="1"/>
    <row r="1040589" customFormat="1"/>
    <row r="1040590" customFormat="1"/>
    <row r="1040591" customFormat="1"/>
    <row r="1040592" customFormat="1"/>
    <row r="1040593" customFormat="1"/>
    <row r="1040594" customFormat="1"/>
    <row r="1040595" customFormat="1"/>
    <row r="1040596" customFormat="1"/>
    <row r="1040597" customFormat="1"/>
    <row r="1040598" customFormat="1"/>
    <row r="1040599" customFormat="1"/>
    <row r="1040600" customFormat="1"/>
    <row r="1040601" customFormat="1"/>
    <row r="1040602" customFormat="1"/>
    <row r="1040603" customFormat="1"/>
    <row r="1040604" customFormat="1"/>
    <row r="1040605" customFormat="1"/>
    <row r="1040606" customFormat="1"/>
    <row r="1040607" customFormat="1"/>
    <row r="1040608" customFormat="1"/>
    <row r="1040609" customFormat="1"/>
    <row r="1040610" customFormat="1"/>
    <row r="1040611" customFormat="1"/>
    <row r="1040612" customFormat="1"/>
    <row r="1040613" customFormat="1"/>
    <row r="1040614" customFormat="1"/>
    <row r="1040615" customFormat="1"/>
    <row r="1040616" customFormat="1"/>
    <row r="1040617" customFormat="1"/>
    <row r="1040618" customFormat="1"/>
    <row r="1040619" customFormat="1"/>
    <row r="1040620" customFormat="1"/>
    <row r="1040621" customFormat="1"/>
    <row r="1040622" customFormat="1"/>
    <row r="1040623" customFormat="1"/>
    <row r="1040624" customFormat="1"/>
    <row r="1040625" customFormat="1"/>
    <row r="1040626" customFormat="1"/>
    <row r="1040627" customFormat="1"/>
    <row r="1040628" customFormat="1"/>
    <row r="1040629" customFormat="1"/>
    <row r="1040630" customFormat="1"/>
    <row r="1040631" customFormat="1"/>
    <row r="1040632" customFormat="1"/>
    <row r="1040633" customFormat="1"/>
    <row r="1040634" customFormat="1"/>
    <row r="1040635" customFormat="1"/>
    <row r="1040636" customFormat="1"/>
    <row r="1040637" customFormat="1"/>
    <row r="1040638" customFormat="1"/>
    <row r="1040639" customFormat="1"/>
    <row r="1040640" customFormat="1"/>
    <row r="1040641" customFormat="1"/>
    <row r="1040642" customFormat="1"/>
    <row r="1040643" customFormat="1"/>
    <row r="1040644" customFormat="1"/>
    <row r="1040645" customFormat="1"/>
    <row r="1040646" customFormat="1"/>
    <row r="1040647" customFormat="1"/>
    <row r="1040648" customFormat="1"/>
    <row r="1040649" customFormat="1"/>
    <row r="1040650" customFormat="1"/>
    <row r="1040651" customFormat="1"/>
    <row r="1040652" customFormat="1"/>
    <row r="1040653" customFormat="1"/>
    <row r="1040654" customFormat="1"/>
    <row r="1040655" customFormat="1"/>
    <row r="1040656" customFormat="1"/>
    <row r="1040657" customFormat="1"/>
    <row r="1040658" customFormat="1"/>
    <row r="1040659" customFormat="1"/>
    <row r="1040660" customFormat="1"/>
    <row r="1040661" customFormat="1"/>
    <row r="1040662" customFormat="1"/>
    <row r="1040663" customFormat="1"/>
    <row r="1040664" customFormat="1"/>
    <row r="1040665" customFormat="1"/>
    <row r="1040666" customFormat="1"/>
    <row r="1040667" customFormat="1"/>
    <row r="1040668" customFormat="1"/>
    <row r="1040669" customFormat="1"/>
    <row r="1040670" customFormat="1"/>
    <row r="1040671" customFormat="1"/>
    <row r="1040672" customFormat="1"/>
    <row r="1040673" customFormat="1"/>
    <row r="1040674" customFormat="1"/>
    <row r="1040675" customFormat="1"/>
    <row r="1040676" customFormat="1"/>
    <row r="1040677" customFormat="1"/>
    <row r="1040678" customFormat="1"/>
    <row r="1040679" customFormat="1"/>
    <row r="1040680" customFormat="1"/>
    <row r="1040681" customFormat="1"/>
    <row r="1040682" customFormat="1"/>
    <row r="1040683" customFormat="1"/>
    <row r="1040684" customFormat="1"/>
    <row r="1040685" customFormat="1"/>
    <row r="1040686" customFormat="1"/>
    <row r="1040687" customFormat="1"/>
    <row r="1040688" customFormat="1"/>
    <row r="1040689" customFormat="1"/>
    <row r="1040690" customFormat="1"/>
    <row r="1040691" customFormat="1"/>
    <row r="1040692" customFormat="1"/>
    <row r="1040693" customFormat="1"/>
    <row r="1040694" customFormat="1"/>
    <row r="1040695" customFormat="1"/>
    <row r="1040696" customFormat="1"/>
    <row r="1040697" customFormat="1"/>
    <row r="1040698" customFormat="1"/>
    <row r="1040699" customFormat="1"/>
    <row r="1040700" customFormat="1"/>
    <row r="1040701" customFormat="1"/>
    <row r="1040702" customFormat="1"/>
    <row r="1040703" customFormat="1"/>
    <row r="1040704" customFormat="1"/>
    <row r="1040705" customFormat="1"/>
    <row r="1040706" customFormat="1"/>
    <row r="1040707" customFormat="1"/>
    <row r="1040708" customFormat="1"/>
    <row r="1040709" customFormat="1"/>
    <row r="1040710" customFormat="1"/>
    <row r="1040711" customFormat="1"/>
    <row r="1040712" customFormat="1"/>
    <row r="1040713" customFormat="1"/>
    <row r="1040714" customFormat="1"/>
    <row r="1040715" customFormat="1"/>
    <row r="1040716" customFormat="1"/>
    <row r="1040717" customFormat="1"/>
    <row r="1040718" customFormat="1"/>
    <row r="1040719" customFormat="1"/>
    <row r="1040720" customFormat="1"/>
    <row r="1040721" customFormat="1"/>
    <row r="1040722" customFormat="1"/>
    <row r="1040723" customFormat="1"/>
    <row r="1040724" customFormat="1"/>
    <row r="1040725" customFormat="1"/>
    <row r="1040726" customFormat="1"/>
    <row r="1040727" customFormat="1"/>
    <row r="1040728" customFormat="1"/>
    <row r="1040729" customFormat="1"/>
    <row r="1040730" customFormat="1"/>
    <row r="1040731" customFormat="1"/>
    <row r="1040732" customFormat="1"/>
    <row r="1040733" customFormat="1"/>
    <row r="1040734" customFormat="1"/>
    <row r="1040735" customFormat="1"/>
    <row r="1040736" customFormat="1"/>
    <row r="1040737" customFormat="1"/>
    <row r="1040738" customFormat="1"/>
    <row r="1040739" customFormat="1"/>
    <row r="1040740" customFormat="1"/>
    <row r="1040741" customFormat="1"/>
    <row r="1040742" customFormat="1"/>
    <row r="1040743" customFormat="1"/>
    <row r="1040744" customFormat="1"/>
    <row r="1040745" customFormat="1"/>
    <row r="1040746" customFormat="1"/>
    <row r="1040747" customFormat="1"/>
    <row r="1040748" customFormat="1"/>
    <row r="1040749" customFormat="1"/>
    <row r="1040750" customFormat="1"/>
    <row r="1040751" customFormat="1"/>
    <row r="1040752" customFormat="1"/>
    <row r="1040753" customFormat="1"/>
    <row r="1040754" customFormat="1"/>
    <row r="1040755" customFormat="1"/>
    <row r="1040756" customFormat="1"/>
    <row r="1040757" customFormat="1"/>
    <row r="1040758" customFormat="1"/>
    <row r="1040759" customFormat="1"/>
    <row r="1040760" customFormat="1"/>
    <row r="1040761" customFormat="1"/>
    <row r="1040762" customFormat="1"/>
    <row r="1040763" customFormat="1"/>
    <row r="1040764" customFormat="1"/>
    <row r="1040765" customFormat="1"/>
    <row r="1040766" customFormat="1"/>
    <row r="1040767" customFormat="1"/>
    <row r="1040768" customFormat="1"/>
    <row r="1040769" customFormat="1"/>
    <row r="1040770" customFormat="1"/>
    <row r="1040771" customFormat="1"/>
    <row r="1040772" customFormat="1"/>
    <row r="1040773" customFormat="1"/>
    <row r="1040774" customFormat="1"/>
    <row r="1040775" customFormat="1"/>
    <row r="1040776" customFormat="1"/>
    <row r="1040777" customFormat="1"/>
    <row r="1040778" customFormat="1"/>
    <row r="1040779" customFormat="1"/>
    <row r="1040780" customFormat="1"/>
    <row r="1040781" customFormat="1"/>
    <row r="1040782" customFormat="1"/>
    <row r="1040783" customFormat="1"/>
    <row r="1040784" customFormat="1"/>
    <row r="1040785" customFormat="1"/>
    <row r="1040786" customFormat="1"/>
    <row r="1040787" customFormat="1"/>
    <row r="1040788" customFormat="1"/>
    <row r="1040789" customFormat="1"/>
    <row r="1040790" customFormat="1"/>
    <row r="1040791" customFormat="1"/>
    <row r="1040792" customFormat="1"/>
    <row r="1040793" customFormat="1"/>
    <row r="1040794" customFormat="1"/>
    <row r="1040795" customFormat="1"/>
    <row r="1040796" customFormat="1"/>
    <row r="1040797" customFormat="1"/>
    <row r="1040798" customFormat="1"/>
    <row r="1040799" customFormat="1"/>
    <row r="1040800" customFormat="1"/>
    <row r="1040801" customFormat="1"/>
    <row r="1040802" customFormat="1"/>
    <row r="1040803" customFormat="1"/>
    <row r="1040804" customFormat="1"/>
    <row r="1040805" customFormat="1"/>
    <row r="1040806" customFormat="1"/>
    <row r="1040807" customFormat="1"/>
    <row r="1040808" customFormat="1"/>
    <row r="1040809" customFormat="1"/>
    <row r="1040810" customFormat="1"/>
    <row r="1040811" customFormat="1"/>
    <row r="1040812" customFormat="1"/>
    <row r="1040813" customFormat="1"/>
    <row r="1040814" customFormat="1"/>
    <row r="1040815" customFormat="1"/>
    <row r="1040816" customFormat="1"/>
    <row r="1040817" customFormat="1"/>
    <row r="1040818" customFormat="1"/>
    <row r="1040819" customFormat="1"/>
    <row r="1040820" customFormat="1"/>
    <row r="1040821" customFormat="1"/>
    <row r="1040822" customFormat="1"/>
    <row r="1040823" customFormat="1"/>
    <row r="1040824" customFormat="1"/>
    <row r="1040825" customFormat="1"/>
    <row r="1040826" customFormat="1"/>
    <row r="1040827" customFormat="1"/>
    <row r="1040828" customFormat="1"/>
    <row r="1040829" customFormat="1"/>
    <row r="1040830" customFormat="1"/>
    <row r="1040831" customFormat="1"/>
    <row r="1040832" customFormat="1"/>
    <row r="1040833" customFormat="1"/>
    <row r="1040834" customFormat="1"/>
    <row r="1040835" customFormat="1"/>
    <row r="1040836" customFormat="1"/>
    <row r="1040837" customFormat="1"/>
    <row r="1040838" customFormat="1"/>
    <row r="1040839" customFormat="1"/>
    <row r="1040840" customFormat="1"/>
    <row r="1040841" customFormat="1"/>
    <row r="1040842" customFormat="1"/>
    <row r="1040843" customFormat="1"/>
    <row r="1040844" customFormat="1"/>
    <row r="1040845" customFormat="1"/>
    <row r="1040846" customFormat="1"/>
    <row r="1040847" customFormat="1"/>
    <row r="1040848" customFormat="1"/>
    <row r="1040849" customFormat="1"/>
    <row r="1040850" customFormat="1"/>
    <row r="1040851" customFormat="1"/>
    <row r="1040852" customFormat="1"/>
    <row r="1040853" customFormat="1"/>
    <row r="1040854" customFormat="1"/>
    <row r="1040855" customFormat="1"/>
    <row r="1040856" customFormat="1"/>
    <row r="1040857" customFormat="1"/>
    <row r="1040858" customFormat="1"/>
    <row r="1040859" customFormat="1"/>
    <row r="1040860" customFormat="1"/>
    <row r="1040861" customFormat="1"/>
    <row r="1040862" customFormat="1"/>
    <row r="1040863" customFormat="1"/>
    <row r="1040864" customFormat="1"/>
    <row r="1040865" customFormat="1"/>
    <row r="1040866" customFormat="1"/>
    <row r="1040867" customFormat="1"/>
    <row r="1040868" customFormat="1"/>
    <row r="1040869" customFormat="1"/>
    <row r="1040870" customFormat="1"/>
    <row r="1040871" customFormat="1"/>
    <row r="1040872" customFormat="1"/>
    <row r="1040873" customFormat="1"/>
    <row r="1040874" customFormat="1"/>
    <row r="1040875" customFormat="1"/>
    <row r="1040876" customFormat="1"/>
    <row r="1040877" customFormat="1"/>
    <row r="1040878" customFormat="1"/>
    <row r="1040879" customFormat="1"/>
    <row r="1040880" customFormat="1"/>
    <row r="1040881" customFormat="1"/>
    <row r="1040882" customFormat="1"/>
    <row r="1040883" customFormat="1"/>
    <row r="1040884" customFormat="1"/>
    <row r="1040885" customFormat="1"/>
    <row r="1040886" customFormat="1"/>
    <row r="1040887" customFormat="1"/>
    <row r="1040888" customFormat="1"/>
    <row r="1040889" customFormat="1"/>
    <row r="1040890" customFormat="1"/>
    <row r="1040891" customFormat="1"/>
    <row r="1040892" customFormat="1"/>
    <row r="1040893" customFormat="1"/>
    <row r="1040894" customFormat="1"/>
    <row r="1040895" customFormat="1"/>
    <row r="1040896" customFormat="1"/>
    <row r="1040897" customFormat="1"/>
    <row r="1040898" customFormat="1"/>
    <row r="1040899" customFormat="1"/>
    <row r="1040900" customFormat="1"/>
    <row r="1040901" customFormat="1"/>
    <row r="1040902" customFormat="1"/>
    <row r="1040903" customFormat="1"/>
    <row r="1040904" customFormat="1"/>
    <row r="1040905" customFormat="1"/>
    <row r="1040906" customFormat="1"/>
    <row r="1040907" customFormat="1"/>
    <row r="1040908" customFormat="1"/>
    <row r="1040909" customFormat="1"/>
    <row r="1040910" customFormat="1"/>
    <row r="1040911" customFormat="1"/>
    <row r="1040912" customFormat="1"/>
    <row r="1040913" customFormat="1"/>
    <row r="1040914" customFormat="1"/>
    <row r="1040915" customFormat="1"/>
    <row r="1040916" customFormat="1"/>
    <row r="1040917" customFormat="1"/>
    <row r="1040918" customFormat="1"/>
    <row r="1040919" customFormat="1"/>
    <row r="1040920" customFormat="1"/>
    <row r="1040921" customFormat="1"/>
    <row r="1040922" customFormat="1"/>
    <row r="1040923" customFormat="1"/>
    <row r="1040924" customFormat="1"/>
    <row r="1040925" customFormat="1"/>
    <row r="1040926" customFormat="1"/>
    <row r="1040927" customFormat="1"/>
    <row r="1040928" customFormat="1"/>
    <row r="1040929" customFormat="1"/>
    <row r="1040930" customFormat="1"/>
    <row r="1040931" customFormat="1"/>
    <row r="1040932" customFormat="1"/>
    <row r="1040933" customFormat="1"/>
    <row r="1040934" customFormat="1"/>
    <row r="1040935" customFormat="1"/>
    <row r="1040936" customFormat="1"/>
    <row r="1040937" customFormat="1"/>
    <row r="1040938" customFormat="1"/>
    <row r="1040939" customFormat="1"/>
    <row r="1040940" customFormat="1"/>
    <row r="1040941" customFormat="1"/>
    <row r="1040942" customFormat="1"/>
    <row r="1040943" customFormat="1"/>
    <row r="1040944" customFormat="1"/>
    <row r="1040945" customFormat="1"/>
    <row r="1040946" customFormat="1"/>
    <row r="1040947" customFormat="1"/>
    <row r="1040948" customFormat="1"/>
    <row r="1040949" customFormat="1"/>
    <row r="1040950" customFormat="1"/>
    <row r="1040951" customFormat="1"/>
    <row r="1040952" customFormat="1"/>
    <row r="1040953" customFormat="1"/>
    <row r="1040954" customFormat="1"/>
    <row r="1040955" customFormat="1"/>
    <row r="1040956" customFormat="1"/>
    <row r="1040957" customFormat="1"/>
    <row r="1040958" customFormat="1"/>
    <row r="1040959" customFormat="1"/>
    <row r="1040960" customFormat="1"/>
    <row r="1040961" customFormat="1"/>
    <row r="1040962" customFormat="1"/>
    <row r="1040963" customFormat="1"/>
    <row r="1040964" customFormat="1"/>
    <row r="1040965" customFormat="1"/>
    <row r="1040966" customFormat="1"/>
    <row r="1040967" customFormat="1"/>
    <row r="1040968" customFormat="1"/>
    <row r="1040969" customFormat="1"/>
    <row r="1040970" customFormat="1"/>
    <row r="1040971" customFormat="1"/>
    <row r="1040972" customFormat="1"/>
    <row r="1040973" customFormat="1"/>
    <row r="1040974" customFormat="1"/>
    <row r="1040975" customFormat="1"/>
    <row r="1040976" customFormat="1"/>
    <row r="1040977" customFormat="1"/>
    <row r="1040978" customFormat="1"/>
    <row r="1040979" customFormat="1"/>
    <row r="1040980" customFormat="1"/>
    <row r="1040981" customFormat="1"/>
    <row r="1040982" customFormat="1"/>
    <row r="1040983" customFormat="1"/>
    <row r="1040984" customFormat="1"/>
    <row r="1040985" customFormat="1"/>
    <row r="1040986" customFormat="1"/>
    <row r="1040987" customFormat="1"/>
    <row r="1040988" customFormat="1"/>
    <row r="1040989" customFormat="1"/>
    <row r="1040990" customFormat="1"/>
    <row r="1040991" customFormat="1"/>
    <row r="1040992" customFormat="1"/>
    <row r="1040993" customFormat="1"/>
    <row r="1040994" customFormat="1"/>
    <row r="1040995" customFormat="1"/>
    <row r="1040996" customFormat="1"/>
    <row r="1040997" customFormat="1"/>
    <row r="1040998" customFormat="1"/>
    <row r="1040999" customFormat="1"/>
    <row r="1041000" customFormat="1"/>
    <row r="1041001" customFormat="1"/>
    <row r="1041002" customFormat="1"/>
    <row r="1041003" customFormat="1"/>
    <row r="1041004" customFormat="1"/>
    <row r="1041005" customFormat="1"/>
    <row r="1041006" customFormat="1"/>
    <row r="1041007" customFormat="1"/>
    <row r="1041008" customFormat="1"/>
    <row r="1041009" customFormat="1"/>
    <row r="1041010" customFormat="1"/>
    <row r="1041011" customFormat="1"/>
    <row r="1041012" customFormat="1"/>
    <row r="1041013" customFormat="1"/>
    <row r="1041014" customFormat="1"/>
    <row r="1041015" customFormat="1"/>
    <row r="1041016" customFormat="1"/>
    <row r="1041017" customFormat="1"/>
    <row r="1041018" customFormat="1"/>
    <row r="1041019" customFormat="1"/>
    <row r="1041020" customFormat="1"/>
    <row r="1041021" customFormat="1"/>
    <row r="1041022" customFormat="1"/>
    <row r="1041023" customFormat="1"/>
    <row r="1041024" customFormat="1"/>
    <row r="1041025" customFormat="1"/>
    <row r="1041026" customFormat="1"/>
    <row r="1041027" customFormat="1"/>
    <row r="1041028" customFormat="1"/>
    <row r="1041029" customFormat="1"/>
    <row r="1041030" customFormat="1"/>
    <row r="1041031" customFormat="1"/>
    <row r="1041032" customFormat="1"/>
    <row r="1041033" customFormat="1"/>
    <row r="1041034" customFormat="1"/>
    <row r="1041035" customFormat="1"/>
    <row r="1041036" customFormat="1"/>
    <row r="1041037" customFormat="1"/>
    <row r="1041038" customFormat="1"/>
    <row r="1041039" customFormat="1"/>
    <row r="1041040" customFormat="1"/>
    <row r="1041041" customFormat="1"/>
    <row r="1041042" customFormat="1"/>
    <row r="1041043" customFormat="1"/>
    <row r="1041044" customFormat="1"/>
    <row r="1041045" customFormat="1"/>
    <row r="1041046" customFormat="1"/>
    <row r="1041047" customFormat="1"/>
    <row r="1041048" customFormat="1"/>
    <row r="1041049" customFormat="1"/>
    <row r="1041050" customFormat="1"/>
    <row r="1041051" customFormat="1"/>
    <row r="1041052" customFormat="1"/>
    <row r="1041053" customFormat="1"/>
    <row r="1041054" customFormat="1"/>
    <row r="1041055" customFormat="1"/>
    <row r="1041056" customFormat="1"/>
    <row r="1041057" customFormat="1"/>
    <row r="1041058" customFormat="1"/>
    <row r="1041059" customFormat="1"/>
    <row r="1041060" customFormat="1"/>
    <row r="1041061" customFormat="1"/>
    <row r="1041062" customFormat="1"/>
    <row r="1041063" customFormat="1"/>
    <row r="1041064" customFormat="1"/>
    <row r="1041065" customFormat="1"/>
    <row r="1041066" customFormat="1"/>
    <row r="1041067" customFormat="1"/>
    <row r="1041068" customFormat="1"/>
    <row r="1041069" customFormat="1"/>
    <row r="1041070" customFormat="1"/>
    <row r="1041071" customFormat="1"/>
    <row r="1041072" customFormat="1"/>
    <row r="1041073" customFormat="1"/>
    <row r="1041074" customFormat="1"/>
    <row r="1041075" customFormat="1"/>
    <row r="1041076" customFormat="1"/>
    <row r="1041077" customFormat="1"/>
    <row r="1041078" customFormat="1"/>
    <row r="1041079" customFormat="1"/>
    <row r="1041080" customFormat="1"/>
    <row r="1041081" customFormat="1"/>
    <row r="1041082" customFormat="1"/>
    <row r="1041083" customFormat="1"/>
    <row r="1041084" customFormat="1"/>
    <row r="1041085" customFormat="1"/>
    <row r="1041086" customFormat="1"/>
    <row r="1041087" customFormat="1"/>
    <row r="1041088" customFormat="1"/>
    <row r="1041089" customFormat="1"/>
    <row r="1041090" customFormat="1"/>
    <row r="1041091" customFormat="1"/>
    <row r="1041092" customFormat="1"/>
    <row r="1041093" customFormat="1"/>
    <row r="1041094" customFormat="1"/>
    <row r="1041095" customFormat="1"/>
    <row r="1041096" customFormat="1"/>
    <row r="1041097" customFormat="1"/>
    <row r="1041098" customFormat="1"/>
    <row r="1041099" customFormat="1"/>
    <row r="1041100" customFormat="1"/>
    <row r="1041101" customFormat="1"/>
    <row r="1041102" customFormat="1"/>
    <row r="1041103" customFormat="1"/>
    <row r="1041104" customFormat="1"/>
    <row r="1041105" customFormat="1"/>
    <row r="1041106" customFormat="1"/>
    <row r="1041107" customFormat="1"/>
    <row r="1041108" customFormat="1"/>
    <row r="1041109" customFormat="1"/>
    <row r="1041110" customFormat="1"/>
    <row r="1041111" customFormat="1"/>
    <row r="1041112" customFormat="1"/>
    <row r="1041113" customFormat="1"/>
    <row r="1041114" customFormat="1"/>
    <row r="1041115" customFormat="1"/>
    <row r="1041116" customFormat="1"/>
    <row r="1041117" customFormat="1"/>
    <row r="1041118" customFormat="1"/>
    <row r="1041119" customFormat="1"/>
    <row r="1041120" customFormat="1"/>
    <row r="1041121" customFormat="1"/>
    <row r="1041122" customFormat="1"/>
    <row r="1041123" customFormat="1"/>
    <row r="1041124" customFormat="1"/>
    <row r="1041125" customFormat="1"/>
    <row r="1041126" customFormat="1"/>
    <row r="1041127" customFormat="1"/>
    <row r="1041128" customFormat="1"/>
    <row r="1041129" customFormat="1"/>
    <row r="1041130" customFormat="1"/>
    <row r="1041131" customFormat="1"/>
    <row r="1041132" customFormat="1"/>
    <row r="1041133" customFormat="1"/>
    <row r="1041134" customFormat="1"/>
    <row r="1041135" customFormat="1"/>
    <row r="1041136" customFormat="1"/>
    <row r="1041137" customFormat="1"/>
    <row r="1041138" customFormat="1"/>
    <row r="1041139" customFormat="1"/>
    <row r="1041140" customFormat="1"/>
    <row r="1041141" customFormat="1"/>
    <row r="1041142" customFormat="1"/>
    <row r="1041143" customFormat="1"/>
    <row r="1041144" customFormat="1"/>
    <row r="1041145" customFormat="1"/>
    <row r="1041146" customFormat="1"/>
    <row r="1041147" customFormat="1"/>
    <row r="1041148" customFormat="1"/>
    <row r="1041149" customFormat="1"/>
    <row r="1041150" customFormat="1"/>
    <row r="1041151" customFormat="1"/>
    <row r="1041152" customFormat="1"/>
    <row r="1041153" customFormat="1"/>
    <row r="1041154" customFormat="1"/>
    <row r="1041155" customFormat="1"/>
    <row r="1041156" customFormat="1"/>
    <row r="1041157" customFormat="1"/>
    <row r="1041158" customFormat="1"/>
    <row r="1041159" customFormat="1"/>
    <row r="1041160" customFormat="1"/>
    <row r="1041161" customFormat="1"/>
    <row r="1041162" customFormat="1"/>
    <row r="1041163" customFormat="1"/>
    <row r="1041164" customFormat="1"/>
    <row r="1041165" customFormat="1"/>
    <row r="1041166" customFormat="1"/>
    <row r="1041167" customFormat="1"/>
    <row r="1041168" customFormat="1"/>
    <row r="1041169" customFormat="1"/>
    <row r="1041170" customFormat="1"/>
    <row r="1041171" customFormat="1"/>
    <row r="1041172" customFormat="1"/>
    <row r="1041173" customFormat="1"/>
    <row r="1041174" customFormat="1"/>
    <row r="1041175" customFormat="1"/>
    <row r="1041176" customFormat="1"/>
    <row r="1041177" customFormat="1"/>
    <row r="1041178" customFormat="1"/>
    <row r="1041179" customFormat="1"/>
    <row r="1041180" customFormat="1"/>
    <row r="1041181" customFormat="1"/>
    <row r="1041182" customFormat="1"/>
    <row r="1041183" customFormat="1"/>
    <row r="1041184" customFormat="1"/>
    <row r="1041185" customFormat="1"/>
    <row r="1041186" customFormat="1"/>
    <row r="1041187" customFormat="1"/>
    <row r="1041188" customFormat="1"/>
    <row r="1041189" customFormat="1"/>
    <row r="1041190" customFormat="1"/>
    <row r="1041191" customFormat="1"/>
    <row r="1041192" customFormat="1"/>
    <row r="1041193" customFormat="1"/>
    <row r="1041194" customFormat="1"/>
    <row r="1041195" customFormat="1"/>
    <row r="1041196" customFormat="1"/>
    <row r="1041197" customFormat="1"/>
    <row r="1041198" customFormat="1"/>
    <row r="1041199" customFormat="1"/>
    <row r="1041200" customFormat="1"/>
    <row r="1041201" customFormat="1"/>
    <row r="1041202" customFormat="1"/>
    <row r="1041203" customFormat="1"/>
    <row r="1041204" customFormat="1"/>
    <row r="1041205" customFormat="1"/>
    <row r="1041206" customFormat="1"/>
    <row r="1041207" customFormat="1"/>
    <row r="1041208" customFormat="1"/>
    <row r="1041209" customFormat="1"/>
    <row r="1041210" customFormat="1"/>
    <row r="1041211" customFormat="1"/>
    <row r="1041212" customFormat="1"/>
    <row r="1041213" customFormat="1"/>
    <row r="1041214" customFormat="1"/>
    <row r="1041215" customFormat="1"/>
    <row r="1041216" customFormat="1"/>
    <row r="1041217" customFormat="1"/>
    <row r="1041218" customFormat="1"/>
    <row r="1041219" customFormat="1"/>
    <row r="1041220" customFormat="1"/>
    <row r="1041221" customFormat="1"/>
    <row r="1041222" customFormat="1"/>
    <row r="1041223" customFormat="1"/>
    <row r="1041224" customFormat="1"/>
    <row r="1041225" customFormat="1"/>
    <row r="1041226" customFormat="1"/>
    <row r="1041227" customFormat="1"/>
    <row r="1041228" customFormat="1"/>
    <row r="1041229" customFormat="1"/>
    <row r="1041230" customFormat="1"/>
    <row r="1041231" customFormat="1"/>
    <row r="1041232" customFormat="1"/>
    <row r="1041233" customFormat="1"/>
    <row r="1041234" customFormat="1"/>
    <row r="1041235" customFormat="1"/>
    <row r="1041236" customFormat="1"/>
    <row r="1041237" customFormat="1"/>
    <row r="1041238" customFormat="1"/>
    <row r="1041239" customFormat="1"/>
    <row r="1041240" customFormat="1"/>
    <row r="1041241" customFormat="1"/>
    <row r="1041242" customFormat="1"/>
    <row r="1041243" customFormat="1"/>
    <row r="1041244" customFormat="1"/>
    <row r="1041245" customFormat="1"/>
    <row r="1041246" customFormat="1"/>
    <row r="1041247" customFormat="1"/>
    <row r="1041248" customFormat="1"/>
    <row r="1041249" customFormat="1"/>
    <row r="1041250" customFormat="1"/>
    <row r="1041251" customFormat="1"/>
    <row r="1041252" customFormat="1"/>
    <row r="1041253" customFormat="1"/>
    <row r="1041254" customFormat="1"/>
    <row r="1041255" customFormat="1"/>
    <row r="1041256" customFormat="1"/>
    <row r="1041257" customFormat="1"/>
    <row r="1041258" customFormat="1"/>
    <row r="1041259" customFormat="1"/>
    <row r="1041260" customFormat="1"/>
    <row r="1041261" customFormat="1"/>
    <row r="1041262" customFormat="1"/>
    <row r="1041263" customFormat="1"/>
    <row r="1041264" customFormat="1"/>
    <row r="1041265" customFormat="1"/>
    <row r="1041266" customFormat="1"/>
    <row r="1041267" customFormat="1"/>
    <row r="1041268" customFormat="1"/>
    <row r="1041269" customFormat="1"/>
    <row r="1041270" customFormat="1"/>
    <row r="1041271" customFormat="1"/>
    <row r="1041272" customFormat="1"/>
    <row r="1041273" customFormat="1"/>
    <row r="1041274" customFormat="1"/>
    <row r="1041275" customFormat="1"/>
    <row r="1041276" customFormat="1"/>
    <row r="1041277" customFormat="1"/>
    <row r="1041278" customFormat="1"/>
    <row r="1041279" customFormat="1"/>
    <row r="1041280" customFormat="1"/>
    <row r="1041281" customFormat="1"/>
    <row r="1041282" customFormat="1"/>
    <row r="1041283" customFormat="1"/>
    <row r="1041284" customFormat="1"/>
    <row r="1041285" customFormat="1"/>
    <row r="1041286" customFormat="1"/>
    <row r="1041287" customFormat="1"/>
    <row r="1041288" customFormat="1"/>
    <row r="1041289" customFormat="1"/>
    <row r="1041290" customFormat="1"/>
    <row r="1041291" customFormat="1"/>
    <row r="1041292" customFormat="1"/>
    <row r="1041293" customFormat="1"/>
    <row r="1041294" customFormat="1"/>
    <row r="1041295" customFormat="1"/>
    <row r="1041296" customFormat="1"/>
    <row r="1041297" customFormat="1"/>
    <row r="1041298" customFormat="1"/>
    <row r="1041299" customFormat="1"/>
    <row r="1041300" customFormat="1"/>
    <row r="1041301" customFormat="1"/>
    <row r="1041302" customFormat="1"/>
    <row r="1041303" customFormat="1"/>
    <row r="1041304" customFormat="1"/>
    <row r="1041305" customFormat="1"/>
    <row r="1041306" customFormat="1"/>
    <row r="1041307" customFormat="1"/>
    <row r="1041308" customFormat="1"/>
    <row r="1041309" customFormat="1"/>
    <row r="1041310" customFormat="1"/>
    <row r="1041311" customFormat="1"/>
    <row r="1041312" customFormat="1"/>
    <row r="1041313" customFormat="1"/>
    <row r="1041314" customFormat="1"/>
    <row r="1041315" customFormat="1"/>
    <row r="1041316" customFormat="1"/>
    <row r="1041317" customFormat="1"/>
    <row r="1041318" customFormat="1"/>
    <row r="1041319" customFormat="1"/>
    <row r="1041320" customFormat="1"/>
    <row r="1041321" customFormat="1"/>
    <row r="1041322" customFormat="1"/>
    <row r="1041323" customFormat="1"/>
    <row r="1041324" customFormat="1"/>
    <row r="1041325" customFormat="1"/>
    <row r="1041326" customFormat="1"/>
    <row r="1041327" customFormat="1"/>
    <row r="1041328" customFormat="1"/>
    <row r="1041329" customFormat="1"/>
    <row r="1041330" customFormat="1"/>
    <row r="1041331" customFormat="1"/>
    <row r="1041332" customFormat="1"/>
    <row r="1041333" customFormat="1"/>
    <row r="1041334" customFormat="1"/>
    <row r="1041335" customFormat="1"/>
    <row r="1041336" customFormat="1"/>
    <row r="1041337" customFormat="1"/>
    <row r="1041338" customFormat="1"/>
    <row r="1041339" customFormat="1"/>
    <row r="1041340" customFormat="1"/>
    <row r="1041341" customFormat="1"/>
    <row r="1041342" customFormat="1"/>
    <row r="1041343" customFormat="1"/>
    <row r="1041344" customFormat="1"/>
    <row r="1041345" customFormat="1"/>
    <row r="1041346" customFormat="1"/>
    <row r="1041347" customFormat="1"/>
    <row r="1041348" customFormat="1"/>
    <row r="1041349" customFormat="1"/>
    <row r="1041350" customFormat="1"/>
    <row r="1041351" customFormat="1"/>
    <row r="1041352" customFormat="1"/>
    <row r="1041353" customFormat="1"/>
    <row r="1041354" customFormat="1"/>
    <row r="1041355" customFormat="1"/>
    <row r="1041356" customFormat="1"/>
    <row r="1041357" customFormat="1"/>
    <row r="1041358" customFormat="1"/>
    <row r="1041359" customFormat="1"/>
    <row r="1041360" customFormat="1"/>
    <row r="1041361" customFormat="1"/>
    <row r="1041362" customFormat="1"/>
    <row r="1041363" customFormat="1"/>
    <row r="1041364" customFormat="1"/>
    <row r="1041365" customFormat="1"/>
    <row r="1041366" customFormat="1"/>
    <row r="1041367" customFormat="1"/>
    <row r="1041368" customFormat="1"/>
    <row r="1041369" customFormat="1"/>
    <row r="1041370" customFormat="1"/>
    <row r="1041371" customFormat="1"/>
    <row r="1041372" customFormat="1"/>
    <row r="1041373" customFormat="1"/>
    <row r="1041374" customFormat="1"/>
    <row r="1041375" customFormat="1"/>
    <row r="1041376" customFormat="1"/>
    <row r="1041377" customFormat="1"/>
    <row r="1041378" customFormat="1"/>
    <row r="1041379" customFormat="1"/>
    <row r="1041380" customFormat="1"/>
    <row r="1041381" customFormat="1"/>
    <row r="1041382" customFormat="1"/>
    <row r="1041383" customFormat="1"/>
    <row r="1041384" customFormat="1"/>
    <row r="1041385" customFormat="1"/>
    <row r="1041386" customFormat="1"/>
    <row r="1041387" customFormat="1"/>
    <row r="1041388" customFormat="1"/>
    <row r="1041389" customFormat="1"/>
    <row r="1041390" customFormat="1"/>
    <row r="1041391" customFormat="1"/>
    <row r="1041392" customFormat="1"/>
    <row r="1041393" customFormat="1"/>
    <row r="1041394" customFormat="1"/>
    <row r="1041395" customFormat="1"/>
    <row r="1041396" customFormat="1"/>
    <row r="1041397" customFormat="1"/>
    <row r="1041398" customFormat="1"/>
    <row r="1041399" customFormat="1"/>
    <row r="1041400" customFormat="1"/>
    <row r="1041401" customFormat="1"/>
    <row r="1041402" customFormat="1"/>
    <row r="1041403" customFormat="1"/>
    <row r="1041404" customFormat="1"/>
    <row r="1041405" customFormat="1"/>
    <row r="1041406" customFormat="1"/>
    <row r="1041407" customFormat="1"/>
    <row r="1041408" customFormat="1"/>
    <row r="1041409" customFormat="1"/>
    <row r="1041410" customFormat="1"/>
    <row r="1041411" customFormat="1"/>
    <row r="1041412" customFormat="1"/>
    <row r="1041413" customFormat="1"/>
    <row r="1041414" customFormat="1"/>
    <row r="1041415" customFormat="1"/>
    <row r="1041416" customFormat="1"/>
    <row r="1041417" customFormat="1"/>
    <row r="1041418" customFormat="1"/>
    <row r="1041419" customFormat="1"/>
    <row r="1041420" customFormat="1"/>
    <row r="1041421" customFormat="1"/>
    <row r="1041422" customFormat="1"/>
    <row r="1041423" customFormat="1"/>
    <row r="1041424" customFormat="1"/>
    <row r="1041425" customFormat="1"/>
    <row r="1041426" customFormat="1"/>
    <row r="1041427" customFormat="1"/>
    <row r="1041428" customFormat="1"/>
    <row r="1041429" customFormat="1"/>
    <row r="1041430" customFormat="1"/>
    <row r="1041431" customFormat="1"/>
    <row r="1041432" customFormat="1"/>
    <row r="1041433" customFormat="1"/>
    <row r="1041434" customFormat="1"/>
    <row r="1041435" customFormat="1"/>
    <row r="1041436" customFormat="1"/>
    <row r="1041437" customFormat="1"/>
    <row r="1041438" customFormat="1"/>
    <row r="1041439" customFormat="1"/>
    <row r="1041440" customFormat="1"/>
    <row r="1041441" customFormat="1"/>
    <row r="1041442" customFormat="1"/>
    <row r="1041443" customFormat="1"/>
    <row r="1041444" customFormat="1"/>
    <row r="1041445" customFormat="1"/>
    <row r="1041446" customFormat="1"/>
    <row r="1041447" customFormat="1"/>
    <row r="1041448" customFormat="1"/>
    <row r="1041449" customFormat="1"/>
    <row r="1041450" customFormat="1"/>
    <row r="1041451" customFormat="1"/>
    <row r="1041452" customFormat="1"/>
    <row r="1041453" customFormat="1"/>
    <row r="1041454" customFormat="1"/>
    <row r="1041455" customFormat="1"/>
    <row r="1041456" customFormat="1"/>
    <row r="1041457" customFormat="1"/>
    <row r="1041458" customFormat="1"/>
    <row r="1041459" customFormat="1"/>
    <row r="1041460" customFormat="1"/>
    <row r="1041461" customFormat="1"/>
    <row r="1041462" customFormat="1"/>
    <row r="1041463" customFormat="1"/>
    <row r="1041464" customFormat="1"/>
    <row r="1041465" customFormat="1"/>
    <row r="1041466" customFormat="1"/>
    <row r="1041467" customFormat="1"/>
    <row r="1041468" customFormat="1"/>
    <row r="1041469" customFormat="1"/>
    <row r="1041470" customFormat="1"/>
    <row r="1041471" customFormat="1"/>
    <row r="1041472" customFormat="1"/>
    <row r="1041473" customFormat="1"/>
    <row r="1041474" customFormat="1"/>
    <row r="1041475" customFormat="1"/>
    <row r="1041476" customFormat="1"/>
    <row r="1041477" customFormat="1"/>
    <row r="1041478" customFormat="1"/>
    <row r="1041479" customFormat="1"/>
    <row r="1041480" customFormat="1"/>
    <row r="1041481" customFormat="1"/>
    <row r="1041482" customFormat="1"/>
    <row r="1041483" customFormat="1"/>
    <row r="1041484" customFormat="1"/>
    <row r="1041485" customFormat="1"/>
    <row r="1041486" customFormat="1"/>
    <row r="1041487" customFormat="1"/>
    <row r="1041488" customFormat="1"/>
    <row r="1041489" customFormat="1"/>
    <row r="1041490" customFormat="1"/>
    <row r="1041491" customFormat="1"/>
    <row r="1041492" customFormat="1"/>
    <row r="1041493" customFormat="1"/>
    <row r="1041494" customFormat="1"/>
    <row r="1041495" customFormat="1"/>
    <row r="1041496" customFormat="1"/>
    <row r="1041497" customFormat="1"/>
    <row r="1041498" customFormat="1"/>
    <row r="1041499" customFormat="1"/>
    <row r="1041500" customFormat="1"/>
    <row r="1041501" customFormat="1"/>
    <row r="1041502" customFormat="1"/>
    <row r="1041503" customFormat="1"/>
    <row r="1041504" customFormat="1"/>
    <row r="1041505" customFormat="1"/>
    <row r="1041506" customFormat="1"/>
    <row r="1041507" customFormat="1"/>
    <row r="1041508" customFormat="1"/>
    <row r="1041509" customFormat="1"/>
    <row r="1041510" customFormat="1"/>
    <row r="1041511" customFormat="1"/>
    <row r="1041512" customFormat="1"/>
    <row r="1041513" customFormat="1"/>
    <row r="1041514" customFormat="1"/>
    <row r="1041515" customFormat="1"/>
    <row r="1041516" customFormat="1"/>
    <row r="1041517" customFormat="1"/>
    <row r="1041518" customFormat="1"/>
    <row r="1041519" customFormat="1"/>
    <row r="1041520" customFormat="1"/>
    <row r="1041521" customFormat="1"/>
    <row r="1041522" customFormat="1"/>
    <row r="1041523" customFormat="1"/>
    <row r="1041524" customFormat="1"/>
    <row r="1041525" customFormat="1"/>
    <row r="1041526" customFormat="1"/>
    <row r="1041527" customFormat="1"/>
    <row r="1041528" customFormat="1"/>
    <row r="1041529" customFormat="1"/>
    <row r="1041530" customFormat="1"/>
    <row r="1041531" customFormat="1"/>
    <row r="1041532" customFormat="1"/>
    <row r="1041533" customFormat="1"/>
    <row r="1041534" customFormat="1"/>
    <row r="1041535" customFormat="1"/>
    <row r="1041536" customFormat="1"/>
    <row r="1041537" customFormat="1"/>
    <row r="1041538" customFormat="1"/>
    <row r="1041539" customFormat="1"/>
    <row r="1041540" customFormat="1"/>
    <row r="1041541" customFormat="1"/>
    <row r="1041542" customFormat="1"/>
    <row r="1041543" customFormat="1"/>
    <row r="1041544" customFormat="1"/>
    <row r="1041545" customFormat="1"/>
    <row r="1041546" customFormat="1"/>
    <row r="1041547" customFormat="1"/>
    <row r="1041548" customFormat="1"/>
    <row r="1041549" customFormat="1"/>
    <row r="1041550" customFormat="1"/>
    <row r="1041551" customFormat="1"/>
    <row r="1041552" customFormat="1"/>
    <row r="1041553" customFormat="1"/>
    <row r="1041554" customFormat="1"/>
    <row r="1041555" customFormat="1"/>
    <row r="1041556" customFormat="1"/>
    <row r="1041557" customFormat="1"/>
    <row r="1041558" customFormat="1"/>
    <row r="1041559" customFormat="1"/>
    <row r="1041560" customFormat="1"/>
    <row r="1041561" customFormat="1"/>
    <row r="1041562" customFormat="1"/>
    <row r="1041563" customFormat="1"/>
    <row r="1041564" customFormat="1"/>
    <row r="1041565" customFormat="1"/>
    <row r="1041566" customFormat="1"/>
    <row r="1041567" customFormat="1"/>
    <row r="1041568" customFormat="1"/>
    <row r="1041569" customFormat="1"/>
    <row r="1041570" customFormat="1"/>
    <row r="1041571" customFormat="1"/>
    <row r="1041572" customFormat="1"/>
    <row r="1041573" customFormat="1"/>
    <row r="1041574" customFormat="1"/>
    <row r="1041575" customFormat="1"/>
    <row r="1041576" customFormat="1"/>
    <row r="1041577" customFormat="1"/>
    <row r="1041578" customFormat="1"/>
    <row r="1041579" customFormat="1"/>
    <row r="1041580" customFormat="1"/>
    <row r="1041581" customFormat="1"/>
    <row r="1041582" customFormat="1"/>
    <row r="1041583" customFormat="1"/>
    <row r="1041584" customFormat="1"/>
    <row r="1041585" customFormat="1"/>
    <row r="1041586" customFormat="1"/>
    <row r="1041587" customFormat="1"/>
    <row r="1041588" customFormat="1"/>
    <row r="1041589" customFormat="1"/>
    <row r="1041590" customFormat="1"/>
    <row r="1041591" customFormat="1"/>
    <row r="1041592" customFormat="1"/>
    <row r="1041593" customFormat="1"/>
    <row r="1041594" customFormat="1"/>
    <row r="1041595" customFormat="1"/>
    <row r="1041596" customFormat="1"/>
    <row r="1041597" customFormat="1"/>
    <row r="1041598" customFormat="1"/>
    <row r="1041599" customFormat="1"/>
    <row r="1041600" customFormat="1"/>
    <row r="1041601" customFormat="1"/>
    <row r="1041602" customFormat="1"/>
    <row r="1041603" customFormat="1"/>
    <row r="1041604" customFormat="1"/>
    <row r="1041605" customFormat="1"/>
    <row r="1041606" customFormat="1"/>
    <row r="1041607" customFormat="1"/>
    <row r="1041608" customFormat="1"/>
    <row r="1041609" customFormat="1"/>
    <row r="1041610" customFormat="1"/>
    <row r="1041611" customFormat="1"/>
    <row r="1041612" customFormat="1"/>
    <row r="1041613" customFormat="1"/>
    <row r="1041614" customFormat="1"/>
    <row r="1041615" customFormat="1"/>
    <row r="1041616" customFormat="1"/>
    <row r="1041617" customFormat="1"/>
    <row r="1041618" customFormat="1"/>
    <row r="1041619" customFormat="1"/>
    <row r="1041620" customFormat="1"/>
    <row r="1041621" customFormat="1"/>
    <row r="1041622" customFormat="1"/>
    <row r="1041623" customFormat="1"/>
    <row r="1041624" customFormat="1"/>
    <row r="1041625" customFormat="1"/>
    <row r="1041626" customFormat="1"/>
    <row r="1041627" customFormat="1"/>
    <row r="1041628" customFormat="1"/>
    <row r="1041629" customFormat="1"/>
    <row r="1041630" customFormat="1"/>
    <row r="1041631" customFormat="1"/>
    <row r="1041632" customFormat="1"/>
    <row r="1041633" customFormat="1"/>
    <row r="1041634" customFormat="1"/>
    <row r="1041635" customFormat="1"/>
    <row r="1041636" customFormat="1"/>
    <row r="1041637" customFormat="1"/>
    <row r="1041638" customFormat="1"/>
    <row r="1041639" customFormat="1"/>
    <row r="1041640" customFormat="1"/>
    <row r="1041641" customFormat="1"/>
    <row r="1041642" customFormat="1"/>
    <row r="1041643" customFormat="1"/>
    <row r="1041644" customFormat="1"/>
    <row r="1041645" customFormat="1"/>
    <row r="1041646" customFormat="1"/>
    <row r="1041647" customFormat="1"/>
    <row r="1041648" customFormat="1"/>
    <row r="1041649" customFormat="1"/>
    <row r="1041650" customFormat="1"/>
    <row r="1041651" customFormat="1"/>
    <row r="1041652" customFormat="1"/>
    <row r="1041653" customFormat="1"/>
    <row r="1041654" customFormat="1"/>
    <row r="1041655" customFormat="1"/>
    <row r="1041656" customFormat="1"/>
    <row r="1041657" customFormat="1"/>
    <row r="1041658" customFormat="1"/>
    <row r="1041659" customFormat="1"/>
    <row r="1041660" customFormat="1"/>
    <row r="1041661" customFormat="1"/>
    <row r="1041662" customFormat="1"/>
    <row r="1041663" customFormat="1"/>
    <row r="1041664" customFormat="1"/>
    <row r="1041665" customFormat="1"/>
    <row r="1041666" customFormat="1"/>
    <row r="1041667" customFormat="1"/>
    <row r="1041668" customFormat="1"/>
    <row r="1041669" customFormat="1"/>
    <row r="1041670" customFormat="1"/>
    <row r="1041671" customFormat="1"/>
    <row r="1041672" customFormat="1"/>
    <row r="1041673" customFormat="1"/>
    <row r="1041674" customFormat="1"/>
    <row r="1041675" customFormat="1"/>
    <row r="1041676" customFormat="1"/>
    <row r="1041677" customFormat="1"/>
    <row r="1041678" customFormat="1"/>
    <row r="1041679" customFormat="1"/>
    <row r="1041680" customFormat="1"/>
    <row r="1041681" customFormat="1"/>
    <row r="1041682" customFormat="1"/>
    <row r="1041683" customFormat="1"/>
    <row r="1041684" customFormat="1"/>
    <row r="1041685" customFormat="1"/>
    <row r="1041686" customFormat="1"/>
    <row r="1041687" customFormat="1"/>
    <row r="1041688" customFormat="1"/>
    <row r="1041689" customFormat="1"/>
    <row r="1041690" customFormat="1"/>
    <row r="1041691" customFormat="1"/>
    <row r="1041692" customFormat="1"/>
    <row r="1041693" customFormat="1"/>
    <row r="1041694" customFormat="1"/>
    <row r="1041695" customFormat="1"/>
    <row r="1041696" customFormat="1"/>
    <row r="1041697" customFormat="1"/>
    <row r="1041698" customFormat="1"/>
    <row r="1041699" customFormat="1"/>
    <row r="1041700" customFormat="1"/>
    <row r="1041701" customFormat="1"/>
    <row r="1041702" customFormat="1"/>
    <row r="1041703" customFormat="1"/>
    <row r="1041704" customFormat="1"/>
    <row r="1041705" customFormat="1"/>
    <row r="1041706" customFormat="1"/>
    <row r="1041707" customFormat="1"/>
    <row r="1041708" customFormat="1"/>
    <row r="1041709" customFormat="1"/>
    <row r="1041710" customFormat="1"/>
    <row r="1041711" customFormat="1"/>
    <row r="1041712" customFormat="1"/>
    <row r="1041713" customFormat="1"/>
    <row r="1041714" customFormat="1"/>
    <row r="1041715" customFormat="1"/>
    <row r="1041716" customFormat="1"/>
    <row r="1041717" customFormat="1"/>
    <row r="1041718" customFormat="1"/>
    <row r="1041719" customFormat="1"/>
    <row r="1041720" customFormat="1"/>
    <row r="1041721" customFormat="1"/>
    <row r="1041722" customFormat="1"/>
    <row r="1041723" customFormat="1"/>
    <row r="1041724" customFormat="1"/>
    <row r="1041725" customFormat="1"/>
    <row r="1041726" customFormat="1"/>
    <row r="1041727" customFormat="1"/>
    <row r="1041728" customFormat="1"/>
    <row r="1041729" customFormat="1"/>
    <row r="1041730" customFormat="1"/>
    <row r="1041731" customFormat="1"/>
    <row r="1041732" customFormat="1"/>
    <row r="1041733" customFormat="1"/>
    <row r="1041734" customFormat="1"/>
    <row r="1041735" customFormat="1"/>
    <row r="1041736" customFormat="1"/>
    <row r="1041737" customFormat="1"/>
    <row r="1041738" customFormat="1"/>
    <row r="1041739" customFormat="1"/>
    <row r="1041740" customFormat="1"/>
    <row r="1041741" customFormat="1"/>
    <row r="1041742" customFormat="1"/>
    <row r="1041743" customFormat="1"/>
    <row r="1041744" customFormat="1"/>
    <row r="1041745" customFormat="1"/>
    <row r="1041746" customFormat="1"/>
    <row r="1041747" customFormat="1"/>
    <row r="1041748" customFormat="1"/>
    <row r="1041749" customFormat="1"/>
    <row r="1041750" customFormat="1"/>
    <row r="1041751" customFormat="1"/>
    <row r="1041752" customFormat="1"/>
    <row r="1041753" customFormat="1"/>
    <row r="1041754" customFormat="1"/>
    <row r="1041755" customFormat="1"/>
    <row r="1041756" customFormat="1"/>
    <row r="1041757" customFormat="1"/>
    <row r="1041758" customFormat="1"/>
    <row r="1041759" customFormat="1"/>
    <row r="1041760" customFormat="1"/>
    <row r="1041761" customFormat="1"/>
    <row r="1041762" customFormat="1"/>
    <row r="1041763" customFormat="1"/>
    <row r="1041764" customFormat="1"/>
    <row r="1041765" customFormat="1"/>
    <row r="1041766" customFormat="1"/>
    <row r="1041767" customFormat="1"/>
    <row r="1041768" customFormat="1"/>
    <row r="1041769" customFormat="1"/>
    <row r="1041770" customFormat="1"/>
    <row r="1041771" customFormat="1"/>
    <row r="1041772" customFormat="1"/>
    <row r="1041773" customFormat="1"/>
    <row r="1041774" customFormat="1"/>
    <row r="1041775" customFormat="1"/>
    <row r="1041776" customFormat="1"/>
    <row r="1041777" customFormat="1"/>
    <row r="1041778" customFormat="1"/>
    <row r="1041779" customFormat="1"/>
    <row r="1041780" customFormat="1"/>
    <row r="1041781" customFormat="1"/>
    <row r="1041782" customFormat="1"/>
    <row r="1041783" customFormat="1"/>
    <row r="1041784" customFormat="1"/>
    <row r="1041785" customFormat="1"/>
    <row r="1041786" customFormat="1"/>
    <row r="1041787" customFormat="1"/>
    <row r="1041788" customFormat="1"/>
    <row r="1041789" customFormat="1"/>
    <row r="1041790" customFormat="1"/>
    <row r="1041791" customFormat="1"/>
    <row r="1041792" customFormat="1"/>
    <row r="1041793" customFormat="1"/>
    <row r="1041794" customFormat="1"/>
    <row r="1041795" customFormat="1"/>
    <row r="1041796" customFormat="1"/>
    <row r="1041797" customFormat="1"/>
    <row r="1041798" customFormat="1"/>
    <row r="1041799" customFormat="1"/>
    <row r="1041800" customFormat="1"/>
    <row r="1041801" customFormat="1"/>
    <row r="1041802" customFormat="1"/>
    <row r="1041803" customFormat="1"/>
    <row r="1041804" customFormat="1"/>
    <row r="1041805" customFormat="1"/>
    <row r="1041806" customFormat="1"/>
    <row r="1041807" customFormat="1"/>
    <row r="1041808" customFormat="1"/>
    <row r="1041809" customFormat="1"/>
    <row r="1041810" customFormat="1"/>
    <row r="1041811" customFormat="1"/>
    <row r="1041812" customFormat="1"/>
    <row r="1041813" customFormat="1"/>
    <row r="1041814" customFormat="1"/>
    <row r="1041815" customFormat="1"/>
    <row r="1041816" customFormat="1"/>
    <row r="1041817" customFormat="1"/>
    <row r="1041818" customFormat="1"/>
    <row r="1041819" customFormat="1"/>
    <row r="1041820" customFormat="1"/>
    <row r="1041821" customFormat="1"/>
    <row r="1041822" customFormat="1"/>
    <row r="1041823" customFormat="1"/>
    <row r="1041824" customFormat="1"/>
    <row r="1041825" customFormat="1"/>
    <row r="1041826" customFormat="1"/>
    <row r="1041827" customFormat="1"/>
    <row r="1041828" customFormat="1"/>
    <row r="1041829" customFormat="1"/>
    <row r="1041830" customFormat="1"/>
    <row r="1041831" customFormat="1"/>
    <row r="1041832" customFormat="1"/>
    <row r="1041833" customFormat="1"/>
    <row r="1041834" customFormat="1"/>
    <row r="1041835" customFormat="1"/>
    <row r="1041836" customFormat="1"/>
    <row r="1041837" customFormat="1"/>
    <row r="1041838" customFormat="1"/>
    <row r="1041839" customFormat="1"/>
    <row r="1041840" customFormat="1"/>
    <row r="1041841" customFormat="1"/>
    <row r="1041842" customFormat="1"/>
    <row r="1041843" customFormat="1"/>
    <row r="1041844" customFormat="1"/>
    <row r="1041845" customFormat="1"/>
    <row r="1041846" customFormat="1"/>
    <row r="1041847" customFormat="1"/>
    <row r="1041848" customFormat="1"/>
    <row r="1041849" customFormat="1"/>
    <row r="1041850" customFormat="1"/>
    <row r="1041851" customFormat="1"/>
    <row r="1041852" customFormat="1"/>
    <row r="1041853" customFormat="1"/>
    <row r="1041854" customFormat="1"/>
    <row r="1041855" customFormat="1"/>
    <row r="1041856" customFormat="1"/>
    <row r="1041857" customFormat="1"/>
    <row r="1041858" customFormat="1"/>
    <row r="1041859" customFormat="1"/>
    <row r="1041860" customFormat="1"/>
    <row r="1041861" customFormat="1"/>
    <row r="1041862" customFormat="1"/>
    <row r="1041863" customFormat="1"/>
    <row r="1041864" customFormat="1"/>
    <row r="1041865" customFormat="1"/>
    <row r="1041866" customFormat="1"/>
    <row r="1041867" customFormat="1"/>
    <row r="1041868" customFormat="1"/>
    <row r="1041869" customFormat="1"/>
    <row r="1041870" customFormat="1"/>
    <row r="1041871" customFormat="1"/>
    <row r="1041872" customFormat="1"/>
    <row r="1041873" customFormat="1"/>
    <row r="1041874" customFormat="1"/>
    <row r="1041875" customFormat="1"/>
    <row r="1041876" customFormat="1"/>
    <row r="1041877" customFormat="1"/>
    <row r="1041878" customFormat="1"/>
    <row r="1041879" customFormat="1"/>
    <row r="1041880" customFormat="1"/>
    <row r="1041881" customFormat="1"/>
    <row r="1041882" customFormat="1"/>
    <row r="1041883" customFormat="1"/>
    <row r="1041884" customFormat="1"/>
    <row r="1041885" customFormat="1"/>
    <row r="1041886" customFormat="1"/>
    <row r="1041887" customFormat="1"/>
    <row r="1041888" customFormat="1"/>
    <row r="1041889" customFormat="1"/>
    <row r="1041890" customFormat="1"/>
    <row r="1041891" customFormat="1"/>
    <row r="1041892" customFormat="1"/>
    <row r="1041893" customFormat="1"/>
    <row r="1041894" customFormat="1"/>
    <row r="1041895" customFormat="1"/>
    <row r="1041896" customFormat="1"/>
    <row r="1041897" customFormat="1"/>
    <row r="1041898" customFormat="1"/>
    <row r="1041899" customFormat="1"/>
    <row r="1041900" customFormat="1"/>
    <row r="1041901" customFormat="1"/>
    <row r="1041902" customFormat="1"/>
    <row r="1041903" customFormat="1"/>
    <row r="1041904" customFormat="1"/>
    <row r="1041905" customFormat="1"/>
    <row r="1041906" customFormat="1"/>
    <row r="1041907" customFormat="1"/>
    <row r="1041908" customFormat="1"/>
    <row r="1041909" customFormat="1"/>
    <row r="1041910" customFormat="1"/>
    <row r="1041911" customFormat="1"/>
    <row r="1041912" customFormat="1"/>
    <row r="1041913" customFormat="1"/>
    <row r="1041914" customFormat="1"/>
    <row r="1041915" customFormat="1"/>
    <row r="1041916" customFormat="1"/>
    <row r="1041917" customFormat="1"/>
    <row r="1041918" customFormat="1"/>
    <row r="1041919" customFormat="1"/>
    <row r="1041920" customFormat="1"/>
    <row r="1041921" customFormat="1"/>
    <row r="1041922" customFormat="1"/>
    <row r="1041923" customFormat="1"/>
    <row r="1041924" customFormat="1"/>
    <row r="1041925" customFormat="1"/>
    <row r="1041926" customFormat="1"/>
    <row r="1041927" customFormat="1"/>
    <row r="1041928" customFormat="1"/>
    <row r="1041929" customFormat="1"/>
    <row r="1041930" customFormat="1"/>
    <row r="1041931" customFormat="1"/>
    <row r="1041932" customFormat="1"/>
    <row r="1041933" customFormat="1"/>
    <row r="1041934" customFormat="1"/>
    <row r="1041935" customFormat="1"/>
    <row r="1041936" customFormat="1"/>
    <row r="1041937" customFormat="1"/>
    <row r="1041938" customFormat="1"/>
    <row r="1041939" customFormat="1"/>
    <row r="1041940" customFormat="1"/>
    <row r="1041941" customFormat="1"/>
    <row r="1041942" customFormat="1"/>
    <row r="1041943" customFormat="1"/>
    <row r="1041944" customFormat="1"/>
    <row r="1041945" customFormat="1"/>
    <row r="1041946" customFormat="1"/>
    <row r="1041947" customFormat="1"/>
    <row r="1041948" customFormat="1"/>
    <row r="1041949" customFormat="1"/>
    <row r="1041950" customFormat="1"/>
    <row r="1041951" customFormat="1"/>
    <row r="1041952" customFormat="1"/>
    <row r="1041953" customFormat="1"/>
    <row r="1041954" customFormat="1"/>
    <row r="1041955" customFormat="1"/>
    <row r="1041956" customFormat="1"/>
    <row r="1041957" customFormat="1"/>
    <row r="1041958" customFormat="1"/>
    <row r="1041959" customFormat="1"/>
    <row r="1041960" customFormat="1"/>
    <row r="1041961" customFormat="1"/>
    <row r="1041962" customFormat="1"/>
    <row r="1041963" customFormat="1"/>
    <row r="1041964" customFormat="1"/>
    <row r="1041965" customFormat="1"/>
    <row r="1041966" customFormat="1"/>
    <row r="1041967" customFormat="1"/>
    <row r="1041968" customFormat="1"/>
    <row r="1041969" customFormat="1"/>
    <row r="1041970" customFormat="1"/>
    <row r="1041971" customFormat="1"/>
    <row r="1041972" customFormat="1"/>
    <row r="1041973" customFormat="1"/>
    <row r="1041974" customFormat="1"/>
    <row r="1041975" customFormat="1"/>
    <row r="1041976" customFormat="1"/>
    <row r="1041977" customFormat="1"/>
    <row r="1041978" customFormat="1"/>
    <row r="1041979" customFormat="1"/>
    <row r="1041980" customFormat="1"/>
    <row r="1041981" customFormat="1"/>
    <row r="1041982" customFormat="1"/>
    <row r="1041983" customFormat="1"/>
    <row r="1041984" customFormat="1"/>
    <row r="1041985" customFormat="1"/>
    <row r="1041986" customFormat="1"/>
    <row r="1041987" customFormat="1"/>
    <row r="1041988" customFormat="1"/>
    <row r="1041989" customFormat="1"/>
    <row r="1041990" customFormat="1"/>
    <row r="1041991" customFormat="1"/>
    <row r="1041992" customFormat="1"/>
    <row r="1041993" customFormat="1"/>
    <row r="1041994" customFormat="1"/>
    <row r="1041995" customFormat="1"/>
    <row r="1041996" customFormat="1"/>
    <row r="1041997" customFormat="1"/>
    <row r="1041998" customFormat="1"/>
    <row r="1041999" customFormat="1"/>
    <row r="1042000" customFormat="1"/>
    <row r="1042001" customFormat="1"/>
    <row r="1042002" customFormat="1"/>
    <row r="1042003" customFormat="1"/>
    <row r="1042004" customFormat="1"/>
    <row r="1042005" customFormat="1"/>
    <row r="1042006" customFormat="1"/>
    <row r="1042007" customFormat="1"/>
    <row r="1042008" customFormat="1"/>
    <row r="1042009" customFormat="1"/>
    <row r="1042010" customFormat="1"/>
    <row r="1042011" customFormat="1"/>
    <row r="1042012" customFormat="1"/>
    <row r="1042013" customFormat="1"/>
    <row r="1042014" customFormat="1"/>
    <row r="1042015" customFormat="1"/>
    <row r="1042016" customFormat="1"/>
    <row r="1042017" customFormat="1"/>
    <row r="1042018" customFormat="1"/>
    <row r="1042019" customFormat="1"/>
    <row r="1042020" customFormat="1"/>
    <row r="1042021" customFormat="1"/>
    <row r="1042022" customFormat="1"/>
    <row r="1042023" customFormat="1"/>
    <row r="1042024" customFormat="1"/>
    <row r="1042025" customFormat="1"/>
    <row r="1042026" customFormat="1"/>
    <row r="1042027" customFormat="1"/>
    <row r="1042028" customFormat="1"/>
    <row r="1042029" customFormat="1"/>
    <row r="1042030" customFormat="1"/>
    <row r="1042031" customFormat="1"/>
    <row r="1042032" customFormat="1"/>
    <row r="1042033" customFormat="1"/>
    <row r="1042034" customFormat="1"/>
    <row r="1042035" customFormat="1"/>
    <row r="1042036" customFormat="1"/>
    <row r="1042037" customFormat="1"/>
    <row r="1042038" customFormat="1"/>
    <row r="1042039" customFormat="1"/>
    <row r="1042040" customFormat="1"/>
    <row r="1042041" customFormat="1"/>
    <row r="1042042" customFormat="1"/>
    <row r="1042043" customFormat="1"/>
    <row r="1042044" customFormat="1"/>
    <row r="1042045" customFormat="1"/>
    <row r="1042046" customFormat="1"/>
    <row r="1042047" customFormat="1"/>
    <row r="1042048" customFormat="1"/>
    <row r="1042049" customFormat="1"/>
    <row r="1042050" customFormat="1"/>
    <row r="1042051" customFormat="1"/>
    <row r="1042052" customFormat="1"/>
    <row r="1042053" customFormat="1"/>
    <row r="1042054" customFormat="1"/>
    <row r="1042055" customFormat="1"/>
    <row r="1042056" customFormat="1"/>
    <row r="1042057" customFormat="1"/>
    <row r="1042058" customFormat="1"/>
    <row r="1042059" customFormat="1"/>
    <row r="1042060" customFormat="1"/>
    <row r="1042061" customFormat="1"/>
    <row r="1042062" customFormat="1"/>
    <row r="1042063" customFormat="1"/>
    <row r="1042064" customFormat="1"/>
    <row r="1042065" customFormat="1"/>
    <row r="1042066" customFormat="1"/>
    <row r="1042067" customFormat="1"/>
    <row r="1042068" customFormat="1"/>
    <row r="1042069" customFormat="1"/>
    <row r="1042070" customFormat="1"/>
    <row r="1042071" customFormat="1"/>
    <row r="1042072" customFormat="1"/>
    <row r="1042073" customFormat="1"/>
    <row r="1042074" customFormat="1"/>
    <row r="1042075" customFormat="1"/>
    <row r="1042076" customFormat="1"/>
    <row r="1042077" customFormat="1"/>
    <row r="1042078" customFormat="1"/>
    <row r="1042079" customFormat="1"/>
    <row r="1042080" customFormat="1"/>
    <row r="1042081" customFormat="1"/>
    <row r="1042082" customFormat="1"/>
    <row r="1042083" customFormat="1"/>
    <row r="1042084" customFormat="1"/>
    <row r="1042085" customFormat="1"/>
    <row r="1042086" customFormat="1"/>
    <row r="1042087" customFormat="1"/>
    <row r="1042088" customFormat="1"/>
    <row r="1042089" customFormat="1"/>
    <row r="1042090" customFormat="1"/>
    <row r="1042091" customFormat="1"/>
    <row r="1042092" customFormat="1"/>
    <row r="1042093" customFormat="1"/>
    <row r="1042094" customFormat="1"/>
    <row r="1042095" customFormat="1"/>
    <row r="1042096" customFormat="1"/>
    <row r="1042097" customFormat="1"/>
    <row r="1042098" customFormat="1"/>
    <row r="1042099" customFormat="1"/>
    <row r="1042100" customFormat="1"/>
    <row r="1042101" customFormat="1"/>
    <row r="1042102" customFormat="1"/>
    <row r="1042103" customFormat="1"/>
    <row r="1042104" customFormat="1"/>
    <row r="1042105" customFormat="1"/>
    <row r="1042106" customFormat="1"/>
    <row r="1042107" customFormat="1"/>
    <row r="1042108" customFormat="1"/>
    <row r="1042109" customFormat="1"/>
    <row r="1042110" customFormat="1"/>
    <row r="1042111" customFormat="1"/>
    <row r="1042112" customFormat="1"/>
    <row r="1042113" customFormat="1"/>
    <row r="1042114" customFormat="1"/>
    <row r="1042115" customFormat="1"/>
    <row r="1042116" customFormat="1"/>
    <row r="1042117" customFormat="1"/>
    <row r="1042118" customFormat="1"/>
    <row r="1042119" customFormat="1"/>
    <row r="1042120" customFormat="1"/>
    <row r="1042121" customFormat="1"/>
    <row r="1042122" customFormat="1"/>
    <row r="1042123" customFormat="1"/>
    <row r="1042124" customFormat="1"/>
    <row r="1042125" customFormat="1"/>
    <row r="1042126" customFormat="1"/>
    <row r="1042127" customFormat="1"/>
    <row r="1042128" customFormat="1"/>
    <row r="1042129" customFormat="1"/>
    <row r="1042130" customFormat="1"/>
    <row r="1042131" customFormat="1"/>
    <row r="1042132" customFormat="1"/>
    <row r="1042133" customFormat="1"/>
    <row r="1042134" customFormat="1"/>
    <row r="1042135" customFormat="1"/>
    <row r="1042136" customFormat="1"/>
    <row r="1042137" customFormat="1"/>
    <row r="1042138" customFormat="1"/>
    <row r="1042139" customFormat="1"/>
    <row r="1042140" customFormat="1"/>
    <row r="1042141" customFormat="1"/>
    <row r="1042142" customFormat="1"/>
    <row r="1042143" customFormat="1"/>
    <row r="1042144" customFormat="1"/>
    <row r="1042145" customFormat="1"/>
    <row r="1042146" customFormat="1"/>
    <row r="1042147" customFormat="1"/>
    <row r="1042148" customFormat="1"/>
    <row r="1042149" customFormat="1"/>
    <row r="1042150" customFormat="1"/>
    <row r="1042151" customFormat="1"/>
    <row r="1042152" customFormat="1"/>
    <row r="1042153" customFormat="1"/>
    <row r="1042154" customFormat="1"/>
    <row r="1042155" customFormat="1"/>
    <row r="1042156" customFormat="1"/>
    <row r="1042157" customFormat="1"/>
    <row r="1042158" customFormat="1"/>
    <row r="1042159" customFormat="1"/>
    <row r="1042160" customFormat="1"/>
    <row r="1042161" customFormat="1"/>
    <row r="1042162" customFormat="1"/>
    <row r="1042163" customFormat="1"/>
    <row r="1042164" customFormat="1"/>
    <row r="1042165" customFormat="1"/>
    <row r="1042166" customFormat="1"/>
    <row r="1042167" customFormat="1"/>
    <row r="1042168" customFormat="1"/>
    <row r="1042169" customFormat="1"/>
    <row r="1042170" customFormat="1"/>
    <row r="1042171" customFormat="1"/>
    <row r="1042172" customFormat="1"/>
    <row r="1042173" customFormat="1"/>
    <row r="1042174" customFormat="1"/>
    <row r="1042175" customFormat="1"/>
    <row r="1042176" customFormat="1"/>
    <row r="1042177" customFormat="1"/>
    <row r="1042178" customFormat="1"/>
    <row r="1042179" customFormat="1"/>
    <row r="1042180" customFormat="1"/>
    <row r="1042181" customFormat="1"/>
    <row r="1042182" customFormat="1"/>
    <row r="1042183" customFormat="1"/>
    <row r="1042184" customFormat="1"/>
    <row r="1042185" customFormat="1"/>
    <row r="1042186" customFormat="1"/>
    <row r="1042187" customFormat="1"/>
    <row r="1042188" customFormat="1"/>
    <row r="1042189" customFormat="1"/>
    <row r="1042190" customFormat="1"/>
    <row r="1042191" customFormat="1"/>
    <row r="1042192" customFormat="1"/>
    <row r="1042193" customFormat="1"/>
    <row r="1042194" customFormat="1"/>
    <row r="1042195" customFormat="1"/>
    <row r="1042196" customFormat="1"/>
    <row r="1042197" customFormat="1"/>
    <row r="1042198" customFormat="1"/>
    <row r="1042199" customFormat="1"/>
    <row r="1042200" customFormat="1"/>
    <row r="1042201" customFormat="1"/>
    <row r="1042202" customFormat="1"/>
    <row r="1042203" customFormat="1"/>
    <row r="1042204" customFormat="1"/>
    <row r="1042205" customFormat="1"/>
    <row r="1042206" customFormat="1"/>
    <row r="1042207" customFormat="1"/>
    <row r="1042208" customFormat="1"/>
    <row r="1042209" customFormat="1"/>
    <row r="1042210" customFormat="1"/>
    <row r="1042211" customFormat="1"/>
    <row r="1042212" customFormat="1"/>
    <row r="1042213" customFormat="1"/>
    <row r="1042214" customFormat="1"/>
    <row r="1042215" customFormat="1"/>
    <row r="1042216" customFormat="1"/>
    <row r="1042217" customFormat="1"/>
    <row r="1042218" customFormat="1"/>
    <row r="1042219" customFormat="1"/>
    <row r="1042220" customFormat="1"/>
    <row r="1042221" customFormat="1"/>
    <row r="1042222" customFormat="1"/>
    <row r="1042223" customFormat="1"/>
    <row r="1042224" customFormat="1"/>
    <row r="1042225" customFormat="1"/>
    <row r="1042226" customFormat="1"/>
    <row r="1042227" customFormat="1"/>
    <row r="1042228" customFormat="1"/>
    <row r="1042229" customFormat="1"/>
    <row r="1042230" customFormat="1"/>
    <row r="1042231" customFormat="1"/>
    <row r="1042232" customFormat="1"/>
    <row r="1042233" customFormat="1"/>
    <row r="1042234" customFormat="1"/>
    <row r="1042235" customFormat="1"/>
    <row r="1042236" customFormat="1"/>
    <row r="1042237" customFormat="1"/>
    <row r="1042238" customFormat="1"/>
    <row r="1042239" customFormat="1"/>
    <row r="1042240" customFormat="1"/>
    <row r="1042241" customFormat="1"/>
    <row r="1042242" customFormat="1"/>
    <row r="1042243" customFormat="1"/>
    <row r="1042244" customFormat="1"/>
    <row r="1042245" customFormat="1"/>
    <row r="1042246" customFormat="1"/>
    <row r="1042247" customFormat="1"/>
    <row r="1042248" customFormat="1"/>
    <row r="1042249" customFormat="1"/>
    <row r="1042250" customFormat="1"/>
    <row r="1042251" customFormat="1"/>
    <row r="1042252" customFormat="1"/>
    <row r="1042253" customFormat="1"/>
    <row r="1042254" customFormat="1"/>
    <row r="1042255" customFormat="1"/>
    <row r="1042256" customFormat="1"/>
    <row r="1042257" customFormat="1"/>
    <row r="1042258" customFormat="1"/>
    <row r="1042259" customFormat="1"/>
    <row r="1042260" customFormat="1"/>
    <row r="1042261" customFormat="1"/>
    <row r="1042262" customFormat="1"/>
    <row r="1042263" customFormat="1"/>
    <row r="1042264" customFormat="1"/>
    <row r="1042265" customFormat="1"/>
    <row r="1042266" customFormat="1"/>
    <row r="1042267" customFormat="1"/>
    <row r="1042268" customFormat="1"/>
    <row r="1042269" customFormat="1"/>
    <row r="1042270" customFormat="1"/>
    <row r="1042271" customFormat="1"/>
    <row r="1042272" customFormat="1"/>
    <row r="1042273" customFormat="1"/>
    <row r="1042274" customFormat="1"/>
    <row r="1042275" customFormat="1"/>
    <row r="1042276" customFormat="1"/>
    <row r="1042277" customFormat="1"/>
    <row r="1042278" customFormat="1"/>
    <row r="1042279" customFormat="1"/>
    <row r="1042280" customFormat="1"/>
    <row r="1042281" customFormat="1"/>
    <row r="1042282" customFormat="1"/>
    <row r="1042283" customFormat="1"/>
    <row r="1042284" customFormat="1"/>
    <row r="1042285" customFormat="1"/>
    <row r="1042286" customFormat="1"/>
    <row r="1042287" customFormat="1"/>
    <row r="1042288" customFormat="1"/>
    <row r="1042289" customFormat="1"/>
    <row r="1042290" customFormat="1"/>
    <row r="1042291" customFormat="1"/>
    <row r="1042292" customFormat="1"/>
    <row r="1042293" customFormat="1"/>
    <row r="1042294" customFormat="1"/>
    <row r="1042295" customFormat="1"/>
    <row r="1042296" customFormat="1"/>
    <row r="1042297" customFormat="1"/>
    <row r="1042298" customFormat="1"/>
    <row r="1042299" customFormat="1"/>
    <row r="1042300" customFormat="1"/>
    <row r="1042301" customFormat="1"/>
    <row r="1042302" customFormat="1"/>
    <row r="1042303" customFormat="1"/>
    <row r="1042304" customFormat="1"/>
    <row r="1042305" customFormat="1"/>
    <row r="1042306" customFormat="1"/>
    <row r="1042307" customFormat="1"/>
    <row r="1042308" customFormat="1"/>
    <row r="1042309" customFormat="1"/>
    <row r="1042310" customFormat="1"/>
    <row r="1042311" customFormat="1"/>
    <row r="1042312" customFormat="1"/>
    <row r="1042313" customFormat="1"/>
    <row r="1042314" customFormat="1"/>
    <row r="1042315" customFormat="1"/>
    <row r="1042316" customFormat="1"/>
    <row r="1042317" customFormat="1"/>
    <row r="1042318" customFormat="1"/>
    <row r="1042319" customFormat="1"/>
    <row r="1042320" customFormat="1"/>
    <row r="1042321" customFormat="1"/>
    <row r="1042322" customFormat="1"/>
    <row r="1042323" customFormat="1"/>
    <row r="1042324" customFormat="1"/>
    <row r="1042325" customFormat="1"/>
    <row r="1042326" customFormat="1"/>
    <row r="1042327" customFormat="1"/>
    <row r="1042328" customFormat="1"/>
    <row r="1042329" customFormat="1"/>
    <row r="1042330" customFormat="1"/>
    <row r="1042331" customFormat="1"/>
    <row r="1042332" customFormat="1"/>
    <row r="1042333" customFormat="1"/>
    <row r="1042334" customFormat="1"/>
    <row r="1042335" customFormat="1"/>
    <row r="1042336" customFormat="1"/>
    <row r="1042337" customFormat="1"/>
    <row r="1042338" customFormat="1"/>
    <row r="1042339" customFormat="1"/>
    <row r="1042340" customFormat="1"/>
    <row r="1042341" customFormat="1"/>
    <row r="1042342" customFormat="1"/>
    <row r="1042343" customFormat="1"/>
    <row r="1042344" customFormat="1"/>
    <row r="1042345" customFormat="1"/>
    <row r="1042346" customFormat="1"/>
    <row r="1042347" customFormat="1"/>
    <row r="1042348" customFormat="1"/>
    <row r="1042349" customFormat="1"/>
    <row r="1042350" customFormat="1"/>
    <row r="1042351" customFormat="1"/>
    <row r="1042352" customFormat="1"/>
    <row r="1042353" customFormat="1"/>
    <row r="1042354" customFormat="1"/>
    <row r="1042355" customFormat="1"/>
    <row r="1042356" customFormat="1"/>
    <row r="1042357" customFormat="1"/>
    <row r="1042358" customFormat="1"/>
    <row r="1042359" customFormat="1"/>
    <row r="1042360" customFormat="1"/>
    <row r="1042361" customFormat="1"/>
    <row r="1042362" customFormat="1"/>
    <row r="1042363" customFormat="1"/>
    <row r="1042364" customFormat="1"/>
    <row r="1042365" customFormat="1"/>
    <row r="1042366" customFormat="1"/>
    <row r="1042367" customFormat="1"/>
    <row r="1042368" customFormat="1"/>
    <row r="1042369" customFormat="1"/>
    <row r="1042370" customFormat="1"/>
    <row r="1042371" customFormat="1"/>
    <row r="1042372" customFormat="1"/>
    <row r="1042373" customFormat="1"/>
    <row r="1042374" customFormat="1"/>
    <row r="1042375" customFormat="1"/>
    <row r="1042376" customFormat="1"/>
    <row r="1042377" customFormat="1"/>
    <row r="1042378" customFormat="1"/>
    <row r="1042379" customFormat="1"/>
    <row r="1042380" customFormat="1"/>
    <row r="1042381" customFormat="1"/>
    <row r="1042382" customFormat="1"/>
    <row r="1042383" customFormat="1"/>
    <row r="1042384" customFormat="1"/>
    <row r="1042385" customFormat="1"/>
    <row r="1042386" customFormat="1"/>
    <row r="1042387" customFormat="1"/>
    <row r="1042388" customFormat="1"/>
    <row r="1042389" customFormat="1"/>
    <row r="1042390" customFormat="1"/>
    <row r="1042391" customFormat="1"/>
    <row r="1042392" customFormat="1"/>
    <row r="1042393" customFormat="1"/>
    <row r="1042394" customFormat="1"/>
    <row r="1042395" customFormat="1"/>
    <row r="1042396" customFormat="1"/>
    <row r="1042397" customFormat="1"/>
    <row r="1042398" customFormat="1"/>
    <row r="1042399" customFormat="1"/>
    <row r="1042400" customFormat="1"/>
    <row r="1042401" customFormat="1"/>
    <row r="1042402" customFormat="1"/>
    <row r="1042403" customFormat="1"/>
    <row r="1042404" customFormat="1"/>
    <row r="1042405" customFormat="1"/>
    <row r="1042406" customFormat="1"/>
    <row r="1042407" customFormat="1"/>
    <row r="1042408" customFormat="1"/>
    <row r="1042409" customFormat="1"/>
    <row r="1042410" customFormat="1"/>
    <row r="1042411" customFormat="1"/>
    <row r="1042412" customFormat="1"/>
    <row r="1042413" customFormat="1"/>
    <row r="1042414" customFormat="1"/>
    <row r="1042415" customFormat="1"/>
    <row r="1042416" customFormat="1"/>
    <row r="1042417" customFormat="1"/>
    <row r="1042418" customFormat="1"/>
    <row r="1042419" customFormat="1"/>
    <row r="1042420" customFormat="1"/>
    <row r="1042421" customFormat="1"/>
    <row r="1042422" customFormat="1"/>
    <row r="1042423" customFormat="1"/>
    <row r="1042424" customFormat="1"/>
    <row r="1042425" customFormat="1"/>
    <row r="1042426" customFormat="1"/>
    <row r="1042427" customFormat="1"/>
    <row r="1042428" customFormat="1"/>
    <row r="1042429" customFormat="1"/>
    <row r="1042430" customFormat="1"/>
    <row r="1042431" customFormat="1"/>
    <row r="1042432" customFormat="1"/>
    <row r="1042433" customFormat="1"/>
    <row r="1042434" customFormat="1"/>
    <row r="1042435" customFormat="1"/>
    <row r="1042436" customFormat="1"/>
    <row r="1042437" customFormat="1"/>
    <row r="1042438" customFormat="1"/>
    <row r="1042439" customFormat="1"/>
    <row r="1042440" customFormat="1"/>
    <row r="1042441" customFormat="1"/>
    <row r="1042442" customFormat="1"/>
    <row r="1042443" customFormat="1"/>
    <row r="1042444" customFormat="1"/>
    <row r="1042445" customFormat="1"/>
    <row r="1042446" customFormat="1"/>
    <row r="1042447" customFormat="1"/>
    <row r="1042448" customFormat="1"/>
    <row r="1042449" customFormat="1"/>
    <row r="1042450" customFormat="1"/>
    <row r="1042451" customFormat="1"/>
    <row r="1042452" customFormat="1"/>
    <row r="1042453" customFormat="1"/>
    <row r="1042454" customFormat="1"/>
    <row r="1042455" customFormat="1"/>
    <row r="1042456" customFormat="1"/>
    <row r="1042457" customFormat="1"/>
    <row r="1042458" customFormat="1"/>
    <row r="1042459" customFormat="1"/>
    <row r="1042460" customFormat="1"/>
    <row r="1042461" customFormat="1"/>
    <row r="1042462" customFormat="1"/>
    <row r="1042463" customFormat="1"/>
    <row r="1042464" customFormat="1"/>
    <row r="1042465" customFormat="1"/>
    <row r="1042466" customFormat="1"/>
    <row r="1042467" customFormat="1"/>
    <row r="1042468" customFormat="1"/>
    <row r="1042469" customFormat="1"/>
    <row r="1042470" customFormat="1"/>
    <row r="1042471" customFormat="1"/>
    <row r="1042472" customFormat="1"/>
    <row r="1042473" customFormat="1"/>
    <row r="1042474" customFormat="1"/>
    <row r="1042475" customFormat="1"/>
    <row r="1042476" customFormat="1"/>
    <row r="1042477" customFormat="1"/>
    <row r="1042478" customFormat="1"/>
    <row r="1042479" customFormat="1"/>
    <row r="1042480" customFormat="1"/>
    <row r="1042481" customFormat="1"/>
    <row r="1042482" customFormat="1"/>
    <row r="1042483" customFormat="1"/>
    <row r="1042484" customFormat="1"/>
    <row r="1042485" customFormat="1"/>
    <row r="1042486" customFormat="1"/>
    <row r="1042487" customFormat="1"/>
    <row r="1042488" customFormat="1"/>
    <row r="1042489" customFormat="1"/>
    <row r="1042490" customFormat="1"/>
    <row r="1042491" customFormat="1"/>
    <row r="1042492" customFormat="1"/>
    <row r="1042493" customFormat="1"/>
    <row r="1042494" customFormat="1"/>
    <row r="1042495" customFormat="1"/>
    <row r="1042496" customFormat="1"/>
    <row r="1042497" customFormat="1"/>
    <row r="1042498" customFormat="1"/>
    <row r="1042499" customFormat="1"/>
    <row r="1042500" customFormat="1"/>
    <row r="1042501" customFormat="1"/>
    <row r="1042502" customFormat="1"/>
    <row r="1042503" customFormat="1"/>
    <row r="1042504" customFormat="1"/>
    <row r="1042505" customFormat="1"/>
    <row r="1042506" customFormat="1"/>
    <row r="1042507" customFormat="1"/>
    <row r="1042508" customFormat="1"/>
    <row r="1042509" customFormat="1"/>
    <row r="1042510" customFormat="1"/>
    <row r="1042511" customFormat="1"/>
    <row r="1042512" customFormat="1"/>
    <row r="1042513" customFormat="1"/>
    <row r="1042514" customFormat="1"/>
    <row r="1042515" customFormat="1"/>
    <row r="1042516" customFormat="1"/>
    <row r="1042517" customFormat="1"/>
    <row r="1042518" customFormat="1"/>
    <row r="1042519" customFormat="1"/>
    <row r="1042520" customFormat="1"/>
    <row r="1042521" customFormat="1"/>
    <row r="1042522" customFormat="1"/>
    <row r="1042523" customFormat="1"/>
    <row r="1042524" customFormat="1"/>
    <row r="1042525" customFormat="1"/>
    <row r="1042526" customFormat="1"/>
    <row r="1042527" customFormat="1"/>
    <row r="1042528" customFormat="1"/>
    <row r="1042529" customFormat="1"/>
    <row r="1042530" customFormat="1"/>
    <row r="1042531" customFormat="1"/>
    <row r="1042532" customFormat="1"/>
    <row r="1042533" customFormat="1"/>
    <row r="1042534" customFormat="1"/>
    <row r="1042535" customFormat="1"/>
    <row r="1042536" customFormat="1"/>
    <row r="1042537" customFormat="1"/>
    <row r="1042538" customFormat="1"/>
    <row r="1042539" customFormat="1"/>
    <row r="1042540" customFormat="1"/>
    <row r="1042541" customFormat="1"/>
    <row r="1042542" customFormat="1"/>
    <row r="1042543" customFormat="1"/>
    <row r="1042544" customFormat="1"/>
    <row r="1042545" customFormat="1"/>
    <row r="1042546" customFormat="1"/>
    <row r="1042547" customFormat="1"/>
    <row r="1042548" customFormat="1"/>
    <row r="1042549" customFormat="1"/>
    <row r="1042550" customFormat="1"/>
    <row r="1042551" customFormat="1"/>
    <row r="1042552" customFormat="1"/>
    <row r="1042553" customFormat="1"/>
    <row r="1042554" customFormat="1"/>
    <row r="1042555" customFormat="1"/>
    <row r="1042556" customFormat="1"/>
    <row r="1042557" customFormat="1"/>
    <row r="1042558" customFormat="1"/>
    <row r="1042559" customFormat="1"/>
    <row r="1042560" customFormat="1"/>
    <row r="1042561" customFormat="1"/>
    <row r="1042562" customFormat="1"/>
    <row r="1042563" customFormat="1"/>
    <row r="1042564" customFormat="1"/>
    <row r="1042565" customFormat="1"/>
    <row r="1042566" customFormat="1"/>
    <row r="1042567" customFormat="1"/>
    <row r="1042568" customFormat="1"/>
    <row r="1042569" customFormat="1"/>
    <row r="1042570" customFormat="1"/>
    <row r="1042571" customFormat="1"/>
    <row r="1042572" customFormat="1"/>
    <row r="1042573" customFormat="1"/>
    <row r="1042574" customFormat="1"/>
    <row r="1042575" customFormat="1"/>
    <row r="1042576" customFormat="1"/>
    <row r="1042577" customFormat="1"/>
    <row r="1042578" customFormat="1"/>
    <row r="1042579" customFormat="1"/>
    <row r="1042580" customFormat="1"/>
    <row r="1042581" customFormat="1"/>
    <row r="1042582" customFormat="1"/>
    <row r="1042583" customFormat="1"/>
    <row r="1042584" customFormat="1"/>
    <row r="1042585" customFormat="1"/>
    <row r="1042586" customFormat="1"/>
    <row r="1042587" customFormat="1"/>
    <row r="1042588" customFormat="1"/>
    <row r="1042589" customFormat="1"/>
    <row r="1042590" customFormat="1"/>
    <row r="1042591" customFormat="1"/>
    <row r="1042592" customFormat="1"/>
    <row r="1042593" customFormat="1"/>
    <row r="1042594" customFormat="1"/>
    <row r="1042595" customFormat="1"/>
    <row r="1042596" customFormat="1"/>
    <row r="1042597" customFormat="1"/>
    <row r="1042598" customFormat="1"/>
    <row r="1042599" customFormat="1"/>
    <row r="1042600" customFormat="1"/>
    <row r="1042601" customFormat="1"/>
    <row r="1042602" customFormat="1"/>
    <row r="1042603" customFormat="1"/>
    <row r="1042604" customFormat="1"/>
    <row r="1042605" customFormat="1"/>
    <row r="1042606" customFormat="1"/>
    <row r="1042607" customFormat="1"/>
    <row r="1042608" customFormat="1"/>
    <row r="1042609" customFormat="1"/>
    <row r="1042610" customFormat="1"/>
    <row r="1042611" customFormat="1"/>
    <row r="1042612" customFormat="1"/>
    <row r="1042613" customFormat="1"/>
    <row r="1042614" customFormat="1"/>
    <row r="1042615" customFormat="1"/>
    <row r="1042616" customFormat="1"/>
    <row r="1042617" customFormat="1"/>
    <row r="1042618" customFormat="1"/>
    <row r="1042619" customFormat="1"/>
    <row r="1042620" customFormat="1"/>
    <row r="1042621" customFormat="1"/>
    <row r="1042622" customFormat="1"/>
    <row r="1042623" customFormat="1"/>
    <row r="1042624" customFormat="1"/>
    <row r="1042625" customFormat="1"/>
    <row r="1042626" customFormat="1"/>
    <row r="1042627" customFormat="1"/>
    <row r="1042628" customFormat="1"/>
    <row r="1042629" customFormat="1"/>
    <row r="1042630" customFormat="1"/>
    <row r="1042631" customFormat="1"/>
    <row r="1042632" customFormat="1"/>
    <row r="1042633" customFormat="1"/>
    <row r="1042634" customFormat="1"/>
    <row r="1042635" customFormat="1"/>
    <row r="1042636" customFormat="1"/>
    <row r="1042637" customFormat="1"/>
    <row r="1042638" customFormat="1"/>
    <row r="1042639" customFormat="1"/>
    <row r="1042640" customFormat="1"/>
    <row r="1042641" customFormat="1"/>
    <row r="1042642" customFormat="1"/>
    <row r="1042643" customFormat="1"/>
    <row r="1042644" customFormat="1"/>
    <row r="1042645" customFormat="1"/>
    <row r="1042646" customFormat="1"/>
    <row r="1042647" customFormat="1"/>
    <row r="1042648" customFormat="1"/>
    <row r="1042649" customFormat="1"/>
    <row r="1042650" customFormat="1"/>
    <row r="1042651" customFormat="1"/>
    <row r="1042652" customFormat="1"/>
    <row r="1042653" customFormat="1"/>
    <row r="1042654" customFormat="1"/>
    <row r="1042655" customFormat="1"/>
    <row r="1042656" customFormat="1"/>
    <row r="1042657" customFormat="1"/>
    <row r="1042658" customFormat="1"/>
    <row r="1042659" customFormat="1"/>
    <row r="1042660" customFormat="1"/>
    <row r="1042661" customFormat="1"/>
    <row r="1042662" customFormat="1"/>
    <row r="1042663" customFormat="1"/>
    <row r="1042664" customFormat="1"/>
    <row r="1042665" customFormat="1"/>
    <row r="1042666" customFormat="1"/>
    <row r="1042667" customFormat="1"/>
    <row r="1042668" customFormat="1"/>
    <row r="1042669" customFormat="1"/>
    <row r="1042670" customFormat="1"/>
    <row r="1042671" customFormat="1"/>
    <row r="1042672" customFormat="1"/>
    <row r="1042673" customFormat="1"/>
    <row r="1042674" customFormat="1"/>
    <row r="1042675" customFormat="1"/>
    <row r="1042676" customFormat="1"/>
    <row r="1042677" customFormat="1"/>
    <row r="1042678" customFormat="1"/>
    <row r="1042679" customFormat="1"/>
    <row r="1042680" customFormat="1"/>
    <row r="1042681" customFormat="1"/>
    <row r="1042682" customFormat="1"/>
    <row r="1042683" customFormat="1"/>
    <row r="1042684" customFormat="1"/>
    <row r="1042685" customFormat="1"/>
    <row r="1042686" customFormat="1"/>
    <row r="1042687" customFormat="1"/>
    <row r="1042688" customFormat="1"/>
    <row r="1042689" customFormat="1"/>
    <row r="1042690" customFormat="1"/>
    <row r="1042691" customFormat="1"/>
    <row r="1042692" customFormat="1"/>
    <row r="1042693" customFormat="1"/>
    <row r="1042694" customFormat="1"/>
    <row r="1042695" customFormat="1"/>
    <row r="1042696" customFormat="1"/>
    <row r="1042697" customFormat="1"/>
    <row r="1042698" customFormat="1"/>
    <row r="1042699" customFormat="1"/>
    <row r="1042700" customFormat="1"/>
    <row r="1042701" customFormat="1"/>
    <row r="1042702" customFormat="1"/>
    <row r="1042703" customFormat="1"/>
    <row r="1042704" customFormat="1"/>
    <row r="1042705" customFormat="1"/>
    <row r="1042706" customFormat="1"/>
    <row r="1042707" customFormat="1"/>
    <row r="1042708" customFormat="1"/>
    <row r="1042709" customFormat="1"/>
    <row r="1042710" customFormat="1"/>
    <row r="1042711" customFormat="1"/>
    <row r="1042712" customFormat="1"/>
    <row r="1042713" customFormat="1"/>
    <row r="1042714" customFormat="1"/>
    <row r="1042715" customFormat="1"/>
    <row r="1042716" customFormat="1"/>
    <row r="1042717" customFormat="1"/>
    <row r="1042718" customFormat="1"/>
    <row r="1042719" customFormat="1"/>
    <row r="1042720" customFormat="1"/>
    <row r="1042721" customFormat="1"/>
    <row r="1042722" customFormat="1"/>
    <row r="1042723" customFormat="1"/>
    <row r="1042724" customFormat="1"/>
    <row r="1042725" customFormat="1"/>
    <row r="1042726" customFormat="1"/>
    <row r="1042727" customFormat="1"/>
    <row r="1042728" customFormat="1"/>
    <row r="1042729" customFormat="1"/>
    <row r="1042730" customFormat="1"/>
    <row r="1042731" customFormat="1"/>
    <row r="1042732" customFormat="1"/>
    <row r="1042733" customFormat="1"/>
    <row r="1042734" customFormat="1"/>
    <row r="1042735" customFormat="1"/>
    <row r="1042736" customFormat="1"/>
    <row r="1042737" customFormat="1"/>
    <row r="1042738" customFormat="1"/>
    <row r="1042739" customFormat="1"/>
    <row r="1042740" customFormat="1"/>
    <row r="1042741" customFormat="1"/>
    <row r="1042742" customFormat="1"/>
    <row r="1042743" customFormat="1"/>
    <row r="1042744" customFormat="1"/>
    <row r="1042745" customFormat="1"/>
    <row r="1042746" customFormat="1"/>
    <row r="1042747" customFormat="1"/>
    <row r="1042748" customFormat="1"/>
    <row r="1042749" customFormat="1"/>
    <row r="1042750" customFormat="1"/>
    <row r="1042751" customFormat="1"/>
    <row r="1042752" customFormat="1"/>
    <row r="1042753" customFormat="1"/>
    <row r="1042754" customFormat="1"/>
    <row r="1042755" customFormat="1"/>
    <row r="1042756" customFormat="1"/>
    <row r="1042757" customFormat="1"/>
    <row r="1042758" customFormat="1"/>
    <row r="1042759" customFormat="1"/>
    <row r="1042760" customFormat="1"/>
    <row r="1042761" customFormat="1"/>
    <row r="1042762" customFormat="1"/>
    <row r="1042763" customFormat="1"/>
    <row r="1042764" customFormat="1"/>
    <row r="1042765" customFormat="1"/>
    <row r="1042766" customFormat="1"/>
    <row r="1042767" customFormat="1"/>
    <row r="1042768" customFormat="1"/>
    <row r="1042769" customFormat="1"/>
    <row r="1042770" customFormat="1"/>
    <row r="1042771" customFormat="1"/>
    <row r="1042772" customFormat="1"/>
    <row r="1042773" customFormat="1"/>
    <row r="1042774" customFormat="1"/>
    <row r="1042775" customFormat="1"/>
    <row r="1042776" customFormat="1"/>
    <row r="1042777" customFormat="1"/>
    <row r="1042778" customFormat="1"/>
    <row r="1042779" customFormat="1"/>
    <row r="1042780" customFormat="1"/>
    <row r="1042781" customFormat="1"/>
    <row r="1042782" customFormat="1"/>
    <row r="1042783" customFormat="1"/>
    <row r="1042784" customFormat="1"/>
    <row r="1042785" customFormat="1"/>
    <row r="1042786" customFormat="1"/>
    <row r="1042787" customFormat="1"/>
    <row r="1042788" customFormat="1"/>
    <row r="1042789" customFormat="1"/>
    <row r="1042790" customFormat="1"/>
    <row r="1042791" customFormat="1"/>
    <row r="1042792" customFormat="1"/>
    <row r="1042793" customFormat="1"/>
    <row r="1042794" customFormat="1"/>
    <row r="1042795" customFormat="1"/>
    <row r="1042796" customFormat="1"/>
    <row r="1042797" customFormat="1"/>
    <row r="1042798" customFormat="1"/>
    <row r="1042799" customFormat="1"/>
    <row r="1042800" customFormat="1"/>
    <row r="1042801" customFormat="1"/>
    <row r="1042802" customFormat="1"/>
    <row r="1042803" customFormat="1"/>
    <row r="1042804" customFormat="1"/>
    <row r="1042805" customFormat="1"/>
    <row r="1042806" customFormat="1"/>
    <row r="1042807" customFormat="1"/>
    <row r="1042808" customFormat="1"/>
    <row r="1042809" customFormat="1"/>
    <row r="1042810" customFormat="1"/>
    <row r="1042811" customFormat="1"/>
    <row r="1042812" customFormat="1"/>
    <row r="1042813" customFormat="1"/>
    <row r="1042814" customFormat="1"/>
    <row r="1042815" customFormat="1"/>
    <row r="1042816" customFormat="1"/>
    <row r="1042817" customFormat="1"/>
    <row r="1042818" customFormat="1"/>
    <row r="1042819" customFormat="1"/>
    <row r="1042820" customFormat="1"/>
    <row r="1042821" customFormat="1"/>
    <row r="1042822" customFormat="1"/>
    <row r="1042823" customFormat="1"/>
    <row r="1042824" customFormat="1"/>
    <row r="1042825" customFormat="1"/>
    <row r="1042826" customFormat="1"/>
    <row r="1042827" customFormat="1"/>
    <row r="1042828" customFormat="1"/>
    <row r="1042829" customFormat="1"/>
    <row r="1042830" customFormat="1"/>
    <row r="1042831" customFormat="1"/>
    <row r="1042832" customFormat="1"/>
    <row r="1042833" customFormat="1"/>
    <row r="1042834" customFormat="1"/>
    <row r="1042835" customFormat="1"/>
    <row r="1042836" customFormat="1"/>
    <row r="1042837" customFormat="1"/>
    <row r="1042838" customFormat="1"/>
    <row r="1042839" customFormat="1"/>
    <row r="1042840" customFormat="1"/>
    <row r="1042841" customFormat="1"/>
    <row r="1042842" customFormat="1"/>
    <row r="1042843" customFormat="1"/>
    <row r="1042844" customFormat="1"/>
    <row r="1042845" customFormat="1"/>
    <row r="1042846" customFormat="1"/>
    <row r="1042847" customFormat="1"/>
    <row r="1042848" customFormat="1"/>
    <row r="1042849" customFormat="1"/>
    <row r="1042850" customFormat="1"/>
    <row r="1042851" customFormat="1"/>
    <row r="1042852" customFormat="1"/>
    <row r="1042853" customFormat="1"/>
    <row r="1042854" customFormat="1"/>
    <row r="1042855" customFormat="1"/>
    <row r="1042856" customFormat="1"/>
    <row r="1042857" customFormat="1"/>
    <row r="1042858" customFormat="1"/>
    <row r="1042859" customFormat="1"/>
    <row r="1042860" customFormat="1"/>
    <row r="1042861" customFormat="1"/>
    <row r="1042862" customFormat="1"/>
    <row r="1042863" customFormat="1"/>
    <row r="1042864" customFormat="1"/>
    <row r="1042865" customFormat="1"/>
    <row r="1042866" customFormat="1"/>
    <row r="1042867" customFormat="1"/>
    <row r="1042868" customFormat="1"/>
    <row r="1042869" customFormat="1"/>
    <row r="1042870" customFormat="1"/>
    <row r="1042871" customFormat="1"/>
    <row r="1042872" customFormat="1"/>
    <row r="1042873" customFormat="1"/>
    <row r="1042874" customFormat="1"/>
    <row r="1042875" customFormat="1"/>
    <row r="1042876" customFormat="1"/>
    <row r="1042877" customFormat="1"/>
    <row r="1042878" customFormat="1"/>
    <row r="1042879" customFormat="1"/>
    <row r="1042880" customFormat="1"/>
    <row r="1042881" customFormat="1"/>
    <row r="1042882" customFormat="1"/>
    <row r="1042883" customFormat="1"/>
    <row r="1042884" customFormat="1"/>
    <row r="1042885" customFormat="1"/>
    <row r="1042886" customFormat="1"/>
    <row r="1042887" customFormat="1"/>
    <row r="1042888" customFormat="1"/>
    <row r="1042889" customFormat="1"/>
    <row r="1042890" customFormat="1"/>
    <row r="1042891" customFormat="1"/>
    <row r="1042892" customFormat="1"/>
    <row r="1042893" customFormat="1"/>
    <row r="1042894" customFormat="1"/>
    <row r="1042895" customFormat="1"/>
    <row r="1042896" customFormat="1"/>
    <row r="1042897" customFormat="1"/>
    <row r="1042898" customFormat="1"/>
    <row r="1042899" customFormat="1"/>
    <row r="1042900" customFormat="1"/>
    <row r="1042901" customFormat="1"/>
    <row r="1042902" customFormat="1"/>
    <row r="1042903" customFormat="1"/>
    <row r="1042904" customFormat="1"/>
    <row r="1042905" customFormat="1"/>
    <row r="1042906" customFormat="1"/>
    <row r="1042907" customFormat="1"/>
    <row r="1042908" customFormat="1"/>
    <row r="1042909" customFormat="1"/>
    <row r="1042910" customFormat="1"/>
    <row r="1042911" customFormat="1"/>
    <row r="1042912" customFormat="1"/>
    <row r="1042913" customFormat="1"/>
    <row r="1042914" customFormat="1"/>
    <row r="1042915" customFormat="1"/>
    <row r="1042916" customFormat="1"/>
    <row r="1042917" customFormat="1"/>
    <row r="1042918" customFormat="1"/>
    <row r="1042919" customFormat="1"/>
    <row r="1042920" customFormat="1"/>
    <row r="1042921" customFormat="1"/>
    <row r="1042922" customFormat="1"/>
    <row r="1042923" customFormat="1"/>
    <row r="1042924" customFormat="1"/>
    <row r="1042925" customFormat="1"/>
    <row r="1042926" customFormat="1"/>
    <row r="1042927" customFormat="1"/>
    <row r="1042928" customFormat="1"/>
    <row r="1042929" customFormat="1"/>
    <row r="1042930" customFormat="1"/>
    <row r="1042931" customFormat="1"/>
    <row r="1042932" customFormat="1"/>
    <row r="1042933" customFormat="1"/>
    <row r="1042934" customFormat="1"/>
    <row r="1042935" customFormat="1"/>
    <row r="1042936" customFormat="1"/>
    <row r="1042937" customFormat="1"/>
    <row r="1042938" customFormat="1"/>
    <row r="1042939" customFormat="1"/>
    <row r="1042940" customFormat="1"/>
    <row r="1042941" customFormat="1"/>
    <row r="1042942" customFormat="1"/>
    <row r="1042943" customFormat="1"/>
    <row r="1042944" customFormat="1"/>
    <row r="1042945" customFormat="1"/>
    <row r="1042946" customFormat="1"/>
    <row r="1042947" customFormat="1"/>
    <row r="1042948" customFormat="1"/>
    <row r="1042949" customFormat="1"/>
    <row r="1042950" customFormat="1"/>
    <row r="1042951" customFormat="1"/>
    <row r="1042952" customFormat="1"/>
    <row r="1042953" customFormat="1"/>
    <row r="1042954" customFormat="1"/>
    <row r="1042955" customFormat="1"/>
    <row r="1042956" customFormat="1"/>
    <row r="1042957" customFormat="1"/>
    <row r="1042958" customFormat="1"/>
    <row r="1042959" customFormat="1"/>
    <row r="1042960" customFormat="1"/>
    <row r="1042961" customFormat="1"/>
    <row r="1042962" customFormat="1"/>
    <row r="1042963" customFormat="1"/>
    <row r="1042964" customFormat="1"/>
    <row r="1042965" customFormat="1"/>
    <row r="1042966" customFormat="1"/>
    <row r="1042967" customFormat="1"/>
    <row r="1042968" customFormat="1"/>
    <row r="1042969" customFormat="1"/>
    <row r="1042970" customFormat="1"/>
    <row r="1042971" customFormat="1"/>
    <row r="1042972" customFormat="1"/>
    <row r="1042973" customFormat="1"/>
    <row r="1042974" customFormat="1"/>
    <row r="1042975" customFormat="1"/>
    <row r="1042976" customFormat="1"/>
    <row r="1042977" customFormat="1"/>
    <row r="1042978" customFormat="1"/>
    <row r="1042979" customFormat="1"/>
    <row r="1042980" customFormat="1"/>
    <row r="1042981" customFormat="1"/>
    <row r="1042982" customFormat="1"/>
    <row r="1042983" customFormat="1"/>
    <row r="1042984" customFormat="1"/>
    <row r="1042985" customFormat="1"/>
    <row r="1042986" customFormat="1"/>
    <row r="1042987" customFormat="1"/>
    <row r="1042988" customFormat="1"/>
    <row r="1042989" customFormat="1"/>
    <row r="1042990" customFormat="1"/>
    <row r="1042991" customFormat="1"/>
    <row r="1042992" customFormat="1"/>
    <row r="1042993" customFormat="1"/>
    <row r="1042994" customFormat="1"/>
    <row r="1042995" customFormat="1"/>
    <row r="1042996" customFormat="1"/>
    <row r="1042997" customFormat="1"/>
    <row r="1042998" customFormat="1"/>
    <row r="1042999" customFormat="1"/>
    <row r="1043000" customFormat="1"/>
    <row r="1043001" customFormat="1"/>
    <row r="1043002" customFormat="1"/>
    <row r="1043003" customFormat="1"/>
    <row r="1043004" customFormat="1"/>
    <row r="1043005" customFormat="1"/>
    <row r="1043006" customFormat="1"/>
    <row r="1043007" customFormat="1"/>
    <row r="1043008" customFormat="1"/>
    <row r="1043009" customFormat="1"/>
    <row r="1043010" customFormat="1"/>
    <row r="1043011" customFormat="1"/>
    <row r="1043012" customFormat="1"/>
    <row r="1043013" customFormat="1"/>
    <row r="1043014" customFormat="1"/>
    <row r="1043015" customFormat="1"/>
    <row r="1043016" customFormat="1"/>
    <row r="1043017" customFormat="1"/>
    <row r="1043018" customFormat="1"/>
    <row r="1043019" customFormat="1"/>
    <row r="1043020" customFormat="1"/>
    <row r="1043021" customFormat="1"/>
    <row r="1043022" customFormat="1"/>
    <row r="1043023" customFormat="1"/>
    <row r="1043024" customFormat="1"/>
    <row r="1043025" customFormat="1"/>
    <row r="1043026" customFormat="1"/>
    <row r="1043027" customFormat="1"/>
    <row r="1043028" customFormat="1"/>
    <row r="1043029" customFormat="1"/>
    <row r="1043030" customFormat="1"/>
    <row r="1043031" customFormat="1"/>
    <row r="1043032" customFormat="1"/>
    <row r="1043033" customFormat="1"/>
    <row r="1043034" customFormat="1"/>
    <row r="1043035" customFormat="1"/>
    <row r="1043036" customFormat="1"/>
    <row r="1043037" customFormat="1"/>
    <row r="1043038" customFormat="1"/>
    <row r="1043039" customFormat="1"/>
    <row r="1043040" customFormat="1"/>
    <row r="1043041" customFormat="1"/>
    <row r="1043042" customFormat="1"/>
    <row r="1043043" customFormat="1"/>
    <row r="1043044" customFormat="1"/>
    <row r="1043045" customFormat="1"/>
    <row r="1043046" customFormat="1"/>
    <row r="1043047" customFormat="1"/>
    <row r="1043048" customFormat="1"/>
    <row r="1043049" customFormat="1"/>
    <row r="1043050" customFormat="1"/>
    <row r="1043051" customFormat="1"/>
    <row r="1043052" customFormat="1"/>
    <row r="1043053" customFormat="1"/>
    <row r="1043054" customFormat="1"/>
    <row r="1043055" customFormat="1"/>
    <row r="1043056" customFormat="1"/>
    <row r="1043057" customFormat="1"/>
    <row r="1043058" customFormat="1"/>
    <row r="1043059" customFormat="1"/>
    <row r="1043060" customFormat="1"/>
    <row r="1043061" customFormat="1"/>
    <row r="1043062" customFormat="1"/>
    <row r="1043063" customFormat="1"/>
    <row r="1043064" customFormat="1"/>
    <row r="1043065" customFormat="1"/>
    <row r="1043066" customFormat="1"/>
    <row r="1043067" customFormat="1"/>
    <row r="1043068" customFormat="1"/>
    <row r="1043069" customFormat="1"/>
    <row r="1043070" customFormat="1"/>
    <row r="1043071" customFormat="1"/>
    <row r="1043072" customFormat="1"/>
    <row r="1043073" customFormat="1"/>
    <row r="1043074" customFormat="1"/>
    <row r="1043075" customFormat="1"/>
    <row r="1043076" customFormat="1"/>
    <row r="1043077" customFormat="1"/>
    <row r="1043078" customFormat="1"/>
    <row r="1043079" customFormat="1"/>
    <row r="1043080" customFormat="1"/>
    <row r="1043081" customFormat="1"/>
    <row r="1043082" customFormat="1"/>
    <row r="1043083" customFormat="1"/>
    <row r="1043084" customFormat="1"/>
    <row r="1043085" customFormat="1"/>
    <row r="1043086" customFormat="1"/>
    <row r="1043087" customFormat="1"/>
    <row r="1043088" customFormat="1"/>
    <row r="1043089" customFormat="1"/>
    <row r="1043090" customFormat="1"/>
    <row r="1043091" customFormat="1"/>
    <row r="1043092" customFormat="1"/>
    <row r="1043093" customFormat="1"/>
    <row r="1043094" customFormat="1"/>
    <row r="1043095" customFormat="1"/>
    <row r="1043096" customFormat="1"/>
    <row r="1043097" customFormat="1"/>
    <row r="1043098" customFormat="1"/>
    <row r="1043099" customFormat="1"/>
    <row r="1043100" customFormat="1"/>
    <row r="1043101" customFormat="1"/>
    <row r="1043102" customFormat="1"/>
    <row r="1043103" customFormat="1"/>
    <row r="1043104" customFormat="1"/>
    <row r="1043105" customFormat="1"/>
    <row r="1043106" customFormat="1"/>
    <row r="1043107" customFormat="1"/>
    <row r="1043108" customFormat="1"/>
    <row r="1043109" customFormat="1"/>
    <row r="1043110" customFormat="1"/>
    <row r="1043111" customFormat="1"/>
    <row r="1043112" customFormat="1"/>
    <row r="1043113" customFormat="1"/>
    <row r="1043114" customFormat="1"/>
    <row r="1043115" customFormat="1"/>
    <row r="1043116" customFormat="1"/>
    <row r="1043117" customFormat="1"/>
    <row r="1043118" customFormat="1"/>
    <row r="1043119" customFormat="1"/>
    <row r="1043120" customFormat="1"/>
    <row r="1043121" customFormat="1"/>
    <row r="1043122" customFormat="1"/>
    <row r="1043123" customFormat="1"/>
    <row r="1043124" customFormat="1"/>
    <row r="1043125" customFormat="1"/>
    <row r="1043126" customFormat="1"/>
    <row r="1043127" customFormat="1"/>
    <row r="1043128" customFormat="1"/>
    <row r="1043129" customFormat="1"/>
    <row r="1043130" customFormat="1"/>
    <row r="1043131" customFormat="1"/>
    <row r="1043132" customFormat="1"/>
    <row r="1043133" customFormat="1"/>
    <row r="1043134" customFormat="1"/>
    <row r="1043135" customFormat="1"/>
    <row r="1043136" customFormat="1"/>
    <row r="1043137" customFormat="1"/>
    <row r="1043138" customFormat="1"/>
    <row r="1043139" customFormat="1"/>
    <row r="1043140" customFormat="1"/>
    <row r="1043141" customFormat="1"/>
    <row r="1043142" customFormat="1"/>
    <row r="1043143" customFormat="1"/>
    <row r="1043144" customFormat="1"/>
    <row r="1043145" customFormat="1"/>
    <row r="1043146" customFormat="1"/>
    <row r="1043147" customFormat="1"/>
    <row r="1043148" customFormat="1"/>
    <row r="1043149" customFormat="1"/>
    <row r="1043150" customFormat="1"/>
    <row r="1043151" customFormat="1"/>
    <row r="1043152" customFormat="1"/>
    <row r="1043153" customFormat="1"/>
    <row r="1043154" customFormat="1"/>
    <row r="1043155" customFormat="1"/>
    <row r="1043156" customFormat="1"/>
    <row r="1043157" customFormat="1"/>
    <row r="1043158" customFormat="1"/>
    <row r="1043159" customFormat="1"/>
    <row r="1043160" customFormat="1"/>
    <row r="1043161" customFormat="1"/>
    <row r="1043162" customFormat="1"/>
    <row r="1043163" customFormat="1"/>
    <row r="1043164" customFormat="1"/>
    <row r="1043165" customFormat="1"/>
    <row r="1043166" customFormat="1"/>
    <row r="1043167" customFormat="1"/>
    <row r="1043168" customFormat="1"/>
    <row r="1043169" customFormat="1"/>
    <row r="1043170" customFormat="1"/>
    <row r="1043171" customFormat="1"/>
    <row r="1043172" customFormat="1"/>
    <row r="1043173" customFormat="1"/>
    <row r="1043174" customFormat="1"/>
    <row r="1043175" customFormat="1"/>
    <row r="1043176" customFormat="1"/>
    <row r="1043177" customFormat="1"/>
    <row r="1043178" customFormat="1"/>
    <row r="1043179" customFormat="1"/>
    <row r="1043180" customFormat="1"/>
    <row r="1043181" customFormat="1"/>
    <row r="1043182" customFormat="1"/>
    <row r="1043183" customFormat="1"/>
    <row r="1043184" customFormat="1"/>
    <row r="1043185" customFormat="1"/>
    <row r="1043186" customFormat="1"/>
    <row r="1043187" customFormat="1"/>
    <row r="1043188" customFormat="1"/>
    <row r="1043189" customFormat="1"/>
    <row r="1043190" customFormat="1"/>
    <row r="1043191" customFormat="1"/>
    <row r="1043192" customFormat="1"/>
    <row r="1043193" customFormat="1"/>
    <row r="1043194" customFormat="1"/>
    <row r="1043195" customFormat="1"/>
    <row r="1043196" customFormat="1"/>
    <row r="1043197" customFormat="1"/>
    <row r="1043198" customFormat="1"/>
    <row r="1043199" customFormat="1"/>
    <row r="1043200" customFormat="1"/>
    <row r="1043201" customFormat="1"/>
    <row r="1043202" customFormat="1"/>
    <row r="1043203" customFormat="1"/>
    <row r="1043204" customFormat="1"/>
    <row r="1043205" customFormat="1"/>
    <row r="1043206" customFormat="1"/>
    <row r="1043207" customFormat="1"/>
    <row r="1043208" customFormat="1"/>
    <row r="1043209" customFormat="1"/>
    <row r="1043210" customFormat="1"/>
    <row r="1043211" customFormat="1"/>
    <row r="1043212" customFormat="1"/>
    <row r="1043213" customFormat="1"/>
    <row r="1043214" customFormat="1"/>
    <row r="1043215" customFormat="1"/>
    <row r="1043216" customFormat="1"/>
    <row r="1043217" customFormat="1"/>
    <row r="1043218" customFormat="1"/>
    <row r="1043219" customFormat="1"/>
    <row r="1043220" customFormat="1"/>
    <row r="1043221" customFormat="1"/>
    <row r="1043222" customFormat="1"/>
    <row r="1043223" customFormat="1"/>
    <row r="1043224" customFormat="1"/>
    <row r="1043225" customFormat="1"/>
    <row r="1043226" customFormat="1"/>
    <row r="1043227" customFormat="1"/>
    <row r="1043228" customFormat="1"/>
    <row r="1043229" customFormat="1"/>
    <row r="1043230" customFormat="1"/>
    <row r="1043231" customFormat="1"/>
    <row r="1043232" customFormat="1"/>
    <row r="1043233" customFormat="1"/>
    <row r="1043234" customFormat="1"/>
    <row r="1043235" customFormat="1"/>
    <row r="1043236" customFormat="1"/>
    <row r="1043237" customFormat="1"/>
    <row r="1043238" customFormat="1"/>
    <row r="1043239" customFormat="1"/>
    <row r="1043240" customFormat="1"/>
    <row r="1043241" customFormat="1"/>
    <row r="1043242" customFormat="1"/>
    <row r="1043243" customFormat="1"/>
    <row r="1043244" customFormat="1"/>
    <row r="1043245" customFormat="1"/>
    <row r="1043246" customFormat="1"/>
    <row r="1043247" customFormat="1"/>
    <row r="1043248" customFormat="1"/>
    <row r="1043249" customFormat="1"/>
    <row r="1043250" customFormat="1"/>
    <row r="1043251" customFormat="1"/>
    <row r="1043252" customFormat="1"/>
    <row r="1043253" customFormat="1"/>
    <row r="1043254" customFormat="1"/>
    <row r="1043255" customFormat="1"/>
    <row r="1043256" customFormat="1"/>
    <row r="1043257" customFormat="1"/>
    <row r="1043258" customFormat="1"/>
    <row r="1043259" customFormat="1"/>
    <row r="1043260" customFormat="1"/>
    <row r="1043261" customFormat="1"/>
    <row r="1043262" customFormat="1"/>
    <row r="1043263" customFormat="1"/>
    <row r="1043264" customFormat="1"/>
    <row r="1043265" customFormat="1"/>
    <row r="1043266" customFormat="1"/>
    <row r="1043267" customFormat="1"/>
    <row r="1043268" customFormat="1"/>
    <row r="1043269" customFormat="1"/>
    <row r="1043270" customFormat="1"/>
    <row r="1043271" customFormat="1"/>
    <row r="1043272" customFormat="1"/>
    <row r="1043273" customFormat="1"/>
    <row r="1043274" customFormat="1"/>
    <row r="1043275" customFormat="1"/>
    <row r="1043276" customFormat="1"/>
    <row r="1043277" customFormat="1"/>
    <row r="1043278" customFormat="1"/>
    <row r="1043279" customFormat="1"/>
    <row r="1043280" customFormat="1"/>
    <row r="1043281" customFormat="1"/>
    <row r="1043282" customFormat="1"/>
    <row r="1043283" customFormat="1"/>
    <row r="1043284" customFormat="1"/>
    <row r="1043285" customFormat="1"/>
    <row r="1043286" customFormat="1"/>
    <row r="1043287" customFormat="1"/>
    <row r="1043288" customFormat="1"/>
    <row r="1043289" customFormat="1"/>
    <row r="1043290" customFormat="1"/>
    <row r="1043291" customFormat="1"/>
    <row r="1043292" customFormat="1"/>
    <row r="1043293" customFormat="1"/>
    <row r="1043294" customFormat="1"/>
    <row r="1043295" customFormat="1"/>
    <row r="1043296" customFormat="1"/>
    <row r="1043297" customFormat="1"/>
    <row r="1043298" customFormat="1"/>
    <row r="1043299" customFormat="1"/>
    <row r="1043300" customFormat="1"/>
    <row r="1043301" customFormat="1"/>
    <row r="1043302" customFormat="1"/>
    <row r="1043303" customFormat="1"/>
    <row r="1043304" customFormat="1"/>
    <row r="1043305" customFormat="1"/>
    <row r="1043306" customFormat="1"/>
    <row r="1043307" customFormat="1"/>
    <row r="1043308" customFormat="1"/>
    <row r="1043309" customFormat="1"/>
    <row r="1043310" customFormat="1"/>
    <row r="1043311" customFormat="1"/>
    <row r="1043312" customFormat="1"/>
    <row r="1043313" customFormat="1"/>
    <row r="1043314" customFormat="1"/>
    <row r="1043315" customFormat="1"/>
    <row r="1043316" customFormat="1"/>
    <row r="1043317" customFormat="1"/>
    <row r="1043318" customFormat="1"/>
    <row r="1043319" customFormat="1"/>
    <row r="1043320" customFormat="1"/>
    <row r="1043321" customFormat="1"/>
    <row r="1043322" customFormat="1"/>
    <row r="1043323" customFormat="1"/>
    <row r="1043324" customFormat="1"/>
    <row r="1043325" customFormat="1"/>
    <row r="1043326" customFormat="1"/>
    <row r="1043327" customFormat="1"/>
    <row r="1043328" customFormat="1"/>
    <row r="1043329" customFormat="1"/>
    <row r="1043330" customFormat="1"/>
    <row r="1043331" customFormat="1"/>
    <row r="1043332" customFormat="1"/>
    <row r="1043333" customFormat="1"/>
    <row r="1043334" customFormat="1"/>
    <row r="1043335" customFormat="1"/>
    <row r="1043336" customFormat="1"/>
    <row r="1043337" customFormat="1"/>
    <row r="1043338" customFormat="1"/>
    <row r="1043339" customFormat="1"/>
    <row r="1043340" customFormat="1"/>
    <row r="1043341" customFormat="1"/>
    <row r="1043342" customFormat="1"/>
    <row r="1043343" customFormat="1"/>
    <row r="1043344" customFormat="1"/>
    <row r="1043345" customFormat="1"/>
    <row r="1043346" customFormat="1"/>
    <row r="1043347" customFormat="1"/>
    <row r="1043348" customFormat="1"/>
    <row r="1043349" customFormat="1"/>
    <row r="1043350" customFormat="1"/>
    <row r="1043351" customFormat="1"/>
    <row r="1043352" customFormat="1"/>
    <row r="1043353" customFormat="1"/>
    <row r="1043354" customFormat="1"/>
    <row r="1043355" customFormat="1"/>
    <row r="1043356" customFormat="1"/>
    <row r="1043357" customFormat="1"/>
    <row r="1043358" customFormat="1"/>
    <row r="1043359" customFormat="1"/>
    <row r="1043360" customFormat="1"/>
    <row r="1043361" customFormat="1"/>
    <row r="1043362" customFormat="1"/>
    <row r="1043363" customFormat="1"/>
    <row r="1043364" customFormat="1"/>
    <row r="1043365" customFormat="1"/>
    <row r="1043366" customFormat="1"/>
    <row r="1043367" customFormat="1"/>
    <row r="1043368" customFormat="1"/>
    <row r="1043369" customFormat="1"/>
    <row r="1043370" customFormat="1"/>
    <row r="1043371" customFormat="1"/>
    <row r="1043372" customFormat="1"/>
    <row r="1043373" customFormat="1"/>
    <row r="1043374" customFormat="1"/>
    <row r="1043375" customFormat="1"/>
    <row r="1043376" customFormat="1"/>
    <row r="1043377" customFormat="1"/>
    <row r="1043378" customFormat="1"/>
    <row r="1043379" customFormat="1"/>
    <row r="1043380" customFormat="1"/>
    <row r="1043381" customFormat="1"/>
    <row r="1043382" customFormat="1"/>
    <row r="1043383" customFormat="1"/>
    <row r="1043384" customFormat="1"/>
    <row r="1043385" customFormat="1"/>
    <row r="1043386" customFormat="1"/>
    <row r="1043387" customFormat="1"/>
    <row r="1043388" customFormat="1"/>
    <row r="1043389" customFormat="1"/>
    <row r="1043390" customFormat="1"/>
    <row r="1043391" customFormat="1"/>
    <row r="1043392" customFormat="1"/>
    <row r="1043393" customFormat="1"/>
    <row r="1043394" customFormat="1"/>
    <row r="1043395" customFormat="1"/>
    <row r="1043396" customFormat="1"/>
    <row r="1043397" customFormat="1"/>
    <row r="1043398" customFormat="1"/>
    <row r="1043399" customFormat="1"/>
    <row r="1043400" customFormat="1"/>
    <row r="1043401" customFormat="1"/>
    <row r="1043402" customFormat="1"/>
    <row r="1043403" customFormat="1"/>
    <row r="1043404" customFormat="1"/>
    <row r="1043405" customFormat="1"/>
    <row r="1043406" customFormat="1"/>
    <row r="1043407" customFormat="1"/>
    <row r="1043408" customFormat="1"/>
    <row r="1043409" customFormat="1"/>
    <row r="1043410" customFormat="1"/>
    <row r="1043411" customFormat="1"/>
    <row r="1043412" customFormat="1"/>
    <row r="1043413" customFormat="1"/>
    <row r="1043414" customFormat="1"/>
    <row r="1043415" customFormat="1"/>
    <row r="1043416" customFormat="1"/>
    <row r="1043417" customFormat="1"/>
    <row r="1043418" customFormat="1"/>
    <row r="1043419" customFormat="1"/>
    <row r="1043420" customFormat="1"/>
    <row r="1043421" customFormat="1"/>
    <row r="1043422" customFormat="1"/>
    <row r="1043423" customFormat="1"/>
    <row r="1043424" customFormat="1"/>
    <row r="1043425" customFormat="1"/>
    <row r="1043426" customFormat="1"/>
    <row r="1043427" customFormat="1"/>
    <row r="1043428" customFormat="1"/>
    <row r="1043429" customFormat="1"/>
    <row r="1043430" customFormat="1"/>
    <row r="1043431" customFormat="1"/>
    <row r="1043432" customFormat="1"/>
    <row r="1043433" customFormat="1"/>
    <row r="1043434" customFormat="1"/>
    <row r="1043435" customFormat="1"/>
    <row r="1043436" customFormat="1"/>
    <row r="1043437" customFormat="1"/>
    <row r="1043438" customFormat="1"/>
    <row r="1043439" customFormat="1"/>
    <row r="1043440" customFormat="1"/>
    <row r="1043441" customFormat="1"/>
    <row r="1043442" customFormat="1"/>
    <row r="1043443" customFormat="1"/>
    <row r="1043444" customFormat="1"/>
    <row r="1043445" customFormat="1"/>
    <row r="1043446" customFormat="1"/>
    <row r="1043447" customFormat="1"/>
    <row r="1043448" customFormat="1"/>
    <row r="1043449" customFormat="1"/>
    <row r="1043450" customFormat="1"/>
    <row r="1043451" customFormat="1"/>
    <row r="1043452" customFormat="1"/>
    <row r="1043453" customFormat="1"/>
    <row r="1043454" customFormat="1"/>
    <row r="1043455" customFormat="1"/>
    <row r="1043456" customFormat="1"/>
    <row r="1043457" customFormat="1"/>
    <row r="1043458" customFormat="1"/>
    <row r="1043459" customFormat="1"/>
    <row r="1043460" customFormat="1"/>
    <row r="1043461" customFormat="1"/>
    <row r="1043462" customFormat="1"/>
    <row r="1043463" customFormat="1"/>
    <row r="1043464" customFormat="1"/>
    <row r="1043465" customFormat="1"/>
    <row r="1043466" customFormat="1"/>
    <row r="1043467" customFormat="1"/>
    <row r="1043468" customFormat="1"/>
    <row r="1043469" customFormat="1"/>
    <row r="1043470" customFormat="1"/>
    <row r="1043471" customFormat="1"/>
    <row r="1043472" customFormat="1"/>
    <row r="1043473" customFormat="1"/>
    <row r="1043474" customFormat="1"/>
    <row r="1043475" customFormat="1"/>
    <row r="1043476" customFormat="1"/>
    <row r="1043477" customFormat="1"/>
    <row r="1043478" customFormat="1"/>
    <row r="1043479" customFormat="1"/>
    <row r="1043480" customFormat="1"/>
    <row r="1043481" customFormat="1"/>
    <row r="1043482" customFormat="1"/>
    <row r="1043483" customFormat="1"/>
    <row r="1043484" customFormat="1"/>
    <row r="1043485" customFormat="1"/>
    <row r="1043486" customFormat="1"/>
    <row r="1043487" customFormat="1"/>
    <row r="1043488" customFormat="1"/>
    <row r="1043489" customFormat="1"/>
    <row r="1043490" customFormat="1"/>
    <row r="1043491" customFormat="1"/>
    <row r="1043492" customFormat="1"/>
    <row r="1043493" customFormat="1"/>
    <row r="1043494" customFormat="1"/>
    <row r="1043495" customFormat="1"/>
    <row r="1043496" customFormat="1"/>
    <row r="1043497" customFormat="1"/>
    <row r="1043498" customFormat="1"/>
    <row r="1043499" customFormat="1"/>
    <row r="1043500" customFormat="1"/>
    <row r="1043501" customFormat="1"/>
    <row r="1043502" customFormat="1"/>
    <row r="1043503" customFormat="1"/>
    <row r="1043504" customFormat="1"/>
    <row r="1043505" customFormat="1"/>
    <row r="1043506" customFormat="1"/>
    <row r="1043507" customFormat="1"/>
    <row r="1043508" customFormat="1"/>
    <row r="1043509" customFormat="1"/>
    <row r="1043510" customFormat="1"/>
    <row r="1043511" customFormat="1"/>
    <row r="1043512" customFormat="1"/>
    <row r="1043513" customFormat="1"/>
    <row r="1043514" customFormat="1"/>
    <row r="1043515" customFormat="1"/>
    <row r="1043516" customFormat="1"/>
    <row r="1043517" customFormat="1"/>
    <row r="1043518" customFormat="1"/>
    <row r="1043519" customFormat="1"/>
    <row r="1043520" customFormat="1"/>
    <row r="1043521" customFormat="1"/>
    <row r="1043522" customFormat="1"/>
    <row r="1043523" customFormat="1"/>
    <row r="1043524" customFormat="1"/>
    <row r="1043525" customFormat="1"/>
    <row r="1043526" customFormat="1"/>
    <row r="1043527" customFormat="1"/>
    <row r="1043528" customFormat="1"/>
    <row r="1043529" customFormat="1"/>
    <row r="1043530" customFormat="1"/>
    <row r="1043531" customFormat="1"/>
    <row r="1043532" customFormat="1"/>
    <row r="1043533" customFormat="1"/>
    <row r="1043534" customFormat="1"/>
    <row r="1043535" customFormat="1"/>
    <row r="1043536" customFormat="1"/>
    <row r="1043537" customFormat="1"/>
    <row r="1043538" customFormat="1"/>
    <row r="1043539" customFormat="1"/>
    <row r="1043540" customFormat="1"/>
    <row r="1043541" customFormat="1"/>
    <row r="1043542" customFormat="1"/>
    <row r="1043543" customFormat="1"/>
    <row r="1043544" customFormat="1"/>
    <row r="1043545" customFormat="1"/>
    <row r="1043546" customFormat="1"/>
    <row r="1043547" customFormat="1"/>
    <row r="1043548" customFormat="1"/>
    <row r="1043549" customFormat="1"/>
    <row r="1043550" customFormat="1"/>
    <row r="1043551" customFormat="1"/>
    <row r="1043552" customFormat="1"/>
    <row r="1043553" customFormat="1"/>
    <row r="1043554" customFormat="1"/>
    <row r="1043555" customFormat="1"/>
    <row r="1043556" customFormat="1"/>
    <row r="1043557" customFormat="1"/>
    <row r="1043558" customFormat="1"/>
    <row r="1043559" customFormat="1"/>
    <row r="1043560" customFormat="1"/>
    <row r="1043561" customFormat="1"/>
    <row r="1043562" customFormat="1"/>
    <row r="1043563" customFormat="1"/>
    <row r="1043564" customFormat="1"/>
    <row r="1043565" customFormat="1"/>
    <row r="1043566" customFormat="1"/>
    <row r="1043567" customFormat="1"/>
    <row r="1043568" customFormat="1"/>
    <row r="1043569" customFormat="1"/>
    <row r="1043570" customFormat="1"/>
    <row r="1043571" customFormat="1"/>
    <row r="1043572" customFormat="1"/>
    <row r="1043573" customFormat="1"/>
    <row r="1043574" customFormat="1"/>
    <row r="1043575" customFormat="1"/>
    <row r="1043576" customFormat="1"/>
    <row r="1043577" customFormat="1"/>
    <row r="1043578" customFormat="1"/>
    <row r="1043579" customFormat="1"/>
    <row r="1043580" customFormat="1"/>
    <row r="1043581" customFormat="1"/>
    <row r="1043582" customFormat="1"/>
    <row r="1043583" customFormat="1"/>
    <row r="1043584" customFormat="1"/>
    <row r="1043585" customFormat="1"/>
    <row r="1043586" customFormat="1"/>
    <row r="1043587" customFormat="1"/>
    <row r="1043588" customFormat="1"/>
    <row r="1043589" customFormat="1"/>
    <row r="1043590" customFormat="1"/>
    <row r="1043591" customFormat="1"/>
    <row r="1043592" customFormat="1"/>
    <row r="1043593" customFormat="1"/>
    <row r="1043594" customFormat="1"/>
    <row r="1043595" customFormat="1"/>
    <row r="1043596" customFormat="1"/>
    <row r="1043597" customFormat="1"/>
    <row r="1043598" customFormat="1"/>
    <row r="1043599" customFormat="1"/>
    <row r="1043600" customFormat="1"/>
    <row r="1043601" customFormat="1"/>
    <row r="1043602" customFormat="1"/>
    <row r="1043603" customFormat="1"/>
    <row r="1043604" customFormat="1"/>
    <row r="1043605" customFormat="1"/>
    <row r="1043606" customFormat="1"/>
    <row r="1043607" customFormat="1"/>
    <row r="1043608" customFormat="1"/>
    <row r="1043609" customFormat="1"/>
    <row r="1043610" customFormat="1"/>
    <row r="1043611" customFormat="1"/>
    <row r="1043612" customFormat="1"/>
    <row r="1043613" customFormat="1"/>
    <row r="1043614" customFormat="1"/>
    <row r="1043615" customFormat="1"/>
    <row r="1043616" customFormat="1"/>
    <row r="1043617" customFormat="1"/>
    <row r="1043618" customFormat="1"/>
    <row r="1043619" customFormat="1"/>
    <row r="1043620" customFormat="1"/>
    <row r="1043621" customFormat="1"/>
    <row r="1043622" customFormat="1"/>
    <row r="1043623" customFormat="1"/>
    <row r="1043624" customFormat="1"/>
    <row r="1043625" customFormat="1"/>
    <row r="1043626" customFormat="1"/>
    <row r="1043627" customFormat="1"/>
    <row r="1043628" customFormat="1"/>
    <row r="1043629" customFormat="1"/>
    <row r="1043630" customFormat="1"/>
    <row r="1043631" customFormat="1"/>
    <row r="1043632" customFormat="1"/>
    <row r="1043633" customFormat="1"/>
    <row r="1043634" customFormat="1"/>
    <row r="1043635" customFormat="1"/>
    <row r="1043636" customFormat="1"/>
    <row r="1043637" customFormat="1"/>
    <row r="1043638" customFormat="1"/>
    <row r="1043639" customFormat="1"/>
    <row r="1043640" customFormat="1"/>
    <row r="1043641" customFormat="1"/>
    <row r="1043642" customFormat="1"/>
    <row r="1043643" customFormat="1"/>
    <row r="1043644" customFormat="1"/>
    <row r="1043645" customFormat="1"/>
    <row r="1043646" customFormat="1"/>
    <row r="1043647" customFormat="1"/>
    <row r="1043648" customFormat="1"/>
    <row r="1043649" customFormat="1"/>
    <row r="1043650" customFormat="1"/>
    <row r="1043651" customFormat="1"/>
    <row r="1043652" customFormat="1"/>
    <row r="1043653" customFormat="1"/>
    <row r="1043654" customFormat="1"/>
    <row r="1043655" customFormat="1"/>
    <row r="1043656" customFormat="1"/>
    <row r="1043657" customFormat="1"/>
    <row r="1043658" customFormat="1"/>
    <row r="1043659" customFormat="1"/>
    <row r="1043660" customFormat="1"/>
    <row r="1043661" customFormat="1"/>
    <row r="1043662" customFormat="1"/>
    <row r="1043663" customFormat="1"/>
    <row r="1043664" customFormat="1"/>
    <row r="1043665" customFormat="1"/>
    <row r="1043666" customFormat="1"/>
    <row r="1043667" customFormat="1"/>
    <row r="1043668" customFormat="1"/>
    <row r="1043669" customFormat="1"/>
    <row r="1043670" customFormat="1"/>
    <row r="1043671" customFormat="1"/>
    <row r="1043672" customFormat="1"/>
    <row r="1043673" customFormat="1"/>
    <row r="1043674" customFormat="1"/>
    <row r="1043675" customFormat="1"/>
    <row r="1043676" customFormat="1"/>
    <row r="1043677" customFormat="1"/>
    <row r="1043678" customFormat="1"/>
    <row r="1043679" customFormat="1"/>
    <row r="1043680" customFormat="1"/>
    <row r="1043681" customFormat="1"/>
    <row r="1043682" customFormat="1"/>
    <row r="1043683" customFormat="1"/>
    <row r="1043684" customFormat="1"/>
    <row r="1043685" customFormat="1"/>
    <row r="1043686" customFormat="1"/>
    <row r="1043687" customFormat="1"/>
    <row r="1043688" customFormat="1"/>
    <row r="1043689" customFormat="1"/>
    <row r="1043690" customFormat="1"/>
    <row r="1043691" customFormat="1"/>
    <row r="1043692" customFormat="1"/>
    <row r="1043693" customFormat="1"/>
    <row r="1043694" customFormat="1"/>
    <row r="1043695" customFormat="1"/>
    <row r="1043696" customFormat="1"/>
    <row r="1043697" customFormat="1"/>
    <row r="1043698" customFormat="1"/>
    <row r="1043699" customFormat="1"/>
    <row r="1043700" customFormat="1"/>
    <row r="1043701" customFormat="1"/>
    <row r="1043702" customFormat="1"/>
    <row r="1043703" customFormat="1"/>
    <row r="1043704" customFormat="1"/>
    <row r="1043705" customFormat="1"/>
    <row r="1043706" customFormat="1"/>
    <row r="1043707" customFormat="1"/>
    <row r="1043708" customFormat="1"/>
    <row r="1043709" customFormat="1"/>
    <row r="1043710" customFormat="1"/>
    <row r="1043711" customFormat="1"/>
    <row r="1043712" customFormat="1"/>
    <row r="1043713" customFormat="1"/>
    <row r="1043714" customFormat="1"/>
    <row r="1043715" customFormat="1"/>
    <row r="1043716" customFormat="1"/>
    <row r="1043717" customFormat="1"/>
    <row r="1043718" customFormat="1"/>
    <row r="1043719" customFormat="1"/>
    <row r="1043720" customFormat="1"/>
    <row r="1043721" customFormat="1"/>
    <row r="1043722" customFormat="1"/>
    <row r="1043723" customFormat="1"/>
    <row r="1043724" customFormat="1"/>
    <row r="1043725" customFormat="1"/>
    <row r="1043726" customFormat="1"/>
    <row r="1043727" customFormat="1"/>
    <row r="1043728" customFormat="1"/>
    <row r="1043729" customFormat="1"/>
    <row r="1043730" customFormat="1"/>
    <row r="1043731" customFormat="1"/>
    <row r="1043732" customFormat="1"/>
    <row r="1043733" customFormat="1"/>
    <row r="1043734" customFormat="1"/>
    <row r="1043735" customFormat="1"/>
    <row r="1043736" customFormat="1"/>
    <row r="1043737" customFormat="1"/>
    <row r="1043738" customFormat="1"/>
    <row r="1043739" customFormat="1"/>
    <row r="1043740" customFormat="1"/>
    <row r="1043741" customFormat="1"/>
    <row r="1043742" customFormat="1"/>
    <row r="1043743" customFormat="1"/>
    <row r="1043744" customFormat="1"/>
    <row r="1043745" customFormat="1"/>
    <row r="1043746" customFormat="1"/>
    <row r="1043747" customFormat="1"/>
    <row r="1043748" customFormat="1"/>
    <row r="1043749" customFormat="1"/>
    <row r="1043750" customFormat="1"/>
    <row r="1043751" customFormat="1"/>
    <row r="1043752" customFormat="1"/>
    <row r="1043753" customFormat="1"/>
    <row r="1043754" customFormat="1"/>
    <row r="1043755" customFormat="1"/>
    <row r="1043756" customFormat="1"/>
    <row r="1043757" customFormat="1"/>
    <row r="1043758" customFormat="1"/>
    <row r="1043759" customFormat="1"/>
    <row r="1043760" customFormat="1"/>
    <row r="1043761" customFormat="1"/>
    <row r="1043762" customFormat="1"/>
    <row r="1043763" customFormat="1"/>
    <row r="1043764" customFormat="1"/>
    <row r="1043765" customFormat="1"/>
    <row r="1043766" customFormat="1"/>
    <row r="1043767" customFormat="1"/>
    <row r="1043768" customFormat="1"/>
    <row r="1043769" customFormat="1"/>
    <row r="1043770" customFormat="1"/>
    <row r="1043771" customFormat="1"/>
    <row r="1043772" customFormat="1"/>
    <row r="1043773" customFormat="1"/>
    <row r="1043774" customFormat="1"/>
    <row r="1043775" customFormat="1"/>
    <row r="1043776" customFormat="1"/>
    <row r="1043777" customFormat="1"/>
    <row r="1043778" customFormat="1"/>
    <row r="1043779" customFormat="1"/>
    <row r="1043780" customFormat="1"/>
    <row r="1043781" customFormat="1"/>
    <row r="1043782" customFormat="1"/>
    <row r="1043783" customFormat="1"/>
    <row r="1043784" customFormat="1"/>
    <row r="1043785" customFormat="1"/>
    <row r="1043786" customFormat="1"/>
    <row r="1043787" customFormat="1"/>
    <row r="1043788" customFormat="1"/>
    <row r="1043789" customFormat="1"/>
    <row r="1043790" customFormat="1"/>
    <row r="1043791" customFormat="1"/>
    <row r="1043792" customFormat="1"/>
    <row r="1043793" customFormat="1"/>
    <row r="1043794" customFormat="1"/>
    <row r="1043795" customFormat="1"/>
    <row r="1043796" customFormat="1"/>
    <row r="1043797" customFormat="1"/>
    <row r="1043798" customFormat="1"/>
    <row r="1043799" customFormat="1"/>
    <row r="1043800" customFormat="1"/>
    <row r="1043801" customFormat="1"/>
    <row r="1043802" customFormat="1"/>
    <row r="1043803" customFormat="1"/>
    <row r="1043804" customFormat="1"/>
    <row r="1043805" customFormat="1"/>
    <row r="1043806" customFormat="1"/>
    <row r="1043807" customFormat="1"/>
    <row r="1043808" customFormat="1"/>
    <row r="1043809" customFormat="1"/>
    <row r="1043810" customFormat="1"/>
    <row r="1043811" customFormat="1"/>
    <row r="1043812" customFormat="1"/>
    <row r="1043813" customFormat="1"/>
    <row r="1043814" customFormat="1"/>
    <row r="1043815" customFormat="1"/>
    <row r="1043816" customFormat="1"/>
    <row r="1043817" customFormat="1"/>
    <row r="1043818" customFormat="1"/>
    <row r="1043819" customFormat="1"/>
    <row r="1043820" customFormat="1"/>
    <row r="1043821" customFormat="1"/>
    <row r="1043822" customFormat="1"/>
    <row r="1043823" customFormat="1"/>
    <row r="1043824" customFormat="1"/>
    <row r="1043825" customFormat="1"/>
    <row r="1043826" customFormat="1"/>
    <row r="1043827" customFormat="1"/>
    <row r="1043828" customFormat="1"/>
    <row r="1043829" customFormat="1"/>
    <row r="1043830" customFormat="1"/>
    <row r="1043831" customFormat="1"/>
    <row r="1043832" customFormat="1"/>
    <row r="1043833" customFormat="1"/>
    <row r="1043834" customFormat="1"/>
    <row r="1043835" customFormat="1"/>
    <row r="1043836" customFormat="1"/>
    <row r="1043837" customFormat="1"/>
    <row r="1043838" customFormat="1"/>
    <row r="1043839" customFormat="1"/>
    <row r="1043840" customFormat="1"/>
    <row r="1043841" customFormat="1"/>
    <row r="1043842" customFormat="1"/>
    <row r="1043843" customFormat="1"/>
    <row r="1043844" customFormat="1"/>
    <row r="1043845" customFormat="1"/>
    <row r="1043846" customFormat="1"/>
    <row r="1043847" customFormat="1"/>
    <row r="1043848" customFormat="1"/>
    <row r="1043849" customFormat="1"/>
    <row r="1043850" customFormat="1"/>
    <row r="1043851" customFormat="1"/>
    <row r="1043852" customFormat="1"/>
    <row r="1043853" customFormat="1"/>
    <row r="1043854" customFormat="1"/>
    <row r="1043855" customFormat="1"/>
    <row r="1043856" customFormat="1"/>
    <row r="1043857" customFormat="1"/>
    <row r="1043858" customFormat="1"/>
    <row r="1043859" customFormat="1"/>
    <row r="1043860" customFormat="1"/>
    <row r="1043861" customFormat="1"/>
    <row r="1043862" customFormat="1"/>
    <row r="1043863" customFormat="1"/>
    <row r="1043864" customFormat="1"/>
    <row r="1043865" customFormat="1"/>
    <row r="1043866" customFormat="1"/>
    <row r="1043867" customFormat="1"/>
    <row r="1043868" customFormat="1"/>
    <row r="1043869" customFormat="1"/>
    <row r="1043870" customFormat="1"/>
    <row r="1043871" customFormat="1"/>
    <row r="1043872" customFormat="1"/>
    <row r="1043873" customFormat="1"/>
    <row r="1043874" customFormat="1"/>
    <row r="1043875" customFormat="1"/>
    <row r="1043876" customFormat="1"/>
    <row r="1043877" customFormat="1"/>
    <row r="1043878" customFormat="1"/>
    <row r="1043879" customFormat="1"/>
    <row r="1043880" customFormat="1"/>
    <row r="1043881" customFormat="1"/>
    <row r="1043882" customFormat="1"/>
    <row r="1043883" customFormat="1"/>
    <row r="1043884" customFormat="1"/>
    <row r="1043885" customFormat="1"/>
    <row r="1043886" customFormat="1"/>
    <row r="1043887" customFormat="1"/>
    <row r="1043888" customFormat="1"/>
    <row r="1043889" customFormat="1"/>
    <row r="1043890" customFormat="1"/>
    <row r="1043891" customFormat="1"/>
    <row r="1043892" customFormat="1"/>
    <row r="1043893" customFormat="1"/>
    <row r="1043894" customFormat="1"/>
    <row r="1043895" customFormat="1"/>
    <row r="1043896" customFormat="1"/>
    <row r="1043897" customFormat="1"/>
    <row r="1043898" customFormat="1"/>
    <row r="1043899" customFormat="1"/>
    <row r="1043900" customFormat="1"/>
    <row r="1043901" customFormat="1"/>
    <row r="1043902" customFormat="1"/>
    <row r="1043903" customFormat="1"/>
    <row r="1043904" customFormat="1"/>
    <row r="1043905" customFormat="1"/>
    <row r="1043906" customFormat="1"/>
    <row r="1043907" customFormat="1"/>
    <row r="1043908" customFormat="1"/>
    <row r="1043909" customFormat="1"/>
    <row r="1043910" customFormat="1"/>
    <row r="1043911" customFormat="1"/>
    <row r="1043912" customFormat="1"/>
    <row r="1043913" customFormat="1"/>
    <row r="1043914" customFormat="1"/>
    <row r="1043915" customFormat="1"/>
    <row r="1043916" customFormat="1"/>
    <row r="1043917" customFormat="1"/>
    <row r="1043918" customFormat="1"/>
    <row r="1043919" customFormat="1"/>
    <row r="1043920" customFormat="1"/>
    <row r="1043921" customFormat="1"/>
    <row r="1043922" customFormat="1"/>
    <row r="1043923" customFormat="1"/>
    <row r="1043924" customFormat="1"/>
    <row r="1043925" customFormat="1"/>
    <row r="1043926" customFormat="1"/>
    <row r="1043927" customFormat="1"/>
    <row r="1043928" customFormat="1"/>
    <row r="1043929" customFormat="1"/>
    <row r="1043930" customFormat="1"/>
    <row r="1043931" customFormat="1"/>
    <row r="1043932" customFormat="1"/>
    <row r="1043933" customFormat="1"/>
    <row r="1043934" customFormat="1"/>
    <row r="1043935" customFormat="1"/>
    <row r="1043936" customFormat="1"/>
    <row r="1043937" customFormat="1"/>
    <row r="1043938" customFormat="1"/>
    <row r="1043939" customFormat="1"/>
    <row r="1043940" customFormat="1"/>
    <row r="1043941" customFormat="1"/>
    <row r="1043942" customFormat="1"/>
    <row r="1043943" customFormat="1"/>
    <row r="1043944" customFormat="1"/>
    <row r="1043945" customFormat="1"/>
    <row r="1043946" customFormat="1"/>
    <row r="1043947" customFormat="1"/>
    <row r="1043948" customFormat="1"/>
    <row r="1043949" customFormat="1"/>
    <row r="1043950" customFormat="1"/>
    <row r="1043951" customFormat="1"/>
    <row r="1043952" customFormat="1"/>
    <row r="1043953" customFormat="1"/>
    <row r="1043954" customFormat="1"/>
    <row r="1043955" customFormat="1"/>
    <row r="1043956" customFormat="1"/>
    <row r="1043957" customFormat="1"/>
    <row r="1043958" customFormat="1"/>
    <row r="1043959" customFormat="1"/>
    <row r="1043960" customFormat="1"/>
    <row r="1043961" customFormat="1"/>
    <row r="1043962" customFormat="1"/>
    <row r="1043963" customFormat="1"/>
    <row r="1043964" customFormat="1"/>
    <row r="1043965" customFormat="1"/>
    <row r="1043966" customFormat="1"/>
    <row r="1043967" customFormat="1"/>
    <row r="1043968" customFormat="1"/>
    <row r="1043969" customFormat="1"/>
    <row r="1043970" customFormat="1"/>
    <row r="1043971" customFormat="1"/>
    <row r="1043972" customFormat="1"/>
    <row r="1043973" customFormat="1"/>
    <row r="1043974" customFormat="1"/>
    <row r="1043975" customFormat="1"/>
    <row r="1043976" customFormat="1"/>
    <row r="1043977" customFormat="1"/>
    <row r="1043978" customFormat="1"/>
    <row r="1043979" customFormat="1"/>
    <row r="1043980" customFormat="1"/>
    <row r="1043981" customFormat="1"/>
    <row r="1043982" customFormat="1"/>
    <row r="1043983" customFormat="1"/>
    <row r="1043984" customFormat="1"/>
    <row r="1043985" customFormat="1"/>
    <row r="1043986" customFormat="1"/>
    <row r="1043987" customFormat="1"/>
    <row r="1043988" customFormat="1"/>
    <row r="1043989" customFormat="1"/>
    <row r="1043990" customFormat="1"/>
    <row r="1043991" customFormat="1"/>
    <row r="1043992" customFormat="1"/>
    <row r="1043993" customFormat="1"/>
    <row r="1043994" customFormat="1"/>
    <row r="1043995" customFormat="1"/>
    <row r="1043996" customFormat="1"/>
    <row r="1043997" customFormat="1"/>
    <row r="1043998" customFormat="1"/>
    <row r="1043999" customFormat="1"/>
    <row r="1044000" customFormat="1"/>
    <row r="1044001" customFormat="1"/>
    <row r="1044002" customFormat="1"/>
    <row r="1044003" customFormat="1"/>
    <row r="1044004" customFormat="1"/>
    <row r="1044005" customFormat="1"/>
    <row r="1044006" customFormat="1"/>
    <row r="1044007" customFormat="1"/>
    <row r="1044008" customFormat="1"/>
    <row r="1044009" customFormat="1"/>
    <row r="1044010" customFormat="1"/>
    <row r="1044011" customFormat="1"/>
    <row r="1044012" customFormat="1"/>
    <row r="1044013" customFormat="1"/>
    <row r="1044014" customFormat="1"/>
    <row r="1044015" customFormat="1"/>
    <row r="1044016" customFormat="1"/>
    <row r="1044017" customFormat="1"/>
    <row r="1044018" customFormat="1"/>
    <row r="1044019" customFormat="1"/>
    <row r="1044020" customFormat="1"/>
    <row r="1044021" customFormat="1"/>
    <row r="1044022" customFormat="1"/>
    <row r="1044023" customFormat="1"/>
    <row r="1044024" customFormat="1"/>
    <row r="1044025" customFormat="1"/>
    <row r="1044026" customFormat="1"/>
    <row r="1044027" customFormat="1"/>
    <row r="1044028" customFormat="1"/>
    <row r="1044029" customFormat="1"/>
    <row r="1044030" customFormat="1"/>
    <row r="1044031" customFormat="1"/>
    <row r="1044032" customFormat="1"/>
    <row r="1044033" customFormat="1"/>
    <row r="1044034" customFormat="1"/>
    <row r="1044035" customFormat="1"/>
    <row r="1044036" customFormat="1"/>
    <row r="1044037" customFormat="1"/>
    <row r="1044038" customFormat="1"/>
    <row r="1044039" customFormat="1"/>
    <row r="1044040" customFormat="1"/>
    <row r="1044041" customFormat="1"/>
    <row r="1044042" customFormat="1"/>
    <row r="1044043" customFormat="1"/>
    <row r="1044044" customFormat="1"/>
    <row r="1044045" customFormat="1"/>
    <row r="1044046" customFormat="1"/>
    <row r="1044047" customFormat="1"/>
    <row r="1044048" customFormat="1"/>
    <row r="1044049" customFormat="1"/>
    <row r="1044050" customFormat="1"/>
    <row r="1044051" customFormat="1"/>
    <row r="1044052" customFormat="1"/>
    <row r="1044053" customFormat="1"/>
    <row r="1044054" customFormat="1"/>
    <row r="1044055" customFormat="1"/>
    <row r="1044056" customFormat="1"/>
    <row r="1044057" customFormat="1"/>
    <row r="1044058" customFormat="1"/>
    <row r="1044059" customFormat="1"/>
    <row r="1044060" customFormat="1"/>
    <row r="1044061" customFormat="1"/>
    <row r="1044062" customFormat="1"/>
    <row r="1044063" customFormat="1"/>
    <row r="1044064" customFormat="1"/>
    <row r="1044065" customFormat="1"/>
    <row r="1044066" customFormat="1"/>
    <row r="1044067" customFormat="1"/>
    <row r="1044068" customFormat="1"/>
    <row r="1044069" customFormat="1"/>
    <row r="1044070" customFormat="1"/>
    <row r="1044071" customFormat="1"/>
    <row r="1044072" customFormat="1"/>
    <row r="1044073" customFormat="1"/>
    <row r="1044074" customFormat="1"/>
    <row r="1044075" customFormat="1"/>
    <row r="1044076" customFormat="1"/>
    <row r="1044077" customFormat="1"/>
    <row r="1044078" customFormat="1"/>
    <row r="1044079" customFormat="1"/>
    <row r="1044080" customFormat="1"/>
    <row r="1044081" customFormat="1"/>
    <row r="1044082" customFormat="1"/>
    <row r="1044083" customFormat="1"/>
    <row r="1044084" customFormat="1"/>
    <row r="1044085" customFormat="1"/>
    <row r="1044086" customFormat="1"/>
    <row r="1044087" customFormat="1"/>
    <row r="1044088" customFormat="1"/>
    <row r="1044089" customFormat="1"/>
    <row r="1044090" customFormat="1"/>
    <row r="1044091" customFormat="1"/>
    <row r="1044092" customFormat="1"/>
    <row r="1044093" customFormat="1"/>
    <row r="1044094" customFormat="1"/>
    <row r="1044095" customFormat="1"/>
    <row r="1044096" customFormat="1"/>
    <row r="1044097" customFormat="1"/>
    <row r="1044098" customFormat="1"/>
    <row r="1044099" customFormat="1"/>
    <row r="1044100" customFormat="1"/>
    <row r="1044101" customFormat="1"/>
    <row r="1044102" customFormat="1"/>
    <row r="1044103" customFormat="1"/>
    <row r="1044104" customFormat="1"/>
    <row r="1044105" customFormat="1"/>
    <row r="1044106" customFormat="1"/>
    <row r="1044107" customFormat="1"/>
    <row r="1044108" customFormat="1"/>
    <row r="1044109" customFormat="1"/>
    <row r="1044110" customFormat="1"/>
    <row r="1044111" customFormat="1"/>
    <row r="1044112" customFormat="1"/>
    <row r="1044113" customFormat="1"/>
    <row r="1044114" customFormat="1"/>
    <row r="1044115" customFormat="1"/>
    <row r="1044116" customFormat="1"/>
    <row r="1044117" customFormat="1"/>
    <row r="1044118" customFormat="1"/>
    <row r="1044119" customFormat="1"/>
    <row r="1044120" customFormat="1"/>
    <row r="1044121" customFormat="1"/>
    <row r="1044122" customFormat="1"/>
    <row r="1044123" customFormat="1"/>
    <row r="1044124" customFormat="1"/>
    <row r="1044125" customFormat="1"/>
    <row r="1044126" customFormat="1"/>
    <row r="1044127" customFormat="1"/>
    <row r="1044128" customFormat="1"/>
    <row r="1044129" customFormat="1"/>
    <row r="1044130" customFormat="1"/>
    <row r="1044131" customFormat="1"/>
    <row r="1044132" customFormat="1"/>
    <row r="1044133" customFormat="1"/>
    <row r="1044134" customFormat="1"/>
    <row r="1044135" customFormat="1"/>
    <row r="1044136" customFormat="1"/>
    <row r="1044137" customFormat="1"/>
    <row r="1044138" customFormat="1"/>
    <row r="1044139" customFormat="1"/>
    <row r="1044140" customFormat="1"/>
    <row r="1044141" customFormat="1"/>
    <row r="1044142" customFormat="1"/>
    <row r="1044143" customFormat="1"/>
    <row r="1044144" customFormat="1"/>
    <row r="1044145" customFormat="1"/>
    <row r="1044146" customFormat="1"/>
    <row r="1044147" customFormat="1"/>
    <row r="1044148" customFormat="1"/>
    <row r="1044149" customFormat="1"/>
    <row r="1044150" customFormat="1"/>
    <row r="1044151" customFormat="1"/>
    <row r="1044152" customFormat="1"/>
    <row r="1044153" customFormat="1"/>
    <row r="1044154" customFormat="1"/>
    <row r="1044155" customFormat="1"/>
    <row r="1044156" customFormat="1"/>
    <row r="1044157" customFormat="1"/>
    <row r="1044158" customFormat="1"/>
    <row r="1044159" customFormat="1"/>
    <row r="1044160" customFormat="1"/>
    <row r="1044161" customFormat="1"/>
    <row r="1044162" customFormat="1"/>
    <row r="1044163" customFormat="1"/>
    <row r="1044164" customFormat="1"/>
    <row r="1044165" customFormat="1"/>
    <row r="1044166" customFormat="1"/>
    <row r="1044167" customFormat="1"/>
    <row r="1044168" customFormat="1"/>
    <row r="1044169" customFormat="1"/>
    <row r="1044170" customFormat="1"/>
    <row r="1044171" customFormat="1"/>
    <row r="1044172" customFormat="1"/>
    <row r="1044173" customFormat="1"/>
    <row r="1044174" customFormat="1"/>
    <row r="1044175" customFormat="1"/>
    <row r="1044176" customFormat="1"/>
    <row r="1044177" customFormat="1"/>
    <row r="1044178" customFormat="1"/>
    <row r="1044179" customFormat="1"/>
    <row r="1044180" customFormat="1"/>
    <row r="1044181" customFormat="1"/>
    <row r="1044182" customFormat="1"/>
    <row r="1044183" customFormat="1"/>
    <row r="1044184" customFormat="1"/>
    <row r="1044185" customFormat="1"/>
    <row r="1044186" customFormat="1"/>
    <row r="1044187" customFormat="1"/>
    <row r="1044188" customFormat="1"/>
    <row r="1044189" customFormat="1"/>
    <row r="1044190" customFormat="1"/>
    <row r="1044191" customFormat="1"/>
    <row r="1044192" customFormat="1"/>
    <row r="1044193" customFormat="1"/>
    <row r="1044194" customFormat="1"/>
    <row r="1044195" customFormat="1"/>
    <row r="1044196" customFormat="1"/>
    <row r="1044197" customFormat="1"/>
    <row r="1044198" customFormat="1"/>
    <row r="1044199" customFormat="1"/>
    <row r="1044200" customFormat="1"/>
    <row r="1044201" customFormat="1"/>
    <row r="1044202" customFormat="1"/>
    <row r="1044203" customFormat="1"/>
    <row r="1044204" customFormat="1"/>
    <row r="1044205" customFormat="1"/>
    <row r="1044206" customFormat="1"/>
    <row r="1044207" customFormat="1"/>
    <row r="1044208" customFormat="1"/>
    <row r="1044209" customFormat="1"/>
    <row r="1044210" customFormat="1"/>
    <row r="1044211" customFormat="1"/>
    <row r="1044212" customFormat="1"/>
    <row r="1044213" customFormat="1"/>
    <row r="1044214" customFormat="1"/>
    <row r="1044215" customFormat="1"/>
    <row r="1044216" customFormat="1"/>
    <row r="1044217" customFormat="1"/>
    <row r="1044218" customFormat="1"/>
    <row r="1044219" customFormat="1"/>
    <row r="1044220" customFormat="1"/>
    <row r="1044221" customFormat="1"/>
    <row r="1044222" customFormat="1"/>
    <row r="1044223" customFormat="1"/>
    <row r="1044224" customFormat="1"/>
    <row r="1044225" customFormat="1"/>
    <row r="1044226" customFormat="1"/>
    <row r="1044227" customFormat="1"/>
    <row r="1044228" customFormat="1"/>
    <row r="1044229" customFormat="1"/>
    <row r="1044230" customFormat="1"/>
    <row r="1044231" customFormat="1"/>
    <row r="1044232" customFormat="1"/>
    <row r="1044233" customFormat="1"/>
    <row r="1044234" customFormat="1"/>
    <row r="1044235" customFormat="1"/>
    <row r="1044236" customFormat="1"/>
    <row r="1044237" customFormat="1"/>
    <row r="1044238" customFormat="1"/>
    <row r="1044239" customFormat="1"/>
    <row r="1044240" customFormat="1"/>
    <row r="1044241" customFormat="1"/>
    <row r="1044242" customFormat="1"/>
    <row r="1044243" customFormat="1"/>
    <row r="1044244" customFormat="1"/>
    <row r="1044245" customFormat="1"/>
    <row r="1044246" customFormat="1"/>
    <row r="1044247" customFormat="1"/>
    <row r="1044248" customFormat="1"/>
    <row r="1044249" customFormat="1"/>
    <row r="1044250" customFormat="1"/>
    <row r="1044251" customFormat="1"/>
    <row r="1044252" customFormat="1"/>
    <row r="1044253" customFormat="1"/>
    <row r="1044254" customFormat="1"/>
    <row r="1044255" customFormat="1"/>
    <row r="1044256" customFormat="1"/>
    <row r="1044257" customFormat="1"/>
    <row r="1044258" customFormat="1"/>
    <row r="1044259" customFormat="1"/>
    <row r="1044260" customFormat="1"/>
    <row r="1044261" customFormat="1"/>
    <row r="1044262" customFormat="1"/>
    <row r="1044263" customFormat="1"/>
    <row r="1044264" customFormat="1"/>
    <row r="1044265" customFormat="1"/>
    <row r="1044266" customFormat="1"/>
    <row r="1044267" customFormat="1"/>
    <row r="1044268" customFormat="1"/>
    <row r="1044269" customFormat="1"/>
    <row r="1044270" customFormat="1"/>
    <row r="1044271" customFormat="1"/>
    <row r="1044272" customFormat="1"/>
    <row r="1044273" customFormat="1"/>
    <row r="1044274" customFormat="1"/>
    <row r="1044275" customFormat="1"/>
    <row r="1044276" customFormat="1"/>
    <row r="1044277" customFormat="1"/>
    <row r="1044278" customFormat="1"/>
    <row r="1044279" customFormat="1"/>
    <row r="1044280" customFormat="1"/>
    <row r="1044281" customFormat="1"/>
    <row r="1044282" customFormat="1"/>
    <row r="1044283" customFormat="1"/>
    <row r="1044284" customFormat="1"/>
    <row r="1044285" customFormat="1"/>
    <row r="1044286" customFormat="1"/>
    <row r="1044287" customFormat="1"/>
    <row r="1044288" customFormat="1"/>
    <row r="1044289" customFormat="1"/>
    <row r="1044290" customFormat="1"/>
    <row r="1044291" customFormat="1"/>
    <row r="1044292" customFormat="1"/>
    <row r="1044293" customFormat="1"/>
    <row r="1044294" customFormat="1"/>
    <row r="1044295" customFormat="1"/>
    <row r="1044296" customFormat="1"/>
    <row r="1044297" customFormat="1"/>
    <row r="1044298" customFormat="1"/>
    <row r="1044299" customFormat="1"/>
    <row r="1044300" customFormat="1"/>
    <row r="1044301" customFormat="1"/>
    <row r="1044302" customFormat="1"/>
    <row r="1044303" customFormat="1"/>
    <row r="1044304" customFormat="1"/>
    <row r="1044305" customFormat="1"/>
    <row r="1044306" customFormat="1"/>
    <row r="1044307" customFormat="1"/>
    <row r="1044308" customFormat="1"/>
    <row r="1044309" customFormat="1"/>
    <row r="1044310" customFormat="1"/>
    <row r="1044311" customFormat="1"/>
    <row r="1044312" customFormat="1"/>
    <row r="1044313" customFormat="1"/>
    <row r="1044314" customFormat="1"/>
    <row r="1044315" customFormat="1"/>
    <row r="1044316" customFormat="1"/>
    <row r="1044317" customFormat="1"/>
    <row r="1044318" customFormat="1"/>
    <row r="1044319" customFormat="1"/>
    <row r="1044320" customFormat="1"/>
    <row r="1044321" customFormat="1"/>
    <row r="1044322" customFormat="1"/>
    <row r="1044323" customFormat="1"/>
    <row r="1044324" customFormat="1"/>
    <row r="1044325" customFormat="1"/>
    <row r="1044326" customFormat="1"/>
    <row r="1044327" customFormat="1"/>
    <row r="1044328" customFormat="1"/>
    <row r="1044329" customFormat="1"/>
    <row r="1044330" customFormat="1"/>
    <row r="1044331" customFormat="1"/>
    <row r="1044332" customFormat="1"/>
    <row r="1044333" customFormat="1"/>
    <row r="1044334" customFormat="1"/>
    <row r="1044335" customFormat="1"/>
    <row r="1044336" customFormat="1"/>
    <row r="1044337" customFormat="1"/>
    <row r="1044338" customFormat="1"/>
    <row r="1044339" customFormat="1"/>
    <row r="1044340" customFormat="1"/>
    <row r="1044341" customFormat="1"/>
    <row r="1044342" customFormat="1"/>
    <row r="1044343" customFormat="1"/>
    <row r="1044344" customFormat="1"/>
    <row r="1044345" customFormat="1"/>
    <row r="1044346" customFormat="1"/>
    <row r="1044347" customFormat="1"/>
    <row r="1044348" customFormat="1"/>
    <row r="1044349" customFormat="1"/>
    <row r="1044350" customFormat="1"/>
    <row r="1044351" customFormat="1"/>
    <row r="1044352" customFormat="1"/>
    <row r="1044353" customFormat="1"/>
    <row r="1044354" customFormat="1"/>
    <row r="1044355" customFormat="1"/>
    <row r="1044356" customFormat="1"/>
    <row r="1044357" customFormat="1"/>
    <row r="1044358" customFormat="1"/>
    <row r="1044359" customFormat="1"/>
    <row r="1044360" customFormat="1"/>
    <row r="1044361" customFormat="1"/>
    <row r="1044362" customFormat="1"/>
    <row r="1044363" customFormat="1"/>
    <row r="1044364" customFormat="1"/>
    <row r="1044365" customFormat="1"/>
    <row r="1044366" customFormat="1"/>
    <row r="1044367" customFormat="1"/>
    <row r="1044368" customFormat="1"/>
    <row r="1044369" customFormat="1"/>
    <row r="1044370" customFormat="1"/>
    <row r="1044371" customFormat="1"/>
    <row r="1044372" customFormat="1"/>
    <row r="1044373" customFormat="1"/>
    <row r="1044374" customFormat="1"/>
    <row r="1044375" customFormat="1"/>
    <row r="1044376" customFormat="1"/>
    <row r="1044377" customFormat="1"/>
    <row r="1044378" customFormat="1"/>
    <row r="1044379" customFormat="1"/>
    <row r="1044380" customFormat="1"/>
    <row r="1044381" customFormat="1"/>
    <row r="1044382" customFormat="1"/>
    <row r="1044383" customFormat="1"/>
    <row r="1044384" customFormat="1"/>
    <row r="1044385" customFormat="1"/>
    <row r="1044386" customFormat="1"/>
    <row r="1044387" customFormat="1"/>
    <row r="1044388" customFormat="1"/>
    <row r="1044389" customFormat="1"/>
    <row r="1044390" customFormat="1"/>
    <row r="1044391" customFormat="1"/>
    <row r="1044392" customFormat="1"/>
    <row r="1044393" customFormat="1"/>
    <row r="1044394" customFormat="1"/>
    <row r="1044395" customFormat="1"/>
    <row r="1044396" customFormat="1"/>
    <row r="1044397" customFormat="1"/>
    <row r="1044398" customFormat="1"/>
    <row r="1044399" customFormat="1"/>
    <row r="1044400" customFormat="1"/>
    <row r="1044401" customFormat="1"/>
    <row r="1044402" customFormat="1"/>
    <row r="1044403" customFormat="1"/>
    <row r="1044404" customFormat="1"/>
    <row r="1044405" customFormat="1"/>
    <row r="1044406" customFormat="1"/>
    <row r="1044407" customFormat="1"/>
    <row r="1044408" customFormat="1"/>
    <row r="1044409" customFormat="1"/>
    <row r="1044410" customFormat="1"/>
    <row r="1044411" customFormat="1"/>
    <row r="1044412" customFormat="1"/>
    <row r="1044413" customFormat="1"/>
    <row r="1044414" customFormat="1"/>
    <row r="1044415" customFormat="1"/>
    <row r="1044416" customFormat="1"/>
    <row r="1044417" customFormat="1"/>
    <row r="1044418" customFormat="1"/>
    <row r="1044419" customFormat="1"/>
    <row r="1044420" customFormat="1"/>
    <row r="1044421" customFormat="1"/>
    <row r="1044422" customFormat="1"/>
    <row r="1044423" customFormat="1"/>
    <row r="1044424" customFormat="1"/>
    <row r="1044425" customFormat="1"/>
    <row r="1044426" customFormat="1"/>
    <row r="1044427" customFormat="1"/>
    <row r="1044428" customFormat="1"/>
    <row r="1044429" customFormat="1"/>
    <row r="1044430" customFormat="1"/>
    <row r="1044431" customFormat="1"/>
    <row r="1044432" customFormat="1"/>
    <row r="1044433" customFormat="1"/>
    <row r="1044434" customFormat="1"/>
    <row r="1044435" customFormat="1"/>
    <row r="1044436" customFormat="1"/>
    <row r="1044437" customFormat="1"/>
    <row r="1044438" customFormat="1"/>
    <row r="1044439" customFormat="1"/>
    <row r="1044440" customFormat="1"/>
    <row r="1044441" customFormat="1"/>
    <row r="1044442" customFormat="1"/>
    <row r="1044443" customFormat="1"/>
    <row r="1044444" customFormat="1"/>
    <row r="1044445" customFormat="1"/>
    <row r="1044446" customFormat="1"/>
    <row r="1044447" customFormat="1"/>
    <row r="1044448" customFormat="1"/>
    <row r="1044449" customFormat="1"/>
    <row r="1044450" customFormat="1"/>
    <row r="1044451" customFormat="1"/>
    <row r="1044452" customFormat="1"/>
    <row r="1044453" customFormat="1"/>
    <row r="1044454" customFormat="1"/>
    <row r="1044455" customFormat="1"/>
    <row r="1044456" customFormat="1"/>
    <row r="1044457" customFormat="1"/>
    <row r="1044458" customFormat="1"/>
    <row r="1044459" customFormat="1"/>
    <row r="1044460" customFormat="1"/>
    <row r="1044461" customFormat="1"/>
    <row r="1044462" customFormat="1"/>
    <row r="1044463" customFormat="1"/>
    <row r="1044464" customFormat="1"/>
    <row r="1044465" customFormat="1"/>
    <row r="1044466" customFormat="1"/>
    <row r="1044467" customFormat="1"/>
    <row r="1044468" customFormat="1"/>
    <row r="1044469" customFormat="1"/>
    <row r="1044470" customFormat="1"/>
    <row r="1044471" customFormat="1"/>
    <row r="1044472" customFormat="1"/>
    <row r="1044473" customFormat="1"/>
    <row r="1044474" customFormat="1"/>
    <row r="1044475" customFormat="1"/>
    <row r="1044476" customFormat="1"/>
    <row r="1044477" customFormat="1"/>
    <row r="1044478" customFormat="1"/>
    <row r="1044479" customFormat="1"/>
    <row r="1044480" customFormat="1"/>
    <row r="1044481" customFormat="1"/>
    <row r="1044482" customFormat="1"/>
    <row r="1044483" customFormat="1"/>
    <row r="1044484" customFormat="1"/>
    <row r="1044485" customFormat="1"/>
    <row r="1044486" customFormat="1"/>
    <row r="1044487" customFormat="1"/>
    <row r="1044488" customFormat="1"/>
    <row r="1044489" customFormat="1"/>
    <row r="1044490" customFormat="1"/>
    <row r="1044491" customFormat="1"/>
    <row r="1044492" customFormat="1"/>
    <row r="1044493" customFormat="1"/>
    <row r="1044494" customFormat="1"/>
    <row r="1044495" customFormat="1"/>
    <row r="1044496" customFormat="1"/>
    <row r="1044497" customFormat="1"/>
    <row r="1044498" customFormat="1"/>
    <row r="1044499" customFormat="1"/>
    <row r="1044500" customFormat="1"/>
    <row r="1044501" customFormat="1"/>
    <row r="1044502" customFormat="1"/>
    <row r="1044503" customFormat="1"/>
    <row r="1044504" customFormat="1"/>
    <row r="1044505" customFormat="1"/>
    <row r="1044506" customFormat="1"/>
    <row r="1044507" customFormat="1"/>
    <row r="1044508" customFormat="1"/>
    <row r="1044509" customFormat="1"/>
    <row r="1044510" customFormat="1"/>
    <row r="1044511" customFormat="1"/>
    <row r="1044512" customFormat="1"/>
    <row r="1044513" customFormat="1"/>
    <row r="1044514" customFormat="1"/>
    <row r="1044515" customFormat="1"/>
    <row r="1044516" customFormat="1"/>
    <row r="1044517" customFormat="1"/>
    <row r="1044518" customFormat="1"/>
    <row r="1044519" customFormat="1"/>
    <row r="1044520" customFormat="1"/>
    <row r="1044521" customFormat="1"/>
    <row r="1044522" customFormat="1"/>
    <row r="1044523" customFormat="1"/>
    <row r="1044524" customFormat="1"/>
    <row r="1044525" customFormat="1"/>
    <row r="1044526" customFormat="1"/>
    <row r="1044527" customFormat="1"/>
    <row r="1044528" customFormat="1"/>
    <row r="1044529" customFormat="1"/>
    <row r="1044530" customFormat="1"/>
    <row r="1044531" customFormat="1"/>
    <row r="1044532" customFormat="1"/>
    <row r="1044533" customFormat="1"/>
    <row r="1044534" customFormat="1"/>
    <row r="1044535" customFormat="1"/>
    <row r="1044536" customFormat="1"/>
    <row r="1044537" customFormat="1"/>
    <row r="1044538" customFormat="1"/>
    <row r="1044539" customFormat="1"/>
    <row r="1044540" customFormat="1"/>
    <row r="1044541" customFormat="1"/>
    <row r="1044542" customFormat="1"/>
    <row r="1044543" customFormat="1"/>
    <row r="1044544" customFormat="1"/>
    <row r="1044545" customFormat="1"/>
    <row r="1044546" customFormat="1"/>
    <row r="1044547" customFormat="1"/>
    <row r="1044548" customFormat="1"/>
    <row r="1044549" customFormat="1"/>
    <row r="1044550" customFormat="1"/>
    <row r="1044551" customFormat="1"/>
    <row r="1044552" customFormat="1"/>
    <row r="1044553" customFormat="1"/>
    <row r="1044554" customFormat="1"/>
    <row r="1044555" customFormat="1"/>
    <row r="1044556" customFormat="1"/>
    <row r="1044557" customFormat="1"/>
    <row r="1044558" customFormat="1"/>
    <row r="1044559" customFormat="1"/>
    <row r="1044560" customFormat="1"/>
    <row r="1044561" customFormat="1"/>
    <row r="1044562" customFormat="1"/>
    <row r="1044563" customFormat="1"/>
    <row r="1044564" customFormat="1"/>
    <row r="1044565" customFormat="1"/>
    <row r="1044566" customFormat="1"/>
    <row r="1044567" customFormat="1"/>
    <row r="1044568" customFormat="1"/>
    <row r="1044569" customFormat="1"/>
    <row r="1044570" customFormat="1"/>
    <row r="1044571" customFormat="1"/>
    <row r="1044572" customFormat="1"/>
    <row r="1044573" customFormat="1"/>
    <row r="1044574" customFormat="1"/>
    <row r="1044575" customFormat="1"/>
    <row r="1044576" customFormat="1"/>
    <row r="1044577" customFormat="1"/>
    <row r="1044578" customFormat="1"/>
    <row r="1044579" customFormat="1"/>
    <row r="1044580" customFormat="1"/>
    <row r="1044581" customFormat="1"/>
    <row r="1044582" customFormat="1"/>
    <row r="1044583" customFormat="1"/>
    <row r="1044584" customFormat="1"/>
    <row r="1044585" customFormat="1"/>
    <row r="1044586" customFormat="1"/>
    <row r="1044587" customFormat="1"/>
    <row r="1044588" customFormat="1"/>
    <row r="1044589" customFormat="1"/>
    <row r="1044590" customFormat="1"/>
    <row r="1044591" customFormat="1"/>
    <row r="1044592" customFormat="1"/>
    <row r="1044593" customFormat="1"/>
    <row r="1044594" customFormat="1"/>
    <row r="1044595" customFormat="1"/>
    <row r="1044596" customFormat="1"/>
    <row r="1044597" customFormat="1"/>
    <row r="1044598" customFormat="1"/>
    <row r="1044599" customFormat="1"/>
    <row r="1044600" customFormat="1"/>
    <row r="1044601" customFormat="1"/>
    <row r="1044602" customFormat="1"/>
    <row r="1044603" customFormat="1"/>
    <row r="1044604" customFormat="1"/>
    <row r="1044605" customFormat="1"/>
    <row r="1044606" customFormat="1"/>
    <row r="1044607" customFormat="1"/>
    <row r="1044608" customFormat="1"/>
    <row r="1044609" customFormat="1"/>
    <row r="1044610" customFormat="1"/>
    <row r="1044611" customFormat="1"/>
    <row r="1044612" customFormat="1"/>
    <row r="1044613" customFormat="1"/>
    <row r="1044614" customFormat="1"/>
    <row r="1044615" customFormat="1"/>
    <row r="1044616" customFormat="1"/>
    <row r="1044617" customFormat="1"/>
    <row r="1044618" customFormat="1"/>
    <row r="1044619" customFormat="1"/>
    <row r="1044620" customFormat="1"/>
    <row r="1044621" customFormat="1"/>
    <row r="1044622" customFormat="1"/>
    <row r="1044623" customFormat="1"/>
    <row r="1044624" customFormat="1"/>
    <row r="1044625" customFormat="1"/>
    <row r="1044626" customFormat="1"/>
    <row r="1044627" customFormat="1"/>
    <row r="1044628" customFormat="1"/>
    <row r="1044629" customFormat="1"/>
    <row r="1044630" customFormat="1"/>
    <row r="1044631" customFormat="1"/>
    <row r="1044632" customFormat="1"/>
    <row r="1044633" customFormat="1"/>
    <row r="1044634" customFormat="1"/>
    <row r="1044635" customFormat="1"/>
    <row r="1044636" customFormat="1"/>
    <row r="1044637" customFormat="1"/>
    <row r="1044638" customFormat="1"/>
    <row r="1044639" customFormat="1"/>
    <row r="1044640" customFormat="1"/>
    <row r="1044641" customFormat="1"/>
    <row r="1044642" customFormat="1"/>
    <row r="1044643" customFormat="1"/>
    <row r="1044644" customFormat="1"/>
    <row r="1044645" customFormat="1"/>
    <row r="1044646" customFormat="1"/>
    <row r="1044647" customFormat="1"/>
    <row r="1044648" customFormat="1"/>
    <row r="1044649" customFormat="1"/>
    <row r="1044650" customFormat="1"/>
    <row r="1044651" customFormat="1"/>
    <row r="1044652" customFormat="1"/>
    <row r="1044653" customFormat="1"/>
    <row r="1044654" customFormat="1"/>
    <row r="1044655" customFormat="1"/>
    <row r="1044656" customFormat="1"/>
    <row r="1044657" customFormat="1"/>
    <row r="1044658" customFormat="1"/>
    <row r="1044659" customFormat="1"/>
    <row r="1044660" customFormat="1"/>
    <row r="1044661" customFormat="1"/>
    <row r="1044662" customFormat="1"/>
    <row r="1044663" customFormat="1"/>
    <row r="1044664" customFormat="1"/>
    <row r="1044665" customFormat="1"/>
    <row r="1044666" customFormat="1"/>
    <row r="1044667" customFormat="1"/>
    <row r="1044668" customFormat="1"/>
    <row r="1044669" customFormat="1"/>
    <row r="1044670" customFormat="1"/>
    <row r="1044671" customFormat="1"/>
    <row r="1044672" customFormat="1"/>
    <row r="1044673" customFormat="1"/>
    <row r="1044674" customFormat="1"/>
    <row r="1044675" customFormat="1"/>
    <row r="1044676" customFormat="1"/>
    <row r="1044677" customFormat="1"/>
    <row r="1044678" customFormat="1"/>
    <row r="1044679" customFormat="1"/>
    <row r="1044680" customFormat="1"/>
    <row r="1044681" customFormat="1"/>
    <row r="1044682" customFormat="1"/>
    <row r="1044683" customFormat="1"/>
    <row r="1044684" customFormat="1"/>
    <row r="1044685" customFormat="1"/>
    <row r="1044686" customFormat="1"/>
    <row r="1044687" customFormat="1"/>
    <row r="1044688" customFormat="1"/>
    <row r="1044689" customFormat="1"/>
    <row r="1044690" customFormat="1"/>
    <row r="1044691" customFormat="1"/>
    <row r="1044692" customFormat="1"/>
    <row r="1044693" customFormat="1"/>
    <row r="1044694" customFormat="1"/>
    <row r="1044695" customFormat="1"/>
    <row r="1044696" customFormat="1"/>
    <row r="1044697" customFormat="1"/>
    <row r="1044698" customFormat="1"/>
    <row r="1044699" customFormat="1"/>
    <row r="1044700" customFormat="1"/>
    <row r="1044701" customFormat="1"/>
    <row r="1044702" customFormat="1"/>
    <row r="1044703" customFormat="1"/>
    <row r="1044704" customFormat="1"/>
    <row r="1044705" customFormat="1"/>
    <row r="1044706" customFormat="1"/>
    <row r="1044707" customFormat="1"/>
    <row r="1044708" customFormat="1"/>
    <row r="1044709" customFormat="1"/>
    <row r="1044710" customFormat="1"/>
    <row r="1044711" customFormat="1"/>
    <row r="1044712" customFormat="1"/>
    <row r="1044713" customFormat="1"/>
    <row r="1044714" customFormat="1"/>
    <row r="1044715" customFormat="1"/>
    <row r="1044716" customFormat="1"/>
    <row r="1044717" customFormat="1"/>
    <row r="1044718" customFormat="1"/>
    <row r="1044719" customFormat="1"/>
    <row r="1044720" customFormat="1"/>
    <row r="1044721" customFormat="1"/>
    <row r="1044722" customFormat="1"/>
    <row r="1044723" customFormat="1"/>
    <row r="1044724" customFormat="1"/>
    <row r="1044725" customFormat="1"/>
    <row r="1044726" customFormat="1"/>
    <row r="1044727" customFormat="1"/>
    <row r="1044728" customFormat="1"/>
    <row r="1044729" customFormat="1"/>
    <row r="1044730" customFormat="1"/>
    <row r="1044731" customFormat="1"/>
    <row r="1044732" customFormat="1"/>
    <row r="1044733" customFormat="1"/>
    <row r="1044734" customFormat="1"/>
    <row r="1044735" customFormat="1"/>
    <row r="1044736" customFormat="1"/>
    <row r="1044737" customFormat="1"/>
    <row r="1044738" customFormat="1"/>
    <row r="1044739" customFormat="1"/>
    <row r="1044740" customFormat="1"/>
    <row r="1044741" customFormat="1"/>
    <row r="1044742" customFormat="1"/>
    <row r="1044743" customFormat="1"/>
    <row r="1044744" customFormat="1"/>
    <row r="1044745" customFormat="1"/>
    <row r="1044746" customFormat="1"/>
    <row r="1044747" customFormat="1"/>
    <row r="1044748" customFormat="1"/>
    <row r="1044749" customFormat="1"/>
    <row r="1044750" customFormat="1"/>
    <row r="1044751" customFormat="1"/>
    <row r="1044752" customFormat="1"/>
    <row r="1044753" customFormat="1"/>
    <row r="1044754" customFormat="1"/>
    <row r="1044755" customFormat="1"/>
    <row r="1044756" customFormat="1"/>
    <row r="1044757" customFormat="1"/>
    <row r="1044758" customFormat="1"/>
    <row r="1044759" customFormat="1"/>
    <row r="1044760" customFormat="1"/>
    <row r="1044761" customFormat="1"/>
    <row r="1044762" customFormat="1"/>
    <row r="1044763" customFormat="1"/>
    <row r="1044764" customFormat="1"/>
    <row r="1044765" customFormat="1"/>
    <row r="1044766" customFormat="1"/>
    <row r="1044767" customFormat="1"/>
    <row r="1044768" customFormat="1"/>
    <row r="1044769" customFormat="1"/>
    <row r="1044770" customFormat="1"/>
    <row r="1044771" customFormat="1"/>
    <row r="1044772" customFormat="1"/>
    <row r="1044773" customFormat="1"/>
    <row r="1044774" customFormat="1"/>
    <row r="1044775" customFormat="1"/>
    <row r="1044776" customFormat="1"/>
    <row r="1044777" customFormat="1"/>
    <row r="1044778" customFormat="1"/>
    <row r="1044779" customFormat="1"/>
    <row r="1044780" customFormat="1"/>
    <row r="1044781" customFormat="1"/>
    <row r="1044782" customFormat="1"/>
    <row r="1044783" customFormat="1"/>
    <row r="1044784" customFormat="1"/>
    <row r="1044785" customFormat="1"/>
    <row r="1044786" customFormat="1"/>
    <row r="1044787" customFormat="1"/>
    <row r="1044788" customFormat="1"/>
    <row r="1044789" customFormat="1"/>
    <row r="1044790" customFormat="1"/>
    <row r="1044791" customFormat="1"/>
    <row r="1044792" customFormat="1"/>
    <row r="1044793" customFormat="1"/>
    <row r="1044794" customFormat="1"/>
    <row r="1044795" customFormat="1"/>
    <row r="1044796" customFormat="1"/>
    <row r="1044797" customFormat="1"/>
    <row r="1044798" customFormat="1"/>
    <row r="1044799" customFormat="1"/>
    <row r="1044800" customFormat="1"/>
    <row r="1044801" customFormat="1"/>
    <row r="1044802" customFormat="1"/>
    <row r="1044803" customFormat="1"/>
    <row r="1044804" customFormat="1"/>
    <row r="1044805" customFormat="1"/>
    <row r="1044806" customFormat="1"/>
    <row r="1044807" customFormat="1"/>
    <row r="1044808" customFormat="1"/>
    <row r="1044809" customFormat="1"/>
    <row r="1044810" customFormat="1"/>
    <row r="1044811" customFormat="1"/>
    <row r="1044812" customFormat="1"/>
    <row r="1044813" customFormat="1"/>
    <row r="1044814" customFormat="1"/>
    <row r="1044815" customFormat="1"/>
    <row r="1044816" customFormat="1"/>
    <row r="1044817" customFormat="1"/>
    <row r="1044818" customFormat="1"/>
    <row r="1044819" customFormat="1"/>
    <row r="1044820" customFormat="1"/>
    <row r="1044821" customFormat="1"/>
    <row r="1044822" customFormat="1"/>
    <row r="1044823" customFormat="1"/>
    <row r="1044824" customFormat="1"/>
    <row r="1044825" customFormat="1"/>
    <row r="1044826" customFormat="1"/>
    <row r="1044827" customFormat="1"/>
    <row r="1044828" customFormat="1"/>
    <row r="1044829" customFormat="1"/>
    <row r="1044830" customFormat="1"/>
    <row r="1044831" customFormat="1"/>
    <row r="1044832" customFormat="1"/>
    <row r="1044833" customFormat="1"/>
    <row r="1044834" customFormat="1"/>
    <row r="1044835" customFormat="1"/>
    <row r="1044836" customFormat="1"/>
    <row r="1044837" customFormat="1"/>
    <row r="1044838" customFormat="1"/>
    <row r="1044839" customFormat="1"/>
    <row r="1044840" customFormat="1"/>
    <row r="1044841" customFormat="1"/>
    <row r="1044842" customFormat="1"/>
    <row r="1044843" customFormat="1"/>
    <row r="1044844" customFormat="1"/>
    <row r="1044845" customFormat="1"/>
    <row r="1044846" customFormat="1"/>
    <row r="1044847" customFormat="1"/>
    <row r="1044848" customFormat="1"/>
    <row r="1044849" customFormat="1"/>
    <row r="1044850" customFormat="1"/>
    <row r="1044851" customFormat="1"/>
    <row r="1044852" customFormat="1"/>
    <row r="1044853" customFormat="1"/>
    <row r="1044854" customFormat="1"/>
    <row r="1044855" customFormat="1"/>
    <row r="1044856" customFormat="1"/>
    <row r="1044857" customFormat="1"/>
    <row r="1044858" customFormat="1"/>
    <row r="1044859" customFormat="1"/>
    <row r="1044860" customFormat="1"/>
    <row r="1044861" customFormat="1"/>
    <row r="1044862" customFormat="1"/>
    <row r="1044863" customFormat="1"/>
    <row r="1044864" customFormat="1"/>
    <row r="1044865" customFormat="1"/>
    <row r="1044866" customFormat="1"/>
    <row r="1044867" customFormat="1"/>
    <row r="1044868" customFormat="1"/>
    <row r="1044869" customFormat="1"/>
    <row r="1044870" customFormat="1"/>
    <row r="1044871" customFormat="1"/>
    <row r="1044872" customFormat="1"/>
    <row r="1044873" customFormat="1"/>
    <row r="1044874" customFormat="1"/>
    <row r="1044875" customFormat="1"/>
    <row r="1044876" customFormat="1"/>
    <row r="1044877" customFormat="1"/>
    <row r="1044878" customFormat="1"/>
    <row r="1044879" customFormat="1"/>
    <row r="1044880" customFormat="1"/>
    <row r="1044881" customFormat="1"/>
    <row r="1044882" customFormat="1"/>
    <row r="1044883" customFormat="1"/>
    <row r="1044884" customFormat="1"/>
    <row r="1044885" customFormat="1"/>
    <row r="1044886" customFormat="1"/>
    <row r="1044887" customFormat="1"/>
    <row r="1044888" customFormat="1"/>
    <row r="1044889" customFormat="1"/>
    <row r="1044890" customFormat="1"/>
    <row r="1044891" customFormat="1"/>
    <row r="1044892" customFormat="1"/>
    <row r="1044893" customFormat="1"/>
    <row r="1044894" customFormat="1"/>
    <row r="1044895" customFormat="1"/>
    <row r="1044896" customFormat="1"/>
    <row r="1044897" customFormat="1"/>
    <row r="1044898" customFormat="1"/>
    <row r="1044899" customFormat="1"/>
    <row r="1044900" customFormat="1"/>
    <row r="1044901" customFormat="1"/>
    <row r="1044902" customFormat="1"/>
    <row r="1044903" customFormat="1"/>
    <row r="1044904" customFormat="1"/>
    <row r="1044905" customFormat="1"/>
    <row r="1044906" customFormat="1"/>
    <row r="1044907" customFormat="1"/>
    <row r="1044908" customFormat="1"/>
    <row r="1044909" customFormat="1"/>
    <row r="1044910" customFormat="1"/>
    <row r="1044911" customFormat="1"/>
    <row r="1044912" customFormat="1"/>
    <row r="1044913" customFormat="1"/>
    <row r="1044914" customFormat="1"/>
    <row r="1044915" customFormat="1"/>
    <row r="1044916" customFormat="1"/>
    <row r="1044917" customFormat="1"/>
    <row r="1044918" customFormat="1"/>
    <row r="1044919" customFormat="1"/>
    <row r="1044920" customFormat="1"/>
    <row r="1044921" customFormat="1"/>
    <row r="1044922" customFormat="1"/>
    <row r="1044923" customFormat="1"/>
    <row r="1044924" customFormat="1"/>
    <row r="1044925" customFormat="1"/>
    <row r="1044926" customFormat="1"/>
    <row r="1044927" customFormat="1"/>
    <row r="1044928" customFormat="1"/>
    <row r="1044929" customFormat="1"/>
    <row r="1044930" customFormat="1"/>
    <row r="1044931" customFormat="1"/>
    <row r="1044932" customFormat="1"/>
    <row r="1044933" customFormat="1"/>
    <row r="1044934" customFormat="1"/>
    <row r="1044935" customFormat="1"/>
    <row r="1044936" customFormat="1"/>
    <row r="1044937" customFormat="1"/>
    <row r="1044938" customFormat="1"/>
    <row r="1044939" customFormat="1"/>
    <row r="1044940" customFormat="1"/>
    <row r="1044941" customFormat="1"/>
    <row r="1044942" customFormat="1"/>
    <row r="1044943" customFormat="1"/>
    <row r="1044944" customFormat="1"/>
    <row r="1044945" customFormat="1"/>
    <row r="1044946" customFormat="1"/>
    <row r="1044947" customFormat="1"/>
    <row r="1044948" customFormat="1"/>
    <row r="1044949" customFormat="1"/>
    <row r="1044950" customFormat="1"/>
    <row r="1044951" customFormat="1"/>
    <row r="1044952" customFormat="1"/>
    <row r="1044953" customFormat="1"/>
    <row r="1044954" customFormat="1"/>
    <row r="1044955" customFormat="1"/>
    <row r="1044956" customFormat="1"/>
    <row r="1044957" customFormat="1"/>
    <row r="1044958" customFormat="1"/>
    <row r="1044959" customFormat="1"/>
    <row r="1044960" customFormat="1"/>
    <row r="1044961" customFormat="1"/>
    <row r="1044962" customFormat="1"/>
    <row r="1044963" customFormat="1"/>
    <row r="1044964" customFormat="1"/>
    <row r="1044965" customFormat="1"/>
    <row r="1044966" customFormat="1"/>
    <row r="1044967" customFormat="1"/>
    <row r="1044968" customFormat="1"/>
    <row r="1044969" customFormat="1"/>
    <row r="1044970" customFormat="1"/>
    <row r="1044971" customFormat="1"/>
    <row r="1044972" customFormat="1"/>
    <row r="1044973" customFormat="1"/>
    <row r="1044974" customFormat="1"/>
    <row r="1044975" customFormat="1"/>
    <row r="1044976" customFormat="1"/>
    <row r="1044977" customFormat="1"/>
    <row r="1044978" customFormat="1"/>
    <row r="1044979" customFormat="1"/>
    <row r="1044980" customFormat="1"/>
    <row r="1044981" customFormat="1"/>
    <row r="1044982" customFormat="1"/>
    <row r="1044983" customFormat="1"/>
    <row r="1044984" customFormat="1"/>
    <row r="1044985" customFormat="1"/>
    <row r="1044986" customFormat="1"/>
    <row r="1044987" customFormat="1"/>
    <row r="1044988" customFormat="1"/>
    <row r="1044989" customFormat="1"/>
    <row r="1044990" customFormat="1"/>
    <row r="1044991" customFormat="1"/>
    <row r="1044992" customFormat="1"/>
    <row r="1044993" customFormat="1"/>
    <row r="1044994" customFormat="1"/>
    <row r="1044995" customFormat="1"/>
    <row r="1044996" customFormat="1"/>
    <row r="1044997" customFormat="1"/>
    <row r="1044998" customFormat="1"/>
    <row r="1044999" customFormat="1"/>
    <row r="1045000" customFormat="1"/>
    <row r="1045001" customFormat="1"/>
    <row r="1045002" customFormat="1"/>
    <row r="1045003" customFormat="1"/>
    <row r="1045004" customFormat="1"/>
    <row r="1045005" customFormat="1"/>
    <row r="1045006" customFormat="1"/>
    <row r="1045007" customFormat="1"/>
    <row r="1045008" customFormat="1"/>
    <row r="1045009" customFormat="1"/>
    <row r="1045010" customFormat="1"/>
    <row r="1045011" customFormat="1"/>
    <row r="1045012" customFormat="1"/>
    <row r="1045013" customFormat="1"/>
    <row r="1045014" customFormat="1"/>
    <row r="1045015" customFormat="1"/>
    <row r="1045016" customFormat="1"/>
    <row r="1045017" customFormat="1"/>
    <row r="1045018" customFormat="1"/>
    <row r="1045019" customFormat="1"/>
    <row r="1045020" customFormat="1"/>
    <row r="1045021" customFormat="1"/>
    <row r="1045022" customFormat="1"/>
    <row r="1045023" customFormat="1"/>
    <row r="1045024" customFormat="1"/>
    <row r="1045025" customFormat="1"/>
    <row r="1045026" customFormat="1"/>
    <row r="1045027" customFormat="1"/>
    <row r="1045028" customFormat="1"/>
    <row r="1045029" customFormat="1"/>
    <row r="1045030" customFormat="1"/>
    <row r="1045031" customFormat="1"/>
    <row r="1045032" customFormat="1"/>
    <row r="1045033" customFormat="1"/>
    <row r="1045034" customFormat="1"/>
    <row r="1045035" customFormat="1"/>
    <row r="1045036" customFormat="1"/>
    <row r="1045037" customFormat="1"/>
    <row r="1045038" customFormat="1"/>
    <row r="1045039" customFormat="1"/>
    <row r="1045040" customFormat="1"/>
    <row r="1045041" customFormat="1"/>
    <row r="1045042" customFormat="1"/>
    <row r="1045043" customFormat="1"/>
    <row r="1045044" customFormat="1"/>
    <row r="1045045" customFormat="1"/>
    <row r="1045046" customFormat="1"/>
    <row r="1045047" customFormat="1"/>
    <row r="1045048" customFormat="1"/>
    <row r="1045049" customFormat="1"/>
    <row r="1045050" customFormat="1"/>
    <row r="1045051" customFormat="1"/>
    <row r="1045052" customFormat="1"/>
    <row r="1045053" customFormat="1"/>
    <row r="1045054" customFormat="1"/>
    <row r="1045055" customFormat="1"/>
    <row r="1045056" customFormat="1"/>
    <row r="1045057" customFormat="1"/>
    <row r="1045058" customFormat="1"/>
    <row r="1045059" customFormat="1"/>
    <row r="1045060" customFormat="1"/>
    <row r="1045061" customFormat="1"/>
    <row r="1045062" customFormat="1"/>
    <row r="1045063" customFormat="1"/>
    <row r="1045064" customFormat="1"/>
    <row r="1045065" customFormat="1"/>
    <row r="1045066" customFormat="1"/>
    <row r="1045067" customFormat="1"/>
    <row r="1045068" customFormat="1"/>
    <row r="1045069" customFormat="1"/>
    <row r="1045070" customFormat="1"/>
    <row r="1045071" customFormat="1"/>
    <row r="1045072" customFormat="1"/>
    <row r="1045073" customFormat="1"/>
    <row r="1045074" customFormat="1"/>
    <row r="1045075" customFormat="1"/>
    <row r="1045076" customFormat="1"/>
    <row r="1045077" customFormat="1"/>
    <row r="1045078" customFormat="1"/>
    <row r="1045079" customFormat="1"/>
    <row r="1045080" customFormat="1"/>
    <row r="1045081" customFormat="1"/>
    <row r="1045082" customFormat="1"/>
    <row r="1045083" customFormat="1"/>
    <row r="1045084" customFormat="1"/>
    <row r="1045085" customFormat="1"/>
    <row r="1045086" customFormat="1"/>
    <row r="1045087" customFormat="1"/>
    <row r="1045088" customFormat="1"/>
    <row r="1045089" customFormat="1"/>
    <row r="1045090" customFormat="1"/>
    <row r="1045091" customFormat="1"/>
    <row r="1045092" customFormat="1"/>
    <row r="1045093" customFormat="1"/>
    <row r="1045094" customFormat="1"/>
    <row r="1045095" customFormat="1"/>
    <row r="1045096" customFormat="1"/>
    <row r="1045097" customFormat="1"/>
    <row r="1045098" customFormat="1"/>
    <row r="1045099" customFormat="1"/>
    <row r="1045100" customFormat="1"/>
    <row r="1045101" customFormat="1"/>
    <row r="1045102" customFormat="1"/>
    <row r="1045103" customFormat="1"/>
    <row r="1045104" customFormat="1"/>
    <row r="1045105" customFormat="1"/>
    <row r="1045106" customFormat="1"/>
    <row r="1045107" customFormat="1"/>
    <row r="1045108" customFormat="1"/>
    <row r="1045109" customFormat="1"/>
    <row r="1045110" customFormat="1"/>
    <row r="1045111" customFormat="1"/>
    <row r="1045112" customFormat="1"/>
    <row r="1045113" customFormat="1"/>
    <row r="1045114" customFormat="1"/>
    <row r="1045115" customFormat="1"/>
    <row r="1045116" customFormat="1"/>
    <row r="1045117" customFormat="1"/>
    <row r="1045118" customFormat="1"/>
    <row r="1045119" customFormat="1"/>
    <row r="1045120" customFormat="1"/>
    <row r="1045121" customFormat="1"/>
    <row r="1045122" customFormat="1"/>
    <row r="1045123" customFormat="1"/>
    <row r="1045124" customFormat="1"/>
    <row r="1045125" customFormat="1"/>
    <row r="1045126" customFormat="1"/>
    <row r="1045127" customFormat="1"/>
    <row r="1045128" customFormat="1"/>
    <row r="1045129" customFormat="1"/>
    <row r="1045130" customFormat="1"/>
    <row r="1045131" customFormat="1"/>
    <row r="1045132" customFormat="1"/>
    <row r="1045133" customFormat="1"/>
    <row r="1045134" customFormat="1"/>
    <row r="1045135" customFormat="1"/>
    <row r="1045136" customFormat="1"/>
    <row r="1045137" customFormat="1"/>
    <row r="1045138" customFormat="1"/>
    <row r="1045139" customFormat="1"/>
    <row r="1045140" customFormat="1"/>
    <row r="1045141" customFormat="1"/>
    <row r="1045142" customFormat="1"/>
    <row r="1045143" customFormat="1"/>
    <row r="1045144" customFormat="1"/>
    <row r="1045145" customFormat="1"/>
    <row r="1045146" customFormat="1"/>
    <row r="1045147" customFormat="1"/>
    <row r="1045148" customFormat="1"/>
    <row r="1045149" customFormat="1"/>
    <row r="1045150" customFormat="1"/>
    <row r="1045151" customFormat="1"/>
    <row r="1045152" customFormat="1"/>
    <row r="1045153" customFormat="1"/>
    <row r="1045154" customFormat="1"/>
    <row r="1045155" customFormat="1"/>
    <row r="1045156" customFormat="1"/>
    <row r="1045157" customFormat="1"/>
    <row r="1045158" customFormat="1"/>
    <row r="1045159" customFormat="1"/>
    <row r="1045160" customFormat="1"/>
    <row r="1045161" customFormat="1"/>
    <row r="1045162" customFormat="1"/>
    <row r="1045163" customFormat="1"/>
    <row r="1045164" customFormat="1"/>
    <row r="1045165" customFormat="1"/>
    <row r="1045166" customFormat="1"/>
    <row r="1045167" customFormat="1"/>
    <row r="1045168" customFormat="1"/>
    <row r="1045169" customFormat="1"/>
    <row r="1045170" customFormat="1"/>
    <row r="1045171" customFormat="1"/>
    <row r="1045172" customFormat="1"/>
    <row r="1045173" customFormat="1"/>
    <row r="1045174" customFormat="1"/>
    <row r="1045175" customFormat="1"/>
    <row r="1045176" customFormat="1"/>
    <row r="1045177" customFormat="1"/>
    <row r="1045178" customFormat="1"/>
    <row r="1045179" customFormat="1"/>
    <row r="1045180" customFormat="1"/>
    <row r="1045181" customFormat="1"/>
    <row r="1045182" customFormat="1"/>
    <row r="1045183" customFormat="1"/>
    <row r="1045184" customFormat="1"/>
    <row r="1045185" customFormat="1"/>
    <row r="1045186" customFormat="1"/>
    <row r="1045187" customFormat="1"/>
    <row r="1045188" customFormat="1"/>
    <row r="1045189" customFormat="1"/>
    <row r="1045190" customFormat="1"/>
    <row r="1045191" customFormat="1"/>
    <row r="1045192" customFormat="1"/>
    <row r="1045193" customFormat="1"/>
    <row r="1045194" customFormat="1"/>
    <row r="1045195" customFormat="1"/>
    <row r="1045196" customFormat="1"/>
    <row r="1045197" customFormat="1"/>
    <row r="1045198" customFormat="1"/>
    <row r="1045199" customFormat="1"/>
    <row r="1045200" customFormat="1"/>
    <row r="1045201" customFormat="1"/>
    <row r="1045202" customFormat="1"/>
    <row r="1045203" customFormat="1"/>
    <row r="1045204" customFormat="1"/>
    <row r="1045205" customFormat="1"/>
    <row r="1045206" customFormat="1"/>
    <row r="1045207" customFormat="1"/>
    <row r="1045208" customFormat="1"/>
    <row r="1045209" customFormat="1"/>
    <row r="1045210" customFormat="1"/>
    <row r="1045211" customFormat="1"/>
    <row r="1045212" customFormat="1"/>
    <row r="1045213" customFormat="1"/>
    <row r="1045214" customFormat="1"/>
    <row r="1045215" customFormat="1"/>
    <row r="1045216" customFormat="1"/>
    <row r="1045217" customFormat="1"/>
    <row r="1045218" customFormat="1"/>
    <row r="1045219" customFormat="1"/>
    <row r="1045220" customFormat="1"/>
    <row r="1045221" customFormat="1"/>
    <row r="1045222" customFormat="1"/>
    <row r="1045223" customFormat="1"/>
    <row r="1045224" customFormat="1"/>
    <row r="1045225" customFormat="1"/>
    <row r="1045226" customFormat="1"/>
    <row r="1045227" customFormat="1"/>
    <row r="1045228" customFormat="1"/>
    <row r="1045229" customFormat="1"/>
    <row r="1045230" customFormat="1"/>
    <row r="1045231" customFormat="1"/>
    <row r="1045232" customFormat="1"/>
    <row r="1045233" customFormat="1"/>
    <row r="1045234" customFormat="1"/>
    <row r="1045235" customFormat="1"/>
    <row r="1045236" customFormat="1"/>
    <row r="1045237" customFormat="1"/>
    <row r="1045238" customFormat="1"/>
    <row r="1045239" customFormat="1"/>
    <row r="1045240" customFormat="1"/>
    <row r="1045241" customFormat="1"/>
    <row r="1045242" customFormat="1"/>
    <row r="1045243" customFormat="1"/>
    <row r="1045244" customFormat="1"/>
    <row r="1045245" customFormat="1"/>
    <row r="1045246" customFormat="1"/>
    <row r="1045247" customFormat="1"/>
    <row r="1045248" customFormat="1"/>
    <row r="1045249" customFormat="1"/>
    <row r="1045250" customFormat="1"/>
    <row r="1045251" customFormat="1"/>
    <row r="1045252" customFormat="1"/>
    <row r="1045253" customFormat="1"/>
    <row r="1045254" customFormat="1"/>
    <row r="1045255" customFormat="1"/>
    <row r="1045256" customFormat="1"/>
    <row r="1045257" customFormat="1"/>
    <row r="1045258" customFormat="1"/>
    <row r="1045259" customFormat="1"/>
    <row r="1045260" customFormat="1"/>
    <row r="1045261" customFormat="1"/>
    <row r="1045262" customFormat="1"/>
    <row r="1045263" customFormat="1"/>
    <row r="1045264" customFormat="1"/>
    <row r="1045265" customFormat="1"/>
    <row r="1045266" customFormat="1"/>
    <row r="1045267" customFormat="1"/>
    <row r="1045268" customFormat="1"/>
    <row r="1045269" customFormat="1"/>
    <row r="1045270" customFormat="1"/>
    <row r="1045271" customFormat="1"/>
    <row r="1045272" customFormat="1"/>
    <row r="1045273" customFormat="1"/>
    <row r="1045274" customFormat="1"/>
    <row r="1045275" customFormat="1"/>
    <row r="1045276" customFormat="1"/>
    <row r="1045277" customFormat="1"/>
    <row r="1045278" customFormat="1"/>
    <row r="1045279" customFormat="1"/>
    <row r="1045280" customFormat="1"/>
    <row r="1045281" customFormat="1"/>
    <row r="1045282" customFormat="1"/>
    <row r="1045283" customFormat="1"/>
    <row r="1045284" customFormat="1"/>
    <row r="1045285" customFormat="1"/>
    <row r="1045286" customFormat="1"/>
    <row r="1045287" customFormat="1"/>
    <row r="1045288" customFormat="1"/>
    <row r="1045289" customFormat="1"/>
    <row r="1045290" customFormat="1"/>
    <row r="1045291" customFormat="1"/>
    <row r="1045292" customFormat="1"/>
    <row r="1045293" customFormat="1"/>
    <row r="1045294" customFormat="1"/>
    <row r="1045295" customFormat="1"/>
    <row r="1045296" customFormat="1"/>
    <row r="1045297" customFormat="1"/>
    <row r="1045298" customFormat="1"/>
    <row r="1045299" customFormat="1"/>
    <row r="1045300" customFormat="1"/>
    <row r="1045301" customFormat="1"/>
    <row r="1045302" customFormat="1"/>
    <row r="1045303" customFormat="1"/>
    <row r="1045304" customFormat="1"/>
    <row r="1045305" customFormat="1"/>
    <row r="1045306" customFormat="1"/>
    <row r="1045307" customFormat="1"/>
    <row r="1045308" customFormat="1"/>
    <row r="1045309" customFormat="1"/>
    <row r="1045310" customFormat="1"/>
    <row r="1045311" customFormat="1"/>
    <row r="1045312" customFormat="1"/>
    <row r="1045313" customFormat="1"/>
    <row r="1045314" customFormat="1"/>
    <row r="1045315" customFormat="1"/>
    <row r="1045316" customFormat="1"/>
    <row r="1045317" customFormat="1"/>
    <row r="1045318" customFormat="1"/>
    <row r="1045319" customFormat="1"/>
    <row r="1045320" customFormat="1"/>
    <row r="1045321" customFormat="1"/>
    <row r="1045322" customFormat="1"/>
    <row r="1045323" customFormat="1"/>
    <row r="1045324" customFormat="1"/>
    <row r="1045325" customFormat="1"/>
    <row r="1045326" customFormat="1"/>
    <row r="1045327" customFormat="1"/>
    <row r="1045328" customFormat="1"/>
    <row r="1045329" customFormat="1"/>
    <row r="1045330" customFormat="1"/>
    <row r="1045331" customFormat="1"/>
    <row r="1045332" customFormat="1"/>
    <row r="1045333" customFormat="1"/>
    <row r="1045334" customFormat="1"/>
    <row r="1045335" customFormat="1"/>
    <row r="1045336" customFormat="1"/>
    <row r="1045337" customFormat="1"/>
    <row r="1045338" customFormat="1"/>
    <row r="1045339" customFormat="1"/>
    <row r="1045340" customFormat="1"/>
    <row r="1045341" customFormat="1"/>
    <row r="1045342" customFormat="1"/>
    <row r="1045343" customFormat="1"/>
    <row r="1045344" customFormat="1"/>
    <row r="1045345" customFormat="1"/>
    <row r="1045346" customFormat="1"/>
    <row r="1045347" customFormat="1"/>
    <row r="1045348" customFormat="1"/>
    <row r="1045349" customFormat="1"/>
    <row r="1045350" customFormat="1"/>
    <row r="1045351" customFormat="1"/>
    <row r="1045352" customFormat="1"/>
    <row r="1045353" customFormat="1"/>
    <row r="1045354" customFormat="1"/>
    <row r="1045355" customFormat="1"/>
    <row r="1045356" customFormat="1"/>
    <row r="1045357" customFormat="1"/>
    <row r="1045358" customFormat="1"/>
    <row r="1045359" customFormat="1"/>
    <row r="1045360" customFormat="1"/>
    <row r="1045361" customFormat="1"/>
    <row r="1045362" customFormat="1"/>
    <row r="1045363" customFormat="1"/>
    <row r="1045364" customFormat="1"/>
    <row r="1045365" customFormat="1"/>
    <row r="1045366" customFormat="1"/>
    <row r="1045367" customFormat="1"/>
    <row r="1045368" customFormat="1"/>
    <row r="1045369" customFormat="1"/>
    <row r="1045370" customFormat="1"/>
    <row r="1045371" customFormat="1"/>
    <row r="1045372" customFormat="1"/>
    <row r="1045373" customFormat="1"/>
    <row r="1045374" customFormat="1"/>
    <row r="1045375" customFormat="1"/>
    <row r="1045376" customFormat="1"/>
    <row r="1045377" customFormat="1"/>
    <row r="1045378" customFormat="1"/>
    <row r="1045379" customFormat="1"/>
    <row r="1045380" customFormat="1"/>
    <row r="1045381" customFormat="1"/>
    <row r="1045382" customFormat="1"/>
    <row r="1045383" customFormat="1"/>
    <row r="1045384" customFormat="1"/>
    <row r="1045385" customFormat="1"/>
    <row r="1045386" customFormat="1"/>
    <row r="1045387" customFormat="1"/>
    <row r="1045388" customFormat="1"/>
    <row r="1045389" customFormat="1"/>
    <row r="1045390" customFormat="1"/>
    <row r="1045391" customFormat="1"/>
    <row r="1045392" customFormat="1"/>
    <row r="1045393" customFormat="1"/>
    <row r="1045394" customFormat="1"/>
    <row r="1045395" customFormat="1"/>
    <row r="1045396" customFormat="1"/>
    <row r="1045397" customFormat="1"/>
    <row r="1045398" customFormat="1"/>
    <row r="1045399" customFormat="1"/>
    <row r="1045400" customFormat="1"/>
    <row r="1045401" customFormat="1"/>
    <row r="1045402" customFormat="1"/>
    <row r="1045403" customFormat="1"/>
    <row r="1045404" customFormat="1"/>
    <row r="1045405" customFormat="1"/>
    <row r="1045406" customFormat="1"/>
    <row r="1045407" customFormat="1"/>
    <row r="1045408" customFormat="1"/>
    <row r="1045409" customFormat="1"/>
    <row r="1045410" customFormat="1"/>
    <row r="1045411" customFormat="1"/>
    <row r="1045412" customFormat="1"/>
    <row r="1045413" customFormat="1"/>
    <row r="1045414" customFormat="1"/>
    <row r="1045415" customFormat="1"/>
    <row r="1045416" customFormat="1"/>
    <row r="1045417" customFormat="1"/>
    <row r="1045418" customFormat="1"/>
    <row r="1045419" customFormat="1"/>
    <row r="1045420" customFormat="1"/>
    <row r="1045421" customFormat="1"/>
    <row r="1045422" customFormat="1"/>
    <row r="1045423" customFormat="1"/>
    <row r="1045424" customFormat="1"/>
    <row r="1045425" customFormat="1"/>
    <row r="1045426" customFormat="1"/>
    <row r="1045427" customFormat="1"/>
    <row r="1045428" customFormat="1"/>
    <row r="1045429" customFormat="1"/>
    <row r="1045430" customFormat="1"/>
    <row r="1045431" customFormat="1"/>
    <row r="1045432" customFormat="1"/>
    <row r="1045433" customFormat="1"/>
    <row r="1045434" customFormat="1"/>
    <row r="1045435" customFormat="1"/>
    <row r="1045436" customFormat="1"/>
    <row r="1045437" customFormat="1"/>
    <row r="1045438" customFormat="1"/>
    <row r="1045439" customFormat="1"/>
    <row r="1045440" customFormat="1"/>
    <row r="1045441" customFormat="1"/>
    <row r="1045442" customFormat="1"/>
    <row r="1045443" customFormat="1"/>
    <row r="1045444" customFormat="1"/>
    <row r="1045445" customFormat="1"/>
    <row r="1045446" customFormat="1"/>
    <row r="1045447" customFormat="1"/>
    <row r="1045448" customFormat="1"/>
    <row r="1045449" customFormat="1"/>
    <row r="1045450" customFormat="1"/>
    <row r="1045451" customFormat="1"/>
    <row r="1045452" customFormat="1"/>
    <row r="1045453" customFormat="1"/>
    <row r="1045454" customFormat="1"/>
    <row r="1045455" customFormat="1"/>
    <row r="1045456" customFormat="1"/>
    <row r="1045457" customFormat="1"/>
    <row r="1045458" customFormat="1"/>
    <row r="1045459" customFormat="1"/>
    <row r="1045460" customFormat="1"/>
    <row r="1045461" customFormat="1"/>
    <row r="1045462" customFormat="1"/>
    <row r="1045463" customFormat="1"/>
    <row r="1045464" customFormat="1"/>
    <row r="1045465" customFormat="1"/>
    <row r="1045466" customFormat="1"/>
    <row r="1045467" customFormat="1"/>
    <row r="1045468" customFormat="1"/>
    <row r="1045469" customFormat="1"/>
    <row r="1045470" customFormat="1"/>
    <row r="1045471" customFormat="1"/>
    <row r="1045472" customFormat="1"/>
    <row r="1045473" customFormat="1"/>
    <row r="1045474" customFormat="1"/>
    <row r="1045475" customFormat="1"/>
    <row r="1045476" customFormat="1"/>
    <row r="1045477" customFormat="1"/>
    <row r="1045478" customFormat="1"/>
    <row r="1045479" customFormat="1"/>
    <row r="1045480" customFormat="1"/>
    <row r="1045481" customFormat="1"/>
    <row r="1045482" customFormat="1"/>
    <row r="1045483" customFormat="1"/>
    <row r="1045484" customFormat="1"/>
    <row r="1045485" customFormat="1"/>
    <row r="1045486" customFormat="1"/>
    <row r="1045487" customFormat="1"/>
    <row r="1045488" customFormat="1"/>
    <row r="1045489" customFormat="1"/>
    <row r="1045490" customFormat="1"/>
    <row r="1045491" customFormat="1"/>
    <row r="1045492" customFormat="1"/>
    <row r="1045493" customFormat="1"/>
    <row r="1045494" customFormat="1"/>
    <row r="1045495" customFormat="1"/>
    <row r="1045496" customFormat="1"/>
    <row r="1045497" customFormat="1"/>
    <row r="1045498" customFormat="1"/>
    <row r="1045499" customFormat="1"/>
    <row r="1045500" customFormat="1"/>
    <row r="1045501" customFormat="1"/>
    <row r="1045502" customFormat="1"/>
    <row r="1045503" customFormat="1"/>
    <row r="1045504" customFormat="1"/>
    <row r="1045505" customFormat="1"/>
    <row r="1045506" customFormat="1"/>
    <row r="1045507" customFormat="1"/>
    <row r="1045508" customFormat="1"/>
    <row r="1045509" customFormat="1"/>
    <row r="1045510" customFormat="1"/>
    <row r="1045511" customFormat="1"/>
    <row r="1045512" customFormat="1"/>
    <row r="1045513" customFormat="1"/>
    <row r="1045514" customFormat="1"/>
    <row r="1045515" customFormat="1"/>
    <row r="1045516" customFormat="1"/>
    <row r="1045517" customFormat="1"/>
    <row r="1045518" customFormat="1"/>
    <row r="1045519" customFormat="1"/>
    <row r="1045520" customFormat="1"/>
    <row r="1045521" customFormat="1"/>
    <row r="1045522" customFormat="1"/>
    <row r="1045523" customFormat="1"/>
    <row r="1045524" customFormat="1"/>
    <row r="1045525" customFormat="1"/>
    <row r="1045526" customFormat="1"/>
    <row r="1045527" customFormat="1"/>
    <row r="1045528" customFormat="1"/>
    <row r="1045529" customFormat="1"/>
    <row r="1045530" customFormat="1"/>
    <row r="1045531" customFormat="1"/>
    <row r="1045532" customFormat="1"/>
    <row r="1045533" customFormat="1"/>
    <row r="1045534" customFormat="1"/>
    <row r="1045535" customFormat="1"/>
    <row r="1045536" customFormat="1"/>
    <row r="1045537" customFormat="1"/>
    <row r="1045538" customFormat="1"/>
    <row r="1045539" customFormat="1"/>
    <row r="1045540" customFormat="1"/>
    <row r="1045541" customFormat="1"/>
    <row r="1045542" customFormat="1"/>
    <row r="1045543" customFormat="1"/>
    <row r="1045544" customFormat="1"/>
    <row r="1045545" customFormat="1"/>
    <row r="1045546" customFormat="1"/>
    <row r="1045547" customFormat="1"/>
    <row r="1045548" customFormat="1"/>
    <row r="1045549" customFormat="1"/>
    <row r="1045550" customFormat="1"/>
    <row r="1045551" customFormat="1"/>
    <row r="1045552" customFormat="1"/>
    <row r="1045553" customFormat="1"/>
    <row r="1045554" customFormat="1"/>
    <row r="1045555" customFormat="1"/>
    <row r="1045556" customFormat="1"/>
    <row r="1045557" customFormat="1"/>
    <row r="1045558" customFormat="1"/>
    <row r="1045559" customFormat="1"/>
    <row r="1045560" customFormat="1"/>
    <row r="1045561" customFormat="1"/>
    <row r="1045562" customFormat="1"/>
    <row r="1045563" customFormat="1"/>
    <row r="1045564" customFormat="1"/>
    <row r="1045565" customFormat="1"/>
    <row r="1045566" customFormat="1"/>
    <row r="1045567" customFormat="1"/>
    <row r="1045568" customFormat="1"/>
    <row r="1045569" customFormat="1"/>
    <row r="1045570" customFormat="1"/>
    <row r="1045571" customFormat="1"/>
    <row r="1045572" customFormat="1"/>
    <row r="1045573" customFormat="1"/>
    <row r="1045574" customFormat="1"/>
    <row r="1045575" customFormat="1"/>
    <row r="1045576" customFormat="1"/>
    <row r="1045577" customFormat="1"/>
    <row r="1045578" customFormat="1"/>
    <row r="1045579" customFormat="1"/>
    <row r="1045580" customFormat="1"/>
    <row r="1045581" customFormat="1"/>
    <row r="1045582" customFormat="1"/>
    <row r="1045583" customFormat="1"/>
    <row r="1045584" customFormat="1"/>
    <row r="1045585" customFormat="1"/>
    <row r="1045586" customFormat="1"/>
    <row r="1045587" customFormat="1"/>
    <row r="1045588" customFormat="1"/>
    <row r="1045589" customFormat="1"/>
    <row r="1045590" customFormat="1"/>
    <row r="1045591" customFormat="1"/>
    <row r="1045592" customFormat="1"/>
    <row r="1045593" customFormat="1"/>
    <row r="1045594" customFormat="1"/>
    <row r="1045595" customFormat="1"/>
    <row r="1045596" customFormat="1"/>
    <row r="1045597" customFormat="1"/>
    <row r="1045598" customFormat="1"/>
    <row r="1045599" customFormat="1"/>
    <row r="1045600" customFormat="1"/>
    <row r="1045601" customFormat="1"/>
    <row r="1045602" customFormat="1"/>
    <row r="1045603" customFormat="1"/>
    <row r="1045604" customFormat="1"/>
    <row r="1045605" customFormat="1"/>
    <row r="1045606" customFormat="1"/>
    <row r="1045607" customFormat="1"/>
    <row r="1045608" customFormat="1"/>
    <row r="1045609" customFormat="1"/>
    <row r="1045610" customFormat="1"/>
    <row r="1045611" customFormat="1"/>
    <row r="1045612" customFormat="1"/>
    <row r="1045613" customFormat="1"/>
    <row r="1045614" customFormat="1"/>
    <row r="1045615" customFormat="1"/>
    <row r="1045616" customFormat="1"/>
    <row r="1045617" customFormat="1"/>
    <row r="1045618" customFormat="1"/>
    <row r="1045619" customFormat="1"/>
    <row r="1045620" customFormat="1"/>
    <row r="1045621" customFormat="1"/>
    <row r="1045622" customFormat="1"/>
    <row r="1045623" customFormat="1"/>
    <row r="1045624" customFormat="1"/>
    <row r="1045625" customFormat="1"/>
    <row r="1045626" customFormat="1"/>
    <row r="1045627" customFormat="1"/>
    <row r="1045628" customFormat="1"/>
    <row r="1045629" customFormat="1"/>
    <row r="1045630" customFormat="1"/>
    <row r="1045631" customFormat="1"/>
    <row r="1045632" customFormat="1"/>
    <row r="1045633" customFormat="1"/>
    <row r="1045634" customFormat="1"/>
    <row r="1045635" customFormat="1"/>
    <row r="1045636" customFormat="1"/>
    <row r="1045637" customFormat="1"/>
    <row r="1045638" customFormat="1"/>
    <row r="1045639" customFormat="1"/>
    <row r="1045640" customFormat="1"/>
    <row r="1045641" customFormat="1"/>
    <row r="1045642" customFormat="1"/>
    <row r="1045643" customFormat="1"/>
    <row r="1045644" customFormat="1"/>
    <row r="1045645" customFormat="1"/>
    <row r="1045646" customFormat="1"/>
    <row r="1045647" customFormat="1"/>
    <row r="1045648" customFormat="1"/>
    <row r="1045649" customFormat="1"/>
    <row r="1045650" customFormat="1"/>
    <row r="1045651" customFormat="1"/>
    <row r="1045652" customFormat="1"/>
    <row r="1045653" customFormat="1"/>
    <row r="1045654" customFormat="1"/>
    <row r="1045655" customFormat="1"/>
    <row r="1045656" customFormat="1"/>
    <row r="1045657" customFormat="1"/>
    <row r="1045658" customFormat="1"/>
    <row r="1045659" customFormat="1"/>
    <row r="1045660" customFormat="1"/>
    <row r="1045661" customFormat="1"/>
    <row r="1045662" customFormat="1"/>
    <row r="1045663" customFormat="1"/>
    <row r="1045664" customFormat="1"/>
    <row r="1045665" customFormat="1"/>
    <row r="1045666" customFormat="1"/>
    <row r="1045667" customFormat="1"/>
    <row r="1045668" customFormat="1"/>
    <row r="1045669" customFormat="1"/>
    <row r="1045670" customFormat="1"/>
    <row r="1045671" customFormat="1"/>
    <row r="1045672" customFormat="1"/>
    <row r="1045673" customFormat="1"/>
    <row r="1045674" customFormat="1"/>
    <row r="1045675" customFormat="1"/>
    <row r="1045676" customFormat="1"/>
    <row r="1045677" customFormat="1"/>
    <row r="1045678" customFormat="1"/>
    <row r="1045679" customFormat="1"/>
    <row r="1045680" customFormat="1"/>
    <row r="1045681" customFormat="1"/>
    <row r="1045682" customFormat="1"/>
    <row r="1045683" customFormat="1"/>
    <row r="1045684" customFormat="1"/>
    <row r="1045685" customFormat="1"/>
    <row r="1045686" customFormat="1"/>
    <row r="1045687" customFormat="1"/>
    <row r="1045688" customFormat="1"/>
    <row r="1045689" customFormat="1"/>
    <row r="1045690" customFormat="1"/>
    <row r="1045691" customFormat="1"/>
    <row r="1045692" customFormat="1"/>
    <row r="1045693" customFormat="1"/>
    <row r="1045694" customFormat="1"/>
    <row r="1045695" customFormat="1"/>
    <row r="1045696" customFormat="1"/>
    <row r="1045697" customFormat="1"/>
    <row r="1045698" customFormat="1"/>
    <row r="1045699" customFormat="1"/>
    <row r="1045700" customFormat="1"/>
    <row r="1045701" customFormat="1"/>
    <row r="1045702" customFormat="1"/>
    <row r="1045703" customFormat="1"/>
    <row r="1045704" customFormat="1"/>
    <row r="1045705" customFormat="1"/>
    <row r="1045706" customFormat="1"/>
    <row r="1045707" customFormat="1"/>
    <row r="1045708" customFormat="1"/>
    <row r="1045709" customFormat="1"/>
    <row r="1045710" customFormat="1"/>
    <row r="1045711" customFormat="1"/>
    <row r="1045712" customFormat="1"/>
    <row r="1045713" customFormat="1"/>
    <row r="1045714" customFormat="1"/>
    <row r="1045715" customFormat="1"/>
    <row r="1045716" customFormat="1"/>
    <row r="1045717" customFormat="1"/>
    <row r="1045718" customFormat="1"/>
    <row r="1045719" customFormat="1"/>
    <row r="1045720" customFormat="1"/>
    <row r="1045721" customFormat="1"/>
    <row r="1045722" customFormat="1"/>
    <row r="1045723" customFormat="1"/>
    <row r="1045724" customFormat="1"/>
    <row r="1045725" customFormat="1"/>
    <row r="1045726" customFormat="1"/>
    <row r="1045727" customFormat="1"/>
    <row r="1045728" customFormat="1"/>
    <row r="1045729" customFormat="1"/>
    <row r="1045730" customFormat="1"/>
    <row r="1045731" customFormat="1"/>
    <row r="1045732" customFormat="1"/>
    <row r="1045733" customFormat="1"/>
    <row r="1045734" customFormat="1"/>
    <row r="1045735" customFormat="1"/>
    <row r="1045736" customFormat="1"/>
    <row r="1045737" customFormat="1"/>
    <row r="1045738" customFormat="1"/>
    <row r="1045739" customFormat="1"/>
    <row r="1045740" customFormat="1"/>
    <row r="1045741" customFormat="1"/>
    <row r="1045742" customFormat="1"/>
    <row r="1045743" customFormat="1"/>
    <row r="1045744" customFormat="1"/>
    <row r="1045745" customFormat="1"/>
    <row r="1045746" customFormat="1"/>
    <row r="1045747" customFormat="1"/>
    <row r="1045748" customFormat="1"/>
    <row r="1045749" customFormat="1"/>
    <row r="1045750" customFormat="1"/>
    <row r="1045751" customFormat="1"/>
    <row r="1045752" customFormat="1"/>
    <row r="1045753" customFormat="1"/>
    <row r="1045754" customFormat="1"/>
    <row r="1045755" customFormat="1"/>
    <row r="1045756" customFormat="1"/>
    <row r="1045757" customFormat="1"/>
    <row r="1045758" customFormat="1"/>
    <row r="1045759" customFormat="1"/>
    <row r="1045760" customFormat="1"/>
    <row r="1045761" customFormat="1"/>
    <row r="1045762" customFormat="1"/>
    <row r="1045763" customFormat="1"/>
    <row r="1045764" customFormat="1"/>
    <row r="1045765" customFormat="1"/>
    <row r="1045766" customFormat="1"/>
    <row r="1045767" customFormat="1"/>
    <row r="1045768" customFormat="1"/>
    <row r="1045769" customFormat="1"/>
    <row r="1045770" customFormat="1"/>
    <row r="1045771" customFormat="1"/>
    <row r="1045772" customFormat="1"/>
    <row r="1045773" customFormat="1"/>
    <row r="1045774" customFormat="1"/>
    <row r="1045775" customFormat="1"/>
    <row r="1045776" customFormat="1"/>
    <row r="1045777" customFormat="1"/>
    <row r="1045778" customFormat="1"/>
    <row r="1045779" customFormat="1"/>
    <row r="1045780" customFormat="1"/>
    <row r="1045781" customFormat="1"/>
    <row r="1045782" customFormat="1"/>
    <row r="1045783" customFormat="1"/>
    <row r="1045784" customFormat="1"/>
    <row r="1045785" customFormat="1"/>
    <row r="1045786" customFormat="1"/>
    <row r="1045787" customFormat="1"/>
    <row r="1045788" customFormat="1"/>
    <row r="1045789" customFormat="1"/>
    <row r="1045790" customFormat="1"/>
    <row r="1045791" customFormat="1"/>
    <row r="1045792" customFormat="1"/>
    <row r="1045793" customFormat="1"/>
    <row r="1045794" customFormat="1"/>
    <row r="1045795" customFormat="1"/>
    <row r="1045796" customFormat="1"/>
    <row r="1045797" customFormat="1"/>
    <row r="1045798" customFormat="1"/>
    <row r="1045799" customFormat="1"/>
    <row r="1045800" customFormat="1"/>
    <row r="1045801" customFormat="1"/>
    <row r="1045802" customFormat="1"/>
    <row r="1045803" customFormat="1"/>
    <row r="1045804" customFormat="1"/>
    <row r="1045805" customFormat="1"/>
    <row r="1045806" customFormat="1"/>
    <row r="1045807" customFormat="1"/>
    <row r="1045808" customFormat="1"/>
    <row r="1045809" customFormat="1"/>
    <row r="1045810" customFormat="1"/>
    <row r="1045811" customFormat="1"/>
    <row r="1045812" customFormat="1"/>
    <row r="1045813" customFormat="1"/>
    <row r="1045814" customFormat="1"/>
    <row r="1045815" customFormat="1"/>
    <row r="1045816" customFormat="1"/>
    <row r="1045817" customFormat="1"/>
    <row r="1045818" customFormat="1"/>
    <row r="1045819" customFormat="1"/>
    <row r="1045820" customFormat="1"/>
    <row r="1045821" customFormat="1"/>
    <row r="1045822" customFormat="1"/>
    <row r="1045823" customFormat="1"/>
    <row r="1045824" customFormat="1"/>
    <row r="1045825" customFormat="1"/>
    <row r="1045826" customFormat="1"/>
    <row r="1045827" customFormat="1"/>
    <row r="1045828" customFormat="1"/>
    <row r="1045829" customFormat="1"/>
    <row r="1045830" customFormat="1"/>
    <row r="1045831" customFormat="1"/>
    <row r="1045832" customFormat="1"/>
    <row r="1045833" customFormat="1"/>
    <row r="1045834" customFormat="1"/>
    <row r="1045835" customFormat="1"/>
    <row r="1045836" customFormat="1"/>
    <row r="1045837" customFormat="1"/>
    <row r="1045838" customFormat="1"/>
    <row r="1045839" customFormat="1"/>
    <row r="1045840" customFormat="1"/>
    <row r="1045841" customFormat="1"/>
    <row r="1045842" customFormat="1"/>
    <row r="1045843" customFormat="1"/>
    <row r="1045844" customFormat="1"/>
    <row r="1045845" customFormat="1"/>
    <row r="1045846" customFormat="1"/>
    <row r="1045847" customFormat="1"/>
    <row r="1045848" customFormat="1"/>
    <row r="1045849" customFormat="1"/>
    <row r="1045850" customFormat="1"/>
    <row r="1045851" customFormat="1"/>
    <row r="1045852" customFormat="1"/>
    <row r="1045853" customFormat="1"/>
    <row r="1045854" customFormat="1"/>
    <row r="1045855" customFormat="1"/>
    <row r="1045856" customFormat="1"/>
    <row r="1045857" customFormat="1"/>
    <row r="1045858" customFormat="1"/>
    <row r="1045859" customFormat="1"/>
    <row r="1045860" customFormat="1"/>
    <row r="1045861" customFormat="1"/>
    <row r="1045862" customFormat="1"/>
    <row r="1045863" customFormat="1"/>
    <row r="1045864" customFormat="1"/>
    <row r="1045865" customFormat="1"/>
    <row r="1045866" customFormat="1"/>
    <row r="1045867" customFormat="1"/>
    <row r="1045868" customFormat="1"/>
    <row r="1045869" customFormat="1"/>
    <row r="1045870" customFormat="1"/>
    <row r="1045871" customFormat="1"/>
    <row r="1045872" customFormat="1"/>
    <row r="1045873" customFormat="1"/>
    <row r="1045874" customFormat="1"/>
    <row r="1045875" customFormat="1"/>
    <row r="1045876" customFormat="1"/>
    <row r="1045877" customFormat="1"/>
    <row r="1045878" customFormat="1"/>
    <row r="1045879" customFormat="1"/>
    <row r="1045880" customFormat="1"/>
    <row r="1045881" customFormat="1"/>
    <row r="1045882" customFormat="1"/>
    <row r="1045883" customFormat="1"/>
    <row r="1045884" customFormat="1"/>
    <row r="1045885" customFormat="1"/>
    <row r="1045886" customFormat="1"/>
    <row r="1045887" customFormat="1"/>
    <row r="1045888" customFormat="1"/>
    <row r="1045889" customFormat="1"/>
    <row r="1045890" customFormat="1"/>
    <row r="1045891" customFormat="1"/>
    <row r="1045892" customFormat="1"/>
    <row r="1045893" customFormat="1"/>
    <row r="1045894" customFormat="1"/>
    <row r="1045895" customFormat="1"/>
    <row r="1045896" customFormat="1"/>
    <row r="1045897" customFormat="1"/>
    <row r="1045898" customFormat="1"/>
    <row r="1045899" customFormat="1"/>
    <row r="1045900" customFormat="1"/>
    <row r="1045901" customFormat="1"/>
    <row r="1045902" customFormat="1"/>
    <row r="1045903" customFormat="1"/>
    <row r="1045904" customFormat="1"/>
    <row r="1045905" customFormat="1"/>
    <row r="1045906" customFormat="1"/>
    <row r="1045907" customFormat="1"/>
    <row r="1045908" customFormat="1"/>
    <row r="1045909" customFormat="1"/>
    <row r="1045910" customFormat="1"/>
    <row r="1045911" customFormat="1"/>
    <row r="1045912" customFormat="1"/>
    <row r="1045913" customFormat="1"/>
    <row r="1045914" customFormat="1"/>
    <row r="1045915" customFormat="1"/>
    <row r="1045916" customFormat="1"/>
    <row r="1045917" customFormat="1"/>
    <row r="1045918" customFormat="1"/>
    <row r="1045919" customFormat="1"/>
    <row r="1045920" customFormat="1"/>
    <row r="1045921" customFormat="1"/>
    <row r="1045922" customFormat="1"/>
    <row r="1045923" customFormat="1"/>
    <row r="1045924" customFormat="1"/>
    <row r="1045925" customFormat="1"/>
    <row r="1045926" customFormat="1"/>
    <row r="1045927" customFormat="1"/>
    <row r="1045928" customFormat="1"/>
    <row r="1045929" customFormat="1"/>
    <row r="1045930" customFormat="1"/>
    <row r="1045931" customFormat="1"/>
    <row r="1045932" customFormat="1"/>
    <row r="1045933" customFormat="1"/>
    <row r="1045934" customFormat="1"/>
    <row r="1045935" customFormat="1"/>
    <row r="1045936" customFormat="1"/>
    <row r="1045937" customFormat="1"/>
    <row r="1045938" customFormat="1"/>
    <row r="1045939" customFormat="1"/>
    <row r="1045940" customFormat="1"/>
    <row r="1045941" customFormat="1"/>
    <row r="1045942" customFormat="1"/>
    <row r="1045943" customFormat="1"/>
    <row r="1045944" customFormat="1"/>
    <row r="1045945" customFormat="1"/>
    <row r="1045946" customFormat="1"/>
    <row r="1045947" customFormat="1"/>
    <row r="1045948" customFormat="1"/>
    <row r="1045949" customFormat="1"/>
    <row r="1045950" customFormat="1"/>
    <row r="1045951" customFormat="1"/>
    <row r="1045952" customFormat="1"/>
    <row r="1045953" customFormat="1"/>
    <row r="1045954" customFormat="1"/>
    <row r="1045955" customFormat="1"/>
    <row r="1045956" customFormat="1"/>
    <row r="1045957" customFormat="1"/>
    <row r="1045958" customFormat="1"/>
    <row r="1045959" customFormat="1"/>
    <row r="1045960" customFormat="1"/>
    <row r="1045961" customFormat="1"/>
    <row r="1045962" customFormat="1"/>
    <row r="1045963" customFormat="1"/>
    <row r="1045964" customFormat="1"/>
    <row r="1045965" customFormat="1"/>
    <row r="1045966" customFormat="1"/>
    <row r="1045967" customFormat="1"/>
    <row r="1045968" customFormat="1"/>
    <row r="1045969" customFormat="1"/>
    <row r="1045970" customFormat="1"/>
    <row r="1045971" customFormat="1"/>
    <row r="1045972" customFormat="1"/>
    <row r="1045973" customFormat="1"/>
    <row r="1045974" customFormat="1"/>
    <row r="1045975" customFormat="1"/>
    <row r="1045976" customFormat="1"/>
    <row r="1045977" customFormat="1"/>
    <row r="1045978" customFormat="1"/>
    <row r="1045979" customFormat="1"/>
    <row r="1045980" customFormat="1"/>
    <row r="1045981" customFormat="1"/>
    <row r="1045982" customFormat="1"/>
    <row r="1045983" customFormat="1"/>
    <row r="1045984" customFormat="1"/>
    <row r="1045985" customFormat="1"/>
    <row r="1045986" customFormat="1"/>
    <row r="1045987" customFormat="1"/>
    <row r="1045988" customFormat="1"/>
    <row r="1045989" customFormat="1"/>
    <row r="1045990" customFormat="1"/>
    <row r="1045991" customFormat="1"/>
    <row r="1045992" customFormat="1"/>
    <row r="1045993" customFormat="1"/>
    <row r="1045994" customFormat="1"/>
    <row r="1045995" customFormat="1"/>
    <row r="1045996" customFormat="1"/>
    <row r="1045997" customFormat="1"/>
    <row r="1045998" customFormat="1"/>
    <row r="1045999" customFormat="1"/>
    <row r="1046000" customFormat="1"/>
    <row r="1046001" customFormat="1"/>
    <row r="1046002" customFormat="1"/>
    <row r="1046003" customFormat="1"/>
    <row r="1046004" customFormat="1"/>
    <row r="1046005" customFormat="1"/>
    <row r="1046006" customFormat="1"/>
    <row r="1046007" customFormat="1"/>
    <row r="1046008" customFormat="1"/>
    <row r="1046009" customFormat="1"/>
    <row r="1046010" customFormat="1"/>
    <row r="1046011" customFormat="1"/>
    <row r="1046012" customFormat="1"/>
    <row r="1046013" customFormat="1"/>
    <row r="1046014" customFormat="1"/>
    <row r="1046015" customFormat="1"/>
    <row r="1046016" customFormat="1"/>
    <row r="1046017" customFormat="1"/>
    <row r="1046018" customFormat="1"/>
    <row r="1046019" customFormat="1"/>
    <row r="1046020" customFormat="1"/>
    <row r="1046021" customFormat="1"/>
    <row r="1046022" customFormat="1"/>
    <row r="1046023" customFormat="1"/>
    <row r="1046024" customFormat="1"/>
    <row r="1046025" customFormat="1"/>
    <row r="1046026" customFormat="1"/>
    <row r="1046027" customFormat="1"/>
    <row r="1046028" customFormat="1"/>
    <row r="1046029" customFormat="1"/>
    <row r="1046030" customFormat="1"/>
    <row r="1046031" customFormat="1"/>
    <row r="1046032" customFormat="1"/>
    <row r="1046033" customFormat="1"/>
    <row r="1046034" customFormat="1"/>
    <row r="1046035" customFormat="1"/>
    <row r="1046036" customFormat="1"/>
    <row r="1046037" customFormat="1"/>
    <row r="1046038" customFormat="1"/>
    <row r="1046039" customFormat="1"/>
    <row r="1046040" customFormat="1"/>
    <row r="1046041" customFormat="1"/>
    <row r="1046042" customFormat="1"/>
    <row r="1046043" customFormat="1"/>
    <row r="1046044" customFormat="1"/>
    <row r="1046045" customFormat="1"/>
    <row r="1046046" customFormat="1"/>
    <row r="1046047" customFormat="1"/>
    <row r="1046048" customFormat="1"/>
    <row r="1046049" customFormat="1"/>
    <row r="1046050" customFormat="1"/>
    <row r="1046051" customFormat="1"/>
    <row r="1046052" customFormat="1"/>
    <row r="1046053" customFormat="1"/>
    <row r="1046054" customFormat="1"/>
    <row r="1046055" customFormat="1"/>
    <row r="1046056" customFormat="1"/>
    <row r="1046057" customFormat="1"/>
    <row r="1046058" customFormat="1"/>
    <row r="1046059" customFormat="1"/>
    <row r="1046060" customFormat="1"/>
    <row r="1046061" customFormat="1"/>
    <row r="1046062" customFormat="1"/>
    <row r="1046063" customFormat="1"/>
    <row r="1046064" customFormat="1"/>
    <row r="1046065" customFormat="1"/>
    <row r="1046066" customFormat="1"/>
    <row r="1046067" customFormat="1"/>
    <row r="1046068" customFormat="1"/>
    <row r="1046069" customFormat="1"/>
    <row r="1046070" customFormat="1"/>
    <row r="1046071" customFormat="1"/>
    <row r="1046072" customFormat="1"/>
    <row r="1046073" customFormat="1"/>
    <row r="1046074" customFormat="1"/>
    <row r="1046075" customFormat="1"/>
    <row r="1046076" customFormat="1"/>
    <row r="1046077" customFormat="1"/>
    <row r="1046078" customFormat="1"/>
    <row r="1046079" customFormat="1"/>
    <row r="1046080" customFormat="1"/>
    <row r="1046081" customFormat="1"/>
    <row r="1046082" customFormat="1"/>
    <row r="1046083" customFormat="1"/>
    <row r="1046084" customFormat="1"/>
    <row r="1046085" customFormat="1"/>
    <row r="1046086" customFormat="1"/>
    <row r="1046087" customFormat="1"/>
    <row r="1046088" customFormat="1"/>
    <row r="1046089" customFormat="1"/>
    <row r="1046090" customFormat="1"/>
    <row r="1046091" customFormat="1"/>
    <row r="1046092" customFormat="1"/>
    <row r="1046093" customFormat="1"/>
    <row r="1046094" customFormat="1"/>
    <row r="1046095" customFormat="1"/>
    <row r="1046096" customFormat="1"/>
    <row r="1046097" customFormat="1"/>
    <row r="1046098" customFormat="1"/>
    <row r="1046099" customFormat="1"/>
    <row r="1046100" customFormat="1"/>
    <row r="1046101" customFormat="1"/>
    <row r="1046102" customFormat="1"/>
    <row r="1046103" customFormat="1"/>
    <row r="1046104" customFormat="1"/>
    <row r="1046105" customFormat="1"/>
    <row r="1046106" customFormat="1"/>
    <row r="1046107" customFormat="1"/>
    <row r="1046108" customFormat="1"/>
    <row r="1046109" customFormat="1"/>
    <row r="1046110" customFormat="1"/>
    <row r="1046111" customFormat="1"/>
    <row r="1046112" customFormat="1"/>
    <row r="1046113" customFormat="1"/>
    <row r="1046114" customFormat="1"/>
    <row r="1046115" customFormat="1"/>
    <row r="1046116" customFormat="1"/>
    <row r="1046117" customFormat="1"/>
    <row r="1046118" customFormat="1"/>
    <row r="1046119" customFormat="1"/>
    <row r="1046120" customFormat="1"/>
    <row r="1046121" customFormat="1"/>
    <row r="1046122" customFormat="1"/>
    <row r="1046123" customFormat="1"/>
    <row r="1046124" customFormat="1"/>
    <row r="1046125" customFormat="1"/>
    <row r="1046126" customFormat="1"/>
    <row r="1046127" customFormat="1"/>
    <row r="1046128" customFormat="1"/>
    <row r="1046129" customFormat="1"/>
    <row r="1046130" customFormat="1"/>
    <row r="1046131" customFormat="1"/>
    <row r="1046132" customFormat="1"/>
    <row r="1046133" customFormat="1"/>
    <row r="1046134" customFormat="1"/>
    <row r="1046135" customFormat="1"/>
    <row r="1046136" customFormat="1"/>
    <row r="1046137" customFormat="1"/>
    <row r="1046138" customFormat="1"/>
    <row r="1046139" customFormat="1"/>
    <row r="1046140" customFormat="1"/>
    <row r="1046141" customFormat="1"/>
    <row r="1046142" customFormat="1"/>
    <row r="1046143" customFormat="1"/>
    <row r="1046144" customFormat="1"/>
    <row r="1046145" customFormat="1"/>
    <row r="1046146" customFormat="1"/>
    <row r="1046147" customFormat="1"/>
    <row r="1046148" customFormat="1"/>
    <row r="1046149" customFormat="1"/>
    <row r="1046150" customFormat="1"/>
    <row r="1046151" customFormat="1"/>
    <row r="1046152" customFormat="1"/>
    <row r="1046153" customFormat="1"/>
    <row r="1046154" customFormat="1"/>
    <row r="1046155" customFormat="1"/>
    <row r="1046156" customFormat="1"/>
    <row r="1046157" customFormat="1"/>
    <row r="1046158" customFormat="1"/>
    <row r="1046159" customFormat="1"/>
    <row r="1046160" customFormat="1"/>
    <row r="1046161" customFormat="1"/>
    <row r="1046162" customFormat="1"/>
    <row r="1046163" customFormat="1"/>
    <row r="1046164" customFormat="1"/>
    <row r="1046165" customFormat="1"/>
    <row r="1046166" customFormat="1"/>
    <row r="1046167" customFormat="1"/>
    <row r="1046168" customFormat="1"/>
    <row r="1046169" customFormat="1"/>
    <row r="1046170" customFormat="1"/>
    <row r="1046171" customFormat="1"/>
    <row r="1046172" customFormat="1"/>
    <row r="1046173" customFormat="1"/>
    <row r="1046174" customFormat="1"/>
    <row r="1046175" customFormat="1"/>
    <row r="1046176" customFormat="1"/>
    <row r="1046177" customFormat="1"/>
    <row r="1046178" customFormat="1"/>
    <row r="1046179" customFormat="1"/>
    <row r="1046180" customFormat="1"/>
    <row r="1046181" customFormat="1"/>
    <row r="1046182" customFormat="1"/>
    <row r="1046183" customFormat="1"/>
    <row r="1046184" customFormat="1"/>
    <row r="1046185" customFormat="1"/>
    <row r="1046186" customFormat="1"/>
    <row r="1046187" customFormat="1"/>
    <row r="1046188" customFormat="1"/>
    <row r="1046189" customFormat="1"/>
    <row r="1046190" customFormat="1"/>
    <row r="1046191" customFormat="1"/>
    <row r="1046192" customFormat="1"/>
    <row r="1046193" customFormat="1"/>
    <row r="1046194" customFormat="1"/>
    <row r="1046195" customFormat="1"/>
    <row r="1046196" customFormat="1"/>
    <row r="1046197" customFormat="1"/>
    <row r="1046198" customFormat="1"/>
    <row r="1046199" customFormat="1"/>
    <row r="1046200" customFormat="1"/>
    <row r="1046201" customFormat="1"/>
    <row r="1046202" customFormat="1"/>
    <row r="1046203" customFormat="1"/>
    <row r="1046204" customFormat="1"/>
    <row r="1046205" customFormat="1"/>
    <row r="1046206" customFormat="1"/>
    <row r="1046207" customFormat="1"/>
    <row r="1046208" customFormat="1"/>
    <row r="1046209" customFormat="1"/>
    <row r="1046210" customFormat="1"/>
    <row r="1046211" customFormat="1"/>
    <row r="1046212" customFormat="1"/>
    <row r="1046213" customFormat="1"/>
    <row r="1046214" customFormat="1"/>
    <row r="1046215" customFormat="1"/>
    <row r="1046216" customFormat="1"/>
    <row r="1046217" customFormat="1"/>
    <row r="1046218" customFormat="1"/>
    <row r="1046219" customFormat="1"/>
    <row r="1046220" customFormat="1"/>
    <row r="1046221" customFormat="1"/>
    <row r="1046222" customFormat="1"/>
    <row r="1046223" customFormat="1"/>
    <row r="1046224" customFormat="1"/>
    <row r="1046225" customFormat="1"/>
    <row r="1046226" customFormat="1"/>
    <row r="1046227" customFormat="1"/>
    <row r="1046228" customFormat="1"/>
    <row r="1046229" customFormat="1"/>
    <row r="1046230" customFormat="1"/>
    <row r="1046231" customFormat="1"/>
    <row r="1046232" customFormat="1"/>
    <row r="1046233" customFormat="1"/>
    <row r="1046234" customFormat="1"/>
    <row r="1046235" customFormat="1"/>
    <row r="1046236" customFormat="1"/>
    <row r="1046237" customFormat="1"/>
    <row r="1046238" customFormat="1"/>
    <row r="1046239" customFormat="1"/>
    <row r="1046240" customFormat="1"/>
    <row r="1046241" customFormat="1"/>
    <row r="1046242" customFormat="1"/>
    <row r="1046243" customFormat="1"/>
    <row r="1046244" customFormat="1"/>
    <row r="1046245" customFormat="1"/>
    <row r="1046246" customFormat="1"/>
    <row r="1046247" customFormat="1"/>
    <row r="1046248" customFormat="1"/>
    <row r="1046249" customFormat="1"/>
    <row r="1046250" customFormat="1"/>
    <row r="1046251" customFormat="1"/>
    <row r="1046252" customFormat="1"/>
    <row r="1046253" customFormat="1"/>
    <row r="1046254" customFormat="1"/>
    <row r="1046255" customFormat="1"/>
    <row r="1046256" customFormat="1"/>
    <row r="1046257" customFormat="1"/>
    <row r="1046258" customFormat="1"/>
    <row r="1046259" customFormat="1"/>
    <row r="1046260" customFormat="1"/>
    <row r="1046261" customFormat="1"/>
    <row r="1046262" customFormat="1"/>
    <row r="1046263" customFormat="1"/>
    <row r="1046264" customFormat="1"/>
    <row r="1046265" customFormat="1"/>
    <row r="1046266" customFormat="1"/>
    <row r="1046267" customFormat="1"/>
    <row r="1046268" customFormat="1"/>
    <row r="1046269" customFormat="1"/>
    <row r="1046270" customFormat="1"/>
    <row r="1046271" customFormat="1"/>
    <row r="1046272" customFormat="1"/>
    <row r="1046273" customFormat="1"/>
    <row r="1046274" customFormat="1"/>
    <row r="1046275" customFormat="1"/>
    <row r="1046276" customFormat="1"/>
    <row r="1046277" customFormat="1"/>
    <row r="1046278" customFormat="1"/>
    <row r="1046279" customFormat="1"/>
    <row r="1046280" customFormat="1"/>
    <row r="1046281" customFormat="1"/>
    <row r="1046282" customFormat="1"/>
    <row r="1046283" customFormat="1"/>
    <row r="1046284" customFormat="1"/>
    <row r="1046285" customFormat="1"/>
    <row r="1046286" customFormat="1"/>
    <row r="1046287" customFormat="1"/>
    <row r="1046288" customFormat="1"/>
    <row r="1046289" customFormat="1"/>
    <row r="1046290" customFormat="1"/>
    <row r="1046291" customFormat="1"/>
    <row r="1046292" customFormat="1"/>
    <row r="1046293" customFormat="1"/>
    <row r="1046294" customFormat="1"/>
    <row r="1046295" customFormat="1"/>
    <row r="1046296" customFormat="1"/>
    <row r="1046297" customFormat="1"/>
    <row r="1046298" customFormat="1"/>
    <row r="1046299" customFormat="1"/>
    <row r="1046300" customFormat="1"/>
    <row r="1046301" customFormat="1"/>
    <row r="1046302" customFormat="1"/>
    <row r="1046303" customFormat="1"/>
    <row r="1046304" customFormat="1"/>
    <row r="1046305" customFormat="1"/>
    <row r="1046306" customFormat="1"/>
    <row r="1046307" customFormat="1"/>
    <row r="1046308" customFormat="1"/>
    <row r="1046309" customFormat="1"/>
    <row r="1046310" customFormat="1"/>
    <row r="1046311" customFormat="1"/>
    <row r="1046312" customFormat="1"/>
    <row r="1046313" customFormat="1"/>
    <row r="1046314" customFormat="1"/>
    <row r="1046315" customFormat="1"/>
    <row r="1046316" customFormat="1"/>
    <row r="1046317" customFormat="1"/>
    <row r="1046318" customFormat="1"/>
    <row r="1046319" customFormat="1"/>
    <row r="1046320" customFormat="1"/>
    <row r="1046321" customFormat="1"/>
    <row r="1046322" customFormat="1"/>
    <row r="1046323" customFormat="1"/>
    <row r="1046324" customFormat="1"/>
    <row r="1046325" customFormat="1"/>
    <row r="1046326" customFormat="1"/>
    <row r="1046327" customFormat="1"/>
    <row r="1046328" customFormat="1"/>
    <row r="1046329" customFormat="1"/>
    <row r="1046330" customFormat="1"/>
    <row r="1046331" customFormat="1"/>
    <row r="1046332" customFormat="1"/>
    <row r="1046333" customFormat="1"/>
    <row r="1046334" customFormat="1"/>
    <row r="1046335" customFormat="1"/>
    <row r="1046336" customFormat="1"/>
    <row r="1046337" customFormat="1"/>
    <row r="1046338" customFormat="1"/>
    <row r="1046339" customFormat="1"/>
    <row r="1046340" customFormat="1"/>
    <row r="1046341" customFormat="1"/>
    <row r="1046342" customFormat="1"/>
    <row r="1046343" customFormat="1"/>
    <row r="1046344" customFormat="1"/>
    <row r="1046345" customFormat="1"/>
    <row r="1046346" customFormat="1"/>
    <row r="1046347" customFormat="1"/>
    <row r="1046348" customFormat="1"/>
    <row r="1046349" customFormat="1"/>
    <row r="1046350" customFormat="1"/>
    <row r="1046351" customFormat="1"/>
    <row r="1046352" customFormat="1"/>
    <row r="1046353" customFormat="1"/>
    <row r="1046354" customFormat="1"/>
    <row r="1046355" customFormat="1"/>
    <row r="1046356" customFormat="1"/>
    <row r="1046357" customFormat="1"/>
    <row r="1046358" customFormat="1"/>
    <row r="1046359" customFormat="1"/>
    <row r="1046360" customFormat="1"/>
    <row r="1046361" customFormat="1"/>
    <row r="1046362" customFormat="1"/>
    <row r="1046363" customFormat="1"/>
    <row r="1046364" customFormat="1"/>
    <row r="1046365" customFormat="1"/>
    <row r="1046366" customFormat="1"/>
    <row r="1046367" customFormat="1"/>
    <row r="1046368" customFormat="1"/>
    <row r="1046369" customFormat="1"/>
    <row r="1046370" customFormat="1"/>
    <row r="1046371" customFormat="1"/>
    <row r="1046372" customFormat="1"/>
    <row r="1046373" customFormat="1"/>
    <row r="1046374" customFormat="1"/>
    <row r="1046375" customFormat="1"/>
    <row r="1046376" customFormat="1"/>
    <row r="1046377" customFormat="1"/>
    <row r="1046378" customFormat="1"/>
    <row r="1046379" customFormat="1"/>
    <row r="1046380" customFormat="1"/>
    <row r="1046381" customFormat="1"/>
    <row r="1046382" customFormat="1"/>
    <row r="1046383" customFormat="1"/>
    <row r="1046384" customFormat="1"/>
    <row r="1046385" customFormat="1"/>
    <row r="1046386" customFormat="1"/>
    <row r="1046387" customFormat="1"/>
    <row r="1046388" customFormat="1"/>
    <row r="1046389" customFormat="1"/>
    <row r="1046390" customFormat="1"/>
    <row r="1046391" customFormat="1"/>
    <row r="1046392" customFormat="1"/>
    <row r="1046393" customFormat="1"/>
    <row r="1046394" customFormat="1"/>
    <row r="1046395" customFormat="1"/>
    <row r="1046396" customFormat="1"/>
    <row r="1046397" customFormat="1"/>
    <row r="1046398" customFormat="1"/>
    <row r="1046399" customFormat="1"/>
    <row r="1046400" customFormat="1"/>
    <row r="1046401" customFormat="1"/>
    <row r="1046402" customFormat="1"/>
    <row r="1046403" customFormat="1"/>
    <row r="1046404" customFormat="1"/>
    <row r="1046405" customFormat="1"/>
    <row r="1046406" customFormat="1"/>
    <row r="1046407" customFormat="1"/>
    <row r="1046408" customFormat="1"/>
    <row r="1046409" customFormat="1"/>
    <row r="1046410" customFormat="1"/>
    <row r="1046411" customFormat="1"/>
    <row r="1046412" customFormat="1"/>
    <row r="1046413" customFormat="1"/>
    <row r="1046414" customFormat="1"/>
    <row r="1046415" customFormat="1"/>
    <row r="1046416" customFormat="1"/>
    <row r="1046417" customFormat="1"/>
    <row r="1046418" customFormat="1"/>
    <row r="1046419" customFormat="1"/>
    <row r="1046420" customFormat="1"/>
    <row r="1046421" customFormat="1"/>
    <row r="1046422" customFormat="1"/>
    <row r="1046423" customFormat="1"/>
    <row r="1046424" customFormat="1"/>
    <row r="1046425" customFormat="1"/>
    <row r="1046426" customFormat="1"/>
    <row r="1046427" customFormat="1"/>
    <row r="1046428" customFormat="1"/>
    <row r="1046429" customFormat="1"/>
    <row r="1046430" customFormat="1"/>
    <row r="1046431" customFormat="1"/>
    <row r="1046432" customFormat="1"/>
    <row r="1046433" customFormat="1"/>
    <row r="1046434" customFormat="1"/>
    <row r="1046435" customFormat="1"/>
    <row r="1046436" customFormat="1"/>
    <row r="1046437" customFormat="1"/>
    <row r="1046438" customFormat="1"/>
    <row r="1046439" customFormat="1"/>
    <row r="1046440" customFormat="1"/>
    <row r="1046441" customFormat="1"/>
    <row r="1046442" customFormat="1"/>
    <row r="1046443" customFormat="1"/>
    <row r="1046444" customFormat="1"/>
    <row r="1046445" customFormat="1"/>
    <row r="1046446" customFormat="1"/>
    <row r="1046447" customFormat="1"/>
    <row r="1046448" customFormat="1"/>
    <row r="1046449" customFormat="1"/>
    <row r="1046450" customFormat="1"/>
    <row r="1046451" customFormat="1"/>
    <row r="1046452" customFormat="1"/>
    <row r="1046453" customFormat="1"/>
    <row r="1046454" customFormat="1"/>
    <row r="1046455" customFormat="1"/>
    <row r="1046456" customFormat="1"/>
    <row r="1046457" customFormat="1"/>
    <row r="1046458" customFormat="1"/>
    <row r="1046459" customFormat="1"/>
    <row r="1046460" customFormat="1"/>
    <row r="1046461" customFormat="1"/>
    <row r="1046462" customFormat="1"/>
    <row r="1046463" customFormat="1"/>
    <row r="1046464" customFormat="1"/>
    <row r="1046465" customFormat="1"/>
    <row r="1046466" customFormat="1"/>
    <row r="1046467" customFormat="1"/>
    <row r="1046468" customFormat="1"/>
    <row r="1046469" customFormat="1"/>
    <row r="1046470" customFormat="1"/>
    <row r="1046471" customFormat="1"/>
    <row r="1046472" customFormat="1"/>
    <row r="1046473" customFormat="1"/>
    <row r="1046474" customFormat="1"/>
    <row r="1046475" customFormat="1"/>
    <row r="1046476" customFormat="1"/>
    <row r="1046477" customFormat="1"/>
    <row r="1046478" customFormat="1"/>
    <row r="1046479" customFormat="1"/>
    <row r="1046480" customFormat="1"/>
    <row r="1046481" customFormat="1"/>
    <row r="1046482" customFormat="1"/>
    <row r="1046483" customFormat="1"/>
    <row r="1046484" customFormat="1"/>
    <row r="1046485" customFormat="1"/>
    <row r="1046486" customFormat="1"/>
    <row r="1046487" customFormat="1"/>
    <row r="1046488" customFormat="1"/>
    <row r="1046489" customFormat="1"/>
    <row r="1046490" customFormat="1"/>
    <row r="1046491" customFormat="1"/>
    <row r="1046492" customFormat="1"/>
    <row r="1046493" customFormat="1"/>
    <row r="1046494" customFormat="1"/>
    <row r="1046495" customFormat="1"/>
    <row r="1046496" customFormat="1"/>
    <row r="1046497" customFormat="1"/>
    <row r="1046498" customFormat="1"/>
    <row r="1046499" customFormat="1"/>
    <row r="1046500" customFormat="1"/>
    <row r="1046501" customFormat="1"/>
    <row r="1046502" customFormat="1"/>
    <row r="1046503" customFormat="1"/>
    <row r="1046504" customFormat="1"/>
    <row r="1046505" customFormat="1"/>
    <row r="1046506" customFormat="1"/>
    <row r="1046507" customFormat="1"/>
    <row r="1046508" customFormat="1"/>
    <row r="1046509" customFormat="1"/>
    <row r="1046510" customFormat="1"/>
    <row r="1046511" customFormat="1"/>
    <row r="1046512" customFormat="1"/>
    <row r="1046513" customFormat="1"/>
    <row r="1046514" customFormat="1"/>
    <row r="1046515" customFormat="1"/>
    <row r="1046516" customFormat="1"/>
    <row r="1046517" customFormat="1"/>
    <row r="1046518" customFormat="1"/>
    <row r="1046519" customFormat="1"/>
    <row r="1046520" customFormat="1"/>
    <row r="1046521" customFormat="1"/>
    <row r="1046522" customFormat="1"/>
    <row r="1046523" customFormat="1"/>
    <row r="1046524" customFormat="1"/>
    <row r="1046525" customFormat="1"/>
    <row r="1046526" customFormat="1"/>
    <row r="1046527" customFormat="1"/>
    <row r="1046528" customFormat="1"/>
    <row r="1046529" customFormat="1"/>
    <row r="1046530" customFormat="1"/>
    <row r="1046531" customFormat="1"/>
    <row r="1046532" customFormat="1"/>
    <row r="1046533" customFormat="1"/>
    <row r="1046534" customFormat="1"/>
    <row r="1046535" customFormat="1"/>
    <row r="1046536" customFormat="1"/>
    <row r="1046537" customFormat="1"/>
    <row r="1046538" customFormat="1"/>
    <row r="1046539" customFormat="1"/>
    <row r="1046540" customFormat="1"/>
    <row r="1046541" customFormat="1"/>
    <row r="1046542" customFormat="1"/>
    <row r="1046543" customFormat="1"/>
    <row r="1046544" customFormat="1"/>
    <row r="1046545" customFormat="1"/>
    <row r="1046546" customFormat="1"/>
    <row r="1046547" customFormat="1"/>
    <row r="1046548" customFormat="1"/>
    <row r="1046549" customFormat="1"/>
    <row r="1046550" customFormat="1"/>
    <row r="1046551" customFormat="1"/>
    <row r="1046552" customFormat="1"/>
    <row r="1046553" customFormat="1"/>
    <row r="1046554" customFormat="1"/>
    <row r="1046555" customFormat="1"/>
    <row r="1046556" customFormat="1"/>
    <row r="1046557" customFormat="1"/>
    <row r="1046558" customFormat="1"/>
    <row r="1046559" customFormat="1"/>
    <row r="1046560" customFormat="1"/>
    <row r="1046561" customFormat="1"/>
    <row r="1046562" customFormat="1"/>
    <row r="1046563" customFormat="1"/>
    <row r="1046564" customFormat="1"/>
    <row r="1046565" customFormat="1"/>
    <row r="1046566" customFormat="1"/>
    <row r="1046567" customFormat="1"/>
    <row r="1046568" customFormat="1"/>
    <row r="1046569" customFormat="1"/>
    <row r="1046570" customFormat="1"/>
    <row r="1046571" customFormat="1"/>
    <row r="1046572" customFormat="1"/>
    <row r="1046573" customFormat="1"/>
    <row r="1046574" customFormat="1"/>
    <row r="1046575" customFormat="1"/>
    <row r="1046576" customFormat="1"/>
    <row r="1046577" customFormat="1"/>
    <row r="1046578" customFormat="1"/>
    <row r="1046579" customFormat="1"/>
    <row r="1046580" customFormat="1"/>
    <row r="1046581" customFormat="1"/>
    <row r="1046582" customFormat="1"/>
    <row r="1046583" customFormat="1"/>
    <row r="1046584" customFormat="1"/>
    <row r="1046585" customFormat="1"/>
    <row r="1046586" customFormat="1"/>
    <row r="1046587" customFormat="1"/>
    <row r="1046588" customFormat="1"/>
    <row r="1046589" customFormat="1"/>
    <row r="1046590" customFormat="1"/>
    <row r="1046591" customFormat="1"/>
    <row r="1046592" customFormat="1"/>
    <row r="1046593" customFormat="1"/>
    <row r="1046594" customFormat="1"/>
    <row r="1046595" customFormat="1"/>
    <row r="1046596" customFormat="1"/>
    <row r="1046597" customFormat="1"/>
    <row r="1046598" customFormat="1"/>
    <row r="1046599" customFormat="1"/>
    <row r="1046600" customFormat="1"/>
    <row r="1046601" customFormat="1"/>
    <row r="1046602" customFormat="1"/>
    <row r="1046603" customFormat="1"/>
    <row r="1046604" customFormat="1"/>
    <row r="1046605" customFormat="1"/>
    <row r="1046606" customFormat="1"/>
    <row r="1046607" customFormat="1"/>
    <row r="1046608" customFormat="1"/>
    <row r="1046609" customFormat="1"/>
    <row r="1046610" customFormat="1"/>
    <row r="1046611" customFormat="1"/>
    <row r="1046612" customFormat="1"/>
    <row r="1046613" customFormat="1"/>
    <row r="1046614" customFormat="1"/>
    <row r="1046615" customFormat="1"/>
    <row r="1046616" customFormat="1"/>
    <row r="1046617" customFormat="1"/>
    <row r="1046618" customFormat="1"/>
    <row r="1046619" customFormat="1"/>
    <row r="1046620" customFormat="1"/>
    <row r="1046621" customFormat="1"/>
    <row r="1046622" customFormat="1"/>
    <row r="1046623" customFormat="1"/>
    <row r="1046624" customFormat="1"/>
    <row r="1046625" customFormat="1"/>
    <row r="1046626" customFormat="1"/>
    <row r="1046627" customFormat="1"/>
    <row r="1046628" customFormat="1"/>
    <row r="1046629" customFormat="1"/>
    <row r="1046630" customFormat="1"/>
    <row r="1046631" customFormat="1"/>
    <row r="1046632" customFormat="1"/>
    <row r="1046633" customFormat="1"/>
    <row r="1046634" customFormat="1"/>
    <row r="1046635" customFormat="1"/>
    <row r="1046636" customFormat="1"/>
    <row r="1046637" customFormat="1"/>
    <row r="1046638" customFormat="1"/>
    <row r="1046639" customFormat="1"/>
    <row r="1046640" customFormat="1"/>
    <row r="1046641" customFormat="1"/>
    <row r="1046642" customFormat="1"/>
    <row r="1046643" customFormat="1"/>
    <row r="1046644" customFormat="1"/>
    <row r="1046645" customFormat="1"/>
    <row r="1046646" customFormat="1"/>
    <row r="1046647" customFormat="1"/>
    <row r="1046648" customFormat="1"/>
    <row r="1046649" customFormat="1"/>
    <row r="1046650" customFormat="1"/>
    <row r="1046651" customFormat="1"/>
    <row r="1046652" customFormat="1"/>
    <row r="1046653" customFormat="1"/>
    <row r="1046654" customFormat="1"/>
    <row r="1046655" customFormat="1"/>
    <row r="1046656" customFormat="1"/>
    <row r="1046657" customFormat="1"/>
    <row r="1046658" customFormat="1"/>
    <row r="1046659" customFormat="1"/>
    <row r="1046660" customFormat="1"/>
    <row r="1046661" customFormat="1"/>
    <row r="1046662" customFormat="1"/>
    <row r="1046663" customFormat="1"/>
    <row r="1046664" customFormat="1"/>
    <row r="1046665" customFormat="1"/>
    <row r="1046666" customFormat="1"/>
    <row r="1046667" customFormat="1"/>
    <row r="1046668" customFormat="1"/>
    <row r="1046669" customFormat="1"/>
    <row r="1046670" customFormat="1"/>
    <row r="1046671" customFormat="1"/>
    <row r="1046672" customFormat="1"/>
    <row r="1046673" customFormat="1"/>
    <row r="1046674" customFormat="1"/>
    <row r="1046675" customFormat="1"/>
    <row r="1046676" customFormat="1"/>
    <row r="1046677" customFormat="1"/>
    <row r="1046678" customFormat="1"/>
    <row r="1046679" customFormat="1"/>
    <row r="1046680" customFormat="1"/>
    <row r="1046681" customFormat="1"/>
    <row r="1046682" customFormat="1"/>
    <row r="1046683" customFormat="1"/>
    <row r="1046684" customFormat="1"/>
    <row r="1046685" customFormat="1"/>
    <row r="1046686" customFormat="1"/>
    <row r="1046687" customFormat="1"/>
    <row r="1046688" customFormat="1"/>
    <row r="1046689" customFormat="1"/>
    <row r="1046690" customFormat="1"/>
    <row r="1046691" customFormat="1"/>
    <row r="1046692" customFormat="1"/>
    <row r="1046693" customFormat="1"/>
    <row r="1046694" customFormat="1"/>
    <row r="1046695" customFormat="1"/>
    <row r="1046696" customFormat="1"/>
    <row r="1046697" customFormat="1"/>
    <row r="1046698" customFormat="1"/>
    <row r="1046699" customFormat="1"/>
    <row r="1046700" customFormat="1"/>
    <row r="1046701" customFormat="1"/>
    <row r="1046702" customFormat="1"/>
    <row r="1046703" customFormat="1"/>
    <row r="1046704" customFormat="1"/>
    <row r="1046705" customFormat="1"/>
    <row r="1046706" customFormat="1"/>
    <row r="1046707" customFormat="1"/>
    <row r="1046708" customFormat="1"/>
    <row r="1046709" customFormat="1"/>
    <row r="1046710" customFormat="1"/>
    <row r="1046711" customFormat="1"/>
    <row r="1046712" customFormat="1"/>
    <row r="1046713" customFormat="1"/>
    <row r="1046714" customFormat="1"/>
    <row r="1046715" customFormat="1"/>
    <row r="1046716" customFormat="1"/>
    <row r="1046717" customFormat="1"/>
    <row r="1046718" customFormat="1"/>
    <row r="1046719" customFormat="1"/>
    <row r="1046720" customFormat="1"/>
    <row r="1046721" customFormat="1"/>
    <row r="1046722" customFormat="1"/>
    <row r="1046723" customFormat="1"/>
    <row r="1046724" customFormat="1"/>
    <row r="1046725" customFormat="1"/>
    <row r="1046726" customFormat="1"/>
    <row r="1046727" customFormat="1"/>
    <row r="1046728" customFormat="1"/>
    <row r="1046729" customFormat="1"/>
    <row r="1046730" customFormat="1"/>
    <row r="1046731" customFormat="1"/>
    <row r="1046732" customFormat="1"/>
    <row r="1046733" customFormat="1"/>
    <row r="1046734" customFormat="1"/>
    <row r="1046735" customFormat="1"/>
    <row r="1046736" customFormat="1"/>
    <row r="1046737" customFormat="1"/>
    <row r="1046738" customFormat="1"/>
    <row r="1046739" customFormat="1"/>
    <row r="1046740" customFormat="1"/>
    <row r="1046741" customFormat="1"/>
    <row r="1046742" customFormat="1"/>
    <row r="1046743" customFormat="1"/>
    <row r="1046744" customFormat="1"/>
    <row r="1046745" customFormat="1"/>
    <row r="1046746" customFormat="1"/>
    <row r="1046747" customFormat="1"/>
    <row r="1046748" customFormat="1"/>
    <row r="1046749" customFormat="1"/>
    <row r="1046750" customFormat="1"/>
    <row r="1046751" customFormat="1"/>
    <row r="1046752" customFormat="1"/>
    <row r="1046753" customFormat="1"/>
    <row r="1046754" customFormat="1"/>
    <row r="1046755" customFormat="1"/>
    <row r="1046756" customFormat="1"/>
    <row r="1046757" customFormat="1"/>
    <row r="1046758" customFormat="1"/>
    <row r="1046759" customFormat="1"/>
    <row r="1046760" customFormat="1"/>
    <row r="1046761" customFormat="1"/>
    <row r="1046762" customFormat="1"/>
    <row r="1046763" customFormat="1"/>
    <row r="1046764" customFormat="1"/>
    <row r="1046765" customFormat="1"/>
    <row r="1046766" customFormat="1"/>
    <row r="1046767" customFormat="1"/>
    <row r="1046768" customFormat="1"/>
    <row r="1046769" customFormat="1"/>
    <row r="1046770" customFormat="1"/>
    <row r="1046771" customFormat="1"/>
    <row r="1046772" customFormat="1"/>
    <row r="1046773" customFormat="1"/>
    <row r="1046774" customFormat="1"/>
    <row r="1046775" customFormat="1"/>
    <row r="1046776" customFormat="1"/>
    <row r="1046777" customFormat="1"/>
    <row r="1046778" customFormat="1"/>
    <row r="1046779" customFormat="1"/>
    <row r="1046780" customFormat="1"/>
    <row r="1046781" customFormat="1"/>
    <row r="1046782" customFormat="1"/>
    <row r="1046783" customFormat="1"/>
    <row r="1046784" customFormat="1"/>
    <row r="1046785" customFormat="1"/>
    <row r="1046786" customFormat="1"/>
    <row r="1046787" customFormat="1"/>
    <row r="1046788" customFormat="1"/>
    <row r="1046789" customFormat="1"/>
    <row r="1046790" customFormat="1"/>
    <row r="1046791" customFormat="1"/>
    <row r="1046792" customFormat="1"/>
    <row r="1046793" customFormat="1"/>
    <row r="1046794" customFormat="1"/>
    <row r="1046795" customFormat="1"/>
    <row r="1046796" customFormat="1"/>
    <row r="1046797" customFormat="1"/>
    <row r="1046798" customFormat="1"/>
    <row r="1046799" customFormat="1"/>
    <row r="1046800" customFormat="1"/>
    <row r="1046801" customFormat="1"/>
    <row r="1046802" customFormat="1"/>
    <row r="1046803" customFormat="1"/>
    <row r="1046804" customFormat="1"/>
    <row r="1046805" customFormat="1"/>
    <row r="1046806" customFormat="1"/>
    <row r="1046807" customFormat="1"/>
    <row r="1046808" customFormat="1"/>
    <row r="1046809" customFormat="1"/>
    <row r="1046810" customFormat="1"/>
    <row r="1046811" customFormat="1"/>
    <row r="1046812" customFormat="1"/>
    <row r="1046813" customFormat="1"/>
    <row r="1046814" customFormat="1"/>
    <row r="1046815" customFormat="1"/>
    <row r="1046816" customFormat="1"/>
    <row r="1046817" customFormat="1"/>
    <row r="1046818" customFormat="1"/>
    <row r="1046819" customFormat="1"/>
    <row r="1046820" customFormat="1"/>
    <row r="1046821" customFormat="1"/>
    <row r="1046822" customFormat="1"/>
    <row r="1046823" customFormat="1"/>
    <row r="1046824" customFormat="1"/>
    <row r="1046825" customFormat="1"/>
    <row r="1046826" customFormat="1"/>
    <row r="1046827" customFormat="1"/>
    <row r="1046828" customFormat="1"/>
    <row r="1046829" customFormat="1"/>
    <row r="1046830" customFormat="1"/>
    <row r="1046831" customFormat="1"/>
    <row r="1046832" customFormat="1"/>
    <row r="1046833" customFormat="1"/>
    <row r="1046834" customFormat="1"/>
    <row r="1046835" customFormat="1"/>
    <row r="1046836" customFormat="1"/>
    <row r="1046837" customFormat="1"/>
    <row r="1046838" customFormat="1"/>
    <row r="1046839" customFormat="1"/>
    <row r="1046840" customFormat="1"/>
    <row r="1046841" customFormat="1"/>
    <row r="1046842" customFormat="1"/>
    <row r="1046843" customFormat="1"/>
    <row r="1046844" customFormat="1"/>
    <row r="1046845" customFormat="1"/>
    <row r="1046846" customFormat="1"/>
    <row r="1046847" customFormat="1"/>
    <row r="1046848" customFormat="1"/>
    <row r="1046849" customFormat="1"/>
    <row r="1046850" customFormat="1"/>
    <row r="1046851" customFormat="1"/>
    <row r="1046852" customFormat="1"/>
    <row r="1046853" customFormat="1"/>
    <row r="1046854" customFormat="1"/>
    <row r="1046855" customFormat="1"/>
    <row r="1046856" customFormat="1"/>
    <row r="1046857" customFormat="1"/>
    <row r="1046858" customFormat="1"/>
    <row r="1046859" customFormat="1"/>
    <row r="1046860" customFormat="1"/>
    <row r="1046861" customFormat="1"/>
    <row r="1046862" customFormat="1"/>
    <row r="1046863" customFormat="1"/>
    <row r="1046864" customFormat="1"/>
    <row r="1046865" customFormat="1"/>
    <row r="1046866" customFormat="1"/>
    <row r="1046867" customFormat="1"/>
    <row r="1046868" customFormat="1"/>
    <row r="1046869" customFormat="1"/>
    <row r="1046870" customFormat="1"/>
    <row r="1046871" customFormat="1"/>
    <row r="1046872" customFormat="1"/>
    <row r="1046873" customFormat="1"/>
    <row r="1046874" customFormat="1"/>
    <row r="1046875" customFormat="1"/>
    <row r="1046876" customFormat="1"/>
    <row r="1046877" customFormat="1"/>
    <row r="1046878" customFormat="1"/>
    <row r="1046879" customFormat="1"/>
    <row r="1046880" customFormat="1"/>
    <row r="1046881" customFormat="1"/>
    <row r="1046882" customFormat="1"/>
    <row r="1046883" customFormat="1"/>
    <row r="1046884" customFormat="1"/>
    <row r="1046885" customFormat="1"/>
    <row r="1046886" customFormat="1"/>
    <row r="1046887" customFormat="1"/>
    <row r="1046888" customFormat="1"/>
    <row r="1046889" customFormat="1"/>
    <row r="1046890" customFormat="1"/>
    <row r="1046891" customFormat="1"/>
    <row r="1046892" customFormat="1"/>
    <row r="1046893" customFormat="1"/>
    <row r="1046894" customFormat="1"/>
    <row r="1046895" customFormat="1"/>
    <row r="1046896" customFormat="1"/>
    <row r="1046897" customFormat="1"/>
    <row r="1046898" customFormat="1"/>
    <row r="1046899" customFormat="1"/>
    <row r="1046900" customFormat="1"/>
    <row r="1046901" customFormat="1"/>
    <row r="1046902" customFormat="1"/>
    <row r="1046903" customFormat="1"/>
    <row r="1046904" customFormat="1"/>
    <row r="1046905" customFormat="1"/>
    <row r="1046906" customFormat="1"/>
    <row r="1046907" customFormat="1"/>
    <row r="1046908" customFormat="1"/>
    <row r="1046909" customFormat="1"/>
    <row r="1046910" customFormat="1"/>
    <row r="1046911" customFormat="1"/>
    <row r="1046912" customFormat="1"/>
    <row r="1046913" customFormat="1"/>
    <row r="1046914" customFormat="1"/>
    <row r="1046915" customFormat="1"/>
    <row r="1046916" customFormat="1"/>
    <row r="1046917" customFormat="1"/>
    <row r="1046918" customFormat="1"/>
    <row r="1046919" customFormat="1"/>
    <row r="1046920" customFormat="1"/>
    <row r="1046921" customFormat="1"/>
    <row r="1046922" customFormat="1"/>
    <row r="1046923" customFormat="1"/>
    <row r="1046924" customFormat="1"/>
    <row r="1046925" customFormat="1"/>
    <row r="1046926" customFormat="1"/>
    <row r="1046927" customFormat="1"/>
    <row r="1046928" customFormat="1"/>
    <row r="1046929" customFormat="1"/>
    <row r="1046930" customFormat="1"/>
    <row r="1046931" customFormat="1"/>
    <row r="1046932" customFormat="1"/>
    <row r="1046933" customFormat="1"/>
    <row r="1046934" customFormat="1"/>
    <row r="1046935" customFormat="1"/>
    <row r="1046936" customFormat="1"/>
    <row r="1046937" customFormat="1"/>
    <row r="1046938" customFormat="1"/>
    <row r="1046939" customFormat="1"/>
    <row r="1046940" customFormat="1"/>
    <row r="1046941" customFormat="1"/>
    <row r="1046942" customFormat="1"/>
    <row r="1046943" customFormat="1"/>
    <row r="1046944" customFormat="1"/>
    <row r="1046945" customFormat="1"/>
    <row r="1046946" customFormat="1"/>
    <row r="1046947" customFormat="1"/>
    <row r="1046948" customFormat="1"/>
    <row r="1046949" customFormat="1"/>
    <row r="1046950" customFormat="1"/>
    <row r="1046951" customFormat="1"/>
    <row r="1046952" customFormat="1"/>
    <row r="1046953" customFormat="1"/>
    <row r="1046954" customFormat="1"/>
    <row r="1046955" customFormat="1"/>
    <row r="1046956" customFormat="1"/>
    <row r="1046957" customFormat="1"/>
    <row r="1046958" customFormat="1"/>
    <row r="1046959" customFormat="1"/>
    <row r="1046960" customFormat="1"/>
    <row r="1046961" customFormat="1"/>
    <row r="1046962" customFormat="1"/>
    <row r="1046963" customFormat="1"/>
    <row r="1046964" customFormat="1"/>
    <row r="1046965" customFormat="1"/>
    <row r="1046966" customFormat="1"/>
    <row r="1046967" customFormat="1"/>
    <row r="1046968" customFormat="1"/>
    <row r="1046969" customFormat="1"/>
    <row r="1046970" customFormat="1"/>
    <row r="1046971" customFormat="1"/>
    <row r="1046972" customFormat="1"/>
    <row r="1046973" customFormat="1"/>
    <row r="1046974" customFormat="1"/>
    <row r="1046975" customFormat="1"/>
    <row r="1046976" customFormat="1"/>
    <row r="1046977" customFormat="1"/>
    <row r="1046978" customFormat="1"/>
    <row r="1046979" customFormat="1"/>
    <row r="1046980" customFormat="1"/>
    <row r="1046981" customFormat="1"/>
    <row r="1046982" customFormat="1"/>
    <row r="1046983" customFormat="1"/>
    <row r="1046984" customFormat="1"/>
    <row r="1046985" customFormat="1"/>
    <row r="1046986" customFormat="1"/>
    <row r="1046987" customFormat="1"/>
    <row r="1046988" customFormat="1"/>
    <row r="1046989" customFormat="1"/>
    <row r="1046990" customFormat="1"/>
    <row r="1046991" customFormat="1"/>
    <row r="1046992" customFormat="1"/>
    <row r="1046993" customFormat="1"/>
    <row r="1046994" customFormat="1"/>
    <row r="1046995" customFormat="1"/>
    <row r="1046996" customFormat="1"/>
    <row r="1046997" customFormat="1"/>
    <row r="1046998" customFormat="1"/>
    <row r="1046999" customFormat="1"/>
    <row r="1047000" customFormat="1"/>
    <row r="1047001" customFormat="1"/>
    <row r="1047002" customFormat="1"/>
    <row r="1047003" customFormat="1"/>
    <row r="1047004" customFormat="1"/>
    <row r="1047005" customFormat="1"/>
    <row r="1047006" customFormat="1"/>
    <row r="1047007" customFormat="1"/>
    <row r="1047008" customFormat="1"/>
    <row r="1047009" customFormat="1"/>
    <row r="1047010" customFormat="1"/>
    <row r="1047011" customFormat="1"/>
    <row r="1047012" customFormat="1"/>
    <row r="1047013" customFormat="1"/>
    <row r="1047014" customFormat="1"/>
    <row r="1047015" customFormat="1"/>
    <row r="1047016" customFormat="1"/>
    <row r="1047017" customFormat="1"/>
    <row r="1047018" customFormat="1"/>
    <row r="1047019" customFormat="1"/>
    <row r="1047020" customFormat="1"/>
    <row r="1047021" customFormat="1"/>
    <row r="1047022" customFormat="1"/>
    <row r="1047023" customFormat="1"/>
    <row r="1047024" customFormat="1"/>
    <row r="1047025" customFormat="1"/>
    <row r="1047026" customFormat="1"/>
    <row r="1047027" customFormat="1"/>
    <row r="1047028" customFormat="1"/>
    <row r="1047029" customFormat="1"/>
    <row r="1047030" customFormat="1"/>
    <row r="1047031" customFormat="1"/>
    <row r="1047032" customFormat="1"/>
    <row r="1047033" customFormat="1"/>
    <row r="1047034" customFormat="1"/>
    <row r="1047035" customFormat="1"/>
    <row r="1047036" customFormat="1"/>
    <row r="1047037" customFormat="1"/>
    <row r="1047038" customFormat="1"/>
    <row r="1047039" customFormat="1"/>
    <row r="1047040" customFormat="1"/>
    <row r="1047041" customFormat="1"/>
    <row r="1047042" customFormat="1"/>
    <row r="1047043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XFA310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 with created By ASR</vt:lpstr>
      <vt:lpstr>PO 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KalyaniChaudhari</cp:lastModifiedBy>
  <dcterms:created xsi:type="dcterms:W3CDTF">2025-03-28T14:00:00Z</dcterms:created>
  <dcterms:modified xsi:type="dcterms:W3CDTF">2025-04-01T12:39:12Z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E57AE85B2980409EBD3D10F901093C62_13</vt:lpwstr>
  </property>
  <property fmtid="{D5CDD505-2E9C-101B-9397-08002B2CF9AE}" pid="3" name="KSOProductBuildVer">
    <vt:lpwstr>1033-12.2.0.20326</vt:lpwstr>
  </property>
</Properties>
</file>