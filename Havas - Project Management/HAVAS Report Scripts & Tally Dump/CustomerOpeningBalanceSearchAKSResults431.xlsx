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CustomerOpeningBalanceSearchAK" sheetId="1" r:id="rId1"/>
    <sheet name="Sheet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<sst xmlns="http://schemas.openxmlformats.org/spreadsheetml/2006/main" count="362" uniqueCount="335">
  <si>
    <t>Name</t>
  </si>
  <si>
    <t>Sum of Total Credit</t>
  </si>
  <si>
    <t>Sum of Total Debit</t>
  </si>
  <si>
    <t>Sum of Opening Balance</t>
  </si>
  <si>
    <t>- None -</t>
  </si>
  <si>
    <t>10008 Asia Pacific Travel Retail Association</t>
  </si>
  <si>
    <t>10021 Fx First Basis Risk Consulting LLP</t>
  </si>
  <si>
    <t>10032 Intel Americas INC</t>
  </si>
  <si>
    <t>10046 Lightspeed India Partners Advisors LLP</t>
  </si>
  <si>
    <t>10058 M/S RainFocus</t>
  </si>
  <si>
    <t>10081 V5 TechSol India LLP</t>
  </si>
  <si>
    <t>10088 CIO Association</t>
  </si>
  <si>
    <t>10094 Microsoft Corporation</t>
  </si>
  <si>
    <t>10106 Prani Media</t>
  </si>
  <si>
    <t/>
  </si>
  <si>
    <t>10108 Indian Electrical &amp; Electronics</t>
  </si>
  <si>
    <t>10140 GlaxoSmithKline Consumer Pvt Ltd GlaxoSmithKline Consumer Pvt Ltd</t>
  </si>
  <si>
    <t>10141  Google India Pvt Ltd</t>
  </si>
  <si>
    <t>10152  Lakme Lever Pvt Ltd</t>
  </si>
  <si>
    <t>10161  Neo4J India Pvt Ltd</t>
  </si>
  <si>
    <t>10163  Network18 Media &amp; Investments Ltd</t>
  </si>
  <si>
    <t>10174  Red Hat India Pvt Ltd</t>
  </si>
  <si>
    <t>10177  SAP India Pvt Ltd</t>
  </si>
  <si>
    <t>10179  ServiceNow Software Development India Pvt Ltd</t>
  </si>
  <si>
    <t>10181  Siemens Ltd</t>
  </si>
  <si>
    <t>10188  TATA Consultancy Services Ltd</t>
  </si>
  <si>
    <t>10196  Tvs Srichakra Ltd</t>
  </si>
  <si>
    <t>10203  Accenture Solutions Pvt Ltd</t>
  </si>
  <si>
    <t>10221  Dbs Bank India Ltd</t>
  </si>
  <si>
    <t>10246  Metro Cash &amp; Carry India Pvt Ltd</t>
  </si>
  <si>
    <t>10249  NatWest Digital Services India Pvt Ltd (RBS Services India Pvt Ltd)</t>
  </si>
  <si>
    <t>10251  Next Leap Career Solutions Pvt Ltd</t>
  </si>
  <si>
    <t>10261  Redington Ltd</t>
  </si>
  <si>
    <t>10262  Renault Nissan Technology &amp; Business Centre India Pvt Ltd</t>
  </si>
  <si>
    <t>10264  SAP Labs India Pvt Ltd</t>
  </si>
  <si>
    <t>10268  Siemens Technology And Services Pvt Ltd</t>
  </si>
  <si>
    <t>10285  Vivo Mobile India Pvt Ltd</t>
  </si>
  <si>
    <t>10297  Astrazeneca India Pvt Ltd</t>
  </si>
  <si>
    <t>10306  Cognizant Technology Solutions India Pvt Ltd</t>
  </si>
  <si>
    <t>10317  Glitch Media Pvt Ltd</t>
  </si>
  <si>
    <t>10324  IKEA India Pvt Ltd</t>
  </si>
  <si>
    <t>10333  Mahindra &amp; Mahindra Ltd</t>
  </si>
  <si>
    <t>10341  Northland Holding Company Pvt Ltd (JW Marriott Prestige Golfshire)</t>
  </si>
  <si>
    <t>10346  Orient Electric Ltd</t>
  </si>
  <si>
    <t>10374  Vmware Software India Pvt Ltd</t>
  </si>
  <si>
    <t>10381  Amazon Development Centre (India) Pvt Ltd</t>
  </si>
  <si>
    <t>10383  Apparel Resources Pvt Ltd</t>
  </si>
  <si>
    <t>10384  Asus India PVt Ltd</t>
  </si>
  <si>
    <t>10390  Candor Gurgaon One Realty Projects Pvt Ltd</t>
  </si>
  <si>
    <t>10397  Dell International Services India Pvt Ltd</t>
  </si>
  <si>
    <t>10407  Goc Services India Pvt Ltd</t>
  </si>
  <si>
    <t>10412  Hindustan Unilever Ltd</t>
  </si>
  <si>
    <t>10422  Loreal India Pvt Ltd</t>
  </si>
  <si>
    <t>10426  Microsoft Corporation (I) Pvt Ltd</t>
  </si>
  <si>
    <t>10434  Panasonic Life Solutions India Pvt Ltd</t>
  </si>
  <si>
    <t>10443  Seaview Developers Pvt Ltd</t>
  </si>
  <si>
    <t>10445  Siemens Financial Services Pvt Ltd</t>
  </si>
  <si>
    <t>10446  Signify Innovations India Ltd</t>
  </si>
  <si>
    <t>10467  Adobe Systems India Pvt Ltd</t>
  </si>
  <si>
    <t>10469  Amway India Enterprises Pvt Ltd</t>
  </si>
  <si>
    <t>10476  Candor Kolkata One Hi Tech Structures Pvt Ltd</t>
  </si>
  <si>
    <t>10493  Greenlam Industries Ltd</t>
  </si>
  <si>
    <t>10495  Havmor Ice Cream Pvt Ltd</t>
  </si>
  <si>
    <t>10496  Hero Motocorp Ltd</t>
  </si>
  <si>
    <t>10518  OnePlus Technology India Pvt Ltd</t>
  </si>
  <si>
    <t>10533  Softcell Technologies Global Pvt Ltd</t>
  </si>
  <si>
    <t>10546  Vantageo Pvt Ltd</t>
  </si>
  <si>
    <t>10558  Autodesk India Pvt Ltd</t>
  </si>
  <si>
    <t>10562  BYD India Pvt Ltd</t>
  </si>
  <si>
    <t>10565  Citibank NA</t>
  </si>
  <si>
    <t>10566  Clarivate Analytics India Pvt Ltd</t>
  </si>
  <si>
    <t>10569  Delta Electronics India Pvt Ltd</t>
  </si>
  <si>
    <t>10581  Havas Singapore Pte Ltd</t>
  </si>
  <si>
    <t>10583  Hitachi Vantara India Pvt Ltd</t>
  </si>
  <si>
    <t>10586  Indian Explosives Pvt Ltd</t>
  </si>
  <si>
    <t>10587  Innocean Worldwide Communication Pvt Ltd</t>
  </si>
  <si>
    <t>10588  Intel Technology India Pvt Ltd</t>
  </si>
  <si>
    <t>10592  Kotak Mahindra Bank Ltd</t>
  </si>
  <si>
    <t>10593  Lenovo (India) Pvt Ltd</t>
  </si>
  <si>
    <t>10617  Shantiniketan Properties Pvt Ltd</t>
  </si>
  <si>
    <t>10619  Singapore Investcorp India Pvt Ltd</t>
  </si>
  <si>
    <t>10620  Skoda Auto Volkswagen India Pvt Ltd</t>
  </si>
  <si>
    <t>10626  Tata Motors Passenger Vehicles Ltd</t>
  </si>
  <si>
    <t>10627  Tech Data Advanced Pvt Ltd</t>
  </si>
  <si>
    <t>10629  The Indian Express Pvt Ltd</t>
  </si>
  <si>
    <t>10642  Amazon Seller Services India Pvt Ltd</t>
  </si>
  <si>
    <t>10664  GitHub India Pvt Ltd</t>
  </si>
  <si>
    <t>10665  Godrej Properties Ltd</t>
  </si>
  <si>
    <t>10669  Hewlett Packard Enterprise India Pvt Ltd</t>
  </si>
  <si>
    <t>10706  Skyflow Labs India Pvt Ltd</t>
  </si>
  <si>
    <t>10711  Tally Solutions Pvt Ltd</t>
  </si>
  <si>
    <t>10722  Vinfast Auto India Pvt Ltd</t>
  </si>
  <si>
    <t>10727 Air India Express Ltd</t>
  </si>
  <si>
    <t>10728 Arliga Ecoworld Infrastructure Pvt Ltd</t>
  </si>
  <si>
    <t>10731 Bengaluru Airport Services Ltd</t>
  </si>
  <si>
    <t>10734 Ducati India Pvt Ltd</t>
  </si>
  <si>
    <t>10735 Equinox Business Parks Pvt Ltd</t>
  </si>
  <si>
    <t>10738 Jubilant Foodworks Ltd</t>
  </si>
  <si>
    <t>10739 Kairos Properties Pvt Ltd</t>
  </si>
  <si>
    <t>10741 NTT DATA Business Solutions Pvt Ltd</t>
  </si>
  <si>
    <t>10746 The Boston Consulting Group (India) Pvt Ltd</t>
  </si>
  <si>
    <t>10748 Wella India Pvt Ltd</t>
  </si>
  <si>
    <t>10750 Witwicky One Pvt Ltd</t>
  </si>
  <si>
    <t>10751 Jamf India Pvt Ltd</t>
  </si>
  <si>
    <t>10755 The Westin Raleigh Durham International</t>
  </si>
  <si>
    <t>10757 Novo Nordisk Pharma (Singapore) Pte Ltd</t>
  </si>
  <si>
    <t>10758 Shobiz Experiential Communications Pvt Ltd (ISD)</t>
  </si>
  <si>
    <t>10759 Bumblebee Networks</t>
  </si>
  <si>
    <t>10760 CTERA Networks Ltd</t>
  </si>
  <si>
    <t>10762 Mumbai Travel Retail Pvt Ltd</t>
  </si>
  <si>
    <t>10763 PMG Integrated Communications Pvt Ltd</t>
  </si>
  <si>
    <t>10764 TechnoBind Solutions Pvt Ltd</t>
  </si>
  <si>
    <t>10765 Shobiz Experiential Communications Pvt Ltd-Mum</t>
  </si>
  <si>
    <t>10766 Shobiz Experiential Communications Pvt Ltd-Del</t>
  </si>
  <si>
    <t>10767 Shobiz Experiential Communications Pvt Ltd-Che</t>
  </si>
  <si>
    <t>10768 Shobiz Experiential Communications Pvt Ltd-Blr</t>
  </si>
  <si>
    <t>10775 Shobiz Experiential Communications Pvt Ltd (ISD-DR)-Del Shobiz Experiential Communications Pvt Ltd (ISD-DR)-Del</t>
  </si>
  <si>
    <t>10777 Shobiz Experiential Communications Pvt Ltd (ISD-DR)-Blr Shobiz Experiential Communications Pvt Ltd (ISD-DR)-Blr</t>
  </si>
  <si>
    <t>Suspens A/C .. Dr.</t>
  </si>
  <si>
    <t>Total</t>
  </si>
  <si>
    <t>895,128,989.84</t>
  </si>
  <si>
    <t>971,145,584.61</t>
  </si>
  <si>
    <t>None-</t>
  </si>
  <si>
    <t>AsiaPacificTravelRetailAssociation</t>
  </si>
  <si>
    <t>FxFirstBasisRiskConsultingLLP</t>
  </si>
  <si>
    <t>IntelAmericasINC</t>
  </si>
  <si>
    <t>LightspeedIndiaPartnersAdvisorsLLP</t>
  </si>
  <si>
    <t>M/SRainFocus</t>
  </si>
  <si>
    <t>V5TechSolIndiaLLP</t>
  </si>
  <si>
    <t>CIOAssociation</t>
  </si>
  <si>
    <t>MicrosoftCorporation</t>
  </si>
  <si>
    <t>PraniMedia</t>
  </si>
  <si>
    <t>IndianElectrical&amp;Electronics</t>
  </si>
  <si>
    <t xml:space="preserve">10140 GlaxoSmithKline Consumer   GlaxoSmithKline Consumer  </t>
  </si>
  <si>
    <t>GlaxoSmithKlineConsumerGlaxoSmithKlineConsumer</t>
  </si>
  <si>
    <t xml:space="preserve">10141  Google India  </t>
  </si>
  <si>
    <t>GoogleIndia</t>
  </si>
  <si>
    <t xml:space="preserve">10152  Lakme Lever  </t>
  </si>
  <si>
    <t>LakmeLever</t>
  </si>
  <si>
    <t xml:space="preserve">10161  Neo4J India  </t>
  </si>
  <si>
    <t>Neo4JIndia</t>
  </si>
  <si>
    <t xml:space="preserve">10163  Network18 Media &amp; Investments </t>
  </si>
  <si>
    <t>Network18Media&amp;Investments</t>
  </si>
  <si>
    <t xml:space="preserve">10174  Red Hat India  </t>
  </si>
  <si>
    <t>RedHatIndia</t>
  </si>
  <si>
    <t xml:space="preserve">10177  SAP India  </t>
  </si>
  <si>
    <t>SAPIndia</t>
  </si>
  <si>
    <t xml:space="preserve">10179  ServiceNow Software Development India  </t>
  </si>
  <si>
    <t>ServiceNowSoftwareDevelopmentIndia</t>
  </si>
  <si>
    <t xml:space="preserve">10181  Siemens </t>
  </si>
  <si>
    <t>Siemens</t>
  </si>
  <si>
    <t xml:space="preserve">10188  TATA Consultancy Services </t>
  </si>
  <si>
    <t>TATAConsultancyServices</t>
  </si>
  <si>
    <t xml:space="preserve">10196  Tvs Srichakra </t>
  </si>
  <si>
    <t>TvsSrichakra</t>
  </si>
  <si>
    <t xml:space="preserve">10203  Accenture Solutions  </t>
  </si>
  <si>
    <t>AccentureSolutions</t>
  </si>
  <si>
    <t xml:space="preserve">10221  Dbs Bank India </t>
  </si>
  <si>
    <t>DbsBankIndia</t>
  </si>
  <si>
    <t xml:space="preserve">10246  Metro Cash &amp; Carry India  </t>
  </si>
  <si>
    <t>MetroCash&amp;CarryIndia</t>
  </si>
  <si>
    <t>10249  NatWest Digital Services India   (RBS Services India  )</t>
  </si>
  <si>
    <t>NatWestDigitalServicesIndia(RBSServicesIndia)</t>
  </si>
  <si>
    <t xml:space="preserve">10251  Next Leap Career Solutions  </t>
  </si>
  <si>
    <t>NextLeapCareerSolutions</t>
  </si>
  <si>
    <t xml:space="preserve">10261  Redington </t>
  </si>
  <si>
    <t>Redington</t>
  </si>
  <si>
    <t xml:space="preserve">10262  Renault Nissan Technology &amp; Business Centre India  </t>
  </si>
  <si>
    <t>RenaultNissanTechnology&amp;BusinessCentreIndia</t>
  </si>
  <si>
    <t xml:space="preserve">10264  SAP Labs India  </t>
  </si>
  <si>
    <t>SAPLabsIndia</t>
  </si>
  <si>
    <t xml:space="preserve">10268  Siemens Technology And Services  </t>
  </si>
  <si>
    <t>SiemensTechnologyAndServices</t>
  </si>
  <si>
    <t xml:space="preserve">10285  Vivo Mobile India  </t>
  </si>
  <si>
    <t>VivoMobileIndia</t>
  </si>
  <si>
    <t xml:space="preserve">10297  Astrazeneca India  </t>
  </si>
  <si>
    <t>AstrazenecaIndia</t>
  </si>
  <si>
    <t xml:space="preserve">10306  Cognizant Technology Solutions India  </t>
  </si>
  <si>
    <t>CognizantTechnologySolutionsIndia</t>
  </si>
  <si>
    <t xml:space="preserve">10317  Glitch Media  </t>
  </si>
  <si>
    <t>GlitchMedia</t>
  </si>
  <si>
    <t xml:space="preserve">10324  IKEA India  </t>
  </si>
  <si>
    <t>IKEAIndia</t>
  </si>
  <si>
    <t xml:space="preserve">10333  Mahindra &amp; Mahindra </t>
  </si>
  <si>
    <t>Mahindra&amp;Mahindra</t>
  </si>
  <si>
    <t>10341  Northland Holding Company   (JW Marriott Prestige Golfshire)</t>
  </si>
  <si>
    <t>NorthlandHoldingCompany(JWMarriottPrestigeGolfshire)</t>
  </si>
  <si>
    <t xml:space="preserve">10346  Orient Electric </t>
  </si>
  <si>
    <t>OrientElectric</t>
  </si>
  <si>
    <t xml:space="preserve">10374  Vmware Software India  </t>
  </si>
  <si>
    <t>VmwareSoftwareIndia</t>
  </si>
  <si>
    <t xml:space="preserve">10381  Amazon Development Centre (India)  </t>
  </si>
  <si>
    <t>AmazonDevelopmentCentre(India)</t>
  </si>
  <si>
    <t xml:space="preserve">10383  Apparel Resources  </t>
  </si>
  <si>
    <t>ApparelResources</t>
  </si>
  <si>
    <t xml:space="preserve">10384  Asus India  </t>
  </si>
  <si>
    <t>AsusIndia</t>
  </si>
  <si>
    <t xml:space="preserve">10390  Candor Gurgaon One Realty Projects  </t>
  </si>
  <si>
    <t>CandorGurgaonOneRealtyProjects</t>
  </si>
  <si>
    <t xml:space="preserve">10397  Dell International Services India  </t>
  </si>
  <si>
    <t>DellInternationalServicesIndia</t>
  </si>
  <si>
    <t xml:space="preserve">10407  Goc Services India  </t>
  </si>
  <si>
    <t>GocServicesIndia</t>
  </si>
  <si>
    <t xml:space="preserve">10412  Hindustan Unilever </t>
  </si>
  <si>
    <t>HindustanUnilever</t>
  </si>
  <si>
    <t xml:space="preserve">10422  Loreal India  </t>
  </si>
  <si>
    <t>LorealIndia</t>
  </si>
  <si>
    <t xml:space="preserve">10426  Microsoft Corporation (I)  </t>
  </si>
  <si>
    <t>MicrosoftCorporation(I)</t>
  </si>
  <si>
    <t xml:space="preserve">10434  Panasonic Life Solutions India  </t>
  </si>
  <si>
    <t>PanasonicLifeSolutionsIndia</t>
  </si>
  <si>
    <t xml:space="preserve">10443  Seaview Developers  </t>
  </si>
  <si>
    <t>SeaviewDevelopers</t>
  </si>
  <si>
    <t xml:space="preserve">10445  Siemens Financial Services  </t>
  </si>
  <si>
    <t>SiemensFinancialServices</t>
  </si>
  <si>
    <t xml:space="preserve">10446  Signify Innovations India </t>
  </si>
  <si>
    <t>SignifyInnovationsIndia</t>
  </si>
  <si>
    <t xml:space="preserve">10467  Adobe Systems India  </t>
  </si>
  <si>
    <t>AdobeSystemsIndia</t>
  </si>
  <si>
    <t xml:space="preserve">10469  Amway India Enterprises  </t>
  </si>
  <si>
    <t>AmwayIndiaEnterprises</t>
  </si>
  <si>
    <t xml:space="preserve">10476  Candor Kolkata One Hi Tech Structures  </t>
  </si>
  <si>
    <t>CandorKolkataOneHiTechStructures</t>
  </si>
  <si>
    <t xml:space="preserve">10493  Greenlam Industries </t>
  </si>
  <si>
    <t>GreenlamIndustries</t>
  </si>
  <si>
    <t xml:space="preserve">10495  Havmor Ice Cream  </t>
  </si>
  <si>
    <t>HavmorIceCream</t>
  </si>
  <si>
    <t xml:space="preserve">10496  Hero Motocorp </t>
  </si>
  <si>
    <t>HeroMotocorp</t>
  </si>
  <si>
    <t xml:space="preserve">10518  OnePlus Technology India  </t>
  </si>
  <si>
    <t>OnePlusTechnologyIndia</t>
  </si>
  <si>
    <t xml:space="preserve">10533  Softcell Technologies Global  </t>
  </si>
  <si>
    <t>SoftcellTechnologiesGlobal</t>
  </si>
  <si>
    <t xml:space="preserve">10546  Vantageo  </t>
  </si>
  <si>
    <t>Vantageo</t>
  </si>
  <si>
    <t xml:space="preserve">10558  Autodesk India  </t>
  </si>
  <si>
    <t>AutodeskIndia</t>
  </si>
  <si>
    <t xml:space="preserve">10562  BYD India  </t>
  </si>
  <si>
    <t>BYDIndia</t>
  </si>
  <si>
    <t>CitibankNA</t>
  </si>
  <si>
    <t xml:space="preserve">10566  Clarivate Analytics India  </t>
  </si>
  <si>
    <t>ClarivateAnalyticsIndia</t>
  </si>
  <si>
    <t xml:space="preserve">10569  Delta Electronics India  </t>
  </si>
  <si>
    <t>DeltaElectronicsIndia</t>
  </si>
  <si>
    <t xml:space="preserve">10581  Havas Singapore Pte </t>
  </si>
  <si>
    <t>HavasSingaporePte</t>
  </si>
  <si>
    <t xml:space="preserve">10583  Hitachi Vantara India  </t>
  </si>
  <si>
    <t>HitachiVantaraIndia</t>
  </si>
  <si>
    <t xml:space="preserve">10586  Indian Explosives  </t>
  </si>
  <si>
    <t>IndianExplosives</t>
  </si>
  <si>
    <t xml:space="preserve">10587  Innocean Worldwide Communication  </t>
  </si>
  <si>
    <t>InnoceanWorldwideCommunication</t>
  </si>
  <si>
    <t xml:space="preserve">10588  Intel Technology India  </t>
  </si>
  <si>
    <t>IntelTechnologyIndia</t>
  </si>
  <si>
    <t xml:space="preserve">10592  Kotak Mahindra Bank </t>
  </si>
  <si>
    <t>KotakMahindraBank</t>
  </si>
  <si>
    <t xml:space="preserve">10593  Lenovo (India)  </t>
  </si>
  <si>
    <t>Lenovo(India)</t>
  </si>
  <si>
    <t xml:space="preserve">10617  Shantiniketan Properties  </t>
  </si>
  <si>
    <t>ShantiniketanProperties</t>
  </si>
  <si>
    <t xml:space="preserve">10619  Singapore Investcorp India  </t>
  </si>
  <si>
    <t>SingaporeInvestcorpIndia</t>
  </si>
  <si>
    <t xml:space="preserve">10620  Skoda Auto Volkswagen India  </t>
  </si>
  <si>
    <t>SkodaAutoVolkswagenIndia</t>
  </si>
  <si>
    <t xml:space="preserve">10626  Tata Motors Passenger Vehicles </t>
  </si>
  <si>
    <t>TataMotorsPassengerVehicles</t>
  </si>
  <si>
    <t xml:space="preserve">10627  Tech Data Advanced  </t>
  </si>
  <si>
    <t>TechDataAdvanced</t>
  </si>
  <si>
    <t xml:space="preserve">10629  The Indian Express  </t>
  </si>
  <si>
    <t>TheIndianExpress</t>
  </si>
  <si>
    <t xml:space="preserve">10642  Amazon Seller Services India  </t>
  </si>
  <si>
    <t>AmazonSellerServicesIndia</t>
  </si>
  <si>
    <t xml:space="preserve">10664  GitHub India  </t>
  </si>
  <si>
    <t>GitHubIndia</t>
  </si>
  <si>
    <t xml:space="preserve">10665  Godrej Properties </t>
  </si>
  <si>
    <t>GodrejProperties</t>
  </si>
  <si>
    <t xml:space="preserve">10669  Hewlett Packard Enterprise India  </t>
  </si>
  <si>
    <t>HewlettPackardEnterpriseIndia</t>
  </si>
  <si>
    <t xml:space="preserve">10706  Skyflow Labs India  </t>
  </si>
  <si>
    <t>SkyflowLabsIndia</t>
  </si>
  <si>
    <t xml:space="preserve">10711  Tally Solutions  </t>
  </si>
  <si>
    <t>TallySolutions</t>
  </si>
  <si>
    <t xml:space="preserve">10722  Vinfast Auto India  </t>
  </si>
  <si>
    <t>VinfastAutoIndia</t>
  </si>
  <si>
    <t xml:space="preserve">10727 Air India Express </t>
  </si>
  <si>
    <t>AirIndiaExpress</t>
  </si>
  <si>
    <t xml:space="preserve">10728 Arliga Ecoworld Infrastructure  </t>
  </si>
  <si>
    <t>ArligaEcoworldInfrastructure</t>
  </si>
  <si>
    <t xml:space="preserve">10731 Bengaluru Airport Services </t>
  </si>
  <si>
    <t>BengaluruAirportServices</t>
  </si>
  <si>
    <t xml:space="preserve">10734 Ducati India  </t>
  </si>
  <si>
    <t>DucatiIndia</t>
  </si>
  <si>
    <t xml:space="preserve">10735 Equinox Business Parks  </t>
  </si>
  <si>
    <t>EquinoxBusinessParks</t>
  </si>
  <si>
    <t xml:space="preserve">10738 Jubilant Foodworks </t>
  </si>
  <si>
    <t>JubilantFoodworks</t>
  </si>
  <si>
    <t xml:space="preserve">10739 Kairos Properties  </t>
  </si>
  <si>
    <t>KairosProperties</t>
  </si>
  <si>
    <t xml:space="preserve">10741 NTT DATA Business Solutions  </t>
  </si>
  <si>
    <t>NTTDATABusinessSolutions</t>
  </si>
  <si>
    <t xml:space="preserve">10746 The Boston Consulting Group (India)  </t>
  </si>
  <si>
    <t>TheBostonConsultingGroup(India)</t>
  </si>
  <si>
    <t xml:space="preserve">10748 Wella India  </t>
  </si>
  <si>
    <t>WellaIndia</t>
  </si>
  <si>
    <t xml:space="preserve">10750 Witwicky One  </t>
  </si>
  <si>
    <t>WitwickyOne</t>
  </si>
  <si>
    <t xml:space="preserve">10751 Jamf India  </t>
  </si>
  <si>
    <t>JamfIndia</t>
  </si>
  <si>
    <t>TheWestinRaleighDurhamInternational</t>
  </si>
  <si>
    <t xml:space="preserve">10757 Novo Nordisk Pharma (Singapore) Pte </t>
  </si>
  <si>
    <t>NovoNordiskPharma(Singapore)Pte</t>
  </si>
  <si>
    <t>10758 Shobiz Experiential Communications   (ISD)</t>
  </si>
  <si>
    <t>ShobizExperientialCommunications(ISD)</t>
  </si>
  <si>
    <t>BumblebeeNetworks</t>
  </si>
  <si>
    <t xml:space="preserve">10760 CTERA Networks </t>
  </si>
  <si>
    <t>CTERANetworks</t>
  </si>
  <si>
    <t xml:space="preserve">10762 Mumbai Travel Retail  </t>
  </si>
  <si>
    <t>MumbaiTravelRetail</t>
  </si>
  <si>
    <t xml:space="preserve">10763 PMG Integrated Communications  </t>
  </si>
  <si>
    <t>PMGIntegratedCommunications</t>
  </si>
  <si>
    <t xml:space="preserve">10764 TechnoBind Solutions  </t>
  </si>
  <si>
    <t>TechnoBindSolutions</t>
  </si>
  <si>
    <t>10765 Shobiz Experiential Communications  -Mum</t>
  </si>
  <si>
    <t>ShobizExperientialCommunications-Mum</t>
  </si>
  <si>
    <t>10766 Shobiz Experiential Communications  -Del</t>
  </si>
  <si>
    <t>ShobizExperientialCommunications-Del</t>
  </si>
  <si>
    <t>10767 Shobiz Experiential Communications  -Che</t>
  </si>
  <si>
    <t>ShobizExperientialCommunications-Che</t>
  </si>
  <si>
    <t>10768 Shobiz Experiential Communications  -Blr</t>
  </si>
  <si>
    <t>ShobizExperientialCommunications-Blr</t>
  </si>
  <si>
    <t>10775 Shobiz Experiential Communications   (ISD-DR)-Del Shobiz Experiential Communications   (ISD-DR)-Del</t>
  </si>
  <si>
    <t>ShobizExperientialCommunications(ISD-DR)-DelShobizExperientialCommunications(ISD-DR)-Del</t>
  </si>
  <si>
    <t>10777 Shobiz Experiential Communications   (ISD-DR)-Blr Shobiz Experiential Communications   (ISD-DR)-Blr</t>
  </si>
  <si>
    <t>ShobizExperientialCommunications(ISD-DR)-BlrShobizExperientialCommunications(ISD-DR)-Blr</t>
  </si>
  <si>
    <t>Suspens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</si>
</sst>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##0.00_);[Red]\(#,##0.00\)"/>
  </numFmts>
  <fonts count="23">
    <font>
      <sz val="8"/>
      <name val="Arial"/>
      <charset val="134"/>
    </font>
    <font>
      <b/>
      <sz val="7"/>
      <name val="Arial"/>
      <charset val="134"/>
    </font>
    <font>
      <sz val="8"/>
      <color rgb="FF000000"/>
      <name val="Verdana"/>
      <family val="2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>
      <alignment horizontal="center" vertical="center"/>
    </xf>
    <xf numFmtId="0" fontId="0" fillId="0" borderId="0" xfId="0"/>
    <xf numFmtId="180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B%20Customer%20April25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ndry Debtors"/>
      <sheetName val="Sheet1"/>
    </sheetNames>
    <sheetDataSet>
      <sheetData sheetId="0"/>
      <sheetData sheetId="1">
        <row r="1">
          <cell r="C1" t="str">
            <v>Opening</v>
          </cell>
          <cell r="D1" t="str">
            <v>Debit</v>
          </cell>
        </row>
        <row r="2">
          <cell r="B2" t="str">
            <v>DebtorsInterOffice</v>
          </cell>
        </row>
        <row r="2">
          <cell r="D2">
            <v>297644839</v>
          </cell>
        </row>
        <row r="3">
          <cell r="B3" t="str">
            <v>ShobizExpCommuPvtLtd</v>
          </cell>
        </row>
        <row r="3">
          <cell r="D3">
            <v>267085</v>
          </cell>
        </row>
        <row r="4">
          <cell r="B4" t="str">
            <v>ShobizExpCommuPvtLtd</v>
          </cell>
        </row>
        <row r="4">
          <cell r="D4">
            <v>816497</v>
          </cell>
        </row>
        <row r="5">
          <cell r="B5" t="str">
            <v>ShobizExpCommuPvtLtd</v>
          </cell>
        </row>
        <row r="5">
          <cell r="D5">
            <v>8947662</v>
          </cell>
        </row>
        <row r="6">
          <cell r="B6" t="str">
            <v>ShobizExpCommuPvtLtd</v>
          </cell>
        </row>
        <row r="6">
          <cell r="D6">
            <v>657878</v>
          </cell>
        </row>
        <row r="7">
          <cell r="B7" t="str">
            <v>ShobizExpCommuPvtLtd</v>
          </cell>
        </row>
        <row r="7">
          <cell r="D7">
            <v>2023671</v>
          </cell>
        </row>
        <row r="8">
          <cell r="B8" t="str">
            <v>ShobizExpCommuPvtLtd</v>
          </cell>
        </row>
        <row r="8">
          <cell r="D8">
            <v>8042974</v>
          </cell>
        </row>
        <row r="9">
          <cell r="B9" t="str">
            <v>ShobizExpCommuPvtLtd</v>
          </cell>
        </row>
        <row r="9">
          <cell r="D9">
            <v>3711693</v>
          </cell>
        </row>
        <row r="10">
          <cell r="B10" t="str">
            <v>ShobizExpCommuPvtLtd</v>
          </cell>
        </row>
        <row r="10">
          <cell r="D10">
            <v>66994968</v>
          </cell>
        </row>
        <row r="11">
          <cell r="B11" t="str">
            <v>ShobizExpCommuPvtLtd</v>
          </cell>
        </row>
        <row r="11">
          <cell r="D11">
            <v>53149148</v>
          </cell>
        </row>
        <row r="12">
          <cell r="B12" t="str">
            <v>ShobizExpCommuPvtLtd</v>
          </cell>
        </row>
        <row r="12">
          <cell r="D12">
            <v>15218340</v>
          </cell>
        </row>
        <row r="13">
          <cell r="B13" t="str">
            <v>ShobizExpCommuPvtLtd</v>
          </cell>
        </row>
        <row r="13">
          <cell r="D13">
            <v>134879985</v>
          </cell>
        </row>
        <row r="14">
          <cell r="B14" t="str">
            <v>ShobizExperientialCommunicationsPvtLtd(ISD</v>
          </cell>
        </row>
        <row r="14">
          <cell r="D14">
            <v>2934938</v>
          </cell>
        </row>
        <row r="15">
          <cell r="B15" t="str">
            <v>AccentureSolutionsPvtLtd</v>
          </cell>
          <cell r="C15">
            <v>507914</v>
          </cell>
          <cell r="D15">
            <v>1201974</v>
          </cell>
        </row>
        <row r="16">
          <cell r="B16" t="str">
            <v>AccentureSolutionsPvtLtd</v>
          </cell>
          <cell r="C16">
            <v>3317239</v>
          </cell>
          <cell r="D16">
            <v>1879965</v>
          </cell>
        </row>
        <row r="17">
          <cell r="B17" t="str">
            <v>AdobeSystemsIndiaPvtLtd</v>
          </cell>
          <cell r="C17">
            <v>15724656</v>
          </cell>
          <cell r="D17">
            <v>2013080</v>
          </cell>
        </row>
        <row r="18">
          <cell r="B18" t="str">
            <v>AerobodeOnePvtLtd</v>
          </cell>
          <cell r="C18">
            <v>51690</v>
          </cell>
        </row>
        <row r="19">
          <cell r="B19" t="str">
            <v>AirIndiaExpressLtd</v>
          </cell>
          <cell r="C19">
            <v>111702</v>
          </cell>
        </row>
        <row r="20">
          <cell r="B20" t="str">
            <v>AmazonDevelopmentCentre(India)PvtLtd</v>
          </cell>
          <cell r="C20">
            <v>636261</v>
          </cell>
        </row>
        <row r="21">
          <cell r="B21" t="str">
            <v>AmazonSellerServicesIndiaPvtLtd</v>
          </cell>
          <cell r="C21">
            <v>454695</v>
          </cell>
          <cell r="D21">
            <v>40238</v>
          </cell>
        </row>
        <row r="22">
          <cell r="B22" t="str">
            <v>AmwayIndiaEnterprisesPvtLtd</v>
          </cell>
        </row>
        <row r="22">
          <cell r="D22">
            <v>15427381</v>
          </cell>
        </row>
        <row r="23">
          <cell r="B23" t="str">
            <v>ApparelResourcesPvtLtd</v>
          </cell>
        </row>
        <row r="23">
          <cell r="D23">
            <v>686642</v>
          </cell>
        </row>
        <row r="24">
          <cell r="B24" t="str">
            <v>ArligaEcoworldInfrastructurePvtLtd</v>
          </cell>
          <cell r="C24">
            <v>2825192</v>
          </cell>
          <cell r="D24">
            <v>562775</v>
          </cell>
        </row>
        <row r="25">
          <cell r="B25" t="str">
            <v>ArnonBuilders&amp;DevelopersLimited</v>
          </cell>
          <cell r="C25">
            <v>778021</v>
          </cell>
        </row>
        <row r="26">
          <cell r="B26" t="str">
            <v>AsiaPacificTravelRetailAssociation</v>
          </cell>
        </row>
        <row r="26">
          <cell r="D26">
            <v>6909511</v>
          </cell>
        </row>
        <row r="27">
          <cell r="B27" t="str">
            <v>AspenBuildtechLimited</v>
          </cell>
          <cell r="C27">
            <v>572640</v>
          </cell>
        </row>
        <row r="28">
          <cell r="B28" t="str">
            <v>AstrazenecaIndiaPrivateLimited</v>
          </cell>
        </row>
        <row r="28">
          <cell r="D28">
            <v>111005</v>
          </cell>
        </row>
        <row r="29">
          <cell r="B29" t="str">
            <v>AsusIndiaPVtLtd</v>
          </cell>
        </row>
        <row r="29">
          <cell r="D29">
            <v>178187</v>
          </cell>
        </row>
        <row r="30">
          <cell r="B30" t="str">
            <v>AutodeskIndiaPvtLtd</v>
          </cell>
          <cell r="C30">
            <v>3650151</v>
          </cell>
        </row>
        <row r="31">
          <cell r="B31" t="str">
            <v>BengaluruAirportServicesLtd</v>
          </cell>
        </row>
        <row r="31">
          <cell r="D31">
            <v>2893372</v>
          </cell>
        </row>
        <row r="32">
          <cell r="B32" t="str">
            <v>BumblebeeNetworks</v>
          </cell>
        </row>
        <row r="32">
          <cell r="D32">
            <v>449822</v>
          </cell>
        </row>
        <row r="33">
          <cell r="B33" t="str">
            <v>BYDIndiaPvtLtd</v>
          </cell>
          <cell r="C33">
            <v>22061731</v>
          </cell>
          <cell r="D33">
            <v>572241</v>
          </cell>
        </row>
        <row r="34">
          <cell r="B34" t="str">
            <v>CandorGurgaonOneRealtyProjectsPvtLtd</v>
          </cell>
          <cell r="C34">
            <v>1972896</v>
          </cell>
        </row>
        <row r="35">
          <cell r="B35" t="str">
            <v>CandorKolkataOneHi</v>
          </cell>
          <cell r="C35">
            <v>2015457</v>
          </cell>
          <cell r="D35">
            <v>1917896</v>
          </cell>
        </row>
        <row r="36">
          <cell r="B36" t="str">
            <v>CellvestEnergyPvtLtd</v>
          </cell>
          <cell r="C36">
            <v>637866</v>
          </cell>
        </row>
        <row r="37">
          <cell r="B37" t="str">
            <v>CIOAssociation</v>
          </cell>
          <cell r="C37">
            <v>597323</v>
          </cell>
          <cell r="D37">
            <v>206668</v>
          </cell>
        </row>
        <row r="38">
          <cell r="B38" t="str">
            <v>CitibankNA</v>
          </cell>
        </row>
        <row r="38">
          <cell r="D38">
            <v>12980</v>
          </cell>
        </row>
        <row r="39">
          <cell r="B39" t="str">
            <v>ClarivateAnalyticsIndiaPrivateLimited</v>
          </cell>
        </row>
        <row r="39">
          <cell r="D39">
            <v>909869</v>
          </cell>
        </row>
        <row r="40">
          <cell r="B40" t="str">
            <v>CognizantTechnologySolutionsIndiaPvtLtd</v>
          </cell>
          <cell r="C40">
            <v>40842336</v>
          </cell>
          <cell r="D40">
            <v>9229933</v>
          </cell>
        </row>
        <row r="41">
          <cell r="B41" t="str">
            <v>CTERANetworksLtd</v>
          </cell>
        </row>
        <row r="41">
          <cell r="D41">
            <v>802400</v>
          </cell>
        </row>
        <row r="42">
          <cell r="B42" t="str">
            <v>DbsBankIndiaLimited</v>
          </cell>
          <cell r="C42">
            <v>1028382</v>
          </cell>
          <cell r="D42">
            <v>2359802</v>
          </cell>
        </row>
        <row r="43">
          <cell r="B43" t="str">
            <v>DellInternationalServicesIndiaPrivateLimited</v>
          </cell>
          <cell r="C43">
            <v>34956320</v>
          </cell>
          <cell r="D43">
            <v>22989326</v>
          </cell>
        </row>
        <row r="44">
          <cell r="B44" t="str">
            <v>DeltaElectronicsIndiaPvtLtd</v>
          </cell>
        </row>
        <row r="44">
          <cell r="D44">
            <v>3442426</v>
          </cell>
        </row>
        <row r="45">
          <cell r="B45" t="e">
            <v>#N/A</v>
          </cell>
          <cell r="C45">
            <v>2224577</v>
          </cell>
        </row>
        <row r="46">
          <cell r="B46" t="str">
            <v>DwaMediaPvtLtd</v>
          </cell>
          <cell r="C46">
            <v>708000</v>
          </cell>
        </row>
        <row r="47">
          <cell r="B47" t="str">
            <v>EicherMotorsLimited</v>
          </cell>
          <cell r="C47">
            <v>439898</v>
          </cell>
        </row>
        <row r="48">
          <cell r="B48" t="str">
            <v>EquinoxBusinessParksPvtLtd</v>
          </cell>
          <cell r="C48">
            <v>1755182</v>
          </cell>
          <cell r="D48">
            <v>1073045</v>
          </cell>
        </row>
        <row r="49">
          <cell r="B49" t="str">
            <v>FestusPropertiesPvtLtd</v>
          </cell>
          <cell r="C49">
            <v>206759</v>
          </cell>
        </row>
        <row r="50">
          <cell r="B50" t="str">
            <v>FxFirstBasisRiskConsultingLLP</v>
          </cell>
          <cell r="C50">
            <v>557600</v>
          </cell>
        </row>
        <row r="51">
          <cell r="B51" t="str">
            <v>GitHubIndiaPvtLtd</v>
          </cell>
          <cell r="C51">
            <v>2078697</v>
          </cell>
          <cell r="D51">
            <v>14874710</v>
          </cell>
        </row>
        <row r="52">
          <cell r="B52" t="str">
            <v>GlaxoSmithKlineConsumerPvtLtd</v>
          </cell>
          <cell r="C52">
            <v>1777233</v>
          </cell>
          <cell r="D52">
            <v>12960</v>
          </cell>
        </row>
        <row r="53">
          <cell r="B53" t="str">
            <v>GlitchMediaPvtLtd</v>
          </cell>
          <cell r="C53">
            <v>3877048</v>
          </cell>
        </row>
        <row r="54">
          <cell r="B54" t="str">
            <v>GocServicesIndiaPvtLtd</v>
          </cell>
        </row>
        <row r="54">
          <cell r="D54">
            <v>2113556</v>
          </cell>
        </row>
        <row r="55">
          <cell r="B55" t="str">
            <v>GodrejConsumerProductsLtd</v>
          </cell>
          <cell r="C55">
            <v>30652</v>
          </cell>
        </row>
        <row r="56">
          <cell r="B56" t="str">
            <v>GodrejPropertiesLimited</v>
          </cell>
        </row>
        <row r="56">
          <cell r="D56">
            <v>2908746</v>
          </cell>
        </row>
        <row r="57">
          <cell r="B57" t="str">
            <v>GoogleIndiaPrivateLimited</v>
          </cell>
          <cell r="C57">
            <v>23222388</v>
          </cell>
        </row>
        <row r="58">
          <cell r="B58" t="str">
            <v>GoogleIndiaPrivateLimited</v>
          </cell>
          <cell r="C58">
            <v>4838042</v>
          </cell>
        </row>
        <row r="59">
          <cell r="B59" t="str">
            <v>GreenlamIndustriesLimited</v>
          </cell>
        </row>
        <row r="59">
          <cell r="D59">
            <v>1574719</v>
          </cell>
        </row>
        <row r="60">
          <cell r="B60" t="str">
            <v>HavasSingaporePteLtdDR</v>
          </cell>
          <cell r="C60">
            <v>146101</v>
          </cell>
          <cell r="D60">
            <v>10896</v>
          </cell>
        </row>
        <row r="61">
          <cell r="B61" t="str">
            <v>HavmorIceCreamPrivateLimited</v>
          </cell>
          <cell r="C61">
            <v>448786</v>
          </cell>
        </row>
        <row r="62">
          <cell r="B62" t="str">
            <v>HeroMotocorpLtd</v>
          </cell>
          <cell r="C62">
            <v>9734019</v>
          </cell>
          <cell r="D62">
            <v>2920677</v>
          </cell>
        </row>
        <row r="63">
          <cell r="B63" t="str">
            <v>HewlettPackardEnterpriseCompany</v>
          </cell>
          <cell r="C63">
            <v>167309</v>
          </cell>
        </row>
        <row r="64">
          <cell r="B64" t="str">
            <v>HewlettPackardEnterpriseIndiaPrivateLimited</v>
          </cell>
          <cell r="C64">
            <v>1875953</v>
          </cell>
        </row>
        <row r="65">
          <cell r="B65" t="str">
            <v>HewlettPackardEnterpriseIndiaPrivateLimited</v>
          </cell>
          <cell r="C65">
            <v>70778962</v>
          </cell>
          <cell r="D65">
            <v>1827584</v>
          </cell>
        </row>
        <row r="66">
          <cell r="B66" t="str">
            <v>HindustanPetroleumCorporationLtd</v>
          </cell>
          <cell r="C66">
            <v>904342</v>
          </cell>
        </row>
        <row r="67">
          <cell r="B67" t="str">
            <v>HindustanUnileverLimited</v>
          </cell>
          <cell r="C67">
            <v>90965184</v>
          </cell>
          <cell r="D67">
            <v>3672223863</v>
          </cell>
        </row>
        <row r="68">
          <cell r="B68" t="str">
            <v>HitachiVantaraIndiaPrivateLimited</v>
          </cell>
        </row>
        <row r="68">
          <cell r="D68">
            <v>608880</v>
          </cell>
        </row>
        <row r="69">
          <cell r="B69" t="str">
            <v>IKEAIndiaPvtLtd</v>
          </cell>
          <cell r="C69">
            <v>751380</v>
          </cell>
        </row>
        <row r="70">
          <cell r="B70" t="str">
            <v>IndianElectrical&amp;Electronics</v>
          </cell>
          <cell r="C70">
            <v>765684</v>
          </cell>
        </row>
        <row r="71">
          <cell r="B71" t="str">
            <v>IndianExplosivesPvtLtd</v>
          </cell>
          <cell r="C71">
            <v>2327424</v>
          </cell>
        </row>
        <row r="72">
          <cell r="B72" t="str">
            <v>IngkaServicesLLP</v>
          </cell>
          <cell r="C72">
            <v>1547631</v>
          </cell>
        </row>
        <row r="73">
          <cell r="B73" t="str">
            <v>IngramMicroIndiaPrivateLimited</v>
          </cell>
          <cell r="C73">
            <v>3540000</v>
          </cell>
        </row>
        <row r="74">
          <cell r="B74" t="str">
            <v>InnoceanWorldwideCommunicationPvtLtd</v>
          </cell>
          <cell r="C74">
            <v>4986214</v>
          </cell>
          <cell r="D74">
            <v>12736225</v>
          </cell>
        </row>
        <row r="75">
          <cell r="B75" t="str">
            <v>IntelAmericasINC</v>
          </cell>
        </row>
        <row r="75">
          <cell r="D75">
            <v>2030889</v>
          </cell>
        </row>
        <row r="76">
          <cell r="B76" t="str">
            <v>IntelSolutions&amp;ServicesIndiaPrivateLimited</v>
          </cell>
          <cell r="C76">
            <v>1945798</v>
          </cell>
        </row>
        <row r="77">
          <cell r="B77" t="str">
            <v>IntelTechnologyIndiaPrivateLimited</v>
          </cell>
          <cell r="C77">
            <v>1032557</v>
          </cell>
          <cell r="D77">
            <v>632471</v>
          </cell>
        </row>
        <row r="78">
          <cell r="B78" t="str">
            <v>JamfIndiaPvtLtd</v>
          </cell>
        </row>
        <row r="78">
          <cell r="D78">
            <v>2680454</v>
          </cell>
        </row>
        <row r="79">
          <cell r="B79" t="str">
            <v>JubilantFoodworksLimited</v>
          </cell>
          <cell r="C79">
            <v>3128480</v>
          </cell>
        </row>
        <row r="80">
          <cell r="B80" t="str">
            <v>KairosPropertiesPrivateLimited</v>
          </cell>
          <cell r="C80">
            <v>1948550</v>
          </cell>
          <cell r="D80">
            <v>1619028</v>
          </cell>
        </row>
        <row r="81">
          <cell r="B81" t="str">
            <v>KiranNadarMuseumofArt</v>
          </cell>
          <cell r="C81">
            <v>1027367</v>
          </cell>
        </row>
        <row r="82">
          <cell r="B82" t="str">
            <v>KotakMahindraBankLtd</v>
          </cell>
        </row>
        <row r="82">
          <cell r="D82">
            <v>857450</v>
          </cell>
        </row>
        <row r="83">
          <cell r="B83" t="str">
            <v>KurlonEnterpriseLtd</v>
          </cell>
          <cell r="C83">
            <v>116820</v>
          </cell>
        </row>
        <row r="84">
          <cell r="B84" t="str">
            <v>LakmeLeverPrivateLimited</v>
          </cell>
          <cell r="C84">
            <v>25407863</v>
          </cell>
        </row>
        <row r="85">
          <cell r="B85" t="str">
            <v>LenovoGlobalTechnology(India)PvtLtd</v>
          </cell>
          <cell r="C85">
            <v>4627332</v>
          </cell>
        </row>
        <row r="86">
          <cell r="B86" t="str">
            <v>Lenovo(India)PvtLtd</v>
          </cell>
          <cell r="C86">
            <v>2950000</v>
          </cell>
          <cell r="D86">
            <v>1096003</v>
          </cell>
        </row>
        <row r="87">
          <cell r="B87" t="str">
            <v>LightspeedIndiaPartnersAdvisorsLLP</v>
          </cell>
          <cell r="C87">
            <v>686123</v>
          </cell>
          <cell r="D87">
            <v>686123</v>
          </cell>
        </row>
        <row r="88">
          <cell r="B88" t="str">
            <v>LorealIndiaPvtLtd</v>
          </cell>
        </row>
        <row r="88">
          <cell r="D88">
            <v>212400</v>
          </cell>
        </row>
        <row r="89">
          <cell r="B89" t="str">
            <v>Mahindra&amp;MahindraLtd</v>
          </cell>
        </row>
        <row r="89">
          <cell r="D89">
            <v>75414</v>
          </cell>
        </row>
        <row r="90">
          <cell r="B90" t="str">
            <v>MetroCash&amp;CarryIndiaPvtLtd</v>
          </cell>
        </row>
        <row r="90">
          <cell r="D90">
            <v>2627452</v>
          </cell>
        </row>
        <row r="91">
          <cell r="B91" t="str">
            <v>MicrosoftCorporation(I)PvtLtd</v>
          </cell>
          <cell r="C91">
            <v>1844792</v>
          </cell>
        </row>
        <row r="92">
          <cell r="B92" t="str">
            <v>MindaCorporationLimited</v>
          </cell>
          <cell r="C92">
            <v>1103045</v>
          </cell>
        </row>
        <row r="93">
          <cell r="B93" t="str">
            <v>MumbaiTravelRetailPvtLtd</v>
          </cell>
        </row>
        <row r="93">
          <cell r="D93">
            <v>1413451</v>
          </cell>
        </row>
        <row r="94">
          <cell r="B94" t="str">
            <v>NatWestDigitalServicesIndiaPvtLtd(FormerlyKnownasRBSServicesIndiaPvtLtd)</v>
          </cell>
        </row>
        <row r="94">
          <cell r="D94">
            <v>646365</v>
          </cell>
        </row>
        <row r="95">
          <cell r="B95" t="str">
            <v>Neo4JIndiaPrivateLimited</v>
          </cell>
          <cell r="C95">
            <v>29947</v>
          </cell>
        </row>
        <row r="96">
          <cell r="B96" t="str">
            <v>Network18Media&amp;InvestmentsLimited</v>
          </cell>
          <cell r="C96">
            <v>240285</v>
          </cell>
        </row>
        <row r="97">
          <cell r="B97" t="str">
            <v>NextLeapCareerSolutionsPvtLtd</v>
          </cell>
          <cell r="C97">
            <v>1804671</v>
          </cell>
        </row>
        <row r="98">
          <cell r="B98" t="str">
            <v>NmdcDataCentrePrivateLimited</v>
          </cell>
          <cell r="C98">
            <v>1043532</v>
          </cell>
        </row>
        <row r="99">
          <cell r="B99" t="str">
            <v>NorthlandHoldingCompanyPvtLtd(JWMarriottPrestigeGolfshire)</v>
          </cell>
        </row>
        <row r="99">
          <cell r="D99">
            <v>147417</v>
          </cell>
        </row>
        <row r="100">
          <cell r="B100" t="str">
            <v>NovoNordiskIndiaPvtLtd</v>
          </cell>
          <cell r="C100">
            <v>976059</v>
          </cell>
        </row>
        <row r="101">
          <cell r="B101" t="str">
            <v>NovoNordiskPharma(Singapore)PteLtd</v>
          </cell>
        </row>
        <row r="101">
          <cell r="D101">
            <v>85668</v>
          </cell>
        </row>
        <row r="102">
          <cell r="B102" t="str">
            <v>NTTDATABusinessSolutionsPvtLtd</v>
          </cell>
          <cell r="C102">
            <v>13144192</v>
          </cell>
          <cell r="D102">
            <v>1008092</v>
          </cell>
        </row>
        <row r="103">
          <cell r="B103" t="str">
            <v>OakInfrastructureDevelopersLimited</v>
          </cell>
          <cell r="C103">
            <v>693604</v>
          </cell>
        </row>
        <row r="104">
          <cell r="B104" t="str">
            <v>OlaElectricTechnologiesPvtLtd</v>
          </cell>
          <cell r="C104">
            <v>1003059</v>
          </cell>
        </row>
        <row r="105">
          <cell r="B105" t="str">
            <v>OnePlusTechnologyIndiaPvtLtd</v>
          </cell>
          <cell r="C105">
            <v>18710550</v>
          </cell>
          <cell r="D105">
            <v>3370768</v>
          </cell>
        </row>
        <row r="106">
          <cell r="B106" t="str">
            <v>OrientElectricLtd</v>
          </cell>
          <cell r="C106">
            <v>8002228</v>
          </cell>
        </row>
        <row r="107">
          <cell r="B107" t="str">
            <v>PanasonicLifeSolutionsIndiaPvtLtd</v>
          </cell>
          <cell r="C107">
            <v>57488</v>
          </cell>
          <cell r="D107">
            <v>4997</v>
          </cell>
        </row>
        <row r="108">
          <cell r="B108" t="str">
            <v>ParthosPropertiesPvtLtd</v>
          </cell>
          <cell r="C108">
            <v>58151</v>
          </cell>
        </row>
        <row r="109">
          <cell r="B109" t="str">
            <v>PernodRicardIndiaPvtLtd</v>
          </cell>
          <cell r="C109">
            <v>916596</v>
          </cell>
        </row>
        <row r="110">
          <cell r="B110" t="str">
            <v>PMGIntegratedCommunicationsPvtLtd</v>
          </cell>
        </row>
        <row r="110">
          <cell r="D110">
            <v>1851129</v>
          </cell>
        </row>
        <row r="111">
          <cell r="B111" t="str">
            <v>PraniMedia</v>
          </cell>
          <cell r="C111">
            <v>119700</v>
          </cell>
        </row>
        <row r="112">
          <cell r="B112" t="str">
            <v>RainFocus</v>
          </cell>
        </row>
        <row r="112">
          <cell r="D112">
            <v>12473334</v>
          </cell>
        </row>
        <row r="113">
          <cell r="B113" t="str">
            <v>RedefineMarcomPvtLtd</v>
          </cell>
          <cell r="C113">
            <v>5133000</v>
          </cell>
        </row>
        <row r="114">
          <cell r="B114" t="str">
            <v>RedHatIndiaPvtLtd</v>
          </cell>
          <cell r="C114">
            <v>9338752</v>
          </cell>
          <cell r="D114">
            <v>870840</v>
          </cell>
        </row>
        <row r="115">
          <cell r="B115" t="str">
            <v>RedingtonLtd</v>
          </cell>
          <cell r="C115">
            <v>5777527</v>
          </cell>
          <cell r="D115">
            <v>4943130</v>
          </cell>
        </row>
        <row r="116">
          <cell r="B116" t="str">
            <v>RegencyCeramicsLtd</v>
          </cell>
          <cell r="C116">
            <v>793229</v>
          </cell>
        </row>
        <row r="117">
          <cell r="B117" t="str">
            <v>RenaultNissanTechnology&amp;BusinessCentreIndiaPrivateLimited</v>
          </cell>
        </row>
        <row r="117">
          <cell r="D117">
            <v>220011</v>
          </cell>
        </row>
        <row r="118">
          <cell r="B118" t="str">
            <v>SAPIndiaPvtLtd</v>
          </cell>
        </row>
        <row r="118">
          <cell r="D118">
            <v>1657059234</v>
          </cell>
        </row>
        <row r="119">
          <cell r="B119" t="str">
            <v>SAPLabsIndiaPvtLtd</v>
          </cell>
          <cell r="C119">
            <v>1141379</v>
          </cell>
          <cell r="D119">
            <v>138261088</v>
          </cell>
        </row>
        <row r="120">
          <cell r="B120" t="str">
            <v>SchneiderElectricIndiaPvtLtd</v>
          </cell>
          <cell r="C120">
            <v>1422413</v>
          </cell>
        </row>
        <row r="121">
          <cell r="B121" t="str">
            <v>ScholasticIndiaPvtLtd</v>
          </cell>
          <cell r="C121">
            <v>3894</v>
          </cell>
        </row>
        <row r="122">
          <cell r="B122" t="str">
            <v>SeaviewDevelopersPvtLtd</v>
          </cell>
          <cell r="C122">
            <v>2464047</v>
          </cell>
        </row>
        <row r="123">
          <cell r="B123" t="str">
            <v>ServiceNowSoftwareDevelopmentIndiaPvtLtd</v>
          </cell>
        </row>
        <row r="123">
          <cell r="D123">
            <v>6041069</v>
          </cell>
        </row>
        <row r="124">
          <cell r="B124" t="str">
            <v>ShantiniketanPropertiesPvtLtd</v>
          </cell>
          <cell r="C124">
            <v>2406061</v>
          </cell>
        </row>
        <row r="125">
          <cell r="B125" t="str">
            <v>SheelaFoamLtd</v>
          </cell>
          <cell r="C125">
            <v>5761337</v>
          </cell>
        </row>
        <row r="126">
          <cell r="B126" t="str">
            <v>SiemensFinancialServicesPrivateLimited</v>
          </cell>
          <cell r="C126">
            <v>5721</v>
          </cell>
        </row>
        <row r="127">
          <cell r="B127" t="str">
            <v>SiemensHealthcarePvtLtd</v>
          </cell>
          <cell r="C127">
            <v>18667936</v>
          </cell>
        </row>
        <row r="128">
          <cell r="B128" t="str">
            <v>SiemensLtd</v>
          </cell>
          <cell r="C128">
            <v>6373006</v>
          </cell>
          <cell r="D128">
            <v>8114680</v>
          </cell>
        </row>
        <row r="129">
          <cell r="B129" t="str">
            <v>SiemensRailAutomationPvtLtd</v>
          </cell>
          <cell r="C129">
            <v>3286430</v>
          </cell>
        </row>
        <row r="130">
          <cell r="B130" t="str">
            <v>SiemensTechnologyAndServicesPvtLtd</v>
          </cell>
          <cell r="C130">
            <v>4422184</v>
          </cell>
        </row>
        <row r="131">
          <cell r="B131" t="str">
            <v>SifyTechnologiesLimited</v>
          </cell>
          <cell r="C131">
            <v>119416</v>
          </cell>
        </row>
        <row r="132">
          <cell r="B132" t="str">
            <v>SignifyInnovationsIndiaLtd</v>
          </cell>
          <cell r="C132">
            <v>262073</v>
          </cell>
        </row>
        <row r="133">
          <cell r="B133" t="str">
            <v>SingaporeInvestcorpIndiaPvtLtd</v>
          </cell>
          <cell r="C133">
            <v>947356</v>
          </cell>
          <cell r="D133">
            <v>412414</v>
          </cell>
        </row>
        <row r="134">
          <cell r="B134" t="str">
            <v>SkodaAutoVolkswagenIndiaPvtLtd</v>
          </cell>
          <cell r="C134">
            <v>4944090</v>
          </cell>
        </row>
        <row r="135">
          <cell r="B135" t="str">
            <v>SkyflowLabsIndiaPvtLtd</v>
          </cell>
          <cell r="C135">
            <v>404875</v>
          </cell>
          <cell r="D135">
            <v>232630</v>
          </cell>
        </row>
        <row r="136">
          <cell r="B136" t="str">
            <v>SoftcellTechnologiesGlobalPvtLtd</v>
          </cell>
        </row>
        <row r="136">
          <cell r="D136">
            <v>374271</v>
          </cell>
        </row>
        <row r="137">
          <cell r="B137" t="str">
            <v>SonataSoftwareLtd</v>
          </cell>
          <cell r="C137">
            <v>7080</v>
          </cell>
        </row>
        <row r="138">
          <cell r="B138" t="str">
            <v>StarIndiaPvtLtd</v>
          </cell>
          <cell r="C138">
            <v>1228797</v>
          </cell>
        </row>
        <row r="139">
          <cell r="B139" t="str">
            <v>StritonPropertiesPvtLtd</v>
          </cell>
          <cell r="C139">
            <v>2354468</v>
          </cell>
        </row>
        <row r="140">
          <cell r="B140" t="e">
            <v>#N/A</v>
          </cell>
        </row>
        <row r="140">
          <cell r="D140">
            <v>398012</v>
          </cell>
        </row>
        <row r="141">
          <cell r="B141" t="str">
            <v>TallySolutionsPvtLtd</v>
          </cell>
        </row>
        <row r="141">
          <cell r="D141">
            <v>1484802</v>
          </cell>
        </row>
        <row r="142">
          <cell r="B142" t="str">
            <v>TataAdvancedSystemsLimited</v>
          </cell>
          <cell r="C142">
            <v>73957</v>
          </cell>
        </row>
        <row r="143">
          <cell r="B143" t="str">
            <v>TATAConsultancyServicesLtd</v>
          </cell>
          <cell r="C143">
            <v>2310902</v>
          </cell>
          <cell r="D143">
            <v>28018</v>
          </cell>
        </row>
        <row r="144">
          <cell r="B144" t="str">
            <v>TataMotorsPassengerVehiclesLtd</v>
          </cell>
        </row>
        <row r="144">
          <cell r="D144">
            <v>9313598</v>
          </cell>
        </row>
        <row r="145">
          <cell r="B145" t="str">
            <v>TechDataAdvancedPvtLtd</v>
          </cell>
          <cell r="C145">
            <v>488676</v>
          </cell>
        </row>
        <row r="146">
          <cell r="B146" t="str">
            <v>TechnoBindSolutionsPvtLtd</v>
          </cell>
        </row>
        <row r="146">
          <cell r="D146">
            <v>1265070</v>
          </cell>
        </row>
        <row r="147">
          <cell r="B147" t="str">
            <v>TechtalesMarketingAndExperiencesPrivateLimited</v>
          </cell>
          <cell r="C147">
            <v>3042040</v>
          </cell>
        </row>
        <row r="148">
          <cell r="B148" t="str">
            <v>TheBostonConsultingGroup(India)PvtLtd</v>
          </cell>
          <cell r="C148">
            <v>5398148</v>
          </cell>
        </row>
        <row r="149">
          <cell r="B149" t="str">
            <v>TheIndianExpressPvtLtd</v>
          </cell>
          <cell r="C149">
            <v>72570000</v>
          </cell>
          <cell r="D149">
            <v>12626000</v>
          </cell>
        </row>
        <row r="150">
          <cell r="B150" t="str">
            <v>TheIndianHotelsCompanyLtd</v>
          </cell>
          <cell r="C150">
            <v>159300</v>
          </cell>
        </row>
        <row r="151">
          <cell r="B151" t="str">
            <v>TheWestinRaleighDurhamInternational</v>
          </cell>
          <cell r="C151">
            <v>76414</v>
          </cell>
        </row>
        <row r="152">
          <cell r="B152" t="str">
            <v>TvsSrichakraLimitd</v>
          </cell>
          <cell r="C152">
            <v>62959</v>
          </cell>
          <cell r="D152">
            <v>19028</v>
          </cell>
        </row>
        <row r="153">
          <cell r="B153" t="str">
            <v>TvsVehicleMobilitySolutionPvtLtd</v>
          </cell>
          <cell r="C153">
            <v>12980</v>
          </cell>
        </row>
        <row r="154">
          <cell r="B154" t="str">
            <v>UnileverIndustriesPrivateLimited</v>
          </cell>
          <cell r="C154">
            <v>2707944</v>
          </cell>
        </row>
        <row r="155">
          <cell r="B155" t="str">
            <v>V5TechSolIndiaLLP</v>
          </cell>
          <cell r="C155">
            <v>705788</v>
          </cell>
        </row>
        <row r="156">
          <cell r="B156" t="str">
            <v>VantageoPrivateLimited</v>
          </cell>
          <cell r="C156">
            <v>6000</v>
          </cell>
        </row>
        <row r="157">
          <cell r="B157" t="str">
            <v>VinfastAutoIndiaPvtLtd</v>
          </cell>
        </row>
        <row r="157">
          <cell r="D157">
            <v>18941537</v>
          </cell>
        </row>
        <row r="158">
          <cell r="B158" t="str">
            <v>VivoMobileIndiaPrivateLimited</v>
          </cell>
        </row>
        <row r="158">
          <cell r="D158">
            <v>25504225</v>
          </cell>
        </row>
        <row r="159">
          <cell r="B159" t="str">
            <v>VmwareSoftwareIndiaPvtLtd</v>
          </cell>
          <cell r="C159">
            <v>3575533</v>
          </cell>
        </row>
        <row r="160">
          <cell r="B160" t="str">
            <v>WellaIndiaPvtLtd</v>
          </cell>
        </row>
        <row r="160">
          <cell r="D160">
            <v>3643068</v>
          </cell>
        </row>
        <row r="161">
          <cell r="B161" t="str">
            <v>WinnConnectionsGroupPtyLtd</v>
          </cell>
          <cell r="C161">
            <v>193729</v>
          </cell>
        </row>
        <row r="162">
          <cell r="B162" t="str">
            <v>WitwickyOnePvtLtd</v>
          </cell>
          <cell r="C162">
            <v>555638</v>
          </cell>
          <cell r="D162">
            <v>4031906</v>
          </cell>
        </row>
        <row r="163">
          <cell r="B163" t="e">
            <v>#N/A</v>
          </cell>
          <cell r="C163">
            <v>59846811093</v>
          </cell>
          <cell r="D163">
            <v>58244230621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"/>
  <sheetViews>
    <sheetView workbookViewId="0">
      <selection activeCell="D13" sqref="A1:D116"/>
    </sheetView>
  </sheetViews>
  <sheetFormatPr defaultColWidth="8.88888888888889" defaultRowHeight="10" outlineLevelCol="3"/>
  <cols>
    <col min="2" max="3" width="10.8888888888889" customWidth="1"/>
    <col min="4" max="4" width="18.5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554175148.7</v>
      </c>
      <c r="C2" s="2">
        <v>539803630.46</v>
      </c>
      <c r="D2" s="3">
        <v>-14371518.24</v>
      </c>
    </row>
    <row r="3" spans="1:4">
      <c r="A3" s="2" t="s">
        <v>5</v>
      </c>
      <c r="B3" s="2">
        <v>3027125.24</v>
      </c>
      <c r="C3" s="2">
        <v>6909511.24</v>
      </c>
      <c r="D3" s="3">
        <v>0</v>
      </c>
    </row>
    <row r="4" spans="1:4">
      <c r="A4" s="2" t="s">
        <v>6</v>
      </c>
      <c r="B4" s="2">
        <v>557600</v>
      </c>
      <c r="C4" s="2">
        <v>0</v>
      </c>
      <c r="D4" s="3">
        <v>-425600</v>
      </c>
    </row>
    <row r="5" spans="1:4">
      <c r="A5" s="2" t="s">
        <v>7</v>
      </c>
      <c r="B5" s="2">
        <v>0.14</v>
      </c>
      <c r="C5" s="2">
        <v>2030889.14</v>
      </c>
      <c r="D5" s="3">
        <v>2030889</v>
      </c>
    </row>
    <row r="6" spans="1:4">
      <c r="A6" s="2" t="s">
        <v>8</v>
      </c>
      <c r="B6" s="2">
        <v>1372245.4</v>
      </c>
      <c r="C6" s="2">
        <v>686123</v>
      </c>
      <c r="D6" s="3">
        <v>-617511</v>
      </c>
    </row>
    <row r="7" spans="1:4">
      <c r="A7" s="2" t="s">
        <v>9</v>
      </c>
      <c r="B7" s="2">
        <v>124733.34</v>
      </c>
      <c r="C7" s="2">
        <v>124733.34</v>
      </c>
      <c r="D7" s="3">
        <v>0</v>
      </c>
    </row>
    <row r="8" spans="1:4">
      <c r="A8" s="2" t="s">
        <v>10</v>
      </c>
      <c r="B8" s="2">
        <v>705788</v>
      </c>
      <c r="C8" s="2">
        <v>0</v>
      </c>
      <c r="D8" s="3">
        <v>-645975</v>
      </c>
    </row>
    <row r="9" spans="1:4">
      <c r="A9" s="2" t="s">
        <v>11</v>
      </c>
      <c r="B9" s="2">
        <v>597323</v>
      </c>
      <c r="C9" s="2">
        <v>206668</v>
      </c>
      <c r="D9" s="3">
        <v>-340034.39</v>
      </c>
    </row>
    <row r="10" spans="1:4">
      <c r="A10" s="2" t="s">
        <v>12</v>
      </c>
      <c r="B10" s="2">
        <v>0</v>
      </c>
      <c r="C10" s="2">
        <v>0</v>
      </c>
      <c r="D10" s="3">
        <v>0</v>
      </c>
    </row>
    <row r="11" spans="1:4">
      <c r="A11" s="2" t="s">
        <v>13</v>
      </c>
      <c r="B11" s="2" t="s">
        <v>14</v>
      </c>
      <c r="C11" s="2">
        <v>0</v>
      </c>
      <c r="D11" s="3">
        <v>-119700</v>
      </c>
    </row>
    <row r="12" spans="1:4">
      <c r="A12" s="2" t="s">
        <v>15</v>
      </c>
      <c r="B12" s="2">
        <v>556784</v>
      </c>
      <c r="C12" s="2">
        <v>0</v>
      </c>
      <c r="D12" s="3">
        <v>-726384</v>
      </c>
    </row>
    <row r="13" spans="1:4">
      <c r="A13" s="2" t="s">
        <v>16</v>
      </c>
      <c r="B13" s="2">
        <v>84350</v>
      </c>
      <c r="C13" s="2">
        <v>12960</v>
      </c>
      <c r="D13" s="3">
        <v>-70180</v>
      </c>
    </row>
    <row r="14" spans="1:4">
      <c r="A14" s="2" t="s">
        <v>17</v>
      </c>
      <c r="B14" s="2">
        <v>23222388</v>
      </c>
      <c r="C14" s="2">
        <v>0</v>
      </c>
      <c r="D14" s="3">
        <v>-22828788.21</v>
      </c>
    </row>
    <row r="15" spans="1:4">
      <c r="A15" s="2" t="s">
        <v>18</v>
      </c>
      <c r="B15" s="2">
        <v>254078.63</v>
      </c>
      <c r="C15" s="2">
        <v>0</v>
      </c>
      <c r="D15" s="3">
        <v>-254078.63</v>
      </c>
    </row>
    <row r="16" spans="1:4">
      <c r="A16" s="2" t="s">
        <v>19</v>
      </c>
      <c r="B16" s="2">
        <v>29947</v>
      </c>
      <c r="C16" s="2">
        <v>0</v>
      </c>
      <c r="D16" s="3">
        <v>-27409.08</v>
      </c>
    </row>
    <row r="17" spans="1:4">
      <c r="A17" s="2" t="s">
        <v>20</v>
      </c>
      <c r="B17" s="2">
        <v>197258.6</v>
      </c>
      <c r="C17" s="2">
        <v>0</v>
      </c>
      <c r="D17" s="3">
        <v>-236339.86</v>
      </c>
    </row>
    <row r="18" spans="1:4">
      <c r="A18" s="2" t="s">
        <v>21</v>
      </c>
      <c r="B18" s="2">
        <v>5456551</v>
      </c>
      <c r="C18" s="2">
        <v>870840</v>
      </c>
      <c r="D18" s="3">
        <v>-4435425</v>
      </c>
    </row>
    <row r="19" spans="1:4">
      <c r="A19" s="2" t="s">
        <v>22</v>
      </c>
      <c r="B19" s="2">
        <v>8596478.72</v>
      </c>
      <c r="C19" s="2">
        <v>16570592.72</v>
      </c>
      <c r="D19" s="3">
        <v>23734614</v>
      </c>
    </row>
    <row r="20" spans="1:4">
      <c r="A20" s="2" t="s">
        <v>23</v>
      </c>
      <c r="B20" s="2">
        <v>1.48</v>
      </c>
      <c r="C20" s="2">
        <v>6041070.48</v>
      </c>
      <c r="D20" s="3">
        <v>1303907</v>
      </c>
    </row>
    <row r="21" spans="1:4">
      <c r="A21" s="2" t="s">
        <v>24</v>
      </c>
      <c r="B21" s="2">
        <v>1231987.86</v>
      </c>
      <c r="C21" s="2">
        <v>8114680.86</v>
      </c>
      <c r="D21" s="3">
        <v>6912059</v>
      </c>
    </row>
    <row r="22" spans="1:4">
      <c r="A22" s="2" t="s">
        <v>25</v>
      </c>
      <c r="B22" s="2">
        <v>0.28</v>
      </c>
      <c r="C22" s="2">
        <v>28018.28</v>
      </c>
      <c r="D22" s="3">
        <v>28018</v>
      </c>
    </row>
    <row r="23" spans="1:4">
      <c r="A23" s="2" t="s">
        <v>26</v>
      </c>
      <c r="B23" s="2">
        <v>62959</v>
      </c>
      <c r="C23" s="2">
        <v>19028</v>
      </c>
      <c r="D23" s="3">
        <v>-39851.46</v>
      </c>
    </row>
    <row r="24" spans="1:4">
      <c r="A24" s="2" t="s">
        <v>27</v>
      </c>
      <c r="B24" s="2">
        <v>3014033.19</v>
      </c>
      <c r="C24" s="2">
        <v>3081940.19</v>
      </c>
      <c r="D24" s="3">
        <v>138100</v>
      </c>
    </row>
    <row r="25" spans="1:4">
      <c r="A25" s="2" t="s">
        <v>28</v>
      </c>
      <c r="B25" s="2">
        <v>1028382.2</v>
      </c>
      <c r="C25" s="2">
        <v>2359802.2</v>
      </c>
      <c r="D25" s="3">
        <v>1418571.2</v>
      </c>
    </row>
    <row r="26" spans="1:4">
      <c r="A26" s="2" t="s">
        <v>29</v>
      </c>
      <c r="B26" s="2">
        <v>0</v>
      </c>
      <c r="C26" s="2">
        <v>2627452</v>
      </c>
      <c r="D26" s="3">
        <v>2627452</v>
      </c>
    </row>
    <row r="27" spans="1:4">
      <c r="A27" s="2" t="s">
        <v>30</v>
      </c>
      <c r="B27" s="2">
        <v>646365</v>
      </c>
      <c r="C27" s="2">
        <v>646365</v>
      </c>
      <c r="D27" s="3">
        <v>64636.5</v>
      </c>
    </row>
    <row r="28" spans="1:4">
      <c r="A28" s="2" t="s">
        <v>31</v>
      </c>
      <c r="B28" s="2">
        <v>804671</v>
      </c>
      <c r="C28" s="2">
        <v>0</v>
      </c>
      <c r="D28" s="3">
        <v>-1748659</v>
      </c>
    </row>
    <row r="29" spans="1:4">
      <c r="A29" s="2" t="s">
        <v>32</v>
      </c>
      <c r="B29" s="2">
        <v>668339</v>
      </c>
      <c r="C29" s="2">
        <v>4943130</v>
      </c>
      <c r="D29" s="3">
        <v>4331429.98</v>
      </c>
    </row>
    <row r="30" spans="1:4">
      <c r="A30" s="2" t="s">
        <v>33</v>
      </c>
      <c r="B30" s="2">
        <v>0</v>
      </c>
      <c r="C30" s="2">
        <v>220011</v>
      </c>
      <c r="D30" s="3">
        <v>220011</v>
      </c>
    </row>
    <row r="31" spans="1:4">
      <c r="A31" s="2" t="s">
        <v>34</v>
      </c>
      <c r="B31" s="2">
        <v>1798928.47</v>
      </c>
      <c r="C31" s="2">
        <v>1382610.88</v>
      </c>
      <c r="D31" s="3">
        <v>207122.02</v>
      </c>
    </row>
    <row r="32" spans="1:4">
      <c r="A32" s="2" t="s">
        <v>35</v>
      </c>
      <c r="B32" s="2">
        <v>10890</v>
      </c>
      <c r="C32" s="2">
        <v>0</v>
      </c>
      <c r="D32" s="3">
        <v>-10590</v>
      </c>
    </row>
    <row r="33" spans="1:4">
      <c r="A33" s="2" t="s">
        <v>36</v>
      </c>
      <c r="B33" s="2">
        <v>17244225</v>
      </c>
      <c r="C33" s="2">
        <v>25504225</v>
      </c>
      <c r="D33" s="3">
        <v>8436388</v>
      </c>
    </row>
    <row r="34" spans="1:4">
      <c r="A34" s="2" t="s">
        <v>37</v>
      </c>
      <c r="B34" s="2">
        <v>0</v>
      </c>
      <c r="C34" s="2">
        <v>111005</v>
      </c>
      <c r="D34" s="3">
        <v>111005</v>
      </c>
    </row>
    <row r="35" spans="1:4">
      <c r="A35" s="2" t="s">
        <v>38</v>
      </c>
      <c r="B35" s="2">
        <v>341018.05</v>
      </c>
      <c r="C35" s="2">
        <v>9229934.05</v>
      </c>
      <c r="D35" s="3">
        <v>8919341.95</v>
      </c>
    </row>
    <row r="36" spans="1:4">
      <c r="A36" s="2" t="s">
        <v>39</v>
      </c>
      <c r="B36" s="2">
        <v>3877048</v>
      </c>
      <c r="C36" s="2">
        <v>0</v>
      </c>
      <c r="D36" s="3">
        <v>-3811335.33</v>
      </c>
    </row>
    <row r="37" spans="1:4">
      <c r="A37" s="2" t="s">
        <v>40</v>
      </c>
      <c r="B37" s="2">
        <v>751380</v>
      </c>
      <c r="C37" s="2">
        <v>0</v>
      </c>
      <c r="D37" s="3">
        <v>-687703.73</v>
      </c>
    </row>
    <row r="38" spans="1:4">
      <c r="A38" s="2" t="s">
        <v>41</v>
      </c>
      <c r="B38" s="2">
        <v>75414</v>
      </c>
      <c r="C38" s="2">
        <v>75414</v>
      </c>
      <c r="D38" s="3">
        <v>1279.2</v>
      </c>
    </row>
    <row r="39" spans="1:4">
      <c r="A39" s="2" t="s">
        <v>42</v>
      </c>
      <c r="B39" s="2">
        <v>0.4</v>
      </c>
      <c r="C39" s="2">
        <v>147417.4</v>
      </c>
      <c r="D39" s="3">
        <v>147417</v>
      </c>
    </row>
    <row r="40" spans="1:4">
      <c r="A40" s="2" t="s">
        <v>43</v>
      </c>
      <c r="B40" s="2">
        <v>7950308</v>
      </c>
      <c r="C40" s="2">
        <v>0</v>
      </c>
      <c r="D40" s="3">
        <v>-7814676</v>
      </c>
    </row>
    <row r="41" spans="1:4">
      <c r="A41" s="2" t="s">
        <v>44</v>
      </c>
      <c r="B41" s="2">
        <v>3575533</v>
      </c>
      <c r="C41" s="2">
        <v>0</v>
      </c>
      <c r="D41" s="3">
        <v>-3517960.86</v>
      </c>
    </row>
    <row r="42" spans="1:4">
      <c r="A42" s="2" t="s">
        <v>45</v>
      </c>
      <c r="B42" s="2">
        <v>636261</v>
      </c>
      <c r="C42" s="2">
        <v>0</v>
      </c>
      <c r="D42" s="3">
        <v>-625477.34</v>
      </c>
    </row>
    <row r="43" spans="1:4">
      <c r="A43" s="2" t="s">
        <v>46</v>
      </c>
      <c r="B43" s="2">
        <v>686642</v>
      </c>
      <c r="C43" s="2">
        <v>686642</v>
      </c>
      <c r="D43" s="3">
        <v>1098628</v>
      </c>
    </row>
    <row r="44" spans="1:4">
      <c r="A44" s="2" t="s">
        <v>47</v>
      </c>
      <c r="B44" s="2">
        <v>0</v>
      </c>
      <c r="C44" s="2">
        <v>178187</v>
      </c>
      <c r="D44" s="3">
        <v>178187</v>
      </c>
    </row>
    <row r="45" spans="1:4">
      <c r="A45" s="2" t="s">
        <v>48</v>
      </c>
      <c r="B45" s="2">
        <v>55000</v>
      </c>
      <c r="C45" s="2">
        <v>0</v>
      </c>
      <c r="D45" s="3">
        <v>-55000</v>
      </c>
    </row>
    <row r="46" spans="1:4">
      <c r="A46" s="2" t="s">
        <v>49</v>
      </c>
      <c r="B46" s="2">
        <v>18999475.4</v>
      </c>
      <c r="C46" s="2">
        <v>22989326.4</v>
      </c>
      <c r="D46" s="3">
        <v>5599976</v>
      </c>
    </row>
    <row r="47" spans="1:4">
      <c r="A47" s="2" t="s">
        <v>50</v>
      </c>
      <c r="B47" s="2">
        <v>21135.56</v>
      </c>
      <c r="C47" s="2">
        <v>21135.56</v>
      </c>
      <c r="D47" s="3">
        <v>0</v>
      </c>
    </row>
    <row r="48" spans="1:4">
      <c r="A48" s="2" t="s">
        <v>51</v>
      </c>
      <c r="B48" s="2">
        <v>49892680.07</v>
      </c>
      <c r="C48" s="2">
        <v>36722239.92</v>
      </c>
      <c r="D48" s="3">
        <v>-12338164.45</v>
      </c>
    </row>
    <row r="49" spans="1:4">
      <c r="A49" s="2" t="s">
        <v>52</v>
      </c>
      <c r="B49" s="2">
        <v>212400</v>
      </c>
      <c r="C49" s="2">
        <v>212400</v>
      </c>
      <c r="D49" s="3">
        <v>0</v>
      </c>
    </row>
    <row r="50" spans="1:4">
      <c r="A50" s="2" t="s">
        <v>53</v>
      </c>
      <c r="B50" s="2">
        <v>1844792</v>
      </c>
      <c r="C50" s="2">
        <v>0</v>
      </c>
      <c r="D50" s="3">
        <v>-1814695.45</v>
      </c>
    </row>
    <row r="51" spans="1:4">
      <c r="A51" s="2" t="s">
        <v>54</v>
      </c>
      <c r="B51" s="2">
        <v>48719.3</v>
      </c>
      <c r="C51" s="2">
        <v>4997.3</v>
      </c>
      <c r="D51" s="3">
        <v>-42747</v>
      </c>
    </row>
    <row r="52" spans="1:4">
      <c r="A52" s="2" t="s">
        <v>55</v>
      </c>
      <c r="B52" s="2">
        <v>55000</v>
      </c>
      <c r="C52" s="2">
        <v>0</v>
      </c>
      <c r="D52" s="3">
        <v>-494538</v>
      </c>
    </row>
    <row r="53" spans="1:4">
      <c r="A53" s="2" t="s">
        <v>56</v>
      </c>
      <c r="B53" s="2">
        <v>5721</v>
      </c>
      <c r="C53" s="2">
        <v>0</v>
      </c>
      <c r="D53" s="3">
        <v>-5236</v>
      </c>
    </row>
    <row r="54" spans="1:4">
      <c r="A54" s="2" t="s">
        <v>57</v>
      </c>
      <c r="B54" s="2">
        <v>262073</v>
      </c>
      <c r="C54" s="2">
        <v>0</v>
      </c>
      <c r="D54" s="3">
        <v>-257631</v>
      </c>
    </row>
    <row r="55" spans="1:4">
      <c r="A55" s="2" t="s">
        <v>58</v>
      </c>
      <c r="B55" s="2">
        <v>16019656</v>
      </c>
      <c r="C55" s="2">
        <v>2013080</v>
      </c>
      <c r="D55" s="3">
        <v>-12723039.4</v>
      </c>
    </row>
    <row r="56" spans="1:4">
      <c r="A56" s="2" t="s">
        <v>59</v>
      </c>
      <c r="B56" s="2">
        <v>7500000</v>
      </c>
      <c r="C56" s="2">
        <v>15427381</v>
      </c>
      <c r="D56" s="3">
        <v>7927381</v>
      </c>
    </row>
    <row r="57" spans="1:4">
      <c r="A57" s="2" t="s">
        <v>60</v>
      </c>
      <c r="B57" s="2">
        <v>110000</v>
      </c>
      <c r="C57" s="2">
        <v>1917896</v>
      </c>
      <c r="D57" s="3">
        <v>1807896</v>
      </c>
    </row>
    <row r="58" spans="1:4">
      <c r="A58" s="2" t="s">
        <v>61</v>
      </c>
      <c r="B58" s="2">
        <v>1417246</v>
      </c>
      <c r="C58" s="2">
        <v>1574719</v>
      </c>
      <c r="D58" s="3">
        <v>2991965</v>
      </c>
    </row>
    <row r="59" spans="1:4">
      <c r="A59" s="2" t="s">
        <v>62</v>
      </c>
      <c r="B59" s="2" t="s">
        <v>14</v>
      </c>
      <c r="C59" s="2">
        <v>0</v>
      </c>
      <c r="D59" s="3">
        <v>-448786</v>
      </c>
    </row>
    <row r="60" spans="1:4">
      <c r="A60" s="2" t="s">
        <v>63</v>
      </c>
      <c r="B60" s="2">
        <v>5833068</v>
      </c>
      <c r="C60" s="2">
        <v>2920677</v>
      </c>
      <c r="D60" s="3">
        <v>-2824966.5</v>
      </c>
    </row>
    <row r="61" spans="1:4">
      <c r="A61" s="2" t="s">
        <v>64</v>
      </c>
      <c r="B61" s="2">
        <v>17047525.02</v>
      </c>
      <c r="C61" s="2">
        <v>3370768.02</v>
      </c>
      <c r="D61" s="3">
        <v>-12232051</v>
      </c>
    </row>
    <row r="62" spans="1:4">
      <c r="A62" s="2" t="s">
        <v>65</v>
      </c>
      <c r="B62" s="2">
        <v>0</v>
      </c>
      <c r="C62" s="2">
        <v>374271</v>
      </c>
      <c r="D62" s="3">
        <v>374271</v>
      </c>
    </row>
    <row r="63" spans="1:4">
      <c r="A63" s="2" t="s">
        <v>66</v>
      </c>
      <c r="B63" s="2">
        <v>6000</v>
      </c>
      <c r="C63" s="2">
        <v>0</v>
      </c>
      <c r="D63" s="3">
        <v>-5898</v>
      </c>
    </row>
    <row r="64" spans="1:4">
      <c r="A64" s="2" t="s">
        <v>67</v>
      </c>
      <c r="B64" s="2">
        <v>3650151</v>
      </c>
      <c r="C64" s="2">
        <v>0</v>
      </c>
      <c r="D64" s="3">
        <v>-3588284.03</v>
      </c>
    </row>
    <row r="65" spans="1:4">
      <c r="A65" s="2" t="s">
        <v>68</v>
      </c>
      <c r="B65" s="2">
        <v>22061731</v>
      </c>
      <c r="C65" s="2">
        <v>572241</v>
      </c>
      <c r="D65" s="3">
        <v>-19867303.9</v>
      </c>
    </row>
    <row r="66" spans="1:4">
      <c r="A66" s="2" t="s">
        <v>69</v>
      </c>
      <c r="B66" s="2">
        <v>0</v>
      </c>
      <c r="C66" s="2">
        <v>12980</v>
      </c>
      <c r="D66" s="3">
        <v>12980</v>
      </c>
    </row>
    <row r="67" spans="1:4">
      <c r="A67" s="2" t="s">
        <v>70</v>
      </c>
      <c r="B67" s="2">
        <v>0</v>
      </c>
      <c r="C67" s="2">
        <v>909869</v>
      </c>
      <c r="D67" s="3">
        <v>909869</v>
      </c>
    </row>
    <row r="68" spans="1:4">
      <c r="A68" s="2" t="s">
        <v>71</v>
      </c>
      <c r="B68" s="2">
        <v>3442426</v>
      </c>
      <c r="C68" s="2">
        <v>3442426</v>
      </c>
      <c r="D68" s="3">
        <v>58346.2</v>
      </c>
    </row>
    <row r="69" spans="1:4">
      <c r="A69" s="2" t="s">
        <v>72</v>
      </c>
      <c r="B69" s="2">
        <v>0.12</v>
      </c>
      <c r="C69" s="2">
        <v>10896.12</v>
      </c>
      <c r="D69" s="3">
        <v>10896</v>
      </c>
    </row>
    <row r="70" spans="1:4">
      <c r="A70" s="2" t="s">
        <v>73</v>
      </c>
      <c r="B70" s="2">
        <v>0</v>
      </c>
      <c r="C70" s="2">
        <v>608880</v>
      </c>
      <c r="D70" s="3">
        <v>608880</v>
      </c>
    </row>
    <row r="71" spans="1:4">
      <c r="A71" s="2" t="s">
        <v>74</v>
      </c>
      <c r="B71" s="2">
        <v>2327424</v>
      </c>
      <c r="C71" s="2">
        <v>0</v>
      </c>
      <c r="D71" s="3">
        <v>-2210416.81</v>
      </c>
    </row>
    <row r="72" spans="1:4">
      <c r="A72" s="2" t="s">
        <v>75</v>
      </c>
      <c r="B72" s="2">
        <v>12770225</v>
      </c>
      <c r="C72" s="2">
        <v>12736225</v>
      </c>
      <c r="D72" s="3">
        <v>25154000</v>
      </c>
    </row>
    <row r="73" spans="1:4">
      <c r="A73" s="2" t="s">
        <v>76</v>
      </c>
      <c r="B73" s="2">
        <v>686380.15</v>
      </c>
      <c r="C73" s="2">
        <v>632471.15</v>
      </c>
      <c r="D73" s="3">
        <v>-35004.46</v>
      </c>
    </row>
    <row r="74" spans="1:4">
      <c r="A74" s="2" t="s">
        <v>77</v>
      </c>
      <c r="B74" s="2">
        <v>857450</v>
      </c>
      <c r="C74" s="2">
        <v>857450</v>
      </c>
      <c r="D74" s="3">
        <v>1714900</v>
      </c>
    </row>
    <row r="75" spans="1:4">
      <c r="A75" s="2" t="s">
        <v>78</v>
      </c>
      <c r="B75" s="2">
        <v>0</v>
      </c>
      <c r="C75" s="2">
        <v>1096003</v>
      </c>
      <c r="D75" s="3">
        <v>1096003</v>
      </c>
    </row>
    <row r="76" spans="1:4">
      <c r="A76" s="2" t="s">
        <v>79</v>
      </c>
      <c r="B76" s="2">
        <v>494538</v>
      </c>
      <c r="C76" s="2">
        <v>0</v>
      </c>
      <c r="D76" s="3">
        <v>-452628</v>
      </c>
    </row>
    <row r="77" spans="1:4">
      <c r="A77" s="2" t="s">
        <v>80</v>
      </c>
      <c r="B77" s="2">
        <v>1359770</v>
      </c>
      <c r="C77" s="2">
        <v>412414</v>
      </c>
      <c r="D77" s="3">
        <v>-832122</v>
      </c>
    </row>
    <row r="78" spans="1:4">
      <c r="A78" s="2" t="s">
        <v>81</v>
      </c>
      <c r="B78" s="2">
        <v>4944090</v>
      </c>
      <c r="C78" s="2">
        <v>0</v>
      </c>
      <c r="D78" s="3">
        <v>-4864481</v>
      </c>
    </row>
    <row r="79" spans="1:4">
      <c r="A79" s="2" t="s">
        <v>82</v>
      </c>
      <c r="B79" s="2">
        <v>3947130.4</v>
      </c>
      <c r="C79" s="2">
        <v>9313598.4</v>
      </c>
      <c r="D79" s="3">
        <v>5366468</v>
      </c>
    </row>
    <row r="80" spans="1:4">
      <c r="A80" s="2" t="s">
        <v>83</v>
      </c>
      <c r="B80" s="2">
        <v>488676</v>
      </c>
      <c r="C80" s="2">
        <v>0</v>
      </c>
      <c r="D80" s="3">
        <v>-447263</v>
      </c>
    </row>
    <row r="81" spans="1:4">
      <c r="A81" s="2" t="s">
        <v>84</v>
      </c>
      <c r="B81" s="2">
        <v>20296000</v>
      </c>
      <c r="C81" s="2">
        <v>12626000</v>
      </c>
      <c r="D81" s="3">
        <v>-7326000</v>
      </c>
    </row>
    <row r="82" spans="1:4">
      <c r="A82" s="2" t="s">
        <v>85</v>
      </c>
      <c r="B82" s="2">
        <v>454695</v>
      </c>
      <c r="C82" s="2">
        <v>40238</v>
      </c>
      <c r="D82" s="3">
        <v>-239005.46</v>
      </c>
    </row>
    <row r="83" spans="1:4">
      <c r="A83" s="2" t="s">
        <v>86</v>
      </c>
      <c r="B83" s="2">
        <v>938668.34</v>
      </c>
      <c r="C83" s="2">
        <v>14874710.34</v>
      </c>
      <c r="D83" s="3">
        <v>13951951.62</v>
      </c>
    </row>
    <row r="84" spans="1:4">
      <c r="A84" s="2" t="s">
        <v>87</v>
      </c>
      <c r="B84" s="2">
        <v>29087.46</v>
      </c>
      <c r="C84" s="2">
        <v>29087.46</v>
      </c>
      <c r="D84" s="3">
        <v>0</v>
      </c>
    </row>
    <row r="85" spans="1:4">
      <c r="A85" s="2" t="s">
        <v>88</v>
      </c>
      <c r="B85" s="2">
        <v>19777742</v>
      </c>
      <c r="C85" s="2">
        <v>1827584</v>
      </c>
      <c r="D85" s="3">
        <v>-17422198.45</v>
      </c>
    </row>
    <row r="86" spans="1:4">
      <c r="A86" s="2" t="s">
        <v>89</v>
      </c>
      <c r="B86" s="2">
        <v>404875</v>
      </c>
      <c r="C86" s="2">
        <v>232630</v>
      </c>
      <c r="D86" s="3">
        <v>-172245</v>
      </c>
    </row>
    <row r="87" spans="1:4">
      <c r="A87" s="2" t="s">
        <v>90</v>
      </c>
      <c r="B87" s="2">
        <v>1484802.04</v>
      </c>
      <c r="C87" s="2">
        <v>1484802</v>
      </c>
      <c r="D87" s="3">
        <v>2939908</v>
      </c>
    </row>
    <row r="88" spans="1:4">
      <c r="A88" s="2" t="s">
        <v>91</v>
      </c>
      <c r="B88" s="2">
        <v>0</v>
      </c>
      <c r="C88" s="2">
        <v>18941537</v>
      </c>
      <c r="D88" s="3">
        <v>18941537</v>
      </c>
    </row>
    <row r="89" spans="1:4">
      <c r="A89" s="2" t="s">
        <v>92</v>
      </c>
      <c r="B89" s="2">
        <v>111702</v>
      </c>
      <c r="C89" s="2">
        <v>0</v>
      </c>
      <c r="D89" s="3">
        <v>-109809</v>
      </c>
    </row>
    <row r="90" spans="1:4">
      <c r="A90" s="2" t="s">
        <v>93</v>
      </c>
      <c r="B90" s="2">
        <v>0.04</v>
      </c>
      <c r="C90" s="2">
        <v>562775.04</v>
      </c>
      <c r="D90" s="3">
        <v>562775</v>
      </c>
    </row>
    <row r="91" spans="1:4">
      <c r="A91" s="2" t="s">
        <v>94</v>
      </c>
      <c r="B91" s="2">
        <v>0</v>
      </c>
      <c r="C91" s="2">
        <v>2893372</v>
      </c>
      <c r="D91" s="3">
        <v>2893372</v>
      </c>
    </row>
    <row r="92" spans="1:4">
      <c r="A92" s="2" t="s">
        <v>95</v>
      </c>
      <c r="B92" s="2">
        <v>2224577</v>
      </c>
      <c r="C92" s="2">
        <v>0</v>
      </c>
      <c r="D92" s="3">
        <v>-2186872</v>
      </c>
    </row>
    <row r="93" spans="1:4">
      <c r="A93" s="2" t="s">
        <v>96</v>
      </c>
      <c r="B93" s="2">
        <v>0</v>
      </c>
      <c r="C93" s="2">
        <v>1073045</v>
      </c>
      <c r="D93" s="3">
        <v>1073045</v>
      </c>
    </row>
    <row r="94" spans="1:4">
      <c r="A94" s="2" t="s">
        <v>97</v>
      </c>
      <c r="B94" s="2">
        <v>3128480</v>
      </c>
      <c r="C94" s="2">
        <v>0</v>
      </c>
      <c r="D94" s="3">
        <v>-3075454.91</v>
      </c>
    </row>
    <row r="95" spans="1:4">
      <c r="A95" s="2" t="s">
        <v>98</v>
      </c>
      <c r="B95" s="2">
        <v>3238056</v>
      </c>
      <c r="C95" s="2">
        <v>1619028</v>
      </c>
      <c r="D95" s="3">
        <v>-1591586</v>
      </c>
    </row>
    <row r="96" spans="1:4">
      <c r="A96" s="2" t="s">
        <v>99</v>
      </c>
      <c r="B96" s="2">
        <v>14152284</v>
      </c>
      <c r="C96" s="2">
        <v>1008092</v>
      </c>
      <c r="D96" s="3">
        <v>-11258185</v>
      </c>
    </row>
    <row r="97" spans="1:4">
      <c r="A97" s="2" t="s">
        <v>100</v>
      </c>
      <c r="B97" s="2">
        <v>5398148</v>
      </c>
      <c r="C97" s="2">
        <v>0</v>
      </c>
      <c r="D97" s="3">
        <v>-4940677.8</v>
      </c>
    </row>
    <row r="98" spans="1:4">
      <c r="A98" s="2" t="s">
        <v>101</v>
      </c>
      <c r="B98" s="2">
        <v>3369190.04</v>
      </c>
      <c r="C98" s="2">
        <v>3643068.04</v>
      </c>
      <c r="D98" s="3">
        <v>330982.92</v>
      </c>
    </row>
    <row r="99" spans="1:4">
      <c r="A99" s="2" t="s">
        <v>102</v>
      </c>
      <c r="B99" s="2">
        <v>0.02</v>
      </c>
      <c r="C99" s="2">
        <v>4031906.02</v>
      </c>
      <c r="D99" s="3">
        <v>4031906</v>
      </c>
    </row>
    <row r="100" spans="1:4">
      <c r="A100" s="2" t="s">
        <v>103</v>
      </c>
      <c r="B100" s="2">
        <v>0</v>
      </c>
      <c r="C100" s="2">
        <v>2680454</v>
      </c>
      <c r="D100" s="3">
        <v>2680454</v>
      </c>
    </row>
    <row r="101" spans="1:4">
      <c r="A101" s="2" t="s">
        <v>104</v>
      </c>
      <c r="B101" s="2" t="s">
        <v>14</v>
      </c>
      <c r="C101" s="2">
        <v>0</v>
      </c>
      <c r="D101" s="3">
        <v>-76414</v>
      </c>
    </row>
    <row r="102" spans="1:4">
      <c r="A102" s="2" t="s">
        <v>105</v>
      </c>
      <c r="B102" s="2">
        <v>0</v>
      </c>
      <c r="C102" s="2">
        <v>85668</v>
      </c>
      <c r="D102" s="3">
        <v>85668</v>
      </c>
    </row>
    <row r="103" spans="1:4">
      <c r="A103" s="2" t="s">
        <v>106</v>
      </c>
      <c r="B103" s="2">
        <v>0</v>
      </c>
      <c r="C103" s="2">
        <v>2934938.48</v>
      </c>
      <c r="D103" s="3">
        <v>2934938.48</v>
      </c>
    </row>
    <row r="104" spans="1:4">
      <c r="A104" s="2" t="s">
        <v>107</v>
      </c>
      <c r="B104" s="2">
        <v>0</v>
      </c>
      <c r="C104" s="2">
        <v>449822</v>
      </c>
      <c r="D104" s="3">
        <v>449822</v>
      </c>
    </row>
    <row r="105" spans="1:4">
      <c r="A105" s="2" t="s">
        <v>108</v>
      </c>
      <c r="B105" s="2">
        <v>0</v>
      </c>
      <c r="C105" s="2">
        <v>802400</v>
      </c>
      <c r="D105" s="3">
        <v>802400</v>
      </c>
    </row>
    <row r="106" spans="1:4">
      <c r="A106" s="2" t="s">
        <v>109</v>
      </c>
      <c r="B106" s="2">
        <v>0.2</v>
      </c>
      <c r="C106" s="2">
        <v>1413451.2</v>
      </c>
      <c r="D106" s="3">
        <v>1413451</v>
      </c>
    </row>
    <row r="107" spans="1:4">
      <c r="A107" s="2" t="s">
        <v>110</v>
      </c>
      <c r="B107" s="2">
        <v>0</v>
      </c>
      <c r="C107" s="2">
        <v>1851129</v>
      </c>
      <c r="D107" s="3">
        <v>1851129</v>
      </c>
    </row>
    <row r="108" spans="1:4">
      <c r="A108" s="2" t="s">
        <v>111</v>
      </c>
      <c r="B108" s="2">
        <v>0.24</v>
      </c>
      <c r="C108" s="2">
        <v>1265070.24</v>
      </c>
      <c r="D108" s="3">
        <v>1265070</v>
      </c>
    </row>
    <row r="109" spans="1:4">
      <c r="A109" s="2" t="s">
        <v>112</v>
      </c>
      <c r="B109" s="2">
        <v>0.42</v>
      </c>
      <c r="C109" s="2">
        <v>117135615.39</v>
      </c>
      <c r="D109" s="3">
        <v>117135614.97</v>
      </c>
    </row>
    <row r="110" spans="1:4">
      <c r="A110" s="2" t="s">
        <v>113</v>
      </c>
      <c r="B110" s="2">
        <v>0</v>
      </c>
      <c r="C110" s="2">
        <v>4097839</v>
      </c>
      <c r="D110" s="3">
        <v>4097839</v>
      </c>
    </row>
    <row r="111" spans="1:4">
      <c r="A111" s="2" t="s">
        <v>114</v>
      </c>
      <c r="B111" s="2">
        <v>0.32</v>
      </c>
      <c r="C111" s="2">
        <v>657878.32</v>
      </c>
      <c r="D111" s="3">
        <v>657878</v>
      </c>
    </row>
    <row r="112" spans="1:4">
      <c r="A112" s="2" t="s">
        <v>115</v>
      </c>
      <c r="B112" s="2">
        <v>0</v>
      </c>
      <c r="C112" s="2">
        <v>1033818.92</v>
      </c>
      <c r="D112" s="3">
        <v>1033818.92</v>
      </c>
    </row>
    <row r="113" spans="1:4">
      <c r="A113" s="2" t="s">
        <v>116</v>
      </c>
      <c r="B113" s="2">
        <v>0</v>
      </c>
      <c r="C113" s="2">
        <v>18211282.31</v>
      </c>
      <c r="D113" s="3">
        <v>18211282.31</v>
      </c>
    </row>
    <row r="114" spans="1:4">
      <c r="A114" s="2" t="s">
        <v>117</v>
      </c>
      <c r="B114" s="2">
        <v>0</v>
      </c>
      <c r="C114" s="2">
        <v>2473104.74</v>
      </c>
      <c r="D114" s="3">
        <v>2473104.74</v>
      </c>
    </row>
    <row r="115" spans="1:4">
      <c r="A115" s="2" t="s">
        <v>118</v>
      </c>
      <c r="B115" s="2">
        <v>398012</v>
      </c>
      <c r="C115" s="2">
        <v>398012</v>
      </c>
      <c r="D115" s="3">
        <v>0</v>
      </c>
    </row>
    <row r="116" spans="1:4">
      <c r="A116" s="2" t="s">
        <v>119</v>
      </c>
      <c r="B116" s="2" t="s">
        <v>120</v>
      </c>
      <c r="C116" s="2" t="s">
        <v>121</v>
      </c>
      <c r="D116" s="3">
        <v>128066934.26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6"/>
  <sheetViews>
    <sheetView tabSelected="1" workbookViewId="0">
      <selection activeCell="D5" sqref="D5"/>
    </sheetView>
  </sheetViews>
  <sheetFormatPr defaultColWidth="8.88888888888889" defaultRowHeight="10" outlineLevelCol="6"/>
  <cols>
    <col min="1" max="1" width="110.666666666667" customWidth="1"/>
    <col min="2" max="2" width="104.444444444444" customWidth="1"/>
    <col min="3" max="3" width="31.8888888888889" customWidth="1"/>
    <col min="4" max="4" width="17.7777777777778" customWidth="1"/>
    <col min="5" max="5" width="17.1111111111111" customWidth="1"/>
    <col min="6" max="6" width="22.7777777777778" customWidth="1"/>
    <col min="7" max="7" width="27.8888888888889" customWidth="1"/>
  </cols>
  <sheetData>
    <row r="1" spans="1:6">
      <c r="A1" t="s">
        <v>0</v>
      </c>
      <c r="D1" t="s">
        <v>1</v>
      </c>
      <c r="E1" t="s">
        <v>2</v>
      </c>
      <c r="F1" t="s">
        <v>3</v>
      </c>
    </row>
    <row r="2" spans="1:7">
      <c r="A2" t="s">
        <v>4</v>
      </c>
      <c r="B2" t="s">
        <v>122</v>
      </c>
      <c r="D2">
        <v>554175148.7</v>
      </c>
      <c r="E2">
        <v>539803630.46</v>
      </c>
      <c r="F2">
        <v>-14371518.24</v>
      </c>
      <c r="G2" t="e">
        <f>VLOOKUP(B2,[1]Sheet1!$B:$D,3,FALSE)</f>
        <v>#N/A</v>
      </c>
    </row>
    <row r="3" spans="1:7">
      <c r="A3" t="s">
        <v>5</v>
      </c>
      <c r="B3" t="s">
        <v>123</v>
      </c>
      <c r="D3">
        <v>3027125.24</v>
      </c>
      <c r="E3">
        <v>6909511.24</v>
      </c>
      <c r="F3">
        <v>0</v>
      </c>
      <c r="G3">
        <f>VLOOKUP(B3,[1]Sheet1!$B:$D,3,FALSE)</f>
        <v>6909511</v>
      </c>
    </row>
    <row r="4" spans="1:7">
      <c r="A4" t="s">
        <v>6</v>
      </c>
      <c r="B4" t="s">
        <v>124</v>
      </c>
      <c r="D4">
        <v>557600</v>
      </c>
      <c r="E4">
        <v>0</v>
      </c>
      <c r="F4">
        <v>-425600</v>
      </c>
      <c r="G4">
        <f>VLOOKUP(B4,[1]Sheet1!$B:$D,3,FALSE)</f>
        <v>0</v>
      </c>
    </row>
    <row r="5" spans="1:7">
      <c r="A5" t="s">
        <v>7</v>
      </c>
      <c r="B5" t="s">
        <v>125</v>
      </c>
      <c r="D5">
        <v>0.14</v>
      </c>
      <c r="E5">
        <v>2030889.14</v>
      </c>
      <c r="F5">
        <v>2030889</v>
      </c>
      <c r="G5">
        <f>VLOOKUP(B5,[1]Sheet1!$B:$D,3,FALSE)</f>
        <v>2030889</v>
      </c>
    </row>
    <row r="6" spans="1:7">
      <c r="A6" t="s">
        <v>8</v>
      </c>
      <c r="B6" t="s">
        <v>126</v>
      </c>
      <c r="D6">
        <v>1372245.4</v>
      </c>
      <c r="E6">
        <v>686123</v>
      </c>
      <c r="F6">
        <v>-617511</v>
      </c>
      <c r="G6">
        <f>VLOOKUP(B6,[1]Sheet1!$B:$D,3,FALSE)</f>
        <v>686123</v>
      </c>
    </row>
    <row r="7" spans="1:7">
      <c r="A7" t="s">
        <v>9</v>
      </c>
      <c r="B7" t="s">
        <v>127</v>
      </c>
      <c r="D7">
        <v>124733.34</v>
      </c>
      <c r="E7">
        <v>124733.34</v>
      </c>
      <c r="F7">
        <v>0</v>
      </c>
      <c r="G7" t="e">
        <f>VLOOKUP(B7,[1]Sheet1!$B:$D,3,FALSE)</f>
        <v>#N/A</v>
      </c>
    </row>
    <row r="8" spans="1:7">
      <c r="A8" t="s">
        <v>10</v>
      </c>
      <c r="B8" t="s">
        <v>128</v>
      </c>
      <c r="D8">
        <v>705788</v>
      </c>
      <c r="E8">
        <v>0</v>
      </c>
      <c r="F8">
        <v>-645975</v>
      </c>
      <c r="G8">
        <f>VLOOKUP(B8,[1]Sheet1!$B:$D,3,FALSE)</f>
        <v>0</v>
      </c>
    </row>
    <row r="9" spans="1:7">
      <c r="A9" t="s">
        <v>11</v>
      </c>
      <c r="B9" t="s">
        <v>129</v>
      </c>
      <c r="D9">
        <v>597323</v>
      </c>
      <c r="E9">
        <v>206668</v>
      </c>
      <c r="F9">
        <v>-340034.39</v>
      </c>
      <c r="G9">
        <f>VLOOKUP(B9,[1]Sheet1!$B:$D,3,FALSE)</f>
        <v>206668</v>
      </c>
    </row>
    <row r="10" spans="1:7">
      <c r="A10" t="s">
        <v>12</v>
      </c>
      <c r="B10" t="s">
        <v>130</v>
      </c>
      <c r="D10">
        <v>0</v>
      </c>
      <c r="E10">
        <v>0</v>
      </c>
      <c r="F10">
        <v>0</v>
      </c>
      <c r="G10" t="e">
        <f>VLOOKUP(B10,[1]Sheet1!$B:$D,3,FALSE)</f>
        <v>#N/A</v>
      </c>
    </row>
    <row r="11" spans="1:7">
      <c r="A11" t="s">
        <v>13</v>
      </c>
      <c r="B11" t="s">
        <v>131</v>
      </c>
      <c r="D11" t="s">
        <v>14</v>
      </c>
      <c r="E11">
        <v>0</v>
      </c>
      <c r="F11">
        <v>-119700</v>
      </c>
      <c r="G11">
        <f>VLOOKUP(B11,[1]Sheet1!$B:$D,3,FALSE)</f>
        <v>0</v>
      </c>
    </row>
    <row r="12" spans="1:7">
      <c r="A12" t="s">
        <v>15</v>
      </c>
      <c r="B12" t="s">
        <v>132</v>
      </c>
      <c r="D12">
        <v>556784</v>
      </c>
      <c r="E12">
        <v>0</v>
      </c>
      <c r="F12">
        <v>-726384</v>
      </c>
      <c r="G12">
        <f>VLOOKUP(B12,[1]Sheet1!$B:$D,3,FALSE)</f>
        <v>0</v>
      </c>
    </row>
    <row r="13" spans="1:7">
      <c r="A13" t="s">
        <v>133</v>
      </c>
      <c r="B13" t="s">
        <v>134</v>
      </c>
      <c r="D13">
        <v>84350</v>
      </c>
      <c r="E13">
        <v>12960</v>
      </c>
      <c r="F13">
        <v>-70180</v>
      </c>
      <c r="G13" t="e">
        <f>VLOOKUP(B13,[1]Sheet1!$B:$D,3,FALSE)</f>
        <v>#N/A</v>
      </c>
    </row>
    <row r="14" spans="1:7">
      <c r="A14" t="s">
        <v>135</v>
      </c>
      <c r="B14" t="s">
        <v>136</v>
      </c>
      <c r="D14">
        <v>23222388</v>
      </c>
      <c r="E14">
        <v>0</v>
      </c>
      <c r="F14">
        <v>-22828788.21</v>
      </c>
      <c r="G14" t="e">
        <f>VLOOKUP(B14,[1]Sheet1!$B:$D,3,FALSE)</f>
        <v>#N/A</v>
      </c>
    </row>
    <row r="15" spans="1:7">
      <c r="A15" t="s">
        <v>137</v>
      </c>
      <c r="B15" t="s">
        <v>138</v>
      </c>
      <c r="D15">
        <v>254078.63</v>
      </c>
      <c r="E15">
        <v>0</v>
      </c>
      <c r="F15">
        <v>-254078.63</v>
      </c>
      <c r="G15" t="e">
        <f>VLOOKUP(B15,[1]Sheet1!$B:$D,3,FALSE)</f>
        <v>#N/A</v>
      </c>
    </row>
    <row r="16" spans="1:7">
      <c r="A16" t="s">
        <v>139</v>
      </c>
      <c r="B16" t="s">
        <v>140</v>
      </c>
      <c r="D16">
        <v>29947</v>
      </c>
      <c r="E16">
        <v>0</v>
      </c>
      <c r="F16">
        <v>-27409.08</v>
      </c>
      <c r="G16" t="e">
        <f>VLOOKUP(B16,[1]Sheet1!$B:$D,3,FALSE)</f>
        <v>#N/A</v>
      </c>
    </row>
    <row r="17" spans="1:7">
      <c r="A17" t="s">
        <v>141</v>
      </c>
      <c r="B17" t="s">
        <v>142</v>
      </c>
      <c r="D17">
        <v>197258.6</v>
      </c>
      <c r="E17">
        <v>0</v>
      </c>
      <c r="F17">
        <v>-236339.86</v>
      </c>
      <c r="G17" t="e">
        <f>VLOOKUP(B17,[1]Sheet1!$B:$D,3,FALSE)</f>
        <v>#N/A</v>
      </c>
    </row>
    <row r="18" spans="1:7">
      <c r="A18" t="s">
        <v>143</v>
      </c>
      <c r="B18" t="s">
        <v>144</v>
      </c>
      <c r="D18">
        <v>5456551</v>
      </c>
      <c r="E18">
        <v>870840</v>
      </c>
      <c r="F18">
        <v>-4435425</v>
      </c>
      <c r="G18" t="e">
        <f>VLOOKUP(B18,[1]Sheet1!$B:$D,3,FALSE)</f>
        <v>#N/A</v>
      </c>
    </row>
    <row r="19" spans="1:7">
      <c r="A19" t="s">
        <v>145</v>
      </c>
      <c r="B19" t="s">
        <v>146</v>
      </c>
      <c r="D19">
        <v>8596478.72</v>
      </c>
      <c r="E19">
        <v>16570592.72</v>
      </c>
      <c r="F19">
        <v>23734614</v>
      </c>
      <c r="G19" t="e">
        <f>VLOOKUP(B19,[1]Sheet1!$B:$D,3,FALSE)</f>
        <v>#N/A</v>
      </c>
    </row>
    <row r="20" spans="1:7">
      <c r="A20" t="s">
        <v>147</v>
      </c>
      <c r="B20" t="s">
        <v>148</v>
      </c>
      <c r="D20">
        <v>1.48</v>
      </c>
      <c r="E20">
        <v>6041070.48</v>
      </c>
      <c r="F20">
        <v>1303907</v>
      </c>
      <c r="G20" t="e">
        <f>VLOOKUP(B20,[1]Sheet1!$B:$D,3,FALSE)</f>
        <v>#N/A</v>
      </c>
    </row>
    <row r="21" spans="1:7">
      <c r="A21" t="s">
        <v>149</v>
      </c>
      <c r="B21" t="s">
        <v>150</v>
      </c>
      <c r="D21">
        <v>1231987.86</v>
      </c>
      <c r="E21">
        <v>8114680.86</v>
      </c>
      <c r="F21">
        <v>6912059</v>
      </c>
      <c r="G21" t="e">
        <f>VLOOKUP(B21,[1]Sheet1!$B:$D,3,FALSE)</f>
        <v>#N/A</v>
      </c>
    </row>
    <row r="22" spans="1:7">
      <c r="A22" t="s">
        <v>151</v>
      </c>
      <c r="B22" t="s">
        <v>152</v>
      </c>
      <c r="D22">
        <v>0.28</v>
      </c>
      <c r="E22">
        <v>28018.28</v>
      </c>
      <c r="F22">
        <v>28018</v>
      </c>
      <c r="G22" t="e">
        <f>VLOOKUP(B22,[1]Sheet1!$B:$D,3,FALSE)</f>
        <v>#N/A</v>
      </c>
    </row>
    <row r="23" spans="1:7">
      <c r="A23" t="s">
        <v>153</v>
      </c>
      <c r="B23" t="s">
        <v>154</v>
      </c>
      <c r="D23">
        <v>62959</v>
      </c>
      <c r="E23">
        <v>19028</v>
      </c>
      <c r="F23">
        <v>-39851.46</v>
      </c>
      <c r="G23" t="e">
        <f>VLOOKUP(B23,[1]Sheet1!$B:$D,3,FALSE)</f>
        <v>#N/A</v>
      </c>
    </row>
    <row r="24" spans="1:7">
      <c r="A24" t="s">
        <v>155</v>
      </c>
      <c r="B24" t="s">
        <v>156</v>
      </c>
      <c r="D24">
        <v>3014033.19</v>
      </c>
      <c r="E24">
        <v>3081940.19</v>
      </c>
      <c r="F24">
        <v>138100</v>
      </c>
      <c r="G24" t="e">
        <f>VLOOKUP(B24,[1]Sheet1!$B:$D,3,FALSE)</f>
        <v>#N/A</v>
      </c>
    </row>
    <row r="25" spans="1:7">
      <c r="A25" t="s">
        <v>157</v>
      </c>
      <c r="B25" t="s">
        <v>158</v>
      </c>
      <c r="D25">
        <v>1028382.2</v>
      </c>
      <c r="E25">
        <v>2359802.2</v>
      </c>
      <c r="F25">
        <v>1418571.2</v>
      </c>
      <c r="G25" t="e">
        <f>VLOOKUP(B25,[1]Sheet1!$B:$D,3,FALSE)</f>
        <v>#N/A</v>
      </c>
    </row>
    <row r="26" spans="1:7">
      <c r="A26" t="s">
        <v>159</v>
      </c>
      <c r="B26" t="s">
        <v>160</v>
      </c>
      <c r="D26">
        <v>0</v>
      </c>
      <c r="E26">
        <v>2627452</v>
      </c>
      <c r="F26">
        <v>2627452</v>
      </c>
      <c r="G26" t="e">
        <f>VLOOKUP(B26,[1]Sheet1!$B:$D,3,FALSE)</f>
        <v>#N/A</v>
      </c>
    </row>
    <row r="27" spans="1:7">
      <c r="A27" t="s">
        <v>161</v>
      </c>
      <c r="B27" t="s">
        <v>162</v>
      </c>
      <c r="D27">
        <v>646365</v>
      </c>
      <c r="E27">
        <v>646365</v>
      </c>
      <c r="F27">
        <v>64636.5</v>
      </c>
      <c r="G27" t="e">
        <f>VLOOKUP(B27,[1]Sheet1!$B:$D,3,FALSE)</f>
        <v>#N/A</v>
      </c>
    </row>
    <row r="28" spans="1:7">
      <c r="A28" t="s">
        <v>163</v>
      </c>
      <c r="B28" t="s">
        <v>164</v>
      </c>
      <c r="D28">
        <v>804671</v>
      </c>
      <c r="E28">
        <v>0</v>
      </c>
      <c r="F28">
        <v>-1748659</v>
      </c>
      <c r="G28" t="e">
        <f>VLOOKUP(B28,[1]Sheet1!$B:$D,3,FALSE)</f>
        <v>#N/A</v>
      </c>
    </row>
    <row r="29" spans="1:7">
      <c r="A29" t="s">
        <v>165</v>
      </c>
      <c r="B29" t="s">
        <v>166</v>
      </c>
      <c r="D29">
        <v>668339</v>
      </c>
      <c r="E29">
        <v>4943130</v>
      </c>
      <c r="F29">
        <v>4331429.98</v>
      </c>
      <c r="G29" t="e">
        <f>VLOOKUP(B29,[1]Sheet1!$B:$D,3,FALSE)</f>
        <v>#N/A</v>
      </c>
    </row>
    <row r="30" spans="1:7">
      <c r="A30" t="s">
        <v>167</v>
      </c>
      <c r="B30" t="s">
        <v>168</v>
      </c>
      <c r="D30">
        <v>0</v>
      </c>
      <c r="E30">
        <v>220011</v>
      </c>
      <c r="F30">
        <v>220011</v>
      </c>
      <c r="G30" t="e">
        <f>VLOOKUP(B30,[1]Sheet1!$B:$D,3,FALSE)</f>
        <v>#N/A</v>
      </c>
    </row>
    <row r="31" spans="1:7">
      <c r="A31" t="s">
        <v>169</v>
      </c>
      <c r="B31" t="s">
        <v>170</v>
      </c>
      <c r="D31">
        <v>1798928.47</v>
      </c>
      <c r="E31">
        <v>1382610.88</v>
      </c>
      <c r="F31">
        <v>207122.02</v>
      </c>
      <c r="G31" t="e">
        <f>VLOOKUP(B31,[1]Sheet1!$B:$D,3,FALSE)</f>
        <v>#N/A</v>
      </c>
    </row>
    <row r="32" spans="1:7">
      <c r="A32" t="s">
        <v>171</v>
      </c>
      <c r="B32" t="s">
        <v>172</v>
      </c>
      <c r="D32">
        <v>10890</v>
      </c>
      <c r="E32">
        <v>0</v>
      </c>
      <c r="F32">
        <v>-10590</v>
      </c>
      <c r="G32" t="e">
        <f>VLOOKUP(B32,[1]Sheet1!$B:$D,3,FALSE)</f>
        <v>#N/A</v>
      </c>
    </row>
    <row r="33" spans="1:7">
      <c r="A33" t="s">
        <v>173</v>
      </c>
      <c r="B33" t="s">
        <v>174</v>
      </c>
      <c r="D33">
        <v>17244225</v>
      </c>
      <c r="E33">
        <v>25504225</v>
      </c>
      <c r="F33">
        <v>8436388</v>
      </c>
      <c r="G33" t="e">
        <f>VLOOKUP(B33,[1]Sheet1!$B:$D,3,FALSE)</f>
        <v>#N/A</v>
      </c>
    </row>
    <row r="34" spans="1:7">
      <c r="A34" t="s">
        <v>175</v>
      </c>
      <c r="B34" t="s">
        <v>176</v>
      </c>
      <c r="D34">
        <v>0</v>
      </c>
      <c r="E34">
        <v>111005</v>
      </c>
      <c r="F34">
        <v>111005</v>
      </c>
      <c r="G34" t="e">
        <f>VLOOKUP(B34,[1]Sheet1!$B:$D,3,FALSE)</f>
        <v>#N/A</v>
      </c>
    </row>
    <row r="35" spans="1:7">
      <c r="A35" t="s">
        <v>177</v>
      </c>
      <c r="B35" t="s">
        <v>178</v>
      </c>
      <c r="D35">
        <v>341018.05</v>
      </c>
      <c r="E35">
        <v>9229934.05</v>
      </c>
      <c r="F35">
        <v>8919341.95</v>
      </c>
      <c r="G35" t="e">
        <f>VLOOKUP(B35,[1]Sheet1!$B:$D,3,FALSE)</f>
        <v>#N/A</v>
      </c>
    </row>
    <row r="36" spans="1:7">
      <c r="A36" t="s">
        <v>179</v>
      </c>
      <c r="B36" t="s">
        <v>180</v>
      </c>
      <c r="D36">
        <v>3877048</v>
      </c>
      <c r="E36">
        <v>0</v>
      </c>
      <c r="F36">
        <v>-3811335.33</v>
      </c>
      <c r="G36" t="e">
        <f>VLOOKUP(B36,[1]Sheet1!$B:$D,3,FALSE)</f>
        <v>#N/A</v>
      </c>
    </row>
    <row r="37" spans="1:7">
      <c r="A37" t="s">
        <v>181</v>
      </c>
      <c r="B37" t="s">
        <v>182</v>
      </c>
      <c r="D37">
        <v>751380</v>
      </c>
      <c r="E37">
        <v>0</v>
      </c>
      <c r="F37">
        <v>-687703.73</v>
      </c>
      <c r="G37" t="e">
        <f>VLOOKUP(B37,[1]Sheet1!$B:$D,3,FALSE)</f>
        <v>#N/A</v>
      </c>
    </row>
    <row r="38" spans="1:7">
      <c r="A38" t="s">
        <v>183</v>
      </c>
      <c r="B38" t="s">
        <v>184</v>
      </c>
      <c r="D38">
        <v>75414</v>
      </c>
      <c r="E38">
        <v>75414</v>
      </c>
      <c r="F38">
        <v>1279.2</v>
      </c>
      <c r="G38" t="e">
        <f>VLOOKUP(B38,[1]Sheet1!$B:$D,3,FALSE)</f>
        <v>#N/A</v>
      </c>
    </row>
    <row r="39" spans="1:7">
      <c r="A39" t="s">
        <v>185</v>
      </c>
      <c r="B39" t="s">
        <v>186</v>
      </c>
      <c r="D39">
        <v>0.4</v>
      </c>
      <c r="E39">
        <v>147417.4</v>
      </c>
      <c r="F39">
        <v>147417</v>
      </c>
      <c r="G39" t="e">
        <f>VLOOKUP(B39,[1]Sheet1!$B:$D,3,FALSE)</f>
        <v>#N/A</v>
      </c>
    </row>
    <row r="40" spans="1:7">
      <c r="A40" t="s">
        <v>187</v>
      </c>
      <c r="B40" t="s">
        <v>188</v>
      </c>
      <c r="D40">
        <v>7950308</v>
      </c>
      <c r="E40">
        <v>0</v>
      </c>
      <c r="F40">
        <v>-7814676</v>
      </c>
      <c r="G40" t="e">
        <f>VLOOKUP(B40,[1]Sheet1!$B:$D,3,FALSE)</f>
        <v>#N/A</v>
      </c>
    </row>
    <row r="41" spans="1:7">
      <c r="A41" t="s">
        <v>189</v>
      </c>
      <c r="B41" t="s">
        <v>190</v>
      </c>
      <c r="D41">
        <v>3575533</v>
      </c>
      <c r="E41">
        <v>0</v>
      </c>
      <c r="F41">
        <v>-3517960.86</v>
      </c>
      <c r="G41" t="e">
        <f>VLOOKUP(B41,[1]Sheet1!$B:$D,3,FALSE)</f>
        <v>#N/A</v>
      </c>
    </row>
    <row r="42" spans="1:7">
      <c r="A42" t="s">
        <v>191</v>
      </c>
      <c r="B42" t="s">
        <v>192</v>
      </c>
      <c r="D42">
        <v>636261</v>
      </c>
      <c r="E42">
        <v>0</v>
      </c>
      <c r="F42">
        <v>-625477.34</v>
      </c>
      <c r="G42" t="e">
        <f>VLOOKUP(B42,[1]Sheet1!$B:$D,3,FALSE)</f>
        <v>#N/A</v>
      </c>
    </row>
    <row r="43" spans="1:7">
      <c r="A43" t="s">
        <v>193</v>
      </c>
      <c r="B43" t="s">
        <v>194</v>
      </c>
      <c r="D43">
        <v>686642</v>
      </c>
      <c r="E43">
        <v>686642</v>
      </c>
      <c r="F43">
        <v>1098628</v>
      </c>
      <c r="G43" t="e">
        <f>VLOOKUP(B43,[1]Sheet1!$B:$D,3,FALSE)</f>
        <v>#N/A</v>
      </c>
    </row>
    <row r="44" spans="1:7">
      <c r="A44" t="s">
        <v>195</v>
      </c>
      <c r="B44" t="s">
        <v>196</v>
      </c>
      <c r="D44">
        <v>0</v>
      </c>
      <c r="E44">
        <v>178187</v>
      </c>
      <c r="F44">
        <v>178187</v>
      </c>
      <c r="G44" t="e">
        <f>VLOOKUP(B44,[1]Sheet1!$B:$D,3,FALSE)</f>
        <v>#N/A</v>
      </c>
    </row>
    <row r="45" spans="1:7">
      <c r="A45" t="s">
        <v>197</v>
      </c>
      <c r="B45" t="s">
        <v>198</v>
      </c>
      <c r="D45">
        <v>55000</v>
      </c>
      <c r="E45">
        <v>0</v>
      </c>
      <c r="F45">
        <v>-55000</v>
      </c>
      <c r="G45" t="e">
        <f>VLOOKUP(B45,[1]Sheet1!$B:$D,3,FALSE)</f>
        <v>#N/A</v>
      </c>
    </row>
    <row r="46" spans="1:7">
      <c r="A46" t="s">
        <v>199</v>
      </c>
      <c r="B46" t="s">
        <v>200</v>
      </c>
      <c r="D46">
        <v>18999475.4</v>
      </c>
      <c r="E46">
        <v>22989326.4</v>
      </c>
      <c r="F46">
        <v>5599976</v>
      </c>
      <c r="G46" t="e">
        <f>VLOOKUP(B46,[1]Sheet1!$B:$D,3,FALSE)</f>
        <v>#N/A</v>
      </c>
    </row>
    <row r="47" spans="1:7">
      <c r="A47" t="s">
        <v>201</v>
      </c>
      <c r="B47" t="s">
        <v>202</v>
      </c>
      <c r="D47">
        <v>21135.56</v>
      </c>
      <c r="E47">
        <v>21135.56</v>
      </c>
      <c r="F47">
        <v>0</v>
      </c>
      <c r="G47" t="e">
        <f>VLOOKUP(B47,[1]Sheet1!$B:$D,3,FALSE)</f>
        <v>#N/A</v>
      </c>
    </row>
    <row r="48" spans="1:7">
      <c r="A48" t="s">
        <v>203</v>
      </c>
      <c r="B48" t="s">
        <v>204</v>
      </c>
      <c r="D48">
        <v>49892680.07</v>
      </c>
      <c r="E48">
        <v>36722239.92</v>
      </c>
      <c r="F48">
        <v>-12338164.45</v>
      </c>
      <c r="G48" t="e">
        <f>VLOOKUP(B48,[1]Sheet1!$B:$D,3,FALSE)</f>
        <v>#N/A</v>
      </c>
    </row>
    <row r="49" spans="1:7">
      <c r="A49" t="s">
        <v>205</v>
      </c>
      <c r="B49" t="s">
        <v>206</v>
      </c>
      <c r="D49">
        <v>212400</v>
      </c>
      <c r="E49">
        <v>212400</v>
      </c>
      <c r="F49">
        <v>0</v>
      </c>
      <c r="G49" t="e">
        <f>VLOOKUP(B49,[1]Sheet1!$B:$D,3,FALSE)</f>
        <v>#N/A</v>
      </c>
    </row>
    <row r="50" spans="1:7">
      <c r="A50" t="s">
        <v>207</v>
      </c>
      <c r="B50" t="s">
        <v>208</v>
      </c>
      <c r="D50">
        <v>1844792</v>
      </c>
      <c r="E50">
        <v>0</v>
      </c>
      <c r="F50">
        <v>-1814695.45</v>
      </c>
      <c r="G50" t="e">
        <f>VLOOKUP(B50,[1]Sheet1!$B:$D,3,FALSE)</f>
        <v>#N/A</v>
      </c>
    </row>
    <row r="51" spans="1:7">
      <c r="A51" t="s">
        <v>209</v>
      </c>
      <c r="B51" t="s">
        <v>210</v>
      </c>
      <c r="D51">
        <v>48719.3</v>
      </c>
      <c r="E51">
        <v>4997.3</v>
      </c>
      <c r="F51">
        <v>-42747</v>
      </c>
      <c r="G51" t="e">
        <f>VLOOKUP(B51,[1]Sheet1!$B:$D,3,FALSE)</f>
        <v>#N/A</v>
      </c>
    </row>
    <row r="52" spans="1:7">
      <c r="A52" t="s">
        <v>211</v>
      </c>
      <c r="B52" t="s">
        <v>212</v>
      </c>
      <c r="D52">
        <v>55000</v>
      </c>
      <c r="E52">
        <v>0</v>
      </c>
      <c r="F52">
        <v>-494538</v>
      </c>
      <c r="G52" t="e">
        <f>VLOOKUP(B52,[1]Sheet1!$B:$D,3,FALSE)</f>
        <v>#N/A</v>
      </c>
    </row>
    <row r="53" spans="1:7">
      <c r="A53" t="s">
        <v>213</v>
      </c>
      <c r="B53" t="s">
        <v>214</v>
      </c>
      <c r="D53">
        <v>5721</v>
      </c>
      <c r="E53">
        <v>0</v>
      </c>
      <c r="F53">
        <v>-5236</v>
      </c>
      <c r="G53" t="e">
        <f>VLOOKUP(B53,[1]Sheet1!$B:$D,3,FALSE)</f>
        <v>#N/A</v>
      </c>
    </row>
    <row r="54" spans="1:7">
      <c r="A54" t="s">
        <v>215</v>
      </c>
      <c r="B54" t="s">
        <v>216</v>
      </c>
      <c r="D54">
        <v>262073</v>
      </c>
      <c r="E54">
        <v>0</v>
      </c>
      <c r="F54">
        <v>-257631</v>
      </c>
      <c r="G54" t="e">
        <f>VLOOKUP(B54,[1]Sheet1!$B:$D,3,FALSE)</f>
        <v>#N/A</v>
      </c>
    </row>
    <row r="55" spans="1:7">
      <c r="A55" t="s">
        <v>217</v>
      </c>
      <c r="B55" t="s">
        <v>218</v>
      </c>
      <c r="D55">
        <v>16019656</v>
      </c>
      <c r="E55">
        <v>2013080</v>
      </c>
      <c r="F55">
        <v>-12723039.4</v>
      </c>
      <c r="G55" t="e">
        <f>VLOOKUP(B55,[1]Sheet1!$B:$D,3,FALSE)</f>
        <v>#N/A</v>
      </c>
    </row>
    <row r="56" spans="1:7">
      <c r="A56" t="s">
        <v>219</v>
      </c>
      <c r="B56" t="s">
        <v>220</v>
      </c>
      <c r="D56">
        <v>7500000</v>
      </c>
      <c r="E56">
        <v>15427381</v>
      </c>
      <c r="F56">
        <v>7927381</v>
      </c>
      <c r="G56" t="e">
        <f>VLOOKUP(B56,[1]Sheet1!$B:$D,3,FALSE)</f>
        <v>#N/A</v>
      </c>
    </row>
    <row r="57" spans="1:7">
      <c r="A57" t="s">
        <v>221</v>
      </c>
      <c r="B57" t="s">
        <v>222</v>
      </c>
      <c r="D57">
        <v>110000</v>
      </c>
      <c r="E57">
        <v>1917896</v>
      </c>
      <c r="F57">
        <v>1807896</v>
      </c>
      <c r="G57" t="e">
        <f>VLOOKUP(B57,[1]Sheet1!$B:$D,3,FALSE)</f>
        <v>#N/A</v>
      </c>
    </row>
    <row r="58" spans="1:7">
      <c r="A58" t="s">
        <v>223</v>
      </c>
      <c r="B58" t="s">
        <v>224</v>
      </c>
      <c r="D58">
        <v>1417246</v>
      </c>
      <c r="E58">
        <v>1574719</v>
      </c>
      <c r="F58">
        <v>2991965</v>
      </c>
      <c r="G58" t="e">
        <f>VLOOKUP(B58,[1]Sheet1!$B:$D,3,FALSE)</f>
        <v>#N/A</v>
      </c>
    </row>
    <row r="59" spans="1:7">
      <c r="A59" t="s">
        <v>225</v>
      </c>
      <c r="B59" t="s">
        <v>226</v>
      </c>
      <c r="D59" t="s">
        <v>14</v>
      </c>
      <c r="E59">
        <v>0</v>
      </c>
      <c r="F59">
        <v>-448786</v>
      </c>
      <c r="G59" t="e">
        <f>VLOOKUP(B59,[1]Sheet1!$B:$D,3,FALSE)</f>
        <v>#N/A</v>
      </c>
    </row>
    <row r="60" spans="1:7">
      <c r="A60" t="s">
        <v>227</v>
      </c>
      <c r="B60" t="s">
        <v>228</v>
      </c>
      <c r="D60">
        <v>5833068</v>
      </c>
      <c r="E60">
        <v>2920677</v>
      </c>
      <c r="F60">
        <v>-2824966.5</v>
      </c>
      <c r="G60" t="e">
        <f>VLOOKUP(B60,[1]Sheet1!$B:$D,3,FALSE)</f>
        <v>#N/A</v>
      </c>
    </row>
    <row r="61" spans="1:7">
      <c r="A61" t="s">
        <v>229</v>
      </c>
      <c r="B61" t="s">
        <v>230</v>
      </c>
      <c r="D61">
        <v>17047525.02</v>
      </c>
      <c r="E61">
        <v>3370768.02</v>
      </c>
      <c r="F61">
        <v>-12232051</v>
      </c>
      <c r="G61" t="e">
        <f>VLOOKUP(B61,[1]Sheet1!$B:$D,3,FALSE)</f>
        <v>#N/A</v>
      </c>
    </row>
    <row r="62" spans="1:7">
      <c r="A62" t="s">
        <v>231</v>
      </c>
      <c r="B62" t="s">
        <v>232</v>
      </c>
      <c r="D62">
        <v>0</v>
      </c>
      <c r="E62">
        <v>374271</v>
      </c>
      <c r="F62">
        <v>374271</v>
      </c>
      <c r="G62" t="e">
        <f>VLOOKUP(B62,[1]Sheet1!$B:$D,3,FALSE)</f>
        <v>#N/A</v>
      </c>
    </row>
    <row r="63" spans="1:7">
      <c r="A63" t="s">
        <v>233</v>
      </c>
      <c r="B63" t="s">
        <v>234</v>
      </c>
      <c r="D63">
        <v>6000</v>
      </c>
      <c r="E63">
        <v>0</v>
      </c>
      <c r="F63">
        <v>-5898</v>
      </c>
      <c r="G63" t="e">
        <f>VLOOKUP(B63,[1]Sheet1!$B:$D,3,FALSE)</f>
        <v>#N/A</v>
      </c>
    </row>
    <row r="64" spans="1:7">
      <c r="A64" t="s">
        <v>235</v>
      </c>
      <c r="B64" t="s">
        <v>236</v>
      </c>
      <c r="D64">
        <v>3650151</v>
      </c>
      <c r="E64">
        <v>0</v>
      </c>
      <c r="F64">
        <v>-3588284.03</v>
      </c>
      <c r="G64" t="e">
        <f>VLOOKUP(B64,[1]Sheet1!$B:$D,3,FALSE)</f>
        <v>#N/A</v>
      </c>
    </row>
    <row r="65" spans="1:7">
      <c r="A65" t="s">
        <v>237</v>
      </c>
      <c r="B65" t="s">
        <v>238</v>
      </c>
      <c r="D65">
        <v>22061731</v>
      </c>
      <c r="E65">
        <v>572241</v>
      </c>
      <c r="F65">
        <v>-19867303.9</v>
      </c>
      <c r="G65" t="e">
        <f>VLOOKUP(B65,[1]Sheet1!$B:$D,3,FALSE)</f>
        <v>#N/A</v>
      </c>
    </row>
    <row r="66" spans="1:7">
      <c r="A66" t="s">
        <v>69</v>
      </c>
      <c r="B66" t="s">
        <v>239</v>
      </c>
      <c r="D66">
        <v>0</v>
      </c>
      <c r="E66">
        <v>12980</v>
      </c>
      <c r="F66">
        <v>12980</v>
      </c>
      <c r="G66">
        <f>VLOOKUP(B66,[1]Sheet1!$B:$D,3,FALSE)</f>
        <v>12980</v>
      </c>
    </row>
    <row r="67" spans="1:7">
      <c r="A67" t="s">
        <v>240</v>
      </c>
      <c r="B67" t="s">
        <v>241</v>
      </c>
      <c r="D67">
        <v>0</v>
      </c>
      <c r="E67">
        <v>909869</v>
      </c>
      <c r="F67">
        <v>909869</v>
      </c>
      <c r="G67" t="e">
        <f>VLOOKUP(B67,[1]Sheet1!$B:$D,3,FALSE)</f>
        <v>#N/A</v>
      </c>
    </row>
    <row r="68" spans="1:7">
      <c r="A68" t="s">
        <v>242</v>
      </c>
      <c r="B68" t="s">
        <v>243</v>
      </c>
      <c r="D68">
        <v>3442426</v>
      </c>
      <c r="E68">
        <v>3442426</v>
      </c>
      <c r="F68">
        <v>58346.2</v>
      </c>
      <c r="G68" t="e">
        <f>VLOOKUP(B68,[1]Sheet1!$B:$D,3,FALSE)</f>
        <v>#N/A</v>
      </c>
    </row>
    <row r="69" spans="1:7">
      <c r="A69" t="s">
        <v>244</v>
      </c>
      <c r="B69" t="s">
        <v>245</v>
      </c>
      <c r="D69">
        <v>0.12</v>
      </c>
      <c r="E69">
        <v>10896.12</v>
      </c>
      <c r="F69">
        <v>10896</v>
      </c>
      <c r="G69" t="e">
        <f>VLOOKUP(B69,[1]Sheet1!$B:$D,3,FALSE)</f>
        <v>#N/A</v>
      </c>
    </row>
    <row r="70" spans="1:7">
      <c r="A70" t="s">
        <v>246</v>
      </c>
      <c r="B70" t="s">
        <v>247</v>
      </c>
      <c r="D70">
        <v>0</v>
      </c>
      <c r="E70">
        <v>608880</v>
      </c>
      <c r="F70">
        <v>608880</v>
      </c>
      <c r="G70" t="e">
        <f>VLOOKUP(B70,[1]Sheet1!$B:$D,3,FALSE)</f>
        <v>#N/A</v>
      </c>
    </row>
    <row r="71" spans="1:7">
      <c r="A71" t="s">
        <v>248</v>
      </c>
      <c r="B71" t="s">
        <v>249</v>
      </c>
      <c r="D71">
        <v>2327424</v>
      </c>
      <c r="E71">
        <v>0</v>
      </c>
      <c r="F71">
        <v>-2210416.81</v>
      </c>
      <c r="G71" t="e">
        <f>VLOOKUP(B71,[1]Sheet1!$B:$D,3,FALSE)</f>
        <v>#N/A</v>
      </c>
    </row>
    <row r="72" spans="1:7">
      <c r="A72" t="s">
        <v>250</v>
      </c>
      <c r="B72" t="s">
        <v>251</v>
      </c>
      <c r="D72">
        <v>12770225</v>
      </c>
      <c r="E72">
        <v>12736225</v>
      </c>
      <c r="F72">
        <v>25154000</v>
      </c>
      <c r="G72" t="e">
        <f>VLOOKUP(B72,[1]Sheet1!$B:$D,3,FALSE)</f>
        <v>#N/A</v>
      </c>
    </row>
    <row r="73" spans="1:7">
      <c r="A73" t="s">
        <v>252</v>
      </c>
      <c r="B73" t="s">
        <v>253</v>
      </c>
      <c r="D73">
        <v>686380.15</v>
      </c>
      <c r="E73">
        <v>632471.15</v>
      </c>
      <c r="F73">
        <v>-35004.46</v>
      </c>
      <c r="G73" t="e">
        <f>VLOOKUP(B73,[1]Sheet1!$B:$D,3,FALSE)</f>
        <v>#N/A</v>
      </c>
    </row>
    <row r="74" spans="1:7">
      <c r="A74" t="s">
        <v>254</v>
      </c>
      <c r="B74" t="s">
        <v>255</v>
      </c>
      <c r="D74">
        <v>857450</v>
      </c>
      <c r="E74">
        <v>857450</v>
      </c>
      <c r="F74">
        <v>1714900</v>
      </c>
      <c r="G74" t="e">
        <f>VLOOKUP(B74,[1]Sheet1!$B:$D,3,FALSE)</f>
        <v>#N/A</v>
      </c>
    </row>
    <row r="75" spans="1:7">
      <c r="A75" t="s">
        <v>256</v>
      </c>
      <c r="B75" t="s">
        <v>257</v>
      </c>
      <c r="D75">
        <v>0</v>
      </c>
      <c r="E75">
        <v>1096003</v>
      </c>
      <c r="F75">
        <v>1096003</v>
      </c>
      <c r="G75" t="e">
        <f>VLOOKUP(B75,[1]Sheet1!$B:$D,3,FALSE)</f>
        <v>#N/A</v>
      </c>
    </row>
    <row r="76" spans="1:7">
      <c r="A76" t="s">
        <v>258</v>
      </c>
      <c r="B76" t="s">
        <v>259</v>
      </c>
      <c r="D76">
        <v>494538</v>
      </c>
      <c r="E76">
        <v>0</v>
      </c>
      <c r="F76">
        <v>-452628</v>
      </c>
      <c r="G76" t="e">
        <f>VLOOKUP(B76,[1]Sheet1!$B:$D,3,FALSE)</f>
        <v>#N/A</v>
      </c>
    </row>
    <row r="77" spans="1:7">
      <c r="A77" t="s">
        <v>260</v>
      </c>
      <c r="B77" t="s">
        <v>261</v>
      </c>
      <c r="D77">
        <v>1359770</v>
      </c>
      <c r="E77">
        <v>412414</v>
      </c>
      <c r="F77">
        <v>-832122</v>
      </c>
      <c r="G77" t="e">
        <f>VLOOKUP(B77,[1]Sheet1!$B:$D,3,FALSE)</f>
        <v>#N/A</v>
      </c>
    </row>
    <row r="78" spans="1:7">
      <c r="A78" t="s">
        <v>262</v>
      </c>
      <c r="B78" t="s">
        <v>263</v>
      </c>
      <c r="D78">
        <v>4944090</v>
      </c>
      <c r="E78">
        <v>0</v>
      </c>
      <c r="F78">
        <v>-4864481</v>
      </c>
      <c r="G78" t="e">
        <f>VLOOKUP(B78,[1]Sheet1!$B:$D,3,FALSE)</f>
        <v>#N/A</v>
      </c>
    </row>
    <row r="79" spans="1:7">
      <c r="A79" t="s">
        <v>264</v>
      </c>
      <c r="B79" t="s">
        <v>265</v>
      </c>
      <c r="D79">
        <v>3947130.4</v>
      </c>
      <c r="E79">
        <v>9313598.4</v>
      </c>
      <c r="F79">
        <v>5366468</v>
      </c>
      <c r="G79" t="e">
        <f>VLOOKUP(B79,[1]Sheet1!$B:$D,3,FALSE)</f>
        <v>#N/A</v>
      </c>
    </row>
    <row r="80" spans="1:7">
      <c r="A80" t="s">
        <v>266</v>
      </c>
      <c r="B80" t="s">
        <v>267</v>
      </c>
      <c r="D80">
        <v>488676</v>
      </c>
      <c r="E80">
        <v>0</v>
      </c>
      <c r="F80">
        <v>-447263</v>
      </c>
      <c r="G80" t="e">
        <f>VLOOKUP(B80,[1]Sheet1!$B:$D,3,FALSE)</f>
        <v>#N/A</v>
      </c>
    </row>
    <row r="81" spans="1:7">
      <c r="A81" t="s">
        <v>268</v>
      </c>
      <c r="B81" t="s">
        <v>269</v>
      </c>
      <c r="D81">
        <v>20296000</v>
      </c>
      <c r="E81">
        <v>12626000</v>
      </c>
      <c r="F81">
        <v>-7326000</v>
      </c>
      <c r="G81" t="e">
        <f>VLOOKUP(B81,[1]Sheet1!$B:$D,3,FALSE)</f>
        <v>#N/A</v>
      </c>
    </row>
    <row r="82" spans="1:7">
      <c r="A82" t="s">
        <v>270</v>
      </c>
      <c r="B82" t="s">
        <v>271</v>
      </c>
      <c r="D82">
        <v>454695</v>
      </c>
      <c r="E82">
        <v>40238</v>
      </c>
      <c r="F82">
        <v>-239005.46</v>
      </c>
      <c r="G82" t="e">
        <f>VLOOKUP(B82,[1]Sheet1!$B:$D,3,FALSE)</f>
        <v>#N/A</v>
      </c>
    </row>
    <row r="83" spans="1:7">
      <c r="A83" t="s">
        <v>272</v>
      </c>
      <c r="B83" t="s">
        <v>273</v>
      </c>
      <c r="D83">
        <v>938668.34</v>
      </c>
      <c r="E83">
        <v>14874710.34</v>
      </c>
      <c r="F83">
        <v>13951951.62</v>
      </c>
      <c r="G83" t="e">
        <f>VLOOKUP(B83,[1]Sheet1!$B:$D,3,FALSE)</f>
        <v>#N/A</v>
      </c>
    </row>
    <row r="84" spans="1:7">
      <c r="A84" t="s">
        <v>274</v>
      </c>
      <c r="B84" t="s">
        <v>275</v>
      </c>
      <c r="D84">
        <v>29087.46</v>
      </c>
      <c r="E84">
        <v>29087.46</v>
      </c>
      <c r="F84">
        <v>0</v>
      </c>
      <c r="G84" t="e">
        <f>VLOOKUP(B84,[1]Sheet1!$B:$D,3,FALSE)</f>
        <v>#N/A</v>
      </c>
    </row>
    <row r="85" spans="1:7">
      <c r="A85" t="s">
        <v>276</v>
      </c>
      <c r="B85" t="s">
        <v>277</v>
      </c>
      <c r="D85">
        <v>19777742</v>
      </c>
      <c r="E85">
        <v>1827584</v>
      </c>
      <c r="F85">
        <v>-17422198.45</v>
      </c>
      <c r="G85" t="e">
        <f>VLOOKUP(B85,[1]Sheet1!$B:$D,3,FALSE)</f>
        <v>#N/A</v>
      </c>
    </row>
    <row r="86" spans="1:7">
      <c r="A86" t="s">
        <v>278</v>
      </c>
      <c r="B86" t="s">
        <v>279</v>
      </c>
      <c r="D86">
        <v>404875</v>
      </c>
      <c r="E86">
        <v>232630</v>
      </c>
      <c r="F86">
        <v>-172245</v>
      </c>
      <c r="G86" t="e">
        <f>VLOOKUP(B86,[1]Sheet1!$B:$D,3,FALSE)</f>
        <v>#N/A</v>
      </c>
    </row>
    <row r="87" spans="1:7">
      <c r="A87" t="s">
        <v>280</v>
      </c>
      <c r="B87" t="s">
        <v>281</v>
      </c>
      <c r="D87">
        <v>1484802.04</v>
      </c>
      <c r="E87">
        <v>1484802</v>
      </c>
      <c r="F87">
        <v>2939908</v>
      </c>
      <c r="G87" t="e">
        <f>VLOOKUP(B87,[1]Sheet1!$B:$D,3,FALSE)</f>
        <v>#N/A</v>
      </c>
    </row>
    <row r="88" spans="1:7">
      <c r="A88" t="s">
        <v>282</v>
      </c>
      <c r="B88" t="s">
        <v>283</v>
      </c>
      <c r="D88">
        <v>0</v>
      </c>
      <c r="E88">
        <v>18941537</v>
      </c>
      <c r="F88">
        <v>18941537</v>
      </c>
      <c r="G88" t="e">
        <f>VLOOKUP(B88,[1]Sheet1!$B:$D,3,FALSE)</f>
        <v>#N/A</v>
      </c>
    </row>
    <row r="89" spans="1:7">
      <c r="A89" t="s">
        <v>284</v>
      </c>
      <c r="B89" t="s">
        <v>285</v>
      </c>
      <c r="D89">
        <v>111702</v>
      </c>
      <c r="E89">
        <v>0</v>
      </c>
      <c r="F89">
        <v>-109809</v>
      </c>
      <c r="G89" t="e">
        <f>VLOOKUP(B89,[1]Sheet1!$B:$D,3,FALSE)</f>
        <v>#N/A</v>
      </c>
    </row>
    <row r="90" spans="1:7">
      <c r="A90" t="s">
        <v>286</v>
      </c>
      <c r="B90" t="s">
        <v>287</v>
      </c>
      <c r="D90">
        <v>0.04</v>
      </c>
      <c r="E90">
        <v>562775.04</v>
      </c>
      <c r="F90">
        <v>562775</v>
      </c>
      <c r="G90" t="e">
        <f>VLOOKUP(B90,[1]Sheet1!$B:$D,3,FALSE)</f>
        <v>#N/A</v>
      </c>
    </row>
    <row r="91" spans="1:7">
      <c r="A91" t="s">
        <v>288</v>
      </c>
      <c r="B91" t="s">
        <v>289</v>
      </c>
      <c r="D91">
        <v>0</v>
      </c>
      <c r="E91">
        <v>2893372</v>
      </c>
      <c r="F91">
        <v>2893372</v>
      </c>
      <c r="G91" t="e">
        <f>VLOOKUP(B91,[1]Sheet1!$B:$D,3,FALSE)</f>
        <v>#N/A</v>
      </c>
    </row>
    <row r="92" spans="1:7">
      <c r="A92" t="s">
        <v>290</v>
      </c>
      <c r="B92" t="s">
        <v>291</v>
      </c>
      <c r="D92">
        <v>2224577</v>
      </c>
      <c r="E92">
        <v>0</v>
      </c>
      <c r="F92">
        <v>-2186872</v>
      </c>
      <c r="G92" t="e">
        <f>VLOOKUP(B92,[1]Sheet1!$B:$D,3,FALSE)</f>
        <v>#N/A</v>
      </c>
    </row>
    <row r="93" spans="1:7">
      <c r="A93" t="s">
        <v>292</v>
      </c>
      <c r="B93" t="s">
        <v>293</v>
      </c>
      <c r="D93">
        <v>0</v>
      </c>
      <c r="E93">
        <v>1073045</v>
      </c>
      <c r="F93">
        <v>1073045</v>
      </c>
      <c r="G93" t="e">
        <f>VLOOKUP(B93,[1]Sheet1!$B:$D,3,FALSE)</f>
        <v>#N/A</v>
      </c>
    </row>
    <row r="94" spans="1:7">
      <c r="A94" t="s">
        <v>294</v>
      </c>
      <c r="B94" t="s">
        <v>295</v>
      </c>
      <c r="D94">
        <v>3128480</v>
      </c>
      <c r="E94">
        <v>0</v>
      </c>
      <c r="F94">
        <v>-3075454.91</v>
      </c>
      <c r="G94" t="e">
        <f>VLOOKUP(B94,[1]Sheet1!$B:$D,3,FALSE)</f>
        <v>#N/A</v>
      </c>
    </row>
    <row r="95" spans="1:7">
      <c r="A95" t="s">
        <v>296</v>
      </c>
      <c r="B95" t="s">
        <v>297</v>
      </c>
      <c r="D95">
        <v>3238056</v>
      </c>
      <c r="E95">
        <v>1619028</v>
      </c>
      <c r="F95">
        <v>-1591586</v>
      </c>
      <c r="G95" t="e">
        <f>VLOOKUP(B95,[1]Sheet1!$B:$D,3,FALSE)</f>
        <v>#N/A</v>
      </c>
    </row>
    <row r="96" spans="1:7">
      <c r="A96" t="s">
        <v>298</v>
      </c>
      <c r="B96" t="s">
        <v>299</v>
      </c>
      <c r="D96">
        <v>14152284</v>
      </c>
      <c r="E96">
        <v>1008092</v>
      </c>
      <c r="F96">
        <v>-11258185</v>
      </c>
      <c r="G96" t="e">
        <f>VLOOKUP(B96,[1]Sheet1!$B:$D,3,FALSE)</f>
        <v>#N/A</v>
      </c>
    </row>
    <row r="97" spans="1:7">
      <c r="A97" t="s">
        <v>300</v>
      </c>
      <c r="B97" t="s">
        <v>301</v>
      </c>
      <c r="D97">
        <v>5398148</v>
      </c>
      <c r="E97">
        <v>0</v>
      </c>
      <c r="F97">
        <v>-4940677.8</v>
      </c>
      <c r="G97" t="e">
        <f>VLOOKUP(B97,[1]Sheet1!$B:$D,3,FALSE)</f>
        <v>#N/A</v>
      </c>
    </row>
    <row r="98" spans="1:7">
      <c r="A98" t="s">
        <v>302</v>
      </c>
      <c r="B98" t="s">
        <v>303</v>
      </c>
      <c r="D98">
        <v>3369190.04</v>
      </c>
      <c r="E98">
        <v>3643068.04</v>
      </c>
      <c r="F98">
        <v>330982.92</v>
      </c>
      <c r="G98" t="e">
        <f>VLOOKUP(B98,[1]Sheet1!$B:$D,3,FALSE)</f>
        <v>#N/A</v>
      </c>
    </row>
    <row r="99" spans="1:7">
      <c r="A99" t="s">
        <v>304</v>
      </c>
      <c r="B99" t="s">
        <v>305</v>
      </c>
      <c r="D99">
        <v>0.02</v>
      </c>
      <c r="E99">
        <v>4031906.02</v>
      </c>
      <c r="F99">
        <v>4031906</v>
      </c>
      <c r="G99" t="e">
        <f>VLOOKUP(B99,[1]Sheet1!$B:$D,3,FALSE)</f>
        <v>#N/A</v>
      </c>
    </row>
    <row r="100" spans="1:7">
      <c r="A100" t="s">
        <v>306</v>
      </c>
      <c r="B100" t="s">
        <v>307</v>
      </c>
      <c r="D100">
        <v>0</v>
      </c>
      <c r="E100">
        <v>2680454</v>
      </c>
      <c r="F100">
        <v>2680454</v>
      </c>
      <c r="G100" t="e">
        <f>VLOOKUP(B100,[1]Sheet1!$B:$D,3,FALSE)</f>
        <v>#N/A</v>
      </c>
    </row>
    <row r="101" spans="1:7">
      <c r="A101" t="s">
        <v>104</v>
      </c>
      <c r="B101" t="s">
        <v>308</v>
      </c>
      <c r="D101" t="s">
        <v>14</v>
      </c>
      <c r="E101">
        <v>0</v>
      </c>
      <c r="F101">
        <v>-76414</v>
      </c>
      <c r="G101">
        <f>VLOOKUP(B101,[1]Sheet1!$B:$D,3,FALSE)</f>
        <v>0</v>
      </c>
    </row>
    <row r="102" spans="1:7">
      <c r="A102" t="s">
        <v>309</v>
      </c>
      <c r="B102" t="s">
        <v>310</v>
      </c>
      <c r="D102">
        <v>0</v>
      </c>
      <c r="E102">
        <v>85668</v>
      </c>
      <c r="F102">
        <v>85668</v>
      </c>
      <c r="G102" t="e">
        <f>VLOOKUP(B102,[1]Sheet1!$B:$D,3,FALSE)</f>
        <v>#N/A</v>
      </c>
    </row>
    <row r="103" spans="1:7">
      <c r="A103" t="s">
        <v>311</v>
      </c>
      <c r="B103" t="s">
        <v>312</v>
      </c>
      <c r="D103">
        <v>0</v>
      </c>
      <c r="E103">
        <v>2934938.48</v>
      </c>
      <c r="F103">
        <v>2934938.48</v>
      </c>
      <c r="G103" t="e">
        <f>VLOOKUP(B103,[1]Sheet1!$B:$D,3,FALSE)</f>
        <v>#N/A</v>
      </c>
    </row>
    <row r="104" spans="1:7">
      <c r="A104" t="s">
        <v>107</v>
      </c>
      <c r="B104" t="s">
        <v>313</v>
      </c>
      <c r="D104">
        <v>0</v>
      </c>
      <c r="E104">
        <v>449822</v>
      </c>
      <c r="F104">
        <v>449822</v>
      </c>
      <c r="G104">
        <f>VLOOKUP(B104,[1]Sheet1!$B:$D,3,FALSE)</f>
        <v>449822</v>
      </c>
    </row>
    <row r="105" spans="1:7">
      <c r="A105" t="s">
        <v>314</v>
      </c>
      <c r="B105" t="s">
        <v>315</v>
      </c>
      <c r="D105">
        <v>0</v>
      </c>
      <c r="E105">
        <v>802400</v>
      </c>
      <c r="F105">
        <v>802400</v>
      </c>
      <c r="G105" t="e">
        <f>VLOOKUP(B105,[1]Sheet1!$B:$D,3,FALSE)</f>
        <v>#N/A</v>
      </c>
    </row>
    <row r="106" spans="1:7">
      <c r="A106" t="s">
        <v>316</v>
      </c>
      <c r="B106" t="s">
        <v>317</v>
      </c>
      <c r="D106">
        <v>0.2</v>
      </c>
      <c r="E106">
        <v>1413451.2</v>
      </c>
      <c r="F106">
        <v>1413451</v>
      </c>
      <c r="G106" t="e">
        <f>VLOOKUP(B106,[1]Sheet1!$B:$D,3,FALSE)</f>
        <v>#N/A</v>
      </c>
    </row>
    <row r="107" spans="1:7">
      <c r="A107" t="s">
        <v>318</v>
      </c>
      <c r="B107" t="s">
        <v>319</v>
      </c>
      <c r="D107">
        <v>0</v>
      </c>
      <c r="E107">
        <v>1851129</v>
      </c>
      <c r="F107">
        <v>1851129</v>
      </c>
      <c r="G107" t="e">
        <f>VLOOKUP(B107,[1]Sheet1!$B:$D,3,FALSE)</f>
        <v>#N/A</v>
      </c>
    </row>
    <row r="108" spans="1:7">
      <c r="A108" t="s">
        <v>320</v>
      </c>
      <c r="B108" t="s">
        <v>321</v>
      </c>
      <c r="D108">
        <v>0.24</v>
      </c>
      <c r="E108">
        <v>1265070.24</v>
      </c>
      <c r="F108">
        <v>1265070</v>
      </c>
      <c r="G108" t="e">
        <f>VLOOKUP(B108,[1]Sheet1!$B:$D,3,FALSE)</f>
        <v>#N/A</v>
      </c>
    </row>
    <row r="109" spans="1:7">
      <c r="A109" t="s">
        <v>322</v>
      </c>
      <c r="B109" t="s">
        <v>323</v>
      </c>
      <c r="D109">
        <v>0.42</v>
      </c>
      <c r="E109">
        <v>117135615.39</v>
      </c>
      <c r="F109">
        <v>117135614.97</v>
      </c>
      <c r="G109" t="e">
        <f>VLOOKUP(B109,[1]Sheet1!$B:$D,3,FALSE)</f>
        <v>#N/A</v>
      </c>
    </row>
    <row r="110" spans="1:7">
      <c r="A110" t="s">
        <v>324</v>
      </c>
      <c r="B110" t="s">
        <v>325</v>
      </c>
      <c r="D110">
        <v>0</v>
      </c>
      <c r="E110">
        <v>4097839</v>
      </c>
      <c r="F110">
        <v>4097839</v>
      </c>
      <c r="G110" t="e">
        <f>VLOOKUP(B110,[1]Sheet1!$B:$D,3,FALSE)</f>
        <v>#N/A</v>
      </c>
    </row>
    <row r="111" spans="1:7">
      <c r="A111" t="s">
        <v>326</v>
      </c>
      <c r="B111" t="s">
        <v>327</v>
      </c>
      <c r="D111">
        <v>0.32</v>
      </c>
      <c r="E111">
        <v>657878.32</v>
      </c>
      <c r="F111">
        <v>657878</v>
      </c>
      <c r="G111" t="e">
        <f>VLOOKUP(B111,[1]Sheet1!$B:$D,3,FALSE)</f>
        <v>#N/A</v>
      </c>
    </row>
    <row r="112" spans="1:7">
      <c r="A112" t="s">
        <v>328</v>
      </c>
      <c r="B112" t="s">
        <v>329</v>
      </c>
      <c r="D112">
        <v>0</v>
      </c>
      <c r="E112">
        <v>1033818.92</v>
      </c>
      <c r="F112">
        <v>1033818.92</v>
      </c>
      <c r="G112" t="e">
        <f>VLOOKUP(B112,[1]Sheet1!$B:$D,3,FALSE)</f>
        <v>#N/A</v>
      </c>
    </row>
    <row r="113" spans="1:7">
      <c r="A113" t="s">
        <v>330</v>
      </c>
      <c r="B113" t="s">
        <v>331</v>
      </c>
      <c r="D113">
        <v>0</v>
      </c>
      <c r="E113">
        <v>18211282.31</v>
      </c>
      <c r="F113">
        <v>18211282.31</v>
      </c>
      <c r="G113" t="e">
        <f>VLOOKUP(B113,[1]Sheet1!$B:$D,3,FALSE)</f>
        <v>#N/A</v>
      </c>
    </row>
    <row r="114" spans="1:7">
      <c r="A114" t="s">
        <v>332</v>
      </c>
      <c r="B114" t="s">
        <v>333</v>
      </c>
      <c r="D114">
        <v>0</v>
      </c>
      <c r="E114">
        <v>2473104.74</v>
      </c>
      <c r="F114">
        <v>2473104.74</v>
      </c>
      <c r="G114" t="e">
        <f>VLOOKUP(B114,[1]Sheet1!$B:$D,3,FALSE)</f>
        <v>#N/A</v>
      </c>
    </row>
    <row r="115" spans="1:7">
      <c r="A115" t="s">
        <v>118</v>
      </c>
      <c r="B115" t="s">
        <v>334</v>
      </c>
      <c r="D115">
        <v>398012</v>
      </c>
      <c r="E115">
        <v>398012</v>
      </c>
      <c r="F115">
        <v>0</v>
      </c>
      <c r="G115" t="e">
        <f>VLOOKUP(B115,[1]Sheet1!$B:$D,3,FALSE)</f>
        <v>#N/A</v>
      </c>
    </row>
    <row r="116" spans="1:7">
      <c r="A116" t="s">
        <v>119</v>
      </c>
      <c r="B116" t="e">
        <f>_xlfn.TEXTAFTER(A116," ")</f>
        <v>#N/A</v>
      </c>
      <c r="D116" t="s">
        <v>120</v>
      </c>
      <c r="E116" t="s">
        <v>121</v>
      </c>
      <c r="F116">
        <v>128066934.26</v>
      </c>
      <c r="G116" t="e">
        <f>VLOOKUP(B116,[1]Sheet1!$B:$D,3,FALSE)</f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NetSuite</Company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CustomerOpeningBalanceSearchAK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KalyaniChaudhari</cp:lastModifiedBy>
  <dcterms:created xsi:type="dcterms:W3CDTF">2025-07-16T05:48:16Z</dcterms:created>
  <dcterms:modified xsi:type="dcterms:W3CDTF">2025-07-16T05:55:08Z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5DA439D9A6074587B5F7449352668426_13</vt:lpwstr>
  </property>
  <property fmtid="{D5CDD505-2E9C-101B-9397-08002B2CF9AE}" pid="3" name="KSOProductBuildVer">
    <vt:lpwstr>1033-12.2.0.21931</vt:lpwstr>
  </property>
</Properties>
</file>